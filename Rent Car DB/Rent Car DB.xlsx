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dibenefit-my.sharepoint.com/personal/rent_sdibenefit_com/Documents/rentbenefit/rentbenefit_program/Rent Car DB/"/>
    </mc:Choice>
  </mc:AlternateContent>
  <xr:revisionPtr revIDLastSave="3" documentId="8_{1BD5DB23-F93A-4C56-9406-50461C4D799C}" xr6:coauthVersionLast="47" xr6:coauthVersionMax="47" xr10:uidLastSave="{26E59FF5-CBE6-4154-A772-1E365FFF5249}"/>
  <bookViews>
    <workbookView xWindow="-120" yWindow="-120" windowWidth="29040" windowHeight="15840" xr2:uid="{FED0FA17-A1C5-4CCF-9D7C-148BFC2E01B4}"/>
  </bookViews>
  <sheets>
    <sheet name="DB_렌트_차량관리" sheetId="1" r:id="rId1"/>
  </sheets>
  <externalReferences>
    <externalReference r:id="rId2"/>
  </externalReferences>
  <definedNames>
    <definedName name="_xlnm._FilterDatabase" localSheetId="0" hidden="1">DB_렌트_차량관리!$A$1:$DP$164</definedName>
    <definedName name="법개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F164" i="1" l="1"/>
  <c r="BR164" i="1"/>
  <c r="AH164" i="1"/>
  <c r="AE164" i="1"/>
  <c r="AC164" i="1"/>
  <c r="U164" i="1" s="1"/>
  <c r="AD164" i="1" s="1"/>
  <c r="CF163" i="1"/>
  <c r="BR163" i="1"/>
  <c r="AH163" i="1"/>
  <c r="AE163" i="1"/>
  <c r="AC163" i="1"/>
  <c r="U163" i="1"/>
  <c r="AD163" i="1" s="1"/>
  <c r="CF162" i="1"/>
  <c r="BR162" i="1"/>
  <c r="AH162" i="1"/>
  <c r="AE162" i="1"/>
  <c r="AC162" i="1"/>
  <c r="U162" i="1" s="1"/>
  <c r="DD161" i="1"/>
  <c r="DB161" i="1"/>
  <c r="CE161" i="1"/>
  <c r="CF161" i="1" s="1"/>
  <c r="BR161" i="1"/>
  <c r="AV161" i="1"/>
  <c r="AU161" i="1"/>
  <c r="AH161" i="1"/>
  <c r="AG161" i="1"/>
  <c r="AE161" i="1"/>
  <c r="AC161" i="1"/>
  <c r="U161" i="1" s="1"/>
  <c r="CF160" i="1"/>
  <c r="BR160" i="1"/>
  <c r="AH160" i="1"/>
  <c r="AE160" i="1"/>
  <c r="AC160" i="1"/>
  <c r="U160" i="1" s="1"/>
  <c r="CF159" i="1"/>
  <c r="BR159" i="1"/>
  <c r="AH159" i="1"/>
  <c r="AE159" i="1"/>
  <c r="AC159" i="1"/>
  <c r="U159" i="1" s="1"/>
  <c r="V159" i="1" s="1"/>
  <c r="CF158" i="1"/>
  <c r="BR158" i="1"/>
  <c r="AH158" i="1"/>
  <c r="AE158" i="1"/>
  <c r="AC158" i="1"/>
  <c r="U158" i="1" s="1"/>
  <c r="DB157" i="1"/>
  <c r="CF157" i="1"/>
  <c r="BR157" i="1"/>
  <c r="AH157" i="1"/>
  <c r="AE157" i="1"/>
  <c r="AC157" i="1"/>
  <c r="U157" i="1" s="1"/>
  <c r="DB156" i="1"/>
  <c r="CF156" i="1"/>
  <c r="BR156" i="1"/>
  <c r="AH156" i="1"/>
  <c r="AE156" i="1"/>
  <c r="AC156" i="1"/>
  <c r="U156" i="1" s="1"/>
  <c r="DB155" i="1"/>
  <c r="CF155" i="1"/>
  <c r="BR155" i="1"/>
  <c r="AH155" i="1"/>
  <c r="AE155" i="1"/>
  <c r="AC155" i="1"/>
  <c r="U155" i="1" s="1"/>
  <c r="AD155" i="1" s="1"/>
  <c r="DB154" i="1"/>
  <c r="CF154" i="1"/>
  <c r="BR154" i="1"/>
  <c r="AH154" i="1"/>
  <c r="AE154" i="1"/>
  <c r="AC154" i="1"/>
  <c r="U154" i="1" s="1"/>
  <c r="DB153" i="1"/>
  <c r="CF153" i="1"/>
  <c r="BR153" i="1"/>
  <c r="AH153" i="1"/>
  <c r="AE153" i="1"/>
  <c r="AC153" i="1"/>
  <c r="U153" i="1" s="1"/>
  <c r="AF152" i="1"/>
  <c r="AH152" i="1" s="1"/>
  <c r="CF151" i="1"/>
  <c r="BR151" i="1"/>
  <c r="AH151" i="1"/>
  <c r="AE151" i="1"/>
  <c r="AC151" i="1"/>
  <c r="U151" i="1" s="1"/>
  <c r="CF150" i="1"/>
  <c r="BR150" i="1"/>
  <c r="AH150" i="1"/>
  <c r="AE150" i="1"/>
  <c r="AC150" i="1"/>
  <c r="U150" i="1" s="1"/>
  <c r="DD149" i="1"/>
  <c r="DB149" i="1"/>
  <c r="CE149" i="1"/>
  <c r="CF149" i="1" s="1"/>
  <c r="BR149" i="1"/>
  <c r="AY149" i="1"/>
  <c r="AV149" i="1"/>
  <c r="AU149" i="1"/>
  <c r="AH149" i="1"/>
  <c r="AE149" i="1"/>
  <c r="AC149" i="1"/>
  <c r="U149" i="1" s="1"/>
  <c r="CF148" i="1"/>
  <c r="BR148" i="1"/>
  <c r="AH148" i="1"/>
  <c r="AE148" i="1"/>
  <c r="AC148" i="1"/>
  <c r="U148" i="1" s="1"/>
  <c r="V148" i="1" s="1"/>
  <c r="CF147" i="1"/>
  <c r="BR147" i="1"/>
  <c r="AH147" i="1"/>
  <c r="AE147" i="1"/>
  <c r="AC147" i="1"/>
  <c r="U147" i="1" s="1"/>
  <c r="CF146" i="1"/>
  <c r="BR146" i="1"/>
  <c r="AF146" i="1"/>
  <c r="AH146" i="1" s="1"/>
  <c r="AE146" i="1"/>
  <c r="AC146" i="1"/>
  <c r="U146" i="1" s="1"/>
  <c r="CF145" i="1"/>
  <c r="BR145" i="1"/>
  <c r="AE145" i="1"/>
  <c r="AC145" i="1"/>
  <c r="U145" i="1"/>
  <c r="V145" i="1" s="1"/>
  <c r="CF144" i="1"/>
  <c r="BR144" i="1"/>
  <c r="AF144" i="1"/>
  <c r="AH144" i="1" s="1"/>
  <c r="AE144" i="1"/>
  <c r="AC144" i="1"/>
  <c r="U144" i="1" s="1"/>
  <c r="CF143" i="1"/>
  <c r="BR143" i="1"/>
  <c r="AF143" i="1"/>
  <c r="AH143" i="1" s="1"/>
  <c r="AE143" i="1"/>
  <c r="AC143" i="1"/>
  <c r="U143" i="1" s="1"/>
  <c r="DB142" i="1"/>
  <c r="CE142" i="1"/>
  <c r="CF142" i="1" s="1"/>
  <c r="BX142" i="1"/>
  <c r="BY142" i="1" s="1"/>
  <c r="BR142" i="1"/>
  <c r="AV142" i="1"/>
  <c r="AF142" i="1"/>
  <c r="AH142" i="1" s="1"/>
  <c r="AE142" i="1"/>
  <c r="AC142" i="1"/>
  <c r="U142" i="1"/>
  <c r="V142" i="1" s="1"/>
  <c r="CF141" i="1"/>
  <c r="BR141" i="1"/>
  <c r="AE141" i="1"/>
  <c r="AC141" i="1"/>
  <c r="U141" i="1" s="1"/>
  <c r="AE140" i="1"/>
  <c r="AC140" i="1"/>
  <c r="U140" i="1" s="1"/>
  <c r="AD140" i="1" s="1"/>
  <c r="CF139" i="1"/>
  <c r="BR139" i="1"/>
  <c r="AF139" i="1"/>
  <c r="AH139" i="1" s="1"/>
  <c r="AE139" i="1"/>
  <c r="AC139" i="1"/>
  <c r="U139" i="1" s="1"/>
  <c r="BR138" i="1"/>
  <c r="AV138" i="1"/>
  <c r="AH138" i="1"/>
  <c r="AE138" i="1"/>
  <c r="T138" i="1"/>
  <c r="CE138" i="1" s="1"/>
  <c r="CF138" i="1" s="1"/>
  <c r="DB137" i="1"/>
  <c r="CE137" i="1"/>
  <c r="CF137" i="1" s="1"/>
  <c r="BR137" i="1"/>
  <c r="AH137" i="1"/>
  <c r="AF137" i="1"/>
  <c r="AE137" i="1"/>
  <c r="AC137" i="1"/>
  <c r="U137" i="1" s="1"/>
  <c r="I137" i="1"/>
  <c r="CE136" i="1"/>
  <c r="CF136" i="1" s="1"/>
  <c r="BR136" i="1"/>
  <c r="AV136" i="1"/>
  <c r="AU136" i="1"/>
  <c r="AH136" i="1"/>
  <c r="AE136" i="1"/>
  <c r="AC136" i="1"/>
  <c r="U136" i="1" s="1"/>
  <c r="DD135" i="1"/>
  <c r="DB135" i="1"/>
  <c r="CE135" i="1"/>
  <c r="CF135" i="1" s="1"/>
  <c r="BR135" i="1"/>
  <c r="AZ135" i="1"/>
  <c r="AY135" i="1"/>
  <c r="AV135" i="1"/>
  <c r="AU135" i="1"/>
  <c r="AG135" i="1"/>
  <c r="AE135" i="1"/>
  <c r="AC135" i="1"/>
  <c r="U135" i="1" s="1"/>
  <c r="AD135" i="1" s="1"/>
  <c r="CE134" i="1"/>
  <c r="CF134" i="1" s="1"/>
  <c r="BR134" i="1"/>
  <c r="AH134" i="1"/>
  <c r="AE134" i="1"/>
  <c r="AC134" i="1"/>
  <c r="U134" i="1" s="1"/>
  <c r="DB133" i="1"/>
  <c r="CE133" i="1"/>
  <c r="CF133" i="1" s="1"/>
  <c r="BR133" i="1"/>
  <c r="AY133" i="1"/>
  <c r="AV133" i="1"/>
  <c r="AG133" i="1"/>
  <c r="AE133" i="1"/>
  <c r="AC133" i="1"/>
  <c r="U133" i="1" s="1"/>
  <c r="AD133" i="1" s="1"/>
  <c r="CF132" i="1"/>
  <c r="BR132" i="1"/>
  <c r="AH132" i="1"/>
  <c r="AE132" i="1"/>
  <c r="AC132" i="1"/>
  <c r="U132" i="1" s="1"/>
  <c r="AD132" i="1" s="1"/>
  <c r="CF131" i="1"/>
  <c r="BR131" i="1"/>
  <c r="AH131" i="1"/>
  <c r="AE131" i="1"/>
  <c r="AC131" i="1"/>
  <c r="U131" i="1" s="1"/>
  <c r="AD131" i="1" s="1"/>
  <c r="CF130" i="1"/>
  <c r="BR130" i="1"/>
  <c r="AH130" i="1"/>
  <c r="AE130" i="1"/>
  <c r="AC130" i="1"/>
  <c r="U130" i="1" s="1"/>
  <c r="AD130" i="1" s="1"/>
  <c r="CF129" i="1"/>
  <c r="BR129" i="1"/>
  <c r="AH129" i="1"/>
  <c r="AE129" i="1"/>
  <c r="AC129" i="1"/>
  <c r="U129" i="1" s="1"/>
  <c r="AD129" i="1" s="1"/>
  <c r="CF128" i="1"/>
  <c r="BR128" i="1"/>
  <c r="AH128" i="1"/>
  <c r="AE128" i="1"/>
  <c r="AC128" i="1"/>
  <c r="U128" i="1" s="1"/>
  <c r="AD128" i="1" s="1"/>
  <c r="CR127" i="1"/>
  <c r="CF127" i="1"/>
  <c r="BR127" i="1"/>
  <c r="AH127" i="1"/>
  <c r="AE127" i="1"/>
  <c r="AC127" i="1"/>
  <c r="U127" i="1" s="1"/>
  <c r="AD127" i="1" s="1"/>
  <c r="CR126" i="1"/>
  <c r="CF126" i="1"/>
  <c r="BR126" i="1"/>
  <c r="AH126" i="1"/>
  <c r="AE126" i="1"/>
  <c r="AC126" i="1"/>
  <c r="U126" i="1" s="1"/>
  <c r="CR125" i="1"/>
  <c r="CF125" i="1"/>
  <c r="BR125" i="1"/>
  <c r="AH125" i="1"/>
  <c r="AE125" i="1"/>
  <c r="AC125" i="1"/>
  <c r="U125" i="1" s="1"/>
  <c r="AD125" i="1" s="1"/>
  <c r="CR124" i="1"/>
  <c r="CF124" i="1"/>
  <c r="BR124" i="1"/>
  <c r="AH124" i="1"/>
  <c r="AE124" i="1"/>
  <c r="AC124" i="1"/>
  <c r="U124" i="1" s="1"/>
  <c r="CF123" i="1"/>
  <c r="BR123" i="1"/>
  <c r="AE123" i="1"/>
  <c r="AC123" i="1"/>
  <c r="U123" i="1" s="1"/>
  <c r="AD123" i="1" s="1"/>
  <c r="CF122" i="1"/>
  <c r="BR122" i="1"/>
  <c r="AE122" i="1"/>
  <c r="AC122" i="1"/>
  <c r="U122" i="1" s="1"/>
  <c r="DB121" i="1"/>
  <c r="CR121" i="1"/>
  <c r="CF121" i="1"/>
  <c r="BR121" i="1"/>
  <c r="AS121" i="1"/>
  <c r="AE121" i="1"/>
  <c r="AC121" i="1"/>
  <c r="U121" i="1" s="1"/>
  <c r="CF120" i="1"/>
  <c r="BR120" i="1"/>
  <c r="AF120" i="1"/>
  <c r="AH120" i="1" s="1"/>
  <c r="AE120" i="1"/>
  <c r="AC120" i="1"/>
  <c r="U120" i="1"/>
  <c r="AD120" i="1" s="1"/>
  <c r="CF119" i="1"/>
  <c r="BR119" i="1"/>
  <c r="AH119" i="1"/>
  <c r="AG119" i="1"/>
  <c r="AE119" i="1"/>
  <c r="AC119" i="1"/>
  <c r="U119" i="1" s="1"/>
  <c r="I119" i="1"/>
  <c r="CF118" i="1"/>
  <c r="BR118" i="1"/>
  <c r="AF118" i="1"/>
  <c r="AH118" i="1" s="1"/>
  <c r="AE118" i="1"/>
  <c r="AC118" i="1"/>
  <c r="U118" i="1" s="1"/>
  <c r="AD118" i="1" s="1"/>
  <c r="CF117" i="1"/>
  <c r="BR117" i="1"/>
  <c r="AG117" i="1"/>
  <c r="AH117" i="1" s="1"/>
  <c r="AE117" i="1"/>
  <c r="AC117" i="1"/>
  <c r="U117" i="1" s="1"/>
  <c r="AD117" i="1" s="1"/>
  <c r="CF116" i="1"/>
  <c r="BR116" i="1"/>
  <c r="AH116" i="1"/>
  <c r="AE116" i="1"/>
  <c r="AC116" i="1"/>
  <c r="U116" i="1"/>
  <c r="AD116" i="1" s="1"/>
  <c r="CR115" i="1"/>
  <c r="CF115" i="1"/>
  <c r="BR115" i="1"/>
  <c r="AQ115" i="1"/>
  <c r="AG115" i="1"/>
  <c r="AH115" i="1" s="1"/>
  <c r="AE115" i="1"/>
  <c r="AC115" i="1"/>
  <c r="U115" i="1" s="1"/>
  <c r="AA115" i="1"/>
  <c r="CF114" i="1"/>
  <c r="BR114" i="1"/>
  <c r="AH114" i="1"/>
  <c r="AE114" i="1"/>
  <c r="AC114" i="1"/>
  <c r="U114" i="1"/>
  <c r="AD114" i="1" s="1"/>
  <c r="CF113" i="1"/>
  <c r="BR113" i="1"/>
  <c r="AH113" i="1"/>
  <c r="AC113" i="1"/>
  <c r="U113" i="1" s="1"/>
  <c r="DB112" i="1"/>
  <c r="CE112" i="1"/>
  <c r="CF112" i="1" s="1"/>
  <c r="BX112" i="1"/>
  <c r="BY112" i="1" s="1"/>
  <c r="BR112" i="1"/>
  <c r="AV112" i="1"/>
  <c r="AE112" i="1"/>
  <c r="AC112" i="1"/>
  <c r="U112" i="1" s="1"/>
  <c r="AD112" i="1" s="1"/>
  <c r="CF111" i="1"/>
  <c r="BR111" i="1"/>
  <c r="AF111" i="1"/>
  <c r="AH111" i="1" s="1"/>
  <c r="AE111" i="1"/>
  <c r="AC111" i="1"/>
  <c r="U111" i="1" s="1"/>
  <c r="AD111" i="1" s="1"/>
  <c r="I111" i="1"/>
  <c r="DD110" i="1"/>
  <c r="DB110" i="1"/>
  <c r="CE110" i="1"/>
  <c r="CF110" i="1" s="1"/>
  <c r="BR110" i="1"/>
  <c r="AY110" i="1"/>
  <c r="AV110" i="1"/>
  <c r="AG110" i="1"/>
  <c r="AE110" i="1"/>
  <c r="AC110" i="1"/>
  <c r="U110" i="1" s="1"/>
  <c r="CF109" i="1"/>
  <c r="BR109" i="1"/>
  <c r="AH109" i="1"/>
  <c r="AE109" i="1"/>
  <c r="AC109" i="1"/>
  <c r="U109" i="1" s="1"/>
  <c r="CT108" i="1"/>
  <c r="CF108" i="1"/>
  <c r="BR108" i="1"/>
  <c r="AG108" i="1"/>
  <c r="AF108" i="1"/>
  <c r="AE108" i="1"/>
  <c r="AC108" i="1"/>
  <c r="U108" i="1" s="1"/>
  <c r="I108" i="1"/>
  <c r="CT107" i="1"/>
  <c r="CF107" i="1"/>
  <c r="BR107" i="1"/>
  <c r="AG107" i="1"/>
  <c r="AF107" i="1"/>
  <c r="AE107" i="1"/>
  <c r="AC107" i="1"/>
  <c r="U107" i="1" s="1"/>
  <c r="I107" i="1"/>
  <c r="CF106" i="1"/>
  <c r="BR106" i="1"/>
  <c r="AF106" i="1"/>
  <c r="AH106" i="1" s="1"/>
  <c r="AE106" i="1"/>
  <c r="AC106" i="1"/>
  <c r="U106" i="1" s="1"/>
  <c r="I106" i="1"/>
  <c r="CT105" i="1"/>
  <c r="CF105" i="1"/>
  <c r="BR105" i="1"/>
  <c r="AI105" i="1"/>
  <c r="AG105" i="1"/>
  <c r="AE105" i="1"/>
  <c r="AC105" i="1"/>
  <c r="U105" i="1" s="1"/>
  <c r="I105" i="1"/>
  <c r="CT104" i="1"/>
  <c r="CF104" i="1"/>
  <c r="BR104" i="1"/>
  <c r="AH104" i="1"/>
  <c r="AE104" i="1"/>
  <c r="AC104" i="1"/>
  <c r="U104" i="1" s="1"/>
  <c r="CF103" i="1"/>
  <c r="BR103" i="1"/>
  <c r="AH103" i="1"/>
  <c r="AE103" i="1"/>
  <c r="AC103" i="1"/>
  <c r="U103" i="1" s="1"/>
  <c r="CF102" i="1"/>
  <c r="BR102" i="1"/>
  <c r="AF102" i="1"/>
  <c r="AH102" i="1" s="1"/>
  <c r="AE102" i="1"/>
  <c r="AC102" i="1"/>
  <c r="U102" i="1" s="1"/>
  <c r="CF101" i="1"/>
  <c r="BR101" i="1"/>
  <c r="AH101" i="1"/>
  <c r="AE101" i="1"/>
  <c r="AC101" i="1"/>
  <c r="U101" i="1" s="1"/>
  <c r="CT100" i="1"/>
  <c r="CF100" i="1"/>
  <c r="BR100" i="1"/>
  <c r="AH100" i="1"/>
  <c r="AE100" i="1"/>
  <c r="AC100" i="1"/>
  <c r="U100" i="1" s="1"/>
  <c r="CF99" i="1"/>
  <c r="BR99" i="1"/>
  <c r="AH99" i="1"/>
  <c r="AC99" i="1"/>
  <c r="U99" i="1" s="1"/>
  <c r="CF98" i="1"/>
  <c r="BR98" i="1"/>
  <c r="AG98" i="1"/>
  <c r="AF98" i="1"/>
  <c r="AE98" i="1"/>
  <c r="AC98" i="1"/>
  <c r="U98" i="1" s="1"/>
  <c r="AD98" i="1" s="1"/>
  <c r="I98" i="1"/>
  <c r="CF97" i="1"/>
  <c r="BR97" i="1"/>
  <c r="AV97" i="1"/>
  <c r="AH97" i="1"/>
  <c r="AE97" i="1"/>
  <c r="AC97" i="1"/>
  <c r="U97" i="1" s="1"/>
  <c r="AD97" i="1" s="1"/>
  <c r="DD96" i="1"/>
  <c r="DB96" i="1"/>
  <c r="CT96" i="1"/>
  <c r="CF96" i="1"/>
  <c r="BR96" i="1"/>
  <c r="AH96" i="1"/>
  <c r="AE96" i="1"/>
  <c r="AC96" i="1"/>
  <c r="U96" i="1" s="1"/>
  <c r="DD95" i="1"/>
  <c r="DB95" i="1"/>
  <c r="CT95" i="1"/>
  <c r="CF95" i="1"/>
  <c r="BR95" i="1"/>
  <c r="AS95" i="1"/>
  <c r="AQ95" i="1"/>
  <c r="AH95" i="1"/>
  <c r="AE95" i="1"/>
  <c r="AC95" i="1"/>
  <c r="U95" i="1" s="1"/>
  <c r="AD95" i="1" s="1"/>
  <c r="DD94" i="1"/>
  <c r="DB94" i="1"/>
  <c r="CT94" i="1"/>
  <c r="CF94" i="1"/>
  <c r="BR94" i="1"/>
  <c r="AE94" i="1"/>
  <c r="AC94" i="1"/>
  <c r="U94" i="1" s="1"/>
  <c r="R94" i="1"/>
  <c r="CF93" i="1"/>
  <c r="BR93" i="1"/>
  <c r="AE93" i="1"/>
  <c r="AC93" i="1"/>
  <c r="U93" i="1" s="1"/>
  <c r="DD92" i="1"/>
  <c r="CE92" i="1"/>
  <c r="CF92" i="1" s="1"/>
  <c r="BR92" i="1"/>
  <c r="AY92" i="1"/>
  <c r="AU92" i="1"/>
  <c r="AH92" i="1"/>
  <c r="AE92" i="1"/>
  <c r="AC92" i="1"/>
  <c r="U92" i="1" s="1"/>
  <c r="AD92" i="1" s="1"/>
  <c r="CE91" i="1"/>
  <c r="CF91" i="1" s="1"/>
  <c r="BR91" i="1"/>
  <c r="AV91" i="1"/>
  <c r="AH91" i="1"/>
  <c r="AE91" i="1"/>
  <c r="AC91" i="1"/>
  <c r="U91" i="1" s="1"/>
  <c r="AD91" i="1" s="1"/>
  <c r="CE90" i="1"/>
  <c r="CF90" i="1" s="1"/>
  <c r="BR90" i="1"/>
  <c r="AV90" i="1"/>
  <c r="AU90" i="1"/>
  <c r="AE90" i="1"/>
  <c r="AC90" i="1"/>
  <c r="U90" i="1" s="1"/>
  <c r="CE89" i="1"/>
  <c r="CF89" i="1" s="1"/>
  <c r="BR89" i="1"/>
  <c r="AV89" i="1"/>
  <c r="AU89" i="1"/>
  <c r="AG89" i="1"/>
  <c r="AH89" i="1" s="1"/>
  <c r="AE89" i="1"/>
  <c r="AC89" i="1"/>
  <c r="U89" i="1" s="1"/>
  <c r="AD89" i="1" s="1"/>
  <c r="CE88" i="1"/>
  <c r="CF88" i="1" s="1"/>
  <c r="BR88" i="1"/>
  <c r="AV88" i="1"/>
  <c r="AU88" i="1"/>
  <c r="AH88" i="1"/>
  <c r="AE88" i="1"/>
  <c r="AC88" i="1"/>
  <c r="U88" i="1" s="1"/>
  <c r="DD87" i="1"/>
  <c r="DB87" i="1"/>
  <c r="CE87" i="1"/>
  <c r="CF87" i="1" s="1"/>
  <c r="BR87" i="1"/>
  <c r="AU87" i="1"/>
  <c r="AG87" i="1"/>
  <c r="AH87" i="1" s="1"/>
  <c r="AK87" i="1" s="1"/>
  <c r="AV87" i="1" s="1"/>
  <c r="AE87" i="1"/>
  <c r="AC87" i="1"/>
  <c r="U87" i="1" s="1"/>
  <c r="AD87" i="1" s="1"/>
  <c r="V87" i="1"/>
  <c r="DD86" i="1"/>
  <c r="DB86" i="1"/>
  <c r="CE86" i="1"/>
  <c r="CF86" i="1" s="1"/>
  <c r="BR86" i="1"/>
  <c r="AU86" i="1"/>
  <c r="AG86" i="1"/>
  <c r="AH86" i="1" s="1"/>
  <c r="AK86" i="1" s="1"/>
  <c r="AV86" i="1" s="1"/>
  <c r="AE86" i="1"/>
  <c r="AC86" i="1"/>
  <c r="U86" i="1" s="1"/>
  <c r="DD85" i="1"/>
  <c r="DB85" i="1"/>
  <c r="CE85" i="1"/>
  <c r="CF85" i="1" s="1"/>
  <c r="BR85" i="1"/>
  <c r="AV85" i="1"/>
  <c r="AU85" i="1"/>
  <c r="AG85" i="1"/>
  <c r="AH85" i="1" s="1"/>
  <c r="AE85" i="1"/>
  <c r="AC85" i="1"/>
  <c r="U85" i="1" s="1"/>
  <c r="DD84" i="1"/>
  <c r="DB84" i="1"/>
  <c r="CE84" i="1"/>
  <c r="CF84" i="1" s="1"/>
  <c r="BR84" i="1"/>
  <c r="AU84" i="1"/>
  <c r="AH84" i="1"/>
  <c r="AK84" i="1" s="1"/>
  <c r="AV84" i="1" s="1"/>
  <c r="AE84" i="1"/>
  <c r="AC84" i="1"/>
  <c r="U84" i="1" s="1"/>
  <c r="DD83" i="1"/>
  <c r="DB83" i="1"/>
  <c r="CE83" i="1"/>
  <c r="CF83" i="1" s="1"/>
  <c r="BR83" i="1"/>
  <c r="AU83" i="1"/>
  <c r="AH83" i="1"/>
  <c r="AK83" i="1" s="1"/>
  <c r="AV83" i="1" s="1"/>
  <c r="AE83" i="1"/>
  <c r="AC83" i="1"/>
  <c r="U83" i="1" s="1"/>
  <c r="DD82" i="1"/>
  <c r="DB82" i="1"/>
  <c r="CE82" i="1"/>
  <c r="CF82" i="1" s="1"/>
  <c r="BR82" i="1"/>
  <c r="AU82" i="1"/>
  <c r="AH82" i="1"/>
  <c r="AK82" i="1" s="1"/>
  <c r="AV82" i="1" s="1"/>
  <c r="AE82" i="1"/>
  <c r="AC82" i="1"/>
  <c r="U82" i="1" s="1"/>
  <c r="DD81" i="1"/>
  <c r="DB81" i="1"/>
  <c r="CE81" i="1"/>
  <c r="CF81" i="1" s="1"/>
  <c r="BR81" i="1"/>
  <c r="AU81" i="1"/>
  <c r="AH81" i="1"/>
  <c r="AK81" i="1" s="1"/>
  <c r="AV81" i="1" s="1"/>
  <c r="AE81" i="1"/>
  <c r="AC81" i="1"/>
  <c r="U81" i="1" s="1"/>
  <c r="DD80" i="1"/>
  <c r="DB80" i="1"/>
  <c r="CE80" i="1"/>
  <c r="CF80" i="1" s="1"/>
  <c r="BR80" i="1"/>
  <c r="AU80" i="1"/>
  <c r="AH80" i="1"/>
  <c r="AK80" i="1" s="1"/>
  <c r="AV80" i="1" s="1"/>
  <c r="AE80" i="1"/>
  <c r="AC80" i="1"/>
  <c r="U80" i="1" s="1"/>
  <c r="CE79" i="1"/>
  <c r="CF79" i="1" s="1"/>
  <c r="BR79" i="1"/>
  <c r="AY79" i="1"/>
  <c r="AV79" i="1"/>
  <c r="AG79" i="1"/>
  <c r="AH79" i="1" s="1"/>
  <c r="AE79" i="1"/>
  <c r="AC79" i="1"/>
  <c r="U79" i="1" s="1"/>
  <c r="DD78" i="1"/>
  <c r="DB78" i="1"/>
  <c r="CE78" i="1"/>
  <c r="CF78" i="1" s="1"/>
  <c r="BR78" i="1"/>
  <c r="AY78" i="1"/>
  <c r="AV78" i="1"/>
  <c r="AH78" i="1"/>
  <c r="AG78" i="1"/>
  <c r="AE78" i="1"/>
  <c r="AC78" i="1"/>
  <c r="U78" i="1"/>
  <c r="AD78" i="1" s="1"/>
  <c r="DD77" i="1"/>
  <c r="DB77" i="1"/>
  <c r="CE77" i="1"/>
  <c r="CF77" i="1" s="1"/>
  <c r="BR77" i="1"/>
  <c r="AY77" i="1"/>
  <c r="AV77" i="1"/>
  <c r="AG77" i="1"/>
  <c r="AH77" i="1" s="1"/>
  <c r="AE77" i="1"/>
  <c r="AC77" i="1"/>
  <c r="U77" i="1" s="1"/>
  <c r="DD76" i="1"/>
  <c r="DB76" i="1"/>
  <c r="CE76" i="1"/>
  <c r="CF76" i="1" s="1"/>
  <c r="BR76" i="1"/>
  <c r="AY76" i="1"/>
  <c r="AV76" i="1"/>
  <c r="AU76" i="1"/>
  <c r="AG76" i="1"/>
  <c r="AH76" i="1" s="1"/>
  <c r="AE76" i="1"/>
  <c r="AC76" i="1"/>
  <c r="U76" i="1" s="1"/>
  <c r="DD75" i="1"/>
  <c r="DB75" i="1"/>
  <c r="CE75" i="1"/>
  <c r="CF75" i="1" s="1"/>
  <c r="BR75" i="1"/>
  <c r="AY75" i="1"/>
  <c r="AU75" i="1"/>
  <c r="AH75" i="1"/>
  <c r="AK75" i="1" s="1"/>
  <c r="AV75" i="1" s="1"/>
  <c r="AE75" i="1"/>
  <c r="AC75" i="1"/>
  <c r="U75" i="1" s="1"/>
  <c r="AD75" i="1" s="1"/>
  <c r="DD74" i="1"/>
  <c r="DB74" i="1"/>
  <c r="CE74" i="1"/>
  <c r="CF74" i="1" s="1"/>
  <c r="BR74" i="1"/>
  <c r="AY74" i="1"/>
  <c r="AU74" i="1"/>
  <c r="AH74" i="1"/>
  <c r="AK74" i="1" s="1"/>
  <c r="AV74" i="1" s="1"/>
  <c r="AE74" i="1"/>
  <c r="AC74" i="1"/>
  <c r="U74" i="1" s="1"/>
  <c r="DD73" i="1"/>
  <c r="DB73" i="1"/>
  <c r="CE73" i="1"/>
  <c r="CF73" i="1" s="1"/>
  <c r="BX73" i="1"/>
  <c r="BY73" i="1" s="1"/>
  <c r="BR73" i="1"/>
  <c r="AZ73" i="1"/>
  <c r="AV73" i="1"/>
  <c r="AE73" i="1"/>
  <c r="AC73" i="1"/>
  <c r="U73" i="1"/>
  <c r="V73" i="1" s="1"/>
  <c r="DD72" i="1"/>
  <c r="DB72" i="1"/>
  <c r="CE72" i="1"/>
  <c r="CF72" i="1" s="1"/>
  <c r="BX72" i="1"/>
  <c r="BY72" i="1" s="1"/>
  <c r="BR72" i="1"/>
  <c r="AZ72" i="1"/>
  <c r="AV72" i="1"/>
  <c r="AE72" i="1"/>
  <c r="AC72" i="1"/>
  <c r="U72" i="1" s="1"/>
  <c r="DD71" i="1"/>
  <c r="DB71" i="1"/>
  <c r="CE71" i="1"/>
  <c r="CF71" i="1" s="1"/>
  <c r="BX71" i="1"/>
  <c r="BY71" i="1" s="1"/>
  <c r="BR71" i="1"/>
  <c r="AZ71" i="1"/>
  <c r="AV71" i="1"/>
  <c r="AE71" i="1"/>
  <c r="AC71" i="1"/>
  <c r="U71" i="1" s="1"/>
  <c r="DD70" i="1"/>
  <c r="DB70" i="1"/>
  <c r="CE70" i="1"/>
  <c r="CF70" i="1" s="1"/>
  <c r="BR70" i="1"/>
  <c r="AY70" i="1"/>
  <c r="AV70" i="1"/>
  <c r="AU70" i="1"/>
  <c r="AH70" i="1"/>
  <c r="AE70" i="1"/>
  <c r="AC70" i="1"/>
  <c r="U70" i="1" s="1"/>
  <c r="DD69" i="1"/>
  <c r="DB69" i="1"/>
  <c r="CE69" i="1"/>
  <c r="CF69" i="1" s="1"/>
  <c r="BR69" i="1"/>
  <c r="AY69" i="1"/>
  <c r="AV69" i="1"/>
  <c r="AU69" i="1"/>
  <c r="AH69" i="1"/>
  <c r="AE69" i="1"/>
  <c r="AC69" i="1"/>
  <c r="U69" i="1" s="1"/>
  <c r="AD69" i="1" s="1"/>
  <c r="DD68" i="1"/>
  <c r="DB68" i="1"/>
  <c r="CE68" i="1"/>
  <c r="CF68" i="1" s="1"/>
  <c r="BR68" i="1"/>
  <c r="AY68" i="1"/>
  <c r="AV68" i="1"/>
  <c r="AU68" i="1"/>
  <c r="AH68" i="1"/>
  <c r="AE68" i="1"/>
  <c r="AC68" i="1"/>
  <c r="U68" i="1" s="1"/>
  <c r="DD67" i="1"/>
  <c r="DB67" i="1"/>
  <c r="CE67" i="1"/>
  <c r="CF67" i="1" s="1"/>
  <c r="BR67" i="1"/>
  <c r="AZ67" i="1"/>
  <c r="AY67" i="1"/>
  <c r="AV67" i="1"/>
  <c r="AU67" i="1"/>
  <c r="AH67" i="1"/>
  <c r="AG67" i="1"/>
  <c r="AE67" i="1"/>
  <c r="AC67" i="1"/>
  <c r="U67" i="1" s="1"/>
  <c r="DD66" i="1"/>
  <c r="DB66" i="1"/>
  <c r="CE66" i="1"/>
  <c r="CF66" i="1" s="1"/>
  <c r="BX66" i="1"/>
  <c r="BY66" i="1" s="1"/>
  <c r="BR66" i="1"/>
  <c r="AZ66" i="1"/>
  <c r="AV66" i="1"/>
  <c r="AE66" i="1"/>
  <c r="AC66" i="1"/>
  <c r="U66" i="1" s="1"/>
  <c r="DD65" i="1"/>
  <c r="DB65" i="1"/>
  <c r="CE65" i="1"/>
  <c r="CF65" i="1" s="1"/>
  <c r="BX65" i="1"/>
  <c r="BY65" i="1" s="1"/>
  <c r="BR65" i="1"/>
  <c r="AZ65" i="1"/>
  <c r="AV65" i="1"/>
  <c r="AE65" i="1"/>
  <c r="AC65" i="1"/>
  <c r="U65" i="1" s="1"/>
  <c r="DD64" i="1"/>
  <c r="DB64" i="1"/>
  <c r="CE64" i="1"/>
  <c r="CF64" i="1" s="1"/>
  <c r="BR64" i="1"/>
  <c r="AZ64" i="1"/>
  <c r="AY64" i="1"/>
  <c r="AV64" i="1"/>
  <c r="AU64" i="1"/>
  <c r="AG64" i="1"/>
  <c r="AE64" i="1"/>
  <c r="AC64" i="1"/>
  <c r="U64" i="1" s="1"/>
  <c r="DD63" i="1"/>
  <c r="DB63" i="1"/>
  <c r="CE63" i="1"/>
  <c r="CF63" i="1" s="1"/>
  <c r="BX63" i="1"/>
  <c r="BY63" i="1" s="1"/>
  <c r="BR63" i="1"/>
  <c r="AZ63" i="1"/>
  <c r="AV63" i="1"/>
  <c r="AE63" i="1"/>
  <c r="AC63" i="1"/>
  <c r="U63" i="1" s="1"/>
  <c r="DD62" i="1"/>
  <c r="DB62" i="1"/>
  <c r="CE62" i="1"/>
  <c r="CF62" i="1" s="1"/>
  <c r="BX62" i="1"/>
  <c r="BY62" i="1" s="1"/>
  <c r="BR62" i="1"/>
  <c r="AZ62" i="1"/>
  <c r="AV62" i="1"/>
  <c r="AE62" i="1"/>
  <c r="AC62" i="1"/>
  <c r="U62" i="1" s="1"/>
  <c r="DD61" i="1"/>
  <c r="DB61" i="1"/>
  <c r="CE61" i="1"/>
  <c r="CF61" i="1" s="1"/>
  <c r="BX61" i="1"/>
  <c r="BY61" i="1" s="1"/>
  <c r="BR61" i="1"/>
  <c r="AZ61" i="1"/>
  <c r="AV61" i="1"/>
  <c r="AE61" i="1"/>
  <c r="AC61" i="1"/>
  <c r="U61" i="1" s="1"/>
  <c r="AD61" i="1" s="1"/>
  <c r="DD60" i="1"/>
  <c r="DB60" i="1"/>
  <c r="CE60" i="1"/>
  <c r="CF60" i="1" s="1"/>
  <c r="BX60" i="1"/>
  <c r="BY60" i="1" s="1"/>
  <c r="BR60" i="1"/>
  <c r="AZ60" i="1"/>
  <c r="AV60" i="1"/>
  <c r="AE60" i="1"/>
  <c r="AC60" i="1"/>
  <c r="U60" i="1" s="1"/>
  <c r="DB59" i="1"/>
  <c r="CE59" i="1"/>
  <c r="CF59" i="1" s="1"/>
  <c r="BX59" i="1"/>
  <c r="BY59" i="1" s="1"/>
  <c r="BR59" i="1"/>
  <c r="AV59" i="1"/>
  <c r="AE59" i="1"/>
  <c r="AC59" i="1"/>
  <c r="U59" i="1" s="1"/>
  <c r="DB58" i="1"/>
  <c r="CE58" i="1"/>
  <c r="CF58" i="1" s="1"/>
  <c r="BX58" i="1"/>
  <c r="BY58" i="1" s="1"/>
  <c r="BR58" i="1"/>
  <c r="AZ58" i="1"/>
  <c r="AV58" i="1"/>
  <c r="AE58" i="1"/>
  <c r="AC58" i="1"/>
  <c r="U58" i="1" s="1"/>
  <c r="DB57" i="1"/>
  <c r="CE57" i="1"/>
  <c r="CF57" i="1" s="1"/>
  <c r="BX57" i="1"/>
  <c r="BY57" i="1" s="1"/>
  <c r="BR57" i="1"/>
  <c r="AV57" i="1"/>
  <c r="AE57" i="1"/>
  <c r="AC57" i="1"/>
  <c r="U57" i="1" s="1"/>
  <c r="DB56" i="1"/>
  <c r="CE56" i="1"/>
  <c r="CF56" i="1" s="1"/>
  <c r="BX56" i="1"/>
  <c r="BY56" i="1" s="1"/>
  <c r="BR56" i="1"/>
  <c r="AV56" i="1"/>
  <c r="AE56" i="1"/>
  <c r="AC56" i="1"/>
  <c r="U56" i="1" s="1"/>
  <c r="DB55" i="1"/>
  <c r="CE55" i="1"/>
  <c r="CF55" i="1" s="1"/>
  <c r="BX55" i="1"/>
  <c r="BY55" i="1" s="1"/>
  <c r="BR55" i="1"/>
  <c r="AV55" i="1"/>
  <c r="AE55" i="1"/>
  <c r="AC55" i="1"/>
  <c r="U55" i="1" s="1"/>
  <c r="DB54" i="1"/>
  <c r="CE54" i="1"/>
  <c r="CF54" i="1" s="1"/>
  <c r="BX54" i="1"/>
  <c r="BY54" i="1" s="1"/>
  <c r="BR54" i="1"/>
  <c r="AV54" i="1"/>
  <c r="AE54" i="1"/>
  <c r="AC54" i="1"/>
  <c r="U54" i="1" s="1"/>
  <c r="DB53" i="1"/>
  <c r="CE53" i="1"/>
  <c r="CF53" i="1" s="1"/>
  <c r="BR53" i="1"/>
  <c r="AY53" i="1"/>
  <c r="AV53" i="1"/>
  <c r="AE53" i="1"/>
  <c r="AC53" i="1"/>
  <c r="U53" i="1" s="1"/>
  <c r="DB52" i="1"/>
  <c r="CE52" i="1"/>
  <c r="CF52" i="1" s="1"/>
  <c r="BX52" i="1"/>
  <c r="BY52" i="1" s="1"/>
  <c r="BR52" i="1"/>
  <c r="AV52" i="1"/>
  <c r="AE52" i="1"/>
  <c r="AC52" i="1"/>
  <c r="U52" i="1" s="1"/>
  <c r="AD52" i="1" s="1"/>
  <c r="DD51" i="1"/>
  <c r="DB51" i="1"/>
  <c r="CE51" i="1"/>
  <c r="CF51" i="1" s="1"/>
  <c r="BR51" i="1"/>
  <c r="AY51" i="1"/>
  <c r="AV51" i="1"/>
  <c r="AE51" i="1"/>
  <c r="AC51" i="1"/>
  <c r="U51" i="1" s="1"/>
  <c r="V51" i="1" s="1"/>
  <c r="DD50" i="1"/>
  <c r="DB50" i="1"/>
  <c r="CE50" i="1"/>
  <c r="CF50" i="1" s="1"/>
  <c r="BX50" i="1"/>
  <c r="BY50" i="1" s="1"/>
  <c r="BR50" i="1"/>
  <c r="AV50" i="1"/>
  <c r="AE50" i="1"/>
  <c r="AC50" i="1"/>
  <c r="U50" i="1" s="1"/>
  <c r="DD49" i="1"/>
  <c r="DB49" i="1"/>
  <c r="CE49" i="1"/>
  <c r="CF49" i="1" s="1"/>
  <c r="BR49" i="1"/>
  <c r="AV49" i="1"/>
  <c r="AE49" i="1"/>
  <c r="AC49" i="1"/>
  <c r="U49" i="1" s="1"/>
  <c r="DD48" i="1"/>
  <c r="DB48" i="1"/>
  <c r="CE48" i="1"/>
  <c r="CF48" i="1" s="1"/>
  <c r="BY48" i="1"/>
  <c r="BX48" i="1"/>
  <c r="BR48" i="1"/>
  <c r="AV48" i="1"/>
  <c r="AE48" i="1"/>
  <c r="AC48" i="1"/>
  <c r="U48" i="1" s="1"/>
  <c r="DD47" i="1"/>
  <c r="DB47" i="1"/>
  <c r="CE47" i="1"/>
  <c r="CF47" i="1" s="1"/>
  <c r="BX47" i="1"/>
  <c r="BY47" i="1" s="1"/>
  <c r="BR47" i="1"/>
  <c r="AV47" i="1"/>
  <c r="AE47" i="1"/>
  <c r="AC47" i="1"/>
  <c r="U47" i="1" s="1"/>
  <c r="DD46" i="1"/>
  <c r="DB46" i="1"/>
  <c r="CF46" i="1"/>
  <c r="CE46" i="1"/>
  <c r="BX46" i="1"/>
  <c r="BY46" i="1" s="1"/>
  <c r="BR46" i="1"/>
  <c r="AV46" i="1"/>
  <c r="AE46" i="1"/>
  <c r="AC46" i="1"/>
  <c r="U46" i="1" s="1"/>
  <c r="DD45" i="1"/>
  <c r="DB45" i="1"/>
  <c r="CE45" i="1"/>
  <c r="CF45" i="1" s="1"/>
  <c r="BX45" i="1"/>
  <c r="BY45" i="1" s="1"/>
  <c r="BR45" i="1"/>
  <c r="AV45" i="1"/>
  <c r="AE45" i="1"/>
  <c r="AC45" i="1"/>
  <c r="U45" i="1" s="1"/>
  <c r="AD45" i="1" s="1"/>
  <c r="DD44" i="1"/>
  <c r="DB44" i="1"/>
  <c r="CE44" i="1"/>
  <c r="CF44" i="1" s="1"/>
  <c r="BX44" i="1"/>
  <c r="BY44" i="1" s="1"/>
  <c r="BR44" i="1"/>
  <c r="AV44" i="1"/>
  <c r="AE44" i="1"/>
  <c r="AC44" i="1"/>
  <c r="U44" i="1" s="1"/>
  <c r="DD43" i="1"/>
  <c r="DB43" i="1"/>
  <c r="CE43" i="1"/>
  <c r="CF43" i="1" s="1"/>
  <c r="BX43" i="1"/>
  <c r="BY43" i="1" s="1"/>
  <c r="BR43" i="1"/>
  <c r="AV43" i="1"/>
  <c r="AE43" i="1"/>
  <c r="AC43" i="1"/>
  <c r="U43" i="1" s="1"/>
  <c r="AD43" i="1" s="1"/>
  <c r="DD42" i="1"/>
  <c r="DB42" i="1"/>
  <c r="CE42" i="1"/>
  <c r="CF42" i="1" s="1"/>
  <c r="BX42" i="1"/>
  <c r="BY42" i="1" s="1"/>
  <c r="BR42" i="1"/>
  <c r="AV42" i="1"/>
  <c r="AE42" i="1"/>
  <c r="AC42" i="1"/>
  <c r="U42" i="1" s="1"/>
  <c r="DD41" i="1"/>
  <c r="DB41" i="1"/>
  <c r="CE41" i="1"/>
  <c r="CF41" i="1" s="1"/>
  <c r="BY41" i="1"/>
  <c r="BX41" i="1"/>
  <c r="BR41" i="1"/>
  <c r="AV41" i="1"/>
  <c r="AE41" i="1"/>
  <c r="AC41" i="1"/>
  <c r="U41" i="1" s="1"/>
  <c r="DD40" i="1"/>
  <c r="DB40" i="1"/>
  <c r="CE40" i="1"/>
  <c r="CF40" i="1" s="1"/>
  <c r="BX40" i="1"/>
  <c r="BY40" i="1" s="1"/>
  <c r="BR40" i="1"/>
  <c r="AV40" i="1"/>
  <c r="AE40" i="1"/>
  <c r="AC40" i="1"/>
  <c r="U40" i="1" s="1"/>
  <c r="DD39" i="1"/>
  <c r="DB39" i="1"/>
  <c r="CE39" i="1"/>
  <c r="CF39" i="1" s="1"/>
  <c r="BR39" i="1"/>
  <c r="AY39" i="1"/>
  <c r="AV39" i="1"/>
  <c r="AG39" i="1"/>
  <c r="AE39" i="1"/>
  <c r="AC39" i="1"/>
  <c r="U39" i="1" s="1"/>
  <c r="DD38" i="1"/>
  <c r="DB38" i="1"/>
  <c r="CE38" i="1"/>
  <c r="CF38" i="1" s="1"/>
  <c r="BX38" i="1"/>
  <c r="BY38" i="1" s="1"/>
  <c r="BR38" i="1"/>
  <c r="AV38" i="1"/>
  <c r="AE38" i="1"/>
  <c r="AC38" i="1"/>
  <c r="U38" i="1" s="1"/>
  <c r="DD37" i="1"/>
  <c r="DB37" i="1"/>
  <c r="CE37" i="1"/>
  <c r="CF37" i="1" s="1"/>
  <c r="BX37" i="1"/>
  <c r="BY37" i="1" s="1"/>
  <c r="BR37" i="1"/>
  <c r="AV37" i="1"/>
  <c r="AE37" i="1"/>
  <c r="AC37" i="1"/>
  <c r="U37" i="1" s="1"/>
  <c r="AD37" i="1" s="1"/>
  <c r="DD36" i="1"/>
  <c r="DB36" i="1"/>
  <c r="CE36" i="1"/>
  <c r="CF36" i="1" s="1"/>
  <c r="BY36" i="1"/>
  <c r="BX36" i="1"/>
  <c r="BR36" i="1"/>
  <c r="AV36" i="1"/>
  <c r="AE36" i="1"/>
  <c r="AC36" i="1"/>
  <c r="U36" i="1" s="1"/>
  <c r="AD36" i="1" s="1"/>
  <c r="DD35" i="1"/>
  <c r="DB35" i="1"/>
  <c r="CE35" i="1"/>
  <c r="CF35" i="1" s="1"/>
  <c r="BX35" i="1"/>
  <c r="BY35" i="1" s="1"/>
  <c r="BR35" i="1"/>
  <c r="AV35" i="1"/>
  <c r="AE35" i="1"/>
  <c r="AC35" i="1"/>
  <c r="U35" i="1" s="1"/>
  <c r="AD35" i="1" s="1"/>
  <c r="DD34" i="1"/>
  <c r="DB34" i="1"/>
  <c r="CE34" i="1"/>
  <c r="CF34" i="1" s="1"/>
  <c r="BX34" i="1"/>
  <c r="BY34" i="1" s="1"/>
  <c r="BR34" i="1"/>
  <c r="AV34" i="1"/>
  <c r="AE34" i="1"/>
  <c r="AC34" i="1"/>
  <c r="U34" i="1" s="1"/>
  <c r="DD33" i="1"/>
  <c r="DB33" i="1"/>
  <c r="CE33" i="1"/>
  <c r="CF33" i="1" s="1"/>
  <c r="BX33" i="1"/>
  <c r="BY33" i="1" s="1"/>
  <c r="BR33" i="1"/>
  <c r="AV33" i="1"/>
  <c r="AE33" i="1"/>
  <c r="AC33" i="1"/>
  <c r="U33" i="1" s="1"/>
  <c r="V33" i="1" s="1"/>
  <c r="DD32" i="1"/>
  <c r="DB32" i="1"/>
  <c r="CE32" i="1"/>
  <c r="CF32" i="1" s="1"/>
  <c r="BX32" i="1"/>
  <c r="BY32" i="1" s="1"/>
  <c r="BR32" i="1"/>
  <c r="AV32" i="1"/>
  <c r="AE32" i="1"/>
  <c r="AC32" i="1"/>
  <c r="U32" i="1" s="1"/>
  <c r="DD31" i="1"/>
  <c r="DB31" i="1"/>
  <c r="CE31" i="1"/>
  <c r="CF31" i="1" s="1"/>
  <c r="BX31" i="1"/>
  <c r="BY31" i="1" s="1"/>
  <c r="BR31" i="1"/>
  <c r="AV31" i="1"/>
  <c r="AE31" i="1"/>
  <c r="AC31" i="1"/>
  <c r="U31" i="1" s="1"/>
  <c r="V31" i="1" s="1"/>
  <c r="DD30" i="1"/>
  <c r="DB30" i="1"/>
  <c r="CE30" i="1"/>
  <c r="CF30" i="1" s="1"/>
  <c r="BX30" i="1"/>
  <c r="BY30" i="1" s="1"/>
  <c r="BR30" i="1"/>
  <c r="AV30" i="1"/>
  <c r="AE30" i="1"/>
  <c r="AC30" i="1"/>
  <c r="U30" i="1" s="1"/>
  <c r="DD29" i="1"/>
  <c r="DB29" i="1"/>
  <c r="CE29" i="1"/>
  <c r="CF29" i="1" s="1"/>
  <c r="BX29" i="1"/>
  <c r="BY29" i="1" s="1"/>
  <c r="BR29" i="1"/>
  <c r="AV29" i="1"/>
  <c r="AE29" i="1"/>
  <c r="AC29" i="1"/>
  <c r="U29" i="1" s="1"/>
  <c r="DD28" i="1"/>
  <c r="DB28" i="1"/>
  <c r="CE28" i="1"/>
  <c r="CF28" i="1" s="1"/>
  <c r="BX28" i="1"/>
  <c r="BY28" i="1" s="1"/>
  <c r="BR28" i="1"/>
  <c r="AV28" i="1"/>
  <c r="AE28" i="1"/>
  <c r="AC28" i="1"/>
  <c r="U28" i="1" s="1"/>
  <c r="AD28" i="1" s="1"/>
  <c r="DD27" i="1"/>
  <c r="DB27" i="1"/>
  <c r="CE27" i="1"/>
  <c r="CF27" i="1" s="1"/>
  <c r="BX27" i="1"/>
  <c r="BY27" i="1" s="1"/>
  <c r="BR27" i="1"/>
  <c r="AV27" i="1"/>
  <c r="AE27" i="1"/>
  <c r="AC27" i="1"/>
  <c r="U27" i="1" s="1"/>
  <c r="AD27" i="1" s="1"/>
  <c r="DD26" i="1"/>
  <c r="DB26" i="1"/>
  <c r="CE26" i="1"/>
  <c r="CF26" i="1" s="1"/>
  <c r="BX26" i="1"/>
  <c r="BY26" i="1" s="1"/>
  <c r="BR26" i="1"/>
  <c r="AV26" i="1"/>
  <c r="AE26" i="1"/>
  <c r="AC26" i="1"/>
  <c r="U26" i="1" s="1"/>
  <c r="DD25" i="1"/>
  <c r="DB25" i="1"/>
  <c r="CE25" i="1"/>
  <c r="CF25" i="1" s="1"/>
  <c r="BX25" i="1"/>
  <c r="BY25" i="1" s="1"/>
  <c r="BR25" i="1"/>
  <c r="AV25" i="1"/>
  <c r="AE25" i="1"/>
  <c r="AC25" i="1"/>
  <c r="U25" i="1" s="1"/>
  <c r="DD24" i="1"/>
  <c r="DB24" i="1"/>
  <c r="CE24" i="1"/>
  <c r="CF24" i="1" s="1"/>
  <c r="BY24" i="1"/>
  <c r="BX24" i="1"/>
  <c r="BR24" i="1"/>
  <c r="AV24" i="1"/>
  <c r="AE24" i="1"/>
  <c r="AC24" i="1"/>
  <c r="U24" i="1" s="1"/>
  <c r="DD23" i="1"/>
  <c r="DB23" i="1"/>
  <c r="CE23" i="1"/>
  <c r="CF23" i="1" s="1"/>
  <c r="BX23" i="1"/>
  <c r="BY23" i="1" s="1"/>
  <c r="BR23" i="1"/>
  <c r="AV23" i="1"/>
  <c r="AE23" i="1"/>
  <c r="AC23" i="1"/>
  <c r="U23" i="1" s="1"/>
  <c r="V23" i="1" s="1"/>
  <c r="DD22" i="1"/>
  <c r="DB22" i="1"/>
  <c r="CF22" i="1"/>
  <c r="CE22" i="1"/>
  <c r="BX22" i="1"/>
  <c r="BY22" i="1" s="1"/>
  <c r="BR22" i="1"/>
  <c r="AV22" i="1"/>
  <c r="AE22" i="1"/>
  <c r="AC22" i="1"/>
  <c r="U22" i="1" s="1"/>
  <c r="DD21" i="1"/>
  <c r="DB21" i="1"/>
  <c r="CE21" i="1"/>
  <c r="CF21" i="1" s="1"/>
  <c r="BX21" i="1"/>
  <c r="BY21" i="1" s="1"/>
  <c r="BR21" i="1"/>
  <c r="AV21" i="1"/>
  <c r="AE21" i="1"/>
  <c r="AC21" i="1"/>
  <c r="U21" i="1" s="1"/>
  <c r="DD20" i="1"/>
  <c r="DB20" i="1"/>
  <c r="CE20" i="1"/>
  <c r="CF20" i="1" s="1"/>
  <c r="BY20" i="1"/>
  <c r="BX20" i="1"/>
  <c r="BR20" i="1"/>
  <c r="AV20" i="1"/>
  <c r="AE20" i="1"/>
  <c r="AC20" i="1"/>
  <c r="U20" i="1" s="1"/>
  <c r="AD20" i="1" s="1"/>
  <c r="DD19" i="1"/>
  <c r="DB19" i="1"/>
  <c r="CE19" i="1"/>
  <c r="CF19" i="1" s="1"/>
  <c r="BX19" i="1"/>
  <c r="BY19" i="1" s="1"/>
  <c r="BR19" i="1"/>
  <c r="AV19" i="1"/>
  <c r="AE19" i="1"/>
  <c r="AC19" i="1"/>
  <c r="U19" i="1" s="1"/>
  <c r="AD19" i="1" s="1"/>
  <c r="U18" i="1"/>
  <c r="V18" i="1" s="1"/>
  <c r="DD17" i="1"/>
  <c r="DB17" i="1"/>
  <c r="CE17" i="1"/>
  <c r="CF17" i="1" s="1"/>
  <c r="BX17" i="1"/>
  <c r="BY17" i="1" s="1"/>
  <c r="BR17" i="1"/>
  <c r="AV17" i="1"/>
  <c r="AE17" i="1"/>
  <c r="AC17" i="1"/>
  <c r="U17" i="1" s="1"/>
  <c r="AD17" i="1" s="1"/>
  <c r="U16" i="1"/>
  <c r="V16" i="1" s="1"/>
  <c r="I16" i="1"/>
  <c r="AC15" i="1"/>
  <c r="U15" i="1" s="1"/>
  <c r="V15" i="1" s="1"/>
  <c r="BR14" i="1"/>
  <c r="AC14" i="1"/>
  <c r="U14" i="1" s="1"/>
  <c r="V14" i="1" s="1"/>
  <c r="BR13" i="1"/>
  <c r="AC13" i="1"/>
  <c r="U13" i="1"/>
  <c r="V13" i="1" s="1"/>
  <c r="BR12" i="1"/>
  <c r="AC12" i="1"/>
  <c r="U12" i="1" s="1"/>
  <c r="V12" i="1" s="1"/>
  <c r="BR11" i="1"/>
  <c r="AY11" i="1"/>
  <c r="AC11" i="1"/>
  <c r="U11" i="1" s="1"/>
  <c r="V11" i="1" s="1"/>
  <c r="BR10" i="1"/>
  <c r="AC10" i="1"/>
  <c r="U10" i="1" s="1"/>
  <c r="V10" i="1" s="1"/>
  <c r="I10" i="1"/>
  <c r="BR9" i="1"/>
  <c r="AC9" i="1"/>
  <c r="U9" i="1" s="1"/>
  <c r="V9" i="1" s="1"/>
  <c r="BR8" i="1"/>
  <c r="AC8" i="1"/>
  <c r="U8" i="1" s="1"/>
  <c r="V8" i="1"/>
  <c r="BR7" i="1"/>
  <c r="AC7" i="1"/>
  <c r="U7" i="1"/>
  <c r="V7" i="1" s="1"/>
  <c r="I7" i="1"/>
  <c r="BR6" i="1"/>
  <c r="AY6" i="1"/>
  <c r="AC6" i="1"/>
  <c r="U6" i="1"/>
  <c r="V6" i="1" s="1"/>
  <c r="I6" i="1"/>
  <c r="BR5" i="1"/>
  <c r="AY5" i="1"/>
  <c r="AC5" i="1"/>
  <c r="U5" i="1" s="1"/>
  <c r="V5" i="1" s="1"/>
  <c r="I5" i="1"/>
  <c r="BR4" i="1"/>
  <c r="AC4" i="1"/>
  <c r="U4" i="1" s="1"/>
  <c r="V4" i="1" s="1"/>
  <c r="I4" i="1"/>
  <c r="BR3" i="1"/>
  <c r="AC3" i="1"/>
  <c r="U3" i="1" s="1"/>
  <c r="V3" i="1" s="1"/>
  <c r="I3" i="1"/>
  <c r="BR2" i="1"/>
  <c r="AC2" i="1"/>
  <c r="U2" i="1" s="1"/>
  <c r="V2" i="1" s="1"/>
  <c r="AH98" i="1" l="1"/>
  <c r="AH107" i="1"/>
  <c r="AH108" i="1"/>
  <c r="V61" i="1"/>
  <c r="V20" i="1"/>
  <c r="V95" i="1"/>
  <c r="V125" i="1"/>
  <c r="AD142" i="1"/>
  <c r="AD145" i="1"/>
  <c r="AD148" i="1"/>
  <c r="V59" i="1"/>
  <c r="AD59" i="1"/>
  <c r="V147" i="1"/>
  <c r="AD147" i="1"/>
  <c r="AD162" i="1"/>
  <c r="V162" i="1"/>
  <c r="V25" i="1"/>
  <c r="AD25" i="1"/>
  <c r="V26" i="1"/>
  <c r="AD26" i="1"/>
  <c r="AD90" i="1"/>
  <c r="V90" i="1"/>
  <c r="V100" i="1"/>
  <c r="AD100" i="1"/>
  <c r="V137" i="1"/>
  <c r="AD137" i="1"/>
  <c r="V153" i="1"/>
  <c r="AD153" i="1"/>
  <c r="V42" i="1"/>
  <c r="AD42" i="1"/>
  <c r="AD62" i="1"/>
  <c r="V62" i="1"/>
  <c r="V49" i="1"/>
  <c r="AD49" i="1"/>
  <c r="AD24" i="1"/>
  <c r="V24" i="1"/>
  <c r="V34" i="1"/>
  <c r="AD34" i="1"/>
  <c r="V53" i="1"/>
  <c r="AD53" i="1"/>
  <c r="V94" i="1"/>
  <c r="AD94" i="1"/>
  <c r="V149" i="1"/>
  <c r="AD149" i="1"/>
  <c r="AD64" i="1"/>
  <c r="V64" i="1"/>
  <c r="V81" i="1"/>
  <c r="AD81" i="1"/>
  <c r="V106" i="1"/>
  <c r="AD106" i="1"/>
  <c r="V41" i="1"/>
  <c r="AD41" i="1"/>
  <c r="AD60" i="1"/>
  <c r="V60" i="1"/>
  <c r="AD77" i="1"/>
  <c r="V77" i="1"/>
  <c r="V85" i="1"/>
  <c r="AD85" i="1"/>
  <c r="V93" i="1"/>
  <c r="AD93" i="1"/>
  <c r="AD51" i="1"/>
  <c r="AD73" i="1"/>
  <c r="V114" i="1"/>
  <c r="AC138" i="1"/>
  <c r="U138" i="1" s="1"/>
  <c r="V98" i="1"/>
  <c r="V120" i="1"/>
  <c r="V43" i="1"/>
  <c r="V163" i="1"/>
  <c r="V19" i="1"/>
  <c r="AD31" i="1"/>
  <c r="V35" i="1"/>
  <c r="AH105" i="1"/>
  <c r="V22" i="1"/>
  <c r="AD22" i="1"/>
  <c r="AD30" i="1"/>
  <c r="V30" i="1"/>
  <c r="AD47" i="1"/>
  <c r="V47" i="1"/>
  <c r="V27" i="1"/>
  <c r="AD33" i="1"/>
  <c r="AD38" i="1"/>
  <c r="V38" i="1"/>
  <c r="AD48" i="1"/>
  <c r="V48" i="1"/>
  <c r="AD70" i="1"/>
  <c r="V70" i="1"/>
  <c r="V91" i="1"/>
  <c r="AD102" i="1"/>
  <c r="V102" i="1"/>
  <c r="AD113" i="1"/>
  <c r="V113" i="1"/>
  <c r="V119" i="1"/>
  <c r="AD119" i="1"/>
  <c r="AD138" i="1"/>
  <c r="V138" i="1"/>
  <c r="AD65" i="1"/>
  <c r="V65" i="1"/>
  <c r="AD39" i="1"/>
  <c r="V39" i="1"/>
  <c r="AD76" i="1"/>
  <c r="V76" i="1"/>
  <c r="AD105" i="1"/>
  <c r="V105" i="1"/>
  <c r="AD134" i="1"/>
  <c r="V134" i="1"/>
  <c r="AD154" i="1"/>
  <c r="V154" i="1"/>
  <c r="AD40" i="1"/>
  <c r="V40" i="1"/>
  <c r="AD54" i="1"/>
  <c r="V54" i="1"/>
  <c r="V28" i="1"/>
  <c r="V55" i="1"/>
  <c r="AD55" i="1"/>
  <c r="AD56" i="1"/>
  <c r="V56" i="1"/>
  <c r="AD58" i="1"/>
  <c r="V58" i="1"/>
  <c r="V68" i="1"/>
  <c r="AD68" i="1"/>
  <c r="AD74" i="1"/>
  <c r="V74" i="1"/>
  <c r="AD86" i="1"/>
  <c r="V86" i="1"/>
  <c r="V104" i="1"/>
  <c r="AD104" i="1"/>
  <c r="V107" i="1"/>
  <c r="AD107" i="1"/>
  <c r="AD108" i="1"/>
  <c r="V108" i="1"/>
  <c r="AD109" i="1"/>
  <c r="V109" i="1"/>
  <c r="V123" i="1"/>
  <c r="AD161" i="1"/>
  <c r="V161" i="1"/>
  <c r="V164" i="1"/>
  <c r="AD71" i="1"/>
  <c r="V71" i="1"/>
  <c r="AD82" i="1"/>
  <c r="V82" i="1"/>
  <c r="AD101" i="1"/>
  <c r="V101" i="1"/>
  <c r="AD136" i="1"/>
  <c r="V136" i="1"/>
  <c r="V144" i="1"/>
  <c r="AD144" i="1"/>
  <c r="AD151" i="1"/>
  <c r="V151" i="1"/>
  <c r="AD158" i="1"/>
  <c r="V158" i="1"/>
  <c r="V57" i="1"/>
  <c r="AD57" i="1"/>
  <c r="AD32" i="1"/>
  <c r="V32" i="1"/>
  <c r="V44" i="1"/>
  <c r="AD44" i="1"/>
  <c r="AD50" i="1"/>
  <c r="V50" i="1"/>
  <c r="V72" i="1"/>
  <c r="AD72" i="1"/>
  <c r="AD126" i="1"/>
  <c r="V126" i="1"/>
  <c r="AD63" i="1"/>
  <c r="V63" i="1"/>
  <c r="V17" i="1"/>
  <c r="AD23" i="1"/>
  <c r="AD29" i="1"/>
  <c r="V29" i="1"/>
  <c r="V36" i="1"/>
  <c r="AD66" i="1"/>
  <c r="V66" i="1"/>
  <c r="AD79" i="1"/>
  <c r="V79" i="1"/>
  <c r="AD83" i="1"/>
  <c r="V83" i="1"/>
  <c r="V84" i="1"/>
  <c r="AD84" i="1"/>
  <c r="V103" i="1"/>
  <c r="AD103" i="1"/>
  <c r="V115" i="1"/>
  <c r="AD115" i="1"/>
  <c r="AD122" i="1"/>
  <c r="V122" i="1"/>
  <c r="AD139" i="1"/>
  <c r="V139" i="1"/>
  <c r="AD157" i="1"/>
  <c r="V157" i="1"/>
  <c r="AD160" i="1"/>
  <c r="V160" i="1"/>
  <c r="AD21" i="1"/>
  <c r="V21" i="1"/>
  <c r="AD46" i="1"/>
  <c r="V46" i="1"/>
  <c r="V67" i="1"/>
  <c r="AD67" i="1"/>
  <c r="V75" i="1"/>
  <c r="V80" i="1"/>
  <c r="AD80" i="1"/>
  <c r="AD88" i="1"/>
  <c r="V88" i="1"/>
  <c r="V96" i="1"/>
  <c r="AD96" i="1"/>
  <c r="V97" i="1"/>
  <c r="AD121" i="1"/>
  <c r="V121" i="1"/>
  <c r="V135" i="1"/>
  <c r="AD141" i="1"/>
  <c r="V141" i="1"/>
  <c r="AD143" i="1"/>
  <c r="V143" i="1"/>
  <c r="V146" i="1"/>
  <c r="AD146" i="1"/>
  <c r="AD150" i="1"/>
  <c r="V150" i="1"/>
  <c r="AD156" i="1"/>
  <c r="V156" i="1"/>
  <c r="AD99" i="1"/>
  <c r="V99" i="1"/>
  <c r="AD110" i="1"/>
  <c r="V110" i="1"/>
  <c r="AD124" i="1"/>
  <c r="V124" i="1"/>
  <c r="V155" i="1"/>
  <c r="V37" i="1"/>
  <c r="V52" i="1"/>
  <c r="V89" i="1"/>
  <c r="V92" i="1"/>
  <c r="V111" i="1"/>
  <c r="V116" i="1"/>
  <c r="V117" i="1"/>
  <c r="V127" i="1"/>
  <c r="V140" i="1"/>
  <c r="V45" i="1"/>
  <c r="V69" i="1"/>
  <c r="V112" i="1"/>
  <c r="V118" i="1"/>
  <c r="V128" i="1"/>
  <c r="V129" i="1"/>
  <c r="V130" i="1"/>
  <c r="V131" i="1"/>
  <c r="V132" i="1"/>
  <c r="V133" i="1"/>
</calcChain>
</file>

<file path=xl/sharedStrings.xml><?xml version="1.0" encoding="utf-8"?>
<sst xmlns="http://schemas.openxmlformats.org/spreadsheetml/2006/main" count="6866" uniqueCount="1777">
  <si>
    <t>No</t>
    <phoneticPr fontId="4" type="noConversion"/>
  </si>
  <si>
    <t>구분</t>
    <phoneticPr fontId="4" type="noConversion"/>
  </si>
  <si>
    <t>운영</t>
    <phoneticPr fontId="4" type="noConversion"/>
  </si>
  <si>
    <t>계약사</t>
    <phoneticPr fontId="4" type="noConversion"/>
  </si>
  <si>
    <t>책임담당자</t>
    <phoneticPr fontId="4" type="noConversion"/>
  </si>
  <si>
    <t>연락처</t>
    <phoneticPr fontId="4" type="noConversion"/>
  </si>
  <si>
    <t>차종</t>
    <phoneticPr fontId="4" type="noConversion"/>
  </si>
  <si>
    <t>차량 사양</t>
    <phoneticPr fontId="4" type="noConversion"/>
  </si>
  <si>
    <t>차량가</t>
    <phoneticPr fontId="4" type="noConversion"/>
  </si>
  <si>
    <t>연식</t>
    <phoneticPr fontId="4" type="noConversion"/>
  </si>
  <si>
    <t>색상</t>
    <phoneticPr fontId="4" type="noConversion"/>
  </si>
  <si>
    <t>유종</t>
    <phoneticPr fontId="4" type="noConversion"/>
  </si>
  <si>
    <t>차대 번호</t>
    <phoneticPr fontId="4" type="noConversion"/>
  </si>
  <si>
    <t>차량 번호</t>
    <phoneticPr fontId="4" type="noConversion"/>
  </si>
  <si>
    <t>옵션</t>
    <phoneticPr fontId="4" type="noConversion"/>
  </si>
  <si>
    <t>CC</t>
    <phoneticPr fontId="4" type="noConversion"/>
  </si>
  <si>
    <t>등록일</t>
    <phoneticPr fontId="4" type="noConversion"/>
  </si>
  <si>
    <t>계약일</t>
    <phoneticPr fontId="4" type="noConversion"/>
  </si>
  <si>
    <t>인도 날짜</t>
    <phoneticPr fontId="4" type="noConversion"/>
  </si>
  <si>
    <t>렌트 기간(Y)</t>
    <phoneticPr fontId="4" type="noConversion"/>
  </si>
  <si>
    <t>렌트 종료</t>
    <phoneticPr fontId="4" type="noConversion"/>
  </si>
  <si>
    <t>남은 기간</t>
    <phoneticPr fontId="4" type="noConversion"/>
  </si>
  <si>
    <t>운행 거리</t>
    <phoneticPr fontId="4" type="noConversion"/>
  </si>
  <si>
    <t>실무담당자</t>
    <phoneticPr fontId="4" type="noConversion"/>
  </si>
  <si>
    <t>지점</t>
    <phoneticPr fontId="4" type="noConversion"/>
  </si>
  <si>
    <t>출고지 주소</t>
    <phoneticPr fontId="4" type="noConversion"/>
  </si>
  <si>
    <t>렌트료 개시일</t>
    <phoneticPr fontId="4" type="noConversion"/>
  </si>
  <si>
    <t>렌트 기간 일수</t>
    <phoneticPr fontId="4" type="noConversion"/>
  </si>
  <si>
    <t>남은 기간 계산</t>
    <phoneticPr fontId="4" type="noConversion"/>
  </si>
  <si>
    <t>계약번호</t>
    <phoneticPr fontId="4" type="noConversion"/>
  </si>
  <si>
    <t>기본가격</t>
    <phoneticPr fontId="4" type="noConversion"/>
  </si>
  <si>
    <t>할인금액</t>
    <phoneticPr fontId="4" type="noConversion"/>
  </si>
  <si>
    <t>공급가액</t>
    <phoneticPr fontId="4" type="noConversion"/>
  </si>
  <si>
    <t>탁송료</t>
    <phoneticPr fontId="4" type="noConversion"/>
  </si>
  <si>
    <t>의무보험료</t>
    <phoneticPr fontId="4" type="noConversion"/>
  </si>
  <si>
    <t>취득세</t>
    <phoneticPr fontId="4" type="noConversion"/>
  </si>
  <si>
    <t>공채</t>
    <phoneticPr fontId="4" type="noConversion"/>
  </si>
  <si>
    <t>증지대</t>
    <phoneticPr fontId="4" type="noConversion"/>
  </si>
  <si>
    <t>번호판대</t>
    <phoneticPr fontId="4" type="noConversion"/>
  </si>
  <si>
    <t>등록대행료</t>
    <phoneticPr fontId="4" type="noConversion"/>
  </si>
  <si>
    <t>수수료</t>
    <phoneticPr fontId="4" type="noConversion"/>
  </si>
  <si>
    <t>블랙박스</t>
    <phoneticPr fontId="4" type="noConversion"/>
  </si>
  <si>
    <t>블랙박스 정보</t>
    <phoneticPr fontId="4" type="noConversion"/>
  </si>
  <si>
    <t>선팅</t>
    <phoneticPr fontId="4" type="noConversion"/>
  </si>
  <si>
    <t>선팅정보</t>
    <phoneticPr fontId="4" type="noConversion"/>
  </si>
  <si>
    <t>등록비용</t>
    <phoneticPr fontId="4" type="noConversion"/>
  </si>
  <si>
    <t>등록비용2</t>
    <phoneticPr fontId="4" type="noConversion"/>
  </si>
  <si>
    <t>보험 회사</t>
    <phoneticPr fontId="4" type="noConversion"/>
  </si>
  <si>
    <t>보험가입일</t>
    <phoneticPr fontId="4" type="noConversion"/>
  </si>
  <si>
    <t>보험료</t>
    <phoneticPr fontId="4" type="noConversion"/>
  </si>
  <si>
    <t>자차 보험비</t>
    <phoneticPr fontId="4" type="noConversion"/>
  </si>
  <si>
    <t>타이어</t>
    <phoneticPr fontId="4" type="noConversion"/>
  </si>
  <si>
    <t>정기점검</t>
    <phoneticPr fontId="4" type="noConversion"/>
  </si>
  <si>
    <t>운전자 연령</t>
    <phoneticPr fontId="4" type="noConversion"/>
  </si>
  <si>
    <t>대인</t>
    <phoneticPr fontId="4" type="noConversion"/>
  </si>
  <si>
    <t>대물</t>
    <phoneticPr fontId="4" type="noConversion"/>
  </si>
  <si>
    <t>자손</t>
    <phoneticPr fontId="4" type="noConversion"/>
  </si>
  <si>
    <t>무보험차상해</t>
    <phoneticPr fontId="4" type="noConversion"/>
  </si>
  <si>
    <t>고객부담금</t>
    <phoneticPr fontId="4" type="noConversion"/>
  </si>
  <si>
    <t>보험종류</t>
    <phoneticPr fontId="4" type="noConversion"/>
  </si>
  <si>
    <t>긴급출동</t>
    <phoneticPr fontId="4" type="noConversion"/>
  </si>
  <si>
    <t>사고수리</t>
    <phoneticPr fontId="4" type="noConversion"/>
  </si>
  <si>
    <t>일반정비</t>
    <phoneticPr fontId="4" type="noConversion"/>
  </si>
  <si>
    <t>소모품교환</t>
    <phoneticPr fontId="4" type="noConversion"/>
  </si>
  <si>
    <t>타이어 본수</t>
    <phoneticPr fontId="4" type="noConversion"/>
  </si>
  <si>
    <t>타이어비용</t>
    <phoneticPr fontId="4" type="noConversion"/>
  </si>
  <si>
    <t xml:space="preserve">자동차세 </t>
    <phoneticPr fontId="4" type="noConversion"/>
  </si>
  <si>
    <t>차용처</t>
    <phoneticPr fontId="4" type="noConversion"/>
  </si>
  <si>
    <t>실행일</t>
    <phoneticPr fontId="4" type="noConversion"/>
  </si>
  <si>
    <t>할부이용금액</t>
    <phoneticPr fontId="4" type="noConversion"/>
  </si>
  <si>
    <t>기간</t>
    <phoneticPr fontId="4" type="noConversion"/>
  </si>
  <si>
    <t>월할부금</t>
    <phoneticPr fontId="4" type="noConversion"/>
  </si>
  <si>
    <t>월할부금 계</t>
    <phoneticPr fontId="4" type="noConversion"/>
  </si>
  <si>
    <t>총이자</t>
    <phoneticPr fontId="4" type="noConversion"/>
  </si>
  <si>
    <t>이자</t>
    <phoneticPr fontId="4" type="noConversion"/>
  </si>
  <si>
    <t>월 대여료 결제일</t>
    <phoneticPr fontId="4" type="noConversion"/>
  </si>
  <si>
    <t>계산서발행일</t>
    <phoneticPr fontId="4" type="noConversion"/>
  </si>
  <si>
    <t>월 납입금</t>
    <phoneticPr fontId="4" type="noConversion"/>
  </si>
  <si>
    <t>월 납입금 계</t>
    <phoneticPr fontId="4" type="noConversion"/>
  </si>
  <si>
    <t>보증금</t>
    <phoneticPr fontId="4" type="noConversion"/>
  </si>
  <si>
    <t>선수금</t>
    <phoneticPr fontId="4" type="noConversion"/>
  </si>
  <si>
    <t>인수가</t>
    <phoneticPr fontId="4" type="noConversion"/>
  </si>
  <si>
    <t>P</t>
    <phoneticPr fontId="4" type="noConversion"/>
  </si>
  <si>
    <t>범칙금 E-MAIL</t>
    <phoneticPr fontId="4" type="noConversion"/>
  </si>
  <si>
    <t>담당자 휴대전화번호</t>
    <phoneticPr fontId="4" type="noConversion"/>
  </si>
  <si>
    <t>판관비</t>
    <phoneticPr fontId="4" type="noConversion"/>
  </si>
  <si>
    <t>사은품1</t>
    <phoneticPr fontId="4" type="noConversion"/>
  </si>
  <si>
    <t>사은품1_가격</t>
    <phoneticPr fontId="4" type="noConversion"/>
  </si>
  <si>
    <t>사은품2</t>
    <phoneticPr fontId="4" type="noConversion"/>
  </si>
  <si>
    <t>사은품2_가격</t>
    <phoneticPr fontId="4" type="noConversion"/>
  </si>
  <si>
    <t>사은품3</t>
    <phoneticPr fontId="4" type="noConversion"/>
  </si>
  <si>
    <t>사은품3_가격</t>
    <phoneticPr fontId="4" type="noConversion"/>
  </si>
  <si>
    <t>사은품4</t>
    <phoneticPr fontId="4" type="noConversion"/>
  </si>
  <si>
    <t>사은품4_가격</t>
    <phoneticPr fontId="4" type="noConversion"/>
  </si>
  <si>
    <t>사은품5</t>
    <phoneticPr fontId="4" type="noConversion"/>
  </si>
  <si>
    <t>사은품5_가격</t>
    <phoneticPr fontId="4" type="noConversion"/>
  </si>
  <si>
    <t>사은품가격</t>
    <phoneticPr fontId="4" type="noConversion"/>
  </si>
  <si>
    <t>딜러사</t>
    <phoneticPr fontId="4" type="noConversion"/>
  </si>
  <si>
    <t>담당영업사원</t>
    <phoneticPr fontId="4" type="noConversion"/>
  </si>
  <si>
    <t>전시장</t>
    <phoneticPr fontId="4" type="noConversion"/>
  </si>
  <si>
    <t>예금주명</t>
    <phoneticPr fontId="4" type="noConversion"/>
  </si>
  <si>
    <t>은행</t>
    <phoneticPr fontId="4" type="noConversion"/>
  </si>
  <si>
    <t>계좌</t>
    <phoneticPr fontId="4" type="noConversion"/>
  </si>
  <si>
    <t>사업자/주민번호</t>
    <phoneticPr fontId="4" type="noConversion"/>
  </si>
  <si>
    <t>사업자 주소</t>
    <phoneticPr fontId="4" type="noConversion"/>
  </si>
  <si>
    <t>위약금률</t>
    <phoneticPr fontId="4" type="noConversion"/>
  </si>
  <si>
    <t>연체이율</t>
    <phoneticPr fontId="4" type="noConversion"/>
  </si>
  <si>
    <t>법인/식별번호</t>
    <phoneticPr fontId="4" type="noConversion"/>
  </si>
  <si>
    <t>개별소비세(교육세,가산세포함)</t>
    <phoneticPr fontId="4" type="noConversion"/>
  </si>
  <si>
    <t>Ray-029</t>
    <phoneticPr fontId="4" type="noConversion"/>
  </si>
  <si>
    <t>사고대차</t>
    <phoneticPr fontId="4" type="noConversion"/>
  </si>
  <si>
    <t>렌트베네핏/사고대차</t>
    <phoneticPr fontId="4" type="noConversion"/>
  </si>
  <si>
    <t>010-9061-3000</t>
    <phoneticPr fontId="4" type="noConversion"/>
  </si>
  <si>
    <t>Ray</t>
    <phoneticPr fontId="4" type="noConversion"/>
  </si>
  <si>
    <t>스탠다드 A/T</t>
    <phoneticPr fontId="4" type="noConversion"/>
  </si>
  <si>
    <t>White/Black</t>
  </si>
  <si>
    <t>가솔린</t>
    <phoneticPr fontId="4" type="noConversion"/>
  </si>
  <si>
    <t>KNACF911BNT284875</t>
    <phoneticPr fontId="4" type="noConversion"/>
  </si>
  <si>
    <t>101호2192</t>
    <phoneticPr fontId="4" type="noConversion"/>
  </si>
  <si>
    <t>-</t>
    <phoneticPr fontId="4" type="noConversion"/>
  </si>
  <si>
    <t>5</t>
    <phoneticPr fontId="4" type="noConversion"/>
  </si>
  <si>
    <t>이두식</t>
    <phoneticPr fontId="4" type="noConversion"/>
  </si>
  <si>
    <t>엠피온</t>
    <phoneticPr fontId="4" type="noConversion"/>
  </si>
  <si>
    <t>루마 전면 없음/측후면 15%</t>
    <phoneticPr fontId="4" type="noConversion"/>
  </si>
  <si>
    <t>렌터카 공제</t>
  </si>
  <si>
    <t>만26세</t>
    <phoneticPr fontId="4" type="noConversion"/>
  </si>
  <si>
    <t>무한대</t>
    <phoneticPr fontId="4" type="noConversion"/>
  </si>
  <si>
    <t>3억원</t>
    <phoneticPr fontId="4" type="noConversion"/>
  </si>
  <si>
    <t>1억원/1500만</t>
    <phoneticPr fontId="4" type="noConversion"/>
  </si>
  <si>
    <t>2억원/1인당</t>
    <phoneticPr fontId="4" type="noConversion"/>
  </si>
  <si>
    <t>30만원</t>
    <phoneticPr fontId="4" type="noConversion"/>
  </si>
  <si>
    <t>누구나</t>
    <phoneticPr fontId="4" type="noConversion"/>
  </si>
  <si>
    <t>5회/년</t>
    <phoneticPr fontId="4" type="noConversion"/>
  </si>
  <si>
    <t>가입</t>
    <phoneticPr fontId="4" type="noConversion"/>
  </si>
  <si>
    <t>브랜드보증 외 사용자 부담</t>
    <phoneticPr fontId="4" type="noConversion"/>
  </si>
  <si>
    <t>HANKOOK 앞/뒤165 60R14 79H</t>
    <phoneticPr fontId="4" type="noConversion"/>
  </si>
  <si>
    <t>현금</t>
    <phoneticPr fontId="4" type="noConversion"/>
  </si>
  <si>
    <t>주소 없음</t>
    <phoneticPr fontId="4" type="noConversion"/>
  </si>
  <si>
    <t>K5-001</t>
    <phoneticPr fontId="4" type="noConversion"/>
  </si>
  <si>
    <t>K5(H)</t>
    <phoneticPr fontId="4" type="noConversion"/>
  </si>
  <si>
    <t>하이브리드 프레스티지 베스트셀렉션</t>
    <phoneticPr fontId="4" type="noConversion"/>
  </si>
  <si>
    <t>스노우 화이트펄/블랙</t>
    <phoneticPr fontId="4" type="noConversion"/>
  </si>
  <si>
    <t>KNAG741JBTA060814</t>
    <phoneticPr fontId="4" type="noConversion"/>
  </si>
  <si>
    <t>142호9512</t>
    <phoneticPr fontId="4" type="noConversion"/>
  </si>
  <si>
    <t>빌트인 캠2(45만)</t>
    <phoneticPr fontId="4" type="noConversion"/>
  </si>
  <si>
    <t>빌트인캠</t>
    <phoneticPr fontId="4" type="noConversion"/>
  </si>
  <si>
    <t>버텍스 전면 35%/1열 15%, 2열, 후면 5%</t>
    <phoneticPr fontId="4" type="noConversion"/>
  </si>
  <si>
    <t>K5-002</t>
    <phoneticPr fontId="4" type="noConversion"/>
  </si>
  <si>
    <t>KNAG741JBTA061764</t>
    <phoneticPr fontId="4" type="noConversion"/>
  </si>
  <si>
    <t>142호9554</t>
    <phoneticPr fontId="4" type="noConversion"/>
  </si>
  <si>
    <t>K8-007</t>
    <phoneticPr fontId="4" type="noConversion"/>
  </si>
  <si>
    <t>010-2294-7638</t>
    <phoneticPr fontId="4" type="noConversion"/>
  </si>
  <si>
    <t>K8</t>
    <phoneticPr fontId="4" type="noConversion"/>
  </si>
  <si>
    <t>노블레스 2.5</t>
    <phoneticPr fontId="4" type="noConversion"/>
  </si>
  <si>
    <t>인터스텔라 그레이/블랙 원톤</t>
    <phoneticPr fontId="4" type="noConversion"/>
  </si>
  <si>
    <t>KNAM241BBRA072481</t>
    <phoneticPr fontId="4" type="noConversion"/>
  </si>
  <si>
    <t>125호8766</t>
    <phoneticPr fontId="4" type="noConversion"/>
  </si>
  <si>
    <t>김경무</t>
    <phoneticPr fontId="4" type="noConversion"/>
  </si>
  <si>
    <t>렌터카 공제</t>
    <phoneticPr fontId="4" type="noConversion"/>
  </si>
  <si>
    <t>NEXEN 225/55R17</t>
    <phoneticPr fontId="4" type="noConversion"/>
  </si>
  <si>
    <t>K8-008</t>
    <phoneticPr fontId="4" type="noConversion"/>
  </si>
  <si>
    <t>조아림 고객님</t>
    <phoneticPr fontId="4" type="noConversion"/>
  </si>
  <si>
    <t>KNAM241BBSA081789</t>
    <phoneticPr fontId="4" type="noConversion"/>
  </si>
  <si>
    <t>142호4328</t>
    <phoneticPr fontId="4" type="noConversion"/>
  </si>
  <si>
    <t>드라이브 와이즈(109만), 프리미엄(109만), 헤드업 디스플레이(84만)</t>
    <phoneticPr fontId="4" type="noConversion"/>
  </si>
  <si>
    <t>아이나비 Z7000</t>
    <phoneticPr fontId="4" type="noConversion"/>
  </si>
  <si>
    <t>Sorento-001</t>
    <phoneticPr fontId="4" type="noConversion"/>
  </si>
  <si>
    <t>Sorento(H)</t>
    <phoneticPr fontId="4" type="noConversion"/>
  </si>
  <si>
    <t>HEV 2WD 시그니처 5인승</t>
    <phoneticPr fontId="4" type="noConversion"/>
  </si>
  <si>
    <t>스노우 화이트펄/올리브 브라운</t>
    <phoneticPr fontId="4" type="noConversion"/>
  </si>
  <si>
    <t>KNARK81GBTA477468</t>
    <phoneticPr fontId="4" type="noConversion"/>
  </si>
  <si>
    <t>142호9209</t>
    <phoneticPr fontId="4" type="noConversion"/>
  </si>
  <si>
    <t>드라이브 와이즈 (129만), 스마트 커넥트 (70만), 스노우 화이트펄 외장컬러 (8만), 19인치 휠 (30만)</t>
    <phoneticPr fontId="4" type="noConversion"/>
  </si>
  <si>
    <t>Grander-007</t>
    <phoneticPr fontId="4" type="noConversion"/>
  </si>
  <si>
    <t>그랜저(H)</t>
    <phoneticPr fontId="4" type="noConversion"/>
  </si>
  <si>
    <t>1.6T 프리미엄 2WD 2026</t>
    <phoneticPr fontId="4" type="noConversion"/>
  </si>
  <si>
    <t>세레니티 화이트 펄/인디고/브라운투톤</t>
    <phoneticPr fontId="4" type="noConversion"/>
  </si>
  <si>
    <t>KMHN1411BTA133385</t>
    <phoneticPr fontId="4" type="noConversion"/>
  </si>
  <si>
    <t>142호9185</t>
    <phoneticPr fontId="4" type="noConversion"/>
  </si>
  <si>
    <t>파킹어시스트(143만), 플래티넘(129만), 현대스마트센스(84만)</t>
    <phoneticPr fontId="4" type="noConversion"/>
  </si>
  <si>
    <t>버텍스 전면 35%/측후면 15%</t>
    <phoneticPr fontId="4" type="noConversion"/>
  </si>
  <si>
    <t>G80-003</t>
    <phoneticPr fontId="4" type="noConversion"/>
  </si>
  <si>
    <t>G80</t>
    <phoneticPr fontId="4" type="noConversion"/>
  </si>
  <si>
    <t>3.5T AWD</t>
    <phoneticPr fontId="4" type="noConversion"/>
  </si>
  <si>
    <t>비크블랙/브라운</t>
    <phoneticPr fontId="4" type="noConversion"/>
  </si>
  <si>
    <t>KMTGC41DDPU167545</t>
    <phoneticPr fontId="4" type="noConversion"/>
  </si>
  <si>
    <t>125호5289</t>
    <phoneticPr fontId="4" type="noConversion"/>
  </si>
  <si>
    <t>5억</t>
    <phoneticPr fontId="4" type="noConversion"/>
  </si>
  <si>
    <t>2억/3천만</t>
    <phoneticPr fontId="4" type="noConversion"/>
  </si>
  <si>
    <t>50만원</t>
    <phoneticPr fontId="4" type="noConversion"/>
  </si>
  <si>
    <t>GV80-005</t>
    <phoneticPr fontId="4" type="noConversion"/>
  </si>
  <si>
    <t>GV80</t>
    <phoneticPr fontId="4" type="noConversion"/>
  </si>
  <si>
    <t>2.5T AWD 19인치 SDS1</t>
    <phoneticPr fontId="4" type="noConversion"/>
  </si>
  <si>
    <t>비크블랙 / 스모키그린(어스브라운 시트)</t>
    <phoneticPr fontId="4" type="noConversion"/>
  </si>
  <si>
    <t>KMTHA81BDTU313089</t>
    <phoneticPr fontId="4" type="noConversion"/>
  </si>
  <si>
    <t>142호9513</t>
    <phoneticPr fontId="4" type="noConversion"/>
  </si>
  <si>
    <t>드라이빙 어시스턴스 패키지2(270만), 드라이빙 어시스턴스 패키지(195만), 헤드업디스플레이130만)</t>
    <phoneticPr fontId="4" type="noConversion"/>
  </si>
  <si>
    <t>Benz-005</t>
    <phoneticPr fontId="4" type="noConversion"/>
  </si>
  <si>
    <t>010-2723-6802</t>
    <phoneticPr fontId="4" type="noConversion"/>
  </si>
  <si>
    <t>E350</t>
    <phoneticPr fontId="4" type="noConversion"/>
  </si>
  <si>
    <t>4M</t>
    <phoneticPr fontId="4" type="noConversion"/>
  </si>
  <si>
    <t>PW/Bl</t>
  </si>
  <si>
    <t>W1KZF8GB6MB003853</t>
    <phoneticPr fontId="4" type="noConversion"/>
  </si>
  <si>
    <t>125호2370</t>
    <phoneticPr fontId="4" type="noConversion"/>
  </si>
  <si>
    <t>이지혜 고객님</t>
    <phoneticPr fontId="4" type="noConversion"/>
  </si>
  <si>
    <t>벤츠블랙박스</t>
    <phoneticPr fontId="4" type="noConversion"/>
  </si>
  <si>
    <t>후푸옵틱 측후면 15% 전면 50%</t>
  </si>
  <si>
    <t>GV80-003_1</t>
    <phoneticPr fontId="4" type="noConversion"/>
  </si>
  <si>
    <t>계약변경</t>
    <phoneticPr fontId="4" type="noConversion"/>
  </si>
  <si>
    <t>류형선 회장님</t>
    <phoneticPr fontId="4" type="noConversion"/>
  </si>
  <si>
    <t>010-5245-5206</t>
    <phoneticPr fontId="4" type="noConversion"/>
  </si>
  <si>
    <t>3.5T 22인치 SDS2 AWD 25MY 5인승</t>
    <phoneticPr fontId="4" type="noConversion"/>
  </si>
  <si>
    <t>비크블랙/슬레이트그레이/보르도브라운/올리브애쉬</t>
    <phoneticPr fontId="4" type="noConversion"/>
  </si>
  <si>
    <t>KMTHC81CDSU296247</t>
    <phoneticPr fontId="4" type="noConversion"/>
  </si>
  <si>
    <t>142호4378</t>
    <phoneticPr fontId="4" type="noConversion"/>
  </si>
  <si>
    <t>컨비니언스패키지(255만),파퓰러패키지(5인승AWD)(540만),파노라마썬루프(140만),뱅앤올룹슨사운드패키지(190만),빌트인캠패키지(85만), 2열컴포트패키지(260만)</t>
    <phoneticPr fontId="4" type="noConversion"/>
  </si>
  <si>
    <t>변종규 주임님</t>
    <phoneticPr fontId="4" type="noConversion"/>
  </si>
  <si>
    <t>010-6695-2708</t>
    <phoneticPr fontId="4" type="noConversion"/>
  </si>
  <si>
    <t>Benz-021</t>
    <phoneticPr fontId="4" type="noConversion"/>
  </si>
  <si>
    <t>E450</t>
    <phoneticPr fontId="4" type="noConversion"/>
  </si>
  <si>
    <t>4M EX</t>
    <phoneticPr fontId="4" type="noConversion"/>
  </si>
  <si>
    <t>그라파이트 그레이/브라운</t>
    <phoneticPr fontId="4" type="noConversion"/>
  </si>
  <si>
    <t>W1KZF5KB7PB136714</t>
    <phoneticPr fontId="4" type="noConversion"/>
  </si>
  <si>
    <t>142호2282</t>
    <phoneticPr fontId="4" type="noConversion"/>
  </si>
  <si>
    <t>Benz-023</t>
    <phoneticPr fontId="4" type="noConversion"/>
  </si>
  <si>
    <t>대표님 차량</t>
    <phoneticPr fontId="4" type="noConversion"/>
  </si>
  <si>
    <t>S400d</t>
    <phoneticPr fontId="4" type="noConversion"/>
  </si>
  <si>
    <t>4MATIC</t>
    <phoneticPr fontId="4" type="noConversion"/>
  </si>
  <si>
    <t>Diamond white / 804-Nappa leather sienna brown / black</t>
    <phoneticPr fontId="4" type="noConversion"/>
  </si>
  <si>
    <t>디젤</t>
    <phoneticPr fontId="4" type="noConversion"/>
  </si>
  <si>
    <t>W1K6F3DB2NA094248</t>
    <phoneticPr fontId="4" type="noConversion"/>
  </si>
  <si>
    <t>240조7789</t>
    <phoneticPr fontId="4" type="noConversion"/>
  </si>
  <si>
    <t>현대</t>
    <phoneticPr fontId="4" type="noConversion"/>
  </si>
  <si>
    <t>Benz-026</t>
    <phoneticPr fontId="4" type="noConversion"/>
  </si>
  <si>
    <t>S500</t>
    <phoneticPr fontId="4" type="noConversion"/>
  </si>
  <si>
    <t>W1K6G6DB7SA334565</t>
    <phoneticPr fontId="4" type="noConversion"/>
  </si>
  <si>
    <t>142호9168</t>
    <phoneticPr fontId="4" type="noConversion"/>
  </si>
  <si>
    <t>Sportage-002</t>
    <phoneticPr fontId="4" type="noConversion"/>
  </si>
  <si>
    <t>스포티지(H)</t>
    <phoneticPr fontId="4" type="noConversion"/>
  </si>
  <si>
    <t>2WD 노블레스</t>
    <phoneticPr fontId="4" type="noConversion"/>
  </si>
  <si>
    <t>스노우 화이트 펄/브라운 투톤</t>
    <phoneticPr fontId="4" type="noConversion"/>
  </si>
  <si>
    <t>KNAPW81GBTK395645</t>
    <phoneticPr fontId="4" type="noConversion"/>
  </si>
  <si>
    <t>151호1416</t>
    <phoneticPr fontId="4" type="noConversion"/>
  </si>
  <si>
    <t>Ray-001</t>
    <phoneticPr fontId="4" type="noConversion"/>
  </si>
  <si>
    <t>장기렌트</t>
    <phoneticPr fontId="4" type="noConversion"/>
  </si>
  <si>
    <t>신흥정보통신㈜_1</t>
    <phoneticPr fontId="4" type="noConversion"/>
  </si>
  <si>
    <t>이종희 이사님</t>
    <phoneticPr fontId="4" type="noConversion"/>
  </si>
  <si>
    <t>010-3214-0636</t>
    <phoneticPr fontId="4" type="noConversion"/>
  </si>
  <si>
    <t>Ray Van</t>
    <phoneticPr fontId="4" type="noConversion"/>
  </si>
  <si>
    <t>KNACF911BNT283289</t>
  </si>
  <si>
    <t>101호2182</t>
    <phoneticPr fontId="4" type="noConversion"/>
  </si>
  <si>
    <t>이성호</t>
  </si>
  <si>
    <t>010-9698-0404</t>
  </si>
  <si>
    <t>경광주</t>
  </si>
  <si>
    <t>경기도 광주시 중앙로 144 (경안동, KT광주지점) 3층 신흥정보통신</t>
  </si>
  <si>
    <t>2억원</t>
    <phoneticPr fontId="4" type="noConversion"/>
  </si>
  <si>
    <t>임직원</t>
    <phoneticPr fontId="4" type="noConversion"/>
  </si>
  <si>
    <t>미가입</t>
    <phoneticPr fontId="4" type="noConversion"/>
  </si>
  <si>
    <t>HANKOOK 앞/뒤165 60R14 79H 32만원/18/4</t>
    <phoneticPr fontId="4" type="noConversion"/>
  </si>
  <si>
    <t>jhlee@shtel.co.kr</t>
    <phoneticPr fontId="4" type="noConversion"/>
  </si>
  <si>
    <t>정수원 실장</t>
    <phoneticPr fontId="4" type="noConversion"/>
  </si>
  <si>
    <t>206-85-09469</t>
  </si>
  <si>
    <t>Benz-027</t>
    <phoneticPr fontId="4" type="noConversion"/>
  </si>
  <si>
    <t>거래완료</t>
    <phoneticPr fontId="4" type="noConversion"/>
  </si>
  <si>
    <t>G450d</t>
    <phoneticPr fontId="4" type="noConversion"/>
  </si>
  <si>
    <t>BLACK/BROWN</t>
    <phoneticPr fontId="4" type="noConversion"/>
  </si>
  <si>
    <t>W1NWC1AB4TX071682</t>
    <phoneticPr fontId="4" type="noConversion"/>
  </si>
  <si>
    <t>142호9268</t>
    <phoneticPr fontId="4" type="noConversion"/>
  </si>
  <si>
    <t>Ray-002</t>
    <phoneticPr fontId="4" type="noConversion"/>
  </si>
  <si>
    <t>신흥정보통신㈜_2</t>
    <phoneticPr fontId="4" type="noConversion"/>
  </si>
  <si>
    <t>KNACF911BNT282816</t>
  </si>
  <si>
    <t>101호2165</t>
    <phoneticPr fontId="4" type="noConversion"/>
  </si>
  <si>
    <t>이진근</t>
  </si>
  <si>
    <t>010-7234-1114</t>
  </si>
  <si>
    <t>동두천</t>
  </si>
  <si>
    <t>경기도 동두천시 중앙로 260 (생연동) KT 동두천지점 2층 신흥정보통신</t>
  </si>
  <si>
    <t>Ray-003</t>
    <phoneticPr fontId="4" type="noConversion"/>
  </si>
  <si>
    <t>신흥정보통신㈜_3</t>
    <phoneticPr fontId="4" type="noConversion"/>
  </si>
  <si>
    <t>KNACF911BNT282750</t>
  </si>
  <si>
    <t>101호2175</t>
    <phoneticPr fontId="4" type="noConversion"/>
  </si>
  <si>
    <t>Ray-004</t>
    <phoneticPr fontId="4" type="noConversion"/>
  </si>
  <si>
    <t>신흥정보통신㈜_4</t>
    <phoneticPr fontId="4" type="noConversion"/>
  </si>
  <si>
    <t>KNACF911BNT283278</t>
  </si>
  <si>
    <t>101호2174</t>
    <phoneticPr fontId="4" type="noConversion"/>
  </si>
  <si>
    <t>이진근</t>
    <phoneticPr fontId="4" type="noConversion"/>
  </si>
  <si>
    <t>경기도 동두천시 중앙로 260 (생연동) KT 동두천지점 2층 신흥정보통신</t>
    <phoneticPr fontId="4" type="noConversion"/>
  </si>
  <si>
    <t>Ray-005</t>
    <phoneticPr fontId="4" type="noConversion"/>
  </si>
  <si>
    <t>신흥정보통신㈜_5</t>
    <phoneticPr fontId="4" type="noConversion"/>
  </si>
  <si>
    <t>KNACF911BNT283303</t>
  </si>
  <si>
    <t>101호2164</t>
    <phoneticPr fontId="4" type="noConversion"/>
  </si>
  <si>
    <t>Ray-006</t>
    <phoneticPr fontId="4" type="noConversion"/>
  </si>
  <si>
    <t>신흥정보통신㈜_6</t>
    <phoneticPr fontId="4" type="noConversion"/>
  </si>
  <si>
    <t>KNACF911BNT283296</t>
  </si>
  <si>
    <t>125호8641</t>
    <phoneticPr fontId="4" type="noConversion"/>
  </si>
  <si>
    <t>Ray-007</t>
    <phoneticPr fontId="4" type="noConversion"/>
  </si>
  <si>
    <t>신흥정보통신㈜_7</t>
    <phoneticPr fontId="4" type="noConversion"/>
  </si>
  <si>
    <t>KNACF911BNT283313</t>
  </si>
  <si>
    <t>101호2173</t>
    <phoneticPr fontId="4" type="noConversion"/>
  </si>
  <si>
    <t>이성호</t>
    <phoneticPr fontId="4" type="noConversion"/>
  </si>
  <si>
    <t>Ray-008</t>
    <phoneticPr fontId="4" type="noConversion"/>
  </si>
  <si>
    <t>신흥정보통신㈜_8</t>
    <phoneticPr fontId="4" type="noConversion"/>
  </si>
  <si>
    <t>KNACF911BNT283348</t>
  </si>
  <si>
    <t>101호2163</t>
    <phoneticPr fontId="4" type="noConversion"/>
  </si>
  <si>
    <t>이석환</t>
    <phoneticPr fontId="4" type="noConversion"/>
  </si>
  <si>
    <t>010-3408-0977</t>
  </si>
  <si>
    <t>동래</t>
  </si>
  <si>
    <t>부산광역시 동래구 사직북로48번길 127 (온천동, KT미남지점) 2층 신흥정보통신</t>
  </si>
  <si>
    <t>Ray-009</t>
    <phoneticPr fontId="4" type="noConversion"/>
  </si>
  <si>
    <t>신흥정보통신㈜_9</t>
    <phoneticPr fontId="4" type="noConversion"/>
  </si>
  <si>
    <t>KNACF911BNT283350</t>
  </si>
  <si>
    <t>101호2167</t>
    <phoneticPr fontId="4" type="noConversion"/>
  </si>
  <si>
    <t>Ray-010</t>
    <phoneticPr fontId="4" type="noConversion"/>
  </si>
  <si>
    <t>신흥정보통신㈜_10</t>
    <phoneticPr fontId="4" type="noConversion"/>
  </si>
  <si>
    <t>KNACF911BNT283362</t>
  </si>
  <si>
    <t>101호2176</t>
    <phoneticPr fontId="4" type="noConversion"/>
  </si>
  <si>
    <t>이석환</t>
  </si>
  <si>
    <t>Ray-011</t>
    <phoneticPr fontId="4" type="noConversion"/>
  </si>
  <si>
    <t>신흥정보통신㈜_11</t>
    <phoneticPr fontId="4" type="noConversion"/>
  </si>
  <si>
    <t>KNACF911BNT283365</t>
  </si>
  <si>
    <t>101호2177</t>
    <phoneticPr fontId="4" type="noConversion"/>
  </si>
  <si>
    <t>김상덕</t>
  </si>
  <si>
    <t>010-9800-0189</t>
  </si>
  <si>
    <t>서부산</t>
  </si>
  <si>
    <t>부산광역시 중구 중앙대로 136 (중앙동, KT중부산지사) 3층 신흥정보통신</t>
  </si>
  <si>
    <t>Ray-012</t>
    <phoneticPr fontId="4" type="noConversion"/>
  </si>
  <si>
    <t>신흥정보통신㈜_12</t>
    <phoneticPr fontId="4" type="noConversion"/>
  </si>
  <si>
    <t>KNACF911BNT283427</t>
  </si>
  <si>
    <t>101호2178</t>
    <phoneticPr fontId="4" type="noConversion"/>
  </si>
  <si>
    <t>김지호</t>
  </si>
  <si>
    <t>010-9608-8884</t>
  </si>
  <si>
    <t>구봉</t>
  </si>
  <si>
    <t>대전광역시 서구 관저북로 6 (관저동) KT구봉지점 2층 신흥정보통신</t>
  </si>
  <si>
    <t>Ray-013</t>
    <phoneticPr fontId="4" type="noConversion"/>
  </si>
  <si>
    <t>신흥정보통신㈜_13</t>
    <phoneticPr fontId="4" type="noConversion"/>
  </si>
  <si>
    <t>KNACF911BNT283366</t>
  </si>
  <si>
    <t>101호2168</t>
    <phoneticPr fontId="4" type="noConversion"/>
  </si>
  <si>
    <t>Ray-014</t>
    <phoneticPr fontId="4" type="noConversion"/>
  </si>
  <si>
    <t>신흥정보통신㈜_14</t>
    <phoneticPr fontId="4" type="noConversion"/>
  </si>
  <si>
    <t>KNACF911BNT283483</t>
  </si>
  <si>
    <t>101호2169</t>
    <phoneticPr fontId="4" type="noConversion"/>
  </si>
  <si>
    <t>남진한</t>
  </si>
  <si>
    <t>010-3479-8628</t>
  </si>
  <si>
    <t>서대전</t>
  </si>
  <si>
    <t>대전광역시 서구 괴정로 72 (괴정동) KT서대전지사 2층 신흥정보통신</t>
  </si>
  <si>
    <t>Ray-015</t>
    <phoneticPr fontId="4" type="noConversion"/>
  </si>
  <si>
    <t>신흥정보통신㈜_15</t>
    <phoneticPr fontId="4" type="noConversion"/>
  </si>
  <si>
    <t>KNACF911BNT283551</t>
  </si>
  <si>
    <t>101호2171</t>
    <phoneticPr fontId="4" type="noConversion"/>
  </si>
  <si>
    <t>Ray-016</t>
    <phoneticPr fontId="4" type="noConversion"/>
  </si>
  <si>
    <t>신흥정보통신㈜_16</t>
    <phoneticPr fontId="4" type="noConversion"/>
  </si>
  <si>
    <t>KNACF911BNT283500</t>
  </si>
  <si>
    <t>101호2172</t>
    <phoneticPr fontId="4" type="noConversion"/>
  </si>
  <si>
    <t>Ray-017</t>
    <phoneticPr fontId="4" type="noConversion"/>
  </si>
  <si>
    <t>신흥정보통신㈜_17</t>
    <phoneticPr fontId="4" type="noConversion"/>
  </si>
  <si>
    <t>KNACF911BNT283506</t>
  </si>
  <si>
    <t>101호2181</t>
    <phoneticPr fontId="4" type="noConversion"/>
  </si>
  <si>
    <t>Ray-018</t>
    <phoneticPr fontId="4" type="noConversion"/>
  </si>
  <si>
    <t>신흥정보통신㈜_18</t>
    <phoneticPr fontId="4" type="noConversion"/>
  </si>
  <si>
    <t>KNACF911BNT283604</t>
  </si>
  <si>
    <t>101호2170</t>
    <phoneticPr fontId="4" type="noConversion"/>
  </si>
  <si>
    <t>심재화</t>
  </si>
  <si>
    <t>010-3456-8940</t>
  </si>
  <si>
    <t>괴산</t>
  </si>
  <si>
    <t>충청북도 괴산군 괴산읍 읍내로6길 24 (괴산읍, KT괴산지점) 2층 신흥정보통신</t>
  </si>
  <si>
    <t>Ray-019</t>
    <phoneticPr fontId="4" type="noConversion"/>
  </si>
  <si>
    <t>신흥정보통신㈜_19</t>
    <phoneticPr fontId="4" type="noConversion"/>
  </si>
  <si>
    <t>KNACF911BNT283689</t>
  </si>
  <si>
    <t>101호2179</t>
    <phoneticPr fontId="4" type="noConversion"/>
  </si>
  <si>
    <t>김석기</t>
  </si>
  <si>
    <t>010-9582-0977</t>
  </si>
  <si>
    <t>청주</t>
  </si>
  <si>
    <t>충청북도 청주시 서원구 1순환로1063번길 12 (분평동, KT)  KT남청주지점 1층 신흥정보통신</t>
  </si>
  <si>
    <t>Ray-020</t>
    <phoneticPr fontId="4" type="noConversion"/>
  </si>
  <si>
    <t>신흥정보통신㈜_20</t>
    <phoneticPr fontId="4" type="noConversion"/>
  </si>
  <si>
    <t>KNACF911BNT283605</t>
  </si>
  <si>
    <t>101호2180</t>
    <phoneticPr fontId="4" type="noConversion"/>
  </si>
  <si>
    <t>남청주</t>
  </si>
  <si>
    <t>Ray-034</t>
    <phoneticPr fontId="4" type="noConversion"/>
  </si>
  <si>
    <t>㈜한일티엔에스</t>
    <phoneticPr fontId="4" type="noConversion"/>
  </si>
  <si>
    <t>김동은 사장님</t>
    <phoneticPr fontId="4" type="noConversion"/>
  </si>
  <si>
    <t>010-6236-7466</t>
    <phoneticPr fontId="4" type="noConversion"/>
  </si>
  <si>
    <t>KNACF911BNT284065</t>
    <phoneticPr fontId="4" type="noConversion"/>
  </si>
  <si>
    <t>101호2197</t>
    <phoneticPr fontId="4" type="noConversion"/>
  </si>
  <si>
    <t>김광덕 대표님</t>
    <phoneticPr fontId="4" type="noConversion"/>
  </si>
  <si>
    <t>서울시 동대문구 천호대로 75길 30-1, 1층(답시리동)</t>
    <phoneticPr fontId="4" type="noConversion"/>
  </si>
  <si>
    <t>25</t>
    <phoneticPr fontId="4" type="noConversion"/>
  </si>
  <si>
    <t>hanilled@hanmail.net</t>
    <phoneticPr fontId="4" type="noConversion"/>
  </si>
  <si>
    <t>tnshanil@hometax.go.kr</t>
    <phoneticPr fontId="4" type="noConversion"/>
  </si>
  <si>
    <t>604-86-02503</t>
    <phoneticPr fontId="4" type="noConversion"/>
  </si>
  <si>
    <t>Benz-003_1</t>
    <phoneticPr fontId="4" type="noConversion"/>
  </si>
  <si>
    <t>법무법인(유)화우</t>
    <phoneticPr fontId="4" type="noConversion"/>
  </si>
  <si>
    <t xml:space="preserve"> 방기태 변호사님</t>
    <phoneticPr fontId="4" type="noConversion"/>
  </si>
  <si>
    <t>010-8216-3340</t>
    <phoneticPr fontId="4" type="noConversion"/>
  </si>
  <si>
    <t>GLE450</t>
    <phoneticPr fontId="4" type="noConversion"/>
  </si>
  <si>
    <t xml:space="preserve">Obsidian Black/Leather black </t>
    <phoneticPr fontId="4" type="noConversion"/>
  </si>
  <si>
    <t>W1NFB5KB2MA564614</t>
    <phoneticPr fontId="4" type="noConversion"/>
  </si>
  <si>
    <t>125호2333</t>
    <phoneticPr fontId="4" type="noConversion"/>
  </si>
  <si>
    <t>3</t>
    <phoneticPr fontId="4" type="noConversion"/>
  </si>
  <si>
    <t>청담전시장</t>
    <phoneticPr fontId="4" type="noConversion"/>
  </si>
  <si>
    <t>Bridge stone 앞,뒤 275 50R / 20</t>
    <phoneticPr fontId="4" type="noConversion"/>
  </si>
  <si>
    <t>메리츠캐피탈</t>
    <phoneticPr fontId="4" type="noConversion"/>
  </si>
  <si>
    <t>36</t>
    <phoneticPr fontId="4" type="noConversion"/>
  </si>
  <si>
    <t>15</t>
    <phoneticPr fontId="4" type="noConversion"/>
  </si>
  <si>
    <t>kjk@yoonyang.com</t>
    <phoneticPr fontId="4" type="noConversion"/>
  </si>
  <si>
    <t>sjk@hwawoo.com</t>
    <phoneticPr fontId="4" type="noConversion"/>
  </si>
  <si>
    <t>정원철 부장</t>
    <phoneticPr fontId="4" type="noConversion"/>
  </si>
  <si>
    <t>120-86-47851</t>
    <phoneticPr fontId="4" type="noConversion"/>
  </si>
  <si>
    <t>Ray-021</t>
  </si>
  <si>
    <t>(주)대경인트라넷_1</t>
    <phoneticPr fontId="4" type="noConversion"/>
  </si>
  <si>
    <t>이강열 대표님</t>
    <phoneticPr fontId="4" type="noConversion"/>
  </si>
  <si>
    <t>010-9096-7767</t>
  </si>
  <si>
    <t>KNACF911BNT283749</t>
    <phoneticPr fontId="4" type="noConversion"/>
  </si>
  <si>
    <t>101호2184</t>
    <phoneticPr fontId="4" type="noConversion"/>
  </si>
  <si>
    <t>김미현 팀장님</t>
    <phoneticPr fontId="4" type="noConversion"/>
  </si>
  <si>
    <t>경기도 시흥시 계수로 213(주식회사 대경인트라넷)</t>
    <phoneticPr fontId="4" type="noConversion"/>
  </si>
  <si>
    <t>mhgood45@dkin.co.kr</t>
    <phoneticPr fontId="4" type="noConversion"/>
  </si>
  <si>
    <t>신한은행</t>
    <phoneticPr fontId="4" type="noConversion"/>
  </si>
  <si>
    <t>140-011-847556</t>
    <phoneticPr fontId="4" type="noConversion"/>
  </si>
  <si>
    <t>206-81-25404</t>
    <phoneticPr fontId="4" type="noConversion"/>
  </si>
  <si>
    <t>서울특별시 구로구 오리로17길 70, 지층-2(궁동)</t>
    <phoneticPr fontId="4" type="noConversion"/>
  </si>
  <si>
    <t>Ray-028</t>
    <phoneticPr fontId="4" type="noConversion"/>
  </si>
  <si>
    <t>주식회사 동천에스씨</t>
    <phoneticPr fontId="4" type="noConversion"/>
  </si>
  <si>
    <t>양공식 대표님</t>
    <phoneticPr fontId="4" type="noConversion"/>
  </si>
  <si>
    <t>KNACF911BNT283783</t>
    <phoneticPr fontId="4" type="noConversion"/>
  </si>
  <si>
    <t>101호2191</t>
    <phoneticPr fontId="4" type="noConversion"/>
  </si>
  <si>
    <t>이태문</t>
    <phoneticPr fontId="4" type="noConversion"/>
  </si>
  <si>
    <t>010-7654-7376</t>
    <phoneticPr fontId="4" type="noConversion"/>
  </si>
  <si>
    <t>경기도 시흥시 계수로 213(계수동)</t>
    <phoneticPr fontId="4" type="noConversion"/>
  </si>
  <si>
    <t>140-012-233131</t>
    <phoneticPr fontId="4" type="noConversion"/>
  </si>
  <si>
    <t>453-87-00957</t>
    <phoneticPr fontId="4" type="noConversion"/>
  </si>
  <si>
    <t>Ray-030</t>
    <phoneticPr fontId="4" type="noConversion"/>
  </si>
  <si>
    <t>(주)대경인트라넷_3</t>
    <phoneticPr fontId="4" type="noConversion"/>
  </si>
  <si>
    <t>KNACF911BNT283786</t>
    <phoneticPr fontId="4" type="noConversion"/>
  </si>
  <si>
    <t>101호2193</t>
    <phoneticPr fontId="4" type="noConversion"/>
  </si>
  <si>
    <t>Ray-022</t>
    <phoneticPr fontId="4" type="noConversion"/>
  </si>
  <si>
    <t>㈜시테코_1</t>
    <phoneticPr fontId="4" type="noConversion"/>
  </si>
  <si>
    <t>이동훈 사장님</t>
    <phoneticPr fontId="4" type="noConversion"/>
  </si>
  <si>
    <t>010-3711-9456</t>
    <phoneticPr fontId="4" type="noConversion"/>
  </si>
  <si>
    <t>KNACF911BNT283754</t>
    <phoneticPr fontId="4" type="noConversion"/>
  </si>
  <si>
    <t>101호2185</t>
    <phoneticPr fontId="4" type="noConversion"/>
  </si>
  <si>
    <t>황승연 사원</t>
  </si>
  <si>
    <t>010-3513-6084</t>
  </si>
  <si>
    <t>경기도 성남시 중원구 둔촌대로457번길 27 (상대원동 311-3) 우림라이온스밸리 1차 305호 멀티필름코리아</t>
    <phoneticPr fontId="4" type="noConversion"/>
  </si>
  <si>
    <t>mail@sitecokorea.co.kr</t>
    <phoneticPr fontId="4" type="noConversion"/>
  </si>
  <si>
    <t>120-87-10064</t>
    <phoneticPr fontId="4" type="noConversion"/>
  </si>
  <si>
    <t>Ray-026</t>
  </si>
  <si>
    <t>㈜시테코_2</t>
    <phoneticPr fontId="4" type="noConversion"/>
  </si>
  <si>
    <t>KNACF911BNT283781</t>
    <phoneticPr fontId="4" type="noConversion"/>
  </si>
  <si>
    <t>101호2189</t>
    <phoneticPr fontId="4" type="noConversion"/>
  </si>
  <si>
    <t>경기도 성남시 중원구 둔촌대로457번길 27 (상대원동 311-3) 우림라이온스밸리 1차 305호 멀티필름코리아</t>
  </si>
  <si>
    <t>Ray-035</t>
    <phoneticPr fontId="4" type="noConversion"/>
  </si>
  <si>
    <t>청담건설</t>
    <phoneticPr fontId="4" type="noConversion"/>
  </si>
  <si>
    <t>김의성 위원장님</t>
    <phoneticPr fontId="4" type="noConversion"/>
  </si>
  <si>
    <t>010-9730-8000</t>
    <phoneticPr fontId="4" type="noConversion"/>
  </si>
  <si>
    <t>KNACF911BNT284066</t>
    <phoneticPr fontId="4" type="noConversion"/>
  </si>
  <si>
    <t>101호2198</t>
    <phoneticPr fontId="4" type="noConversion"/>
  </si>
  <si>
    <t>윤병오 고객님</t>
    <phoneticPr fontId="4" type="noConversion"/>
  </si>
  <si>
    <t>010-3695-4931</t>
    <phoneticPr fontId="4" type="noConversion"/>
  </si>
  <si>
    <t>경기도 고양시 덕양구 향기로 112 DMC 하우스디NHF 203동 1104호</t>
    <phoneticPr fontId="4" type="noConversion"/>
  </si>
  <si>
    <t>lotze77@naver.com</t>
    <phoneticPr fontId="4" type="noConversion"/>
  </si>
  <si>
    <t>기업은행</t>
    <phoneticPr fontId="4" type="noConversion"/>
  </si>
  <si>
    <t>477-077449-04-010</t>
    <phoneticPr fontId="4" type="noConversion"/>
  </si>
  <si>
    <t>412-87-01896</t>
    <phoneticPr fontId="4" type="noConversion"/>
  </si>
  <si>
    <t>Ray-036</t>
    <phoneticPr fontId="4" type="noConversion"/>
  </si>
  <si>
    <t>대일산업㈜</t>
    <phoneticPr fontId="4" type="noConversion"/>
  </si>
  <si>
    <t>김완신 대표이사님</t>
    <phoneticPr fontId="4" type="noConversion"/>
  </si>
  <si>
    <t>010-8769-1719</t>
  </si>
  <si>
    <t>White/Black</t>
    <phoneticPr fontId="4" type="noConversion"/>
  </si>
  <si>
    <t>KNACF911BNT284067</t>
    <phoneticPr fontId="4" type="noConversion"/>
  </si>
  <si>
    <t>101호2199</t>
    <phoneticPr fontId="4" type="noConversion"/>
  </si>
  <si>
    <t>송성순 차장님</t>
    <phoneticPr fontId="4" type="noConversion"/>
  </si>
  <si>
    <t>010-8930-8227</t>
    <phoneticPr fontId="4" type="noConversion"/>
  </si>
  <si>
    <t>서울시 중구 남대문로1가 18번지 대일빌딩 대일산업</t>
    <phoneticPr fontId="4" type="noConversion"/>
  </si>
  <si>
    <t>miracle1937@naver.com</t>
    <phoneticPr fontId="4" type="noConversion"/>
  </si>
  <si>
    <t>miracle1937@naver.com</t>
  </si>
  <si>
    <t>104-86-20995</t>
    <phoneticPr fontId="4" type="noConversion"/>
  </si>
  <si>
    <t>Casper-001</t>
    <phoneticPr fontId="4" type="noConversion"/>
  </si>
  <si>
    <t>서울검사㈜</t>
    <phoneticPr fontId="4" type="noConversion"/>
  </si>
  <si>
    <t>조병호 회장님</t>
    <phoneticPr fontId="4" type="noConversion"/>
  </si>
  <si>
    <t>010-3213-2845</t>
    <phoneticPr fontId="4" type="noConversion"/>
  </si>
  <si>
    <t>Casper</t>
    <phoneticPr fontId="4" type="noConversion"/>
  </si>
  <si>
    <t>모던</t>
    <phoneticPr fontId="4" type="noConversion"/>
  </si>
  <si>
    <t>티탄 그레이 메탈릭/Bl</t>
  </si>
  <si>
    <t>KMHB3518BNW004418</t>
    <phoneticPr fontId="4" type="noConversion"/>
  </si>
  <si>
    <t>101하7027</t>
    <phoneticPr fontId="4" type="noConversion"/>
  </si>
  <si>
    <t>정영근부장님</t>
    <phoneticPr fontId="4" type="noConversion"/>
  </si>
  <si>
    <t>서울시 서초구 바우뫼로41길 54 서울검사(주)</t>
  </si>
  <si>
    <t>엠피온 S1000</t>
    <phoneticPr fontId="4" type="noConversion"/>
  </si>
  <si>
    <t>루마 전면 35%/측후면 15%</t>
    <phoneticPr fontId="4" type="noConversion"/>
  </si>
  <si>
    <t>KUMHO SOLUS TA31</t>
    <phoneticPr fontId="4" type="noConversion"/>
  </si>
  <si>
    <t>60</t>
    <phoneticPr fontId="4" type="noConversion"/>
  </si>
  <si>
    <t>kth@sitcos.co.kr</t>
    <phoneticPr fontId="4" type="noConversion"/>
  </si>
  <si>
    <t>jyk2845@sitcos.co.kr</t>
    <phoneticPr fontId="4" type="noConversion"/>
  </si>
  <si>
    <t>인터넷</t>
    <phoneticPr fontId="4" type="noConversion"/>
  </si>
  <si>
    <t>213-81-79460</t>
    <phoneticPr fontId="4" type="noConversion"/>
  </si>
  <si>
    <t>Ray-048</t>
    <phoneticPr fontId="4" type="noConversion"/>
  </si>
  <si>
    <t>(주)올댓모델</t>
    <phoneticPr fontId="4" type="noConversion"/>
  </si>
  <si>
    <t>안선영 사장님</t>
    <phoneticPr fontId="4" type="noConversion"/>
  </si>
  <si>
    <t>010-9012-6014</t>
  </si>
  <si>
    <t>KNACF911BNT284927</t>
    <phoneticPr fontId="4" type="noConversion"/>
  </si>
  <si>
    <t>125호3211</t>
  </si>
  <si>
    <t>올댓모델 직원</t>
    <phoneticPr fontId="4" type="noConversion"/>
  </si>
  <si>
    <t>010-2676-3101</t>
    <phoneticPr fontId="4" type="noConversion"/>
  </si>
  <si>
    <t>서초구 효령로 33길 50 서리풀 이편한세상 102동</t>
    <phoneticPr fontId="4" type="noConversion"/>
  </si>
  <si>
    <t>말</t>
    <phoneticPr fontId="4" type="noConversion"/>
  </si>
  <si>
    <t>dysul@allthatmodel.co.kr</t>
    <phoneticPr fontId="4" type="noConversion"/>
  </si>
  <si>
    <t>651-86-00933</t>
    <phoneticPr fontId="4" type="noConversion"/>
  </si>
  <si>
    <t>K3-001</t>
    <phoneticPr fontId="4" type="noConversion"/>
  </si>
  <si>
    <t>트라이언소프트㈜</t>
    <phoneticPr fontId="4" type="noConversion"/>
  </si>
  <si>
    <t>한창실 대표님</t>
    <phoneticPr fontId="4" type="noConversion"/>
  </si>
  <si>
    <t>010-8547-2888</t>
  </si>
  <si>
    <t>K3</t>
    <phoneticPr fontId="4" type="noConversion"/>
  </si>
  <si>
    <t>프레스티지</t>
    <phoneticPr fontId="4" type="noConversion"/>
  </si>
  <si>
    <t>KNAF241BENA135962</t>
    <phoneticPr fontId="4" type="noConversion"/>
  </si>
  <si>
    <t>101하7029</t>
    <phoneticPr fontId="4" type="noConversion"/>
  </si>
  <si>
    <t>부성만 상무님</t>
    <phoneticPr fontId="4" type="noConversion"/>
  </si>
  <si>
    <t>010-7707-5367</t>
    <phoneticPr fontId="4" type="noConversion"/>
  </si>
  <si>
    <t>서울특별시 강남구 논현로 706 아이캐슬빌딩 5층 트라이언소프트(주)</t>
  </si>
  <si>
    <t>pius_x@trionsoft.com</t>
    <phoneticPr fontId="4" type="noConversion"/>
  </si>
  <si>
    <t>helloboo@trionsoft.com</t>
  </si>
  <si>
    <t>206-81-18204</t>
    <phoneticPr fontId="4" type="noConversion"/>
  </si>
  <si>
    <t>Ray-040</t>
    <phoneticPr fontId="4" type="noConversion"/>
  </si>
  <si>
    <t>㈜카멜월드와이드</t>
    <phoneticPr fontId="4" type="noConversion"/>
  </si>
  <si>
    <t>김상욱 대표님</t>
    <phoneticPr fontId="4" type="noConversion"/>
  </si>
  <si>
    <t>010-3236-9253</t>
    <phoneticPr fontId="4" type="noConversion"/>
  </si>
  <si>
    <t>KNACF911BNT284071</t>
    <phoneticPr fontId="4" type="noConversion"/>
  </si>
  <si>
    <t>125호3203</t>
  </si>
  <si>
    <t>김혜림 고객님</t>
    <phoneticPr fontId="4" type="noConversion"/>
  </si>
  <si>
    <t>010-9902-9383</t>
    <phoneticPr fontId="4" type="noConversion"/>
  </si>
  <si>
    <t>서울시 금천구 가산디지털1로 128, 510호 (주)카멜월드와이드</t>
    <phoneticPr fontId="4" type="noConversion"/>
  </si>
  <si>
    <t>sophia@camelww.com</t>
    <phoneticPr fontId="4" type="noConversion"/>
  </si>
  <si>
    <t>264-81-04176</t>
    <phoneticPr fontId="4" type="noConversion"/>
  </si>
  <si>
    <t>Benz-006</t>
    <phoneticPr fontId="4" type="noConversion"/>
  </si>
  <si>
    <t>대아하이테크㈜</t>
    <phoneticPr fontId="4" type="noConversion"/>
  </si>
  <si>
    <t>최경태 회장님</t>
    <phoneticPr fontId="4" type="noConversion"/>
  </si>
  <si>
    <t>010-3812-2116</t>
  </si>
  <si>
    <t>G63</t>
    <phoneticPr fontId="4" type="noConversion"/>
  </si>
  <si>
    <t>Edition</t>
    <phoneticPr fontId="4" type="noConversion"/>
  </si>
  <si>
    <t>Ob/Bl</t>
  </si>
  <si>
    <t>W1NYC7GJXMX414507</t>
    <phoneticPr fontId="4" type="noConversion"/>
  </si>
  <si>
    <t>125호2393</t>
    <phoneticPr fontId="4" type="noConversion"/>
  </si>
  <si>
    <t>최경태 회장님</t>
  </si>
  <si>
    <t>대구광역시 달성군 구지면 국가산단 서로 71길 135</t>
    <phoneticPr fontId="4" type="noConversion"/>
  </si>
  <si>
    <t>삼성화재</t>
    <phoneticPr fontId="4" type="noConversion"/>
  </si>
  <si>
    <t>Pirelli  앞,뒤 295/40 R22</t>
    <phoneticPr fontId="4" type="noConversion"/>
  </si>
  <si>
    <t>daeahitech@nate.com</t>
    <phoneticPr fontId="4" type="noConversion"/>
  </si>
  <si>
    <t>daeaind@chol.com</t>
    <phoneticPr fontId="4" type="noConversion"/>
  </si>
  <si>
    <t>김정수 팀장</t>
    <phoneticPr fontId="4" type="noConversion"/>
  </si>
  <si>
    <t>514-81-37607</t>
    <phoneticPr fontId="4" type="noConversion"/>
  </si>
  <si>
    <t>대구광역시 달성군 현풍읍 삼강길 87</t>
    <phoneticPr fontId="4" type="noConversion"/>
  </si>
  <si>
    <t>Ray-041</t>
    <phoneticPr fontId="4" type="noConversion"/>
  </si>
  <si>
    <t>㈜와이케이개발</t>
  </si>
  <si>
    <t>김태균 대표님</t>
    <phoneticPr fontId="4" type="noConversion"/>
  </si>
  <si>
    <t>010-3707-1131</t>
  </si>
  <si>
    <t>KNACF911BNT284072</t>
    <phoneticPr fontId="4" type="noConversion"/>
  </si>
  <si>
    <t>125호3204</t>
    <phoneticPr fontId="4" type="noConversion"/>
  </si>
  <si>
    <t>4</t>
    <phoneticPr fontId="4" type="noConversion"/>
  </si>
  <si>
    <t>백혜란 고객님</t>
    <phoneticPr fontId="4" type="noConversion"/>
  </si>
  <si>
    <t>010-8688-6421</t>
    <phoneticPr fontId="4" type="noConversion"/>
  </si>
  <si>
    <t>투썸플레이스 강남신사점</t>
    <phoneticPr fontId="4" type="noConversion"/>
  </si>
  <si>
    <t>r44333@naver.com</t>
    <phoneticPr fontId="4" type="noConversion"/>
  </si>
  <si>
    <t>렌트베네핏</t>
  </si>
  <si>
    <t>115-88-00902</t>
    <phoneticPr fontId="4" type="noConversion"/>
  </si>
  <si>
    <t>Benz-009</t>
    <phoneticPr fontId="4" type="noConversion"/>
  </si>
  <si>
    <t>㈜유니온</t>
    <phoneticPr fontId="4" type="noConversion"/>
  </si>
  <si>
    <t>이우선 부사장님</t>
    <phoneticPr fontId="4" type="noConversion"/>
  </si>
  <si>
    <t>010-5390-3036</t>
    <phoneticPr fontId="4" type="noConversion"/>
  </si>
  <si>
    <t>MAYBACH S580</t>
    <phoneticPr fontId="4" type="noConversion"/>
  </si>
  <si>
    <t>4Matic L</t>
    <phoneticPr fontId="4" type="noConversion"/>
  </si>
  <si>
    <t>W1K6X7GB8NA085814</t>
    <phoneticPr fontId="4" type="noConversion"/>
  </si>
  <si>
    <t>101하7218</t>
    <phoneticPr fontId="4" type="noConversion"/>
  </si>
  <si>
    <t>송헌제 팀장님</t>
    <phoneticPr fontId="4" type="noConversion"/>
  </si>
  <si>
    <t>010-4870-5145</t>
    <phoneticPr fontId="4" type="noConversion"/>
  </si>
  <si>
    <t>서울시 중구 소공로 94 OCI빌딩 13층 UNION</t>
    <phoneticPr fontId="4" type="noConversion"/>
  </si>
  <si>
    <t>Pirelli 앞,뒤 255/40 R20</t>
  </si>
  <si>
    <t>10</t>
    <phoneticPr fontId="4" type="noConversion"/>
  </si>
  <si>
    <t>hjsong@unioncement.com</t>
    <phoneticPr fontId="4" type="noConversion"/>
  </si>
  <si>
    <t>yejeon@unioncement.com</t>
    <phoneticPr fontId="4" type="noConversion"/>
  </si>
  <si>
    <t>김성진 팀장</t>
    <phoneticPr fontId="4" type="noConversion"/>
  </si>
  <si>
    <t>청담</t>
  </si>
  <si>
    <t>104-81-24962</t>
    <phoneticPr fontId="4" type="noConversion"/>
  </si>
  <si>
    <t>Ray-042</t>
    <phoneticPr fontId="4" type="noConversion"/>
  </si>
  <si>
    <t>주식회사 삼지</t>
    <phoneticPr fontId="4" type="noConversion"/>
  </si>
  <si>
    <t>최진식 대표님</t>
    <phoneticPr fontId="4" type="noConversion"/>
  </si>
  <si>
    <t>010-2356-3866</t>
    <phoneticPr fontId="4" type="noConversion"/>
  </si>
  <si>
    <t>KNACF911BNT284073</t>
    <phoneticPr fontId="4" type="noConversion"/>
  </si>
  <si>
    <t>125호3205</t>
    <phoneticPr fontId="4" type="noConversion"/>
  </si>
  <si>
    <t>최서현 고객님</t>
    <phoneticPr fontId="4" type="noConversion"/>
  </si>
  <si>
    <t>010-5646-7559</t>
    <phoneticPr fontId="4" type="noConversion"/>
  </si>
  <si>
    <t>경기도 안성시 원곡면 지문로 120-39, 1, 2층</t>
    <phoneticPr fontId="4" type="noConversion"/>
  </si>
  <si>
    <t xml:space="preserve"> HANKOOK 앞/뒤165 60R14 79H </t>
  </si>
  <si>
    <t>samgeetech@3will.co.kr</t>
    <phoneticPr fontId="4" type="noConversion"/>
  </si>
  <si>
    <t>554-05-00327</t>
    <phoneticPr fontId="4" type="noConversion"/>
  </si>
  <si>
    <t>Ray-045</t>
    <phoneticPr fontId="4" type="noConversion"/>
  </si>
  <si>
    <t>KNACF911BNT284937</t>
    <phoneticPr fontId="4" type="noConversion"/>
  </si>
  <si>
    <t>125호3208</t>
    <phoneticPr fontId="4" type="noConversion"/>
  </si>
  <si>
    <t>Ray-039</t>
    <phoneticPr fontId="4" type="noConversion"/>
  </si>
  <si>
    <t>타바론코리아㈜</t>
    <phoneticPr fontId="4" type="noConversion"/>
  </si>
  <si>
    <t>박영준 대표님</t>
    <phoneticPr fontId="4" type="noConversion"/>
  </si>
  <si>
    <t>010-3763-0910</t>
  </si>
  <si>
    <t>KNACF911BNT284070</t>
    <phoneticPr fontId="4" type="noConversion"/>
  </si>
  <si>
    <t>125호3202</t>
    <phoneticPr fontId="4" type="noConversion"/>
  </si>
  <si>
    <t>최시영 과장님</t>
    <phoneticPr fontId="4" type="noConversion"/>
  </si>
  <si>
    <t>010-6312-3438</t>
    <phoneticPr fontId="4" type="noConversion"/>
  </si>
  <si>
    <t>서울특별시 강남구 학동로 56길 47 (삼성동, 3층)</t>
    <phoneticPr fontId="4" type="noConversion"/>
  </si>
  <si>
    <t>tax@tavalon.co.kr</t>
    <phoneticPr fontId="4" type="noConversion"/>
  </si>
  <si>
    <t>105-87-23065</t>
    <phoneticPr fontId="4" type="noConversion"/>
  </si>
  <si>
    <t>Ray-037</t>
    <phoneticPr fontId="4" type="noConversion"/>
  </si>
  <si>
    <t>신흥정보통신㈜_26</t>
    <phoneticPr fontId="4" type="noConversion"/>
  </si>
  <si>
    <t>KNACF911BNT284068</t>
    <phoneticPr fontId="4" type="noConversion"/>
  </si>
  <si>
    <t>125호3200</t>
  </si>
  <si>
    <t>고윤석</t>
  </si>
  <si>
    <t>010-5273-4464</t>
  </si>
  <si>
    <t>수내</t>
  </si>
  <si>
    <t>경기도 성남시 분당구 불정로 90 (정자동)  KT수내지점 1층 신흥정보통신</t>
  </si>
  <si>
    <t>Ray-043</t>
    <phoneticPr fontId="4" type="noConversion"/>
  </si>
  <si>
    <t>신흥정보통신㈜_28</t>
    <phoneticPr fontId="4" type="noConversion"/>
  </si>
  <si>
    <t>KNACF911BNT284074</t>
    <phoneticPr fontId="4" type="noConversion"/>
  </si>
  <si>
    <t>125호3206</t>
  </si>
  <si>
    <t>맹원식</t>
  </si>
  <si>
    <t>010-3325-0037</t>
  </si>
  <si>
    <t>영통</t>
  </si>
  <si>
    <t>경기도 수원시 장안구 정조로 947 KT수원지사 별관 1층 신흥정보통신</t>
  </si>
  <si>
    <t>Ray-044</t>
    <phoneticPr fontId="4" type="noConversion"/>
  </si>
  <si>
    <t>신흥정보통신㈜_29</t>
    <phoneticPr fontId="4" type="noConversion"/>
  </si>
  <si>
    <t>KNACF911BNT284904</t>
    <phoneticPr fontId="4" type="noConversion"/>
  </si>
  <si>
    <t>125호3207</t>
  </si>
  <si>
    <t>Ray-046</t>
    <phoneticPr fontId="4" type="noConversion"/>
  </si>
  <si>
    <t>신흥정보통신㈜_30</t>
    <phoneticPr fontId="4" type="noConversion"/>
  </si>
  <si>
    <t>KNACF911BNT284934</t>
    <phoneticPr fontId="4" type="noConversion"/>
  </si>
  <si>
    <t>125호3209</t>
  </si>
  <si>
    <t>Ray-025</t>
  </si>
  <si>
    <t>신흥정보통신㈜_22</t>
    <phoneticPr fontId="4" type="noConversion"/>
  </si>
  <si>
    <t>KNACF911BNT283764</t>
    <phoneticPr fontId="4" type="noConversion"/>
  </si>
  <si>
    <t>101호2188</t>
  </si>
  <si>
    <t>수원</t>
  </si>
  <si>
    <t>Ray-024</t>
    <phoneticPr fontId="4" type="noConversion"/>
  </si>
  <si>
    <t>㈜굿모닝코퍼레이션</t>
    <phoneticPr fontId="4" type="noConversion"/>
  </si>
  <si>
    <t>나한빈 대표님</t>
    <phoneticPr fontId="4" type="noConversion"/>
  </si>
  <si>
    <t>010-3268-1266</t>
    <phoneticPr fontId="4" type="noConversion"/>
  </si>
  <si>
    <t>KNACF911BNT283761</t>
    <phoneticPr fontId="4" type="noConversion"/>
  </si>
  <si>
    <t>142호4231</t>
    <phoneticPr fontId="4" type="noConversion"/>
  </si>
  <si>
    <t>서초구 동산로 13길 16 영재빌딩 주차장</t>
    <phoneticPr fontId="4" type="noConversion"/>
  </si>
  <si>
    <t>10</t>
  </si>
  <si>
    <t>nahanbin@gmail.com</t>
    <phoneticPr fontId="4" type="noConversion"/>
  </si>
  <si>
    <t>010-3268-1266</t>
  </si>
  <si>
    <t>205-81-26415</t>
    <phoneticPr fontId="4" type="noConversion"/>
  </si>
  <si>
    <t>Ray-027</t>
    <phoneticPr fontId="4" type="noConversion"/>
  </si>
  <si>
    <t>신흥정보통신㈜_23</t>
    <phoneticPr fontId="4" type="noConversion"/>
  </si>
  <si>
    <t>KNACF911BNT284872</t>
    <phoneticPr fontId="4" type="noConversion"/>
  </si>
  <si>
    <t>101호2190</t>
  </si>
  <si>
    <t>Benz-001_1</t>
    <phoneticPr fontId="4" type="noConversion"/>
  </si>
  <si>
    <t>㈜한촌</t>
    <phoneticPr fontId="4" type="noConversion"/>
  </si>
  <si>
    <t>정보연 대표님</t>
    <phoneticPr fontId="4" type="noConversion"/>
  </si>
  <si>
    <t>010-5473-5572</t>
    <phoneticPr fontId="4" type="noConversion"/>
  </si>
  <si>
    <t>4M L</t>
    <phoneticPr fontId="4" type="noConversion"/>
  </si>
  <si>
    <t>High-tech Silver/bl</t>
  </si>
  <si>
    <t>W1K6G6DB5NA071724</t>
    <phoneticPr fontId="4" type="noConversion"/>
  </si>
  <si>
    <t>101하7215</t>
    <phoneticPr fontId="4" type="noConversion"/>
  </si>
  <si>
    <t>김경민 팀장님</t>
  </si>
  <si>
    <t>010-3582-6929</t>
  </si>
  <si>
    <t xml:space="preserve"> 한촌설렁탕 부천점 경기 부천시 경인로 92</t>
  </si>
  <si>
    <t>2억원/1인당</t>
  </si>
  <si>
    <t>25</t>
  </si>
  <si>
    <t>kkm0410@hanchon.kr</t>
  </si>
  <si>
    <t>130-18-56421</t>
    <phoneticPr fontId="4" type="noConversion"/>
  </si>
  <si>
    <t>Ray-038</t>
    <phoneticPr fontId="4" type="noConversion"/>
  </si>
  <si>
    <t>신흥정보통신㈜_27</t>
    <phoneticPr fontId="4" type="noConversion"/>
  </si>
  <si>
    <t>KNACF911BNT284069</t>
    <phoneticPr fontId="4" type="noConversion"/>
  </si>
  <si>
    <t>125호3201</t>
    <phoneticPr fontId="4" type="noConversion"/>
  </si>
  <si>
    <t>010-5647-3311</t>
  </si>
  <si>
    <t>고덕</t>
  </si>
  <si>
    <t>서울특별시 강동구 천중로 213 2층 신흥정보통신</t>
  </si>
  <si>
    <t>Ray-047</t>
    <phoneticPr fontId="4" type="noConversion"/>
  </si>
  <si>
    <t>신흥정보통신㈜_31</t>
    <phoneticPr fontId="4" type="noConversion"/>
  </si>
  <si>
    <t>KNACF911BNT284925</t>
    <phoneticPr fontId="4" type="noConversion"/>
  </si>
  <si>
    <t>125호3210</t>
    <phoneticPr fontId="4" type="noConversion"/>
  </si>
  <si>
    <t>임현숙
최진</t>
  </si>
  <si>
    <t>010-6724-1052
010-4304-3003</t>
  </si>
  <si>
    <t>강서</t>
  </si>
  <si>
    <t>서울특별시 강서구 강서로5길 64 (화곡동) KT강서지사 3층 신흥정보통신</t>
  </si>
  <si>
    <t>Benz-010</t>
    <phoneticPr fontId="4" type="noConversion"/>
  </si>
  <si>
    <t>홍현창 고객님</t>
    <phoneticPr fontId="4" type="noConversion"/>
  </si>
  <si>
    <t>홍기표 고객님</t>
    <phoneticPr fontId="4" type="noConversion"/>
  </si>
  <si>
    <t>010-8986-8554</t>
    <phoneticPr fontId="4" type="noConversion"/>
  </si>
  <si>
    <t>S580</t>
    <phoneticPr fontId="4" type="noConversion"/>
  </si>
  <si>
    <t>W1K6G7GB8NA111215</t>
    <phoneticPr fontId="4" type="noConversion"/>
  </si>
  <si>
    <t>101하7231</t>
    <phoneticPr fontId="4" type="noConversion"/>
  </si>
  <si>
    <t>경기도 성남시 분당구 성남대로 449 로얄팰리스 D동 2801호</t>
    <phoneticPr fontId="4" type="noConversion"/>
  </si>
  <si>
    <t>hongkp.88@hanmail.net</t>
    <phoneticPr fontId="4" type="noConversion"/>
  </si>
  <si>
    <t>692-47-00065</t>
    <phoneticPr fontId="4" type="noConversion"/>
  </si>
  <si>
    <t>K8-001</t>
    <phoneticPr fontId="4" type="noConversion"/>
  </si>
  <si>
    <t>㈜엘리프</t>
    <phoneticPr fontId="4" type="noConversion"/>
  </si>
  <si>
    <t>김종천 회장님</t>
    <phoneticPr fontId="4" type="noConversion"/>
  </si>
  <si>
    <t>010-5275-9304</t>
  </si>
  <si>
    <t>그래비티 블루/브라운</t>
  </si>
  <si>
    <t>KNAM241BBNA029201</t>
    <phoneticPr fontId="4" type="noConversion"/>
  </si>
  <si>
    <t>101하5038</t>
    <phoneticPr fontId="4" type="noConversion"/>
  </si>
  <si>
    <t>김미라 고객님</t>
    <phoneticPr fontId="4" type="noConversion"/>
  </si>
  <si>
    <t>010-4669-0893</t>
    <phoneticPr fontId="4" type="noConversion"/>
  </si>
  <si>
    <t>경기도 광주시 도척면 도처로 604 34</t>
    <phoneticPr fontId="4" type="noConversion"/>
  </si>
  <si>
    <t>버택스 전면 35% 측후면 15%</t>
    <phoneticPr fontId="4" type="noConversion"/>
  </si>
  <si>
    <t>매년 = 4본 교체</t>
    <phoneticPr fontId="4" type="noConversion"/>
  </si>
  <si>
    <t>jc708@hanmail.net</t>
    <phoneticPr fontId="4" type="noConversion"/>
  </si>
  <si>
    <t>코일매트</t>
  </si>
  <si>
    <t>우리은행</t>
    <phoneticPr fontId="4" type="noConversion"/>
  </si>
  <si>
    <t>1005-981-825825</t>
    <phoneticPr fontId="4" type="noConversion"/>
  </si>
  <si>
    <t>126-86-59239</t>
    <phoneticPr fontId="4" type="noConversion"/>
  </si>
  <si>
    <t>경기도 광주시 도척면 도척로 694-34</t>
    <phoneticPr fontId="4" type="noConversion"/>
  </si>
  <si>
    <t>K9-001_1</t>
    <phoneticPr fontId="4" type="noConversion"/>
  </si>
  <si>
    <t>신흥정보통신㈜</t>
    <phoneticPr fontId="4" type="noConversion"/>
  </si>
  <si>
    <t>장혜원 대표님</t>
    <phoneticPr fontId="4" type="noConversion"/>
  </si>
  <si>
    <t>010-8182-6737</t>
    <phoneticPr fontId="4" type="noConversion"/>
  </si>
  <si>
    <t>K9</t>
    <phoneticPr fontId="4" type="noConversion"/>
  </si>
  <si>
    <t>마스터즈 베스트 셀렉션 Ⅱ</t>
    <phoneticPr fontId="4" type="noConversion"/>
  </si>
  <si>
    <t>애스코트그린 / 새들 브라운 인테리어</t>
    <phoneticPr fontId="4" type="noConversion"/>
  </si>
  <si>
    <t>KNAS5416DNS041280</t>
    <phoneticPr fontId="4" type="noConversion"/>
  </si>
  <si>
    <t>101하5040</t>
    <phoneticPr fontId="4" type="noConversion"/>
  </si>
  <si>
    <t>이태우 이사님</t>
    <phoneticPr fontId="4" type="noConversion"/>
  </si>
  <si>
    <t>송파구 법원로 11길 28 BK타워</t>
    <phoneticPr fontId="4" type="noConversion"/>
  </si>
  <si>
    <t>가족한정/누구나</t>
    <phoneticPr fontId="4" type="noConversion"/>
  </si>
  <si>
    <t>콘티낸탈 앞245/45 R19 / 뒤275/40 R19</t>
    <phoneticPr fontId="4" type="noConversion"/>
  </si>
  <si>
    <t>shtel124@shtel.co.kr</t>
    <phoneticPr fontId="4" type="noConversion"/>
  </si>
  <si>
    <t>Benz-013</t>
    <phoneticPr fontId="4" type="noConversion"/>
  </si>
  <si>
    <t>송혁진 대표님</t>
    <phoneticPr fontId="4" type="noConversion"/>
  </si>
  <si>
    <t>010-8717-4428</t>
    <phoneticPr fontId="4" type="noConversion"/>
  </si>
  <si>
    <t>PW/Bl</t>
    <phoneticPr fontId="4" type="noConversion"/>
  </si>
  <si>
    <t xml:space="preserve"> W1NYC7GJ8MX425781</t>
    <phoneticPr fontId="4" type="noConversion"/>
  </si>
  <si>
    <t>101하7236</t>
    <phoneticPr fontId="4" type="noConversion"/>
  </si>
  <si>
    <t>2</t>
    <phoneticPr fontId="4" type="noConversion"/>
  </si>
  <si>
    <t>서울특별시 성동구 독서당로 40길 37 어울림더리버아파트 102동 802호</t>
    <phoneticPr fontId="4" type="noConversion"/>
  </si>
  <si>
    <t>Pirelli 앞,뒤 295/40 R22</t>
    <phoneticPr fontId="4" type="noConversion"/>
  </si>
  <si>
    <t>hjsong@premierpartners.co.kr</t>
  </si>
  <si>
    <t>전석영 부장</t>
    <phoneticPr fontId="4" type="noConversion"/>
  </si>
  <si>
    <t>하나은행</t>
    <phoneticPr fontId="4" type="noConversion"/>
  </si>
  <si>
    <t>326-890065-65607</t>
    <phoneticPr fontId="4" type="noConversion"/>
  </si>
  <si>
    <t>680215-1470612</t>
    <phoneticPr fontId="4" type="noConversion"/>
  </si>
  <si>
    <t>Ray-023</t>
  </si>
  <si>
    <t>신흥정보통신㈜_21</t>
    <phoneticPr fontId="4" type="noConversion"/>
  </si>
  <si>
    <t>010-3214-0636</t>
  </si>
  <si>
    <t>KNACF911BNT283759</t>
    <phoneticPr fontId="4" type="noConversion"/>
  </si>
  <si>
    <t>101호2186</t>
    <phoneticPr fontId="4" type="noConversion"/>
  </si>
  <si>
    <t>Ray-031</t>
    <phoneticPr fontId="4" type="noConversion"/>
  </si>
  <si>
    <t>신흥정보통신㈜_24</t>
    <phoneticPr fontId="4" type="noConversion"/>
  </si>
  <si>
    <t>KNACF911BNT283787</t>
    <phoneticPr fontId="4" type="noConversion"/>
  </si>
  <si>
    <t>101호2194</t>
    <phoneticPr fontId="4" type="noConversion"/>
  </si>
  <si>
    <t>Ray-032</t>
    <phoneticPr fontId="4" type="noConversion"/>
  </si>
  <si>
    <t>신흥정보통신㈜_25</t>
    <phoneticPr fontId="4" type="noConversion"/>
  </si>
  <si>
    <t>KNACF911BNT283793</t>
    <phoneticPr fontId="4" type="noConversion"/>
  </si>
  <si>
    <t>101호2195</t>
    <phoneticPr fontId="4" type="noConversion"/>
  </si>
  <si>
    <t>Benz-015</t>
    <phoneticPr fontId="4" type="noConversion"/>
  </si>
  <si>
    <t>정재용 고객님</t>
    <phoneticPr fontId="4" type="noConversion"/>
  </si>
  <si>
    <t>010-7228-7777</t>
    <phoneticPr fontId="4" type="noConversion"/>
  </si>
  <si>
    <t>4Matic AV</t>
    <phoneticPr fontId="4" type="noConversion"/>
  </si>
  <si>
    <t>P.W/Brown</t>
    <phoneticPr fontId="4" type="noConversion"/>
  </si>
  <si>
    <t>W1KZF8GB2NB047754</t>
    <phoneticPr fontId="4" type="noConversion"/>
  </si>
  <si>
    <t>125호4340</t>
    <phoneticPr fontId="4" type="noConversion"/>
  </si>
  <si>
    <t>서울시 노원구 마들로5길25 녹천역두산위브 106동 702호</t>
    <phoneticPr fontId="4" type="noConversion"/>
  </si>
  <si>
    <t>j1027220@naver.com</t>
    <phoneticPr fontId="4" type="noConversion"/>
  </si>
  <si>
    <t>michaeljung@kt.com</t>
    <phoneticPr fontId="4" type="noConversion"/>
  </si>
  <si>
    <t>650424-1024912</t>
    <phoneticPr fontId="4" type="noConversion"/>
  </si>
  <si>
    <t>Benz-016</t>
    <phoneticPr fontId="4" type="noConversion"/>
  </si>
  <si>
    <t>포어러너캐피탈파트너스㈜</t>
    <phoneticPr fontId="4" type="noConversion"/>
  </si>
  <si>
    <t>유영석 사장님</t>
    <phoneticPr fontId="4" type="noConversion"/>
  </si>
  <si>
    <t>010-9001-9630</t>
    <phoneticPr fontId="4" type="noConversion"/>
  </si>
  <si>
    <t>Ob/Bl</t>
    <phoneticPr fontId="4" type="noConversion"/>
  </si>
  <si>
    <t>W1NYC7GJ8MX427515</t>
    <phoneticPr fontId="4" type="noConversion"/>
  </si>
  <si>
    <t>125호4342</t>
    <phoneticPr fontId="4" type="noConversion"/>
  </si>
  <si>
    <t>최정신 이사님</t>
    <phoneticPr fontId="4" type="noConversion"/>
  </si>
  <si>
    <t>010-2204-7868</t>
    <phoneticPr fontId="4" type="noConversion"/>
  </si>
  <si>
    <t>jungshin.choi@frcpartners.com</t>
    <phoneticPr fontId="4" type="noConversion"/>
  </si>
  <si>
    <t>jschoi1219@nate.com</t>
  </si>
  <si>
    <t>100-023-114288</t>
    <phoneticPr fontId="4" type="noConversion"/>
  </si>
  <si>
    <t>120-87-15448</t>
    <phoneticPr fontId="4" type="noConversion"/>
  </si>
  <si>
    <t>서울특별시 강남구 테헤란로 521, 9층(삼성동, 파르나스타워)</t>
    <phoneticPr fontId="4" type="noConversion"/>
  </si>
  <si>
    <t>Benz-017</t>
    <phoneticPr fontId="4" type="noConversion"/>
  </si>
  <si>
    <t>덕신설비</t>
    <phoneticPr fontId="4" type="noConversion"/>
  </si>
  <si>
    <t>김영운 사장님</t>
    <phoneticPr fontId="4" type="noConversion"/>
  </si>
  <si>
    <t>010-9153-6571</t>
    <phoneticPr fontId="4" type="noConversion"/>
  </si>
  <si>
    <t>GLE350e</t>
    <phoneticPr fontId="4" type="noConversion"/>
  </si>
  <si>
    <t>4Matic</t>
    <phoneticPr fontId="4" type="noConversion"/>
  </si>
  <si>
    <t>W1NFB5EB1NA702527</t>
    <phoneticPr fontId="4" type="noConversion"/>
  </si>
  <si>
    <t>125호5907</t>
    <phoneticPr fontId="4" type="noConversion"/>
  </si>
  <si>
    <t>충청북도 청주시 서원구 청남로1887번길 9, 제E동 1층 2호</t>
  </si>
  <si>
    <t>kyw6571@naver.com</t>
    <phoneticPr fontId="4" type="noConversion"/>
  </si>
  <si>
    <t>311-30-11821</t>
    <phoneticPr fontId="4" type="noConversion"/>
  </si>
  <si>
    <t>G90-001</t>
    <phoneticPr fontId="4" type="noConversion"/>
  </si>
  <si>
    <t>G90</t>
    <phoneticPr fontId="4" type="noConversion"/>
  </si>
  <si>
    <t>3.5 AWD</t>
    <phoneticPr fontId="4" type="noConversion"/>
  </si>
  <si>
    <t>비크블랙/옵시디언 블랙 모노톤</t>
    <phoneticPr fontId="4" type="noConversion"/>
  </si>
  <si>
    <t>KMTFA41DDNU010337</t>
    <phoneticPr fontId="4" type="noConversion"/>
  </si>
  <si>
    <t>101호1807</t>
    <phoneticPr fontId="4" type="noConversion"/>
  </si>
  <si>
    <t>김형철 대리님</t>
    <phoneticPr fontId="4" type="noConversion"/>
  </si>
  <si>
    <t>010-7371-2338</t>
    <phoneticPr fontId="4" type="noConversion"/>
  </si>
  <si>
    <t>경기 용인시 수지구 신봉2로 72 신봉마을자이2차아파트 211동 주차장 앞</t>
    <phoneticPr fontId="4" type="noConversion"/>
  </si>
  <si>
    <t>아이나비 QSD-7000</t>
    <phoneticPr fontId="4" type="noConversion"/>
  </si>
  <si>
    <t>레이노 S-9/유리막/PPF</t>
    <phoneticPr fontId="4" type="noConversion"/>
  </si>
  <si>
    <t xml:space="preserve">                                                                                                                                                    </t>
    <phoneticPr fontId="4" type="noConversion"/>
  </si>
  <si>
    <t>MICHELIN 245/45 R 20</t>
    <phoneticPr fontId="4" type="noConversion"/>
  </si>
  <si>
    <t>만기시 반납</t>
    <phoneticPr fontId="4" type="noConversion"/>
  </si>
  <si>
    <t>serim@serimbng.co.kr; miraetech6528@naver.com</t>
    <phoneticPr fontId="4" type="noConversion"/>
  </si>
  <si>
    <t>박현식 부장</t>
    <phoneticPr fontId="4" type="noConversion"/>
  </si>
  <si>
    <t>국민은행</t>
    <phoneticPr fontId="4" type="noConversion"/>
  </si>
  <si>
    <t>294501-04-14655</t>
    <phoneticPr fontId="4" type="noConversion"/>
  </si>
  <si>
    <t>531-79-00252</t>
    <phoneticPr fontId="4" type="noConversion"/>
  </si>
  <si>
    <t>경기도 평택시 오성면 오성북로 154-94</t>
    <phoneticPr fontId="4" type="noConversion"/>
  </si>
  <si>
    <t>G90-001_1</t>
    <phoneticPr fontId="4" type="noConversion"/>
  </si>
  <si>
    <t>미래테크</t>
    <phoneticPr fontId="4" type="noConversion"/>
  </si>
  <si>
    <t>박경희</t>
    <phoneticPr fontId="4" type="noConversion"/>
  </si>
  <si>
    <t>2.166666</t>
    <phoneticPr fontId="4" type="noConversion"/>
  </si>
  <si>
    <t>G90-002</t>
    <phoneticPr fontId="4" type="noConversion"/>
  </si>
  <si>
    <t>대건하이텍</t>
    <phoneticPr fontId="4" type="noConversion"/>
  </si>
  <si>
    <t>이기찬 대표님</t>
    <phoneticPr fontId="4" type="noConversion"/>
  </si>
  <si>
    <t>010-6403-4465</t>
    <phoneticPr fontId="4" type="noConversion"/>
  </si>
  <si>
    <t>KMTFA41DDNU010318</t>
    <phoneticPr fontId="4" type="noConversion"/>
  </si>
  <si>
    <t>101호1808</t>
    <phoneticPr fontId="4" type="noConversion"/>
  </si>
  <si>
    <t>경기도 수원시 영통구 매영로310번길 27 신원미주아파드 645동</t>
    <phoneticPr fontId="4" type="noConversion"/>
  </si>
  <si>
    <t>렌트기간 4본</t>
    <phoneticPr fontId="4" type="noConversion"/>
  </si>
  <si>
    <t>lkc2006@naver.com</t>
    <phoneticPr fontId="4" type="noConversion"/>
  </si>
  <si>
    <t>렌트베네핏</t>
    <phoneticPr fontId="4" type="noConversion"/>
  </si>
  <si>
    <t>124-35-63962</t>
    <phoneticPr fontId="4" type="noConversion"/>
  </si>
  <si>
    <t>Ray-050</t>
    <phoneticPr fontId="4" type="noConversion"/>
  </si>
  <si>
    <t>신흥정보통신㈜_34</t>
    <phoneticPr fontId="4" type="noConversion"/>
  </si>
  <si>
    <t>KNACF911BNT311915</t>
    <phoneticPr fontId="4" type="noConversion"/>
  </si>
  <si>
    <t>125호3220</t>
    <phoneticPr fontId="4" type="noConversion"/>
  </si>
  <si>
    <t>경기 동두천지점</t>
    <phoneticPr fontId="4" type="noConversion"/>
  </si>
  <si>
    <t>Ray-051</t>
  </si>
  <si>
    <t>신흥정보통신㈜_35</t>
    <phoneticPr fontId="4" type="noConversion"/>
  </si>
  <si>
    <t>KNACF911BNT311749</t>
    <phoneticPr fontId="4" type="noConversion"/>
  </si>
  <si>
    <t>125호3224</t>
    <phoneticPr fontId="4" type="noConversion"/>
  </si>
  <si>
    <t>강동구 고덕점</t>
    <phoneticPr fontId="4" type="noConversion"/>
  </si>
  <si>
    <t>Ray-052</t>
    <phoneticPr fontId="4" type="noConversion"/>
  </si>
  <si>
    <t>신흥정보통신㈜_36</t>
    <phoneticPr fontId="4" type="noConversion"/>
  </si>
  <si>
    <t>KNACF911BNT311746</t>
    <phoneticPr fontId="4" type="noConversion"/>
  </si>
  <si>
    <t>125호3225</t>
    <phoneticPr fontId="4" type="noConversion"/>
  </si>
  <si>
    <t>경기 수원점</t>
    <phoneticPr fontId="4" type="noConversion"/>
  </si>
  <si>
    <t>경기도 수원시 장안구 정조로 947 KT수원지사 본관 2층 신흥정보통신</t>
  </si>
  <si>
    <t>Ray-053</t>
  </si>
  <si>
    <t>신흥정보통신㈜_37</t>
    <phoneticPr fontId="4" type="noConversion"/>
  </si>
  <si>
    <t>KNACF911BNT311912</t>
    <phoneticPr fontId="4" type="noConversion"/>
  </si>
  <si>
    <t>125호3226</t>
    <phoneticPr fontId="4" type="noConversion"/>
  </si>
  <si>
    <t>권상현(소장)</t>
    <phoneticPr fontId="4" type="noConversion"/>
  </si>
  <si>
    <t>010-2890-3124</t>
  </si>
  <si>
    <t>부산 대연점</t>
    <phoneticPr fontId="4" type="noConversion"/>
  </si>
  <si>
    <t>부산광역시 동구 자성공원로 23 (범일동, KT부산정보통신센터) 18층 신흥정보통신</t>
  </si>
  <si>
    <t xml:space="preserve"> HANKOOK 앞/뒤165 60R14 79H </t>
    <phoneticPr fontId="4" type="noConversion"/>
  </si>
  <si>
    <t>Ray-049</t>
    <phoneticPr fontId="4" type="noConversion"/>
  </si>
  <si>
    <t>신흥정보통신㈜_33</t>
    <phoneticPr fontId="4" type="noConversion"/>
  </si>
  <si>
    <t>KNACF911BNT311908</t>
    <phoneticPr fontId="4" type="noConversion"/>
  </si>
  <si>
    <t>125호3219</t>
    <phoneticPr fontId="4" type="noConversion"/>
  </si>
  <si>
    <t>K8-002</t>
    <phoneticPr fontId="4" type="noConversion"/>
  </si>
  <si>
    <t>특허법인 엠에이피에스</t>
    <phoneticPr fontId="4" type="noConversion"/>
  </si>
  <si>
    <t>정선애 변리사님</t>
    <phoneticPr fontId="4" type="noConversion"/>
  </si>
  <si>
    <t>010-2272-7477</t>
    <phoneticPr fontId="4" type="noConversion"/>
  </si>
  <si>
    <t>KNAM241BBPA034424</t>
    <phoneticPr fontId="4" type="noConversion"/>
  </si>
  <si>
    <t>125호5225</t>
    <phoneticPr fontId="4" type="noConversion"/>
  </si>
  <si>
    <t>강은경 매니저님</t>
    <phoneticPr fontId="4" type="noConversion"/>
  </si>
  <si>
    <t>010-2202-8466</t>
    <phoneticPr fontId="4" type="noConversion"/>
  </si>
  <si>
    <t>경기도 군포시 산본로386번길 61, 1125동</t>
    <phoneticPr fontId="4" type="noConversion"/>
  </si>
  <si>
    <t>S1000PRO</t>
    <phoneticPr fontId="4" type="noConversion"/>
  </si>
  <si>
    <t>tax@mapsip.com</t>
    <phoneticPr fontId="4" type="noConversion"/>
  </si>
  <si>
    <t>211-88-54986</t>
    <phoneticPr fontId="4" type="noConversion"/>
  </si>
  <si>
    <t>Avante-002</t>
    <phoneticPr fontId="4" type="noConversion"/>
  </si>
  <si>
    <t>천지세무법인-인천</t>
    <phoneticPr fontId="4" type="noConversion"/>
  </si>
  <si>
    <t>박점식 회장님</t>
    <phoneticPr fontId="4" type="noConversion"/>
  </si>
  <si>
    <t>010-3465-8117</t>
    <phoneticPr fontId="4" type="noConversion"/>
  </si>
  <si>
    <t>Avante</t>
    <phoneticPr fontId="4" type="noConversion"/>
  </si>
  <si>
    <t>모던</t>
  </si>
  <si>
    <t>폴라 화이트/블랙모노톤</t>
    <phoneticPr fontId="4" type="noConversion"/>
  </si>
  <si>
    <t>KMHLM41EEPU454944</t>
    <phoneticPr fontId="4" type="noConversion"/>
  </si>
  <si>
    <t>125호5280</t>
    <phoneticPr fontId="4" type="noConversion"/>
  </si>
  <si>
    <t>심선미 이사님</t>
    <phoneticPr fontId="4" type="noConversion"/>
  </si>
  <si>
    <t>010-5416-9005</t>
    <phoneticPr fontId="4" type="noConversion"/>
  </si>
  <si>
    <t>인천지사</t>
    <phoneticPr fontId="4" type="noConversion"/>
  </si>
  <si>
    <t>인천광역시 서구 염곡로 468, 504호(가정동, 드림타워)</t>
    <phoneticPr fontId="4" type="noConversion"/>
  </si>
  <si>
    <t>s1000프로 FHD-FHD 32GB</t>
    <phoneticPr fontId="4" type="noConversion"/>
  </si>
  <si>
    <t>루마 기본 측후 15%</t>
    <phoneticPr fontId="4" type="noConversion"/>
  </si>
  <si>
    <t>cjtsgp@daum.net</t>
    <phoneticPr fontId="4" type="noConversion"/>
  </si>
  <si>
    <t>sm8765@nate.com</t>
    <phoneticPr fontId="4" type="noConversion"/>
  </si>
  <si>
    <t>코일매트</t>
    <phoneticPr fontId="4" type="noConversion"/>
  </si>
  <si>
    <t>253-25-0012-545</t>
    <phoneticPr fontId="4" type="noConversion"/>
  </si>
  <si>
    <t>137-85-05361</t>
    <phoneticPr fontId="4" type="noConversion"/>
  </si>
  <si>
    <t>Avante-003</t>
    <phoneticPr fontId="4" type="noConversion"/>
  </si>
  <si>
    <t>천지세무법인-서울</t>
    <phoneticPr fontId="4" type="noConversion"/>
  </si>
  <si>
    <t>팬텀 블랙펄 / 블랙모노톤</t>
    <phoneticPr fontId="4" type="noConversion"/>
  </si>
  <si>
    <t>KMHLM41EEPU492586</t>
    <phoneticPr fontId="4" type="noConversion"/>
  </si>
  <si>
    <t>101호1826</t>
    <phoneticPr fontId="4" type="noConversion"/>
  </si>
  <si>
    <t>이재현 차장님</t>
    <phoneticPr fontId="4" type="noConversion"/>
  </si>
  <si>
    <t>010-9132-6512</t>
    <phoneticPr fontId="4" type="noConversion"/>
  </si>
  <si>
    <t>서울본사</t>
    <phoneticPr fontId="4" type="noConversion"/>
  </si>
  <si>
    <t>서울특별시 금천구 벚꽃로 234(가산동, 에이스하이엔드타워6차 1604-1호</t>
    <phoneticPr fontId="4" type="noConversion"/>
  </si>
  <si>
    <t>Rayno 기본</t>
    <phoneticPr fontId="4" type="noConversion"/>
  </si>
  <si>
    <t>cjts@daum.net</t>
    <phoneticPr fontId="4" type="noConversion"/>
  </si>
  <si>
    <t>421701-04-139427</t>
    <phoneticPr fontId="4" type="noConversion"/>
  </si>
  <si>
    <t>119-85-42320</t>
    <phoneticPr fontId="4" type="noConversion"/>
  </si>
  <si>
    <t>G80-001_1</t>
    <phoneticPr fontId="4" type="noConversion"/>
  </si>
  <si>
    <t>나은약국</t>
    <phoneticPr fontId="4" type="noConversion"/>
  </si>
  <si>
    <t>박순희 고객님</t>
    <phoneticPr fontId="4" type="noConversion"/>
  </si>
  <si>
    <t>010-2747-0684</t>
    <phoneticPr fontId="4" type="noConversion"/>
  </si>
  <si>
    <t>2.5T</t>
    <phoneticPr fontId="4" type="noConversion"/>
  </si>
  <si>
    <t>마칼루 그레이/옵시디언 블랙 모노톤</t>
    <phoneticPr fontId="4" type="noConversion"/>
  </si>
  <si>
    <t>KMTGB41CDNU154297</t>
    <phoneticPr fontId="4" type="noConversion"/>
  </si>
  <si>
    <t>125호5247</t>
    <phoneticPr fontId="4" type="noConversion"/>
  </si>
  <si>
    <t>서울특별시 서초구 남부순환로287길 9-1(방배동, 1층)</t>
    <phoneticPr fontId="4" type="noConversion"/>
  </si>
  <si>
    <t>아이트로닉스 X2 FHD-FHD 64GB</t>
    <phoneticPr fontId="4" type="noConversion"/>
  </si>
  <si>
    <t>버택스 전면 50% 측후면 35%</t>
    <phoneticPr fontId="4" type="noConversion"/>
  </si>
  <si>
    <t>hellena0212@hanmail.net</t>
    <phoneticPr fontId="4" type="noConversion"/>
  </si>
  <si>
    <t>우산</t>
    <phoneticPr fontId="4" type="noConversion"/>
  </si>
  <si>
    <t>114-14-46184</t>
    <phoneticPr fontId="4" type="noConversion"/>
  </si>
  <si>
    <t>G90-003</t>
    <phoneticPr fontId="4" type="noConversion"/>
  </si>
  <si>
    <t>아이엠앤티㈜</t>
    <phoneticPr fontId="4" type="noConversion"/>
  </si>
  <si>
    <t>이동원 대표이사님</t>
    <phoneticPr fontId="4" type="noConversion"/>
  </si>
  <si>
    <t>010-2456-0653</t>
    <phoneticPr fontId="4" type="noConversion"/>
  </si>
  <si>
    <t>KMTFA41DDNU014854</t>
    <phoneticPr fontId="4" type="noConversion"/>
  </si>
  <si>
    <t>101호1811</t>
    <phoneticPr fontId="4" type="noConversion"/>
  </si>
  <si>
    <t>경기도 수원시 권선구 산업로 156번길 88-55</t>
    <phoneticPr fontId="4" type="noConversion"/>
  </si>
  <si>
    <t>making702@nate.com</t>
    <phoneticPr fontId="4" type="noConversion"/>
  </si>
  <si>
    <t>649-88-00900</t>
    <phoneticPr fontId="4" type="noConversion"/>
  </si>
  <si>
    <t>Benz-019</t>
    <phoneticPr fontId="4" type="noConversion"/>
  </si>
  <si>
    <t>이승섭 변호사님</t>
    <phoneticPr fontId="4" type="noConversion"/>
  </si>
  <si>
    <t>010-9182-0031</t>
    <phoneticPr fontId="4" type="noConversion"/>
  </si>
  <si>
    <t>S450</t>
    <phoneticPr fontId="4" type="noConversion"/>
  </si>
  <si>
    <t>Obsidian Black/Black</t>
    <phoneticPr fontId="4" type="noConversion"/>
  </si>
  <si>
    <t>W1K6G6BB5NA157957</t>
    <phoneticPr fontId="4" type="noConversion"/>
  </si>
  <si>
    <t>125호6021</t>
    <phoneticPr fontId="4" type="noConversion"/>
  </si>
  <si>
    <t xml:space="preserve"> 서울시 강남구 압구정로 201, 73동 603호(압구정동, 현대아파트)</t>
    <phoneticPr fontId="4" type="noConversion"/>
  </si>
  <si>
    <t>후퍼옵틱 전면35% 측후면 15%</t>
    <phoneticPr fontId="4" type="noConversion"/>
  </si>
  <si>
    <t>lss@bkl.co.kr</t>
    <phoneticPr fontId="4" type="noConversion"/>
  </si>
  <si>
    <t>효성</t>
    <phoneticPr fontId="4" type="noConversion"/>
  </si>
  <si>
    <t>분당</t>
    <phoneticPr fontId="4" type="noConversion"/>
  </si>
  <si>
    <t>620812-1006716</t>
    <phoneticPr fontId="4" type="noConversion"/>
  </si>
  <si>
    <t>G80-002_1</t>
    <phoneticPr fontId="4" type="noConversion"/>
  </si>
  <si>
    <t>㈜지엔</t>
    <phoneticPr fontId="4" type="noConversion"/>
  </si>
  <si>
    <t>이명용 대표님</t>
    <phoneticPr fontId="4" type="noConversion"/>
  </si>
  <si>
    <t>010-5246-6806</t>
    <phoneticPr fontId="4" type="noConversion"/>
  </si>
  <si>
    <t>2.5T AWD</t>
    <phoneticPr fontId="4" type="noConversion"/>
  </si>
  <si>
    <t>KMTGB41CDPU165638</t>
    <phoneticPr fontId="4" type="noConversion"/>
  </si>
  <si>
    <t>125호5288</t>
    <phoneticPr fontId="4" type="noConversion"/>
  </si>
  <si>
    <t>경기도 의왕시 뒷골길 24 (손내동)</t>
    <phoneticPr fontId="4" type="noConversion"/>
  </si>
  <si>
    <t>엠피온 s1000프로 FHD-FHD 32GB</t>
    <phoneticPr fontId="4" type="noConversion"/>
  </si>
  <si>
    <t>버텍스(전면 35%, 1열 15%, 2열후면 5%)</t>
    <phoneticPr fontId="4" type="noConversion"/>
  </si>
  <si>
    <t>gn6893348@naver.com</t>
    <phoneticPr fontId="4" type="noConversion"/>
  </si>
  <si>
    <t>010-2997-4297</t>
    <phoneticPr fontId="4" type="noConversion"/>
  </si>
  <si>
    <t>PPF</t>
    <phoneticPr fontId="4" type="noConversion"/>
  </si>
  <si>
    <t>IBK기업은행</t>
    <phoneticPr fontId="4" type="noConversion"/>
  </si>
  <si>
    <t>241-10556004-013</t>
    <phoneticPr fontId="4" type="noConversion"/>
  </si>
  <si>
    <t>314-88-00246</t>
    <phoneticPr fontId="4" type="noConversion"/>
  </si>
  <si>
    <t>경기도 평택시 오성면 오성북로 154-51</t>
    <phoneticPr fontId="4" type="noConversion"/>
  </si>
  <si>
    <t>Grander-02</t>
    <phoneticPr fontId="4" type="noConversion"/>
  </si>
  <si>
    <t>세이브인스(saveins)</t>
    <phoneticPr fontId="4" type="noConversion"/>
  </si>
  <si>
    <t>박진일 팀장님</t>
    <phoneticPr fontId="4" type="noConversion"/>
  </si>
  <si>
    <t>010-4940-0602</t>
    <phoneticPr fontId="4" type="noConversion"/>
  </si>
  <si>
    <t>Grander</t>
    <phoneticPr fontId="4" type="noConversion"/>
  </si>
  <si>
    <t>하이브리드 1.6T 익스클루시브</t>
    <phoneticPr fontId="4" type="noConversion"/>
  </si>
  <si>
    <t>어비스블랙펄/브라운투톤</t>
    <phoneticPr fontId="4" type="noConversion"/>
  </si>
  <si>
    <t>KMHN2411BPA004622</t>
    <phoneticPr fontId="4" type="noConversion"/>
  </si>
  <si>
    <t>125호5365</t>
    <phoneticPr fontId="4" type="noConversion"/>
  </si>
  <si>
    <t>박일진 팀장님</t>
    <phoneticPr fontId="4" type="noConversion"/>
  </si>
  <si>
    <t>서울특별시 은평구 가좌로 391 씨티아파트 102동</t>
    <phoneticPr fontId="4" type="noConversion"/>
  </si>
  <si>
    <t>버텍스(전면 35%, 측후면 15%)</t>
    <phoneticPr fontId="4" type="noConversion"/>
  </si>
  <si>
    <t>saveinsu@nate.com</t>
    <phoneticPr fontId="4" type="noConversion"/>
  </si>
  <si>
    <t>썬팅</t>
    <phoneticPr fontId="4" type="noConversion"/>
  </si>
  <si>
    <t>유리막</t>
    <phoneticPr fontId="4" type="noConversion"/>
  </si>
  <si>
    <t>924501-01-349898</t>
    <phoneticPr fontId="4" type="noConversion"/>
  </si>
  <si>
    <t>306-98-98414</t>
    <phoneticPr fontId="4" type="noConversion"/>
  </si>
  <si>
    <t>서울특별시 강남구 학동로25길 11, 203호(논현동, 씨플레이스)</t>
    <phoneticPr fontId="4" type="noConversion"/>
  </si>
  <si>
    <t>Benz-020</t>
    <phoneticPr fontId="4" type="noConversion"/>
  </si>
  <si>
    <t>현대산업</t>
    <phoneticPr fontId="4" type="noConversion"/>
  </si>
  <si>
    <t>최용식 대표님</t>
    <phoneticPr fontId="4" type="noConversion"/>
  </si>
  <si>
    <t>010-7337-6072</t>
    <phoneticPr fontId="4" type="noConversion"/>
  </si>
  <si>
    <t>C300</t>
    <phoneticPr fontId="4" type="noConversion"/>
  </si>
  <si>
    <t>4M AV</t>
    <phoneticPr fontId="4" type="noConversion"/>
  </si>
  <si>
    <t>W1KAF4HB7PR113410</t>
    <phoneticPr fontId="4" type="noConversion"/>
  </si>
  <si>
    <t>101하3037</t>
    <phoneticPr fontId="4" type="noConversion"/>
  </si>
  <si>
    <t>경기도 화성시 상신하길로 35 언덕마을 18단지 1809동 앞 주차장</t>
    <phoneticPr fontId="4" type="noConversion"/>
  </si>
  <si>
    <t>후퍼옵틱 GK, 측후면 15% 전면 50%</t>
    <phoneticPr fontId="4" type="noConversion"/>
  </si>
  <si>
    <t>피럴리 p zero 225/40 전 255/35 후 R19</t>
    <phoneticPr fontId="4" type="noConversion"/>
  </si>
  <si>
    <t>hdi201@naver.com</t>
    <phoneticPr fontId="4" type="noConversion"/>
  </si>
  <si>
    <t>골프백</t>
    <phoneticPr fontId="4" type="noConversion"/>
  </si>
  <si>
    <t>키케이스</t>
    <phoneticPr fontId="4" type="noConversion"/>
  </si>
  <si>
    <t>무릎담요</t>
    <phoneticPr fontId="4" type="noConversion"/>
  </si>
  <si>
    <t>목쿠션</t>
    <phoneticPr fontId="4" type="noConversion"/>
  </si>
  <si>
    <t>모터원</t>
    <phoneticPr fontId="4" type="noConversion"/>
  </si>
  <si>
    <t>박봉호 부장</t>
    <phoneticPr fontId="4" type="noConversion"/>
  </si>
  <si>
    <t>의정부</t>
    <phoneticPr fontId="4" type="noConversion"/>
  </si>
  <si>
    <t>532-001522-01-025</t>
    <phoneticPr fontId="4" type="noConversion"/>
  </si>
  <si>
    <t>680201-1046727</t>
    <phoneticPr fontId="4" type="noConversion"/>
  </si>
  <si>
    <t>경기도 화성시 팔탄면 율암리 758-9 현대산업</t>
    <phoneticPr fontId="4" type="noConversion"/>
  </si>
  <si>
    <t>Carnival-002</t>
    <phoneticPr fontId="4" type="noConversion"/>
  </si>
  <si>
    <t>정영범 부장님</t>
    <phoneticPr fontId="4" type="noConversion"/>
  </si>
  <si>
    <t>010-5217-0300</t>
    <phoneticPr fontId="4" type="noConversion"/>
  </si>
  <si>
    <t>Carnival</t>
    <phoneticPr fontId="4" type="noConversion"/>
  </si>
  <si>
    <t>3.5 가솔린 9인승 시그니처</t>
    <phoneticPr fontId="4" type="noConversion"/>
  </si>
  <si>
    <t>스노우 화이트 펄/새들 브라운</t>
    <phoneticPr fontId="4" type="noConversion"/>
  </si>
  <si>
    <t>KNANE813BPS317093</t>
    <phoneticPr fontId="4" type="noConversion"/>
  </si>
  <si>
    <t>125호5386</t>
    <phoneticPr fontId="4" type="noConversion"/>
  </si>
  <si>
    <t>서울오토갤러리</t>
    <phoneticPr fontId="4" type="noConversion"/>
  </si>
  <si>
    <t>Sportage-001</t>
    <phoneticPr fontId="4" type="noConversion"/>
  </si>
  <si>
    <t>Sportage</t>
    <phoneticPr fontId="4" type="noConversion"/>
  </si>
  <si>
    <t>디 올 뉴 스포티지 HEV 4WD 프레스티지</t>
    <phoneticPr fontId="4" type="noConversion"/>
  </si>
  <si>
    <t>스틸 그레이/블랙</t>
    <phoneticPr fontId="4" type="noConversion"/>
  </si>
  <si>
    <t>KNAPV81GDPK 096710</t>
    <phoneticPr fontId="4" type="noConversion"/>
  </si>
  <si>
    <t>125호8632</t>
    <phoneticPr fontId="4" type="noConversion"/>
  </si>
  <si>
    <t>엠피온 s9000프로 FHD-FHD</t>
    <phoneticPr fontId="4" type="noConversion"/>
  </si>
  <si>
    <t>버텍스300(전면 35%/1열 15%/2열, 후면 5%)</t>
    <phoneticPr fontId="4" type="noConversion"/>
  </si>
  <si>
    <t>넥센 앞/뒤 235/65R17</t>
    <phoneticPr fontId="4" type="noConversion"/>
  </si>
  <si>
    <t>242-01-0050-101</t>
    <phoneticPr fontId="4" type="noConversion"/>
  </si>
  <si>
    <t>124-81-20150</t>
    <phoneticPr fontId="4" type="noConversion"/>
  </si>
  <si>
    <t>경기도 수원시 수성로 250번길 30(영화동)</t>
    <phoneticPr fontId="4" type="noConversion"/>
  </si>
  <si>
    <t>K8-004</t>
    <phoneticPr fontId="4" type="noConversion"/>
  </si>
  <si>
    <t>(주)세이브인슈</t>
    <phoneticPr fontId="4" type="noConversion"/>
  </si>
  <si>
    <t>이진영 고객님</t>
    <phoneticPr fontId="4" type="noConversion"/>
  </si>
  <si>
    <t>010-9190-1947</t>
    <phoneticPr fontId="4" type="noConversion"/>
  </si>
  <si>
    <t>1.6 하이브리드 시그니처 투톤휠 A/T</t>
    <phoneticPr fontId="4" type="noConversion"/>
  </si>
  <si>
    <t>인터스텔라 그레이/브라운 투톤</t>
    <phoneticPr fontId="4" type="noConversion"/>
  </si>
  <si>
    <t>KNAM6411BPA060895</t>
    <phoneticPr fontId="4" type="noConversion"/>
  </si>
  <si>
    <t>125호8637</t>
    <phoneticPr fontId="4" type="noConversion"/>
  </si>
  <si>
    <t>Rainbow I90 (전번 35%/ 측후면 15%)</t>
    <phoneticPr fontId="4" type="noConversion"/>
  </si>
  <si>
    <t>010-3186-5222</t>
    <phoneticPr fontId="4" type="noConversion"/>
  </si>
  <si>
    <t>069101-04-125910</t>
    <phoneticPr fontId="4" type="noConversion"/>
  </si>
  <si>
    <t>220-87-55319</t>
    <phoneticPr fontId="4" type="noConversion"/>
  </si>
  <si>
    <t>서울특별시 강남구 학동로25길 11(논현동, 성연빌딩 202호)</t>
    <phoneticPr fontId="4" type="noConversion"/>
  </si>
  <si>
    <t>Grander-01</t>
    <phoneticPr fontId="4" type="noConversion"/>
  </si>
  <si>
    <t>추능오 고객님</t>
    <phoneticPr fontId="4" type="noConversion"/>
  </si>
  <si>
    <t>이춘식 이사님</t>
    <phoneticPr fontId="4" type="noConversion"/>
  </si>
  <si>
    <t>010-7137-1236</t>
    <phoneticPr fontId="4" type="noConversion"/>
  </si>
  <si>
    <t>르블랑</t>
    <phoneticPr fontId="4" type="noConversion"/>
  </si>
  <si>
    <t>녹턴 그레이 메탈릭/블랙모노톤</t>
    <phoneticPr fontId="4" type="noConversion"/>
  </si>
  <si>
    <t>KMHF1413BPA150229</t>
    <phoneticPr fontId="4" type="noConversion"/>
  </si>
  <si>
    <t>125호5230</t>
    <phoneticPr fontId="4" type="noConversion"/>
  </si>
  <si>
    <t>cslee0598@naver.com</t>
    <phoneticPr fontId="4" type="noConversion"/>
  </si>
  <si>
    <t>농협</t>
    <phoneticPr fontId="4" type="noConversion"/>
  </si>
  <si>
    <t>356-1500-4320-23</t>
    <phoneticPr fontId="4" type="noConversion"/>
  </si>
  <si>
    <t>701128-1221216</t>
    <phoneticPr fontId="4" type="noConversion"/>
  </si>
  <si>
    <t>Cona-01</t>
    <phoneticPr fontId="4" type="noConversion"/>
  </si>
  <si>
    <t>신흥정보통신㈜_코나</t>
    <phoneticPr fontId="4" type="noConversion"/>
  </si>
  <si>
    <t>Cona</t>
    <phoneticPr fontId="4" type="noConversion"/>
  </si>
  <si>
    <t>SX2 런칭 전기모터 2WD 롱레인지 프리미엄 17인치</t>
    <phoneticPr fontId="4" type="noConversion"/>
  </si>
  <si>
    <t>사이버 그레이 메탈릭 / 블랙모노톤</t>
    <phoneticPr fontId="4" type="noConversion"/>
  </si>
  <si>
    <t>전기모터</t>
    <phoneticPr fontId="4" type="noConversion"/>
  </si>
  <si>
    <t>KMHHC816FPU004639</t>
    <phoneticPr fontId="4" type="noConversion"/>
  </si>
  <si>
    <t>101호1841</t>
    <phoneticPr fontId="4" type="noConversion"/>
  </si>
  <si>
    <t>모창률 과장님</t>
    <phoneticPr fontId="4" type="noConversion"/>
  </si>
  <si>
    <t>010-5003-7338</t>
    <phoneticPr fontId="4" type="noConversion"/>
  </si>
  <si>
    <t>Rayno S7(전면35%, 측후면 15%)</t>
    <phoneticPr fontId="4" type="noConversion"/>
  </si>
  <si>
    <t>shtel001@daum.net</t>
    <phoneticPr fontId="4" type="noConversion"/>
  </si>
  <si>
    <t>Benz-022</t>
    <phoneticPr fontId="4" type="noConversion"/>
  </si>
  <si>
    <t>㈜동춘푸드</t>
    <phoneticPr fontId="4" type="noConversion"/>
  </si>
  <si>
    <t>송정근 대표님</t>
    <phoneticPr fontId="4" type="noConversion"/>
  </si>
  <si>
    <t>010-5301-8388</t>
  </si>
  <si>
    <t>E250 EX</t>
    <phoneticPr fontId="4" type="noConversion"/>
  </si>
  <si>
    <t>S.grey/Black</t>
    <phoneticPr fontId="4" type="noConversion"/>
  </si>
  <si>
    <t>W1KZF4FB3PB184795</t>
    <phoneticPr fontId="4" type="noConversion"/>
  </si>
  <si>
    <t>125호8668</t>
    <phoneticPr fontId="4" type="noConversion"/>
  </si>
  <si>
    <t>손경범 회장님</t>
    <phoneticPr fontId="4" type="noConversion"/>
  </si>
  <si>
    <t>010-5392-9991</t>
    <phoneticPr fontId="4" type="noConversion"/>
  </si>
  <si>
    <t>서울 강서구 금낭화로 287-19,505동411호(방화동,방화5단지아파트)</t>
    <phoneticPr fontId="4" type="noConversion"/>
  </si>
  <si>
    <t>후퍼옵틱(전면35%, 측후면 15%)</t>
    <phoneticPr fontId="4" type="noConversion"/>
  </si>
  <si>
    <t>dcfood777@naver.com</t>
    <phoneticPr fontId="4" type="noConversion"/>
  </si>
  <si>
    <t>010-5301-8388</t>
    <phoneticPr fontId="4" type="noConversion"/>
  </si>
  <si>
    <t>유리막/PPF/블박/하이패스/우산/목쿠션/무릎담요/가죽키케이스</t>
    <phoneticPr fontId="4" type="noConversion"/>
  </si>
  <si>
    <t>KCC</t>
    <phoneticPr fontId="4" type="noConversion"/>
  </si>
  <si>
    <t>이주원 차장</t>
    <phoneticPr fontId="4" type="noConversion"/>
  </si>
  <si>
    <t>276-081940-01-014</t>
    <phoneticPr fontId="4" type="noConversion"/>
  </si>
  <si>
    <t>276-81-01041</t>
    <phoneticPr fontId="4" type="noConversion"/>
  </si>
  <si>
    <t>경기도 화성시 장안면 수정로 312-71</t>
    <phoneticPr fontId="4" type="noConversion"/>
  </si>
  <si>
    <t>Grander-03</t>
    <phoneticPr fontId="4" type="noConversion"/>
  </si>
  <si>
    <t>GN7 하이브리드 1.6T 2WD 프리미엄</t>
    <phoneticPr fontId="4" type="noConversion"/>
  </si>
  <si>
    <t>녹턴 그레이 메탈릭/브라운투톤</t>
    <phoneticPr fontId="4" type="noConversion"/>
  </si>
  <si>
    <t>KMHN1411BPA059360</t>
    <phoneticPr fontId="4" type="noConversion"/>
  </si>
  <si>
    <t>101하5078</t>
    <phoneticPr fontId="4" type="noConversion"/>
  </si>
  <si>
    <t>lareum@shtel.co.kr</t>
    <phoneticPr fontId="4" type="noConversion"/>
  </si>
  <si>
    <t>064-01-0432-612</t>
    <phoneticPr fontId="4" type="noConversion"/>
  </si>
  <si>
    <t>206-85-09469</t>
    <phoneticPr fontId="4" type="noConversion"/>
  </si>
  <si>
    <t>서울특별시 송파구 법원로11길 28, 1, 9층(문정동, 비케이타워)</t>
    <phoneticPr fontId="4" type="noConversion"/>
  </si>
  <si>
    <t>G90-005</t>
    <phoneticPr fontId="4" type="noConversion"/>
  </si>
  <si>
    <t>㈜씨엔아이티</t>
    <phoneticPr fontId="4" type="noConversion"/>
  </si>
  <si>
    <t>이종호 대표님</t>
    <phoneticPr fontId="4" type="noConversion"/>
  </si>
  <si>
    <t>010-4816-4916</t>
    <phoneticPr fontId="4" type="noConversion"/>
  </si>
  <si>
    <t>마우이 블랙/벨벳 버건디 듄 베이지 투톤</t>
    <phoneticPr fontId="4" type="noConversion"/>
  </si>
  <si>
    <t>KMTFA41DDRU039929</t>
    <phoneticPr fontId="4" type="noConversion"/>
  </si>
  <si>
    <t>125호8678</t>
    <phoneticPr fontId="4" type="noConversion"/>
  </si>
  <si>
    <t>경기도 성남시 중원구 사기막골로 52, 308호(상대원동, 선택시티2)</t>
    <phoneticPr fontId="4" type="noConversion"/>
  </si>
  <si>
    <t>파인 LX7000</t>
    <phoneticPr fontId="4" type="noConversion"/>
  </si>
  <si>
    <t>렌트기간 8본</t>
    <phoneticPr fontId="4" type="noConversion"/>
  </si>
  <si>
    <t>jh_ahn@cnit.co.kr</t>
    <phoneticPr fontId="4" type="noConversion"/>
  </si>
  <si>
    <t>유리막/PPF</t>
    <phoneticPr fontId="4" type="noConversion"/>
  </si>
  <si>
    <t>613-033621-01-016</t>
    <phoneticPr fontId="4" type="noConversion"/>
  </si>
  <si>
    <t>892-81-01561</t>
    <phoneticPr fontId="4" type="noConversion"/>
  </si>
  <si>
    <t>GV80-002</t>
    <phoneticPr fontId="4" type="noConversion"/>
  </si>
  <si>
    <t>강성훈 대표님</t>
    <phoneticPr fontId="4" type="noConversion"/>
  </si>
  <si>
    <t>010-8786-2912</t>
    <phoneticPr fontId="4" type="noConversion"/>
  </si>
  <si>
    <t>GV80 Coupe</t>
    <phoneticPr fontId="4" type="noConversion"/>
  </si>
  <si>
    <t>우유니 화이트/블랙모노톤/오랜지스티치</t>
    <phoneticPr fontId="4" type="noConversion"/>
  </si>
  <si>
    <t>KMTHF61CDRU211681</t>
    <phoneticPr fontId="4" type="noConversion"/>
  </si>
  <si>
    <t>125호8712</t>
    <phoneticPr fontId="4" type="noConversion"/>
  </si>
  <si>
    <t>4.25</t>
    <phoneticPr fontId="4" type="noConversion"/>
  </si>
  <si>
    <t>MICHELIN 앞뒤 265/40 R 22</t>
    <phoneticPr fontId="4" type="noConversion"/>
  </si>
  <si>
    <t>G90-006</t>
    <phoneticPr fontId="4" type="noConversion"/>
  </si>
  <si>
    <t>신현용 대표님</t>
    <phoneticPr fontId="4" type="noConversion"/>
  </si>
  <si>
    <t>010-8789-7296</t>
    <phoneticPr fontId="4" type="noConversion"/>
  </si>
  <si>
    <t>마칼루 그레이/브라운투톤</t>
    <phoneticPr fontId="4" type="noConversion"/>
  </si>
  <si>
    <t>KMTFA41DDRU040280</t>
    <phoneticPr fontId="4" type="noConversion"/>
  </si>
  <si>
    <t>101하5090</t>
    <phoneticPr fontId="4" type="noConversion"/>
  </si>
  <si>
    <t>서울시 강남구 개포로 264 119동 1503호(개포동, 개포래미안포레스트)</t>
    <phoneticPr fontId="4" type="noConversion"/>
  </si>
  <si>
    <t>탈착함</t>
    <phoneticPr fontId="4" type="noConversion"/>
  </si>
  <si>
    <t>버택스 전면 35% 1열 15% 2열35%(2열 창문 5% 농도), 후면 5%</t>
    <phoneticPr fontId="4" type="noConversion"/>
  </si>
  <si>
    <t>hyshin@gmail.com</t>
    <phoneticPr fontId="4" type="noConversion"/>
  </si>
  <si>
    <t>246-105297-02-001</t>
    <phoneticPr fontId="4" type="noConversion"/>
  </si>
  <si>
    <t>750702-1055629</t>
    <phoneticPr fontId="4" type="noConversion"/>
  </si>
  <si>
    <t>G80-004</t>
    <phoneticPr fontId="4" type="noConversion"/>
  </si>
  <si>
    <t>신흥정보통신㈜_38</t>
    <phoneticPr fontId="4" type="noConversion"/>
  </si>
  <si>
    <t>비크블랙/에크루 카멜 모노톤</t>
    <phoneticPr fontId="4" type="noConversion"/>
  </si>
  <si>
    <t>KMTGB41CDSU234521</t>
    <phoneticPr fontId="4" type="noConversion"/>
  </si>
  <si>
    <t>101하5094</t>
    <phoneticPr fontId="4" type="noConversion"/>
  </si>
  <si>
    <t>서울 강남구 도곡동 개포 우성 4차 3동</t>
    <phoneticPr fontId="4" type="noConversion"/>
  </si>
  <si>
    <t>버택스 전면 50% 측후면 15%</t>
    <phoneticPr fontId="4" type="noConversion"/>
  </si>
  <si>
    <t>피렐리 타이어 앞 245/40R 20, 뒤 275/35 R20</t>
    <phoneticPr fontId="4" type="noConversion"/>
  </si>
  <si>
    <t>Mojave-001</t>
    <phoneticPr fontId="4" type="noConversion"/>
  </si>
  <si>
    <t>엘메스코리아</t>
    <phoneticPr fontId="4" type="noConversion"/>
  </si>
  <si>
    <t>윤상구 대표님</t>
    <phoneticPr fontId="4" type="noConversion"/>
  </si>
  <si>
    <t>010-3892-6630</t>
    <phoneticPr fontId="4" type="noConversion"/>
  </si>
  <si>
    <t>Mojave</t>
    <phoneticPr fontId="4" type="noConversion"/>
  </si>
  <si>
    <t>더 마스터 디젤 4WD 마스터즈 6인승 3.0</t>
    <phoneticPr fontId="4" type="noConversion"/>
  </si>
  <si>
    <t>오로라 블랙 펄/테라코타 브라운</t>
    <phoneticPr fontId="4" type="noConversion"/>
  </si>
  <si>
    <t>KNAKN814DRA252058</t>
    <phoneticPr fontId="4" type="noConversion"/>
  </si>
  <si>
    <t>101하5095</t>
    <phoneticPr fontId="4" type="noConversion"/>
  </si>
  <si>
    <t>이종태 전무님</t>
    <phoneticPr fontId="4" type="noConversion"/>
  </si>
  <si>
    <t>010-4557-9533</t>
    <phoneticPr fontId="4" type="noConversion"/>
  </si>
  <si>
    <t>경기도 성남시 수정구 위례광장로 19 아이페리온 601호 (주)엘메스코리아</t>
    <phoneticPr fontId="4" type="noConversion"/>
  </si>
  <si>
    <t>버택스 전면 30% 측후면 15%</t>
    <phoneticPr fontId="4" type="noConversion"/>
  </si>
  <si>
    <t>3억</t>
    <phoneticPr fontId="4" type="noConversion"/>
  </si>
  <si>
    <t>265/50 R20</t>
    <phoneticPr fontId="4" type="noConversion"/>
  </si>
  <si>
    <t>ykimki@elmes.co.kr</t>
    <phoneticPr fontId="4" type="noConversion"/>
  </si>
  <si>
    <t>기아</t>
    <phoneticPr fontId="4" type="noConversion"/>
  </si>
  <si>
    <t>1005-601-530275</t>
    <phoneticPr fontId="4" type="noConversion"/>
  </si>
  <si>
    <t>120-86-77199</t>
    <phoneticPr fontId="4" type="noConversion"/>
  </si>
  <si>
    <t>경기도 성남시 수정구 위례광장로 19, 601, 602호</t>
    <phoneticPr fontId="4" type="noConversion"/>
  </si>
  <si>
    <t>G80-005</t>
    <phoneticPr fontId="4" type="noConversion"/>
  </si>
  <si>
    <t>2.5T AWD 19인치</t>
    <phoneticPr fontId="4" type="noConversion"/>
  </si>
  <si>
    <t>마칼루 그레이/바닐라 베이지 투톤</t>
    <phoneticPr fontId="4" type="noConversion"/>
  </si>
  <si>
    <t>KMTGB41CDSU243586</t>
    <phoneticPr fontId="4" type="noConversion"/>
  </si>
  <si>
    <t>125호8722</t>
    <phoneticPr fontId="4" type="noConversion"/>
  </si>
  <si>
    <t>콘티넨탈 앞245/45R19, 뒤275/40R19</t>
    <phoneticPr fontId="4" type="noConversion"/>
  </si>
  <si>
    <t>시트 코팅</t>
    <phoneticPr fontId="4" type="noConversion"/>
  </si>
  <si>
    <t>422-103562-04-019</t>
    <phoneticPr fontId="4" type="noConversion"/>
  </si>
  <si>
    <t>K8-005</t>
    <phoneticPr fontId="4" type="noConversion"/>
  </si>
  <si>
    <t>㈜네오위드넷</t>
    <phoneticPr fontId="4" type="noConversion"/>
  </si>
  <si>
    <t>탁지훈 대표이사님</t>
    <phoneticPr fontId="4" type="noConversion"/>
  </si>
  <si>
    <t>010-9760-5515</t>
    <phoneticPr fontId="4" type="noConversion"/>
  </si>
  <si>
    <t>1.6T 하이브리드 노블레스</t>
    <phoneticPr fontId="4" type="noConversion"/>
  </si>
  <si>
    <t>KNAM2411BRA074485</t>
    <phoneticPr fontId="4" type="noConversion"/>
  </si>
  <si>
    <t>125호8738</t>
    <phoneticPr fontId="4" type="noConversion"/>
  </si>
  <si>
    <t>파노라마 선루프, HUD팩+스마트커넥트</t>
    <phoneticPr fontId="4" type="noConversion"/>
  </si>
  <si>
    <t>양하은 주임님</t>
    <phoneticPr fontId="4" type="noConversion"/>
  </si>
  <si>
    <t>010-3698-5478</t>
    <phoneticPr fontId="4" type="noConversion"/>
  </si>
  <si>
    <t>경기도 성남시 수정구 창업로 17, 에프동 3층 313호</t>
    <phoneticPr fontId="4" type="noConversion"/>
  </si>
  <si>
    <t>무대한</t>
    <phoneticPr fontId="4" type="noConversion"/>
  </si>
  <si>
    <t>2억</t>
    <phoneticPr fontId="4" type="noConversion"/>
  </si>
  <si>
    <t>1억/1500만</t>
    <phoneticPr fontId="4" type="noConversion"/>
  </si>
  <si>
    <t>미사입</t>
    <phoneticPr fontId="4" type="noConversion"/>
  </si>
  <si>
    <t>넥센 앞,뒤 225/55R17</t>
    <phoneticPr fontId="4" type="noConversion"/>
  </si>
  <si>
    <t>tax@neowithnet.com</t>
    <phoneticPr fontId="4" type="noConversion"/>
  </si>
  <si>
    <t>065-101471-01-016</t>
    <phoneticPr fontId="4" type="noConversion"/>
  </si>
  <si>
    <t>220-87-68806</t>
    <phoneticPr fontId="4" type="noConversion"/>
  </si>
  <si>
    <t>K8-006</t>
    <phoneticPr fontId="4" type="noConversion"/>
  </si>
  <si>
    <t>KNAM2411BRA074484</t>
    <phoneticPr fontId="4" type="noConversion"/>
  </si>
  <si>
    <t>125호8742</t>
    <phoneticPr fontId="4" type="noConversion"/>
  </si>
  <si>
    <t>G80-006</t>
    <phoneticPr fontId="4" type="noConversion"/>
  </si>
  <si>
    <t>3.5T AWD 20인치</t>
    <phoneticPr fontId="4" type="noConversion"/>
  </si>
  <si>
    <t>우유니 화이트/에크루 카멜 모노톤</t>
    <phoneticPr fontId="4" type="noConversion"/>
  </si>
  <si>
    <t>KMTGC41DDSU258512</t>
    <phoneticPr fontId="4" type="noConversion"/>
  </si>
  <si>
    <t>101하5151</t>
    <phoneticPr fontId="4" type="noConversion"/>
  </si>
  <si>
    <t>버택스500 전면 35% 측후면 5%</t>
    <phoneticPr fontId="4" type="noConversion"/>
  </si>
  <si>
    <t>Benz-003_2</t>
    <phoneticPr fontId="4" type="noConversion"/>
  </si>
  <si>
    <t>1</t>
    <phoneticPr fontId="4" type="noConversion"/>
  </si>
  <si>
    <t>249-890108-34305</t>
    <phoneticPr fontId="4" type="noConversion"/>
  </si>
  <si>
    <t>Niro-001</t>
    <phoneticPr fontId="4" type="noConversion"/>
  </si>
  <si>
    <t>㈜케이씨에프인터내셔널</t>
    <phoneticPr fontId="4" type="noConversion"/>
  </si>
  <si>
    <t>김상현 대표님</t>
    <phoneticPr fontId="4" type="noConversion"/>
  </si>
  <si>
    <t>010-8701-7670</t>
    <phoneticPr fontId="4" type="noConversion"/>
  </si>
  <si>
    <t>니로</t>
    <phoneticPr fontId="4" type="noConversion"/>
  </si>
  <si>
    <t>HEV 프레스티지</t>
    <phoneticPr fontId="4" type="noConversion"/>
  </si>
  <si>
    <t>시티스케이프 그린(CGE)/차콜</t>
    <phoneticPr fontId="4" type="noConversion"/>
  </si>
  <si>
    <t>KNACR81EGSA264227</t>
    <phoneticPr fontId="4" type="noConversion"/>
  </si>
  <si>
    <t>142호4266</t>
    <phoneticPr fontId="4" type="noConversion"/>
  </si>
  <si>
    <t>드라이브 와이즈, 스마트 커넥트, 내비게이션</t>
    <phoneticPr fontId="4" type="noConversion"/>
  </si>
  <si>
    <t>전효진 부장님</t>
    <phoneticPr fontId="4" type="noConversion"/>
  </si>
  <si>
    <t>010-4619-4808</t>
    <phoneticPr fontId="4" type="noConversion"/>
  </si>
  <si>
    <t>경기도 과천시 과천대로 7길 33 디테크타워 A동 809호</t>
    <phoneticPr fontId="4" type="noConversion"/>
  </si>
  <si>
    <t>금호 앞뒤 205/60 R16</t>
    <phoneticPr fontId="4" type="noConversion"/>
  </si>
  <si>
    <t>admin@zyxel.kr</t>
    <phoneticPr fontId="4" type="noConversion"/>
  </si>
  <si>
    <t>헤라매트</t>
    <phoneticPr fontId="4" type="noConversion"/>
  </si>
  <si>
    <t>1550-680-715383</t>
    <phoneticPr fontId="4" type="noConversion"/>
  </si>
  <si>
    <t>214-87-15383</t>
    <phoneticPr fontId="4" type="noConversion"/>
  </si>
  <si>
    <t>경기도 과천시 과천대로 7길 33, A동 809호</t>
    <phoneticPr fontId="4" type="noConversion"/>
  </si>
  <si>
    <t>Ray-039_1</t>
    <phoneticPr fontId="4" type="noConversion"/>
  </si>
  <si>
    <t>061-063962-04-013</t>
    <phoneticPr fontId="4" type="noConversion"/>
  </si>
  <si>
    <t>서울시 강남구 삼성동 10-7 삼성빌리지 3층</t>
    <phoneticPr fontId="4" type="noConversion"/>
  </si>
  <si>
    <t>Palisade_001</t>
    <phoneticPr fontId="4" type="noConversion"/>
  </si>
  <si>
    <t>Palisade</t>
    <phoneticPr fontId="4" type="noConversion"/>
  </si>
  <si>
    <t>2.5T 7인승 4WD 캘리</t>
    <phoneticPr fontId="4" type="noConversion"/>
  </si>
  <si>
    <t>어비스블랙펄 / 브라운 원톤</t>
    <phoneticPr fontId="4" type="noConversion"/>
  </si>
  <si>
    <t>KMHRK811DSU005387</t>
    <phoneticPr fontId="4" type="noConversion"/>
  </si>
  <si>
    <t>142호4276</t>
    <phoneticPr fontId="4" type="noConversion"/>
  </si>
  <si>
    <t>빌트인 캠, 프리뷰 전자제어 서스펜션</t>
    <phoneticPr fontId="4" type="noConversion"/>
  </si>
  <si>
    <t>25020106</t>
  </si>
  <si>
    <t>전면 35%(버택스 1100) / 1열측면 15%(버택스 900) /2열, 후면 5%(버택스 900)</t>
    <phoneticPr fontId="4" type="noConversion"/>
  </si>
  <si>
    <t>피렐리 타이어 앞뒤 265/45R21</t>
    <phoneticPr fontId="4" type="noConversion"/>
  </si>
  <si>
    <t>유리막 코팅</t>
    <phoneticPr fontId="4" type="noConversion"/>
  </si>
  <si>
    <t>PPF(도어 엣지, 도어컵, 주유구, 필러(4군데), 헤드라이트, 트렁크리드)</t>
    <phoneticPr fontId="4" type="noConversion"/>
  </si>
  <si>
    <t>시트가죽 코팅</t>
    <phoneticPr fontId="4" type="noConversion"/>
  </si>
  <si>
    <t>트렁크커버</t>
    <phoneticPr fontId="4" type="noConversion"/>
  </si>
  <si>
    <t>Grander-04</t>
    <phoneticPr fontId="4" type="noConversion"/>
  </si>
  <si>
    <t>㈜에이치와이파트너즈</t>
    <phoneticPr fontId="4" type="noConversion"/>
  </si>
  <si>
    <t>주영숙 대표님</t>
    <phoneticPr fontId="4" type="noConversion"/>
  </si>
  <si>
    <t>010-8989-9186</t>
    <phoneticPr fontId="4" type="noConversion"/>
  </si>
  <si>
    <t xml:space="preserve"> 1.6T 하이브리드 프리미엄 2WD</t>
    <phoneticPr fontId="4" type="noConversion"/>
  </si>
  <si>
    <t>어비스 블랙펄 / 인디고/브라운투톤</t>
    <phoneticPr fontId="4" type="noConversion"/>
  </si>
  <si>
    <t>KMHN1411BSA113112</t>
    <phoneticPr fontId="4" type="noConversion"/>
  </si>
  <si>
    <t>142호4318</t>
    <phoneticPr fontId="4" type="noConversion"/>
  </si>
  <si>
    <t>프리미엄초이스(129만), 플래티넘(129만원), 현대스마트센스(84만원)</t>
    <phoneticPr fontId="4" type="noConversion"/>
  </si>
  <si>
    <t>류종현 상무님</t>
    <phoneticPr fontId="4" type="noConversion"/>
  </si>
  <si>
    <t>010-2309-9621</t>
    <phoneticPr fontId="4" type="noConversion"/>
  </si>
  <si>
    <t>서울시 동작구 동작대로 149, 5층(사당동, 대흥빌딩)</t>
    <phoneticPr fontId="4" type="noConversion"/>
  </si>
  <si>
    <t>버택스 300 전면 35%, 측면1열 15%, 측면2열 및 후면 5%</t>
    <phoneticPr fontId="4" type="noConversion"/>
  </si>
  <si>
    <t>임직원/누구나</t>
    <phoneticPr fontId="4" type="noConversion"/>
  </si>
  <si>
    <t>금호 앞뒤 245/45 R19</t>
    <phoneticPr fontId="4" type="noConversion"/>
  </si>
  <si>
    <t>hm.lim@hypartner.co.kr</t>
    <phoneticPr fontId="4" type="noConversion"/>
  </si>
  <si>
    <t>100-036-524752</t>
    <phoneticPr fontId="4" type="noConversion"/>
  </si>
  <si>
    <t>478-86-02938</t>
    <phoneticPr fontId="4" type="noConversion"/>
  </si>
  <si>
    <t>GV70-001</t>
    <phoneticPr fontId="4" type="noConversion"/>
  </si>
  <si>
    <t>㈜비지글로벌</t>
    <phoneticPr fontId="4" type="noConversion"/>
  </si>
  <si>
    <t>김창도 회장님</t>
    <phoneticPr fontId="4" type="noConversion"/>
  </si>
  <si>
    <t>010-3746-5060</t>
    <phoneticPr fontId="4" type="noConversion"/>
  </si>
  <si>
    <t>GV70</t>
    <phoneticPr fontId="4" type="noConversion"/>
  </si>
  <si>
    <t>2.5T AWD 18인치</t>
    <phoneticPr fontId="4" type="noConversion"/>
  </si>
  <si>
    <t>우유니 화이트/바닐라 베이지 투톤</t>
    <phoneticPr fontId="4" type="noConversion"/>
  </si>
  <si>
    <t>KMTMA81BBSU226680</t>
    <phoneticPr fontId="4" type="noConversion"/>
  </si>
  <si>
    <t>142호4321</t>
    <phoneticPr fontId="4" type="noConversion"/>
  </si>
  <si>
    <t>파퓰로패키지(360만)</t>
    <phoneticPr fontId="4" type="noConversion"/>
  </si>
  <si>
    <t>황민영 이사님</t>
    <phoneticPr fontId="4" type="noConversion"/>
  </si>
  <si>
    <t>010-9377-1490</t>
    <phoneticPr fontId="4" type="noConversion"/>
  </si>
  <si>
    <t>버택스500 전면 30% 측후면 15%</t>
    <phoneticPr fontId="4" type="noConversion"/>
  </si>
  <si>
    <t>브릿지 스톤 앞뒤 235/60 R18</t>
    <phoneticPr fontId="4" type="noConversion"/>
  </si>
  <si>
    <t>hmy188@gmail.com</t>
    <phoneticPr fontId="4" type="noConversion"/>
  </si>
  <si>
    <t>1005-904-742656</t>
    <phoneticPr fontId="4" type="noConversion"/>
  </si>
  <si>
    <t>498-87-03340</t>
    <phoneticPr fontId="4" type="noConversion"/>
  </si>
  <si>
    <t>서울시 마포구 방울내로11길 37, 2층 2272호(망원동, 프리마빌딩)</t>
    <phoneticPr fontId="4" type="noConversion"/>
  </si>
  <si>
    <t>G80-007</t>
    <phoneticPr fontId="4" type="noConversion"/>
  </si>
  <si>
    <t>주식회사 레이</t>
    <phoneticPr fontId="4" type="noConversion"/>
  </si>
  <si>
    <t>이상철 대표님</t>
    <phoneticPr fontId="4" type="noConversion"/>
  </si>
  <si>
    <t>010-6251-4137</t>
    <phoneticPr fontId="4" type="noConversion"/>
  </si>
  <si>
    <t>2.5 가솔린 터보 AWD</t>
    <phoneticPr fontId="4" type="noConversion"/>
  </si>
  <si>
    <t>마칼루 그레이/에크루 카멜 모노톤</t>
    <phoneticPr fontId="4" type="noConversion"/>
  </si>
  <si>
    <t>KMTGB41CDTU295495</t>
    <phoneticPr fontId="4" type="noConversion"/>
  </si>
  <si>
    <t>142호4335</t>
    <phoneticPr fontId="4" type="noConversion"/>
  </si>
  <si>
    <t>파퓰러 패키지1 + 드라이빙 어시스턴트 패키지2</t>
    <phoneticPr fontId="4" type="noConversion"/>
  </si>
  <si>
    <t>김호영 책임님</t>
    <phoneticPr fontId="4" type="noConversion"/>
  </si>
  <si>
    <t>010-2425-6857</t>
  </si>
  <si>
    <t>경기도 성남시 분당구 판교역로 221, 12층(삼평동)</t>
    <phoneticPr fontId="4" type="noConversion"/>
  </si>
  <si>
    <t>피렐리 앞/뒤 245/50 R18</t>
    <phoneticPr fontId="4" type="noConversion"/>
  </si>
  <si>
    <t>hoyoung.kim@raymedical.com</t>
    <phoneticPr fontId="4" type="noConversion"/>
  </si>
  <si>
    <t>1005-401-254754</t>
    <phoneticPr fontId="4" type="noConversion"/>
  </si>
  <si>
    <t xml:space="preserve">135-81-73282 </t>
    <phoneticPr fontId="4" type="noConversion"/>
  </si>
  <si>
    <t>134511-0084018</t>
    <phoneticPr fontId="4" type="noConversion"/>
  </si>
  <si>
    <t>RX350h-001</t>
    <phoneticPr fontId="4" type="noConversion"/>
  </si>
  <si>
    <t>㈜린드만</t>
    <phoneticPr fontId="4" type="noConversion"/>
  </si>
  <si>
    <t>이상훈 대표님</t>
    <phoneticPr fontId="4" type="noConversion"/>
  </si>
  <si>
    <t>010-9255-7080</t>
    <phoneticPr fontId="4" type="noConversion"/>
  </si>
  <si>
    <t>RX 350h Luxury</t>
    <phoneticPr fontId="4" type="noConversion"/>
  </si>
  <si>
    <t>Sonic Quartz (화이트)/Dark sepia (브라운)</t>
    <phoneticPr fontId="4" type="noConversion"/>
  </si>
  <si>
    <t>JTJCJAJA7S2052673</t>
    <phoneticPr fontId="4" type="noConversion"/>
  </si>
  <si>
    <t>142호5654</t>
    <phoneticPr fontId="4" type="noConversion"/>
  </si>
  <si>
    <t>서울시 광진구 아차산로 78길 72, 701호(광장동, 학산코스모스텔)</t>
    <phoneticPr fontId="4" type="noConversion"/>
  </si>
  <si>
    <t>렉세스 전용 블랙박스</t>
    <phoneticPr fontId="4" type="noConversion"/>
  </si>
  <si>
    <t>스미스클럽 어센틱L 전면 35%, 측후면 15%</t>
    <phoneticPr fontId="4" type="noConversion"/>
  </si>
  <si>
    <t>브릿지 스톤 앞뒤 / 235 50 R21</t>
    <phoneticPr fontId="4" type="noConversion"/>
  </si>
  <si>
    <t>sanghoon.lee@Lyndman.com</t>
    <phoneticPr fontId="4" type="noConversion"/>
  </si>
  <si>
    <t>렉서스</t>
    <phoneticPr fontId="4" type="noConversion"/>
  </si>
  <si>
    <t>주민성 팀장</t>
    <phoneticPr fontId="4" type="noConversion"/>
  </si>
  <si>
    <t>282-910022-70004</t>
    <phoneticPr fontId="4" type="noConversion"/>
  </si>
  <si>
    <t>793-81-01696</t>
    <phoneticPr fontId="4" type="noConversion"/>
  </si>
  <si>
    <t>ALPHARD-001</t>
    <phoneticPr fontId="4" type="noConversion"/>
  </si>
  <si>
    <t xml:space="preserve"> ALPHARD-HEV SFX</t>
    <phoneticPr fontId="4" type="noConversion"/>
  </si>
  <si>
    <t>BLACK/BLACK</t>
    <phoneticPr fontId="4" type="noConversion"/>
  </si>
  <si>
    <t>JTNAEACH0S8040494</t>
    <phoneticPr fontId="4" type="noConversion"/>
  </si>
  <si>
    <t>142호4341</t>
    <phoneticPr fontId="4" type="noConversion"/>
  </si>
  <si>
    <t>010-2425-6857</t>
    <phoneticPr fontId="4" type="noConversion"/>
  </si>
  <si>
    <t>토요타 전용 블랙박스</t>
    <phoneticPr fontId="4" type="noConversion"/>
  </si>
  <si>
    <t>스미스클럽 어센틱T 전면 35%, 측후면 15%</t>
    <phoneticPr fontId="4" type="noConversion"/>
  </si>
  <si>
    <t>MICHELIN 앞뒤 225/55 R19</t>
    <phoneticPr fontId="4" type="noConversion"/>
  </si>
  <si>
    <t>토요타</t>
    <phoneticPr fontId="4" type="noConversion"/>
  </si>
  <si>
    <t>이재명 팀장</t>
    <phoneticPr fontId="4" type="noConversion"/>
  </si>
  <si>
    <t>㈜레이</t>
    <phoneticPr fontId="4" type="noConversion"/>
  </si>
  <si>
    <t>Koleos-001</t>
    <phoneticPr fontId="4" type="noConversion"/>
  </si>
  <si>
    <t>정재현 이사님</t>
    <phoneticPr fontId="4" type="noConversion"/>
  </si>
  <si>
    <t>010-2085-3703</t>
    <phoneticPr fontId="4" type="noConversion"/>
  </si>
  <si>
    <t>Grand Koleos E-Tech</t>
    <phoneticPr fontId="4" type="noConversion"/>
  </si>
  <si>
    <t>iconic 25MY</t>
    <phoneticPr fontId="4" type="noConversion"/>
  </si>
  <si>
    <t>클라우드 펄/퀼팅 라이트 브라운 나파 인조가죽</t>
    <phoneticPr fontId="4" type="noConversion"/>
  </si>
  <si>
    <t>KNMP5B2U5SP033937</t>
    <phoneticPr fontId="4" type="noConversion"/>
  </si>
  <si>
    <t>142호4346</t>
    <phoneticPr fontId="4" type="noConversion"/>
  </si>
  <si>
    <t>20인치 투톤 하이랜드 알로이 휠 &amp; 245/45 R20 저소음 폼 타이어(40만), 증강현실 헤드업 디스플레이(AR-HUD)+차음 윈드 실드 글라스(115만), BOSE 서라운드 시스템(10 스피커) + 액티브 노이즈 캔슬레이션(130만)</t>
    <phoneticPr fontId="4" type="noConversion"/>
  </si>
  <si>
    <t>아이나비 ZQ7000</t>
    <phoneticPr fontId="4" type="noConversion"/>
  </si>
  <si>
    <t>르노삼성</t>
    <phoneticPr fontId="4" type="noConversion"/>
  </si>
  <si>
    <t>이강준 팀장</t>
    <phoneticPr fontId="4" type="noConversion"/>
  </si>
  <si>
    <t>정재현</t>
    <phoneticPr fontId="4" type="noConversion"/>
  </si>
  <si>
    <t>Grander-005</t>
    <phoneticPr fontId="4" type="noConversion"/>
  </si>
  <si>
    <t>그랜저</t>
    <phoneticPr fontId="4" type="noConversion"/>
  </si>
  <si>
    <t>2.5T 프리미엄 2WD</t>
    <phoneticPr fontId="4" type="noConversion"/>
  </si>
  <si>
    <t>녹턴 그레이 메탈릭/블랙/브라운 투톤 천연가족</t>
    <phoneticPr fontId="4" type="noConversion"/>
  </si>
  <si>
    <t>KMHN141DBTA118755</t>
    <phoneticPr fontId="4" type="noConversion"/>
  </si>
  <si>
    <t>142호4397</t>
    <phoneticPr fontId="4" type="noConversion"/>
  </si>
  <si>
    <t>현대 스마트센트1</t>
    <phoneticPr fontId="4" type="noConversion"/>
  </si>
  <si>
    <t>넥센 앞,뒤 225/55R18</t>
    <phoneticPr fontId="4" type="noConversion"/>
  </si>
  <si>
    <t>Carnival-006</t>
    <phoneticPr fontId="4" type="noConversion"/>
  </si>
  <si>
    <t>더데이랩스 주식회사</t>
    <phoneticPr fontId="4" type="noConversion"/>
  </si>
  <si>
    <t>이종진 원장님</t>
    <phoneticPr fontId="4" type="noConversion"/>
  </si>
  <si>
    <t>010-2767-1215</t>
    <phoneticPr fontId="4" type="noConversion"/>
  </si>
  <si>
    <t>카니발</t>
    <phoneticPr fontId="4" type="noConversion"/>
  </si>
  <si>
    <t>3.5 가솔린 9인승 프레스티지</t>
    <phoneticPr fontId="4" type="noConversion"/>
  </si>
  <si>
    <t>오로라 블랙 펄/토프</t>
    <phoneticPr fontId="4" type="noConversion"/>
  </si>
  <si>
    <t>KNANB813BSS578943</t>
    <phoneticPr fontId="4" type="noConversion"/>
  </si>
  <si>
    <t>142호9100</t>
    <phoneticPr fontId="4" type="noConversion"/>
  </si>
  <si>
    <t>12.3인치클러스터(+60만원), 컨비니언스 (+110만원), 모니터링 팩 (+90만원), 드라이브와이즈(+120만원)</t>
    <phoneticPr fontId="4" type="noConversion"/>
  </si>
  <si>
    <t>심지호 이사님</t>
    <phoneticPr fontId="4" type="noConversion"/>
  </si>
  <si>
    <t>테헤란로13길 30</t>
    <phoneticPr fontId="4" type="noConversion"/>
  </si>
  <si>
    <t>버텍스(전면15%, 측후면 5%)</t>
    <phoneticPr fontId="4" type="noConversion"/>
  </si>
  <si>
    <t>말일</t>
    <phoneticPr fontId="4" type="noConversion"/>
  </si>
  <si>
    <t>kyungeun@thedaylabs.com</t>
    <phoneticPr fontId="4" type="noConversion"/>
  </si>
  <si>
    <t>dr.jinlee@kakao.com</t>
    <phoneticPr fontId="4" type="noConversion"/>
  </si>
  <si>
    <t>KB 국민은행</t>
    <phoneticPr fontId="4" type="noConversion"/>
  </si>
  <si>
    <t>081101-04-235255</t>
    <phoneticPr fontId="4" type="noConversion"/>
  </si>
  <si>
    <t>435-86-03022</t>
    <phoneticPr fontId="4" type="noConversion"/>
  </si>
  <si>
    <t>서울시 강남구 논현로 97길 73 지하 1층 101, 102호(역삼동, 좋은사람 좋은집)</t>
    <phoneticPr fontId="4" type="noConversion"/>
  </si>
  <si>
    <t>124411-0377962</t>
    <phoneticPr fontId="4" type="noConversion"/>
  </si>
  <si>
    <t>Sonata-001</t>
    <phoneticPr fontId="4" type="noConversion"/>
  </si>
  <si>
    <t>유현승 교수님</t>
    <phoneticPr fontId="4" type="noConversion"/>
  </si>
  <si>
    <t>010-4129-1918</t>
    <phoneticPr fontId="4" type="noConversion"/>
  </si>
  <si>
    <t>쏘나타</t>
    <phoneticPr fontId="4" type="noConversion"/>
  </si>
  <si>
    <t>DN8 25MY Lpi 2.0 프리미엄</t>
    <phoneticPr fontId="4" type="noConversion"/>
  </si>
  <si>
    <t>세레니티 화이트 펄/블랙원톤</t>
    <phoneticPr fontId="4" type="noConversion"/>
  </si>
  <si>
    <t>Lpi</t>
    <phoneticPr fontId="4" type="noConversion"/>
  </si>
  <si>
    <t>KMHL341DBSA527770</t>
    <phoneticPr fontId="4" type="noConversion"/>
  </si>
  <si>
    <t>142호9106</t>
    <phoneticPr fontId="4" type="noConversion"/>
  </si>
  <si>
    <t>하이패스+ECM룸미러(25만), 현대스마트센스(77만(</t>
    <phoneticPr fontId="4" type="noConversion"/>
  </si>
  <si>
    <t>충청북도 증평군 증평읍 송산로 105 송산 대광로제비앙 101동 504호</t>
    <phoneticPr fontId="4" type="noConversion"/>
  </si>
  <si>
    <t>금호 앞,뒤 215/55/17</t>
    <phoneticPr fontId="4" type="noConversion"/>
  </si>
  <si>
    <t>rhyuhs@naver.com</t>
    <phoneticPr fontId="4" type="noConversion"/>
  </si>
  <si>
    <t>유현승</t>
    <phoneticPr fontId="4" type="noConversion"/>
  </si>
  <si>
    <t>762-910024-52307</t>
    <phoneticPr fontId="4" type="noConversion"/>
  </si>
  <si>
    <t>690315-*******</t>
    <phoneticPr fontId="4" type="noConversion"/>
  </si>
  <si>
    <t>Benz-024</t>
    <phoneticPr fontId="4" type="noConversion"/>
  </si>
  <si>
    <t>명품 을지 순대국</t>
    <phoneticPr fontId="4" type="noConversion"/>
  </si>
  <si>
    <t>이영석 대표님</t>
    <phoneticPr fontId="4" type="noConversion"/>
  </si>
  <si>
    <t>010-5000-8721</t>
    <phoneticPr fontId="4" type="noConversion"/>
  </si>
  <si>
    <t>CLE 200</t>
    <phoneticPr fontId="4" type="noConversion"/>
  </si>
  <si>
    <t>Carbriolet</t>
    <phoneticPr fontId="4" type="noConversion"/>
  </si>
  <si>
    <t>폴라 화이트/브라운</t>
    <phoneticPr fontId="4" type="noConversion"/>
  </si>
  <si>
    <t>W1KMK5AB8SF079562</t>
    <phoneticPr fontId="4" type="noConversion"/>
  </si>
  <si>
    <t>142호9102</t>
    <phoneticPr fontId="4" type="noConversion"/>
  </si>
  <si>
    <t>서울특별시 중구 충무로5길 3, 1층 10호, 11호(초동)</t>
    <phoneticPr fontId="4" type="noConversion"/>
  </si>
  <si>
    <t>후퍼gk 측후15 전면 35</t>
    <phoneticPr fontId="4" type="noConversion"/>
  </si>
  <si>
    <t>가족한정/임직원</t>
    <phoneticPr fontId="4" type="noConversion"/>
  </si>
  <si>
    <t>06790@naver.com</t>
    <phoneticPr fontId="4" type="noConversion"/>
  </si>
  <si>
    <t>차민재 팀장</t>
    <phoneticPr fontId="4" type="noConversion"/>
  </si>
  <si>
    <t>이영석</t>
    <phoneticPr fontId="4" type="noConversion"/>
  </si>
  <si>
    <t>170-91002-685704</t>
    <phoneticPr fontId="4" type="noConversion"/>
  </si>
  <si>
    <t>293-42-01130</t>
    <phoneticPr fontId="4" type="noConversion"/>
  </si>
  <si>
    <t>서울특별시 중구 충무로5길 3, 1층, 10호, 11호(초동)</t>
    <phoneticPr fontId="4" type="noConversion"/>
  </si>
  <si>
    <t>G90-007</t>
    <phoneticPr fontId="4" type="noConversion"/>
  </si>
  <si>
    <t>(주)에이이엠테크</t>
    <phoneticPr fontId="4" type="noConversion"/>
  </si>
  <si>
    <t>이희웅 대표님</t>
    <phoneticPr fontId="4" type="noConversion"/>
  </si>
  <si>
    <t>010-4328-8158</t>
    <phoneticPr fontId="4" type="noConversion"/>
  </si>
  <si>
    <t>3.5T AWD 20in 다이아몬드 SDS</t>
    <phoneticPr fontId="4" type="noConversion"/>
  </si>
  <si>
    <t>비크블랙 / 옵시디언블랙/보르도 브라운 투톤</t>
    <phoneticPr fontId="4" type="noConversion"/>
  </si>
  <si>
    <t>KMTFA41DDTU056883</t>
    <phoneticPr fontId="4" type="noConversion"/>
  </si>
  <si>
    <t>142호9145</t>
    <phoneticPr fontId="4" type="noConversion"/>
  </si>
  <si>
    <t>뱅앤올룹슨 사운드 패키지(390만), 빌트인 캠 패키지(80만), 파노라마 선루프(200만), 프리미엄 컬랙션(1160만)플로팅 휠캡+메탈 페탈(20만)</t>
    <phoneticPr fontId="4" type="noConversion"/>
  </si>
  <si>
    <t>김진희 과장님</t>
    <phoneticPr fontId="4" type="noConversion"/>
  </si>
  <si>
    <t>010-7120-7470</t>
    <phoneticPr fontId="4" type="noConversion"/>
  </si>
  <si>
    <t xml:space="preserve">수원시 권선구 산업로 156번길 88-55 </t>
    <phoneticPr fontId="4" type="noConversion"/>
  </si>
  <si>
    <t>버택스300 전면 35% 측후면 15%</t>
    <phoneticPr fontId="4" type="noConversion"/>
  </si>
  <si>
    <t>gwjung@aemtech.kr</t>
  </si>
  <si>
    <t>gwjung@aemtech.kr</t>
    <phoneticPr fontId="4" type="noConversion"/>
  </si>
  <si>
    <t>㈜에이이엠테크</t>
    <phoneticPr fontId="4" type="noConversion"/>
  </si>
  <si>
    <t>100-018-174908</t>
    <phoneticPr fontId="4" type="noConversion"/>
  </si>
  <si>
    <t>131-81-72578</t>
    <phoneticPr fontId="4" type="noConversion"/>
  </si>
  <si>
    <t>경기도 수원시 권선구 산업로156번길 88-55(고색동)</t>
    <phoneticPr fontId="4" type="noConversion"/>
  </si>
  <si>
    <t>124611-0289303</t>
    <phoneticPr fontId="4" type="noConversion"/>
  </si>
  <si>
    <t>G90-008</t>
    <phoneticPr fontId="4" type="noConversion"/>
  </si>
  <si>
    <t>3.5T AWD 19in 다이아몬드</t>
    <phoneticPr fontId="4" type="noConversion"/>
  </si>
  <si>
    <t>KMTFA41DDTU057232</t>
    <phoneticPr fontId="4" type="noConversion"/>
  </si>
  <si>
    <t>142호9405</t>
    <phoneticPr fontId="4" type="noConversion"/>
  </si>
  <si>
    <t>빌트인캠(80만), 앞좌석 컴포트 캐피지(250만)</t>
    <phoneticPr fontId="4" type="noConversion"/>
  </si>
  <si>
    <t>GV80-004</t>
    <phoneticPr fontId="4" type="noConversion"/>
  </si>
  <si>
    <t>5인승 2.5T AWD 20in</t>
    <phoneticPr fontId="4" type="noConversion"/>
  </si>
  <si>
    <t>마칼루그레이(무광)/스모키그린(어스브라운 시트)</t>
    <phoneticPr fontId="4" type="noConversion"/>
  </si>
  <si>
    <t>KMTHA81BDSU307166</t>
    <phoneticPr fontId="4" type="noConversion"/>
  </si>
  <si>
    <t>142호9141</t>
    <phoneticPr fontId="4" type="noConversion"/>
  </si>
  <si>
    <t>빌트인캠패키지(85만), 파노라마썬루프(140만)</t>
    <phoneticPr fontId="4" type="noConversion"/>
  </si>
  <si>
    <t>함재훈 이사님</t>
    <phoneticPr fontId="4" type="noConversion"/>
  </si>
  <si>
    <t>레인보우 VS100 전면 35% 측면 15% 후면 5%, 선루프 일반 5%</t>
    <phoneticPr fontId="4" type="noConversion"/>
  </si>
  <si>
    <t>G90-009</t>
    <phoneticPr fontId="4" type="noConversion"/>
  </si>
  <si>
    <t>정주호 회장님</t>
    <phoneticPr fontId="4" type="noConversion"/>
  </si>
  <si>
    <t>010-3757-4086</t>
    <phoneticPr fontId="4" type="noConversion"/>
  </si>
  <si>
    <t>3.5T AWD e-S/C 20in 다이아몬드 SDS</t>
    <phoneticPr fontId="4" type="noConversion"/>
  </si>
  <si>
    <t>비크블랙/옵시디언블랙모노톤(뉴스페이퍼 스트라이프)</t>
    <phoneticPr fontId="4" type="noConversion"/>
  </si>
  <si>
    <t>KMTFB41DDTU056880</t>
    <phoneticPr fontId="4" type="noConversion"/>
  </si>
  <si>
    <t>125하4677</t>
    <phoneticPr fontId="4" type="noConversion"/>
  </si>
  <si>
    <t>빌트인 캠 패키지(80만), 파노라마 선루프(200만), 프리미엄 컬랙션(1160만)</t>
    <phoneticPr fontId="4" type="noConversion"/>
  </si>
  <si>
    <t>서울시 용산구 이촌로64길 15 엘지한강자이아파트 109동 702호</t>
    <phoneticPr fontId="4" type="noConversion"/>
  </si>
  <si>
    <t>460128-1041713</t>
    <phoneticPr fontId="4" type="noConversion"/>
  </si>
  <si>
    <t>서울시 용산구 이촌로64길 15, 109동 702호</t>
    <phoneticPr fontId="4" type="noConversion"/>
  </si>
  <si>
    <t>Cona-02</t>
    <phoneticPr fontId="4" type="noConversion"/>
  </si>
  <si>
    <t>다홍치마앤컴퍼니</t>
    <phoneticPr fontId="4" type="noConversion"/>
  </si>
  <si>
    <t>박기종 대표님</t>
    <phoneticPr fontId="4" type="noConversion"/>
  </si>
  <si>
    <t>010-8955-3578</t>
    <phoneticPr fontId="4" type="noConversion"/>
  </si>
  <si>
    <t>코나</t>
    <phoneticPr fontId="4" type="noConversion"/>
  </si>
  <si>
    <t>하이브리드 2WD H-Pick</t>
    <phoneticPr fontId="4" type="noConversion"/>
  </si>
  <si>
    <t>사이버 그레이 메탈릭 / 그레이</t>
    <phoneticPr fontId="4" type="noConversion"/>
  </si>
  <si>
    <t>KMHHB811GTU179355</t>
    <phoneticPr fontId="4" type="noConversion"/>
  </si>
  <si>
    <t>142호9404</t>
    <phoneticPr fontId="4" type="noConversion"/>
  </si>
  <si>
    <t>베스트셀렉션2 (79만), 빌트인 캠2, 증강현실 내비게이션 (45만), 컨비니언스 (40만), 파킹어시스트 (99만), 하이패스 (20만)</t>
    <phoneticPr fontId="4" type="noConversion"/>
  </si>
  <si>
    <t>경기도 남양주시 순화궁로 272 동광 비즈타워(별내동)</t>
    <phoneticPr fontId="4" type="noConversion"/>
  </si>
  <si>
    <t>25일</t>
    <phoneticPr fontId="4" type="noConversion"/>
  </si>
  <si>
    <t>goodzong@gmail.com</t>
    <phoneticPr fontId="4" type="noConversion"/>
  </si>
  <si>
    <t>박기종(다홍치마앤컴퍼니)</t>
    <phoneticPr fontId="4" type="noConversion"/>
  </si>
  <si>
    <t>110-325-393350</t>
    <phoneticPr fontId="4" type="noConversion"/>
  </si>
  <si>
    <t>105-17-85694</t>
    <phoneticPr fontId="4" type="noConversion"/>
  </si>
  <si>
    <t>서울특별시 중구 삼일대로 663, 810호(장교동, 장교빌딩)</t>
    <phoneticPr fontId="4" type="noConversion"/>
  </si>
  <si>
    <t>Grander-006</t>
    <phoneticPr fontId="4" type="noConversion"/>
  </si>
  <si>
    <t>바이오플릭블루펄/인디고/브라운투톤</t>
    <phoneticPr fontId="4" type="noConversion"/>
  </si>
  <si>
    <t>KMHN141DBTA123415</t>
    <phoneticPr fontId="4" type="noConversion"/>
  </si>
  <si>
    <t>142호8391</t>
    <phoneticPr fontId="4" type="noConversion"/>
  </si>
  <si>
    <t>현대스마트센스1(84만)</t>
    <phoneticPr fontId="4" type="noConversion"/>
  </si>
  <si>
    <t>아이나비 Z9900</t>
    <phoneticPr fontId="4" type="noConversion"/>
  </si>
  <si>
    <t>Benz-025</t>
    <phoneticPr fontId="4" type="noConversion"/>
  </si>
  <si>
    <t>중앙인더스피아제3공장</t>
    <phoneticPr fontId="4" type="noConversion"/>
  </si>
  <si>
    <t>안광선 회장님</t>
    <phoneticPr fontId="4" type="noConversion"/>
  </si>
  <si>
    <t>010-5241-4431</t>
    <phoneticPr fontId="4" type="noConversion"/>
  </si>
  <si>
    <t>옵시디언 블랙 / 블랙</t>
    <phoneticPr fontId="4" type="noConversion"/>
  </si>
  <si>
    <t>W1K6G6DB4SA339335</t>
    <phoneticPr fontId="4" type="noConversion"/>
  </si>
  <si>
    <t>142호9153</t>
    <phoneticPr fontId="4" type="noConversion"/>
  </si>
  <si>
    <t>강남대로 전시장</t>
    <phoneticPr fontId="4" type="noConversion"/>
  </si>
  <si>
    <t>induspia3@naver.com</t>
    <phoneticPr fontId="4" type="noConversion"/>
  </si>
  <si>
    <t>정선보 팀장</t>
    <phoneticPr fontId="4" type="noConversion"/>
  </si>
  <si>
    <t>안광선(중앙인더스피아제3공장)</t>
    <phoneticPr fontId="4" type="noConversion"/>
  </si>
  <si>
    <t>1002-951-249199</t>
    <phoneticPr fontId="4" type="noConversion"/>
  </si>
  <si>
    <t>129-01-08732</t>
    <phoneticPr fontId="4" type="noConversion"/>
  </si>
  <si>
    <t>경기도 성남시 중원구 사기막골로105번길 27(상대원동)</t>
    <phoneticPr fontId="4" type="noConversion"/>
  </si>
  <si>
    <t>Ionic6-001</t>
    <phoneticPr fontId="4" type="noConversion"/>
  </si>
  <si>
    <t>아이오닉6</t>
    <phoneticPr fontId="4" type="noConversion"/>
  </si>
  <si>
    <t>2WD 스탠다드 18인치 E-VALUE+</t>
    <phoneticPr fontId="4" type="noConversion"/>
  </si>
  <si>
    <t>KMHM141BFTA114035</t>
    <phoneticPr fontId="4" type="noConversion"/>
  </si>
  <si>
    <t>01호8407</t>
    <phoneticPr fontId="4" type="noConversion"/>
  </si>
  <si>
    <t>최진희 사원님</t>
    <phoneticPr fontId="4" type="noConversion"/>
  </si>
  <si>
    <t>010-4406-3573</t>
    <phoneticPr fontId="4" type="noConversion"/>
  </si>
  <si>
    <t>경기도 평택시 송탄로 421 송탄농협중앙지점</t>
    <phoneticPr fontId="4" type="noConversion"/>
  </si>
  <si>
    <t>Ionic6-002</t>
    <phoneticPr fontId="4" type="noConversion"/>
  </si>
  <si>
    <t>KMHM141BFTA114031</t>
    <phoneticPr fontId="4" type="noConversion"/>
  </si>
  <si>
    <t>01호8406</t>
    <phoneticPr fontId="4" type="noConversion"/>
  </si>
  <si>
    <t>경기도 용인시 기흥구 덕영대로1967번길 38-13</t>
    <phoneticPr fontId="4" type="noConversion"/>
  </si>
  <si>
    <t>Benz-003</t>
    <phoneticPr fontId="4" type="noConversion"/>
  </si>
  <si>
    <t>이명수 대표님</t>
    <phoneticPr fontId="4" type="noConversion"/>
  </si>
  <si>
    <t>김기조 대리님</t>
    <phoneticPr fontId="4" type="noConversion"/>
  </si>
  <si>
    <t>010-5591-5374</t>
    <phoneticPr fontId="4" type="noConversion"/>
  </si>
  <si>
    <t>bdlee@hwawoo.com</t>
  </si>
  <si>
    <t>청담</t>
    <phoneticPr fontId="4" type="noConversion"/>
  </si>
  <si>
    <t>서울시 강남구 영동대로 517(삼성동, 아셈타워 18,19,22,23,34층)</t>
    <phoneticPr fontId="4" type="noConversion"/>
  </si>
  <si>
    <t>114646-0038056</t>
    <phoneticPr fontId="4" type="noConversion"/>
  </si>
  <si>
    <t>G80-008</t>
    <phoneticPr fontId="4" type="noConversion"/>
  </si>
  <si>
    <t>테즈먼 블루/옵시디언 블랙 모노톤</t>
    <phoneticPr fontId="4" type="noConversion"/>
  </si>
  <si>
    <t>KMTGB41CDTU322678</t>
    <phoneticPr fontId="4" type="noConversion"/>
  </si>
  <si>
    <t>142호9486</t>
    <phoneticPr fontId="4" type="noConversion"/>
  </si>
  <si>
    <t>파퓰어 패키지(225만)</t>
    <phoneticPr fontId="4" type="noConversion"/>
  </si>
  <si>
    <t>이현중 팀장님</t>
    <phoneticPr fontId="4" type="noConversion"/>
  </si>
  <si>
    <t>010-4611-9239</t>
    <phoneticPr fontId="4" type="noConversion"/>
  </si>
  <si>
    <t>010-2079-8864</t>
    <phoneticPr fontId="4" type="noConversion"/>
  </si>
  <si>
    <t>주식회사 지엔</t>
    <phoneticPr fontId="4" type="noConversion"/>
  </si>
  <si>
    <t>경기도 의왕시 뒷골길 24, 1층(내손동)</t>
    <phoneticPr fontId="4" type="noConversion"/>
  </si>
  <si>
    <t>134111-0423454</t>
    <phoneticPr fontId="4" type="noConversion"/>
  </si>
  <si>
    <t>Benz-001</t>
    <phoneticPr fontId="4" type="noConversion"/>
  </si>
  <si>
    <t>G80-001</t>
    <phoneticPr fontId="4" type="noConversion"/>
  </si>
  <si>
    <t>이상빈</t>
    <phoneticPr fontId="4" type="noConversion"/>
  </si>
  <si>
    <t>이상빈 고객님</t>
    <phoneticPr fontId="4" type="noConversion"/>
  </si>
  <si>
    <t>010-8321-0684</t>
    <phoneticPr fontId="4" type="noConversion"/>
  </si>
  <si>
    <t>서울시 서초구 양재천로 117-18</t>
    <phoneticPr fontId="4" type="noConversion"/>
  </si>
  <si>
    <t>110-021-307642</t>
    <phoneticPr fontId="4" type="noConversion"/>
  </si>
  <si>
    <t>510817-1023729</t>
    <phoneticPr fontId="4" type="noConversion"/>
  </si>
  <si>
    <t>Ray-054</t>
    <phoneticPr fontId="4" type="noConversion"/>
  </si>
  <si>
    <t>정상태</t>
    <phoneticPr fontId="4" type="noConversion"/>
  </si>
  <si>
    <t>정상태 고객님</t>
    <phoneticPr fontId="4" type="noConversion"/>
  </si>
  <si>
    <t>010-3322-1600</t>
    <phoneticPr fontId="4" type="noConversion"/>
  </si>
  <si>
    <t>더 뉴 레이</t>
    <phoneticPr fontId="4" type="noConversion"/>
  </si>
  <si>
    <t xml:space="preserve"> 가솔린 시그니처(A/T 2026MY)</t>
    <phoneticPr fontId="4" type="noConversion"/>
  </si>
  <si>
    <t>클리어 확이트/라이트 그레이</t>
    <phoneticPr fontId="4" type="noConversion"/>
  </si>
  <si>
    <t>KNACH811BTT460300</t>
    <phoneticPr fontId="4" type="noConversion"/>
  </si>
  <si>
    <t>142호9555</t>
    <phoneticPr fontId="4" type="noConversion"/>
  </si>
  <si>
    <t>스타일(50만), 8인치 내비게이션(50만)</t>
    <phoneticPr fontId="4" type="noConversion"/>
  </si>
  <si>
    <t>경기도 하남시 위례대로 6길 20, 7103동1402호</t>
    <phoneticPr fontId="4" type="noConversion"/>
  </si>
  <si>
    <t>1bdoffice@naver.com</t>
    <phoneticPr fontId="4" type="noConversion"/>
  </si>
  <si>
    <t>블박 아이나비 Z7000</t>
    <phoneticPr fontId="4" type="noConversion"/>
  </si>
  <si>
    <t>100-023-689051</t>
    <phoneticPr fontId="4" type="noConversion"/>
  </si>
  <si>
    <t>120-06-60643</t>
    <phoneticPr fontId="4" type="noConversion"/>
  </si>
  <si>
    <t>서울특별시 강남구 도곡로 444(대치동)</t>
    <phoneticPr fontId="4" type="noConversion"/>
  </si>
  <si>
    <t>G80-002</t>
    <phoneticPr fontId="4" type="noConversion"/>
  </si>
  <si>
    <t>㈜다성테크</t>
    <phoneticPr fontId="4" type="noConversion"/>
  </si>
  <si>
    <t>정성조 주임님</t>
    <phoneticPr fontId="4" type="noConversion"/>
  </si>
  <si>
    <t>010-2790-9069</t>
  </si>
  <si>
    <t>경기도 이천시 마장면 서이천로 195</t>
    <phoneticPr fontId="4" type="noConversion"/>
  </si>
  <si>
    <t>spjoint@bill36524.com</t>
    <phoneticPr fontId="4" type="noConversion"/>
  </si>
  <si>
    <t>010-2790-9069</t>
    <phoneticPr fontId="4" type="noConversion"/>
  </si>
  <si>
    <t>241-053678-01-019</t>
    <phoneticPr fontId="4" type="noConversion"/>
  </si>
  <si>
    <t>126-81-94866</t>
    <phoneticPr fontId="4" type="noConversion"/>
  </si>
  <si>
    <t>134411-0031764</t>
    <phoneticPr fontId="4" type="noConversion"/>
  </si>
  <si>
    <t>Avante-004</t>
    <phoneticPr fontId="4" type="noConversion"/>
  </si>
  <si>
    <t xml:space="preserve">아반떼 </t>
    <phoneticPr fontId="4" type="noConversion"/>
  </si>
  <si>
    <t>1.6 Modern A/T</t>
    <phoneticPr fontId="4" type="noConversion"/>
  </si>
  <si>
    <t>아틀라스 화이트 / 블랙 원톤</t>
    <phoneticPr fontId="4" type="noConversion"/>
  </si>
  <si>
    <t>KMHLN41EETU168536</t>
    <phoneticPr fontId="4" type="noConversion"/>
  </si>
  <si>
    <t>151호1309</t>
    <phoneticPr fontId="4" type="noConversion"/>
  </si>
  <si>
    <t>현대 스마트센스(129만), 파킹 어시스트 플러스(69만)</t>
    <phoneticPr fontId="4" type="noConversion"/>
  </si>
  <si>
    <t>연1회 총 4회 제공</t>
    <phoneticPr fontId="4" type="noConversion"/>
  </si>
  <si>
    <t>타바론코리아주식회사</t>
    <phoneticPr fontId="4" type="noConversion"/>
  </si>
  <si>
    <t>110111-3952127</t>
    <phoneticPr fontId="4" type="noConversion"/>
  </si>
  <si>
    <t>Avante-001</t>
  </si>
  <si>
    <t>김수연 원장님</t>
  </si>
  <si>
    <t>010-2678-8856</t>
  </si>
  <si>
    <t>Avante</t>
  </si>
  <si>
    <t>폴라 화이트/블랙모노톤</t>
  </si>
  <si>
    <t>가솔린</t>
  </si>
  <si>
    <t>KMHLM41EEPU454892</t>
  </si>
  <si>
    <t>125호5281</t>
  </si>
  <si>
    <t>-</t>
  </si>
  <si>
    <t>3</t>
  </si>
  <si>
    <t>만26세</t>
  </si>
  <si>
    <t>무한대</t>
  </si>
  <si>
    <t>2억원</t>
  </si>
  <si>
    <t>1억원/1500만</t>
  </si>
  <si>
    <t>30만원</t>
  </si>
  <si>
    <t>누구나</t>
  </si>
  <si>
    <t>5회/년</t>
  </si>
  <si>
    <t>가입</t>
  </si>
  <si>
    <t>브랜드보증 외 사용자 부담</t>
  </si>
  <si>
    <t>현금</t>
  </si>
  <si>
    <t>ksykja@naver.com</t>
  </si>
  <si>
    <t>현대</t>
  </si>
  <si>
    <t>박현식 부장</t>
  </si>
  <si>
    <t>김수연</t>
  </si>
  <si>
    <t>하나은행</t>
  </si>
  <si>
    <t>876-032006-91407</t>
  </si>
  <si>
    <t>750816-2925111</t>
  </si>
  <si>
    <t>경기도 하남시 위례광장로 285, 6208동 402호</t>
  </si>
  <si>
    <t>GV80-003</t>
    <phoneticPr fontId="4" type="noConversion"/>
  </si>
  <si>
    <t>(주)다산제약</t>
    <phoneticPr fontId="4" type="noConversion"/>
  </si>
  <si>
    <t>wb.liss_song@dspharm.com</t>
    <phoneticPr fontId="4" type="noConversion"/>
  </si>
  <si>
    <t>jg_byeon@dspharm.com</t>
    <phoneticPr fontId="4" type="noConversion"/>
  </si>
  <si>
    <t>106-018181-01-036</t>
    <phoneticPr fontId="4" type="noConversion"/>
  </si>
  <si>
    <t>105-81-84395</t>
    <phoneticPr fontId="4" type="noConversion"/>
  </si>
  <si>
    <t>충청남도 아산시 도고면 덕암산로 342</t>
    <phoneticPr fontId="4" type="noConversion"/>
  </si>
  <si>
    <t>110111-1358682</t>
    <phoneticPr fontId="4" type="noConversion"/>
  </si>
  <si>
    <t>Ray-055</t>
    <phoneticPr fontId="4" type="noConversion"/>
  </si>
  <si>
    <t>010-9352-1984</t>
    <phoneticPr fontId="4" type="noConversion"/>
  </si>
  <si>
    <t>KNACF811BTT465119</t>
    <phoneticPr fontId="4" type="noConversion"/>
  </si>
  <si>
    <t>151호1348</t>
    <phoneticPr fontId="4" type="noConversion"/>
  </si>
  <si>
    <t>버튼시동 스마트키(30만), 8인치 내비게이션(140만)</t>
    <phoneticPr fontId="4" type="noConversion"/>
  </si>
  <si>
    <t>김인숙 주임님</t>
    <phoneticPr fontId="4" type="noConversion"/>
  </si>
  <si>
    <t>㈜삼지</t>
    <phoneticPr fontId="4" type="noConversion"/>
  </si>
  <si>
    <t>587-072563-04-011</t>
    <phoneticPr fontId="4" type="noConversion"/>
  </si>
  <si>
    <t>856-87-03167</t>
    <phoneticPr fontId="4" type="noConversion"/>
  </si>
  <si>
    <t>134611-0141189</t>
    <phoneticPr fontId="4" type="noConversion"/>
  </si>
  <si>
    <t>Grander-008</t>
    <phoneticPr fontId="4" type="noConversion"/>
  </si>
  <si>
    <t>(주)유엔에스</t>
    <phoneticPr fontId="4" type="noConversion"/>
  </si>
  <si>
    <t>권영희 고객님</t>
    <phoneticPr fontId="4" type="noConversion"/>
  </si>
  <si>
    <t>010-6310-8117</t>
    <phoneticPr fontId="4" type="noConversion"/>
  </si>
  <si>
    <t>1.6T 하이브리드 프리미엄</t>
    <phoneticPr fontId="4" type="noConversion"/>
  </si>
  <si>
    <t>KMHN1411BTA146899</t>
    <phoneticPr fontId="4" type="noConversion"/>
  </si>
  <si>
    <t>142호9269</t>
    <phoneticPr fontId="4" type="noConversion"/>
  </si>
  <si>
    <t>파킹어시스트(143만), 현대스마트센트1(84만)</t>
    <phoneticPr fontId="4" type="noConversion"/>
  </si>
  <si>
    <t>applehee0@naver.com</t>
    <phoneticPr fontId="4" type="noConversion"/>
  </si>
  <si>
    <t>우산 2개</t>
    <phoneticPr fontId="4" type="noConversion"/>
  </si>
  <si>
    <t>PPF+유리막</t>
    <phoneticPr fontId="4" type="noConversion"/>
  </si>
  <si>
    <t>㈜유엔에스</t>
    <phoneticPr fontId="4" type="noConversion"/>
  </si>
  <si>
    <t>1005-304-199994</t>
    <phoneticPr fontId="4" type="noConversion"/>
  </si>
  <si>
    <t>557-81-02181</t>
    <phoneticPr fontId="4" type="noConversion"/>
  </si>
  <si>
    <t>경기도 화성시 효행구 봉담읍 샘마을길 4-16, 1동 601호(봉담코아루카
보드줌시티)</t>
    <phoneticPr fontId="4" type="noConversion"/>
  </si>
  <si>
    <t>134811-0625329</t>
    <phoneticPr fontId="4" type="noConversion"/>
  </si>
  <si>
    <t>Grander-009</t>
    <phoneticPr fontId="4" type="noConversion"/>
  </si>
  <si>
    <t>김대환</t>
    <phoneticPr fontId="4" type="noConversion"/>
  </si>
  <si>
    <t>김대환 회장님</t>
    <phoneticPr fontId="4" type="noConversion"/>
  </si>
  <si>
    <t>010-5240-4361</t>
    <phoneticPr fontId="4" type="noConversion"/>
  </si>
  <si>
    <t>KMHN1411BTA146773</t>
    <phoneticPr fontId="4" type="noConversion"/>
  </si>
  <si>
    <t>151호1370</t>
    <phoneticPr fontId="4" type="noConversion"/>
  </si>
  <si>
    <t>파킹어시스트(143만), 현대스마트센트1(84만), 플래티넘(129만)</t>
    <phoneticPr fontId="4" type="noConversion"/>
  </si>
  <si>
    <t>김건우 회장님</t>
    <phoneticPr fontId="4" type="noConversion"/>
  </si>
  <si>
    <t>경기도 화성시 만세구 향남읍 상신하길로 65,1703동 902호</t>
    <phoneticPr fontId="4" type="noConversion"/>
  </si>
  <si>
    <t>kdh5250@naver.com</t>
    <phoneticPr fontId="4" type="noConversion"/>
  </si>
  <si>
    <t>853802-04-220628</t>
    <phoneticPr fontId="4" type="noConversion"/>
  </si>
  <si>
    <t>660908-1029438</t>
    <phoneticPr fontId="4" type="noConversion"/>
  </si>
  <si>
    <t>경기도 화성시 만세구 향남읍 상신하길로 65, 1703동 902호</t>
    <phoneticPr fontId="4" type="noConversion"/>
  </si>
  <si>
    <t>Grander-010</t>
    <phoneticPr fontId="4" type="noConversion"/>
  </si>
  <si>
    <t>지앤텍벤처투자㈜</t>
    <phoneticPr fontId="4" type="noConversion"/>
  </si>
  <si>
    <t>홍충희 대표님</t>
    <phoneticPr fontId="4" type="noConversion"/>
  </si>
  <si>
    <t>010-6648-4029</t>
    <phoneticPr fontId="4" type="noConversion"/>
  </si>
  <si>
    <t>3.5 아너스 2WD</t>
    <phoneticPr fontId="4" type="noConversion"/>
  </si>
  <si>
    <t>어비스블랙펄/블랙/브라운투톤</t>
    <phoneticPr fontId="4" type="noConversion"/>
  </si>
  <si>
    <t>KMHN241EBTA144151</t>
    <phoneticPr fontId="4" type="noConversion"/>
  </si>
  <si>
    <t>151호1371</t>
    <phoneticPr fontId="4" type="noConversion"/>
  </si>
  <si>
    <t>2열컴포트 패키지(99만), 헤드업 디스플레이(99만), 빌트인 공기청정기2.0(59만)</t>
    <phoneticPr fontId="4" type="noConversion"/>
  </si>
  <si>
    <t>최정인 과장님</t>
    <phoneticPr fontId="4" type="noConversion"/>
  </si>
  <si>
    <t>서울특별시 강남구 테헤란로 516, 9층(대치동, 정헌빌딩)</t>
    <phoneticPr fontId="4" type="noConversion"/>
  </si>
  <si>
    <t>jichoe@gntechvc.co.kr</t>
    <phoneticPr fontId="4" type="noConversion"/>
  </si>
  <si>
    <t>140-010-200466</t>
    <phoneticPr fontId="4" type="noConversion"/>
  </si>
  <si>
    <t>211-86-94062</t>
    <phoneticPr fontId="4" type="noConversion"/>
  </si>
  <si>
    <t>110111-1920887</t>
    <phoneticPr fontId="4" type="noConversion"/>
  </si>
  <si>
    <t>G80-009</t>
    <phoneticPr fontId="4" type="noConversion"/>
  </si>
  <si>
    <t>(주)모니터랩</t>
    <phoneticPr fontId="4" type="noConversion"/>
  </si>
  <si>
    <t>이광후 대표님</t>
    <phoneticPr fontId="4" type="noConversion"/>
  </si>
  <si>
    <t>010-5878-5544</t>
    <phoneticPr fontId="4" type="noConversion"/>
  </si>
  <si>
    <t>2.5T AWD 18인치 25MY</t>
    <phoneticPr fontId="4" type="noConversion"/>
  </si>
  <si>
    <t>비크블랙 / 에크루 카멜 모노톤</t>
    <phoneticPr fontId="4" type="noConversion"/>
  </si>
  <si>
    <t>KMTGB41CDTU328051</t>
    <phoneticPr fontId="4" type="noConversion"/>
  </si>
  <si>
    <t>142호9264</t>
    <phoneticPr fontId="4" type="noConversion"/>
  </si>
  <si>
    <t>파퓰러 패키지(255만)</t>
    <phoneticPr fontId="4" type="noConversion"/>
  </si>
  <si>
    <t>김준성 부장님</t>
    <phoneticPr fontId="4" type="noConversion"/>
  </si>
  <si>
    <t>서울시 구로구 디지털로 306 대륭포스트타워 2차 1008호 (주)모니터랩</t>
    <phoneticPr fontId="4" type="noConversion"/>
  </si>
  <si>
    <t>빌트인 캠</t>
    <phoneticPr fontId="4" type="noConversion"/>
  </si>
  <si>
    <t>juneskim@monitorapp.com</t>
    <phoneticPr fontId="4" type="noConversion"/>
  </si>
  <si>
    <t>㈜모니터랩</t>
    <phoneticPr fontId="4" type="noConversion"/>
  </si>
  <si>
    <t>215-058130-04-018</t>
    <phoneticPr fontId="4" type="noConversion"/>
  </si>
  <si>
    <t>214-87-66413</t>
    <phoneticPr fontId="4" type="noConversion"/>
  </si>
  <si>
    <t>서울특별시 구로구 디지털로 306, 1008호(구로동, 대륭포스트타워2차)</t>
    <phoneticPr fontId="4" type="noConversion"/>
  </si>
  <si>
    <t>110111-3173351</t>
    <phoneticPr fontId="4" type="noConversion"/>
  </si>
  <si>
    <t>Tucson-001</t>
    <phoneticPr fontId="4" type="noConversion"/>
  </si>
  <si>
    <t>㈜대경인트라넷</t>
    <phoneticPr fontId="4" type="noConversion"/>
  </si>
  <si>
    <t>투싼</t>
    <phoneticPr fontId="4" type="noConversion"/>
  </si>
  <si>
    <t xml:space="preserve"> 1.6T Inspiration 2WD DCT</t>
    <phoneticPr fontId="4" type="noConversion"/>
  </si>
  <si>
    <t>크리미화이트펄 / 블랙/그레이 투톤(퀄팅천연가죽 시트)</t>
    <phoneticPr fontId="4" type="noConversion"/>
  </si>
  <si>
    <t>KMHJE81BGTU475155</t>
    <phoneticPr fontId="4" type="noConversion"/>
  </si>
  <si>
    <t>151호1372</t>
    <phoneticPr fontId="4" type="noConversion"/>
  </si>
  <si>
    <t>빌트인 캠 2, 증강현실 내비게이션 (45만), 베스트 셀렉션Ⅲ 122만, H Genuine Accessories 빌트인 공기청정기 (40만), 프로텍션 매트 패키지 1(23만), 러기지 패키지 (12만), 블랙 사이드스텝 (39만)</t>
    <phoneticPr fontId="4" type="noConversion"/>
  </si>
  <si>
    <t>010-9096-7767</t>
    <phoneticPr fontId="4" type="noConversion"/>
  </si>
  <si>
    <t>경기도 시흥시 계수로 213 대경인트라넷</t>
    <phoneticPr fontId="4" type="noConversion"/>
  </si>
  <si>
    <t>㈜대경인트라넷 이강열</t>
    <phoneticPr fontId="4" type="noConversion"/>
  </si>
  <si>
    <t>서울특별시 구로구 오리로 17길 70, 지층-2(궁동)</t>
    <phoneticPr fontId="4" type="noConversion"/>
  </si>
  <si>
    <t>110111-1963407</t>
    <phoneticPr fontId="4" type="noConversion"/>
  </si>
  <si>
    <t>Tesla-001</t>
    <phoneticPr fontId="4" type="noConversion"/>
  </si>
  <si>
    <t>동성정공㈜</t>
    <phoneticPr fontId="4" type="noConversion"/>
  </si>
  <si>
    <t>한현수 대표님</t>
    <phoneticPr fontId="4" type="noConversion"/>
  </si>
  <si>
    <t>010-2203-8126</t>
    <phoneticPr fontId="4" type="noConversion"/>
  </si>
  <si>
    <t>Model S Plaid</t>
    <phoneticPr fontId="4" type="noConversion"/>
  </si>
  <si>
    <t>21인치 벨라리움 휠</t>
    <phoneticPr fontId="4" type="noConversion"/>
  </si>
  <si>
    <t>Ultra Red / Cream 인테리어와 카본 파이버 데코 및 스포츠 시트</t>
    <phoneticPr fontId="4" type="noConversion"/>
  </si>
  <si>
    <t>5YJSA1E6XTF564107</t>
    <phoneticPr fontId="4" type="noConversion"/>
  </si>
  <si>
    <t>34호3318</t>
    <phoneticPr fontId="4" type="noConversion"/>
  </si>
  <si>
    <t>Ultra Red(4,310,000), Cream 인테리어와 카본 파이버 데코 및 스포츠 시트(2,874,000), 요크 스티어링 휠(1,461,000), 오토파일럿(Included)</t>
    <phoneticPr fontId="4" type="noConversion"/>
  </si>
  <si>
    <t>경기도 안산시 단원구 성곡로 78, 607동 25호(성곡동, 반원공단)</t>
    <phoneticPr fontId="4" type="noConversion"/>
  </si>
  <si>
    <t>순정 내장형 대시캠, 센트리 모드 탑제</t>
    <phoneticPr fontId="4" type="noConversion"/>
  </si>
  <si>
    <t>버택스 500 전면 35%, 측면1열 15%, 측면2열 및 후면 5%, 썬루프 35%</t>
    <phoneticPr fontId="4" type="noConversion"/>
  </si>
  <si>
    <t>dsmold1@bill36524.com</t>
    <phoneticPr fontId="4" type="noConversion"/>
  </si>
  <si>
    <t>테슬라</t>
    <phoneticPr fontId="4" type="noConversion"/>
  </si>
  <si>
    <t>없음</t>
    <phoneticPr fontId="4" type="noConversion"/>
  </si>
  <si>
    <t>409-001153-04-011</t>
    <phoneticPr fontId="4" type="noConversion"/>
  </si>
  <si>
    <t>134-81-31106</t>
    <phoneticPr fontId="4" type="noConversion"/>
  </si>
  <si>
    <t>경기도 안산시 단원구 성곡로 78, 607동 25호(성곡동, 반월공단)</t>
    <phoneticPr fontId="4" type="noConversion"/>
  </si>
  <si>
    <t>135011-0060728</t>
    <phoneticPr fontId="4" type="noConversion"/>
  </si>
  <si>
    <t>K9-001</t>
    <phoneticPr fontId="4" type="noConversion"/>
  </si>
  <si>
    <t>김재환 대리님</t>
    <phoneticPr fontId="4" type="noConversion"/>
  </si>
  <si>
    <t>010-2360-9309</t>
    <phoneticPr fontId="4" type="noConversion"/>
  </si>
  <si>
    <t>자율반납</t>
    <phoneticPr fontId="4" type="noConversion"/>
  </si>
  <si>
    <t>경기도 수원시 장안구 수성로 350번길 30(영화동)</t>
    <phoneticPr fontId="4" type="noConversion"/>
  </si>
  <si>
    <t>134111-0007943</t>
    <phoneticPr fontId="4" type="noConversion"/>
  </si>
  <si>
    <t>Grander-011</t>
    <phoneticPr fontId="4" type="noConversion"/>
  </si>
  <si>
    <t>어비스 블랙 펄/인디고/브라운투톤</t>
    <phoneticPr fontId="4" type="noConversion"/>
  </si>
  <si>
    <t>KMHN141DBTA141332</t>
    <phoneticPr fontId="4" type="noConversion"/>
  </si>
  <si>
    <t>151호1386</t>
    <phoneticPr fontId="4" type="noConversion"/>
  </si>
  <si>
    <t>GV70-002</t>
    <phoneticPr fontId="4" type="noConversion"/>
  </si>
  <si>
    <t>이명주 원장님</t>
    <phoneticPr fontId="4" type="noConversion"/>
  </si>
  <si>
    <t>010-3606-6626</t>
  </si>
  <si>
    <t>우유니 화이트/옵시디언블랙 모노톤</t>
    <phoneticPr fontId="4" type="noConversion"/>
  </si>
  <si>
    <t>KMTMA81BDTU287666</t>
    <phoneticPr fontId="4" type="noConversion"/>
  </si>
  <si>
    <t>151호1700</t>
    <phoneticPr fontId="4" type="noConversion"/>
  </si>
  <si>
    <t>파퓰러패키지2(660만)</t>
    <phoneticPr fontId="4" type="noConversion"/>
  </si>
  <si>
    <t>강승혜 고객님</t>
    <phoneticPr fontId="4" type="noConversion"/>
  </si>
  <si>
    <t>010-8620-6626</t>
    <phoneticPr fontId="4" type="noConversion"/>
  </si>
  <si>
    <t>제주시 은남1길 46, 3층(연동)</t>
    <phoneticPr fontId="4" type="noConversion"/>
  </si>
  <si>
    <t>레인보우 i55 : 전면 35, 측후면 15%</t>
    <phoneticPr fontId="4" type="noConversion"/>
  </si>
  <si>
    <t>브릿지 스톤 앞, 뒤 235/60 R18</t>
    <phoneticPr fontId="4" type="noConversion"/>
  </si>
  <si>
    <t xml:space="preserve">vipps1004@naver.com </t>
    <phoneticPr fontId="4" type="noConversion"/>
  </si>
  <si>
    <t>이명주</t>
    <phoneticPr fontId="4" type="noConversion"/>
  </si>
  <si>
    <t>781-910725-45407</t>
    <phoneticPr fontId="4" type="noConversion"/>
  </si>
  <si>
    <t>841-58-00455</t>
    <phoneticPr fontId="4" type="noConversion"/>
  </si>
  <si>
    <t>제주특별자치도 제주시 은남1길 46, 3층(연동)</t>
    <phoneticPr fontId="4" type="noConversion"/>
  </si>
  <si>
    <t>Benz-028</t>
    <phoneticPr fontId="4" type="noConversion"/>
  </si>
  <si>
    <t>GLE 450</t>
    <phoneticPr fontId="4" type="noConversion"/>
  </si>
  <si>
    <t>화이트/브라운</t>
    <phoneticPr fontId="4" type="noConversion"/>
  </si>
  <si>
    <t>W1NFB5KB0SB376505</t>
    <phoneticPr fontId="4" type="noConversion"/>
  </si>
  <si>
    <t>125하5497</t>
    <phoneticPr fontId="4" type="noConversion"/>
  </si>
  <si>
    <t>Seltos-001</t>
    <phoneticPr fontId="4" type="noConversion"/>
  </si>
  <si>
    <t>셀토스</t>
    <phoneticPr fontId="4" type="noConversion"/>
  </si>
  <si>
    <t>1.6T 트렌디 2WD</t>
    <phoneticPr fontId="4" type="noConversion"/>
  </si>
  <si>
    <t>그래비티그레이/그레이</t>
    <phoneticPr fontId="4" type="noConversion"/>
  </si>
  <si>
    <t>컨비니언스(64만), 12.3인치 내비게이션(109만), 12.3인치 클러스터(40만), 드라이브 와이즈(119만)</t>
    <phoneticPr fontId="4" type="noConversion"/>
  </si>
  <si>
    <t>Seltos-002</t>
  </si>
  <si>
    <t>Seltos-003</t>
    <phoneticPr fontId="4" type="noConversion"/>
  </si>
  <si>
    <t>Seltos-004</t>
  </si>
  <si>
    <t>Seltos-005</t>
  </si>
  <si>
    <t>GV80-006</t>
    <phoneticPr fontId="4" type="noConversion"/>
  </si>
  <si>
    <t>3.5T 22인치 SDS2 AWD 26MY 5인승</t>
    <phoneticPr fontId="4" type="noConversion"/>
  </si>
  <si>
    <t>KMTHC81CDTU356471</t>
    <phoneticPr fontId="4" type="noConversion"/>
  </si>
  <si>
    <t>151호2250</t>
    <phoneticPr fontId="4" type="noConversion"/>
  </si>
  <si>
    <t>파퓰러 패키지 (5인승)(620만), 뱅앤올룹슨 사운드 패키지(190만), 컨비니언스 패키지(320만), 파노라마 선루프(140만), 후석 컴포트 패키지 (5인승)(290만), 플로팅 휠캡(9만)</t>
    <phoneticPr fontId="4" type="noConversion"/>
  </si>
  <si>
    <t>송우빈 사원님</t>
    <phoneticPr fontId="4" type="noConversion"/>
  </si>
  <si>
    <t>010-2823-9671</t>
    <phoneticPr fontId="4" type="noConversion"/>
  </si>
  <si>
    <t>버텍스300 전면 35%/1열 15%, 2열, 후면 5%</t>
    <phoneticPr fontId="4" type="noConversion"/>
  </si>
  <si>
    <t>Tesla-002</t>
    <phoneticPr fontId="4" type="noConversion"/>
  </si>
  <si>
    <t>배스킨라빈스 별내카페거리점</t>
    <phoneticPr fontId="4" type="noConversion"/>
  </si>
  <si>
    <t>남문수 고객님</t>
    <phoneticPr fontId="4" type="noConversion"/>
  </si>
  <si>
    <t>010-2696-8079</t>
    <phoneticPr fontId="4" type="noConversion"/>
  </si>
  <si>
    <t>Model Y Premium RWD</t>
    <phoneticPr fontId="4" type="noConversion"/>
  </si>
  <si>
    <t>19인치 크로스플로 휠</t>
    <phoneticPr fontId="4" type="noConversion"/>
  </si>
  <si>
    <t>Stealth Grey / All Black 인테리어</t>
    <phoneticPr fontId="4" type="noConversion"/>
  </si>
  <si>
    <t>오토파일럿</t>
    <phoneticPr fontId="4" type="noConversion"/>
  </si>
  <si>
    <t>남문수</t>
    <phoneticPr fontId="4" type="noConversion"/>
  </si>
  <si>
    <t>110-031-755429</t>
    <phoneticPr fontId="4" type="noConversion"/>
  </si>
  <si>
    <t>779-56-00840</t>
    <phoneticPr fontId="4" type="noConversion"/>
  </si>
  <si>
    <t>경기도 남양주시 두물로11번길 42, 1층 일부호(별내동, e드림타워)</t>
    <phoneticPr fontId="4" type="noConversion"/>
  </si>
  <si>
    <t>GV80-007</t>
    <phoneticPr fontId="4" type="noConversion"/>
  </si>
  <si>
    <t>5인승 2.5T AWD 19인치 SDS2</t>
    <phoneticPr fontId="4" type="noConversion"/>
  </si>
  <si>
    <t>마칼루 그레이 / 슬레이트그래이(보르도브라운 시트)/올리브애쉬</t>
    <phoneticPr fontId="4" type="noConversion"/>
  </si>
  <si>
    <t>KMTHA81BDTU361138</t>
    <phoneticPr fontId="4" type="noConversion"/>
  </si>
  <si>
    <t>151호2289</t>
    <phoneticPr fontId="4" type="noConversion"/>
  </si>
  <si>
    <t>[AWD전용] 파퓰러 패키지(5인승)(620만), 컨비니언스 패키지(320만)</t>
    <phoneticPr fontId="4" type="noConversion"/>
  </si>
  <si>
    <t>이경민 사원님</t>
    <phoneticPr fontId="4" type="noConversion"/>
  </si>
  <si>
    <t>010-2757-5051</t>
    <phoneticPr fontId="4" type="noConversion"/>
  </si>
  <si>
    <t>벤츠 우산 2개</t>
    <phoneticPr fontId="4" type="noConversion"/>
  </si>
  <si>
    <t>K8-002_2</t>
    <phoneticPr fontId="4" type="noConversion"/>
  </si>
  <si>
    <t>조욱제</t>
    <phoneticPr fontId="4" type="noConversion"/>
  </si>
  <si>
    <t>189-910019-82604</t>
    <phoneticPr fontId="4" type="noConversion"/>
  </si>
  <si>
    <t>114671-0039209</t>
    <phoneticPr fontId="4" type="noConversion"/>
  </si>
  <si>
    <t>Grander-012</t>
    <phoneticPr fontId="4" type="noConversion"/>
  </si>
  <si>
    <t>㈜다인누리</t>
    <phoneticPr fontId="4" type="noConversion"/>
  </si>
  <si>
    <t>구정훈 대표님</t>
    <phoneticPr fontId="4" type="noConversion"/>
  </si>
  <si>
    <t>010-6320-7776</t>
    <phoneticPr fontId="4" type="noConversion"/>
  </si>
  <si>
    <t>(H) 1.6T 2WD 프리미엄</t>
    <phoneticPr fontId="4" type="noConversion"/>
  </si>
  <si>
    <t>세레니티 화이트 펄 / 블랙원톤</t>
    <phoneticPr fontId="4" type="noConversion"/>
  </si>
  <si>
    <t>KMHN1411BVA166716</t>
    <phoneticPr fontId="4" type="noConversion"/>
  </si>
  <si>
    <t>151호2303</t>
    <phoneticPr fontId="4" type="noConversion"/>
  </si>
  <si>
    <t>현대 스마트센스(140만), 파킹 어시스트(170만), 빌트인캠(65만)</t>
    <phoneticPr fontId="4" type="noConversion"/>
  </si>
  <si>
    <t>이종석 이사님</t>
    <phoneticPr fontId="4" type="noConversion"/>
  </si>
  <si>
    <t>010-9160-1132</t>
    <phoneticPr fontId="4" type="noConversion"/>
  </si>
  <si>
    <t>인천광역시 서구 북항로 76-45 (주)다인누리</t>
    <phoneticPr fontId="4" type="noConversion"/>
  </si>
  <si>
    <t>13038@daum.net</t>
    <phoneticPr fontId="4" type="noConversion"/>
  </si>
  <si>
    <t>벤츠 우산 1개</t>
    <phoneticPr fontId="4" type="noConversion"/>
  </si>
  <si>
    <t>659401-01-375605</t>
    <phoneticPr fontId="4" type="noConversion"/>
  </si>
  <si>
    <t>137-86-29002</t>
    <phoneticPr fontId="4" type="noConversion"/>
  </si>
  <si>
    <t>인천광역시 서구 북항로 76-45(원창동)</t>
    <phoneticPr fontId="4" type="noConversion"/>
  </si>
  <si>
    <t>120111-0639916</t>
    <phoneticPr fontId="4" type="noConversion"/>
  </si>
  <si>
    <t>Palisade_002</t>
    <phoneticPr fontId="4" type="noConversion"/>
  </si>
  <si>
    <t>펠리세이드(H)</t>
    <phoneticPr fontId="4" type="noConversion"/>
  </si>
  <si>
    <t>2.5T 9인승 2WD 프레스티지</t>
    <phoneticPr fontId="4" type="noConversion"/>
  </si>
  <si>
    <t>크리미 화이트 펄/블랙원톤</t>
    <phoneticPr fontId="4" type="noConversion"/>
  </si>
  <si>
    <t>빌트인캠2(66만), 원격 스마트 주차보조(66만)</t>
    <phoneticPr fontId="4" type="noConversion"/>
  </si>
  <si>
    <t>ES300h-001</t>
    <phoneticPr fontId="4" type="noConversion"/>
  </si>
  <si>
    <t>㈜플로우스페이스랩</t>
    <phoneticPr fontId="4" type="noConversion"/>
  </si>
  <si>
    <t>이영영 대표님</t>
    <phoneticPr fontId="4" type="noConversion"/>
  </si>
  <si>
    <t>010-7938-5549</t>
    <phoneticPr fontId="4" type="noConversion"/>
  </si>
  <si>
    <t>ES300h EXECUTIVE</t>
    <phoneticPr fontId="4" type="noConversion"/>
  </si>
  <si>
    <t>화이트/블랙</t>
    <phoneticPr fontId="4" type="noConversion"/>
  </si>
  <si>
    <t>송기배 부장님</t>
    <phoneticPr fontId="4" type="noConversion"/>
  </si>
  <si>
    <t>010-9401-7586</t>
    <phoneticPr fontId="4" type="noConversion"/>
  </si>
  <si>
    <t>서울특별시 성동구 성수일로 77, 2층 215호(성수동1가, 서울숲 IT 밸리)</t>
    <phoneticPr fontId="4" type="noConversion"/>
  </si>
  <si>
    <t>flowspacelab@gmail.com</t>
    <phoneticPr fontId="4" type="noConversion"/>
  </si>
  <si>
    <t>서울특별시 성동구 성수일로 77, 2층 215호(성수동 1가, 서울숲 IT 밸리)</t>
    <phoneticPr fontId="4" type="noConversion"/>
  </si>
  <si>
    <t>191111-0107182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</si>
</sst>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#,##0_ "/>
    <numFmt numFmtId="178" formatCode="&quot;₩&quot;#,##0_);\(&quot;₩&quot;#,##0\)"/>
    <numFmt numFmtId="179" formatCode="@&quot;년&quot;"/>
    <numFmt numFmtId="180" formatCode="@&quot;개월&quot;"/>
    <numFmt numFmtId="181" formatCode="@&quot;일&quot;"/>
    <numFmt numFmtId="182" formatCode="0.0%"/>
    <numFmt numFmtId="183" formatCode="#,##0\ &quot;원&quot;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1" applyFont="1">
      <alignment vertical="center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6" fontId="5" fillId="2" borderId="1" xfId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1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76" fontId="0" fillId="0" borderId="2" xfId="1" applyFon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77" fontId="0" fillId="0" borderId="2" xfId="1" applyNumberFormat="1" applyFont="1" applyFill="1" applyBorder="1" applyAlignment="1">
      <alignment horizontal="center" vertical="center"/>
    </xf>
    <xf numFmtId="14" fontId="0" fillId="0" borderId="2" xfId="1" applyNumberFormat="1" applyFont="1" applyBorder="1" applyAlignment="1">
      <alignment horizontal="center" vertical="center"/>
    </xf>
    <xf numFmtId="176" fontId="6" fillId="3" borderId="2" xfId="1" applyFont="1" applyFill="1" applyBorder="1" applyAlignment="1">
      <alignment vertical="center"/>
    </xf>
    <xf numFmtId="14" fontId="0" fillId="0" borderId="2" xfId="1" applyNumberFormat="1" applyFont="1" applyFill="1" applyBorder="1" applyAlignment="1">
      <alignment horizontal="center" vertical="center"/>
    </xf>
    <xf numFmtId="176" fontId="7" fillId="0" borderId="2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7" fillId="0" borderId="2" xfId="2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quotePrefix="1" applyNumberFormat="1" applyBorder="1" applyAlignment="1">
      <alignment horizontal="center" vertical="center"/>
    </xf>
    <xf numFmtId="176" fontId="6" fillId="3" borderId="2" xfId="1" applyFont="1" applyFill="1" applyBorder="1" applyAlignment="1">
      <alignment horizontal="right" vertical="center"/>
    </xf>
    <xf numFmtId="180" fontId="0" fillId="0" borderId="2" xfId="1" applyNumberFormat="1" applyFont="1" applyFill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82" fontId="0" fillId="0" borderId="2" xfId="2" applyNumberFormat="1" applyFont="1" applyFill="1" applyBorder="1" applyAlignment="1">
      <alignment horizontal="center" vertical="center"/>
    </xf>
    <xf numFmtId="182" fontId="0" fillId="0" borderId="2" xfId="2" applyNumberFormat="1" applyFont="1" applyBorder="1" applyAlignment="1">
      <alignment horizontal="center" vertical="center"/>
    </xf>
    <xf numFmtId="176" fontId="3" fillId="0" borderId="2" xfId="3" applyNumberFormat="1" applyFill="1" applyBorder="1" applyAlignment="1">
      <alignment horizontal="center" vertical="center"/>
    </xf>
    <xf numFmtId="176" fontId="7" fillId="0" borderId="2" xfId="3" applyNumberFormat="1" applyFont="1" applyFill="1" applyBorder="1" applyAlignment="1">
      <alignment horizontal="center" vertical="center"/>
    </xf>
    <xf numFmtId="14" fontId="0" fillId="0" borderId="0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1" applyFont="1" applyFill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4" fontId="0" fillId="0" borderId="3" xfId="0" quotePrefix="1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7" fontId="0" fillId="0" borderId="3" xfId="1" applyNumberFormat="1" applyFont="1" applyFill="1" applyBorder="1" applyAlignment="1">
      <alignment horizontal="center" vertical="center"/>
    </xf>
    <xf numFmtId="176" fontId="0" fillId="0" borderId="3" xfId="1" applyFon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176" fontId="6" fillId="3" borderId="3" xfId="1" applyFont="1" applyFill="1" applyBorder="1" applyAlignment="1">
      <alignment vertical="center"/>
    </xf>
    <xf numFmtId="176" fontId="6" fillId="3" borderId="3" xfId="1" applyFont="1" applyFill="1" applyBorder="1" applyAlignment="1">
      <alignment horizontal="right" vertical="center"/>
    </xf>
    <xf numFmtId="180" fontId="0" fillId="0" borderId="3" xfId="1" applyNumberFormat="1" applyFont="1" applyFill="1" applyBorder="1" applyAlignment="1">
      <alignment horizontal="center" vertical="center"/>
    </xf>
    <xf numFmtId="9" fontId="0" fillId="0" borderId="3" xfId="2" applyFont="1" applyFill="1" applyBorder="1" applyAlignment="1">
      <alignment horizontal="center" vertical="center"/>
    </xf>
    <xf numFmtId="181" fontId="0" fillId="0" borderId="3" xfId="0" applyNumberFormat="1" applyBorder="1" applyAlignment="1">
      <alignment horizontal="center" vertical="center"/>
    </xf>
    <xf numFmtId="182" fontId="0" fillId="0" borderId="3" xfId="2" applyNumberFormat="1" applyFont="1" applyFill="1" applyBorder="1" applyAlignment="1">
      <alignment horizontal="center" vertical="center"/>
    </xf>
    <xf numFmtId="182" fontId="0" fillId="0" borderId="3" xfId="2" applyNumberFormat="1" applyFont="1" applyBorder="1" applyAlignment="1">
      <alignment horizontal="center" vertical="center"/>
    </xf>
    <xf numFmtId="176" fontId="3" fillId="0" borderId="3" xfId="3" applyNumberFormat="1" applyFill="1" applyBorder="1" applyAlignment="1">
      <alignment horizontal="center" vertical="center"/>
    </xf>
    <xf numFmtId="9" fontId="7" fillId="0" borderId="3" xfId="2" applyFont="1" applyFill="1" applyBorder="1" applyAlignment="1">
      <alignment horizontal="center" vertical="center"/>
    </xf>
    <xf numFmtId="176" fontId="7" fillId="0" borderId="3" xfId="3" applyNumberFormat="1" applyFont="1" applyFill="1" applyBorder="1" applyAlignment="1">
      <alignment horizontal="center" vertical="center"/>
    </xf>
    <xf numFmtId="176" fontId="7" fillId="0" borderId="3" xfId="1" applyFont="1" applyFill="1" applyBorder="1" applyAlignment="1">
      <alignment horizontal="center" vertical="center"/>
    </xf>
    <xf numFmtId="0" fontId="3" fillId="0" borderId="2" xfId="3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3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83" fontId="6" fillId="3" borderId="2" xfId="4" applyNumberFormat="1" applyFont="1" applyFill="1" applyBorder="1" applyAlignment="1">
      <alignment vertical="center"/>
    </xf>
    <xf numFmtId="176" fontId="3" fillId="0" borderId="2" xfId="5" applyNumberForma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176" fontId="6" fillId="0" borderId="2" xfId="3" applyNumberFormat="1" applyFont="1" applyFill="1" applyBorder="1" applyAlignment="1">
      <alignment horizontal="center" vertical="center"/>
    </xf>
    <xf numFmtId="176" fontId="2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0" fillId="0" borderId="3" xfId="1" applyNumberFormat="1" applyFont="1" applyFill="1" applyBorder="1" applyAlignment="1">
      <alignment horizontal="center" vertical="center"/>
    </xf>
    <xf numFmtId="176" fontId="0" fillId="0" borderId="2" xfId="1" applyFont="1" applyFill="1" applyBorder="1" applyAlignment="1">
      <alignment horizontal="center" vertical="center" wrapText="1"/>
    </xf>
    <xf numFmtId="176" fontId="9" fillId="0" borderId="2" xfId="1" applyFont="1" applyFill="1" applyBorder="1" applyAlignment="1">
      <alignment horizontal="center" vertical="center" wrapText="1"/>
    </xf>
    <xf numFmtId="176" fontId="10" fillId="0" borderId="2" xfId="3" applyNumberFormat="1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 wrapText="1"/>
    </xf>
    <xf numFmtId="182" fontId="7" fillId="0" borderId="2" xfId="2" applyNumberFormat="1" applyFont="1" applyFill="1" applyBorder="1" applyAlignment="1">
      <alignment horizontal="center" vertical="center"/>
    </xf>
    <xf numFmtId="182" fontId="10" fillId="0" borderId="2" xfId="2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182" fontId="3" fillId="0" borderId="2" xfId="2" applyNumberFormat="1" applyFont="1" applyFill="1" applyBorder="1" applyAlignment="1">
      <alignment horizontal="center" vertical="center"/>
    </xf>
    <xf numFmtId="176" fontId="11" fillId="0" borderId="2" xfId="5" applyNumberFormat="1" applyFont="1" applyFill="1" applyBorder="1" applyAlignment="1">
      <alignment horizontal="center" vertical="center"/>
    </xf>
    <xf numFmtId="176" fontId="7" fillId="0" borderId="2" xfId="5" applyNumberFormat="1" applyFont="1" applyBorder="1" applyAlignment="1">
      <alignment horizontal="center" vertical="center"/>
    </xf>
    <xf numFmtId="9" fontId="7" fillId="0" borderId="2" xfId="2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76" fontId="7" fillId="0" borderId="2" xfId="1" quotePrefix="1" applyFont="1" applyFill="1" applyBorder="1" applyAlignment="1">
      <alignment horizontal="center" vertical="center"/>
    </xf>
    <xf numFmtId="176" fontId="0" fillId="0" borderId="2" xfId="1" applyFont="1" applyBorder="1">
      <alignment vertical="center"/>
    </xf>
    <xf numFmtId="0" fontId="7" fillId="0" borderId="2" xfId="2" applyNumberFormat="1" applyFont="1" applyFill="1" applyBorder="1" applyAlignment="1">
      <alignment horizontal="center" vertical="center"/>
    </xf>
    <xf numFmtId="0" fontId="3" fillId="0" borderId="0" xfId="3" applyBorder="1">
      <alignment vertical="center"/>
    </xf>
    <xf numFmtId="177" fontId="0" fillId="0" borderId="2" xfId="1" applyNumberFormat="1" applyFont="1" applyBorder="1" applyAlignment="1">
      <alignment horizontal="center" vertical="center"/>
    </xf>
    <xf numFmtId="176" fontId="3" fillId="0" borderId="2" xfId="3" applyNumberFormat="1" applyBorder="1" applyAlignment="1">
      <alignment horizontal="center" vertical="center"/>
    </xf>
  </cellXfs>
  <cellStyles count="6">
    <cellStyle name="Hyperlink" xfId="5" xr:uid="{D35848D2-D57B-436B-BFB4-4A01458D0807}"/>
    <cellStyle name="백분율" xfId="2" builtinId="5"/>
    <cellStyle name="쉼표 [0]" xfId="1" builtinId="6"/>
    <cellStyle name="쉼표 [0] 2" xfId="4" xr:uid="{793C995F-6236-46DA-8AB2-7F05F31080E9}"/>
    <cellStyle name="표준" xfId="0" builtinId="0"/>
    <cellStyle name="하이퍼링크" xfId="3" builtinId="8"/>
  </cellStyles>
  <dxfs count="173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.%20&#47116;&#53944;&#52852;_&#51221;&#49328;&#49436;/1.%20&#47116;&#53944;&#52852;%20&#47588;&#51077;&#52264;&#47049;%20&#47532;&#49828;&#53944;%20&#44288;&#47532;.xlsx" TargetMode="External"/><Relationship Id="rId2" Type="http://schemas.openxmlformats.org/officeDocument/2006/relationships/externalLinkPath" Target="https://sdibenefit-my.sharepoint.com/personal/rent_sdibenefit_com/Documents/rentbenefit/5.%20&#47116;&#53944;&#52852;_&#51221;&#49328;&#49436;/1.%20&#47116;&#53944;&#52852;%20&#47588;&#51077;&#52264;&#47049;%20&#47532;&#49828;&#53944;%20&#44288;&#47532;.xlsx" TargetMode="External"/><Relationship Id="rId1" Type="http://schemas.openxmlformats.org/officeDocument/2006/relationships/externalLinkPath" Target="/personal/rent_sdibenefit_com/Documents/rentbenefit/5.%20&#47116;&#53944;&#52852;_&#51221;&#49328;&#49436;/1.%20&#47116;&#53944;&#52852;%20&#47588;&#51077;&#52264;&#47049;%20&#47532;&#49828;&#53944;%20&#44288;&#475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B_렌트_차량관리"/>
      <sheetName val="렌트_차량관리"/>
      <sheetName val="렌트_사고대차관리"/>
      <sheetName val="렌트_차량관리_거래완료"/>
      <sheetName val="렌트_계약서번호"/>
      <sheetName val="렌트_Outlook 메모"/>
      <sheetName val="사고대차_Outlook 메모"/>
    </sheetNames>
    <sheetDataSet>
      <sheetData sheetId="0"/>
      <sheetData sheetId="1"/>
      <sheetData sheetId="2"/>
      <sheetData sheetId="3">
        <row r="23">
          <cell r="DC23" t="str">
            <v>정선보 팀장</v>
          </cell>
        </row>
      </sheetData>
      <sheetData sheetId="4">
        <row r="3">
          <cell r="B3" t="str">
            <v>Ray-001</v>
          </cell>
          <cell r="C3" t="str">
            <v>신흥정보통신㈜_1</v>
          </cell>
          <cell r="D3" t="str">
            <v>Ray Van</v>
          </cell>
          <cell r="E3">
            <v>21100001</v>
          </cell>
        </row>
        <row r="4">
          <cell r="B4" t="str">
            <v>Ray-002</v>
          </cell>
          <cell r="C4" t="str">
            <v>신흥정보통신㈜_2</v>
          </cell>
          <cell r="D4" t="str">
            <v>Ray Van</v>
          </cell>
          <cell r="E4">
            <v>21100002</v>
          </cell>
        </row>
        <row r="5">
          <cell r="B5" t="str">
            <v>Ray-003</v>
          </cell>
          <cell r="C5" t="str">
            <v>신흥정보통신㈜_3</v>
          </cell>
          <cell r="D5" t="str">
            <v>Ray Van</v>
          </cell>
          <cell r="E5">
            <v>21100003</v>
          </cell>
        </row>
        <row r="6">
          <cell r="B6" t="str">
            <v>Ray-004</v>
          </cell>
          <cell r="C6" t="str">
            <v>신흥정보통신㈜_4</v>
          </cell>
          <cell r="D6" t="str">
            <v>Ray Van</v>
          </cell>
          <cell r="E6">
            <v>21100004</v>
          </cell>
        </row>
        <row r="7">
          <cell r="B7" t="str">
            <v>Ray-005</v>
          </cell>
          <cell r="C7" t="str">
            <v>신흥정보통신㈜_5</v>
          </cell>
          <cell r="D7" t="str">
            <v>Ray Van</v>
          </cell>
          <cell r="E7">
            <v>21100005</v>
          </cell>
        </row>
        <row r="8">
          <cell r="B8" t="str">
            <v>Ray-006</v>
          </cell>
          <cell r="C8" t="str">
            <v>신흥정보통신㈜_6</v>
          </cell>
          <cell r="D8" t="str">
            <v>Ray Van</v>
          </cell>
          <cell r="E8">
            <v>21100006</v>
          </cell>
        </row>
        <row r="9">
          <cell r="B9" t="str">
            <v>Ray-007</v>
          </cell>
          <cell r="C9" t="str">
            <v>신흥정보통신㈜_7</v>
          </cell>
          <cell r="D9" t="str">
            <v>Ray Van</v>
          </cell>
          <cell r="E9">
            <v>21100007</v>
          </cell>
        </row>
        <row r="10">
          <cell r="B10" t="str">
            <v>Ray-008</v>
          </cell>
          <cell r="C10" t="str">
            <v>신흥정보통신㈜_8</v>
          </cell>
          <cell r="D10" t="str">
            <v>Ray Van</v>
          </cell>
          <cell r="E10">
            <v>21100008</v>
          </cell>
        </row>
        <row r="11">
          <cell r="B11" t="str">
            <v>Ray-009</v>
          </cell>
          <cell r="C11" t="str">
            <v>신흥정보통신㈜_9</v>
          </cell>
          <cell r="D11" t="str">
            <v>Ray Van</v>
          </cell>
          <cell r="E11">
            <v>21100009</v>
          </cell>
        </row>
        <row r="12">
          <cell r="B12" t="str">
            <v>Ray-010</v>
          </cell>
          <cell r="C12" t="str">
            <v>신흥정보통신㈜_10</v>
          </cell>
          <cell r="D12" t="str">
            <v>Ray Van</v>
          </cell>
          <cell r="E12">
            <v>21100010</v>
          </cell>
        </row>
        <row r="13">
          <cell r="B13" t="str">
            <v>Ray-011</v>
          </cell>
          <cell r="C13" t="str">
            <v>신흥정보통신㈜_11</v>
          </cell>
          <cell r="D13" t="str">
            <v>Ray Van</v>
          </cell>
          <cell r="E13">
            <v>21100011</v>
          </cell>
        </row>
        <row r="14">
          <cell r="B14" t="str">
            <v>Ray-012</v>
          </cell>
          <cell r="C14" t="str">
            <v>신흥정보통신㈜_12</v>
          </cell>
          <cell r="D14" t="str">
            <v>Ray Van</v>
          </cell>
          <cell r="E14">
            <v>21100012</v>
          </cell>
        </row>
        <row r="15">
          <cell r="B15" t="str">
            <v>Ray-013</v>
          </cell>
          <cell r="C15" t="str">
            <v>신흥정보통신㈜_13</v>
          </cell>
          <cell r="D15" t="str">
            <v>Ray Van</v>
          </cell>
          <cell r="E15">
            <v>21100013</v>
          </cell>
        </row>
        <row r="16">
          <cell r="B16" t="str">
            <v>Ray-014</v>
          </cell>
          <cell r="C16" t="str">
            <v>신흥정보통신㈜_14</v>
          </cell>
          <cell r="D16" t="str">
            <v>Ray Van</v>
          </cell>
          <cell r="E16">
            <v>21100014</v>
          </cell>
        </row>
        <row r="17">
          <cell r="B17" t="str">
            <v>Ray-015</v>
          </cell>
          <cell r="C17" t="str">
            <v>신흥정보통신㈜_15</v>
          </cell>
          <cell r="D17" t="str">
            <v>Ray Van</v>
          </cell>
          <cell r="E17">
            <v>21100015</v>
          </cell>
        </row>
        <row r="18">
          <cell r="B18" t="str">
            <v>Ray-016</v>
          </cell>
          <cell r="C18" t="str">
            <v>신흥정보통신㈜_16</v>
          </cell>
          <cell r="D18" t="str">
            <v>Ray Van</v>
          </cell>
          <cell r="E18">
            <v>21100016</v>
          </cell>
        </row>
        <row r="19">
          <cell r="B19" t="str">
            <v>Ray-017</v>
          </cell>
          <cell r="C19" t="str">
            <v>신흥정보통신㈜_17</v>
          </cell>
          <cell r="D19" t="str">
            <v>Ray Van</v>
          </cell>
          <cell r="E19">
            <v>21100017</v>
          </cell>
        </row>
        <row r="20">
          <cell r="B20" t="str">
            <v>Ray-018</v>
          </cell>
          <cell r="C20" t="str">
            <v>신흥정보통신㈜_18</v>
          </cell>
          <cell r="D20" t="str">
            <v>Ray Van</v>
          </cell>
          <cell r="E20">
            <v>21100018</v>
          </cell>
        </row>
        <row r="21">
          <cell r="B21" t="str">
            <v>Ray-019</v>
          </cell>
          <cell r="C21" t="str">
            <v>신흥정보통신㈜_19</v>
          </cell>
          <cell r="D21" t="str">
            <v>Ray Van</v>
          </cell>
          <cell r="E21">
            <v>21100019</v>
          </cell>
        </row>
        <row r="22">
          <cell r="B22" t="str">
            <v>Ray-020</v>
          </cell>
          <cell r="C22" t="str">
            <v>신흥정보통신㈜_20</v>
          </cell>
          <cell r="D22" t="str">
            <v>Ray Van</v>
          </cell>
          <cell r="E22">
            <v>21100020</v>
          </cell>
        </row>
        <row r="23">
          <cell r="C23" t="e">
            <v>#N/A</v>
          </cell>
          <cell r="D23" t="e">
            <v>#N/A</v>
          </cell>
          <cell r="E23">
            <v>21110021</v>
          </cell>
        </row>
        <row r="24">
          <cell r="B24" t="str">
            <v>Ray-021</v>
          </cell>
          <cell r="C24" t="str">
            <v>(주)대경인트라넷_1</v>
          </cell>
          <cell r="D24" t="str">
            <v>Ray</v>
          </cell>
          <cell r="E24">
            <v>21110022</v>
          </cell>
        </row>
        <row r="25">
          <cell r="B25" t="str">
            <v>Ray-028</v>
          </cell>
          <cell r="C25" t="str">
            <v>주식회사 동천에스씨</v>
          </cell>
          <cell r="D25" t="str">
            <v>Ray Van</v>
          </cell>
          <cell r="E25">
            <v>21110022</v>
          </cell>
        </row>
        <row r="26">
          <cell r="B26" t="str">
            <v>Benz-003</v>
          </cell>
          <cell r="C26" t="str">
            <v>법무법인(유)화우</v>
          </cell>
          <cell r="D26" t="str">
            <v>GLE450</v>
          </cell>
          <cell r="E26">
            <v>24110003</v>
          </cell>
        </row>
        <row r="27">
          <cell r="C27" t="e">
            <v>#N/A</v>
          </cell>
          <cell r="D27" t="e">
            <v>#N/A</v>
          </cell>
          <cell r="E27">
            <v>21110025</v>
          </cell>
        </row>
        <row r="28">
          <cell r="B28" t="str">
            <v>Benz-004</v>
          </cell>
          <cell r="C28" t="e">
            <v>#N/A</v>
          </cell>
          <cell r="D28" t="e">
            <v>#N/A</v>
          </cell>
          <cell r="E28">
            <v>21110026</v>
          </cell>
        </row>
        <row r="29">
          <cell r="B29" t="str">
            <v>Ray-022</v>
          </cell>
          <cell r="C29" t="e">
            <v>#N/A</v>
          </cell>
          <cell r="D29" t="e">
            <v>#N/A</v>
          </cell>
          <cell r="E29">
            <v>21110027</v>
          </cell>
        </row>
        <row r="30">
          <cell r="B30" t="str">
            <v>Ray-026</v>
          </cell>
          <cell r="C30" t="e">
            <v>#N/A</v>
          </cell>
          <cell r="D30" t="e">
            <v>#N/A</v>
          </cell>
          <cell r="E30">
            <v>21110028</v>
          </cell>
        </row>
        <row r="31">
          <cell r="B31" t="str">
            <v>Ray-035</v>
          </cell>
          <cell r="C31" t="str">
            <v>청담건설</v>
          </cell>
          <cell r="D31" t="str">
            <v>Ray</v>
          </cell>
          <cell r="E31">
            <v>21110029</v>
          </cell>
        </row>
        <row r="32">
          <cell r="B32" t="str">
            <v>Ray-036</v>
          </cell>
          <cell r="C32" t="str">
            <v>대일산업㈜</v>
          </cell>
          <cell r="D32" t="str">
            <v>Ray</v>
          </cell>
          <cell r="E32">
            <v>21110030</v>
          </cell>
        </row>
        <row r="33">
          <cell r="B33" t="str">
            <v>Casper-001</v>
          </cell>
          <cell r="C33" t="str">
            <v>서울검사㈜</v>
          </cell>
          <cell r="D33" t="str">
            <v>Casper</v>
          </cell>
          <cell r="E33">
            <v>21120031</v>
          </cell>
        </row>
        <row r="34">
          <cell r="B34" t="str">
            <v>K3-001</v>
          </cell>
          <cell r="C34" t="str">
            <v>트라이언소프트㈜</v>
          </cell>
          <cell r="D34" t="str">
            <v>K3</v>
          </cell>
          <cell r="E34">
            <v>21120032</v>
          </cell>
        </row>
        <row r="35">
          <cell r="B35" t="str">
            <v>Ray-033</v>
          </cell>
          <cell r="C35" t="e">
            <v>#N/A</v>
          </cell>
          <cell r="D35" t="e">
            <v>#N/A</v>
          </cell>
          <cell r="E35">
            <v>21120033</v>
          </cell>
        </row>
        <row r="36">
          <cell r="B36" t="str">
            <v>Ray-048</v>
          </cell>
          <cell r="C36" t="str">
            <v>(주)올댓모델</v>
          </cell>
          <cell r="D36" t="str">
            <v>Ray</v>
          </cell>
          <cell r="E36">
            <v>21120034</v>
          </cell>
        </row>
        <row r="37">
          <cell r="B37" t="str">
            <v>Benz-005</v>
          </cell>
          <cell r="C37" t="e">
            <v>#N/A</v>
          </cell>
          <cell r="D37" t="e">
            <v>#N/A</v>
          </cell>
          <cell r="E37">
            <v>21120035</v>
          </cell>
        </row>
        <row r="38">
          <cell r="B38" t="str">
            <v>Benz-006</v>
          </cell>
          <cell r="C38" t="str">
            <v>대아하이테크㈜</v>
          </cell>
          <cell r="D38" t="str">
            <v>G63</v>
          </cell>
          <cell r="E38">
            <v>21120036</v>
          </cell>
        </row>
        <row r="39">
          <cell r="B39" t="str">
            <v>Benz-007</v>
          </cell>
          <cell r="C39" t="e">
            <v>#N/A</v>
          </cell>
          <cell r="D39" t="e">
            <v>#N/A</v>
          </cell>
          <cell r="E39">
            <v>21120037</v>
          </cell>
        </row>
        <row r="40">
          <cell r="B40" t="str">
            <v>Benz-008</v>
          </cell>
          <cell r="C40" t="e">
            <v>#N/A</v>
          </cell>
          <cell r="D40" t="e">
            <v>#N/A</v>
          </cell>
          <cell r="E40">
            <v>21120038</v>
          </cell>
        </row>
        <row r="41">
          <cell r="B41" t="str">
            <v>Benz-009</v>
          </cell>
          <cell r="C41" t="str">
            <v>㈜유니온</v>
          </cell>
          <cell r="D41" t="str">
            <v>MAYBACH S580</v>
          </cell>
          <cell r="E41">
            <v>21120039</v>
          </cell>
        </row>
        <row r="42">
          <cell r="B42" t="str">
            <v>Ray-040</v>
          </cell>
          <cell r="C42" t="str">
            <v>㈜카멜월드와이드</v>
          </cell>
          <cell r="D42" t="str">
            <v>Ray</v>
          </cell>
          <cell r="E42">
            <v>21120040</v>
          </cell>
        </row>
        <row r="43">
          <cell r="B43" t="str">
            <v>Ray-041</v>
          </cell>
          <cell r="C43" t="str">
            <v>㈜와이케이개발</v>
          </cell>
          <cell r="D43" t="str">
            <v>Ray</v>
          </cell>
          <cell r="E43">
            <v>21120041</v>
          </cell>
        </row>
        <row r="44">
          <cell r="B44" t="str">
            <v>Ray-042</v>
          </cell>
          <cell r="C44" t="str">
            <v>주식회사 삼지</v>
          </cell>
          <cell r="D44" t="str">
            <v>Ray</v>
          </cell>
          <cell r="E44">
            <v>22010001</v>
          </cell>
        </row>
        <row r="45">
          <cell r="B45" t="str">
            <v>Ray-045</v>
          </cell>
          <cell r="C45" t="str">
            <v>주식회사 삼지</v>
          </cell>
          <cell r="D45" t="str">
            <v>Ray</v>
          </cell>
          <cell r="E45">
            <v>22010002</v>
          </cell>
        </row>
        <row r="46">
          <cell r="B46" t="str">
            <v>Ray-039</v>
          </cell>
          <cell r="C46" t="e">
            <v>#N/A</v>
          </cell>
          <cell r="D46" t="e">
            <v>#N/A</v>
          </cell>
          <cell r="E46">
            <v>22010003</v>
          </cell>
        </row>
        <row r="47">
          <cell r="B47" t="str">
            <v>K8-001</v>
          </cell>
          <cell r="C47" t="str">
            <v>㈜엘리프</v>
          </cell>
          <cell r="D47" t="str">
            <v>K8</v>
          </cell>
          <cell r="E47">
            <v>22010004</v>
          </cell>
        </row>
        <row r="48">
          <cell r="B48" t="str">
            <v>Benz-002</v>
          </cell>
          <cell r="C48" t="e">
            <v>#N/A</v>
          </cell>
          <cell r="D48" t="e">
            <v>#N/A</v>
          </cell>
          <cell r="E48">
            <v>22010005</v>
          </cell>
        </row>
        <row r="49">
          <cell r="B49" t="str">
            <v>Ray-025</v>
          </cell>
          <cell r="C49" t="str">
            <v>신흥정보통신㈜_22</v>
          </cell>
          <cell r="D49" t="str">
            <v>Ray Van</v>
          </cell>
          <cell r="E49">
            <v>22020006</v>
          </cell>
        </row>
        <row r="50">
          <cell r="B50" t="str">
            <v>Ray-027</v>
          </cell>
          <cell r="C50" t="str">
            <v>신흥정보통신㈜_23</v>
          </cell>
          <cell r="D50" t="str">
            <v>Ray Van</v>
          </cell>
          <cell r="E50">
            <v>22020007</v>
          </cell>
        </row>
        <row r="51">
          <cell r="B51" t="str">
            <v>Ray-037</v>
          </cell>
          <cell r="C51" t="str">
            <v>신흥정보통신㈜_26</v>
          </cell>
          <cell r="D51" t="str">
            <v>Ray Van</v>
          </cell>
          <cell r="E51">
            <v>22020008</v>
          </cell>
        </row>
        <row r="52">
          <cell r="B52" t="str">
            <v>Ray-038</v>
          </cell>
          <cell r="C52" t="str">
            <v>신흥정보통신㈜_27</v>
          </cell>
          <cell r="D52" t="str">
            <v>Ray Van</v>
          </cell>
          <cell r="E52">
            <v>22020009</v>
          </cell>
        </row>
        <row r="53">
          <cell r="B53" t="str">
            <v>Ray-043</v>
          </cell>
          <cell r="C53" t="str">
            <v>신흥정보통신㈜_28</v>
          </cell>
          <cell r="D53" t="str">
            <v>Ray Van</v>
          </cell>
          <cell r="E53">
            <v>22020010</v>
          </cell>
        </row>
        <row r="54">
          <cell r="B54" t="str">
            <v>Ray-044</v>
          </cell>
          <cell r="C54" t="str">
            <v>신흥정보통신㈜_29</v>
          </cell>
          <cell r="D54" t="str">
            <v>Ray Van</v>
          </cell>
          <cell r="E54">
            <v>22020011</v>
          </cell>
        </row>
        <row r="55">
          <cell r="B55" t="str">
            <v>Ray-046</v>
          </cell>
          <cell r="C55" t="str">
            <v>신흥정보통신㈜_30</v>
          </cell>
          <cell r="D55" t="str">
            <v>Ray Van</v>
          </cell>
          <cell r="E55">
            <v>22020012</v>
          </cell>
        </row>
        <row r="56">
          <cell r="B56" t="str">
            <v>Ray-024</v>
          </cell>
          <cell r="C56" t="str">
            <v>㈜굿모닝코퍼레이션</v>
          </cell>
          <cell r="D56" t="str">
            <v>Ray Van</v>
          </cell>
          <cell r="E56">
            <v>22020013</v>
          </cell>
        </row>
        <row r="57">
          <cell r="B57" t="str">
            <v>Ray-047</v>
          </cell>
          <cell r="C57" t="str">
            <v>신흥정보통신㈜_31</v>
          </cell>
          <cell r="D57" t="str">
            <v>Ray Van</v>
          </cell>
          <cell r="E57">
            <v>22020014</v>
          </cell>
        </row>
        <row r="58">
          <cell r="B58" t="str">
            <v>Benz-001</v>
          </cell>
          <cell r="C58" t="str">
            <v>㈜한촌</v>
          </cell>
          <cell r="D58" t="str">
            <v>S500</v>
          </cell>
          <cell r="E58">
            <v>22020015</v>
          </cell>
        </row>
        <row r="59">
          <cell r="B59" t="str">
            <v>Benz-010</v>
          </cell>
          <cell r="C59" t="str">
            <v>홍현창 고객님</v>
          </cell>
          <cell r="D59" t="str">
            <v>S580</v>
          </cell>
          <cell r="E59">
            <v>22020016</v>
          </cell>
        </row>
        <row r="60">
          <cell r="B60" t="str">
            <v>Ray-030</v>
          </cell>
          <cell r="C60" t="str">
            <v>(주)대경인트라넷_3</v>
          </cell>
          <cell r="D60" t="str">
            <v>Ray Van</v>
          </cell>
          <cell r="E60">
            <v>22030017</v>
          </cell>
        </row>
        <row r="61">
          <cell r="B61" t="str">
            <v>K8-002</v>
          </cell>
          <cell r="C61" t="e">
            <v>#N/A</v>
          </cell>
          <cell r="D61" t="e">
            <v>#N/A</v>
          </cell>
          <cell r="E61">
            <v>22020010</v>
          </cell>
        </row>
        <row r="62">
          <cell r="B62" t="str">
            <v>Avante-001</v>
          </cell>
          <cell r="C62" t="str">
            <v>김수연 원장님</v>
          </cell>
          <cell r="D62" t="str">
            <v>Avante</v>
          </cell>
          <cell r="E62">
            <v>22030011</v>
          </cell>
        </row>
        <row r="63">
          <cell r="B63" t="str">
            <v>Avante-002</v>
          </cell>
          <cell r="C63" t="str">
            <v>천지세무법인-인천</v>
          </cell>
          <cell r="D63" t="str">
            <v>Avante</v>
          </cell>
          <cell r="E63">
            <v>22030012</v>
          </cell>
        </row>
        <row r="64">
          <cell r="B64" t="str">
            <v>K9-001</v>
          </cell>
          <cell r="C64" t="str">
            <v>신흥정보통신㈜</v>
          </cell>
          <cell r="D64" t="str">
            <v>K9</v>
          </cell>
          <cell r="E64">
            <v>22030013</v>
          </cell>
        </row>
        <row r="65">
          <cell r="B65" t="str">
            <v>Benz-013</v>
          </cell>
          <cell r="C65" t="str">
            <v>송혁진 대표님</v>
          </cell>
          <cell r="D65" t="str">
            <v>G63</v>
          </cell>
          <cell r="E65">
            <v>22040014</v>
          </cell>
        </row>
        <row r="66">
          <cell r="B66" t="str">
            <v>Ray-023</v>
          </cell>
          <cell r="C66" t="str">
            <v>신흥정보통신㈜_21</v>
          </cell>
          <cell r="D66" t="str">
            <v>Ray Van</v>
          </cell>
          <cell r="E66">
            <v>22040015</v>
          </cell>
        </row>
        <row r="67">
          <cell r="B67" t="str">
            <v>Ray-032</v>
          </cell>
          <cell r="C67" t="str">
            <v>신흥정보통신㈜_25</v>
          </cell>
          <cell r="D67" t="str">
            <v>Ray Van</v>
          </cell>
          <cell r="E67">
            <v>22040016</v>
          </cell>
        </row>
        <row r="68">
          <cell r="B68" t="str">
            <v>Ray-031</v>
          </cell>
          <cell r="C68" t="str">
            <v>신흥정보통신㈜_24</v>
          </cell>
          <cell r="D68" t="str">
            <v>Ray Van</v>
          </cell>
          <cell r="E68">
            <v>22040017</v>
          </cell>
        </row>
        <row r="69">
          <cell r="B69" t="str">
            <v>Ray-049</v>
          </cell>
          <cell r="C69" t="str">
            <v>신흥정보통신㈜_33</v>
          </cell>
          <cell r="D69" t="str">
            <v>Ray Van</v>
          </cell>
          <cell r="E69">
            <v>22040018</v>
          </cell>
        </row>
        <row r="70">
          <cell r="B70" t="str">
            <v>Ray-050</v>
          </cell>
          <cell r="C70" t="str">
            <v>신흥정보통신㈜_34</v>
          </cell>
          <cell r="D70" t="str">
            <v>Ray Van</v>
          </cell>
          <cell r="E70">
            <v>22040019</v>
          </cell>
        </row>
        <row r="71">
          <cell r="B71" t="str">
            <v>Ray-051</v>
          </cell>
          <cell r="C71" t="str">
            <v>신흥정보통신㈜_35</v>
          </cell>
          <cell r="D71" t="str">
            <v>Ray Van</v>
          </cell>
          <cell r="E71">
            <v>22040020</v>
          </cell>
        </row>
        <row r="72">
          <cell r="B72" t="str">
            <v>Ray-052</v>
          </cell>
          <cell r="C72" t="str">
            <v>신흥정보통신㈜_36</v>
          </cell>
          <cell r="D72" t="str">
            <v>Ray Van</v>
          </cell>
          <cell r="E72">
            <v>22040021</v>
          </cell>
        </row>
        <row r="73">
          <cell r="B73" t="str">
            <v>Ray-053</v>
          </cell>
          <cell r="C73" t="str">
            <v>신흥정보통신㈜_37</v>
          </cell>
          <cell r="D73" t="str">
            <v>Ray Van</v>
          </cell>
          <cell r="E73">
            <v>22040022</v>
          </cell>
        </row>
        <row r="74">
          <cell r="B74" t="str">
            <v>Avante-003</v>
          </cell>
          <cell r="C74" t="e">
            <v>#N/A</v>
          </cell>
          <cell r="D74" t="e">
            <v>#N/A</v>
          </cell>
          <cell r="E74">
            <v>22030014</v>
          </cell>
        </row>
        <row r="75">
          <cell r="B75" t="str">
            <v>Benz-015</v>
          </cell>
          <cell r="C75" t="str">
            <v>정재용 고객님</v>
          </cell>
          <cell r="D75" t="str">
            <v>E350</v>
          </cell>
          <cell r="E75">
            <v>22040023</v>
          </cell>
        </row>
        <row r="76">
          <cell r="B76" t="str">
            <v>Benz-016</v>
          </cell>
          <cell r="C76" t="str">
            <v>포어러너캐피탈파트너스㈜</v>
          </cell>
          <cell r="D76" t="str">
            <v>G63</v>
          </cell>
          <cell r="E76">
            <v>22040024</v>
          </cell>
        </row>
        <row r="77">
          <cell r="B77" t="str">
            <v>Benz-017</v>
          </cell>
          <cell r="C77" t="str">
            <v>덕신설비</v>
          </cell>
          <cell r="D77" t="str">
            <v>GLE350e</v>
          </cell>
          <cell r="E77">
            <v>22050025</v>
          </cell>
        </row>
        <row r="78">
          <cell r="B78" t="str">
            <v>G90-001</v>
          </cell>
          <cell r="C78" t="e">
            <v>#N/A</v>
          </cell>
          <cell r="D78" t="e">
            <v>#N/A</v>
          </cell>
          <cell r="E78">
            <v>22050026</v>
          </cell>
        </row>
        <row r="79">
          <cell r="B79" t="str">
            <v>Benz-018</v>
          </cell>
          <cell r="C79" t="e">
            <v>#N/A</v>
          </cell>
          <cell r="D79" t="e">
            <v>#N/A</v>
          </cell>
          <cell r="E79">
            <v>22050027</v>
          </cell>
        </row>
        <row r="80">
          <cell r="B80" t="str">
            <v>G90-002</v>
          </cell>
          <cell r="C80" t="e">
            <v>#N/A</v>
          </cell>
          <cell r="D80" t="e">
            <v>#N/A</v>
          </cell>
          <cell r="E80">
            <v>22060028</v>
          </cell>
        </row>
        <row r="81">
          <cell r="B81" t="str">
            <v>Carnival-001</v>
          </cell>
          <cell r="C81" t="e">
            <v>#N/A</v>
          </cell>
          <cell r="D81" t="e">
            <v>#N/A</v>
          </cell>
          <cell r="E81">
            <v>22070029</v>
          </cell>
        </row>
        <row r="82">
          <cell r="B82" t="str">
            <v>G80-001</v>
          </cell>
          <cell r="C82" t="str">
            <v>이상빈</v>
          </cell>
          <cell r="D82" t="str">
            <v>G80</v>
          </cell>
          <cell r="E82">
            <v>22070030</v>
          </cell>
        </row>
        <row r="83">
          <cell r="B83" t="str">
            <v>G90-003</v>
          </cell>
          <cell r="C83" t="str">
            <v>아이엠앤티㈜</v>
          </cell>
          <cell r="D83" t="str">
            <v>G90</v>
          </cell>
          <cell r="E83">
            <v>22080031</v>
          </cell>
        </row>
        <row r="84">
          <cell r="B84" t="str">
            <v>Benz-019</v>
          </cell>
          <cell r="C84" t="str">
            <v>이승섭 변호사님</v>
          </cell>
          <cell r="D84" t="str">
            <v>S450</v>
          </cell>
          <cell r="E84">
            <v>22080032</v>
          </cell>
        </row>
        <row r="85">
          <cell r="B85" t="str">
            <v>Ray-034</v>
          </cell>
          <cell r="C85" t="str">
            <v>㈜한일티엔에스</v>
          </cell>
          <cell r="D85" t="str">
            <v>Ray Van</v>
          </cell>
          <cell r="E85">
            <v>22090033</v>
          </cell>
        </row>
        <row r="86">
          <cell r="B86" t="str">
            <v>G80-002</v>
          </cell>
          <cell r="C86" t="str">
            <v>㈜다성테크</v>
          </cell>
          <cell r="D86" t="str">
            <v>G80</v>
          </cell>
          <cell r="E86">
            <v>22100034</v>
          </cell>
        </row>
        <row r="87">
          <cell r="B87" t="str">
            <v>Carnival-002</v>
          </cell>
          <cell r="C87" t="str">
            <v>정영범 부장님</v>
          </cell>
          <cell r="D87" t="str">
            <v>Carnival</v>
          </cell>
          <cell r="E87">
            <v>23120011</v>
          </cell>
        </row>
        <row r="88">
          <cell r="B88" t="str">
            <v>Benz-020</v>
          </cell>
          <cell r="C88" t="str">
            <v>현대산업</v>
          </cell>
          <cell r="D88" t="str">
            <v>C300</v>
          </cell>
          <cell r="E88">
            <v>23030002</v>
          </cell>
        </row>
        <row r="89">
          <cell r="B89" t="str">
            <v>Grander-02</v>
          </cell>
          <cell r="C89" t="str">
            <v>세이브인스(saveins)</v>
          </cell>
          <cell r="D89" t="str">
            <v>Grander</v>
          </cell>
          <cell r="E89">
            <v>23010003</v>
          </cell>
        </row>
        <row r="90">
          <cell r="B90" t="str">
            <v>Sportage-001</v>
          </cell>
          <cell r="C90" t="str">
            <v>신흥정보통신㈜</v>
          </cell>
          <cell r="D90" t="str">
            <v>Sportage</v>
          </cell>
          <cell r="E90">
            <v>23070004</v>
          </cell>
        </row>
        <row r="91">
          <cell r="B91" t="str">
            <v>K8-004</v>
          </cell>
          <cell r="C91" t="str">
            <v>(주)세이브인슈</v>
          </cell>
          <cell r="D91" t="str">
            <v>K8</v>
          </cell>
          <cell r="E91">
            <v>23070005</v>
          </cell>
        </row>
        <row r="92">
          <cell r="B92" t="str">
            <v>Cona-01</v>
          </cell>
          <cell r="C92" t="str">
            <v>신흥정보통신㈜_코나</v>
          </cell>
          <cell r="D92" t="str">
            <v>Cona</v>
          </cell>
          <cell r="E92">
            <v>23100006</v>
          </cell>
        </row>
        <row r="93">
          <cell r="B93" t="str">
            <v>Benz-022</v>
          </cell>
          <cell r="C93" t="str">
            <v>㈜동춘푸드</v>
          </cell>
          <cell r="D93" t="str">
            <v>E250 EX</v>
          </cell>
          <cell r="E93">
            <v>22090033</v>
          </cell>
        </row>
        <row r="94">
          <cell r="B94" t="str">
            <v>Grander-03</v>
          </cell>
          <cell r="C94" t="str">
            <v>신흥정보통신㈜</v>
          </cell>
          <cell r="D94" t="str">
            <v>Grander</v>
          </cell>
          <cell r="E94">
            <v>23110007</v>
          </cell>
        </row>
        <row r="95">
          <cell r="B95" t="str">
            <v>Grander-01</v>
          </cell>
          <cell r="C95" t="str">
            <v>추능오 고객님</v>
          </cell>
          <cell r="D95" t="str">
            <v>Grander</v>
          </cell>
          <cell r="E95">
            <v>23120008</v>
          </cell>
        </row>
        <row r="96">
          <cell r="B96" t="str">
            <v>G90-005</v>
          </cell>
          <cell r="C96" t="str">
            <v>㈜씨엔아이티</v>
          </cell>
          <cell r="D96" t="str">
            <v>G90</v>
          </cell>
          <cell r="E96">
            <v>23120009</v>
          </cell>
        </row>
        <row r="97">
          <cell r="B97" t="str">
            <v>GV80-002</v>
          </cell>
          <cell r="C97" t="str">
            <v>㈜씨엔아이티</v>
          </cell>
          <cell r="D97" t="str">
            <v>GV80 Coupe</v>
          </cell>
          <cell r="E97">
            <v>23120010</v>
          </cell>
        </row>
        <row r="98">
          <cell r="B98" t="str">
            <v>G90-006</v>
          </cell>
          <cell r="C98" t="e">
            <v>#N/A</v>
          </cell>
          <cell r="D98" t="e">
            <v>#N/A</v>
          </cell>
          <cell r="E98">
            <v>23120011</v>
          </cell>
        </row>
        <row r="99">
          <cell r="B99" t="str">
            <v>Carnival-002</v>
          </cell>
          <cell r="C99" t="str">
            <v>정영범 부장님</v>
          </cell>
          <cell r="D99" t="str">
            <v>Carnival</v>
          </cell>
          <cell r="E99">
            <v>23120012</v>
          </cell>
        </row>
        <row r="100">
          <cell r="B100" t="str">
            <v>Mojave-001</v>
          </cell>
          <cell r="C100" t="str">
            <v>엘메스코리아</v>
          </cell>
          <cell r="D100" t="str">
            <v>Mojave</v>
          </cell>
          <cell r="E100" t="str">
            <v>24030097</v>
          </cell>
        </row>
        <row r="101">
          <cell r="B101" t="str">
            <v>G80-004</v>
          </cell>
          <cell r="C101" t="str">
            <v>신흥정보통신㈜_38</v>
          </cell>
          <cell r="D101" t="str">
            <v>G80</v>
          </cell>
          <cell r="E101" t="str">
            <v>24030098</v>
          </cell>
        </row>
        <row r="102">
          <cell r="B102" t="str">
            <v>G80-005</v>
          </cell>
          <cell r="C102" t="str">
            <v>주식회사 삼지</v>
          </cell>
          <cell r="D102" t="str">
            <v>G80</v>
          </cell>
          <cell r="E102" t="str">
            <v>24030099</v>
          </cell>
        </row>
        <row r="103">
          <cell r="B103" t="str">
            <v>K8-005</v>
          </cell>
          <cell r="C103" t="str">
            <v>㈜네오위드넷</v>
          </cell>
          <cell r="D103" t="str">
            <v>K8</v>
          </cell>
          <cell r="E103" t="str">
            <v>24040100</v>
          </cell>
        </row>
        <row r="104">
          <cell r="B104" t="str">
            <v>K8-006</v>
          </cell>
          <cell r="C104" t="str">
            <v>㈜네오위드넷</v>
          </cell>
          <cell r="D104" t="str">
            <v>K8</v>
          </cell>
          <cell r="E104" t="str">
            <v>24040101</v>
          </cell>
        </row>
        <row r="105">
          <cell r="B105" t="str">
            <v>G80-006</v>
          </cell>
          <cell r="C105" t="str">
            <v>신흥정보통신㈜_38</v>
          </cell>
          <cell r="D105" t="str">
            <v>G80</v>
          </cell>
          <cell r="E105" t="str">
            <v>24070102</v>
          </cell>
        </row>
        <row r="106">
          <cell r="B106" t="str">
            <v>Benz-003_1</v>
          </cell>
          <cell r="C106" t="e">
            <v>#N/A</v>
          </cell>
          <cell r="D106" t="e">
            <v>#N/A</v>
          </cell>
          <cell r="E106">
            <v>24110003</v>
          </cell>
        </row>
        <row r="107">
          <cell r="B107" t="str">
            <v>Niro-001</v>
          </cell>
          <cell r="C107" t="str">
            <v>㈜케이씨에프인터내셔널</v>
          </cell>
          <cell r="D107" t="str">
            <v>니로</v>
          </cell>
          <cell r="E107" t="str">
            <v>24120104</v>
          </cell>
        </row>
        <row r="108">
          <cell r="B108" t="str">
            <v>Ray-039_1</v>
          </cell>
          <cell r="C108" t="e">
            <v>#N/A</v>
          </cell>
          <cell r="D108" t="e">
            <v>#N/A</v>
          </cell>
          <cell r="E108" t="e">
            <v>#N/A</v>
          </cell>
        </row>
        <row r="109">
          <cell r="B109" t="str">
            <v>Palisade_001</v>
          </cell>
          <cell r="C109" t="str">
            <v>타바론코리아㈜</v>
          </cell>
          <cell r="D109" t="str">
            <v>Palisade</v>
          </cell>
          <cell r="E109" t="str">
            <v>25020106</v>
          </cell>
        </row>
        <row r="110">
          <cell r="B110" t="str">
            <v>G80-007</v>
          </cell>
          <cell r="C110" t="str">
            <v>주식회사 레이</v>
          </cell>
          <cell r="D110" t="str">
            <v>G80</v>
          </cell>
          <cell r="E110" t="str">
            <v>25050107</v>
          </cell>
        </row>
        <row r="111">
          <cell r="B111" t="str">
            <v>Grander-04</v>
          </cell>
          <cell r="C111" t="str">
            <v>㈜에이치와이파트너즈</v>
          </cell>
          <cell r="D111" t="str">
            <v>그랜저(H)</v>
          </cell>
          <cell r="E111" t="str">
            <v>25030108</v>
          </cell>
        </row>
        <row r="112">
          <cell r="B112" t="str">
            <v>GV70-001</v>
          </cell>
          <cell r="C112" t="str">
            <v>㈜비지글로벌</v>
          </cell>
          <cell r="D112" t="str">
            <v>GV70</v>
          </cell>
          <cell r="E112" t="str">
            <v>25040109</v>
          </cell>
        </row>
        <row r="113">
          <cell r="B113" t="str">
            <v>G80-007</v>
          </cell>
          <cell r="C113" t="str">
            <v>주식회사 레이</v>
          </cell>
          <cell r="D113" t="str">
            <v>G80</v>
          </cell>
          <cell r="E113" t="str">
            <v>25050110</v>
          </cell>
        </row>
        <row r="114">
          <cell r="B114" t="str">
            <v>RX350h-001</v>
          </cell>
          <cell r="C114" t="str">
            <v>㈜린드만</v>
          </cell>
          <cell r="D114" t="str">
            <v>RX 350h Luxury</v>
          </cell>
          <cell r="E114" t="str">
            <v>25050111</v>
          </cell>
        </row>
        <row r="115">
          <cell r="B115" t="str">
            <v>ALPHARD-001</v>
          </cell>
          <cell r="C115" t="str">
            <v>주식회사 레이</v>
          </cell>
          <cell r="D115" t="str">
            <v xml:space="preserve"> ALPHARD-HEV SFX</v>
          </cell>
          <cell r="E115" t="str">
            <v>25050112</v>
          </cell>
        </row>
        <row r="116">
          <cell r="B116" t="str">
            <v>Koleos-001</v>
          </cell>
          <cell r="C116" t="str">
            <v>정재현 이사님</v>
          </cell>
          <cell r="D116" t="str">
            <v>Grand Koleos E-Tech</v>
          </cell>
          <cell r="E116" t="str">
            <v>25060113</v>
          </cell>
        </row>
        <row r="117">
          <cell r="B117" t="str">
            <v>Grander-005</v>
          </cell>
          <cell r="C117" t="str">
            <v>주식회사 레이</v>
          </cell>
          <cell r="D117" t="str">
            <v>그랜저</v>
          </cell>
          <cell r="E117" t="str">
            <v>25070114</v>
          </cell>
        </row>
        <row r="118">
          <cell r="B118" t="str">
            <v>Carnival-006</v>
          </cell>
          <cell r="C118" t="str">
            <v>더데이랩스 주식회사</v>
          </cell>
          <cell r="D118" t="str">
            <v>카니발</v>
          </cell>
          <cell r="E118" t="str">
            <v>25070115</v>
          </cell>
        </row>
        <row r="119">
          <cell r="B119" t="str">
            <v>Benz-024</v>
          </cell>
          <cell r="C119" t="str">
            <v>명품 을지 순대국</v>
          </cell>
          <cell r="D119" t="str">
            <v>CLE 200</v>
          </cell>
          <cell r="E119" t="str">
            <v>25070116</v>
          </cell>
        </row>
        <row r="120">
          <cell r="B120" t="str">
            <v>Sonata-001</v>
          </cell>
          <cell r="C120" t="str">
            <v>유현승 교수님</v>
          </cell>
          <cell r="D120" t="str">
            <v>쏘나타</v>
          </cell>
          <cell r="E120" t="str">
            <v>25070117</v>
          </cell>
        </row>
        <row r="121">
          <cell r="B121" t="str">
            <v>GV80-003</v>
          </cell>
          <cell r="C121" t="e">
            <v>#N/A</v>
          </cell>
          <cell r="D121" t="e">
            <v>#N/A</v>
          </cell>
          <cell r="E121" t="e">
            <v>#N/A</v>
          </cell>
        </row>
        <row r="122">
          <cell r="B122" t="str">
            <v>G90-009</v>
          </cell>
          <cell r="C122" t="str">
            <v>정주호 회장님</v>
          </cell>
          <cell r="D122" t="str">
            <v>G90</v>
          </cell>
          <cell r="E122" t="str">
            <v>25070119</v>
          </cell>
        </row>
        <row r="123">
          <cell r="B123" t="str">
            <v>G90-007</v>
          </cell>
          <cell r="C123" t="str">
            <v>(주)에이이엠테크</v>
          </cell>
          <cell r="D123" t="str">
            <v>G90</v>
          </cell>
          <cell r="E123" t="str">
            <v>25080120</v>
          </cell>
        </row>
        <row r="124">
          <cell r="B124" t="str">
            <v>G90-008</v>
          </cell>
          <cell r="C124" t="str">
            <v>(주)에이이엠테크</v>
          </cell>
          <cell r="D124" t="str">
            <v>G90</v>
          </cell>
          <cell r="E124" t="str">
            <v>25080121</v>
          </cell>
        </row>
        <row r="125">
          <cell r="B125" t="str">
            <v>GV80-004</v>
          </cell>
          <cell r="C125" t="str">
            <v>더데이랩스 주식회사</v>
          </cell>
          <cell r="D125" t="str">
            <v>GV80</v>
          </cell>
          <cell r="E125" t="str">
            <v>25080122</v>
          </cell>
        </row>
        <row r="126">
          <cell r="B126" t="str">
            <v>Cona-02</v>
          </cell>
          <cell r="C126" t="str">
            <v>다홍치마앤컴퍼니</v>
          </cell>
          <cell r="D126" t="str">
            <v>코나</v>
          </cell>
          <cell r="E126" t="str">
            <v>25080123</v>
          </cell>
        </row>
        <row r="127">
          <cell r="B127" t="str">
            <v>Grander-006</v>
          </cell>
          <cell r="C127" t="str">
            <v>주식회사 레이</v>
          </cell>
          <cell r="D127" t="str">
            <v>그랜저</v>
          </cell>
          <cell r="E127" t="str">
            <v>25080124</v>
          </cell>
        </row>
        <row r="128">
          <cell r="B128" t="str">
            <v>Benz-025</v>
          </cell>
          <cell r="C128" t="str">
            <v>중앙인더스피아제3공장</v>
          </cell>
          <cell r="D128" t="str">
            <v>S500</v>
          </cell>
          <cell r="E128" t="str">
            <v>25080125</v>
          </cell>
        </row>
        <row r="129">
          <cell r="B129" t="str">
            <v>Ionic6-001</v>
          </cell>
          <cell r="C129" t="str">
            <v>(주)에이이엠테크</v>
          </cell>
          <cell r="D129" t="str">
            <v>아이오닉6</v>
          </cell>
          <cell r="E129" t="str">
            <v>25090126</v>
          </cell>
        </row>
        <row r="130">
          <cell r="B130" t="str">
            <v>Ionic6-002</v>
          </cell>
          <cell r="C130" t="str">
            <v>(주)에이이엠테크</v>
          </cell>
          <cell r="D130" t="str">
            <v>아이오닉6</v>
          </cell>
          <cell r="E130" t="str">
            <v>25090127</v>
          </cell>
        </row>
        <row r="131">
          <cell r="B131" t="str">
            <v>Benz-003_2</v>
          </cell>
          <cell r="C131" t="e">
            <v>#N/A</v>
          </cell>
          <cell r="D131" t="e">
            <v>#N/A</v>
          </cell>
          <cell r="E131" t="e">
            <v>#N/A</v>
          </cell>
        </row>
        <row r="132">
          <cell r="B132" t="str">
            <v>G80-008</v>
          </cell>
          <cell r="C132" t="str">
            <v>㈜지엔</v>
          </cell>
          <cell r="D132" t="str">
            <v>G80</v>
          </cell>
          <cell r="E132" t="str">
            <v>25110129</v>
          </cell>
        </row>
        <row r="133">
          <cell r="B133" t="str">
            <v>Benz-001_1</v>
          </cell>
          <cell r="C133" t="e">
            <v>#N/A</v>
          </cell>
          <cell r="D133" t="e">
            <v>#N/A</v>
          </cell>
          <cell r="E133" t="e">
            <v>#N/A</v>
          </cell>
        </row>
        <row r="134">
          <cell r="B134" t="str">
            <v>G80-001_1</v>
          </cell>
          <cell r="C134" t="e">
            <v>#N/A</v>
          </cell>
          <cell r="D134" t="e">
            <v>#N/A</v>
          </cell>
          <cell r="E134" t="e">
            <v>#N/A</v>
          </cell>
        </row>
        <row r="135">
          <cell r="B135" t="str">
            <v>Avante-001</v>
          </cell>
          <cell r="C135" t="str">
            <v>김수연 원장님</v>
          </cell>
          <cell r="D135" t="str">
            <v>Avante</v>
          </cell>
          <cell r="E135" t="str">
            <v>25120132</v>
          </cell>
        </row>
        <row r="136">
          <cell r="B136" t="str">
            <v>Ray-054</v>
          </cell>
          <cell r="C136" t="str">
            <v>정상태</v>
          </cell>
          <cell r="D136" t="str">
            <v>더 뉴 레이</v>
          </cell>
          <cell r="E136" t="str">
            <v>25110133</v>
          </cell>
        </row>
        <row r="137">
          <cell r="B137" t="str">
            <v>G80-002_1</v>
          </cell>
          <cell r="C137" t="e">
            <v>#N/A</v>
          </cell>
          <cell r="D137" t="e">
            <v>#N/A</v>
          </cell>
          <cell r="E137" t="e">
            <v>#N/A</v>
          </cell>
        </row>
        <row r="138">
          <cell r="B138" t="str">
            <v>Avante-004</v>
          </cell>
          <cell r="C138" t="str">
            <v>타바론코리아㈜</v>
          </cell>
          <cell r="D138" t="str">
            <v xml:space="preserve">아반떼 </v>
          </cell>
          <cell r="E138" t="str">
            <v>26010135</v>
          </cell>
        </row>
        <row r="139">
          <cell r="B139" t="str">
            <v>Ray-055</v>
          </cell>
          <cell r="C139" t="str">
            <v>주식회사 삼지</v>
          </cell>
          <cell r="D139" t="str">
            <v>Ray</v>
          </cell>
          <cell r="E139" t="str">
            <v>26010136</v>
          </cell>
        </row>
        <row r="140">
          <cell r="B140" t="str">
            <v>Grander-008</v>
          </cell>
          <cell r="C140" t="str">
            <v>(주)유엔에스</v>
          </cell>
          <cell r="D140" t="str">
            <v>그랜저(H)</v>
          </cell>
          <cell r="E140" t="str">
            <v>26020137</v>
          </cell>
        </row>
        <row r="141">
          <cell r="B141" t="str">
            <v>Grander-009</v>
          </cell>
          <cell r="C141" t="str">
            <v>김대환</v>
          </cell>
          <cell r="D141" t="str">
            <v>그랜저(H)</v>
          </cell>
          <cell r="E141" t="str">
            <v>26020138</v>
          </cell>
        </row>
        <row r="142">
          <cell r="B142" t="str">
            <v>Grander-010</v>
          </cell>
          <cell r="C142" t="str">
            <v>지앤텍벤처투자㈜</v>
          </cell>
          <cell r="D142" t="str">
            <v>그랜저</v>
          </cell>
          <cell r="E142" t="str">
            <v>26020139</v>
          </cell>
        </row>
        <row r="143">
          <cell r="B143" t="str">
            <v>G80-009</v>
          </cell>
          <cell r="C143" t="str">
            <v>(주)모니터랩</v>
          </cell>
          <cell r="D143" t="str">
            <v>G80</v>
          </cell>
          <cell r="E143" t="str">
            <v>26020140</v>
          </cell>
        </row>
        <row r="144">
          <cell r="B144" t="str">
            <v>Seltos-002</v>
          </cell>
          <cell r="C144" t="str">
            <v>주식회사 레이</v>
          </cell>
          <cell r="D144" t="str">
            <v>셀토스</v>
          </cell>
          <cell r="E144" t="str">
            <v>00010141</v>
          </cell>
        </row>
        <row r="145">
          <cell r="B145" t="str">
            <v>Seltos-003</v>
          </cell>
          <cell r="C145" t="str">
            <v>주식회사 레이</v>
          </cell>
          <cell r="D145" t="str">
            <v>셀토스</v>
          </cell>
          <cell r="E145" t="str">
            <v>00010142</v>
          </cell>
        </row>
        <row r="146">
          <cell r="B146" t="str">
            <v>Seltos-004</v>
          </cell>
          <cell r="C146" t="str">
            <v>주식회사 레이</v>
          </cell>
          <cell r="D146" t="str">
            <v>셀토스</v>
          </cell>
          <cell r="E146" t="str">
            <v>00010143</v>
          </cell>
        </row>
        <row r="147">
          <cell r="B147" t="str">
            <v>Seltos-005</v>
          </cell>
          <cell r="C147" t="str">
            <v>주식회사 레이</v>
          </cell>
          <cell r="D147" t="str">
            <v>셀토스</v>
          </cell>
          <cell r="E147" t="str">
            <v>00010144</v>
          </cell>
        </row>
        <row r="148">
          <cell r="B148" t="str">
            <v>GV80-006</v>
          </cell>
          <cell r="C148" t="str">
            <v>(주)다산제약</v>
          </cell>
          <cell r="D148" t="str">
            <v>GV80</v>
          </cell>
          <cell r="E148" t="str">
            <v>26060145</v>
          </cell>
        </row>
        <row r="149">
          <cell r="B149" t="str">
            <v>Tesla-002</v>
          </cell>
          <cell r="C149" t="str">
            <v>배스킨라빈스 별내카페거리점</v>
          </cell>
          <cell r="D149" t="str">
            <v>Model Y Premium RWD</v>
          </cell>
          <cell r="E149" t="str">
            <v>26060146</v>
          </cell>
        </row>
        <row r="150">
          <cell r="B150" t="str">
            <v>GV80-007</v>
          </cell>
          <cell r="C150" t="str">
            <v>(주)에이이엠테크</v>
          </cell>
          <cell r="D150" t="str">
            <v>GV80</v>
          </cell>
          <cell r="E150" t="str">
            <v>26060147</v>
          </cell>
        </row>
        <row r="151">
          <cell r="B151" t="str">
            <v>K8-002_2</v>
          </cell>
          <cell r="C151" t="str">
            <v>특허법인 엠에이피에스</v>
          </cell>
          <cell r="D151" t="str">
            <v>K8</v>
          </cell>
          <cell r="E151" t="str">
            <v>26060148</v>
          </cell>
        </row>
        <row r="152">
          <cell r="B152" t="str">
            <v>Grander-012</v>
          </cell>
          <cell r="C152" t="str">
            <v>㈜다인누리</v>
          </cell>
          <cell r="D152" t="str">
            <v>그랜저</v>
          </cell>
          <cell r="E152" t="str">
            <v>26070149</v>
          </cell>
        </row>
        <row r="153">
          <cell r="B153" t="str">
            <v>Palisade_002</v>
          </cell>
          <cell r="C153" t="str">
            <v>(주)에이이엠테크</v>
          </cell>
          <cell r="D153" t="str">
            <v>펠리세이드(H)</v>
          </cell>
          <cell r="E153" t="str">
            <v>26070150</v>
          </cell>
        </row>
        <row r="154">
          <cell r="B154" t="str">
            <v>ES300h-001</v>
          </cell>
          <cell r="C154" t="str">
            <v>㈜플로우스페이스랩</v>
          </cell>
          <cell r="D154" t="str">
            <v>ES300h EXECUTIVE</v>
          </cell>
          <cell r="E154" t="str">
            <v>00010151</v>
          </cell>
        </row>
        <row r="155">
          <cell r="B155">
            <v>0</v>
          </cell>
          <cell r="C155" t="e">
            <v>#N/A</v>
          </cell>
          <cell r="D155" t="e">
            <v>#N/A</v>
          </cell>
          <cell r="E155" t="e">
            <v>#N/A</v>
          </cell>
        </row>
        <row r="156">
          <cell r="B156">
            <v>0</v>
          </cell>
          <cell r="C156" t="e">
            <v>#N/A</v>
          </cell>
          <cell r="D156" t="e">
            <v>#N/A</v>
          </cell>
          <cell r="E156" t="e">
            <v>#N/A</v>
          </cell>
        </row>
        <row r="157">
          <cell r="B157">
            <v>0</v>
          </cell>
          <cell r="C157" t="e">
            <v>#N/A</v>
          </cell>
          <cell r="D157" t="e">
            <v>#N/A</v>
          </cell>
          <cell r="E157" t="e">
            <v>#N/A</v>
          </cell>
        </row>
        <row r="158">
          <cell r="B158">
            <v>0</v>
          </cell>
          <cell r="C158" t="e">
            <v>#N/A</v>
          </cell>
          <cell r="D158" t="e">
            <v>#N/A</v>
          </cell>
          <cell r="E158" t="e">
            <v>#N/A</v>
          </cell>
        </row>
        <row r="159">
          <cell r="B159">
            <v>0</v>
          </cell>
          <cell r="C159" t="e">
            <v>#N/A</v>
          </cell>
          <cell r="D159" t="e">
            <v>#N/A</v>
          </cell>
          <cell r="E159" t="e">
            <v>#N/A</v>
          </cell>
        </row>
        <row r="160">
          <cell r="B160">
            <v>0</v>
          </cell>
          <cell r="C160" t="e">
            <v>#N/A</v>
          </cell>
          <cell r="D160" t="e">
            <v>#N/A</v>
          </cell>
          <cell r="E160" t="e">
            <v>#N/A</v>
          </cell>
        </row>
        <row r="161">
          <cell r="B161">
            <v>0</v>
          </cell>
          <cell r="C161" t="e">
            <v>#N/A</v>
          </cell>
          <cell r="D161" t="e">
            <v>#N/A</v>
          </cell>
          <cell r="E161" t="e">
            <v>#N/A</v>
          </cell>
        </row>
        <row r="162">
          <cell r="B162">
            <v>0</v>
          </cell>
          <cell r="C162" t="e">
            <v>#N/A</v>
          </cell>
          <cell r="D162" t="e">
            <v>#N/A</v>
          </cell>
          <cell r="E162" t="e">
            <v>#N/A</v>
          </cell>
        </row>
        <row r="163">
          <cell r="B163">
            <v>0</v>
          </cell>
          <cell r="C163" t="e">
            <v>#N/A</v>
          </cell>
          <cell r="D163" t="e">
            <v>#N/A</v>
          </cell>
          <cell r="E163" t="e">
            <v>#N/A</v>
          </cell>
        </row>
        <row r="164">
          <cell r="B164">
            <v>0</v>
          </cell>
          <cell r="C164" t="e">
            <v>#N/A</v>
          </cell>
          <cell r="D164" t="e">
            <v>#N/A</v>
          </cell>
          <cell r="E164" t="e">
            <v>#N/A</v>
          </cell>
        </row>
        <row r="165">
          <cell r="B165">
            <v>0</v>
          </cell>
          <cell r="C165" t="e">
            <v>#N/A</v>
          </cell>
          <cell r="D165" t="e">
            <v>#N/A</v>
          </cell>
          <cell r="E165" t="e">
            <v>#N/A</v>
          </cell>
        </row>
        <row r="166">
          <cell r="B166">
            <v>0</v>
          </cell>
          <cell r="C166" t="e">
            <v>#N/A</v>
          </cell>
          <cell r="D166" t="e">
            <v>#N/A</v>
          </cell>
          <cell r="E166" t="e">
            <v>#N/A</v>
          </cell>
        </row>
        <row r="167">
          <cell r="B167">
            <v>0</v>
          </cell>
          <cell r="C167" t="e">
            <v>#N/A</v>
          </cell>
          <cell r="D167" t="e">
            <v>#N/A</v>
          </cell>
          <cell r="E167" t="e">
            <v>#N/A</v>
          </cell>
        </row>
        <row r="168">
          <cell r="B168">
            <v>0</v>
          </cell>
          <cell r="C168" t="e">
            <v>#N/A</v>
          </cell>
          <cell r="D168" t="e">
            <v>#N/A</v>
          </cell>
          <cell r="E168" t="e">
            <v>#N/A</v>
          </cell>
        </row>
        <row r="169">
          <cell r="B169">
            <v>0</v>
          </cell>
          <cell r="C169" t="e">
            <v>#N/A</v>
          </cell>
          <cell r="D169" t="e">
            <v>#N/A</v>
          </cell>
          <cell r="E169" t="e">
            <v>#N/A</v>
          </cell>
        </row>
        <row r="170">
          <cell r="B170">
            <v>0</v>
          </cell>
          <cell r="C170" t="e">
            <v>#N/A</v>
          </cell>
          <cell r="D170" t="e">
            <v>#N/A</v>
          </cell>
          <cell r="E170" t="e">
            <v>#N/A</v>
          </cell>
        </row>
        <row r="171">
          <cell r="B171">
            <v>0</v>
          </cell>
          <cell r="C171" t="e">
            <v>#N/A</v>
          </cell>
          <cell r="D171" t="e">
            <v>#N/A</v>
          </cell>
          <cell r="E171" t="e">
            <v>#N/A</v>
          </cell>
        </row>
        <row r="172">
          <cell r="B172">
            <v>0</v>
          </cell>
          <cell r="C172" t="e">
            <v>#N/A</v>
          </cell>
          <cell r="D172" t="e">
            <v>#N/A</v>
          </cell>
          <cell r="E172" t="e">
            <v>#N/A</v>
          </cell>
        </row>
        <row r="173">
          <cell r="B173">
            <v>0</v>
          </cell>
          <cell r="C173" t="e">
            <v>#N/A</v>
          </cell>
          <cell r="D173" t="e">
            <v>#N/A</v>
          </cell>
          <cell r="E173" t="e">
            <v>#N/A</v>
          </cell>
        </row>
        <row r="174">
          <cell r="B174">
            <v>0</v>
          </cell>
          <cell r="C174" t="e">
            <v>#N/A</v>
          </cell>
          <cell r="D174" t="e">
            <v>#N/A</v>
          </cell>
          <cell r="E174" t="e">
            <v>#N/A</v>
          </cell>
        </row>
        <row r="175">
          <cell r="B175">
            <v>0</v>
          </cell>
          <cell r="C175" t="e">
            <v>#N/A</v>
          </cell>
          <cell r="D175" t="e">
            <v>#N/A</v>
          </cell>
          <cell r="E175" t="e">
            <v>#N/A</v>
          </cell>
        </row>
        <row r="176">
          <cell r="B176">
            <v>0</v>
          </cell>
          <cell r="C176" t="e">
            <v>#N/A</v>
          </cell>
          <cell r="D176" t="e">
            <v>#N/A</v>
          </cell>
          <cell r="E176" t="e">
            <v>#N/A</v>
          </cell>
        </row>
        <row r="177">
          <cell r="B177">
            <v>0</v>
          </cell>
          <cell r="C177" t="e">
            <v>#N/A</v>
          </cell>
          <cell r="D177" t="e">
            <v>#N/A</v>
          </cell>
          <cell r="E177" t="e">
            <v>#N/A</v>
          </cell>
        </row>
        <row r="178">
          <cell r="B178">
            <v>0</v>
          </cell>
          <cell r="C178" t="e">
            <v>#N/A</v>
          </cell>
          <cell r="D178" t="e">
            <v>#N/A</v>
          </cell>
          <cell r="E178" t="e">
            <v>#N/A</v>
          </cell>
        </row>
        <row r="179">
          <cell r="B179">
            <v>0</v>
          </cell>
          <cell r="C179" t="e">
            <v>#N/A</v>
          </cell>
          <cell r="D179" t="e">
            <v>#N/A</v>
          </cell>
          <cell r="E179" t="e">
            <v>#N/A</v>
          </cell>
        </row>
        <row r="180">
          <cell r="B180">
            <v>0</v>
          </cell>
          <cell r="C180" t="e">
            <v>#N/A</v>
          </cell>
          <cell r="D180" t="e">
            <v>#N/A</v>
          </cell>
          <cell r="E180" t="e">
            <v>#N/A</v>
          </cell>
        </row>
        <row r="181">
          <cell r="B181">
            <v>0</v>
          </cell>
          <cell r="C181" t="e">
            <v>#N/A</v>
          </cell>
          <cell r="D181" t="e">
            <v>#N/A</v>
          </cell>
          <cell r="E181" t="e">
            <v>#N/A</v>
          </cell>
        </row>
        <row r="182">
          <cell r="B182">
            <v>0</v>
          </cell>
          <cell r="C182" t="e">
            <v>#N/A</v>
          </cell>
          <cell r="D182" t="e">
            <v>#N/A</v>
          </cell>
          <cell r="E182" t="e">
            <v>#N/A</v>
          </cell>
        </row>
        <row r="183">
          <cell r="B183">
            <v>0</v>
          </cell>
          <cell r="C183" t="e">
            <v>#N/A</v>
          </cell>
          <cell r="D183" t="e">
            <v>#N/A</v>
          </cell>
          <cell r="E183" t="e">
            <v>#N/A</v>
          </cell>
        </row>
        <row r="184">
          <cell r="B184">
            <v>0</v>
          </cell>
          <cell r="C184" t="e">
            <v>#N/A</v>
          </cell>
          <cell r="D184" t="e">
            <v>#N/A</v>
          </cell>
          <cell r="E184" t="e">
            <v>#N/A</v>
          </cell>
        </row>
        <row r="185">
          <cell r="B185">
            <v>0</v>
          </cell>
          <cell r="C185" t="e">
            <v>#N/A</v>
          </cell>
          <cell r="D185" t="e">
            <v>#N/A</v>
          </cell>
          <cell r="E185" t="e">
            <v>#N/A</v>
          </cell>
        </row>
        <row r="186">
          <cell r="B186">
            <v>0</v>
          </cell>
          <cell r="C186" t="e">
            <v>#N/A</v>
          </cell>
          <cell r="D186" t="e">
            <v>#N/A</v>
          </cell>
          <cell r="E186" t="e">
            <v>#N/A</v>
          </cell>
        </row>
        <row r="187">
          <cell r="B187">
            <v>0</v>
          </cell>
          <cell r="C187" t="e">
            <v>#N/A</v>
          </cell>
          <cell r="D187" t="e">
            <v>#N/A</v>
          </cell>
          <cell r="E187" t="e">
            <v>#N/A</v>
          </cell>
        </row>
        <row r="188">
          <cell r="B188">
            <v>0</v>
          </cell>
          <cell r="C188" t="e">
            <v>#N/A</v>
          </cell>
          <cell r="D188" t="e">
            <v>#N/A</v>
          </cell>
          <cell r="E188" t="e">
            <v>#N/A</v>
          </cell>
        </row>
        <row r="189">
          <cell r="B189">
            <v>0</v>
          </cell>
          <cell r="C189" t="e">
            <v>#N/A</v>
          </cell>
          <cell r="D189" t="e">
            <v>#N/A</v>
          </cell>
          <cell r="E189" t="e">
            <v>#N/A</v>
          </cell>
        </row>
        <row r="190">
          <cell r="B190">
            <v>0</v>
          </cell>
          <cell r="C190" t="e">
            <v>#N/A</v>
          </cell>
          <cell r="D190" t="e">
            <v>#N/A</v>
          </cell>
          <cell r="E190" t="e">
            <v>#N/A</v>
          </cell>
        </row>
        <row r="191">
          <cell r="B191">
            <v>0</v>
          </cell>
          <cell r="C191" t="e">
            <v>#N/A</v>
          </cell>
          <cell r="D191" t="e">
            <v>#N/A</v>
          </cell>
          <cell r="E191" t="e">
            <v>#N/A</v>
          </cell>
        </row>
        <row r="192">
          <cell r="B192">
            <v>0</v>
          </cell>
          <cell r="C192" t="e">
            <v>#N/A</v>
          </cell>
          <cell r="D192" t="e">
            <v>#N/A</v>
          </cell>
          <cell r="E192" t="e">
            <v>#N/A</v>
          </cell>
        </row>
        <row r="193">
          <cell r="B193">
            <v>0</v>
          </cell>
          <cell r="C193" t="e">
            <v>#N/A</v>
          </cell>
          <cell r="D193" t="e">
            <v>#N/A</v>
          </cell>
          <cell r="E193" t="e">
            <v>#N/A</v>
          </cell>
        </row>
        <row r="194">
          <cell r="B194">
            <v>0</v>
          </cell>
          <cell r="C194" t="e">
            <v>#N/A</v>
          </cell>
          <cell r="D194" t="e">
            <v>#N/A</v>
          </cell>
          <cell r="E194" t="e">
            <v>#N/A</v>
          </cell>
        </row>
        <row r="195">
          <cell r="B195">
            <v>0</v>
          </cell>
          <cell r="C195" t="e">
            <v>#N/A</v>
          </cell>
          <cell r="D195" t="e">
            <v>#N/A</v>
          </cell>
          <cell r="E195" t="e">
            <v>#N/A</v>
          </cell>
        </row>
        <row r="196">
          <cell r="B196">
            <v>0</v>
          </cell>
          <cell r="C196" t="e">
            <v>#N/A</v>
          </cell>
          <cell r="D196" t="e">
            <v>#N/A</v>
          </cell>
          <cell r="E196" t="e">
            <v>#N/A</v>
          </cell>
        </row>
        <row r="197">
          <cell r="B197">
            <v>0</v>
          </cell>
          <cell r="C197" t="e">
            <v>#N/A</v>
          </cell>
          <cell r="D197" t="e">
            <v>#N/A</v>
          </cell>
          <cell r="E197" t="e">
            <v>#N/A</v>
          </cell>
        </row>
        <row r="198">
          <cell r="B198">
            <v>0</v>
          </cell>
          <cell r="C198" t="e">
            <v>#N/A</v>
          </cell>
          <cell r="D198" t="e">
            <v>#N/A</v>
          </cell>
          <cell r="E198" t="e">
            <v>#N/A</v>
          </cell>
        </row>
        <row r="199">
          <cell r="B199">
            <v>0</v>
          </cell>
          <cell r="C199" t="e">
            <v>#N/A</v>
          </cell>
          <cell r="D199" t="e">
            <v>#N/A</v>
          </cell>
          <cell r="E199" t="e">
            <v>#N/A</v>
          </cell>
        </row>
        <row r="200">
          <cell r="B200">
            <v>0</v>
          </cell>
          <cell r="C200" t="e">
            <v>#N/A</v>
          </cell>
          <cell r="D200" t="e">
            <v>#N/A</v>
          </cell>
          <cell r="E200" t="e">
            <v>#N/A</v>
          </cell>
        </row>
        <row r="201">
          <cell r="B201">
            <v>0</v>
          </cell>
          <cell r="C201" t="e">
            <v>#N/A</v>
          </cell>
          <cell r="D201" t="e">
            <v>#N/A</v>
          </cell>
          <cell r="E201" t="e">
            <v>#N/A</v>
          </cell>
        </row>
        <row r="202">
          <cell r="B202">
            <v>0</v>
          </cell>
          <cell r="C202" t="e">
            <v>#N/A</v>
          </cell>
          <cell r="D202" t="e">
            <v>#N/A</v>
          </cell>
          <cell r="E202" t="e">
            <v>#N/A</v>
          </cell>
        </row>
        <row r="203">
          <cell r="B203">
            <v>0</v>
          </cell>
          <cell r="C203" t="e">
            <v>#N/A</v>
          </cell>
          <cell r="D203" t="e">
            <v>#N/A</v>
          </cell>
          <cell r="E203" t="e">
            <v>#N/A</v>
          </cell>
        </row>
        <row r="204">
          <cell r="B204">
            <v>0</v>
          </cell>
          <cell r="C204" t="e">
            <v>#N/A</v>
          </cell>
          <cell r="D204" t="e">
            <v>#N/A</v>
          </cell>
          <cell r="E204" t="e">
            <v>#N/A</v>
          </cell>
        </row>
        <row r="205">
          <cell r="B205">
            <v>0</v>
          </cell>
          <cell r="C205" t="e">
            <v>#N/A</v>
          </cell>
          <cell r="D205" t="e">
            <v>#N/A</v>
          </cell>
          <cell r="E205" t="e">
            <v>#N/A</v>
          </cell>
        </row>
        <row r="206">
          <cell r="B206">
            <v>0</v>
          </cell>
          <cell r="C206" t="e">
            <v>#N/A</v>
          </cell>
          <cell r="D206" t="e">
            <v>#N/A</v>
          </cell>
          <cell r="E206" t="e">
            <v>#N/A</v>
          </cell>
        </row>
        <row r="207">
          <cell r="B207">
            <v>0</v>
          </cell>
          <cell r="C207" t="e">
            <v>#N/A</v>
          </cell>
          <cell r="D207" t="e">
            <v>#N/A</v>
          </cell>
          <cell r="E207" t="e">
            <v>#N/A</v>
          </cell>
        </row>
        <row r="208">
          <cell r="B208">
            <v>0</v>
          </cell>
          <cell r="C208" t="e">
            <v>#N/A</v>
          </cell>
          <cell r="D208" t="e">
            <v>#N/A</v>
          </cell>
          <cell r="E208" t="e">
            <v>#N/A</v>
          </cell>
        </row>
        <row r="209">
          <cell r="B209">
            <v>0</v>
          </cell>
          <cell r="C209" t="e">
            <v>#N/A</v>
          </cell>
          <cell r="D209" t="e">
            <v>#N/A</v>
          </cell>
          <cell r="E209" t="e">
            <v>#N/A</v>
          </cell>
        </row>
        <row r="210">
          <cell r="B210">
            <v>0</v>
          </cell>
          <cell r="C210" t="e">
            <v>#N/A</v>
          </cell>
          <cell r="D210" t="e">
            <v>#N/A</v>
          </cell>
          <cell r="E210" t="e">
            <v>#N/A</v>
          </cell>
        </row>
        <row r="211">
          <cell r="B211">
            <v>0</v>
          </cell>
          <cell r="C211" t="e">
            <v>#N/A</v>
          </cell>
          <cell r="D211" t="e">
            <v>#N/A</v>
          </cell>
          <cell r="E211" t="e">
            <v>#N/A</v>
          </cell>
        </row>
        <row r="212">
          <cell r="B212">
            <v>0</v>
          </cell>
          <cell r="C212" t="e">
            <v>#N/A</v>
          </cell>
          <cell r="D212" t="e">
            <v>#N/A</v>
          </cell>
          <cell r="E212" t="e">
            <v>#N/A</v>
          </cell>
        </row>
        <row r="213">
          <cell r="B213">
            <v>0</v>
          </cell>
          <cell r="C213" t="e">
            <v>#N/A</v>
          </cell>
          <cell r="D213" t="e">
            <v>#N/A</v>
          </cell>
          <cell r="E213" t="e">
            <v>#N/A</v>
          </cell>
        </row>
        <row r="214">
          <cell r="B214">
            <v>0</v>
          </cell>
          <cell r="C214" t="e">
            <v>#N/A</v>
          </cell>
          <cell r="D214" t="e">
            <v>#N/A</v>
          </cell>
          <cell r="E214" t="e">
            <v>#N/A</v>
          </cell>
        </row>
        <row r="215">
          <cell r="B215">
            <v>0</v>
          </cell>
          <cell r="C215" t="e">
            <v>#N/A</v>
          </cell>
          <cell r="D215" t="e">
            <v>#N/A</v>
          </cell>
          <cell r="E215" t="e">
            <v>#N/A</v>
          </cell>
        </row>
        <row r="216">
          <cell r="B216">
            <v>0</v>
          </cell>
          <cell r="C216" t="e">
            <v>#N/A</v>
          </cell>
          <cell r="D216" t="e">
            <v>#N/A</v>
          </cell>
          <cell r="E216" t="e">
            <v>#N/A</v>
          </cell>
        </row>
        <row r="217">
          <cell r="B217">
            <v>0</v>
          </cell>
          <cell r="C217" t="e">
            <v>#N/A</v>
          </cell>
          <cell r="D217" t="e">
            <v>#N/A</v>
          </cell>
          <cell r="E217" t="e">
            <v>#N/A</v>
          </cell>
        </row>
        <row r="218">
          <cell r="B218">
            <v>0</v>
          </cell>
          <cell r="C218" t="e">
            <v>#N/A</v>
          </cell>
          <cell r="D218" t="e">
            <v>#N/A</v>
          </cell>
          <cell r="E218" t="e">
            <v>#N/A</v>
          </cell>
        </row>
        <row r="219">
          <cell r="B219">
            <v>0</v>
          </cell>
          <cell r="C219" t="e">
            <v>#N/A</v>
          </cell>
          <cell r="D219" t="e">
            <v>#N/A</v>
          </cell>
          <cell r="E219" t="e">
            <v>#N/A</v>
          </cell>
        </row>
        <row r="220">
          <cell r="B220">
            <v>0</v>
          </cell>
          <cell r="C220" t="e">
            <v>#N/A</v>
          </cell>
          <cell r="D220" t="e">
            <v>#N/A</v>
          </cell>
          <cell r="E220" t="e">
            <v>#N/A</v>
          </cell>
        </row>
        <row r="221">
          <cell r="B221">
            <v>0</v>
          </cell>
          <cell r="C221" t="e">
            <v>#N/A</v>
          </cell>
          <cell r="D221" t="e">
            <v>#N/A</v>
          </cell>
          <cell r="E221" t="e">
            <v>#N/A</v>
          </cell>
        </row>
        <row r="222">
          <cell r="B222">
            <v>0</v>
          </cell>
          <cell r="C222" t="e">
            <v>#N/A</v>
          </cell>
          <cell r="D222" t="e">
            <v>#N/A</v>
          </cell>
          <cell r="E222" t="e">
            <v>#N/A</v>
          </cell>
        </row>
        <row r="223">
          <cell r="B223">
            <v>0</v>
          </cell>
          <cell r="C223" t="e">
            <v>#N/A</v>
          </cell>
          <cell r="D223" t="e">
            <v>#N/A</v>
          </cell>
          <cell r="E223" t="e">
            <v>#N/A</v>
          </cell>
        </row>
        <row r="224">
          <cell r="B224">
            <v>0</v>
          </cell>
          <cell r="C224" t="e">
            <v>#N/A</v>
          </cell>
          <cell r="D224" t="e">
            <v>#N/A</v>
          </cell>
          <cell r="E224" t="e">
            <v>#N/A</v>
          </cell>
        </row>
        <row r="225">
          <cell r="B225">
            <v>0</v>
          </cell>
          <cell r="C225" t="e">
            <v>#N/A</v>
          </cell>
          <cell r="D225" t="e">
            <v>#N/A</v>
          </cell>
          <cell r="E225" t="e">
            <v>#N/A</v>
          </cell>
        </row>
        <row r="226">
          <cell r="B226">
            <v>0</v>
          </cell>
          <cell r="C226" t="e">
            <v>#N/A</v>
          </cell>
          <cell r="D226" t="e">
            <v>#N/A</v>
          </cell>
          <cell r="E226" t="e">
            <v>#N/A</v>
          </cell>
        </row>
        <row r="227">
          <cell r="B227">
            <v>0</v>
          </cell>
          <cell r="C227" t="e">
            <v>#N/A</v>
          </cell>
          <cell r="D227" t="e">
            <v>#N/A</v>
          </cell>
          <cell r="E227" t="e">
            <v>#N/A</v>
          </cell>
        </row>
        <row r="228">
          <cell r="B228">
            <v>0</v>
          </cell>
          <cell r="C228" t="e">
            <v>#N/A</v>
          </cell>
          <cell r="D228" t="e">
            <v>#N/A</v>
          </cell>
          <cell r="E228" t="e">
            <v>#N/A</v>
          </cell>
        </row>
        <row r="229">
          <cell r="B229">
            <v>0</v>
          </cell>
          <cell r="C229" t="e">
            <v>#N/A</v>
          </cell>
          <cell r="D229" t="e">
            <v>#N/A</v>
          </cell>
          <cell r="E229" t="e">
            <v>#N/A</v>
          </cell>
        </row>
        <row r="230">
          <cell r="B230">
            <v>0</v>
          </cell>
          <cell r="C230" t="e">
            <v>#N/A</v>
          </cell>
          <cell r="D230" t="e">
            <v>#N/A</v>
          </cell>
          <cell r="E230" t="e">
            <v>#N/A</v>
          </cell>
        </row>
        <row r="231">
          <cell r="B231">
            <v>0</v>
          </cell>
          <cell r="C231" t="e">
            <v>#N/A</v>
          </cell>
          <cell r="D231" t="e">
            <v>#N/A</v>
          </cell>
          <cell r="E231" t="e">
            <v>#N/A</v>
          </cell>
        </row>
        <row r="232">
          <cell r="B232">
            <v>0</v>
          </cell>
          <cell r="C232" t="e">
            <v>#N/A</v>
          </cell>
          <cell r="D232" t="e">
            <v>#N/A</v>
          </cell>
          <cell r="E232" t="e">
            <v>#N/A</v>
          </cell>
        </row>
        <row r="233">
          <cell r="B233">
            <v>0</v>
          </cell>
          <cell r="C233" t="e">
            <v>#N/A</v>
          </cell>
          <cell r="D233" t="e">
            <v>#N/A</v>
          </cell>
          <cell r="E233" t="e">
            <v>#N/A</v>
          </cell>
        </row>
        <row r="234">
          <cell r="B234">
            <v>0</v>
          </cell>
          <cell r="C234" t="e">
            <v>#N/A</v>
          </cell>
          <cell r="D234" t="e">
            <v>#N/A</v>
          </cell>
          <cell r="E234" t="e">
            <v>#N/A</v>
          </cell>
        </row>
        <row r="235">
          <cell r="B235">
            <v>0</v>
          </cell>
          <cell r="C235" t="e">
            <v>#N/A</v>
          </cell>
          <cell r="D235" t="e">
            <v>#N/A</v>
          </cell>
          <cell r="E235" t="e">
            <v>#N/A</v>
          </cell>
        </row>
        <row r="236">
          <cell r="B236">
            <v>0</v>
          </cell>
          <cell r="C236" t="e">
            <v>#N/A</v>
          </cell>
          <cell r="D236" t="e">
            <v>#N/A</v>
          </cell>
          <cell r="E236" t="e">
            <v>#N/A</v>
          </cell>
        </row>
        <row r="237">
          <cell r="B237">
            <v>0</v>
          </cell>
          <cell r="C237" t="e">
            <v>#N/A</v>
          </cell>
          <cell r="D237" t="e">
            <v>#N/A</v>
          </cell>
          <cell r="E237" t="e">
            <v>#N/A</v>
          </cell>
        </row>
        <row r="238">
          <cell r="B238">
            <v>0</v>
          </cell>
          <cell r="C238" t="e">
            <v>#N/A</v>
          </cell>
          <cell r="D238" t="e">
            <v>#N/A</v>
          </cell>
          <cell r="E238" t="e">
            <v>#N/A</v>
          </cell>
        </row>
        <row r="239">
          <cell r="B239">
            <v>0</v>
          </cell>
          <cell r="C239" t="e">
            <v>#N/A</v>
          </cell>
          <cell r="D239" t="e">
            <v>#N/A</v>
          </cell>
          <cell r="E239" t="e">
            <v>#N/A</v>
          </cell>
        </row>
        <row r="240">
          <cell r="B240">
            <v>0</v>
          </cell>
          <cell r="C240" t="e">
            <v>#N/A</v>
          </cell>
          <cell r="D240" t="e">
            <v>#N/A</v>
          </cell>
          <cell r="E240" t="e">
            <v>#N/A</v>
          </cell>
        </row>
        <row r="241">
          <cell r="B241">
            <v>0</v>
          </cell>
          <cell r="C241" t="e">
            <v>#N/A</v>
          </cell>
          <cell r="D241" t="e">
            <v>#N/A</v>
          </cell>
          <cell r="E241" t="e">
            <v>#N/A</v>
          </cell>
        </row>
        <row r="242">
          <cell r="B242">
            <v>0</v>
          </cell>
          <cell r="C242" t="e">
            <v>#N/A</v>
          </cell>
          <cell r="D242" t="e">
            <v>#N/A</v>
          </cell>
          <cell r="E242" t="e">
            <v>#N/A</v>
          </cell>
        </row>
        <row r="243">
          <cell r="B243">
            <v>0</v>
          </cell>
          <cell r="C243" t="e">
            <v>#N/A</v>
          </cell>
          <cell r="D243" t="e">
            <v>#N/A</v>
          </cell>
          <cell r="E243" t="e">
            <v>#N/A</v>
          </cell>
        </row>
        <row r="244">
          <cell r="B244">
            <v>0</v>
          </cell>
          <cell r="C244" t="e">
            <v>#N/A</v>
          </cell>
          <cell r="D244" t="e">
            <v>#N/A</v>
          </cell>
          <cell r="E244" t="e">
            <v>#N/A</v>
          </cell>
        </row>
        <row r="245">
          <cell r="B245">
            <v>0</v>
          </cell>
          <cell r="C245" t="e">
            <v>#N/A</v>
          </cell>
          <cell r="D245" t="e">
            <v>#N/A</v>
          </cell>
          <cell r="E245" t="e">
            <v>#N/A</v>
          </cell>
        </row>
        <row r="246">
          <cell r="B246">
            <v>0</v>
          </cell>
          <cell r="C246" t="e">
            <v>#N/A</v>
          </cell>
          <cell r="D246" t="e">
            <v>#N/A</v>
          </cell>
          <cell r="E246" t="e">
            <v>#N/A</v>
          </cell>
        </row>
        <row r="247">
          <cell r="B247">
            <v>0</v>
          </cell>
          <cell r="C247" t="e">
            <v>#N/A</v>
          </cell>
          <cell r="D247" t="e">
            <v>#N/A</v>
          </cell>
          <cell r="E247" t="e">
            <v>#N/A</v>
          </cell>
        </row>
        <row r="248">
          <cell r="B248">
            <v>0</v>
          </cell>
          <cell r="C248" t="e">
            <v>#N/A</v>
          </cell>
          <cell r="D248" t="e">
            <v>#N/A</v>
          </cell>
          <cell r="E248" t="e">
            <v>#N/A</v>
          </cell>
        </row>
        <row r="249">
          <cell r="B249">
            <v>0</v>
          </cell>
          <cell r="C249" t="e">
            <v>#N/A</v>
          </cell>
          <cell r="D249" t="e">
            <v>#N/A</v>
          </cell>
          <cell r="E249" t="e">
            <v>#N/A</v>
          </cell>
        </row>
        <row r="250">
          <cell r="B250">
            <v>0</v>
          </cell>
          <cell r="C250" t="e">
            <v>#N/A</v>
          </cell>
          <cell r="D250" t="e">
            <v>#N/A</v>
          </cell>
          <cell r="E250" t="e">
            <v>#N/A</v>
          </cell>
        </row>
        <row r="251">
          <cell r="B251">
            <v>0</v>
          </cell>
          <cell r="C251" t="e">
            <v>#N/A</v>
          </cell>
          <cell r="D251" t="e">
            <v>#N/A</v>
          </cell>
          <cell r="E251" t="e">
            <v>#N/A</v>
          </cell>
        </row>
        <row r="252">
          <cell r="B252">
            <v>0</v>
          </cell>
          <cell r="C252" t="e">
            <v>#N/A</v>
          </cell>
          <cell r="D252" t="e">
            <v>#N/A</v>
          </cell>
          <cell r="E252" t="e">
            <v>#N/A</v>
          </cell>
        </row>
        <row r="253">
          <cell r="B253">
            <v>0</v>
          </cell>
          <cell r="C253" t="e">
            <v>#N/A</v>
          </cell>
          <cell r="D253" t="e">
            <v>#N/A</v>
          </cell>
          <cell r="E253" t="e">
            <v>#N/A</v>
          </cell>
        </row>
        <row r="254">
          <cell r="B254">
            <v>0</v>
          </cell>
          <cell r="C254" t="e">
            <v>#N/A</v>
          </cell>
          <cell r="D254" t="e">
            <v>#N/A</v>
          </cell>
          <cell r="E254" t="e">
            <v>#N/A</v>
          </cell>
        </row>
        <row r="255">
          <cell r="B255">
            <v>0</v>
          </cell>
          <cell r="C255" t="e">
            <v>#N/A</v>
          </cell>
          <cell r="D255" t="e">
            <v>#N/A</v>
          </cell>
          <cell r="E255" t="e">
            <v>#N/A</v>
          </cell>
        </row>
        <row r="256">
          <cell r="B256">
            <v>0</v>
          </cell>
          <cell r="C256" t="e">
            <v>#N/A</v>
          </cell>
          <cell r="D256" t="e">
            <v>#N/A</v>
          </cell>
          <cell r="E256" t="e">
            <v>#N/A</v>
          </cell>
        </row>
        <row r="257">
          <cell r="B257">
            <v>0</v>
          </cell>
          <cell r="C257" t="e">
            <v>#N/A</v>
          </cell>
          <cell r="D257" t="e">
            <v>#N/A</v>
          </cell>
          <cell r="E257" t="e">
            <v>#N/A</v>
          </cell>
        </row>
        <row r="258">
          <cell r="B258">
            <v>0</v>
          </cell>
          <cell r="C258" t="e">
            <v>#N/A</v>
          </cell>
          <cell r="D258" t="e">
            <v>#N/A</v>
          </cell>
          <cell r="E258" t="e">
            <v>#N/A</v>
          </cell>
        </row>
        <row r="259">
          <cell r="B259">
            <v>0</v>
          </cell>
          <cell r="C259" t="e">
            <v>#N/A</v>
          </cell>
          <cell r="D259" t="e">
            <v>#N/A</v>
          </cell>
          <cell r="E259" t="e">
            <v>#N/A</v>
          </cell>
        </row>
        <row r="260">
          <cell r="B260">
            <v>0</v>
          </cell>
          <cell r="C260" t="e">
            <v>#N/A</v>
          </cell>
          <cell r="D260" t="e">
            <v>#N/A</v>
          </cell>
          <cell r="E260" t="e">
            <v>#N/A</v>
          </cell>
        </row>
        <row r="261">
          <cell r="B261">
            <v>0</v>
          </cell>
          <cell r="C261" t="e">
            <v>#N/A</v>
          </cell>
          <cell r="D261" t="e">
            <v>#N/A</v>
          </cell>
          <cell r="E261" t="e">
            <v>#N/A</v>
          </cell>
        </row>
        <row r="262">
          <cell r="B262">
            <v>0</v>
          </cell>
          <cell r="C262" t="e">
            <v>#N/A</v>
          </cell>
          <cell r="D262" t="e">
            <v>#N/A</v>
          </cell>
          <cell r="E262" t="e">
            <v>#N/A</v>
          </cell>
        </row>
        <row r="263">
          <cell r="B263">
            <v>0</v>
          </cell>
          <cell r="C263" t="e">
            <v>#N/A</v>
          </cell>
          <cell r="D263" t="e">
            <v>#N/A</v>
          </cell>
          <cell r="E263" t="e">
            <v>#N/A</v>
          </cell>
        </row>
        <row r="264">
          <cell r="B264">
            <v>0</v>
          </cell>
          <cell r="C264" t="e">
            <v>#N/A</v>
          </cell>
          <cell r="D264" t="e">
            <v>#N/A</v>
          </cell>
          <cell r="E264" t="e">
            <v>#N/A</v>
          </cell>
        </row>
        <row r="265">
          <cell r="B265">
            <v>0</v>
          </cell>
          <cell r="C265" t="e">
            <v>#N/A</v>
          </cell>
          <cell r="D265" t="e">
            <v>#N/A</v>
          </cell>
          <cell r="E265" t="e">
            <v>#N/A</v>
          </cell>
        </row>
        <row r="266">
          <cell r="B266">
            <v>0</v>
          </cell>
          <cell r="C266" t="e">
            <v>#N/A</v>
          </cell>
          <cell r="D266" t="e">
            <v>#N/A</v>
          </cell>
          <cell r="E266" t="e">
            <v>#N/A</v>
          </cell>
        </row>
        <row r="267">
          <cell r="B267">
            <v>0</v>
          </cell>
          <cell r="C267" t="e">
            <v>#N/A</v>
          </cell>
          <cell r="D267" t="e">
            <v>#N/A</v>
          </cell>
          <cell r="E267" t="e">
            <v>#N/A</v>
          </cell>
        </row>
        <row r="268">
          <cell r="B268">
            <v>0</v>
          </cell>
          <cell r="C268" t="e">
            <v>#N/A</v>
          </cell>
          <cell r="D268" t="e">
            <v>#N/A</v>
          </cell>
          <cell r="E268" t="e">
            <v>#N/A</v>
          </cell>
        </row>
        <row r="269">
          <cell r="B269">
            <v>0</v>
          </cell>
          <cell r="C269" t="e">
            <v>#N/A</v>
          </cell>
          <cell r="D269" t="e">
            <v>#N/A</v>
          </cell>
          <cell r="E269" t="e">
            <v>#N/A</v>
          </cell>
        </row>
        <row r="270">
          <cell r="B270">
            <v>0</v>
          </cell>
          <cell r="C270" t="e">
            <v>#N/A</v>
          </cell>
          <cell r="D270" t="e">
            <v>#N/A</v>
          </cell>
          <cell r="E270" t="e">
            <v>#N/A</v>
          </cell>
        </row>
        <row r="271">
          <cell r="B271">
            <v>0</v>
          </cell>
          <cell r="C271" t="e">
            <v>#N/A</v>
          </cell>
          <cell r="D271" t="e">
            <v>#N/A</v>
          </cell>
          <cell r="E271" t="e">
            <v>#N/A</v>
          </cell>
        </row>
        <row r="272">
          <cell r="B272">
            <v>0</v>
          </cell>
          <cell r="C272" t="e">
            <v>#N/A</v>
          </cell>
          <cell r="D272" t="e">
            <v>#N/A</v>
          </cell>
          <cell r="E272" t="e">
            <v>#N/A</v>
          </cell>
        </row>
        <row r="273">
          <cell r="B273">
            <v>0</v>
          </cell>
          <cell r="C273" t="e">
            <v>#N/A</v>
          </cell>
          <cell r="D273" t="e">
            <v>#N/A</v>
          </cell>
          <cell r="E273" t="e">
            <v>#N/A</v>
          </cell>
        </row>
        <row r="274">
          <cell r="B274">
            <v>0</v>
          </cell>
          <cell r="C274" t="e">
            <v>#N/A</v>
          </cell>
          <cell r="D274" t="e">
            <v>#N/A</v>
          </cell>
          <cell r="E274" t="e">
            <v>#N/A</v>
          </cell>
        </row>
        <row r="275">
          <cell r="B275">
            <v>0</v>
          </cell>
          <cell r="C275" t="e">
            <v>#N/A</v>
          </cell>
          <cell r="D275" t="e">
            <v>#N/A</v>
          </cell>
          <cell r="E275" t="e">
            <v>#N/A</v>
          </cell>
        </row>
        <row r="276">
          <cell r="B276">
            <v>0</v>
          </cell>
          <cell r="C276" t="e">
            <v>#N/A</v>
          </cell>
          <cell r="D276" t="e">
            <v>#N/A</v>
          </cell>
          <cell r="E276" t="e">
            <v>#N/A</v>
          </cell>
        </row>
        <row r="277">
          <cell r="B277">
            <v>0</v>
          </cell>
          <cell r="C277" t="e">
            <v>#N/A</v>
          </cell>
          <cell r="D277" t="e">
            <v>#N/A</v>
          </cell>
          <cell r="E277" t="e">
            <v>#N/A</v>
          </cell>
        </row>
        <row r="278">
          <cell r="B278">
            <v>0</v>
          </cell>
          <cell r="C278" t="e">
            <v>#N/A</v>
          </cell>
          <cell r="D278" t="e">
            <v>#N/A</v>
          </cell>
          <cell r="E278" t="e">
            <v>#N/A</v>
          </cell>
        </row>
        <row r="279">
          <cell r="B279">
            <v>0</v>
          </cell>
          <cell r="C279" t="e">
            <v>#N/A</v>
          </cell>
          <cell r="D279" t="e">
            <v>#N/A</v>
          </cell>
          <cell r="E279" t="e">
            <v>#N/A</v>
          </cell>
        </row>
        <row r="280">
          <cell r="B280">
            <v>0</v>
          </cell>
          <cell r="C280" t="e">
            <v>#N/A</v>
          </cell>
          <cell r="D280" t="e">
            <v>#N/A</v>
          </cell>
          <cell r="E280" t="e">
            <v>#N/A</v>
          </cell>
        </row>
        <row r="281">
          <cell r="B281">
            <v>0</v>
          </cell>
          <cell r="C281" t="e">
            <v>#N/A</v>
          </cell>
          <cell r="D281" t="e">
            <v>#N/A</v>
          </cell>
          <cell r="E281" t="e">
            <v>#N/A</v>
          </cell>
        </row>
        <row r="282">
          <cell r="B282">
            <v>0</v>
          </cell>
          <cell r="C282" t="e">
            <v>#N/A</v>
          </cell>
          <cell r="D282" t="e">
            <v>#N/A</v>
          </cell>
          <cell r="E282" t="e">
            <v>#N/A</v>
          </cell>
        </row>
        <row r="283">
          <cell r="B283">
            <v>0</v>
          </cell>
          <cell r="C283" t="e">
            <v>#N/A</v>
          </cell>
          <cell r="D283" t="e">
            <v>#N/A</v>
          </cell>
          <cell r="E283" t="e">
            <v>#N/A</v>
          </cell>
        </row>
        <row r="284">
          <cell r="B284">
            <v>0</v>
          </cell>
          <cell r="C284" t="e">
            <v>#N/A</v>
          </cell>
          <cell r="D284" t="e">
            <v>#N/A</v>
          </cell>
          <cell r="E284" t="e">
            <v>#N/A</v>
          </cell>
        </row>
        <row r="285">
          <cell r="B285">
            <v>0</v>
          </cell>
          <cell r="C285" t="e">
            <v>#N/A</v>
          </cell>
          <cell r="D285" t="e">
            <v>#N/A</v>
          </cell>
          <cell r="E285" t="e">
            <v>#N/A</v>
          </cell>
        </row>
        <row r="286">
          <cell r="B286">
            <v>0</v>
          </cell>
          <cell r="C286" t="e">
            <v>#N/A</v>
          </cell>
          <cell r="D286" t="e">
            <v>#N/A</v>
          </cell>
          <cell r="E286" t="e">
            <v>#N/A</v>
          </cell>
        </row>
        <row r="287">
          <cell r="B287">
            <v>0</v>
          </cell>
          <cell r="C287" t="e">
            <v>#N/A</v>
          </cell>
          <cell r="D287" t="e">
            <v>#N/A</v>
          </cell>
          <cell r="E287" t="e">
            <v>#N/A</v>
          </cell>
        </row>
        <row r="288">
          <cell r="B288">
            <v>0</v>
          </cell>
          <cell r="C288" t="e">
            <v>#N/A</v>
          </cell>
          <cell r="D288" t="e">
            <v>#N/A</v>
          </cell>
          <cell r="E288" t="e">
            <v>#N/A</v>
          </cell>
        </row>
        <row r="289">
          <cell r="B289">
            <v>0</v>
          </cell>
          <cell r="C289" t="e">
            <v>#N/A</v>
          </cell>
          <cell r="D289" t="e">
            <v>#N/A</v>
          </cell>
          <cell r="E289" t="e">
            <v>#N/A</v>
          </cell>
        </row>
        <row r="290">
          <cell r="B290">
            <v>0</v>
          </cell>
          <cell r="C290" t="e">
            <v>#N/A</v>
          </cell>
          <cell r="D290" t="e">
            <v>#N/A</v>
          </cell>
          <cell r="E290" t="e">
            <v>#N/A</v>
          </cell>
        </row>
        <row r="291">
          <cell r="B291">
            <v>0</v>
          </cell>
          <cell r="C291" t="e">
            <v>#N/A</v>
          </cell>
          <cell r="D291" t="e">
            <v>#N/A</v>
          </cell>
          <cell r="E291" t="e">
            <v>#N/A</v>
          </cell>
        </row>
        <row r="292">
          <cell r="B292">
            <v>0</v>
          </cell>
          <cell r="C292" t="e">
            <v>#N/A</v>
          </cell>
          <cell r="D292" t="e">
            <v>#N/A</v>
          </cell>
          <cell r="E292" t="e">
            <v>#N/A</v>
          </cell>
        </row>
        <row r="293">
          <cell r="B293">
            <v>0</v>
          </cell>
          <cell r="C293" t="e">
            <v>#N/A</v>
          </cell>
          <cell r="D293" t="e">
            <v>#N/A</v>
          </cell>
          <cell r="E293" t="e">
            <v>#N/A</v>
          </cell>
        </row>
        <row r="294">
          <cell r="B294">
            <v>0</v>
          </cell>
          <cell r="C294" t="e">
            <v>#N/A</v>
          </cell>
          <cell r="D294" t="e">
            <v>#N/A</v>
          </cell>
          <cell r="E294" t="e">
            <v>#N/A</v>
          </cell>
        </row>
        <row r="295">
          <cell r="B295">
            <v>0</v>
          </cell>
          <cell r="C295" t="e">
            <v>#N/A</v>
          </cell>
          <cell r="D295" t="e">
            <v>#N/A</v>
          </cell>
          <cell r="E295" t="e">
            <v>#N/A</v>
          </cell>
        </row>
        <row r="296">
          <cell r="B296">
            <v>0</v>
          </cell>
          <cell r="C296" t="e">
            <v>#N/A</v>
          </cell>
          <cell r="D296" t="e">
            <v>#N/A</v>
          </cell>
          <cell r="E296" t="e">
            <v>#N/A</v>
          </cell>
        </row>
        <row r="297">
          <cell r="B297">
            <v>0</v>
          </cell>
          <cell r="C297" t="e">
            <v>#N/A</v>
          </cell>
          <cell r="D297" t="e">
            <v>#N/A</v>
          </cell>
          <cell r="E297" t="e">
            <v>#N/A</v>
          </cell>
        </row>
        <row r="298">
          <cell r="B298">
            <v>0</v>
          </cell>
          <cell r="C298" t="e">
            <v>#N/A</v>
          </cell>
          <cell r="D298" t="e">
            <v>#N/A</v>
          </cell>
          <cell r="E298" t="e">
            <v>#N/A</v>
          </cell>
        </row>
        <row r="299">
          <cell r="B299">
            <v>0</v>
          </cell>
          <cell r="C299" t="e">
            <v>#N/A</v>
          </cell>
          <cell r="D299" t="e">
            <v>#N/A</v>
          </cell>
          <cell r="E299" t="e">
            <v>#N/A</v>
          </cell>
        </row>
        <row r="300">
          <cell r="B300">
            <v>0</v>
          </cell>
          <cell r="C300" t="e">
            <v>#N/A</v>
          </cell>
          <cell r="D300" t="e">
            <v>#N/A</v>
          </cell>
          <cell r="E300" t="e">
            <v>#N/A</v>
          </cell>
        </row>
        <row r="301">
          <cell r="B301">
            <v>0</v>
          </cell>
          <cell r="C301" t="e">
            <v>#N/A</v>
          </cell>
          <cell r="D301" t="e">
            <v>#N/A</v>
          </cell>
          <cell r="E301" t="e">
            <v>#N/A</v>
          </cell>
        </row>
        <row r="302">
          <cell r="B302">
            <v>0</v>
          </cell>
          <cell r="C302" t="e">
            <v>#N/A</v>
          </cell>
          <cell r="D302" t="e">
            <v>#N/A</v>
          </cell>
          <cell r="E302" t="e">
            <v>#N/A</v>
          </cell>
        </row>
        <row r="303">
          <cell r="B303">
            <v>0</v>
          </cell>
          <cell r="C303" t="e">
            <v>#N/A</v>
          </cell>
          <cell r="D303" t="e">
            <v>#N/A</v>
          </cell>
          <cell r="E303" t="e">
            <v>#N/A</v>
          </cell>
        </row>
        <row r="304">
          <cell r="B304">
            <v>0</v>
          </cell>
          <cell r="C304" t="e">
            <v>#N/A</v>
          </cell>
          <cell r="D304" t="e">
            <v>#N/A</v>
          </cell>
          <cell r="E304" t="e">
            <v>#N/A</v>
          </cell>
        </row>
        <row r="305">
          <cell r="B305">
            <v>0</v>
          </cell>
          <cell r="C305" t="e">
            <v>#N/A</v>
          </cell>
          <cell r="D305" t="e">
            <v>#N/A</v>
          </cell>
          <cell r="E305" t="e">
            <v>#N/A</v>
          </cell>
        </row>
        <row r="306">
          <cell r="B306">
            <v>0</v>
          </cell>
          <cell r="C306" t="e">
            <v>#N/A</v>
          </cell>
          <cell r="D306" t="e">
            <v>#N/A</v>
          </cell>
          <cell r="E306" t="e">
            <v>#N/A</v>
          </cell>
        </row>
        <row r="307">
          <cell r="B307">
            <v>0</v>
          </cell>
          <cell r="C307" t="e">
            <v>#N/A</v>
          </cell>
          <cell r="D307" t="e">
            <v>#N/A</v>
          </cell>
          <cell r="E307" t="e">
            <v>#N/A</v>
          </cell>
        </row>
        <row r="308">
          <cell r="B308">
            <v>0</v>
          </cell>
          <cell r="C308" t="e">
            <v>#N/A</v>
          </cell>
          <cell r="D308" t="e">
            <v>#N/A</v>
          </cell>
          <cell r="E308" t="e">
            <v>#N/A</v>
          </cell>
        </row>
        <row r="309">
          <cell r="B309">
            <v>0</v>
          </cell>
          <cell r="C309" t="e">
            <v>#N/A</v>
          </cell>
          <cell r="D309" t="e">
            <v>#N/A</v>
          </cell>
          <cell r="E309" t="e">
            <v>#N/A</v>
          </cell>
        </row>
        <row r="310">
          <cell r="B310">
            <v>0</v>
          </cell>
          <cell r="C310" t="e">
            <v>#N/A</v>
          </cell>
          <cell r="D310" t="e">
            <v>#N/A</v>
          </cell>
          <cell r="E310" t="e">
            <v>#N/A</v>
          </cell>
        </row>
        <row r="311">
          <cell r="B311">
            <v>0</v>
          </cell>
          <cell r="C311" t="e">
            <v>#N/A</v>
          </cell>
          <cell r="D311" t="e">
            <v>#N/A</v>
          </cell>
          <cell r="E311" t="e">
            <v>#N/A</v>
          </cell>
        </row>
        <row r="312">
          <cell r="B312">
            <v>0</v>
          </cell>
          <cell r="C312" t="e">
            <v>#N/A</v>
          </cell>
          <cell r="D312" t="e">
            <v>#N/A</v>
          </cell>
          <cell r="E312" t="e">
            <v>#N/A</v>
          </cell>
        </row>
        <row r="313">
          <cell r="B313">
            <v>0</v>
          </cell>
          <cell r="C313" t="e">
            <v>#N/A</v>
          </cell>
          <cell r="D313" t="e">
            <v>#N/A</v>
          </cell>
          <cell r="E313" t="e">
            <v>#N/A</v>
          </cell>
        </row>
        <row r="314">
          <cell r="B314">
            <v>0</v>
          </cell>
          <cell r="C314" t="e">
            <v>#N/A</v>
          </cell>
          <cell r="D314" t="e">
            <v>#N/A</v>
          </cell>
          <cell r="E314" t="e">
            <v>#N/A</v>
          </cell>
        </row>
        <row r="315">
          <cell r="B315">
            <v>0</v>
          </cell>
          <cell r="C315" t="e">
            <v>#N/A</v>
          </cell>
          <cell r="D315" t="e">
            <v>#N/A</v>
          </cell>
          <cell r="E315" t="e">
            <v>#N/A</v>
          </cell>
        </row>
        <row r="316">
          <cell r="B316">
            <v>0</v>
          </cell>
          <cell r="C316" t="e">
            <v>#N/A</v>
          </cell>
          <cell r="D316" t="e">
            <v>#N/A</v>
          </cell>
          <cell r="E316" t="e">
            <v>#N/A</v>
          </cell>
        </row>
        <row r="317">
          <cell r="B317">
            <v>0</v>
          </cell>
          <cell r="C317" t="e">
            <v>#N/A</v>
          </cell>
          <cell r="D317" t="e">
            <v>#N/A</v>
          </cell>
          <cell r="E317" t="e">
            <v>#N/A</v>
          </cell>
        </row>
        <row r="318">
          <cell r="B318">
            <v>0</v>
          </cell>
          <cell r="C318" t="e">
            <v>#N/A</v>
          </cell>
          <cell r="D318" t="e">
            <v>#N/A</v>
          </cell>
          <cell r="E318" t="e">
            <v>#N/A</v>
          </cell>
        </row>
        <row r="319">
          <cell r="B319">
            <v>0</v>
          </cell>
          <cell r="C319" t="e">
            <v>#N/A</v>
          </cell>
          <cell r="D319" t="e">
            <v>#N/A</v>
          </cell>
          <cell r="E319" t="e">
            <v>#N/A</v>
          </cell>
        </row>
        <row r="320">
          <cell r="B320">
            <v>0</v>
          </cell>
          <cell r="C320" t="e">
            <v>#N/A</v>
          </cell>
          <cell r="D320" t="e">
            <v>#N/A</v>
          </cell>
          <cell r="E320" t="e">
            <v>#N/A</v>
          </cell>
        </row>
        <row r="321">
          <cell r="B321">
            <v>0</v>
          </cell>
          <cell r="C321" t="e">
            <v>#N/A</v>
          </cell>
          <cell r="D321" t="e">
            <v>#N/A</v>
          </cell>
          <cell r="E321" t="e">
            <v>#N/A</v>
          </cell>
        </row>
        <row r="322">
          <cell r="B322">
            <v>0</v>
          </cell>
          <cell r="C322" t="e">
            <v>#N/A</v>
          </cell>
          <cell r="D322" t="e">
            <v>#N/A</v>
          </cell>
          <cell r="E322" t="e">
            <v>#N/A</v>
          </cell>
        </row>
        <row r="323">
          <cell r="B323">
            <v>0</v>
          </cell>
          <cell r="C323" t="e">
            <v>#N/A</v>
          </cell>
          <cell r="D323" t="e">
            <v>#N/A</v>
          </cell>
          <cell r="E323" t="e">
            <v>#N/A</v>
          </cell>
        </row>
        <row r="324">
          <cell r="B324">
            <v>0</v>
          </cell>
          <cell r="C324" t="e">
            <v>#N/A</v>
          </cell>
          <cell r="D324" t="e">
            <v>#N/A</v>
          </cell>
          <cell r="E324" t="e">
            <v>#N/A</v>
          </cell>
        </row>
        <row r="325">
          <cell r="B325">
            <v>0</v>
          </cell>
          <cell r="C325" t="e">
            <v>#N/A</v>
          </cell>
          <cell r="D325" t="e">
            <v>#N/A</v>
          </cell>
          <cell r="E325" t="e">
            <v>#N/A</v>
          </cell>
        </row>
        <row r="326">
          <cell r="B326">
            <v>0</v>
          </cell>
          <cell r="C326" t="e">
            <v>#N/A</v>
          </cell>
          <cell r="D326" t="e">
            <v>#N/A</v>
          </cell>
          <cell r="E326" t="e">
            <v>#N/A</v>
          </cell>
        </row>
        <row r="327">
          <cell r="B327">
            <v>0</v>
          </cell>
          <cell r="C327" t="e">
            <v>#N/A</v>
          </cell>
          <cell r="D327" t="e">
            <v>#N/A</v>
          </cell>
          <cell r="E327" t="e">
            <v>#N/A</v>
          </cell>
        </row>
        <row r="328">
          <cell r="B328">
            <v>0</v>
          </cell>
          <cell r="C328" t="e">
            <v>#N/A</v>
          </cell>
          <cell r="D328" t="e">
            <v>#N/A</v>
          </cell>
          <cell r="E328" t="e">
            <v>#N/A</v>
          </cell>
        </row>
        <row r="329">
          <cell r="B329">
            <v>0</v>
          </cell>
          <cell r="C329" t="e">
            <v>#N/A</v>
          </cell>
          <cell r="D329" t="e">
            <v>#N/A</v>
          </cell>
          <cell r="E329" t="e">
            <v>#N/A</v>
          </cell>
        </row>
        <row r="330">
          <cell r="B330">
            <v>0</v>
          </cell>
          <cell r="C330" t="e">
            <v>#N/A</v>
          </cell>
          <cell r="D330" t="e">
            <v>#N/A</v>
          </cell>
          <cell r="E330" t="e">
            <v>#N/A</v>
          </cell>
        </row>
        <row r="331">
          <cell r="B331">
            <v>0</v>
          </cell>
          <cell r="C331" t="e">
            <v>#N/A</v>
          </cell>
          <cell r="D331" t="e">
            <v>#N/A</v>
          </cell>
          <cell r="E331" t="e">
            <v>#N/A</v>
          </cell>
        </row>
        <row r="332">
          <cell r="B332">
            <v>0</v>
          </cell>
          <cell r="C332" t="e">
            <v>#N/A</v>
          </cell>
          <cell r="D332" t="e">
            <v>#N/A</v>
          </cell>
          <cell r="E332" t="e">
            <v>#N/A</v>
          </cell>
        </row>
        <row r="333">
          <cell r="B333">
            <v>0</v>
          </cell>
          <cell r="C333" t="e">
            <v>#N/A</v>
          </cell>
          <cell r="D333" t="e">
            <v>#N/A</v>
          </cell>
          <cell r="E333" t="e">
            <v>#N/A</v>
          </cell>
        </row>
        <row r="334">
          <cell r="B334">
            <v>0</v>
          </cell>
          <cell r="C334" t="e">
            <v>#N/A</v>
          </cell>
          <cell r="D334" t="e">
            <v>#N/A</v>
          </cell>
          <cell r="E334" t="e">
            <v>#N/A</v>
          </cell>
        </row>
        <row r="335">
          <cell r="B335">
            <v>0</v>
          </cell>
          <cell r="C335" t="e">
            <v>#N/A</v>
          </cell>
          <cell r="D335" t="e">
            <v>#N/A</v>
          </cell>
          <cell r="E335" t="e">
            <v>#N/A</v>
          </cell>
        </row>
        <row r="336">
          <cell r="B336">
            <v>0</v>
          </cell>
          <cell r="C336" t="e">
            <v>#N/A</v>
          </cell>
          <cell r="D336" t="e">
            <v>#N/A</v>
          </cell>
          <cell r="E336" t="e">
            <v>#N/A</v>
          </cell>
        </row>
        <row r="337">
          <cell r="B337">
            <v>0</v>
          </cell>
          <cell r="C337" t="e">
            <v>#N/A</v>
          </cell>
          <cell r="D337" t="e">
            <v>#N/A</v>
          </cell>
          <cell r="E337" t="e">
            <v>#N/A</v>
          </cell>
        </row>
        <row r="338">
          <cell r="B338">
            <v>0</v>
          </cell>
          <cell r="C338" t="e">
            <v>#N/A</v>
          </cell>
          <cell r="D338" t="e">
            <v>#N/A</v>
          </cell>
          <cell r="E338" t="e">
            <v>#N/A</v>
          </cell>
        </row>
        <row r="339">
          <cell r="B339">
            <v>0</v>
          </cell>
          <cell r="C339" t="e">
            <v>#N/A</v>
          </cell>
          <cell r="D339" t="e">
            <v>#N/A</v>
          </cell>
          <cell r="E339" t="e">
            <v>#N/A</v>
          </cell>
        </row>
        <row r="340">
          <cell r="B340">
            <v>0</v>
          </cell>
          <cell r="C340" t="e">
            <v>#N/A</v>
          </cell>
          <cell r="D340" t="e">
            <v>#N/A</v>
          </cell>
          <cell r="E340" t="e">
            <v>#N/A</v>
          </cell>
        </row>
        <row r="341">
          <cell r="B341">
            <v>0</v>
          </cell>
          <cell r="C341" t="e">
            <v>#N/A</v>
          </cell>
          <cell r="D341" t="e">
            <v>#N/A</v>
          </cell>
          <cell r="E341" t="e">
            <v>#N/A</v>
          </cell>
        </row>
        <row r="342">
          <cell r="B342">
            <v>0</v>
          </cell>
          <cell r="C342" t="e">
            <v>#N/A</v>
          </cell>
          <cell r="D342" t="e">
            <v>#N/A</v>
          </cell>
          <cell r="E342" t="e">
            <v>#N/A</v>
          </cell>
        </row>
        <row r="343">
          <cell r="B343">
            <v>0</v>
          </cell>
          <cell r="C343" t="e">
            <v>#N/A</v>
          </cell>
          <cell r="D343" t="e">
            <v>#N/A</v>
          </cell>
          <cell r="E343" t="e">
            <v>#N/A</v>
          </cell>
        </row>
        <row r="344">
          <cell r="B344">
            <v>0</v>
          </cell>
          <cell r="C344" t="e">
            <v>#N/A</v>
          </cell>
          <cell r="D344" t="e">
            <v>#N/A</v>
          </cell>
          <cell r="E344" t="e">
            <v>#N/A</v>
          </cell>
        </row>
        <row r="345">
          <cell r="B345">
            <v>0</v>
          </cell>
          <cell r="C345" t="e">
            <v>#N/A</v>
          </cell>
          <cell r="D345" t="e">
            <v>#N/A</v>
          </cell>
          <cell r="E345" t="e">
            <v>#N/A</v>
          </cell>
        </row>
        <row r="346">
          <cell r="B346">
            <v>0</v>
          </cell>
          <cell r="C346" t="e">
            <v>#N/A</v>
          </cell>
          <cell r="D346" t="e">
            <v>#N/A</v>
          </cell>
          <cell r="E346" t="e">
            <v>#N/A</v>
          </cell>
        </row>
        <row r="347">
          <cell r="B347">
            <v>0</v>
          </cell>
          <cell r="C347" t="e">
            <v>#N/A</v>
          </cell>
          <cell r="D347" t="e">
            <v>#N/A</v>
          </cell>
          <cell r="E347" t="e">
            <v>#N/A</v>
          </cell>
        </row>
        <row r="348">
          <cell r="B348">
            <v>0</v>
          </cell>
          <cell r="C348" t="e">
            <v>#N/A</v>
          </cell>
          <cell r="D348" t="e">
            <v>#N/A</v>
          </cell>
          <cell r="E348" t="e">
            <v>#N/A</v>
          </cell>
        </row>
        <row r="349">
          <cell r="B349">
            <v>0</v>
          </cell>
          <cell r="C349" t="e">
            <v>#N/A</v>
          </cell>
          <cell r="D349" t="e">
            <v>#N/A</v>
          </cell>
          <cell r="E349" t="e">
            <v>#N/A</v>
          </cell>
        </row>
        <row r="350">
          <cell r="B350">
            <v>0</v>
          </cell>
          <cell r="C350" t="e">
            <v>#N/A</v>
          </cell>
          <cell r="D350" t="e">
            <v>#N/A</v>
          </cell>
          <cell r="E350" t="e">
            <v>#N/A</v>
          </cell>
        </row>
        <row r="351">
          <cell r="B351">
            <v>0</v>
          </cell>
          <cell r="C351" t="e">
            <v>#N/A</v>
          </cell>
          <cell r="D351" t="e">
            <v>#N/A</v>
          </cell>
          <cell r="E351" t="e">
            <v>#N/A</v>
          </cell>
        </row>
        <row r="352">
          <cell r="B352">
            <v>0</v>
          </cell>
          <cell r="C352" t="e">
            <v>#N/A</v>
          </cell>
          <cell r="D352" t="e">
            <v>#N/A</v>
          </cell>
          <cell r="E352" t="e">
            <v>#N/A</v>
          </cell>
        </row>
        <row r="353">
          <cell r="B353">
            <v>0</v>
          </cell>
          <cell r="C353" t="e">
            <v>#N/A</v>
          </cell>
          <cell r="D353" t="e">
            <v>#N/A</v>
          </cell>
          <cell r="E353" t="e">
            <v>#N/A</v>
          </cell>
        </row>
        <row r="354">
          <cell r="B354">
            <v>0</v>
          </cell>
          <cell r="C354" t="e">
            <v>#N/A</v>
          </cell>
          <cell r="D354" t="e">
            <v>#N/A</v>
          </cell>
          <cell r="E354" t="e">
            <v>#N/A</v>
          </cell>
        </row>
        <row r="355">
          <cell r="B355">
            <v>0</v>
          </cell>
          <cell r="C355" t="e">
            <v>#N/A</v>
          </cell>
          <cell r="D355" t="e">
            <v>#N/A</v>
          </cell>
          <cell r="E355" t="e">
            <v>#N/A</v>
          </cell>
        </row>
        <row r="356">
          <cell r="B356">
            <v>0</v>
          </cell>
          <cell r="C356" t="e">
            <v>#N/A</v>
          </cell>
          <cell r="D356" t="e">
            <v>#N/A</v>
          </cell>
          <cell r="E356" t="e">
            <v>#N/A</v>
          </cell>
        </row>
        <row r="357">
          <cell r="B357">
            <v>0</v>
          </cell>
          <cell r="C357" t="e">
            <v>#N/A</v>
          </cell>
          <cell r="D357" t="e">
            <v>#N/A</v>
          </cell>
          <cell r="E357" t="e">
            <v>#N/A</v>
          </cell>
        </row>
        <row r="358">
          <cell r="B358">
            <v>0</v>
          </cell>
          <cell r="C358" t="e">
            <v>#N/A</v>
          </cell>
          <cell r="D358" t="e">
            <v>#N/A</v>
          </cell>
          <cell r="E358" t="e">
            <v>#N/A</v>
          </cell>
        </row>
        <row r="359">
          <cell r="B359">
            <v>0</v>
          </cell>
          <cell r="C359" t="e">
            <v>#N/A</v>
          </cell>
          <cell r="D359" t="e">
            <v>#N/A</v>
          </cell>
          <cell r="E359" t="e">
            <v>#N/A</v>
          </cell>
        </row>
        <row r="360">
          <cell r="B360">
            <v>0</v>
          </cell>
          <cell r="C360" t="e">
            <v>#N/A</v>
          </cell>
          <cell r="D360" t="e">
            <v>#N/A</v>
          </cell>
          <cell r="E360" t="e">
            <v>#N/A</v>
          </cell>
        </row>
        <row r="361">
          <cell r="B361">
            <v>0</v>
          </cell>
          <cell r="C361" t="e">
            <v>#N/A</v>
          </cell>
          <cell r="D361" t="e">
            <v>#N/A</v>
          </cell>
          <cell r="E361" t="e">
            <v>#N/A</v>
          </cell>
        </row>
        <row r="362">
          <cell r="B362">
            <v>0</v>
          </cell>
          <cell r="C362" t="e">
            <v>#N/A</v>
          </cell>
          <cell r="D362" t="e">
            <v>#N/A</v>
          </cell>
          <cell r="E362" t="e">
            <v>#N/A</v>
          </cell>
        </row>
        <row r="363">
          <cell r="B363">
            <v>0</v>
          </cell>
          <cell r="C363" t="e">
            <v>#N/A</v>
          </cell>
          <cell r="D363" t="e">
            <v>#N/A</v>
          </cell>
          <cell r="E363" t="e">
            <v>#N/A</v>
          </cell>
        </row>
        <row r="364">
          <cell r="B364">
            <v>0</v>
          </cell>
          <cell r="C364" t="e">
            <v>#N/A</v>
          </cell>
          <cell r="D364" t="e">
            <v>#N/A</v>
          </cell>
          <cell r="E364" t="e">
            <v>#N/A</v>
          </cell>
        </row>
        <row r="365">
          <cell r="B365">
            <v>0</v>
          </cell>
          <cell r="C365" t="e">
            <v>#N/A</v>
          </cell>
          <cell r="D365" t="e">
            <v>#N/A</v>
          </cell>
          <cell r="E365" t="e">
            <v>#N/A</v>
          </cell>
        </row>
        <row r="366">
          <cell r="B366">
            <v>0</v>
          </cell>
          <cell r="C366" t="e">
            <v>#N/A</v>
          </cell>
          <cell r="D366" t="e">
            <v>#N/A</v>
          </cell>
          <cell r="E366" t="e">
            <v>#N/A</v>
          </cell>
        </row>
        <row r="367">
          <cell r="B367">
            <v>0</v>
          </cell>
          <cell r="C367" t="e">
            <v>#N/A</v>
          </cell>
          <cell r="D367" t="e">
            <v>#N/A</v>
          </cell>
          <cell r="E367" t="e">
            <v>#N/A</v>
          </cell>
        </row>
        <row r="368">
          <cell r="B368">
            <v>0</v>
          </cell>
          <cell r="C368" t="e">
            <v>#N/A</v>
          </cell>
          <cell r="D368" t="e">
            <v>#N/A</v>
          </cell>
          <cell r="E368" t="e">
            <v>#N/A</v>
          </cell>
        </row>
        <row r="369">
          <cell r="B369">
            <v>0</v>
          </cell>
          <cell r="C369" t="e">
            <v>#N/A</v>
          </cell>
          <cell r="D369" t="e">
            <v>#N/A</v>
          </cell>
          <cell r="E369" t="e">
            <v>#N/A</v>
          </cell>
        </row>
        <row r="370">
          <cell r="B370">
            <v>0</v>
          </cell>
          <cell r="C370" t="e">
            <v>#N/A</v>
          </cell>
          <cell r="D370" t="e">
            <v>#N/A</v>
          </cell>
          <cell r="E370" t="e">
            <v>#N/A</v>
          </cell>
        </row>
        <row r="371">
          <cell r="B371">
            <v>0</v>
          </cell>
          <cell r="C371" t="e">
            <v>#N/A</v>
          </cell>
          <cell r="D371" t="e">
            <v>#N/A</v>
          </cell>
          <cell r="E371" t="e">
            <v>#N/A</v>
          </cell>
        </row>
        <row r="372">
          <cell r="B372">
            <v>0</v>
          </cell>
          <cell r="C372" t="e">
            <v>#N/A</v>
          </cell>
          <cell r="D372" t="e">
            <v>#N/A</v>
          </cell>
          <cell r="E372" t="e">
            <v>#N/A</v>
          </cell>
        </row>
        <row r="373">
          <cell r="B373">
            <v>0</v>
          </cell>
          <cell r="C373" t="e">
            <v>#N/A</v>
          </cell>
          <cell r="D373" t="e">
            <v>#N/A</v>
          </cell>
          <cell r="E373" t="e">
            <v>#N/A</v>
          </cell>
        </row>
        <row r="374">
          <cell r="B374">
            <v>0</v>
          </cell>
          <cell r="C374" t="e">
            <v>#N/A</v>
          </cell>
          <cell r="D374" t="e">
            <v>#N/A</v>
          </cell>
          <cell r="E374" t="e">
            <v>#N/A</v>
          </cell>
        </row>
        <row r="375">
          <cell r="B375">
            <v>0</v>
          </cell>
          <cell r="C375" t="e">
            <v>#N/A</v>
          </cell>
          <cell r="D375" t="e">
            <v>#N/A</v>
          </cell>
          <cell r="E375" t="e">
            <v>#N/A</v>
          </cell>
        </row>
        <row r="376">
          <cell r="B376">
            <v>0</v>
          </cell>
          <cell r="C376" t="e">
            <v>#N/A</v>
          </cell>
          <cell r="D376" t="e">
            <v>#N/A</v>
          </cell>
          <cell r="E376" t="e">
            <v>#N/A</v>
          </cell>
        </row>
        <row r="377">
          <cell r="B377">
            <v>0</v>
          </cell>
          <cell r="C377" t="e">
            <v>#N/A</v>
          </cell>
          <cell r="D377" t="e">
            <v>#N/A</v>
          </cell>
          <cell r="E377" t="e">
            <v>#N/A</v>
          </cell>
        </row>
        <row r="378">
          <cell r="B378">
            <v>0</v>
          </cell>
          <cell r="C378" t="e">
            <v>#N/A</v>
          </cell>
          <cell r="D378" t="e">
            <v>#N/A</v>
          </cell>
          <cell r="E378" t="e">
            <v>#N/A</v>
          </cell>
        </row>
        <row r="379">
          <cell r="B379">
            <v>0</v>
          </cell>
          <cell r="C379" t="e">
            <v>#N/A</v>
          </cell>
          <cell r="D379" t="e">
            <v>#N/A</v>
          </cell>
          <cell r="E379" t="e">
            <v>#N/A</v>
          </cell>
        </row>
        <row r="380">
          <cell r="B380">
            <v>0</v>
          </cell>
          <cell r="C380" t="e">
            <v>#N/A</v>
          </cell>
          <cell r="D380" t="e">
            <v>#N/A</v>
          </cell>
          <cell r="E380" t="e">
            <v>#N/A</v>
          </cell>
        </row>
        <row r="381">
          <cell r="B381">
            <v>0</v>
          </cell>
          <cell r="C381" t="e">
            <v>#N/A</v>
          </cell>
          <cell r="D381" t="e">
            <v>#N/A</v>
          </cell>
          <cell r="E381" t="e">
            <v>#N/A</v>
          </cell>
        </row>
        <row r="382">
          <cell r="B382">
            <v>0</v>
          </cell>
          <cell r="C382" t="e">
            <v>#N/A</v>
          </cell>
          <cell r="D382" t="e">
            <v>#N/A</v>
          </cell>
          <cell r="E382" t="e">
            <v>#N/A</v>
          </cell>
        </row>
        <row r="383">
          <cell r="B383">
            <v>0</v>
          </cell>
          <cell r="C383" t="e">
            <v>#N/A</v>
          </cell>
          <cell r="D383" t="e">
            <v>#N/A</v>
          </cell>
          <cell r="E383" t="e">
            <v>#N/A</v>
          </cell>
        </row>
        <row r="384">
          <cell r="B384">
            <v>0</v>
          </cell>
          <cell r="C384" t="e">
            <v>#N/A</v>
          </cell>
          <cell r="D384" t="e">
            <v>#N/A</v>
          </cell>
          <cell r="E384" t="e">
            <v>#N/A</v>
          </cell>
        </row>
        <row r="385">
          <cell r="B385">
            <v>0</v>
          </cell>
          <cell r="C385" t="e">
            <v>#N/A</v>
          </cell>
          <cell r="D385" t="e">
            <v>#N/A</v>
          </cell>
          <cell r="E385" t="e">
            <v>#N/A</v>
          </cell>
        </row>
        <row r="386">
          <cell r="B386">
            <v>0</v>
          </cell>
          <cell r="C386" t="e">
            <v>#N/A</v>
          </cell>
          <cell r="D386" t="e">
            <v>#N/A</v>
          </cell>
          <cell r="E386" t="e">
            <v>#N/A</v>
          </cell>
        </row>
        <row r="387">
          <cell r="B387">
            <v>0</v>
          </cell>
          <cell r="C387" t="e">
            <v>#N/A</v>
          </cell>
          <cell r="D387" t="e">
            <v>#N/A</v>
          </cell>
          <cell r="E387" t="e">
            <v>#N/A</v>
          </cell>
        </row>
        <row r="388">
          <cell r="B388">
            <v>0</v>
          </cell>
          <cell r="C388" t="e">
            <v>#N/A</v>
          </cell>
          <cell r="D388" t="e">
            <v>#N/A</v>
          </cell>
          <cell r="E388" t="e">
            <v>#N/A</v>
          </cell>
        </row>
        <row r="389">
          <cell r="B389">
            <v>0</v>
          </cell>
          <cell r="C389" t="e">
            <v>#N/A</v>
          </cell>
          <cell r="D389" t="e">
            <v>#N/A</v>
          </cell>
          <cell r="E389" t="e">
            <v>#N/A</v>
          </cell>
        </row>
        <row r="390">
          <cell r="B390">
            <v>0</v>
          </cell>
          <cell r="C390" t="e">
            <v>#N/A</v>
          </cell>
          <cell r="D390" t="e">
            <v>#N/A</v>
          </cell>
          <cell r="E390" t="e">
            <v>#N/A</v>
          </cell>
        </row>
        <row r="391">
          <cell r="B391">
            <v>0</v>
          </cell>
          <cell r="C391" t="e">
            <v>#N/A</v>
          </cell>
          <cell r="D391" t="e">
            <v>#N/A</v>
          </cell>
          <cell r="E391" t="e">
            <v>#N/A</v>
          </cell>
        </row>
        <row r="392">
          <cell r="B392">
            <v>0</v>
          </cell>
          <cell r="C392" t="e">
            <v>#N/A</v>
          </cell>
          <cell r="D392" t="e">
            <v>#N/A</v>
          </cell>
          <cell r="E392" t="e">
            <v>#N/A</v>
          </cell>
        </row>
        <row r="393">
          <cell r="B393">
            <v>0</v>
          </cell>
          <cell r="C393" t="e">
            <v>#N/A</v>
          </cell>
          <cell r="D393" t="e">
            <v>#N/A</v>
          </cell>
          <cell r="E393" t="e">
            <v>#N/A</v>
          </cell>
        </row>
        <row r="394">
          <cell r="B394">
            <v>0</v>
          </cell>
          <cell r="C394" t="e">
            <v>#N/A</v>
          </cell>
          <cell r="D394" t="e">
            <v>#N/A</v>
          </cell>
          <cell r="E394" t="e">
            <v>#N/A</v>
          </cell>
        </row>
        <row r="395">
          <cell r="B395">
            <v>0</v>
          </cell>
          <cell r="C395" t="e">
            <v>#N/A</v>
          </cell>
          <cell r="D395" t="e">
            <v>#N/A</v>
          </cell>
          <cell r="E395" t="e">
            <v>#N/A</v>
          </cell>
        </row>
        <row r="396">
          <cell r="B396">
            <v>0</v>
          </cell>
          <cell r="C396" t="e">
            <v>#N/A</v>
          </cell>
          <cell r="D396" t="e">
            <v>#N/A</v>
          </cell>
          <cell r="E396" t="e">
            <v>#N/A</v>
          </cell>
        </row>
        <row r="397">
          <cell r="B397">
            <v>0</v>
          </cell>
          <cell r="C397" t="e">
            <v>#N/A</v>
          </cell>
          <cell r="D397" t="e">
            <v>#N/A</v>
          </cell>
          <cell r="E397" t="e">
            <v>#N/A</v>
          </cell>
        </row>
        <row r="398">
          <cell r="B398">
            <v>0</v>
          </cell>
          <cell r="C398" t="e">
            <v>#N/A</v>
          </cell>
          <cell r="D398" t="e">
            <v>#N/A</v>
          </cell>
          <cell r="E398" t="e">
            <v>#N/A</v>
          </cell>
        </row>
        <row r="399">
          <cell r="B399">
            <v>0</v>
          </cell>
          <cell r="C399" t="e">
            <v>#N/A</v>
          </cell>
          <cell r="D399" t="e">
            <v>#N/A</v>
          </cell>
          <cell r="E399" t="e">
            <v>#N/A</v>
          </cell>
        </row>
        <row r="400">
          <cell r="B400">
            <v>0</v>
          </cell>
          <cell r="C400" t="e">
            <v>#N/A</v>
          </cell>
          <cell r="D400" t="e">
            <v>#N/A</v>
          </cell>
          <cell r="E400" t="e">
            <v>#N/A</v>
          </cell>
        </row>
        <row r="401">
          <cell r="B401">
            <v>0</v>
          </cell>
          <cell r="C401" t="e">
            <v>#N/A</v>
          </cell>
          <cell r="D401" t="e">
            <v>#N/A</v>
          </cell>
          <cell r="E401" t="e">
            <v>#N/A</v>
          </cell>
        </row>
        <row r="402">
          <cell r="B402">
            <v>0</v>
          </cell>
          <cell r="C402" t="e">
            <v>#N/A</v>
          </cell>
          <cell r="D402" t="e">
            <v>#N/A</v>
          </cell>
          <cell r="E402" t="e">
            <v>#N/A</v>
          </cell>
        </row>
        <row r="403">
          <cell r="B403">
            <v>0</v>
          </cell>
          <cell r="C403" t="e">
            <v>#N/A</v>
          </cell>
          <cell r="D403" t="e">
            <v>#N/A</v>
          </cell>
          <cell r="E403" t="e">
            <v>#N/A</v>
          </cell>
        </row>
        <row r="404">
          <cell r="B404">
            <v>0</v>
          </cell>
          <cell r="C404" t="e">
            <v>#N/A</v>
          </cell>
          <cell r="D404" t="e">
            <v>#N/A</v>
          </cell>
          <cell r="E404" t="e">
            <v>#N/A</v>
          </cell>
        </row>
        <row r="405">
          <cell r="B405">
            <v>0</v>
          </cell>
          <cell r="C405" t="e">
            <v>#N/A</v>
          </cell>
          <cell r="D405" t="e">
            <v>#N/A</v>
          </cell>
          <cell r="E405" t="e">
            <v>#N/A</v>
          </cell>
        </row>
        <row r="406">
          <cell r="B406">
            <v>0</v>
          </cell>
          <cell r="C406" t="e">
            <v>#N/A</v>
          </cell>
          <cell r="D406" t="e">
            <v>#N/A</v>
          </cell>
          <cell r="E406" t="e">
            <v>#N/A</v>
          </cell>
        </row>
        <row r="407">
          <cell r="B407">
            <v>0</v>
          </cell>
          <cell r="C407" t="e">
            <v>#N/A</v>
          </cell>
          <cell r="D407" t="e">
            <v>#N/A</v>
          </cell>
          <cell r="E407" t="e">
            <v>#N/A</v>
          </cell>
        </row>
        <row r="408">
          <cell r="B408">
            <v>0</v>
          </cell>
          <cell r="C408" t="e">
            <v>#N/A</v>
          </cell>
          <cell r="D408" t="e">
            <v>#N/A</v>
          </cell>
          <cell r="E408" t="e">
            <v>#N/A</v>
          </cell>
        </row>
        <row r="409">
          <cell r="B409">
            <v>0</v>
          </cell>
          <cell r="C409" t="e">
            <v>#N/A</v>
          </cell>
          <cell r="D409" t="e">
            <v>#N/A</v>
          </cell>
          <cell r="E409" t="e">
            <v>#N/A</v>
          </cell>
        </row>
        <row r="410">
          <cell r="B410">
            <v>0</v>
          </cell>
          <cell r="C410" t="e">
            <v>#N/A</v>
          </cell>
          <cell r="D410" t="e">
            <v>#N/A</v>
          </cell>
          <cell r="E410" t="e">
            <v>#N/A</v>
          </cell>
        </row>
        <row r="411">
          <cell r="B411">
            <v>0</v>
          </cell>
          <cell r="C411" t="e">
            <v>#N/A</v>
          </cell>
          <cell r="D411" t="e">
            <v>#N/A</v>
          </cell>
          <cell r="E411" t="e">
            <v>#N/A</v>
          </cell>
        </row>
        <row r="412">
          <cell r="B412">
            <v>0</v>
          </cell>
          <cell r="C412" t="e">
            <v>#N/A</v>
          </cell>
          <cell r="D412" t="e">
            <v>#N/A</v>
          </cell>
          <cell r="E412" t="e">
            <v>#N/A</v>
          </cell>
        </row>
        <row r="413">
          <cell r="B413">
            <v>0</v>
          </cell>
          <cell r="C413" t="e">
            <v>#N/A</v>
          </cell>
          <cell r="D413" t="e">
            <v>#N/A</v>
          </cell>
          <cell r="E413" t="e">
            <v>#N/A</v>
          </cell>
        </row>
        <row r="414">
          <cell r="B414">
            <v>0</v>
          </cell>
          <cell r="C414" t="e">
            <v>#N/A</v>
          </cell>
          <cell r="D414" t="e">
            <v>#N/A</v>
          </cell>
          <cell r="E414" t="e">
            <v>#N/A</v>
          </cell>
        </row>
        <row r="415">
          <cell r="B415">
            <v>0</v>
          </cell>
          <cell r="C415" t="e">
            <v>#N/A</v>
          </cell>
          <cell r="D415" t="e">
            <v>#N/A</v>
          </cell>
          <cell r="E415" t="e">
            <v>#N/A</v>
          </cell>
        </row>
        <row r="416">
          <cell r="B416">
            <v>0</v>
          </cell>
          <cell r="C416" t="e">
            <v>#N/A</v>
          </cell>
          <cell r="D416" t="e">
            <v>#N/A</v>
          </cell>
          <cell r="E416" t="e">
            <v>#N/A</v>
          </cell>
        </row>
        <row r="417">
          <cell r="B417">
            <v>0</v>
          </cell>
          <cell r="C417" t="e">
            <v>#N/A</v>
          </cell>
          <cell r="D417" t="e">
            <v>#N/A</v>
          </cell>
          <cell r="E417" t="e">
            <v>#N/A</v>
          </cell>
        </row>
        <row r="418">
          <cell r="B418">
            <v>0</v>
          </cell>
          <cell r="C418" t="e">
            <v>#N/A</v>
          </cell>
          <cell r="D418" t="e">
            <v>#N/A</v>
          </cell>
          <cell r="E418" t="e">
            <v>#N/A</v>
          </cell>
        </row>
        <row r="419">
          <cell r="B419">
            <v>0</v>
          </cell>
          <cell r="C419" t="e">
            <v>#N/A</v>
          </cell>
          <cell r="D419" t="e">
            <v>#N/A</v>
          </cell>
          <cell r="E419" t="e">
            <v>#N/A</v>
          </cell>
        </row>
        <row r="420">
          <cell r="B420">
            <v>0</v>
          </cell>
          <cell r="C420" t="e">
            <v>#N/A</v>
          </cell>
          <cell r="D420" t="e">
            <v>#N/A</v>
          </cell>
          <cell r="E420" t="e">
            <v>#N/A</v>
          </cell>
        </row>
        <row r="421">
          <cell r="B421">
            <v>0</v>
          </cell>
          <cell r="C421" t="e">
            <v>#N/A</v>
          </cell>
          <cell r="D421" t="e">
            <v>#N/A</v>
          </cell>
          <cell r="E421" t="e">
            <v>#N/A</v>
          </cell>
        </row>
        <row r="422">
          <cell r="B422">
            <v>0</v>
          </cell>
          <cell r="C422" t="e">
            <v>#N/A</v>
          </cell>
          <cell r="D422" t="e">
            <v>#N/A</v>
          </cell>
          <cell r="E422" t="e">
            <v>#N/A</v>
          </cell>
        </row>
        <row r="423">
          <cell r="B423">
            <v>0</v>
          </cell>
          <cell r="C423" t="e">
            <v>#N/A</v>
          </cell>
          <cell r="D423" t="e">
            <v>#N/A</v>
          </cell>
          <cell r="E423" t="e">
            <v>#N/A</v>
          </cell>
        </row>
        <row r="424">
          <cell r="B424">
            <v>0</v>
          </cell>
          <cell r="C424" t="e">
            <v>#N/A</v>
          </cell>
          <cell r="D424" t="e">
            <v>#N/A</v>
          </cell>
          <cell r="E424" t="e">
            <v>#N/A</v>
          </cell>
        </row>
        <row r="425">
          <cell r="B425">
            <v>0</v>
          </cell>
          <cell r="C425" t="e">
            <v>#N/A</v>
          </cell>
          <cell r="D425" t="e">
            <v>#N/A</v>
          </cell>
          <cell r="E425" t="e">
            <v>#N/A</v>
          </cell>
        </row>
        <row r="426">
          <cell r="B426">
            <v>0</v>
          </cell>
          <cell r="C426" t="e">
            <v>#N/A</v>
          </cell>
          <cell r="D426" t="e">
            <v>#N/A</v>
          </cell>
          <cell r="E426" t="e">
            <v>#N/A</v>
          </cell>
        </row>
        <row r="427">
          <cell r="B427">
            <v>0</v>
          </cell>
          <cell r="C427" t="e">
            <v>#N/A</v>
          </cell>
          <cell r="D427" t="e">
            <v>#N/A</v>
          </cell>
          <cell r="E427" t="e">
            <v>#N/A</v>
          </cell>
        </row>
        <row r="428">
          <cell r="B428">
            <v>0</v>
          </cell>
          <cell r="C428" t="e">
            <v>#N/A</v>
          </cell>
          <cell r="D428" t="e">
            <v>#N/A</v>
          </cell>
          <cell r="E428" t="e">
            <v>#N/A</v>
          </cell>
        </row>
        <row r="429">
          <cell r="B429">
            <v>0</v>
          </cell>
          <cell r="C429" t="e">
            <v>#N/A</v>
          </cell>
          <cell r="D429" t="e">
            <v>#N/A</v>
          </cell>
          <cell r="E429" t="e">
            <v>#N/A</v>
          </cell>
        </row>
        <row r="430">
          <cell r="B430">
            <v>0</v>
          </cell>
          <cell r="C430" t="e">
            <v>#N/A</v>
          </cell>
          <cell r="D430" t="e">
            <v>#N/A</v>
          </cell>
          <cell r="E430" t="e">
            <v>#N/A</v>
          </cell>
        </row>
        <row r="431">
          <cell r="B431">
            <v>0</v>
          </cell>
          <cell r="C431" t="e">
            <v>#N/A</v>
          </cell>
          <cell r="D431" t="e">
            <v>#N/A</v>
          </cell>
          <cell r="E431" t="e">
            <v>#N/A</v>
          </cell>
        </row>
        <row r="432">
          <cell r="B432">
            <v>0</v>
          </cell>
          <cell r="C432" t="e">
            <v>#N/A</v>
          </cell>
          <cell r="D432" t="e">
            <v>#N/A</v>
          </cell>
          <cell r="E432" t="e">
            <v>#N/A</v>
          </cell>
        </row>
        <row r="433">
          <cell r="B433">
            <v>0</v>
          </cell>
          <cell r="C433" t="e">
            <v>#N/A</v>
          </cell>
          <cell r="D433" t="e">
            <v>#N/A</v>
          </cell>
          <cell r="E433" t="e">
            <v>#N/A</v>
          </cell>
        </row>
        <row r="434">
          <cell r="B434">
            <v>0</v>
          </cell>
          <cell r="C434" t="e">
            <v>#N/A</v>
          </cell>
          <cell r="D434" t="e">
            <v>#N/A</v>
          </cell>
          <cell r="E434" t="e">
            <v>#N/A</v>
          </cell>
        </row>
        <row r="435">
          <cell r="B435">
            <v>0</v>
          </cell>
          <cell r="C435" t="e">
            <v>#N/A</v>
          </cell>
          <cell r="D435" t="e">
            <v>#N/A</v>
          </cell>
          <cell r="E435" t="e">
            <v>#N/A</v>
          </cell>
        </row>
        <row r="436">
          <cell r="B436">
            <v>0</v>
          </cell>
          <cell r="C436" t="e">
            <v>#N/A</v>
          </cell>
          <cell r="D436" t="e">
            <v>#N/A</v>
          </cell>
          <cell r="E436" t="e">
            <v>#N/A</v>
          </cell>
        </row>
        <row r="437">
          <cell r="B437">
            <v>0</v>
          </cell>
          <cell r="C437" t="e">
            <v>#N/A</v>
          </cell>
          <cell r="D437" t="e">
            <v>#N/A</v>
          </cell>
          <cell r="E437" t="e">
            <v>#N/A</v>
          </cell>
        </row>
        <row r="438">
          <cell r="B438">
            <v>0</v>
          </cell>
          <cell r="C438" t="e">
            <v>#N/A</v>
          </cell>
          <cell r="D438" t="e">
            <v>#N/A</v>
          </cell>
          <cell r="E438" t="e">
            <v>#N/A</v>
          </cell>
        </row>
        <row r="439">
          <cell r="B439">
            <v>0</v>
          </cell>
          <cell r="C439" t="e">
            <v>#N/A</v>
          </cell>
          <cell r="D439" t="e">
            <v>#N/A</v>
          </cell>
          <cell r="E439" t="e">
            <v>#N/A</v>
          </cell>
        </row>
        <row r="440">
          <cell r="B440">
            <v>0</v>
          </cell>
          <cell r="C440" t="e">
            <v>#N/A</v>
          </cell>
          <cell r="D440" t="e">
            <v>#N/A</v>
          </cell>
          <cell r="E440" t="e">
            <v>#N/A</v>
          </cell>
        </row>
        <row r="441">
          <cell r="B441">
            <v>0</v>
          </cell>
          <cell r="C441" t="e">
            <v>#N/A</v>
          </cell>
          <cell r="D441" t="e">
            <v>#N/A</v>
          </cell>
          <cell r="E441" t="e">
            <v>#N/A</v>
          </cell>
        </row>
        <row r="442">
          <cell r="B442">
            <v>0</v>
          </cell>
          <cell r="C442" t="e">
            <v>#N/A</v>
          </cell>
          <cell r="D442" t="e">
            <v>#N/A</v>
          </cell>
          <cell r="E442" t="e">
            <v>#N/A</v>
          </cell>
        </row>
        <row r="443">
          <cell r="B443">
            <v>0</v>
          </cell>
          <cell r="C443" t="e">
            <v>#N/A</v>
          </cell>
          <cell r="D443" t="e">
            <v>#N/A</v>
          </cell>
          <cell r="E443" t="e">
            <v>#N/A</v>
          </cell>
        </row>
        <row r="444">
          <cell r="B444">
            <v>0</v>
          </cell>
          <cell r="C444" t="e">
            <v>#N/A</v>
          </cell>
          <cell r="D444" t="e">
            <v>#N/A</v>
          </cell>
          <cell r="E444" t="e">
            <v>#N/A</v>
          </cell>
        </row>
        <row r="445">
          <cell r="B445">
            <v>0</v>
          </cell>
          <cell r="C445" t="e">
            <v>#N/A</v>
          </cell>
          <cell r="D445" t="e">
            <v>#N/A</v>
          </cell>
          <cell r="E445" t="e">
            <v>#N/A</v>
          </cell>
        </row>
        <row r="446">
          <cell r="B446">
            <v>0</v>
          </cell>
          <cell r="C446" t="e">
            <v>#N/A</v>
          </cell>
          <cell r="D446" t="e">
            <v>#N/A</v>
          </cell>
          <cell r="E446" t="e">
            <v>#N/A</v>
          </cell>
        </row>
        <row r="447">
          <cell r="B447">
            <v>0</v>
          </cell>
          <cell r="C447" t="e">
            <v>#N/A</v>
          </cell>
          <cell r="D447" t="e">
            <v>#N/A</v>
          </cell>
          <cell r="E447" t="e">
            <v>#N/A</v>
          </cell>
        </row>
        <row r="448">
          <cell r="B448">
            <v>0</v>
          </cell>
          <cell r="C448" t="e">
            <v>#N/A</v>
          </cell>
          <cell r="D448" t="e">
            <v>#N/A</v>
          </cell>
          <cell r="E448" t="e">
            <v>#N/A</v>
          </cell>
        </row>
        <row r="449">
          <cell r="B449">
            <v>0</v>
          </cell>
          <cell r="C449" t="e">
            <v>#N/A</v>
          </cell>
          <cell r="D449" t="e">
            <v>#N/A</v>
          </cell>
          <cell r="E449" t="e">
            <v>#N/A</v>
          </cell>
        </row>
        <row r="450">
          <cell r="B450">
            <v>0</v>
          </cell>
          <cell r="C450" t="e">
            <v>#N/A</v>
          </cell>
          <cell r="D450" t="e">
            <v>#N/A</v>
          </cell>
          <cell r="E450" t="e">
            <v>#N/A</v>
          </cell>
        </row>
        <row r="451">
          <cell r="B451">
            <v>0</v>
          </cell>
          <cell r="C451" t="e">
            <v>#N/A</v>
          </cell>
          <cell r="D451" t="e">
            <v>#N/A</v>
          </cell>
          <cell r="E451" t="e">
            <v>#N/A</v>
          </cell>
        </row>
        <row r="452">
          <cell r="B452">
            <v>0</v>
          </cell>
          <cell r="C452" t="e">
            <v>#N/A</v>
          </cell>
          <cell r="D452" t="e">
            <v>#N/A</v>
          </cell>
          <cell r="E452" t="e">
            <v>#N/A</v>
          </cell>
        </row>
        <row r="453">
          <cell r="B453">
            <v>0</v>
          </cell>
          <cell r="C453" t="e">
            <v>#N/A</v>
          </cell>
          <cell r="D453" t="e">
            <v>#N/A</v>
          </cell>
          <cell r="E453" t="e">
            <v>#N/A</v>
          </cell>
        </row>
        <row r="454">
          <cell r="B454">
            <v>0</v>
          </cell>
          <cell r="C454" t="e">
            <v>#N/A</v>
          </cell>
          <cell r="D454" t="e">
            <v>#N/A</v>
          </cell>
          <cell r="E454" t="e">
            <v>#N/A</v>
          </cell>
        </row>
        <row r="455">
          <cell r="B455">
            <v>0</v>
          </cell>
          <cell r="C455" t="e">
            <v>#N/A</v>
          </cell>
          <cell r="D455" t="e">
            <v>#N/A</v>
          </cell>
          <cell r="E455" t="e">
            <v>#N/A</v>
          </cell>
        </row>
        <row r="456">
          <cell r="B456">
            <v>0</v>
          </cell>
          <cell r="C456" t="e">
            <v>#N/A</v>
          </cell>
          <cell r="D456" t="e">
            <v>#N/A</v>
          </cell>
          <cell r="E456" t="e">
            <v>#N/A</v>
          </cell>
        </row>
        <row r="457">
          <cell r="B457">
            <v>0</v>
          </cell>
          <cell r="C457" t="e">
            <v>#N/A</v>
          </cell>
          <cell r="D457" t="e">
            <v>#N/A</v>
          </cell>
          <cell r="E457" t="e">
            <v>#N/A</v>
          </cell>
        </row>
        <row r="458">
          <cell r="B458">
            <v>0</v>
          </cell>
          <cell r="C458" t="e">
            <v>#N/A</v>
          </cell>
          <cell r="D458" t="e">
            <v>#N/A</v>
          </cell>
          <cell r="E458" t="e">
            <v>#N/A</v>
          </cell>
        </row>
        <row r="459">
          <cell r="B459">
            <v>0</v>
          </cell>
          <cell r="C459" t="e">
            <v>#N/A</v>
          </cell>
          <cell r="D459" t="e">
            <v>#N/A</v>
          </cell>
          <cell r="E459" t="e">
            <v>#N/A</v>
          </cell>
        </row>
        <row r="460">
          <cell r="B460">
            <v>0</v>
          </cell>
          <cell r="C460" t="e">
            <v>#N/A</v>
          </cell>
          <cell r="D460" t="e">
            <v>#N/A</v>
          </cell>
          <cell r="E460" t="e">
            <v>#N/A</v>
          </cell>
        </row>
        <row r="461">
          <cell r="B461">
            <v>0</v>
          </cell>
          <cell r="C461" t="e">
            <v>#N/A</v>
          </cell>
          <cell r="D461" t="e">
            <v>#N/A</v>
          </cell>
          <cell r="E461" t="e">
            <v>#N/A</v>
          </cell>
        </row>
        <row r="462">
          <cell r="B462">
            <v>0</v>
          </cell>
          <cell r="C462" t="e">
            <v>#N/A</v>
          </cell>
          <cell r="D462" t="e">
            <v>#N/A</v>
          </cell>
          <cell r="E462" t="e">
            <v>#N/A</v>
          </cell>
        </row>
        <row r="463">
          <cell r="B463">
            <v>0</v>
          </cell>
          <cell r="C463" t="e">
            <v>#N/A</v>
          </cell>
          <cell r="D463" t="e">
            <v>#N/A</v>
          </cell>
          <cell r="E463" t="e">
            <v>#N/A</v>
          </cell>
        </row>
        <row r="464">
          <cell r="B464">
            <v>0</v>
          </cell>
          <cell r="C464" t="e">
            <v>#N/A</v>
          </cell>
          <cell r="D464" t="e">
            <v>#N/A</v>
          </cell>
          <cell r="E464" t="e">
            <v>#N/A</v>
          </cell>
        </row>
        <row r="465">
          <cell r="B465">
            <v>0</v>
          </cell>
          <cell r="C465" t="e">
            <v>#N/A</v>
          </cell>
          <cell r="D465" t="e">
            <v>#N/A</v>
          </cell>
          <cell r="E465" t="e">
            <v>#N/A</v>
          </cell>
        </row>
        <row r="466">
          <cell r="B466">
            <v>0</v>
          </cell>
          <cell r="C466" t="e">
            <v>#N/A</v>
          </cell>
          <cell r="D466" t="e">
            <v>#N/A</v>
          </cell>
          <cell r="E466" t="e">
            <v>#N/A</v>
          </cell>
        </row>
        <row r="467">
          <cell r="B467">
            <v>0</v>
          </cell>
          <cell r="C467" t="e">
            <v>#N/A</v>
          </cell>
          <cell r="D467" t="e">
            <v>#N/A</v>
          </cell>
          <cell r="E467" t="e">
            <v>#N/A</v>
          </cell>
        </row>
        <row r="468">
          <cell r="B468">
            <v>0</v>
          </cell>
          <cell r="C468" t="e">
            <v>#N/A</v>
          </cell>
          <cell r="D468" t="e">
            <v>#N/A</v>
          </cell>
          <cell r="E468" t="e">
            <v>#N/A</v>
          </cell>
        </row>
        <row r="469">
          <cell r="B469">
            <v>0</v>
          </cell>
          <cell r="C469" t="e">
            <v>#N/A</v>
          </cell>
          <cell r="D469" t="e">
            <v>#N/A</v>
          </cell>
          <cell r="E469" t="e">
            <v>#N/A</v>
          </cell>
        </row>
        <row r="470">
          <cell r="B470">
            <v>0</v>
          </cell>
          <cell r="C470" t="e">
            <v>#N/A</v>
          </cell>
          <cell r="D470" t="e">
            <v>#N/A</v>
          </cell>
          <cell r="E470" t="e">
            <v>#N/A</v>
          </cell>
        </row>
        <row r="471">
          <cell r="B471">
            <v>0</v>
          </cell>
          <cell r="C471" t="e">
            <v>#N/A</v>
          </cell>
          <cell r="D471" t="e">
            <v>#N/A</v>
          </cell>
          <cell r="E471" t="e">
            <v>#N/A</v>
          </cell>
        </row>
        <row r="472">
          <cell r="B472">
            <v>0</v>
          </cell>
          <cell r="C472" t="e">
            <v>#N/A</v>
          </cell>
          <cell r="D472" t="e">
            <v>#N/A</v>
          </cell>
          <cell r="E472" t="e">
            <v>#N/A</v>
          </cell>
        </row>
        <row r="473">
          <cell r="B473">
            <v>0</v>
          </cell>
          <cell r="C473" t="e">
            <v>#N/A</v>
          </cell>
          <cell r="D473" t="e">
            <v>#N/A</v>
          </cell>
          <cell r="E473" t="e">
            <v>#N/A</v>
          </cell>
        </row>
        <row r="474">
          <cell r="B474">
            <v>0</v>
          </cell>
          <cell r="C474" t="e">
            <v>#N/A</v>
          </cell>
          <cell r="D474" t="e">
            <v>#N/A</v>
          </cell>
          <cell r="E474" t="e">
            <v>#N/A</v>
          </cell>
        </row>
        <row r="475">
          <cell r="B475">
            <v>0</v>
          </cell>
          <cell r="C475" t="e">
            <v>#N/A</v>
          </cell>
          <cell r="D475" t="e">
            <v>#N/A</v>
          </cell>
          <cell r="E475" t="e">
            <v>#N/A</v>
          </cell>
        </row>
        <row r="476">
          <cell r="B476">
            <v>0</v>
          </cell>
          <cell r="C476" t="e">
            <v>#N/A</v>
          </cell>
          <cell r="D476" t="e">
            <v>#N/A</v>
          </cell>
          <cell r="E476" t="e">
            <v>#N/A</v>
          </cell>
        </row>
        <row r="477">
          <cell r="B477">
            <v>0</v>
          </cell>
          <cell r="C477" t="e">
            <v>#N/A</v>
          </cell>
          <cell r="D477" t="e">
            <v>#N/A</v>
          </cell>
          <cell r="E477" t="e">
            <v>#N/A</v>
          </cell>
        </row>
        <row r="478">
          <cell r="B478">
            <v>0</v>
          </cell>
          <cell r="C478" t="e">
            <v>#N/A</v>
          </cell>
          <cell r="D478" t="e">
            <v>#N/A</v>
          </cell>
          <cell r="E478" t="e">
            <v>#N/A</v>
          </cell>
        </row>
        <row r="479">
          <cell r="B479">
            <v>0</v>
          </cell>
          <cell r="C479" t="e">
            <v>#N/A</v>
          </cell>
          <cell r="D479" t="e">
            <v>#N/A</v>
          </cell>
          <cell r="E479" t="e">
            <v>#N/A</v>
          </cell>
        </row>
        <row r="480">
          <cell r="B480">
            <v>0</v>
          </cell>
          <cell r="C480" t="e">
            <v>#N/A</v>
          </cell>
          <cell r="D480" t="e">
            <v>#N/A</v>
          </cell>
          <cell r="E480" t="e">
            <v>#N/A</v>
          </cell>
        </row>
        <row r="481">
          <cell r="B481">
            <v>0</v>
          </cell>
          <cell r="C481" t="e">
            <v>#N/A</v>
          </cell>
          <cell r="D481" t="e">
            <v>#N/A</v>
          </cell>
          <cell r="E481" t="e">
            <v>#N/A</v>
          </cell>
        </row>
        <row r="482">
          <cell r="B482">
            <v>0</v>
          </cell>
          <cell r="C482" t="e">
            <v>#N/A</v>
          </cell>
          <cell r="D482" t="e">
            <v>#N/A</v>
          </cell>
          <cell r="E482" t="e">
            <v>#N/A</v>
          </cell>
        </row>
        <row r="483">
          <cell r="B483">
            <v>0</v>
          </cell>
          <cell r="C483" t="e">
            <v>#N/A</v>
          </cell>
          <cell r="D483" t="e">
            <v>#N/A</v>
          </cell>
          <cell r="E483" t="e">
            <v>#N/A</v>
          </cell>
        </row>
        <row r="484">
          <cell r="B484">
            <v>0</v>
          </cell>
          <cell r="C484" t="e">
            <v>#N/A</v>
          </cell>
          <cell r="D484" t="e">
            <v>#N/A</v>
          </cell>
          <cell r="E484" t="e">
            <v>#N/A</v>
          </cell>
        </row>
        <row r="485">
          <cell r="B485">
            <v>0</v>
          </cell>
          <cell r="C485" t="e">
            <v>#N/A</v>
          </cell>
          <cell r="D485" t="e">
            <v>#N/A</v>
          </cell>
          <cell r="E485" t="e">
            <v>#N/A</v>
          </cell>
        </row>
        <row r="486">
          <cell r="B486">
            <v>0</v>
          </cell>
          <cell r="C486" t="e">
            <v>#N/A</v>
          </cell>
          <cell r="D486" t="e">
            <v>#N/A</v>
          </cell>
          <cell r="E486" t="e">
            <v>#N/A</v>
          </cell>
        </row>
        <row r="487">
          <cell r="B487">
            <v>0</v>
          </cell>
          <cell r="C487" t="e">
            <v>#N/A</v>
          </cell>
          <cell r="D487" t="e">
            <v>#N/A</v>
          </cell>
          <cell r="E487" t="e">
            <v>#N/A</v>
          </cell>
        </row>
        <row r="488">
          <cell r="B488">
            <v>0</v>
          </cell>
          <cell r="C488" t="e">
            <v>#N/A</v>
          </cell>
          <cell r="D488" t="e">
            <v>#N/A</v>
          </cell>
          <cell r="E488" t="e">
            <v>#N/A</v>
          </cell>
        </row>
        <row r="489">
          <cell r="B489">
            <v>0</v>
          </cell>
          <cell r="C489" t="e">
            <v>#N/A</v>
          </cell>
          <cell r="D489" t="e">
            <v>#N/A</v>
          </cell>
          <cell r="E489" t="e">
            <v>#N/A</v>
          </cell>
        </row>
        <row r="490">
          <cell r="B490">
            <v>0</v>
          </cell>
          <cell r="C490" t="e">
            <v>#N/A</v>
          </cell>
          <cell r="D490" t="e">
            <v>#N/A</v>
          </cell>
          <cell r="E490" t="e">
            <v>#N/A</v>
          </cell>
        </row>
        <row r="491">
          <cell r="B491">
            <v>0</v>
          </cell>
          <cell r="C491" t="e">
            <v>#N/A</v>
          </cell>
          <cell r="D491" t="e">
            <v>#N/A</v>
          </cell>
          <cell r="E491" t="e">
            <v>#N/A</v>
          </cell>
        </row>
        <row r="492">
          <cell r="B492">
            <v>0</v>
          </cell>
          <cell r="C492" t="e">
            <v>#N/A</v>
          </cell>
          <cell r="D492" t="e">
            <v>#N/A</v>
          </cell>
          <cell r="E492" t="e">
            <v>#N/A</v>
          </cell>
        </row>
        <row r="493">
          <cell r="B493">
            <v>0</v>
          </cell>
          <cell r="C493" t="e">
            <v>#N/A</v>
          </cell>
          <cell r="D493" t="e">
            <v>#N/A</v>
          </cell>
          <cell r="E493" t="e">
            <v>#N/A</v>
          </cell>
        </row>
        <row r="494">
          <cell r="B494">
            <v>0</v>
          </cell>
          <cell r="C494" t="e">
            <v>#N/A</v>
          </cell>
          <cell r="D494" t="e">
            <v>#N/A</v>
          </cell>
          <cell r="E494" t="e">
            <v>#N/A</v>
          </cell>
        </row>
        <row r="495">
          <cell r="B495">
            <v>0</v>
          </cell>
          <cell r="C495" t="e">
            <v>#N/A</v>
          </cell>
          <cell r="D495" t="e">
            <v>#N/A</v>
          </cell>
          <cell r="E495" t="e">
            <v>#N/A</v>
          </cell>
        </row>
        <row r="496">
          <cell r="B496">
            <v>0</v>
          </cell>
          <cell r="C496" t="e">
            <v>#N/A</v>
          </cell>
          <cell r="D496" t="e">
            <v>#N/A</v>
          </cell>
          <cell r="E496" t="e">
            <v>#N/A</v>
          </cell>
        </row>
        <row r="497">
          <cell r="B497">
            <v>0</v>
          </cell>
          <cell r="C497" t="e">
            <v>#N/A</v>
          </cell>
          <cell r="D497" t="e">
            <v>#N/A</v>
          </cell>
          <cell r="E497" t="e">
            <v>#N/A</v>
          </cell>
        </row>
        <row r="498">
          <cell r="B498">
            <v>0</v>
          </cell>
          <cell r="C498" t="e">
            <v>#N/A</v>
          </cell>
          <cell r="D498" t="e">
            <v>#N/A</v>
          </cell>
          <cell r="E498" t="e">
            <v>#N/A</v>
          </cell>
        </row>
        <row r="499">
          <cell r="B499">
            <v>0</v>
          </cell>
          <cell r="C499" t="e">
            <v>#N/A</v>
          </cell>
          <cell r="D499" t="e">
            <v>#N/A</v>
          </cell>
          <cell r="E499" t="e">
            <v>#N/A</v>
          </cell>
        </row>
        <row r="500">
          <cell r="B500" t="str">
            <v>-</v>
          </cell>
          <cell r="C500" t="e">
            <v>#N/A</v>
          </cell>
          <cell r="D500" t="e">
            <v>#N/A</v>
          </cell>
          <cell r="E500" t="str">
            <v>--0497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jk@yoonyang.com" TargetMode="External"/><Relationship Id="rId117" Type="http://schemas.openxmlformats.org/officeDocument/2006/relationships/hyperlink" Target="mailto:ametech1@wehago.com" TargetMode="External"/><Relationship Id="rId21" Type="http://schemas.openxmlformats.org/officeDocument/2006/relationships/hyperlink" Target="mailto:kumho3780@naver.com" TargetMode="External"/><Relationship Id="rId42" Type="http://schemas.openxmlformats.org/officeDocument/2006/relationships/hyperlink" Target="mailto:making702@nate.com" TargetMode="External"/><Relationship Id="rId47" Type="http://schemas.openxmlformats.org/officeDocument/2006/relationships/hyperlink" Target="mailto:shtel124@shtel.co.kr" TargetMode="External"/><Relationship Id="rId63" Type="http://schemas.openxmlformats.org/officeDocument/2006/relationships/hyperlink" Target="mailto:admin@zyxel.kr" TargetMode="External"/><Relationship Id="rId68" Type="http://schemas.openxmlformats.org/officeDocument/2006/relationships/hyperlink" Target="mailto:hoyoung.kim@raymedical.com" TargetMode="External"/><Relationship Id="rId84" Type="http://schemas.openxmlformats.org/officeDocument/2006/relationships/hyperlink" Target="mailto:dr.jinlee@kakao.com" TargetMode="External"/><Relationship Id="rId89" Type="http://schemas.openxmlformats.org/officeDocument/2006/relationships/hyperlink" Target="mailto:hellena0212@hanmail.net" TargetMode="External"/><Relationship Id="rId112" Type="http://schemas.openxmlformats.org/officeDocument/2006/relationships/hyperlink" Target="mailto:dsmold1@bill36524.com" TargetMode="External"/><Relationship Id="rId16" Type="http://schemas.openxmlformats.org/officeDocument/2006/relationships/hyperlink" Target="mailto:yejeon@unioncement.com" TargetMode="External"/><Relationship Id="rId107" Type="http://schemas.openxmlformats.org/officeDocument/2006/relationships/hyperlink" Target="mailto:hoyoung.kim@raymedical.com" TargetMode="External"/><Relationship Id="rId11" Type="http://schemas.openxmlformats.org/officeDocument/2006/relationships/hyperlink" Target="mailto:jyk2845@sitcos.co.kr" TargetMode="External"/><Relationship Id="rId32" Type="http://schemas.openxmlformats.org/officeDocument/2006/relationships/hyperlink" Target="mailto:kumho3780@naver.com" TargetMode="External"/><Relationship Id="rId37" Type="http://schemas.openxmlformats.org/officeDocument/2006/relationships/hyperlink" Target="mailto:kyw6571@naver.com" TargetMode="External"/><Relationship Id="rId53" Type="http://schemas.openxmlformats.org/officeDocument/2006/relationships/hyperlink" Target="mailto:jh_ahn@cnit.co.kr" TargetMode="External"/><Relationship Id="rId58" Type="http://schemas.openxmlformats.org/officeDocument/2006/relationships/hyperlink" Target="mailto:sm8765@nate.com" TargetMode="External"/><Relationship Id="rId74" Type="http://schemas.openxmlformats.org/officeDocument/2006/relationships/hyperlink" Target="mailto:06790@naver.com" TargetMode="External"/><Relationship Id="rId79" Type="http://schemas.openxmlformats.org/officeDocument/2006/relationships/hyperlink" Target="mailto:goodzong@gmail.com" TargetMode="External"/><Relationship Id="rId102" Type="http://schemas.openxmlformats.org/officeDocument/2006/relationships/hyperlink" Target="mailto:bdlee@hwawoo.com" TargetMode="External"/><Relationship Id="rId123" Type="http://schemas.openxmlformats.org/officeDocument/2006/relationships/hyperlink" Target="mailto:flowspacelab@gmail.com" TargetMode="External"/><Relationship Id="rId5" Type="http://schemas.openxmlformats.org/officeDocument/2006/relationships/hyperlink" Target="mailto:mail@sitecokorea.co.kr" TargetMode="External"/><Relationship Id="rId90" Type="http://schemas.openxmlformats.org/officeDocument/2006/relationships/hyperlink" Target="mailto:1bdoffice@naver.com" TargetMode="External"/><Relationship Id="rId95" Type="http://schemas.openxmlformats.org/officeDocument/2006/relationships/hyperlink" Target="mailto:samgeetech@3will.co.kr" TargetMode="External"/><Relationship Id="rId22" Type="http://schemas.openxmlformats.org/officeDocument/2006/relationships/hyperlink" Target="mailto:kumho3780@naver.com" TargetMode="External"/><Relationship Id="rId27" Type="http://schemas.openxmlformats.org/officeDocument/2006/relationships/hyperlink" Target="mailto:sjk@hwawoo.com" TargetMode="External"/><Relationship Id="rId43" Type="http://schemas.openxmlformats.org/officeDocument/2006/relationships/hyperlink" Target="mailto:michaeljung@kt.com" TargetMode="External"/><Relationship Id="rId48" Type="http://schemas.openxmlformats.org/officeDocument/2006/relationships/hyperlink" Target="mailto:dcfood777@naver.com" TargetMode="External"/><Relationship Id="rId64" Type="http://schemas.openxmlformats.org/officeDocument/2006/relationships/hyperlink" Target="mailto:kumho3780@naver.com" TargetMode="External"/><Relationship Id="rId69" Type="http://schemas.openxmlformats.org/officeDocument/2006/relationships/hyperlink" Target="mailto:sanghoon.lee@Lyndman.com" TargetMode="External"/><Relationship Id="rId113" Type="http://schemas.openxmlformats.org/officeDocument/2006/relationships/hyperlink" Target="mailto:gwjung@aemtech.kr" TargetMode="External"/><Relationship Id="rId118" Type="http://schemas.openxmlformats.org/officeDocument/2006/relationships/hyperlink" Target="mailto:kumho3780@naver.com" TargetMode="External"/><Relationship Id="rId80" Type="http://schemas.openxmlformats.org/officeDocument/2006/relationships/hyperlink" Target="mailto:induspia3@naver.com" TargetMode="External"/><Relationship Id="rId85" Type="http://schemas.openxmlformats.org/officeDocument/2006/relationships/hyperlink" Target="mailto:kyungeun@thedaylabs.com" TargetMode="External"/><Relationship Id="rId12" Type="http://schemas.openxmlformats.org/officeDocument/2006/relationships/hyperlink" Target="mailto:sophia@camelww.com" TargetMode="External"/><Relationship Id="rId17" Type="http://schemas.openxmlformats.org/officeDocument/2006/relationships/hyperlink" Target="mailto:jc708@hanmail.net" TargetMode="External"/><Relationship Id="rId33" Type="http://schemas.openxmlformats.org/officeDocument/2006/relationships/hyperlink" Target="mailto:kumho3780@naver.com" TargetMode="External"/><Relationship Id="rId38" Type="http://schemas.openxmlformats.org/officeDocument/2006/relationships/hyperlink" Target="mailto:serim@serimbng.co.kr" TargetMode="External"/><Relationship Id="rId59" Type="http://schemas.openxmlformats.org/officeDocument/2006/relationships/hyperlink" Target="mailto:cjtsgp@daum.net" TargetMode="External"/><Relationship Id="rId103" Type="http://schemas.openxmlformats.org/officeDocument/2006/relationships/hyperlink" Target="mailto:shtel124@shtel.co.kr" TargetMode="External"/><Relationship Id="rId108" Type="http://schemas.openxmlformats.org/officeDocument/2006/relationships/hyperlink" Target="mailto:hoyoung.kim@raymedical.com" TargetMode="External"/><Relationship Id="rId124" Type="http://schemas.openxmlformats.org/officeDocument/2006/relationships/printerSettings" Target="../printerSettings/printerSettings1.bin"/><Relationship Id="rId54" Type="http://schemas.openxmlformats.org/officeDocument/2006/relationships/hyperlink" Target="mailto:ykimki@elmes.co.kr" TargetMode="External"/><Relationship Id="rId70" Type="http://schemas.openxmlformats.org/officeDocument/2006/relationships/hyperlink" Target="mailto:hoyoung.kim@raymedical.com" TargetMode="External"/><Relationship Id="rId75" Type="http://schemas.openxmlformats.org/officeDocument/2006/relationships/hyperlink" Target="mailto:rhyuhs@naver.com" TargetMode="External"/><Relationship Id="rId91" Type="http://schemas.openxmlformats.org/officeDocument/2006/relationships/hyperlink" Target="mailto:spjoint@bill36524.com" TargetMode="External"/><Relationship Id="rId96" Type="http://schemas.openxmlformats.org/officeDocument/2006/relationships/hyperlink" Target="mailto:applehee0@naver.com" TargetMode="External"/><Relationship Id="rId1" Type="http://schemas.openxmlformats.org/officeDocument/2006/relationships/hyperlink" Target="mailto:kumho3780@naver.com" TargetMode="External"/><Relationship Id="rId6" Type="http://schemas.openxmlformats.org/officeDocument/2006/relationships/hyperlink" Target="mailto:mail@sitecokorea.co.kr" TargetMode="External"/><Relationship Id="rId23" Type="http://schemas.openxmlformats.org/officeDocument/2006/relationships/hyperlink" Target="mailto:kumho3780@naver.com" TargetMode="External"/><Relationship Id="rId28" Type="http://schemas.openxmlformats.org/officeDocument/2006/relationships/hyperlink" Target="mailto:hongkp.88@hanmail.net" TargetMode="External"/><Relationship Id="rId49" Type="http://schemas.openxmlformats.org/officeDocument/2006/relationships/hyperlink" Target="mailto:lareum@shtel.co.kr" TargetMode="External"/><Relationship Id="rId114" Type="http://schemas.openxmlformats.org/officeDocument/2006/relationships/hyperlink" Target="mailto:ametech1@wehago.com" TargetMode="External"/><Relationship Id="rId119" Type="http://schemas.openxmlformats.org/officeDocument/2006/relationships/hyperlink" Target="mailto:daeahitech@nate.com" TargetMode="External"/><Relationship Id="rId44" Type="http://schemas.openxmlformats.org/officeDocument/2006/relationships/hyperlink" Target="mailto:j1027220@naver.com" TargetMode="External"/><Relationship Id="rId60" Type="http://schemas.openxmlformats.org/officeDocument/2006/relationships/hyperlink" Target="mailto:tax@neowithnet.com" TargetMode="External"/><Relationship Id="rId65" Type="http://schemas.openxmlformats.org/officeDocument/2006/relationships/hyperlink" Target="mailto:tax@tavalon.co.kr" TargetMode="External"/><Relationship Id="rId81" Type="http://schemas.openxmlformats.org/officeDocument/2006/relationships/hyperlink" Target="mailto:ametech1@wehago.com" TargetMode="External"/><Relationship Id="rId86" Type="http://schemas.openxmlformats.org/officeDocument/2006/relationships/hyperlink" Target="mailto:sjk@hwawoo.com" TargetMode="External"/><Relationship Id="rId4" Type="http://schemas.openxmlformats.org/officeDocument/2006/relationships/hyperlink" Target="mailto:mhgood45@dkin.co.kr" TargetMode="External"/><Relationship Id="rId9" Type="http://schemas.openxmlformats.org/officeDocument/2006/relationships/hyperlink" Target="mailto:kumho3780@naver.com" TargetMode="External"/><Relationship Id="rId13" Type="http://schemas.openxmlformats.org/officeDocument/2006/relationships/hyperlink" Target="mailto:r44333@naver.com" TargetMode="External"/><Relationship Id="rId18" Type="http://schemas.openxmlformats.org/officeDocument/2006/relationships/hyperlink" Target="mailto:samgeetech@3will.co.kr" TargetMode="External"/><Relationship Id="rId39" Type="http://schemas.openxmlformats.org/officeDocument/2006/relationships/hyperlink" Target="mailto:lkc2006@naver.com" TargetMode="External"/><Relationship Id="rId109" Type="http://schemas.openxmlformats.org/officeDocument/2006/relationships/hyperlink" Target="mailto:hoyoung.kim@raymedical.com" TargetMode="External"/><Relationship Id="rId34" Type="http://schemas.openxmlformats.org/officeDocument/2006/relationships/hyperlink" Target="mailto:kumho3780@naver.com" TargetMode="External"/><Relationship Id="rId50" Type="http://schemas.openxmlformats.org/officeDocument/2006/relationships/hyperlink" Target="mailto:lotze77@naver.com" TargetMode="External"/><Relationship Id="rId55" Type="http://schemas.openxmlformats.org/officeDocument/2006/relationships/hyperlink" Target="mailto:samgeetech@3will.co.kr" TargetMode="External"/><Relationship Id="rId76" Type="http://schemas.openxmlformats.org/officeDocument/2006/relationships/hyperlink" Target="mailto:hoyoung.kim@raymedical.com" TargetMode="External"/><Relationship Id="rId97" Type="http://schemas.openxmlformats.org/officeDocument/2006/relationships/hyperlink" Target="mailto:juneskim@monitorapp.com" TargetMode="External"/><Relationship Id="rId104" Type="http://schemas.openxmlformats.org/officeDocument/2006/relationships/hyperlink" Target="mailto:serim@serimbng.co.kr" TargetMode="External"/><Relationship Id="rId120" Type="http://schemas.openxmlformats.org/officeDocument/2006/relationships/hyperlink" Target="mailto:daeaind@chol.com" TargetMode="External"/><Relationship Id="rId7" Type="http://schemas.openxmlformats.org/officeDocument/2006/relationships/hyperlink" Target="mailto:miracle1937@naver.com" TargetMode="External"/><Relationship Id="rId71" Type="http://schemas.openxmlformats.org/officeDocument/2006/relationships/hyperlink" Target="mailto:shtel001@daum.net" TargetMode="External"/><Relationship Id="rId92" Type="http://schemas.openxmlformats.org/officeDocument/2006/relationships/hyperlink" Target="mailto:tax@tavalon.co.kr" TargetMode="External"/><Relationship Id="rId2" Type="http://schemas.openxmlformats.org/officeDocument/2006/relationships/hyperlink" Target="mailto:mhgood45@dkin.co.kr" TargetMode="External"/><Relationship Id="rId29" Type="http://schemas.openxmlformats.org/officeDocument/2006/relationships/hyperlink" Target="mailto:tax@mapsip.com" TargetMode="External"/><Relationship Id="rId24" Type="http://schemas.openxmlformats.org/officeDocument/2006/relationships/hyperlink" Target="mailto:nahanbin@gmail.com" TargetMode="External"/><Relationship Id="rId40" Type="http://schemas.openxmlformats.org/officeDocument/2006/relationships/hyperlink" Target="mailto:hellena0212@hanmail.net" TargetMode="External"/><Relationship Id="rId45" Type="http://schemas.openxmlformats.org/officeDocument/2006/relationships/hyperlink" Target="mailto:pius_x@trionsoft.com" TargetMode="External"/><Relationship Id="rId66" Type="http://schemas.openxmlformats.org/officeDocument/2006/relationships/hyperlink" Target="mailto:hmy188@gmail.com" TargetMode="External"/><Relationship Id="rId87" Type="http://schemas.openxmlformats.org/officeDocument/2006/relationships/hyperlink" Target="mailto:gn6893348@naver.com" TargetMode="External"/><Relationship Id="rId110" Type="http://schemas.openxmlformats.org/officeDocument/2006/relationships/hyperlink" Target="mailto:hoyoung.kim@raymedical.com" TargetMode="External"/><Relationship Id="rId115" Type="http://schemas.openxmlformats.org/officeDocument/2006/relationships/hyperlink" Target="mailto:jg_byeon@dspharm.com" TargetMode="External"/><Relationship Id="rId61" Type="http://schemas.openxmlformats.org/officeDocument/2006/relationships/hyperlink" Target="mailto:tax@neowithnet.com" TargetMode="External"/><Relationship Id="rId82" Type="http://schemas.openxmlformats.org/officeDocument/2006/relationships/hyperlink" Target="mailto:ametech1@wehago.com" TargetMode="External"/><Relationship Id="rId19" Type="http://schemas.openxmlformats.org/officeDocument/2006/relationships/hyperlink" Target="mailto:kumho3780@naver.com" TargetMode="External"/><Relationship Id="rId14" Type="http://schemas.openxmlformats.org/officeDocument/2006/relationships/hyperlink" Target="mailto:samgeetech@3will.co.kr" TargetMode="External"/><Relationship Id="rId30" Type="http://schemas.openxmlformats.org/officeDocument/2006/relationships/hyperlink" Target="mailto:shtel124@shtel.co.kr" TargetMode="External"/><Relationship Id="rId35" Type="http://schemas.openxmlformats.org/officeDocument/2006/relationships/hyperlink" Target="mailto:cjts@daum.net" TargetMode="External"/><Relationship Id="rId56" Type="http://schemas.openxmlformats.org/officeDocument/2006/relationships/hyperlink" Target="mailto:hanilled@hanmail.net" TargetMode="External"/><Relationship Id="rId77" Type="http://schemas.openxmlformats.org/officeDocument/2006/relationships/hyperlink" Target="mailto:ametech1@wehago.com" TargetMode="External"/><Relationship Id="rId100" Type="http://schemas.openxmlformats.org/officeDocument/2006/relationships/hyperlink" Target="mailto:kdh5250@naver.com" TargetMode="External"/><Relationship Id="rId105" Type="http://schemas.openxmlformats.org/officeDocument/2006/relationships/hyperlink" Target="mailto:hoyoung.kim@raymedical.com" TargetMode="External"/><Relationship Id="rId8" Type="http://schemas.openxmlformats.org/officeDocument/2006/relationships/hyperlink" Target="mailto:dysul@allthatmodel.co.kr" TargetMode="External"/><Relationship Id="rId51" Type="http://schemas.openxmlformats.org/officeDocument/2006/relationships/hyperlink" Target="mailto:jh_ahn@cnit.co.kr" TargetMode="External"/><Relationship Id="rId72" Type="http://schemas.openxmlformats.org/officeDocument/2006/relationships/hyperlink" Target="mailto:hoyoung.kim@raymedical.com" TargetMode="External"/><Relationship Id="rId93" Type="http://schemas.openxmlformats.org/officeDocument/2006/relationships/hyperlink" Target="mailto:jg_byeon@dspharm.com" TargetMode="External"/><Relationship Id="rId98" Type="http://schemas.openxmlformats.org/officeDocument/2006/relationships/hyperlink" Target="mailto:mhgood45@dkin.co.kr" TargetMode="External"/><Relationship Id="rId121" Type="http://schemas.openxmlformats.org/officeDocument/2006/relationships/hyperlink" Target="mailto:ametech1@wehago.com" TargetMode="External"/><Relationship Id="rId3" Type="http://schemas.openxmlformats.org/officeDocument/2006/relationships/hyperlink" Target="mailto:mhgood45@dkin.co.kr" TargetMode="External"/><Relationship Id="rId25" Type="http://schemas.openxmlformats.org/officeDocument/2006/relationships/hyperlink" Target="mailto:kkm0410@hanchon.kr" TargetMode="External"/><Relationship Id="rId46" Type="http://schemas.openxmlformats.org/officeDocument/2006/relationships/hyperlink" Target="mailto:gn6893348@naver.com" TargetMode="External"/><Relationship Id="rId67" Type="http://schemas.openxmlformats.org/officeDocument/2006/relationships/hyperlink" Target="mailto:hm.lim@hypartner.co.kr" TargetMode="External"/><Relationship Id="rId116" Type="http://schemas.openxmlformats.org/officeDocument/2006/relationships/hyperlink" Target="mailto:wb.liss_song@dspharm.com" TargetMode="External"/><Relationship Id="rId20" Type="http://schemas.openxmlformats.org/officeDocument/2006/relationships/hyperlink" Target="mailto:kumho3780@naver.com" TargetMode="External"/><Relationship Id="rId41" Type="http://schemas.openxmlformats.org/officeDocument/2006/relationships/hyperlink" Target="mailto:lss@bkl.co.kr" TargetMode="External"/><Relationship Id="rId62" Type="http://schemas.openxmlformats.org/officeDocument/2006/relationships/hyperlink" Target="mailto:sjk@hwawoo.com" TargetMode="External"/><Relationship Id="rId83" Type="http://schemas.openxmlformats.org/officeDocument/2006/relationships/hyperlink" Target="mailto:dr.jinlee@kakao.com" TargetMode="External"/><Relationship Id="rId88" Type="http://schemas.openxmlformats.org/officeDocument/2006/relationships/hyperlink" Target="mailto:kkm0410@hanchon.kr" TargetMode="External"/><Relationship Id="rId111" Type="http://schemas.openxmlformats.org/officeDocument/2006/relationships/hyperlink" Target="mailto:hoyoung.kim@raymedical.com" TargetMode="External"/><Relationship Id="rId15" Type="http://schemas.openxmlformats.org/officeDocument/2006/relationships/hyperlink" Target="mailto:tax@tavalon.co.kr" TargetMode="External"/><Relationship Id="rId36" Type="http://schemas.openxmlformats.org/officeDocument/2006/relationships/hyperlink" Target="mailto:jungshin.choi@frcpartners.com" TargetMode="External"/><Relationship Id="rId57" Type="http://schemas.openxmlformats.org/officeDocument/2006/relationships/hyperlink" Target="mailto:tnshanil@hometax.go.kr" TargetMode="External"/><Relationship Id="rId106" Type="http://schemas.openxmlformats.org/officeDocument/2006/relationships/hyperlink" Target="mailto:vipps1004@naver.com%20" TargetMode="External"/><Relationship Id="rId10" Type="http://schemas.openxmlformats.org/officeDocument/2006/relationships/hyperlink" Target="mailto:hjsong@unioncement.com" TargetMode="External"/><Relationship Id="rId31" Type="http://schemas.openxmlformats.org/officeDocument/2006/relationships/hyperlink" Target="mailto:kumho3780@naver.com" TargetMode="External"/><Relationship Id="rId52" Type="http://schemas.openxmlformats.org/officeDocument/2006/relationships/hyperlink" Target="mailto:hyshin@gmail.com" TargetMode="External"/><Relationship Id="rId73" Type="http://schemas.openxmlformats.org/officeDocument/2006/relationships/hyperlink" Target="mailto:kyungeun@thedaylabs.com" TargetMode="External"/><Relationship Id="rId78" Type="http://schemas.openxmlformats.org/officeDocument/2006/relationships/hyperlink" Target="mailto:ametech1@wehago.com" TargetMode="External"/><Relationship Id="rId94" Type="http://schemas.openxmlformats.org/officeDocument/2006/relationships/hyperlink" Target="mailto:wb.liss_song@dspharm.com" TargetMode="External"/><Relationship Id="rId99" Type="http://schemas.openxmlformats.org/officeDocument/2006/relationships/hyperlink" Target="mailto:jichoe@gntechvc.co.kr" TargetMode="External"/><Relationship Id="rId101" Type="http://schemas.openxmlformats.org/officeDocument/2006/relationships/hyperlink" Target="mailto:kjk@yoonyang.com" TargetMode="External"/><Relationship Id="rId122" Type="http://schemas.openxmlformats.org/officeDocument/2006/relationships/hyperlink" Target="mailto:13038@dau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B425-2C1B-48C1-AE0B-12835100B149}">
  <sheetPr>
    <tabColor rgb="FFFF0000"/>
    <pageSetUpPr fitToPage="1"/>
  </sheetPr>
  <dimension ref="A1:DP164"/>
  <sheetViews>
    <sheetView tabSelected="1" zoomScaleNormal="100" workbookViewId="0">
      <pane xSplit="5" ySplit="1" topLeftCell="F149" activePane="bottomRight" state="frozen"/>
      <selection activeCell="D18" sqref="D18"/>
      <selection pane="topRight" activeCell="D18" sqref="D18"/>
      <selection pane="bottomLeft" activeCell="D18" sqref="D18"/>
      <selection pane="bottomRight" activeCell="D156" sqref="D156"/>
    </sheetView>
  </sheetViews>
  <sheetFormatPr defaultColWidth="8.875" defaultRowHeight="16.5"/>
  <cols>
    <col min="1" max="1" width="5.125" style="1" bestFit="1" customWidth="1"/>
    <col min="2" max="2" width="13.125" style="1" bestFit="1" customWidth="1"/>
    <col min="3" max="3" width="9" style="1" bestFit="1" customWidth="1"/>
    <col min="4" max="4" width="23.125" style="1" customWidth="1"/>
    <col min="5" max="5" width="18.125" style="1" customWidth="1"/>
    <col min="6" max="6" width="15" style="1" customWidth="1"/>
    <col min="7" max="7" width="16.375" style="1" customWidth="1"/>
    <col min="8" max="8" width="25.375" style="1" customWidth="1"/>
    <col min="9" max="9" width="14.375" style="1" customWidth="1"/>
    <col min="10" max="10" width="6.375" style="1" customWidth="1"/>
    <col min="11" max="11" width="42" style="1" customWidth="1"/>
    <col min="12" max="12" width="7.5" style="1" customWidth="1"/>
    <col min="13" max="13" width="22" style="1" customWidth="1"/>
    <col min="14" max="14" width="12.125" style="1" customWidth="1"/>
    <col min="15" max="15" width="13.125" style="1" customWidth="1"/>
    <col min="16" max="16" width="11.625" style="2" customWidth="1"/>
    <col min="17" max="18" width="11.625" style="1" customWidth="1"/>
    <col min="19" max="19" width="12.125" style="1" customWidth="1"/>
    <col min="20" max="21" width="12.375" style="1" customWidth="1"/>
    <col min="22" max="22" width="9.875" style="1" customWidth="1"/>
    <col min="23" max="23" width="9.875" style="3" customWidth="1"/>
    <col min="24" max="24" width="22.5" style="3" customWidth="1"/>
    <col min="25" max="26" width="16.125" style="3" customWidth="1"/>
    <col min="27" max="27" width="102.125" style="3" customWidth="1"/>
    <col min="28" max="28" width="13" customWidth="1"/>
    <col min="29" max="30" width="14.625" customWidth="1"/>
    <col min="31" max="31" width="13.125" style="1" customWidth="1"/>
    <col min="32" max="33" width="15.375" customWidth="1"/>
    <col min="34" max="34" width="13.5" customWidth="1"/>
    <col min="35" max="36" width="12.625" customWidth="1"/>
    <col min="37" max="37" width="11.5" customWidth="1"/>
    <col min="38" max="38" width="9.875" customWidth="1"/>
    <col min="39" max="40" width="9" customWidth="1"/>
    <col min="41" max="41" width="11.125" customWidth="1"/>
    <col min="42" max="42" width="11.625" customWidth="1"/>
    <col min="43" max="43" width="10.5" customWidth="1"/>
    <col min="44" max="44" width="32.625" customWidth="1"/>
    <col min="45" max="45" width="10.5" customWidth="1"/>
    <col min="46" max="46" width="61" bestFit="1" customWidth="1"/>
    <col min="47" max="47" width="13" bestFit="1" customWidth="1"/>
    <col min="48" max="48" width="14.375" customWidth="1"/>
    <col min="49" max="49" width="15.875" style="1" customWidth="1"/>
    <col min="50" max="50" width="12.125" style="1" customWidth="1"/>
    <col min="51" max="52" width="13" bestFit="1" customWidth="1"/>
    <col min="53" max="56" width="11.625" bestFit="1" customWidth="1"/>
    <col min="57" max="58" width="11.625" customWidth="1"/>
    <col min="59" max="59" width="14.875" bestFit="1" customWidth="1"/>
    <col min="60" max="60" width="11.625" customWidth="1"/>
    <col min="61" max="61" width="11.125" bestFit="1" customWidth="1"/>
    <col min="62" max="62" width="21.625" bestFit="1" customWidth="1"/>
    <col min="63" max="65" width="11.625" customWidth="1"/>
    <col min="66" max="67" width="27.125" bestFit="1" customWidth="1"/>
    <col min="68" max="68" width="38.375" style="1" bestFit="1" customWidth="1"/>
    <col min="69" max="69" width="13.5" customWidth="1"/>
    <col min="70" max="70" width="9.875" bestFit="1" customWidth="1"/>
    <col min="71" max="71" width="13" bestFit="1" customWidth="1"/>
    <col min="72" max="72" width="11.375" bestFit="1" customWidth="1"/>
    <col min="73" max="73" width="13.125" bestFit="1" customWidth="1"/>
    <col min="74" max="74" width="10" style="1" bestFit="1" customWidth="1"/>
    <col min="75" max="75" width="11.5" bestFit="1" customWidth="1"/>
    <col min="76" max="76" width="13.625" bestFit="1" customWidth="1"/>
    <col min="77" max="77" width="13.625" customWidth="1"/>
    <col min="78" max="78" width="12.625" bestFit="1" customWidth="1"/>
    <col min="79" max="79" width="3.5" bestFit="1" customWidth="1"/>
    <col min="80" max="80" width="20.625" style="1" bestFit="1" customWidth="1"/>
    <col min="81" max="81" width="17.375" style="1" bestFit="1" customWidth="1"/>
    <col min="82" max="82" width="14.25" bestFit="1" customWidth="1"/>
    <col min="83" max="83" width="10.125" style="1" bestFit="1" customWidth="1"/>
    <col min="84" max="84" width="14.125" customWidth="1"/>
    <col min="85" max="85" width="14.75" bestFit="1" customWidth="1"/>
    <col min="86" max="86" width="14.125" bestFit="1" customWidth="1"/>
    <col min="87" max="87" width="15.25" bestFit="1" customWidth="1"/>
    <col min="88" max="88" width="6.375" customWidth="1"/>
    <col min="89" max="89" width="8.125" customWidth="1"/>
    <col min="90" max="90" width="30.125" style="1" bestFit="1" customWidth="1"/>
    <col min="91" max="92" width="25" style="1" bestFit="1" customWidth="1"/>
    <col min="93" max="93" width="7.375" bestFit="1" customWidth="1"/>
    <col min="95" max="95" width="10.125" bestFit="1" customWidth="1"/>
    <col min="96" max="96" width="13.125" bestFit="1" customWidth="1"/>
    <col min="97" max="97" width="8.5" bestFit="1" customWidth="1"/>
    <col min="98" max="98" width="13.125" bestFit="1" customWidth="1"/>
    <col min="99" max="99" width="10.125" bestFit="1" customWidth="1"/>
    <col min="100" max="100" width="13.125" bestFit="1" customWidth="1"/>
    <col min="101" max="101" width="10.125" bestFit="1" customWidth="1"/>
    <col min="102" max="102" width="13.125" bestFit="1" customWidth="1"/>
    <col min="103" max="103" width="8.5" bestFit="1" customWidth="1"/>
    <col min="104" max="104" width="13.125" bestFit="1" customWidth="1"/>
    <col min="105" max="105" width="11.125" bestFit="1" customWidth="1"/>
    <col min="106" max="106" width="11.125" customWidth="1"/>
    <col min="107" max="108" width="13.125" bestFit="1" customWidth="1"/>
    <col min="109" max="110" width="13.125" style="1" bestFit="1" customWidth="1"/>
    <col min="111" max="111" width="21.5" style="1" bestFit="1" customWidth="1"/>
    <col min="112" max="112" width="16.375" style="1" bestFit="1" customWidth="1"/>
    <col min="113" max="113" width="70.125" style="1" bestFit="1" customWidth="1"/>
    <col min="114" max="115" width="9.125" bestFit="1" customWidth="1"/>
    <col min="116" max="116" width="16.375" style="1" bestFit="1" customWidth="1"/>
    <col min="117" max="117" width="29.75" style="3" bestFit="1" customWidth="1"/>
    <col min="118" max="118" width="16.375" bestFit="1" customWidth="1"/>
    <col min="119" max="119" width="70.125" bestFit="1" customWidth="1"/>
    <col min="120" max="120" width="9.125" bestFit="1" customWidth="1"/>
  </cols>
  <sheetData>
    <row r="1" spans="1:1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6" t="s">
        <v>5</v>
      </c>
      <c r="Z1" s="6" t="s">
        <v>24</v>
      </c>
      <c r="AA1" s="6" t="s">
        <v>25</v>
      </c>
      <c r="AB1" s="7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/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51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/>
      <c r="CB1" s="4" t="s">
        <v>75</v>
      </c>
      <c r="CC1" s="4" t="s">
        <v>76</v>
      </c>
      <c r="CD1" s="4" t="s">
        <v>77</v>
      </c>
      <c r="CE1" s="4" t="s">
        <v>70</v>
      </c>
      <c r="CF1" s="4" t="s">
        <v>78</v>
      </c>
      <c r="CG1" s="4" t="s">
        <v>79</v>
      </c>
      <c r="CH1" s="4" t="s">
        <v>80</v>
      </c>
      <c r="CI1" s="4" t="s">
        <v>81</v>
      </c>
      <c r="CJ1" s="4" t="s">
        <v>82</v>
      </c>
      <c r="CK1" s="4" t="s">
        <v>74</v>
      </c>
      <c r="CL1" s="4" t="s">
        <v>83</v>
      </c>
      <c r="CM1" s="4" t="s">
        <v>83</v>
      </c>
      <c r="CN1" s="4" t="s">
        <v>84</v>
      </c>
      <c r="CO1" s="4" t="s">
        <v>85</v>
      </c>
      <c r="CP1" s="4"/>
      <c r="CQ1" s="4" t="s">
        <v>86</v>
      </c>
      <c r="CR1" s="4" t="s">
        <v>87</v>
      </c>
      <c r="CS1" s="4" t="s">
        <v>88</v>
      </c>
      <c r="CT1" s="4" t="s">
        <v>89</v>
      </c>
      <c r="CU1" s="4" t="s">
        <v>90</v>
      </c>
      <c r="CV1" s="4" t="s">
        <v>91</v>
      </c>
      <c r="CW1" s="4" t="s">
        <v>92</v>
      </c>
      <c r="CX1" s="4" t="s">
        <v>93</v>
      </c>
      <c r="CY1" s="4" t="s">
        <v>94</v>
      </c>
      <c r="CZ1" s="4" t="s">
        <v>95</v>
      </c>
      <c r="DA1" s="4" t="s">
        <v>96</v>
      </c>
      <c r="DB1" s="4" t="s">
        <v>97</v>
      </c>
      <c r="DC1" s="4" t="s">
        <v>98</v>
      </c>
      <c r="DD1" s="4" t="s">
        <v>99</v>
      </c>
      <c r="DE1" s="4" t="s">
        <v>100</v>
      </c>
      <c r="DF1" s="4" t="s">
        <v>101</v>
      </c>
      <c r="DG1" s="4" t="s">
        <v>102</v>
      </c>
      <c r="DH1" s="4" t="s">
        <v>103</v>
      </c>
      <c r="DI1" s="4" t="s">
        <v>104</v>
      </c>
      <c r="DJ1" s="4" t="s">
        <v>105</v>
      </c>
      <c r="DK1" s="4" t="s">
        <v>106</v>
      </c>
      <c r="DL1" s="4" t="s">
        <v>107</v>
      </c>
      <c r="DM1" s="6" t="s">
        <v>108</v>
      </c>
      <c r="DN1" s="4"/>
      <c r="DO1" s="4"/>
      <c r="DP1" s="4"/>
    </row>
    <row r="2" spans="1:120">
      <c r="A2" s="8">
        <v>1</v>
      </c>
      <c r="B2" s="8" t="s">
        <v>109</v>
      </c>
      <c r="C2" s="8" t="s">
        <v>110</v>
      </c>
      <c r="D2" s="8" t="s">
        <v>111</v>
      </c>
      <c r="E2" s="8" t="s">
        <v>110</v>
      </c>
      <c r="F2" s="8" t="s">
        <v>112</v>
      </c>
      <c r="G2" s="8" t="s">
        <v>113</v>
      </c>
      <c r="H2" s="8" t="s">
        <v>114</v>
      </c>
      <c r="I2" s="9">
        <v>12750000</v>
      </c>
      <c r="J2" s="8">
        <v>2022</v>
      </c>
      <c r="K2" s="10" t="s">
        <v>115</v>
      </c>
      <c r="L2" s="10" t="s">
        <v>116</v>
      </c>
      <c r="M2" s="8" t="s">
        <v>117</v>
      </c>
      <c r="N2" s="8" t="s">
        <v>118</v>
      </c>
      <c r="O2" s="8" t="s">
        <v>119</v>
      </c>
      <c r="P2" s="11">
        <v>998</v>
      </c>
      <c r="Q2" s="12">
        <v>44503</v>
      </c>
      <c r="R2" s="13"/>
      <c r="S2" s="12">
        <v>44503</v>
      </c>
      <c r="T2" s="14" t="s">
        <v>120</v>
      </c>
      <c r="U2" s="15">
        <f t="shared" ref="U2:U65" si="0">IFERROR(S2+AC2, "-")</f>
        <v>46328</v>
      </c>
      <c r="V2" s="8">
        <f t="shared" ref="V2:V65" ca="1" si="1">IFERROR(DATEDIF(TODAY(), U2, "m"), "-")</f>
        <v>3</v>
      </c>
      <c r="W2" s="16">
        <v>20000</v>
      </c>
      <c r="X2" s="9" t="s">
        <v>121</v>
      </c>
      <c r="Y2" s="9" t="s">
        <v>112</v>
      </c>
      <c r="Z2" s="9"/>
      <c r="AA2" s="9"/>
      <c r="AB2" s="13"/>
      <c r="AC2" s="8">
        <f t="shared" ref="AC2:AC15" si="2">365*T2</f>
        <v>1825</v>
      </c>
      <c r="AD2" s="8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 t="s">
        <v>122</v>
      </c>
      <c r="AR2" s="9"/>
      <c r="AS2" s="9"/>
      <c r="AT2" s="9" t="s">
        <v>123</v>
      </c>
      <c r="AU2" s="9">
        <v>0</v>
      </c>
      <c r="AV2" s="13"/>
      <c r="AW2" s="13" t="s">
        <v>124</v>
      </c>
      <c r="AX2" s="17">
        <v>44503</v>
      </c>
      <c r="AY2" s="18">
        <v>1153090</v>
      </c>
      <c r="AZ2" s="9"/>
      <c r="BA2" s="9"/>
      <c r="BB2" s="9"/>
      <c r="BC2" s="9"/>
      <c r="BD2" s="9" t="s">
        <v>125</v>
      </c>
      <c r="BE2" s="9" t="s">
        <v>126</v>
      </c>
      <c r="BF2" s="9" t="s">
        <v>127</v>
      </c>
      <c r="BG2" s="9" t="s">
        <v>128</v>
      </c>
      <c r="BH2" s="9" t="s">
        <v>129</v>
      </c>
      <c r="BI2" s="9" t="s">
        <v>130</v>
      </c>
      <c r="BJ2" s="8" t="s">
        <v>131</v>
      </c>
      <c r="BK2" s="9" t="s">
        <v>132</v>
      </c>
      <c r="BL2" s="9" t="s">
        <v>133</v>
      </c>
      <c r="BM2" s="9" t="s">
        <v>133</v>
      </c>
      <c r="BN2" s="9" t="s">
        <v>134</v>
      </c>
      <c r="BO2" s="9" t="s">
        <v>134</v>
      </c>
      <c r="BP2" s="9" t="s">
        <v>135</v>
      </c>
      <c r="BQ2" s="8"/>
      <c r="BR2" s="9">
        <f t="shared" ref="BR2:BR14" si="3">IF(P2&lt;=1600,P2*18,IF(P2&lt;=2500,P2*19,IF(P2&gt;2500,P2*24,20000)))</f>
        <v>17964</v>
      </c>
      <c r="BS2" s="8" t="s">
        <v>136</v>
      </c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 t="s">
        <v>137</v>
      </c>
      <c r="DJ2" s="19"/>
      <c r="DK2" s="19"/>
      <c r="DL2" s="19"/>
      <c r="DM2" s="19"/>
      <c r="DN2" s="19"/>
      <c r="DO2" s="19"/>
      <c r="DP2" s="19"/>
    </row>
    <row r="3" spans="1:120">
      <c r="A3" s="8">
        <v>2</v>
      </c>
      <c r="B3" s="8" t="s">
        <v>138</v>
      </c>
      <c r="C3" s="8" t="s">
        <v>110</v>
      </c>
      <c r="D3" s="8" t="s">
        <v>111</v>
      </c>
      <c r="E3" s="8" t="s">
        <v>110</v>
      </c>
      <c r="F3" s="8" t="s">
        <v>112</v>
      </c>
      <c r="G3" s="8" t="s">
        <v>139</v>
      </c>
      <c r="H3" s="8" t="s">
        <v>140</v>
      </c>
      <c r="I3" s="9">
        <f>35020000+530000</f>
        <v>35550000</v>
      </c>
      <c r="J3" s="8">
        <v>2026</v>
      </c>
      <c r="K3" s="10" t="s">
        <v>141</v>
      </c>
      <c r="L3" s="10" t="s">
        <v>116</v>
      </c>
      <c r="M3" s="8" t="s">
        <v>142</v>
      </c>
      <c r="N3" s="8" t="s">
        <v>143</v>
      </c>
      <c r="O3" s="8" t="s">
        <v>144</v>
      </c>
      <c r="P3" s="11">
        <v>1999</v>
      </c>
      <c r="Q3" s="12">
        <v>45995</v>
      </c>
      <c r="R3" s="13"/>
      <c r="S3" s="12">
        <v>45995</v>
      </c>
      <c r="T3" s="14" t="s">
        <v>120</v>
      </c>
      <c r="U3" s="15">
        <f t="shared" si="0"/>
        <v>47820</v>
      </c>
      <c r="V3" s="8">
        <f t="shared" ca="1" si="1"/>
        <v>52</v>
      </c>
      <c r="W3" s="16">
        <v>20000</v>
      </c>
      <c r="X3" s="9" t="s">
        <v>121</v>
      </c>
      <c r="Y3" s="9" t="s">
        <v>112</v>
      </c>
      <c r="Z3" s="9"/>
      <c r="AA3" s="9"/>
      <c r="AB3" s="13"/>
      <c r="AC3" s="8">
        <f t="shared" si="2"/>
        <v>1825</v>
      </c>
      <c r="AD3" s="8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 t="s">
        <v>145</v>
      </c>
      <c r="AR3" s="9">
        <v>190000</v>
      </c>
      <c r="AS3" s="9"/>
      <c r="AT3" s="20" t="s">
        <v>146</v>
      </c>
      <c r="AU3" s="18"/>
      <c r="AV3" s="13"/>
      <c r="AW3" s="13"/>
      <c r="AX3" s="17"/>
      <c r="AY3" s="18"/>
      <c r="AZ3" s="9"/>
      <c r="BA3" s="9"/>
      <c r="BB3" s="9"/>
      <c r="BC3" s="9"/>
      <c r="BD3" s="9" t="s">
        <v>125</v>
      </c>
      <c r="BE3" s="9" t="s">
        <v>126</v>
      </c>
      <c r="BF3" s="9" t="s">
        <v>127</v>
      </c>
      <c r="BG3" s="9" t="s">
        <v>128</v>
      </c>
      <c r="BH3" s="9" t="s">
        <v>129</v>
      </c>
      <c r="BI3" s="9" t="s">
        <v>130</v>
      </c>
      <c r="BJ3" s="8" t="s">
        <v>131</v>
      </c>
      <c r="BK3" s="9" t="s">
        <v>132</v>
      </c>
      <c r="BL3" s="9" t="s">
        <v>133</v>
      </c>
      <c r="BM3" s="9" t="s">
        <v>133</v>
      </c>
      <c r="BN3" s="9" t="s">
        <v>134</v>
      </c>
      <c r="BO3" s="9" t="s">
        <v>134</v>
      </c>
      <c r="BP3" s="9"/>
      <c r="BQ3" s="8"/>
      <c r="BR3" s="9">
        <f t="shared" si="3"/>
        <v>37981</v>
      </c>
      <c r="BS3" s="8" t="s">
        <v>136</v>
      </c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 t="s">
        <v>137</v>
      </c>
      <c r="DJ3" s="19"/>
      <c r="DK3" s="19"/>
      <c r="DL3" s="19"/>
      <c r="DM3" s="19"/>
      <c r="DN3" s="19"/>
      <c r="DO3" s="19"/>
      <c r="DP3" s="19"/>
    </row>
    <row r="4" spans="1:120">
      <c r="A4" s="8">
        <v>3</v>
      </c>
      <c r="B4" s="8" t="s">
        <v>147</v>
      </c>
      <c r="C4" s="8" t="s">
        <v>110</v>
      </c>
      <c r="D4" s="8" t="s">
        <v>111</v>
      </c>
      <c r="E4" s="8" t="s">
        <v>110</v>
      </c>
      <c r="F4" s="8" t="s">
        <v>112</v>
      </c>
      <c r="G4" s="8" t="s">
        <v>139</v>
      </c>
      <c r="H4" s="8" t="s">
        <v>140</v>
      </c>
      <c r="I4" s="9">
        <f>35020000+530000</f>
        <v>35550000</v>
      </c>
      <c r="J4" s="8">
        <v>2026</v>
      </c>
      <c r="K4" s="10" t="s">
        <v>141</v>
      </c>
      <c r="L4" s="10" t="s">
        <v>116</v>
      </c>
      <c r="M4" s="8" t="s">
        <v>148</v>
      </c>
      <c r="N4" s="8" t="s">
        <v>149</v>
      </c>
      <c r="O4" s="8" t="s">
        <v>144</v>
      </c>
      <c r="P4" s="11">
        <v>1999</v>
      </c>
      <c r="Q4" s="12">
        <v>46017</v>
      </c>
      <c r="R4" s="13"/>
      <c r="S4" s="12">
        <v>46017</v>
      </c>
      <c r="T4" s="14" t="s">
        <v>120</v>
      </c>
      <c r="U4" s="15">
        <f t="shared" si="0"/>
        <v>47842</v>
      </c>
      <c r="V4" s="8">
        <f t="shared" ca="1" si="1"/>
        <v>53</v>
      </c>
      <c r="W4" s="16">
        <v>20000</v>
      </c>
      <c r="X4" s="9" t="s">
        <v>121</v>
      </c>
      <c r="Y4" s="9" t="s">
        <v>112</v>
      </c>
      <c r="Z4" s="9"/>
      <c r="AA4" s="9"/>
      <c r="AB4" s="13"/>
      <c r="AC4" s="8">
        <f t="shared" si="2"/>
        <v>1825</v>
      </c>
      <c r="AD4" s="8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 t="s">
        <v>145</v>
      </c>
      <c r="AR4" s="9">
        <v>190000</v>
      </c>
      <c r="AS4" s="9"/>
      <c r="AT4" s="20" t="s">
        <v>146</v>
      </c>
      <c r="AU4" s="18"/>
      <c r="AV4" s="13"/>
      <c r="AW4" s="13"/>
      <c r="AX4" s="17"/>
      <c r="AY4" s="18"/>
      <c r="AZ4" s="9"/>
      <c r="BA4" s="9"/>
      <c r="BB4" s="9"/>
      <c r="BC4" s="9"/>
      <c r="BD4" s="9" t="s">
        <v>125</v>
      </c>
      <c r="BE4" s="9" t="s">
        <v>126</v>
      </c>
      <c r="BF4" s="9" t="s">
        <v>127</v>
      </c>
      <c r="BG4" s="9" t="s">
        <v>128</v>
      </c>
      <c r="BH4" s="9" t="s">
        <v>129</v>
      </c>
      <c r="BI4" s="9" t="s">
        <v>130</v>
      </c>
      <c r="BJ4" s="8" t="s">
        <v>131</v>
      </c>
      <c r="BK4" s="9" t="s">
        <v>132</v>
      </c>
      <c r="BL4" s="9" t="s">
        <v>133</v>
      </c>
      <c r="BM4" s="9" t="s">
        <v>133</v>
      </c>
      <c r="BN4" s="9" t="s">
        <v>134</v>
      </c>
      <c r="BO4" s="9" t="s">
        <v>134</v>
      </c>
      <c r="BP4" s="9"/>
      <c r="BQ4" s="8"/>
      <c r="BR4" s="9">
        <f t="shared" si="3"/>
        <v>37981</v>
      </c>
      <c r="BS4" s="8" t="s">
        <v>136</v>
      </c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 t="s">
        <v>137</v>
      </c>
      <c r="DJ4" s="19"/>
      <c r="DK4" s="19"/>
      <c r="DL4" s="19"/>
      <c r="DM4" s="19"/>
      <c r="DN4" s="19"/>
      <c r="DO4" s="19"/>
      <c r="DP4" s="19"/>
    </row>
    <row r="5" spans="1:120">
      <c r="A5" s="8">
        <v>4</v>
      </c>
      <c r="B5" s="8" t="s">
        <v>150</v>
      </c>
      <c r="C5" s="8" t="s">
        <v>110</v>
      </c>
      <c r="D5" s="8" t="s">
        <v>111</v>
      </c>
      <c r="E5" s="8" t="s">
        <v>110</v>
      </c>
      <c r="F5" s="8" t="s">
        <v>151</v>
      </c>
      <c r="G5" s="8" t="s">
        <v>152</v>
      </c>
      <c r="H5" s="8" t="s">
        <v>153</v>
      </c>
      <c r="I5" s="9">
        <f>36250000+3860000</f>
        <v>40110000</v>
      </c>
      <c r="J5" s="8">
        <v>2024</v>
      </c>
      <c r="K5" s="10" t="s">
        <v>154</v>
      </c>
      <c r="L5" s="10" t="s">
        <v>116</v>
      </c>
      <c r="M5" s="8" t="s">
        <v>155</v>
      </c>
      <c r="N5" s="8" t="s">
        <v>156</v>
      </c>
      <c r="O5" s="8" t="s">
        <v>119</v>
      </c>
      <c r="P5" s="11">
        <v>2497</v>
      </c>
      <c r="Q5" s="12">
        <v>45490</v>
      </c>
      <c r="R5" s="13"/>
      <c r="S5" s="12">
        <v>45490</v>
      </c>
      <c r="T5" s="14" t="s">
        <v>120</v>
      </c>
      <c r="U5" s="15">
        <f t="shared" si="0"/>
        <v>47315</v>
      </c>
      <c r="V5" s="8">
        <f t="shared" ca="1" si="1"/>
        <v>35</v>
      </c>
      <c r="W5" s="16">
        <v>20000</v>
      </c>
      <c r="X5" s="8" t="s">
        <v>157</v>
      </c>
      <c r="Y5" s="8" t="s">
        <v>151</v>
      </c>
      <c r="Z5" s="9"/>
      <c r="AA5" s="9"/>
      <c r="AB5" s="13"/>
      <c r="AC5" s="8">
        <f t="shared" si="2"/>
        <v>1825</v>
      </c>
      <c r="AD5" s="8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 t="s">
        <v>145</v>
      </c>
      <c r="AR5" s="9"/>
      <c r="AS5" s="9"/>
      <c r="AT5" s="20" t="s">
        <v>146</v>
      </c>
      <c r="AU5" s="18">
        <v>1565870</v>
      </c>
      <c r="AV5" s="13"/>
      <c r="AW5" s="13" t="s">
        <v>158</v>
      </c>
      <c r="AX5" s="17"/>
      <c r="AY5" s="18">
        <f>2239200-807230</f>
        <v>1431970</v>
      </c>
      <c r="AZ5" s="9"/>
      <c r="BA5" s="9"/>
      <c r="BB5" s="9"/>
      <c r="BC5" s="9"/>
      <c r="BD5" s="9" t="s">
        <v>125</v>
      </c>
      <c r="BE5" s="9" t="s">
        <v>126</v>
      </c>
      <c r="BF5" s="9" t="s">
        <v>127</v>
      </c>
      <c r="BG5" s="9" t="s">
        <v>128</v>
      </c>
      <c r="BH5" s="9" t="s">
        <v>129</v>
      </c>
      <c r="BI5" s="9" t="s">
        <v>130</v>
      </c>
      <c r="BJ5" s="8" t="s">
        <v>131</v>
      </c>
      <c r="BK5" s="9" t="s">
        <v>132</v>
      </c>
      <c r="BL5" s="9" t="s">
        <v>133</v>
      </c>
      <c r="BM5" s="9" t="s">
        <v>133</v>
      </c>
      <c r="BN5" s="9" t="s">
        <v>134</v>
      </c>
      <c r="BO5" s="9" t="s">
        <v>134</v>
      </c>
      <c r="BP5" s="9" t="s">
        <v>159</v>
      </c>
      <c r="BQ5" s="8"/>
      <c r="BR5" s="9">
        <f t="shared" si="3"/>
        <v>47443</v>
      </c>
      <c r="BS5" s="8" t="s">
        <v>136</v>
      </c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 t="s">
        <v>137</v>
      </c>
      <c r="DJ5" s="19"/>
      <c r="DK5" s="19"/>
      <c r="DL5" s="19"/>
      <c r="DM5" s="19"/>
      <c r="DN5" s="19"/>
      <c r="DO5" s="19"/>
      <c r="DP5" s="19"/>
    </row>
    <row r="6" spans="1:120">
      <c r="A6" s="8">
        <v>5</v>
      </c>
      <c r="B6" s="8" t="s">
        <v>160</v>
      </c>
      <c r="C6" s="8" t="s">
        <v>110</v>
      </c>
      <c r="D6" s="8" t="s">
        <v>111</v>
      </c>
      <c r="E6" s="8" t="s">
        <v>161</v>
      </c>
      <c r="F6" s="8" t="s">
        <v>112</v>
      </c>
      <c r="G6" s="8" t="s">
        <v>152</v>
      </c>
      <c r="H6" s="8" t="s">
        <v>153</v>
      </c>
      <c r="I6" s="9">
        <f>40880000+3020000</f>
        <v>43900000</v>
      </c>
      <c r="J6" s="8">
        <v>2025</v>
      </c>
      <c r="K6" s="10" t="s">
        <v>154</v>
      </c>
      <c r="L6" s="10" t="s">
        <v>116</v>
      </c>
      <c r="M6" s="8" t="s">
        <v>162</v>
      </c>
      <c r="N6" s="8" t="s">
        <v>163</v>
      </c>
      <c r="O6" s="8" t="s">
        <v>164</v>
      </c>
      <c r="P6" s="11">
        <v>2497</v>
      </c>
      <c r="Q6" s="12">
        <v>45775</v>
      </c>
      <c r="R6" s="13"/>
      <c r="S6" s="12">
        <v>45406</v>
      </c>
      <c r="T6" s="14" t="s">
        <v>120</v>
      </c>
      <c r="U6" s="15">
        <f t="shared" si="0"/>
        <v>47231</v>
      </c>
      <c r="V6" s="8">
        <f t="shared" ca="1" si="1"/>
        <v>33</v>
      </c>
      <c r="W6" s="16">
        <v>20000</v>
      </c>
      <c r="X6" s="9" t="s">
        <v>121</v>
      </c>
      <c r="Y6" s="9" t="s">
        <v>112</v>
      </c>
      <c r="Z6" s="9"/>
      <c r="AA6" s="9"/>
      <c r="AB6" s="13"/>
      <c r="AC6" s="8">
        <f t="shared" si="2"/>
        <v>1825</v>
      </c>
      <c r="AD6" s="8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 t="s">
        <v>165</v>
      </c>
      <c r="AR6" s="9">
        <v>190000</v>
      </c>
      <c r="AS6" s="9"/>
      <c r="AT6" s="20" t="s">
        <v>146</v>
      </c>
      <c r="AU6" s="18">
        <v>1565870</v>
      </c>
      <c r="AV6" s="13"/>
      <c r="AW6" s="13" t="s">
        <v>158</v>
      </c>
      <c r="AX6" s="17">
        <v>250424</v>
      </c>
      <c r="AY6" s="18">
        <f>2239200-807230</f>
        <v>1431970</v>
      </c>
      <c r="AZ6" s="9"/>
      <c r="BA6" s="9"/>
      <c r="BB6" s="9"/>
      <c r="BC6" s="9"/>
      <c r="BD6" s="9" t="s">
        <v>125</v>
      </c>
      <c r="BE6" s="9" t="s">
        <v>126</v>
      </c>
      <c r="BF6" s="9" t="s">
        <v>127</v>
      </c>
      <c r="BG6" s="9" t="s">
        <v>128</v>
      </c>
      <c r="BH6" s="9" t="s">
        <v>129</v>
      </c>
      <c r="BI6" s="9" t="s">
        <v>130</v>
      </c>
      <c r="BJ6" s="8" t="s">
        <v>131</v>
      </c>
      <c r="BK6" s="9" t="s">
        <v>132</v>
      </c>
      <c r="BL6" s="9" t="s">
        <v>133</v>
      </c>
      <c r="BM6" s="9" t="s">
        <v>133</v>
      </c>
      <c r="BN6" s="9" t="s">
        <v>134</v>
      </c>
      <c r="BO6" s="9" t="s">
        <v>134</v>
      </c>
      <c r="BP6" s="9" t="s">
        <v>159</v>
      </c>
      <c r="BQ6" s="8"/>
      <c r="BR6" s="9">
        <f t="shared" si="3"/>
        <v>47443</v>
      </c>
      <c r="BS6" s="8" t="s">
        <v>136</v>
      </c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 t="s">
        <v>137</v>
      </c>
      <c r="DJ6" s="19"/>
      <c r="DK6" s="19"/>
      <c r="DL6" s="19"/>
      <c r="DM6" s="19"/>
      <c r="DN6" s="19"/>
      <c r="DO6" s="19"/>
      <c r="DP6" s="19"/>
    </row>
    <row r="7" spans="1:120">
      <c r="A7" s="8">
        <v>6</v>
      </c>
      <c r="B7" s="8" t="s">
        <v>166</v>
      </c>
      <c r="C7" s="8" t="s">
        <v>110</v>
      </c>
      <c r="D7" s="8" t="s">
        <v>111</v>
      </c>
      <c r="E7" s="8" t="s">
        <v>110</v>
      </c>
      <c r="F7" s="8" t="s">
        <v>112</v>
      </c>
      <c r="G7" s="8" t="s">
        <v>167</v>
      </c>
      <c r="H7" s="8" t="s">
        <v>168</v>
      </c>
      <c r="I7" s="9">
        <f>46370000+2370000</f>
        <v>48740000</v>
      </c>
      <c r="J7" s="8">
        <v>2026</v>
      </c>
      <c r="K7" s="10" t="s">
        <v>169</v>
      </c>
      <c r="L7" s="10" t="s">
        <v>116</v>
      </c>
      <c r="M7" s="8" t="s">
        <v>170</v>
      </c>
      <c r="N7" s="8" t="s">
        <v>171</v>
      </c>
      <c r="O7" s="8" t="s">
        <v>172</v>
      </c>
      <c r="P7" s="11">
        <v>1598</v>
      </c>
      <c r="Q7" s="12">
        <v>46021</v>
      </c>
      <c r="R7" s="13"/>
      <c r="S7" s="12">
        <v>46021</v>
      </c>
      <c r="T7" s="14" t="s">
        <v>120</v>
      </c>
      <c r="U7" s="15">
        <f t="shared" si="0"/>
        <v>47846</v>
      </c>
      <c r="V7" s="8">
        <f t="shared" ca="1" si="1"/>
        <v>53</v>
      </c>
      <c r="W7" s="16">
        <v>20000</v>
      </c>
      <c r="X7" s="9" t="s">
        <v>121</v>
      </c>
      <c r="Y7" s="9" t="s">
        <v>112</v>
      </c>
      <c r="Z7" s="9"/>
      <c r="AA7" s="9"/>
      <c r="AB7" s="13"/>
      <c r="AC7" s="8">
        <f t="shared" si="2"/>
        <v>1825</v>
      </c>
      <c r="AD7" s="8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 t="s">
        <v>165</v>
      </c>
      <c r="AR7" s="9">
        <v>190000</v>
      </c>
      <c r="AS7" s="9"/>
      <c r="AT7" s="20" t="s">
        <v>146</v>
      </c>
      <c r="AU7" s="18"/>
      <c r="AV7" s="13"/>
      <c r="AW7" s="13"/>
      <c r="AX7" s="17"/>
      <c r="AY7" s="18"/>
      <c r="AZ7" s="9"/>
      <c r="BA7" s="9"/>
      <c r="BB7" s="9"/>
      <c r="BC7" s="9"/>
      <c r="BD7" s="9" t="s">
        <v>125</v>
      </c>
      <c r="BE7" s="9" t="s">
        <v>126</v>
      </c>
      <c r="BF7" s="9" t="s">
        <v>127</v>
      </c>
      <c r="BG7" s="9" t="s">
        <v>128</v>
      </c>
      <c r="BH7" s="9" t="s">
        <v>129</v>
      </c>
      <c r="BI7" s="9" t="s">
        <v>130</v>
      </c>
      <c r="BJ7" s="8" t="s">
        <v>131</v>
      </c>
      <c r="BK7" s="9" t="s">
        <v>132</v>
      </c>
      <c r="BL7" s="9" t="s">
        <v>133</v>
      </c>
      <c r="BM7" s="9" t="s">
        <v>133</v>
      </c>
      <c r="BN7" s="9" t="s">
        <v>134</v>
      </c>
      <c r="BO7" s="9" t="s">
        <v>134</v>
      </c>
      <c r="BP7" s="9"/>
      <c r="BQ7" s="8"/>
      <c r="BR7" s="9">
        <f t="shared" si="3"/>
        <v>28764</v>
      </c>
      <c r="BS7" s="8" t="s">
        <v>136</v>
      </c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 t="s">
        <v>137</v>
      </c>
      <c r="DJ7" s="19"/>
      <c r="DK7" s="19"/>
      <c r="DL7" s="19"/>
      <c r="DM7" s="19"/>
      <c r="DN7" s="19"/>
      <c r="DO7" s="19"/>
      <c r="DP7" s="19"/>
    </row>
    <row r="8" spans="1:120">
      <c r="A8" s="8">
        <v>7</v>
      </c>
      <c r="B8" s="8" t="s">
        <v>173</v>
      </c>
      <c r="C8" s="8" t="s">
        <v>110</v>
      </c>
      <c r="D8" s="8" t="s">
        <v>111</v>
      </c>
      <c r="E8" s="8" t="s">
        <v>110</v>
      </c>
      <c r="F8" s="8" t="s">
        <v>112</v>
      </c>
      <c r="G8" s="8" t="s">
        <v>174</v>
      </c>
      <c r="H8" s="8" t="s">
        <v>175</v>
      </c>
      <c r="I8" s="9">
        <v>48890000</v>
      </c>
      <c r="J8" s="8">
        <v>2026</v>
      </c>
      <c r="K8" s="10" t="s">
        <v>176</v>
      </c>
      <c r="L8" s="10" t="s">
        <v>116</v>
      </c>
      <c r="M8" s="8" t="s">
        <v>177</v>
      </c>
      <c r="N8" s="8" t="s">
        <v>178</v>
      </c>
      <c r="O8" s="8" t="s">
        <v>179</v>
      </c>
      <c r="P8" s="11">
        <v>1600</v>
      </c>
      <c r="Q8" s="12">
        <v>45979</v>
      </c>
      <c r="R8" s="13"/>
      <c r="S8" s="12">
        <v>45979</v>
      </c>
      <c r="T8" s="14" t="s">
        <v>120</v>
      </c>
      <c r="U8" s="15">
        <f t="shared" si="0"/>
        <v>47804</v>
      </c>
      <c r="V8" s="8">
        <f t="shared" ca="1" si="1"/>
        <v>51</v>
      </c>
      <c r="W8" s="16">
        <v>20000</v>
      </c>
      <c r="X8" s="9" t="s">
        <v>121</v>
      </c>
      <c r="Y8" s="9" t="s">
        <v>112</v>
      </c>
      <c r="Z8" s="9"/>
      <c r="AA8" s="9"/>
      <c r="AB8" s="13"/>
      <c r="AC8" s="8">
        <f t="shared" si="2"/>
        <v>1825</v>
      </c>
      <c r="AD8" s="8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 t="s">
        <v>145</v>
      </c>
      <c r="AR8" s="9"/>
      <c r="AS8" s="9"/>
      <c r="AT8" s="20" t="s">
        <v>180</v>
      </c>
      <c r="AU8" s="18"/>
      <c r="AV8" s="13"/>
      <c r="AW8" s="13" t="s">
        <v>158</v>
      </c>
      <c r="AX8" s="17"/>
      <c r="AY8" s="18"/>
      <c r="AZ8" s="9"/>
      <c r="BA8" s="9"/>
      <c r="BB8" s="9"/>
      <c r="BC8" s="9"/>
      <c r="BD8" s="9" t="s">
        <v>125</v>
      </c>
      <c r="BE8" s="9" t="s">
        <v>126</v>
      </c>
      <c r="BF8" s="9" t="s">
        <v>127</v>
      </c>
      <c r="BG8" s="9" t="s">
        <v>128</v>
      </c>
      <c r="BH8" s="9" t="s">
        <v>129</v>
      </c>
      <c r="BI8" s="9" t="s">
        <v>130</v>
      </c>
      <c r="BJ8" s="8" t="s">
        <v>131</v>
      </c>
      <c r="BK8" s="9" t="s">
        <v>132</v>
      </c>
      <c r="BL8" s="9" t="s">
        <v>133</v>
      </c>
      <c r="BM8" s="9" t="s">
        <v>133</v>
      </c>
      <c r="BN8" s="9" t="s">
        <v>134</v>
      </c>
      <c r="BO8" s="9" t="s">
        <v>134</v>
      </c>
      <c r="BP8" s="9"/>
      <c r="BQ8" s="8"/>
      <c r="BR8" s="9">
        <f t="shared" si="3"/>
        <v>28800</v>
      </c>
      <c r="BS8" s="8" t="s">
        <v>136</v>
      </c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 t="s">
        <v>137</v>
      </c>
      <c r="DJ8" s="19"/>
      <c r="DK8" s="19"/>
      <c r="DL8" s="19"/>
      <c r="DM8" s="19"/>
      <c r="DN8" s="19"/>
      <c r="DO8" s="19"/>
      <c r="DP8" s="19"/>
    </row>
    <row r="9" spans="1:120">
      <c r="A9" s="8">
        <v>8</v>
      </c>
      <c r="B9" s="8" t="s">
        <v>181</v>
      </c>
      <c r="C9" s="8" t="s">
        <v>110</v>
      </c>
      <c r="D9" s="8" t="s">
        <v>111</v>
      </c>
      <c r="E9" s="8" t="s">
        <v>110</v>
      </c>
      <c r="F9" s="8" t="s">
        <v>112</v>
      </c>
      <c r="G9" s="8" t="s">
        <v>182</v>
      </c>
      <c r="H9" s="8" t="s">
        <v>183</v>
      </c>
      <c r="I9" s="9">
        <v>71450000</v>
      </c>
      <c r="J9" s="8">
        <v>2023</v>
      </c>
      <c r="K9" s="10" t="s">
        <v>184</v>
      </c>
      <c r="L9" s="10" t="s">
        <v>116</v>
      </c>
      <c r="M9" s="8" t="s">
        <v>185</v>
      </c>
      <c r="N9" s="8" t="s">
        <v>186</v>
      </c>
      <c r="O9" s="8" t="s">
        <v>119</v>
      </c>
      <c r="P9" s="11">
        <v>3497</v>
      </c>
      <c r="Q9" s="12">
        <v>44889</v>
      </c>
      <c r="R9" s="13"/>
      <c r="S9" s="12">
        <v>44889</v>
      </c>
      <c r="T9" s="14" t="s">
        <v>120</v>
      </c>
      <c r="U9" s="15">
        <f t="shared" si="0"/>
        <v>46714</v>
      </c>
      <c r="V9" s="8">
        <f t="shared" ca="1" si="1"/>
        <v>16</v>
      </c>
      <c r="W9" s="16">
        <v>20000</v>
      </c>
      <c r="X9" s="9" t="s">
        <v>121</v>
      </c>
      <c r="Y9" s="9" t="s">
        <v>112</v>
      </c>
      <c r="Z9" s="9"/>
      <c r="AA9" s="9"/>
      <c r="AB9" s="13"/>
      <c r="AC9" s="8">
        <f t="shared" si="2"/>
        <v>1825</v>
      </c>
      <c r="AD9" s="8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 t="s">
        <v>145</v>
      </c>
      <c r="AR9" s="9"/>
      <c r="AS9" s="9"/>
      <c r="AT9" s="20" t="s">
        <v>180</v>
      </c>
      <c r="AU9" s="18">
        <v>2936914</v>
      </c>
      <c r="AV9" s="13"/>
      <c r="AW9" s="13" t="s">
        <v>158</v>
      </c>
      <c r="AX9" s="17"/>
      <c r="AY9" s="18">
        <v>1198330</v>
      </c>
      <c r="AZ9" s="9"/>
      <c r="BA9" s="9"/>
      <c r="BB9" s="9"/>
      <c r="BC9" s="9"/>
      <c r="BD9" s="9" t="s">
        <v>125</v>
      </c>
      <c r="BE9" s="9" t="s">
        <v>126</v>
      </c>
      <c r="BF9" s="9" t="s">
        <v>187</v>
      </c>
      <c r="BG9" s="9" t="s">
        <v>188</v>
      </c>
      <c r="BH9" s="9" t="s">
        <v>129</v>
      </c>
      <c r="BI9" s="9" t="s">
        <v>189</v>
      </c>
      <c r="BJ9" s="8" t="s">
        <v>131</v>
      </c>
      <c r="BK9" s="9" t="s">
        <v>132</v>
      </c>
      <c r="BL9" s="9" t="s">
        <v>133</v>
      </c>
      <c r="BM9" s="9" t="s">
        <v>133</v>
      </c>
      <c r="BN9" s="9" t="s">
        <v>134</v>
      </c>
      <c r="BO9" s="9" t="s">
        <v>134</v>
      </c>
      <c r="BP9" s="9"/>
      <c r="BQ9" s="8"/>
      <c r="BR9" s="9">
        <f t="shared" si="3"/>
        <v>83928</v>
      </c>
      <c r="BS9" s="8" t="s">
        <v>136</v>
      </c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 t="s">
        <v>137</v>
      </c>
      <c r="DJ9" s="19"/>
      <c r="DK9" s="19"/>
      <c r="DL9" s="19"/>
      <c r="DM9" s="19"/>
      <c r="DN9" s="19"/>
      <c r="DO9" s="19"/>
      <c r="DP9" s="19"/>
    </row>
    <row r="10" spans="1:120">
      <c r="A10" s="8">
        <v>9</v>
      </c>
      <c r="B10" s="8" t="s">
        <v>190</v>
      </c>
      <c r="C10" s="8" t="s">
        <v>110</v>
      </c>
      <c r="D10" s="8" t="s">
        <v>111</v>
      </c>
      <c r="E10" s="8" t="s">
        <v>110</v>
      </c>
      <c r="F10" s="8" t="s">
        <v>112</v>
      </c>
      <c r="G10" s="8" t="s">
        <v>191</v>
      </c>
      <c r="H10" s="8" t="s">
        <v>192</v>
      </c>
      <c r="I10" s="9">
        <f>73450000+5950000</f>
        <v>79400000</v>
      </c>
      <c r="J10" s="8">
        <v>2026</v>
      </c>
      <c r="K10" s="10" t="s">
        <v>193</v>
      </c>
      <c r="L10" s="10" t="s">
        <v>116</v>
      </c>
      <c r="M10" s="21" t="s">
        <v>194</v>
      </c>
      <c r="N10" s="21" t="s">
        <v>195</v>
      </c>
      <c r="O10" s="8" t="s">
        <v>196</v>
      </c>
      <c r="P10" s="11">
        <v>2499</v>
      </c>
      <c r="Q10" s="12">
        <v>45995</v>
      </c>
      <c r="R10" s="13"/>
      <c r="S10" s="12">
        <v>45995</v>
      </c>
      <c r="T10" s="14" t="s">
        <v>120</v>
      </c>
      <c r="U10" s="15">
        <f t="shared" si="0"/>
        <v>47820</v>
      </c>
      <c r="V10" s="8">
        <f t="shared" ca="1" si="1"/>
        <v>52</v>
      </c>
      <c r="W10" s="16">
        <v>20000</v>
      </c>
      <c r="X10" s="9" t="s">
        <v>121</v>
      </c>
      <c r="Y10" s="9" t="s">
        <v>112</v>
      </c>
      <c r="Z10" s="9"/>
      <c r="AA10" s="9"/>
      <c r="AB10" s="13"/>
      <c r="AC10" s="8">
        <f t="shared" si="2"/>
        <v>1825</v>
      </c>
      <c r="AD10" s="8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 t="s">
        <v>165</v>
      </c>
      <c r="AR10" s="9">
        <v>190000</v>
      </c>
      <c r="AS10" s="9"/>
      <c r="AT10" s="20" t="s">
        <v>146</v>
      </c>
      <c r="AU10" s="18"/>
      <c r="AV10" s="13"/>
      <c r="AW10" s="13"/>
      <c r="AX10" s="17"/>
      <c r="AY10" s="18"/>
      <c r="AZ10" s="9"/>
      <c r="BA10" s="9"/>
      <c r="BB10" s="9"/>
      <c r="BC10" s="9"/>
      <c r="BD10" s="9" t="s">
        <v>125</v>
      </c>
      <c r="BE10" s="9" t="s">
        <v>126</v>
      </c>
      <c r="BF10" s="9" t="s">
        <v>187</v>
      </c>
      <c r="BG10" s="9" t="s">
        <v>188</v>
      </c>
      <c r="BH10" s="9" t="s">
        <v>129</v>
      </c>
      <c r="BI10" s="9" t="s">
        <v>189</v>
      </c>
      <c r="BJ10" s="8" t="s">
        <v>131</v>
      </c>
      <c r="BK10" s="9" t="s">
        <v>132</v>
      </c>
      <c r="BL10" s="9" t="s">
        <v>133</v>
      </c>
      <c r="BM10" s="9" t="s">
        <v>133</v>
      </c>
      <c r="BN10" s="9" t="s">
        <v>134</v>
      </c>
      <c r="BO10" s="9" t="s">
        <v>134</v>
      </c>
      <c r="BP10" s="9"/>
      <c r="BQ10" s="8"/>
      <c r="BR10" s="9">
        <f t="shared" si="3"/>
        <v>47481</v>
      </c>
      <c r="BS10" s="8" t="s">
        <v>136</v>
      </c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 t="s">
        <v>137</v>
      </c>
      <c r="DJ10" s="19"/>
      <c r="DK10" s="19"/>
      <c r="DL10" s="19"/>
      <c r="DM10" s="19"/>
      <c r="DN10" s="19"/>
      <c r="DO10" s="19"/>
      <c r="DP10" s="19"/>
    </row>
    <row r="11" spans="1:120">
      <c r="A11" s="8">
        <v>10</v>
      </c>
      <c r="B11" s="8" t="s">
        <v>197</v>
      </c>
      <c r="C11" s="8" t="s">
        <v>110</v>
      </c>
      <c r="D11" s="8" t="s">
        <v>111</v>
      </c>
      <c r="E11" s="8" t="s">
        <v>110</v>
      </c>
      <c r="F11" s="8" t="s">
        <v>198</v>
      </c>
      <c r="G11" s="8" t="s">
        <v>199</v>
      </c>
      <c r="H11" s="8" t="s">
        <v>200</v>
      </c>
      <c r="I11" s="9">
        <v>88000000</v>
      </c>
      <c r="J11" s="8">
        <v>2022</v>
      </c>
      <c r="K11" s="10" t="s">
        <v>201</v>
      </c>
      <c r="L11" s="10" t="s">
        <v>116</v>
      </c>
      <c r="M11" s="21" t="s">
        <v>202</v>
      </c>
      <c r="N11" s="21" t="s">
        <v>203</v>
      </c>
      <c r="O11" s="8" t="s">
        <v>119</v>
      </c>
      <c r="P11" s="11">
        <v>1991</v>
      </c>
      <c r="Q11" s="12">
        <v>44546</v>
      </c>
      <c r="R11" s="13"/>
      <c r="S11" s="12">
        <v>44546</v>
      </c>
      <c r="T11" s="14" t="s">
        <v>120</v>
      </c>
      <c r="U11" s="15">
        <f t="shared" si="0"/>
        <v>46371</v>
      </c>
      <c r="V11" s="8">
        <f t="shared" ca="1" si="1"/>
        <v>4</v>
      </c>
      <c r="W11" s="16">
        <v>20000</v>
      </c>
      <c r="X11" s="8" t="s">
        <v>204</v>
      </c>
      <c r="Y11" s="8" t="s">
        <v>198</v>
      </c>
      <c r="Z11" s="9"/>
      <c r="AA11" s="9"/>
      <c r="AB11" s="13"/>
      <c r="AC11" s="8">
        <f t="shared" si="2"/>
        <v>1825</v>
      </c>
      <c r="AD11" s="8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 t="s">
        <v>205</v>
      </c>
      <c r="AR11" s="9"/>
      <c r="AS11" s="9"/>
      <c r="AT11" s="9" t="s">
        <v>206</v>
      </c>
      <c r="AU11" s="18">
        <v>3338644</v>
      </c>
      <c r="AV11" s="13"/>
      <c r="AW11" s="13" t="s">
        <v>124</v>
      </c>
      <c r="AX11" s="17">
        <v>44546</v>
      </c>
      <c r="AY11" s="18">
        <f>3921450-793880</f>
        <v>3127570</v>
      </c>
      <c r="AZ11" s="18">
        <v>1112380</v>
      </c>
      <c r="BA11" s="9"/>
      <c r="BB11" s="9"/>
      <c r="BC11" s="9"/>
      <c r="BD11" s="9" t="s">
        <v>125</v>
      </c>
      <c r="BE11" s="9" t="s">
        <v>126</v>
      </c>
      <c r="BF11" s="9" t="s">
        <v>187</v>
      </c>
      <c r="BG11" s="9" t="s">
        <v>188</v>
      </c>
      <c r="BH11" s="9" t="s">
        <v>129</v>
      </c>
      <c r="BI11" s="9" t="s">
        <v>189</v>
      </c>
      <c r="BJ11" s="8" t="s">
        <v>131</v>
      </c>
      <c r="BK11" s="9" t="s">
        <v>132</v>
      </c>
      <c r="BL11" s="9" t="s">
        <v>133</v>
      </c>
      <c r="BM11" s="9" t="s">
        <v>133</v>
      </c>
      <c r="BN11" s="9" t="s">
        <v>134</v>
      </c>
      <c r="BO11" s="9" t="s">
        <v>134</v>
      </c>
      <c r="BP11" s="9"/>
      <c r="BQ11" s="8"/>
      <c r="BR11" s="9">
        <f t="shared" si="3"/>
        <v>37829</v>
      </c>
      <c r="BS11" s="8" t="s">
        <v>136</v>
      </c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 t="s">
        <v>137</v>
      </c>
      <c r="DJ11" s="19"/>
      <c r="DK11" s="19"/>
      <c r="DL11" s="19"/>
      <c r="DM11" s="19"/>
      <c r="DN11" s="19"/>
      <c r="DO11" s="19"/>
      <c r="DP11" s="19"/>
    </row>
    <row r="12" spans="1:120">
      <c r="A12" s="8">
        <v>11</v>
      </c>
      <c r="B12" s="8" t="s">
        <v>207</v>
      </c>
      <c r="C12" s="8" t="s">
        <v>208</v>
      </c>
      <c r="D12" s="8" t="s">
        <v>111</v>
      </c>
      <c r="E12" s="8" t="s">
        <v>209</v>
      </c>
      <c r="F12" s="8" t="s">
        <v>210</v>
      </c>
      <c r="G12" s="8" t="s">
        <v>191</v>
      </c>
      <c r="H12" s="8" t="s">
        <v>211</v>
      </c>
      <c r="I12" s="9">
        <v>97440000</v>
      </c>
      <c r="J12" s="8">
        <v>2025</v>
      </c>
      <c r="K12" s="10" t="s">
        <v>212</v>
      </c>
      <c r="L12" s="10" t="s">
        <v>116</v>
      </c>
      <c r="M12" s="8" t="s">
        <v>213</v>
      </c>
      <c r="N12" s="8" t="s">
        <v>214</v>
      </c>
      <c r="O12" s="8" t="s">
        <v>215</v>
      </c>
      <c r="P12" s="11">
        <v>3470</v>
      </c>
      <c r="Q12" s="12">
        <v>45827</v>
      </c>
      <c r="R12" s="13"/>
      <c r="S12" s="12">
        <v>45827</v>
      </c>
      <c r="T12" s="14" t="s">
        <v>120</v>
      </c>
      <c r="U12" s="15">
        <f t="shared" si="0"/>
        <v>47652</v>
      </c>
      <c r="V12" s="8">
        <f t="shared" ca="1" si="1"/>
        <v>46</v>
      </c>
      <c r="W12" s="16">
        <v>30000</v>
      </c>
      <c r="X12" s="8" t="s">
        <v>216</v>
      </c>
      <c r="Y12" s="8" t="s">
        <v>217</v>
      </c>
      <c r="Z12" s="9"/>
      <c r="AA12" s="9"/>
      <c r="AB12" s="13"/>
      <c r="AC12" s="8">
        <f t="shared" si="2"/>
        <v>1825</v>
      </c>
      <c r="AD12" s="8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 t="s">
        <v>145</v>
      </c>
      <c r="AR12" s="9">
        <v>190000</v>
      </c>
      <c r="AS12" s="9"/>
      <c r="AT12" s="20" t="s">
        <v>146</v>
      </c>
      <c r="AU12" s="18"/>
      <c r="AV12" s="13"/>
      <c r="AW12" s="13" t="s">
        <v>158</v>
      </c>
      <c r="AX12" s="17"/>
      <c r="AY12" s="18"/>
      <c r="AZ12" s="9"/>
      <c r="BA12" s="9"/>
      <c r="BB12" s="9"/>
      <c r="BC12" s="9"/>
      <c r="BD12" s="9" t="s">
        <v>125</v>
      </c>
      <c r="BE12" s="9" t="s">
        <v>126</v>
      </c>
      <c r="BF12" s="9" t="s">
        <v>187</v>
      </c>
      <c r="BG12" s="9" t="s">
        <v>188</v>
      </c>
      <c r="BH12" s="9" t="s">
        <v>129</v>
      </c>
      <c r="BI12" s="9" t="s">
        <v>189</v>
      </c>
      <c r="BJ12" s="8" t="s">
        <v>131</v>
      </c>
      <c r="BK12" s="9" t="s">
        <v>132</v>
      </c>
      <c r="BL12" s="9" t="s">
        <v>133</v>
      </c>
      <c r="BM12" s="9" t="s">
        <v>133</v>
      </c>
      <c r="BN12" s="9" t="s">
        <v>134</v>
      </c>
      <c r="BO12" s="9" t="s">
        <v>134</v>
      </c>
      <c r="BP12" s="9"/>
      <c r="BQ12" s="8"/>
      <c r="BR12" s="9">
        <f t="shared" si="3"/>
        <v>83280</v>
      </c>
      <c r="BS12" s="8" t="s">
        <v>136</v>
      </c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 t="s">
        <v>137</v>
      </c>
      <c r="DJ12" s="19"/>
      <c r="DK12" s="19"/>
      <c r="DL12" s="19"/>
      <c r="DM12" s="19"/>
      <c r="DN12" s="19"/>
      <c r="DO12" s="19"/>
      <c r="DP12" s="19"/>
    </row>
    <row r="13" spans="1:120">
      <c r="A13" s="8">
        <v>12</v>
      </c>
      <c r="B13" s="8" t="s">
        <v>218</v>
      </c>
      <c r="C13" s="8" t="s">
        <v>110</v>
      </c>
      <c r="D13" s="8" t="s">
        <v>111</v>
      </c>
      <c r="E13" s="8" t="s">
        <v>110</v>
      </c>
      <c r="F13" s="8" t="s">
        <v>112</v>
      </c>
      <c r="G13" s="22" t="s">
        <v>219</v>
      </c>
      <c r="H13" s="8" t="s">
        <v>220</v>
      </c>
      <c r="I13" s="9">
        <v>111850000</v>
      </c>
      <c r="J13" s="8">
        <v>2023</v>
      </c>
      <c r="K13" s="22" t="s">
        <v>221</v>
      </c>
      <c r="L13" s="22" t="s">
        <v>116</v>
      </c>
      <c r="M13" s="22" t="s">
        <v>222</v>
      </c>
      <c r="N13" s="8" t="s">
        <v>223</v>
      </c>
      <c r="O13" s="8" t="s">
        <v>119</v>
      </c>
      <c r="P13" s="11">
        <v>2999</v>
      </c>
      <c r="Q13" s="12">
        <v>45229</v>
      </c>
      <c r="R13" s="13"/>
      <c r="S13" s="12">
        <v>45229</v>
      </c>
      <c r="T13" s="14" t="s">
        <v>120</v>
      </c>
      <c r="U13" s="15">
        <f t="shared" si="0"/>
        <v>47054</v>
      </c>
      <c r="V13" s="8">
        <f t="shared" ca="1" si="1"/>
        <v>27</v>
      </c>
      <c r="W13" s="16">
        <v>20000</v>
      </c>
      <c r="X13" s="9" t="s">
        <v>121</v>
      </c>
      <c r="Y13" s="9" t="s">
        <v>112</v>
      </c>
      <c r="Z13" s="9"/>
      <c r="AA13" s="9"/>
      <c r="AB13" s="13"/>
      <c r="AC13" s="8">
        <f t="shared" si="2"/>
        <v>1825</v>
      </c>
      <c r="AD13" s="8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 t="s">
        <v>205</v>
      </c>
      <c r="AR13" s="20" t="s">
        <v>119</v>
      </c>
      <c r="AS13" s="9"/>
      <c r="AT13" s="20" t="s">
        <v>180</v>
      </c>
      <c r="AU13" s="20" t="s">
        <v>119</v>
      </c>
      <c r="AV13" s="20"/>
      <c r="AW13" s="20" t="s">
        <v>158</v>
      </c>
      <c r="AX13" s="17" t="s">
        <v>119</v>
      </c>
      <c r="AY13" s="20" t="s">
        <v>119</v>
      </c>
      <c r="AZ13" s="20" t="s">
        <v>119</v>
      </c>
      <c r="BA13" s="20" t="s">
        <v>119</v>
      </c>
      <c r="BB13" s="20" t="s">
        <v>119</v>
      </c>
      <c r="BC13" s="9"/>
      <c r="BD13" s="9" t="s">
        <v>125</v>
      </c>
      <c r="BE13" s="9" t="s">
        <v>126</v>
      </c>
      <c r="BF13" s="9" t="s">
        <v>187</v>
      </c>
      <c r="BG13" s="9" t="s">
        <v>188</v>
      </c>
      <c r="BH13" s="9" t="s">
        <v>129</v>
      </c>
      <c r="BI13" s="13" t="s">
        <v>119</v>
      </c>
      <c r="BJ13" s="8" t="s">
        <v>131</v>
      </c>
      <c r="BK13" s="9" t="s">
        <v>119</v>
      </c>
      <c r="BL13" s="9" t="s">
        <v>133</v>
      </c>
      <c r="BM13" s="9" t="s">
        <v>133</v>
      </c>
      <c r="BN13" s="9" t="s">
        <v>119</v>
      </c>
      <c r="BO13" s="20" t="s">
        <v>119</v>
      </c>
      <c r="BP13" s="20" t="s">
        <v>119</v>
      </c>
      <c r="BQ13" s="22"/>
      <c r="BR13" s="9">
        <f t="shared" si="3"/>
        <v>71976</v>
      </c>
      <c r="BS13" s="22" t="s">
        <v>136</v>
      </c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 t="s">
        <v>137</v>
      </c>
      <c r="DJ13" s="19"/>
      <c r="DK13" s="19"/>
      <c r="DL13" s="19"/>
      <c r="DM13" s="19"/>
      <c r="DN13" s="19"/>
      <c r="DO13" s="19"/>
      <c r="DP13" s="19"/>
    </row>
    <row r="14" spans="1:120">
      <c r="A14" s="8">
        <v>13</v>
      </c>
      <c r="B14" s="8" t="s">
        <v>224</v>
      </c>
      <c r="C14" s="8" t="s">
        <v>110</v>
      </c>
      <c r="D14" s="8" t="s">
        <v>111</v>
      </c>
      <c r="E14" s="8" t="s">
        <v>225</v>
      </c>
      <c r="F14" s="8" t="s">
        <v>112</v>
      </c>
      <c r="G14" s="8" t="s">
        <v>226</v>
      </c>
      <c r="H14" s="8" t="s">
        <v>227</v>
      </c>
      <c r="I14" s="9">
        <v>160600000</v>
      </c>
      <c r="J14" s="8">
        <v>2022</v>
      </c>
      <c r="K14" s="10" t="s">
        <v>228</v>
      </c>
      <c r="L14" s="10" t="s">
        <v>229</v>
      </c>
      <c r="M14" s="8" t="s">
        <v>230</v>
      </c>
      <c r="N14" s="8" t="s">
        <v>231</v>
      </c>
      <c r="O14" s="8" t="s">
        <v>119</v>
      </c>
      <c r="P14" s="11">
        <v>2999</v>
      </c>
      <c r="Q14" s="12">
        <v>44557</v>
      </c>
      <c r="R14" s="13"/>
      <c r="S14" s="12">
        <v>44557</v>
      </c>
      <c r="T14" s="14" t="s">
        <v>120</v>
      </c>
      <c r="U14" s="15">
        <f t="shared" si="0"/>
        <v>46382</v>
      </c>
      <c r="V14" s="8">
        <f t="shared" ca="1" si="1"/>
        <v>5</v>
      </c>
      <c r="W14" s="16">
        <v>20000</v>
      </c>
      <c r="X14" s="9" t="s">
        <v>121</v>
      </c>
      <c r="Y14" s="9" t="s">
        <v>112</v>
      </c>
      <c r="Z14" s="9"/>
      <c r="AA14" s="9"/>
      <c r="AB14" s="13"/>
      <c r="AC14" s="8">
        <f t="shared" si="2"/>
        <v>1825</v>
      </c>
      <c r="AD14" s="8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 t="s">
        <v>205</v>
      </c>
      <c r="AR14" s="9">
        <v>0</v>
      </c>
      <c r="AS14" s="9"/>
      <c r="AT14" s="20">
        <v>0</v>
      </c>
      <c r="AU14" s="18">
        <v>0</v>
      </c>
      <c r="AV14" s="13"/>
      <c r="AW14" s="13" t="s">
        <v>232</v>
      </c>
      <c r="AX14" s="17"/>
      <c r="AY14" s="18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8" t="s">
        <v>131</v>
      </c>
      <c r="BK14" s="9" t="s">
        <v>132</v>
      </c>
      <c r="BL14" s="9" t="s">
        <v>133</v>
      </c>
      <c r="BM14" s="9" t="s">
        <v>133</v>
      </c>
      <c r="BN14" s="9" t="s">
        <v>134</v>
      </c>
      <c r="BO14" s="9" t="s">
        <v>134</v>
      </c>
      <c r="BP14" s="9"/>
      <c r="BQ14" s="8"/>
      <c r="BR14" s="9">
        <f t="shared" si="3"/>
        <v>71976</v>
      </c>
      <c r="BS14" s="8" t="s">
        <v>136</v>
      </c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 t="s">
        <v>137</v>
      </c>
      <c r="DJ14" s="19"/>
      <c r="DK14" s="19"/>
      <c r="DL14" s="19"/>
      <c r="DM14" s="19"/>
      <c r="DN14" s="19"/>
      <c r="DO14" s="19"/>
      <c r="DP14" s="19"/>
    </row>
    <row r="15" spans="1:120">
      <c r="A15" s="8">
        <v>14</v>
      </c>
      <c r="B15" s="8" t="s">
        <v>233</v>
      </c>
      <c r="C15" s="8" t="s">
        <v>110</v>
      </c>
      <c r="D15" s="8" t="s">
        <v>111</v>
      </c>
      <c r="E15" s="8" t="s">
        <v>110</v>
      </c>
      <c r="F15" s="8" t="s">
        <v>112</v>
      </c>
      <c r="G15" s="22" t="s">
        <v>234</v>
      </c>
      <c r="H15" s="20" t="s">
        <v>119</v>
      </c>
      <c r="I15" s="13">
        <v>201330000</v>
      </c>
      <c r="J15" s="8">
        <v>2025</v>
      </c>
      <c r="K15" s="22" t="s">
        <v>221</v>
      </c>
      <c r="L15" s="10" t="s">
        <v>116</v>
      </c>
      <c r="M15" s="22" t="s">
        <v>235</v>
      </c>
      <c r="N15" s="8" t="s">
        <v>236</v>
      </c>
      <c r="O15" s="8" t="s">
        <v>119</v>
      </c>
      <c r="P15" s="11">
        <v>2998</v>
      </c>
      <c r="Q15" s="12">
        <v>45940</v>
      </c>
      <c r="R15" s="13"/>
      <c r="S15" s="12">
        <v>45940</v>
      </c>
      <c r="T15" s="14" t="s">
        <v>120</v>
      </c>
      <c r="U15" s="15">
        <f t="shared" si="0"/>
        <v>47765</v>
      </c>
      <c r="V15" s="8">
        <f t="shared" ca="1" si="1"/>
        <v>50</v>
      </c>
      <c r="W15" s="16">
        <v>20000</v>
      </c>
      <c r="X15" s="9" t="s">
        <v>121</v>
      </c>
      <c r="Y15" s="9" t="s">
        <v>112</v>
      </c>
      <c r="Z15" s="9"/>
      <c r="AA15" s="9"/>
      <c r="AB15" s="13"/>
      <c r="AC15" s="8">
        <f t="shared" si="2"/>
        <v>1825</v>
      </c>
      <c r="AD15" s="8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 t="s">
        <v>205</v>
      </c>
      <c r="AR15" s="20"/>
      <c r="AS15" s="9"/>
      <c r="AT15" s="20" t="s">
        <v>180</v>
      </c>
      <c r="AU15" s="20"/>
      <c r="AV15" s="20"/>
      <c r="AW15" s="20"/>
      <c r="AX15" s="17"/>
      <c r="AY15" s="20"/>
      <c r="AZ15" s="20"/>
      <c r="BA15" s="20"/>
      <c r="BB15" s="20"/>
      <c r="BC15" s="23"/>
      <c r="BD15" s="9" t="s">
        <v>125</v>
      </c>
      <c r="BE15" s="9" t="s">
        <v>126</v>
      </c>
      <c r="BF15" s="9" t="s">
        <v>127</v>
      </c>
      <c r="BG15" s="9" t="s">
        <v>128</v>
      </c>
      <c r="BH15" s="9" t="s">
        <v>129</v>
      </c>
      <c r="BI15" s="9" t="s">
        <v>130</v>
      </c>
      <c r="BJ15" s="8" t="s">
        <v>131</v>
      </c>
      <c r="BK15" s="9" t="s">
        <v>132</v>
      </c>
      <c r="BL15" s="9" t="s">
        <v>133</v>
      </c>
      <c r="BM15" s="9" t="s">
        <v>133</v>
      </c>
      <c r="BN15" s="9" t="s">
        <v>134</v>
      </c>
      <c r="BO15" s="9" t="s">
        <v>134</v>
      </c>
      <c r="BP15" s="8"/>
      <c r="BQ15" s="23"/>
      <c r="BR15" s="23"/>
      <c r="BS15" s="23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 t="s">
        <v>137</v>
      </c>
      <c r="DJ15" s="19"/>
      <c r="DK15" s="19"/>
      <c r="DL15" s="19"/>
      <c r="DM15" s="19"/>
      <c r="DN15" s="19"/>
      <c r="DO15" s="19"/>
      <c r="DP15" s="19"/>
    </row>
    <row r="16" spans="1:120">
      <c r="A16" s="8">
        <v>15</v>
      </c>
      <c r="B16" s="8" t="s">
        <v>237</v>
      </c>
      <c r="C16" s="8" t="s">
        <v>110</v>
      </c>
      <c r="D16" s="8" t="s">
        <v>111</v>
      </c>
      <c r="E16" s="8" t="s">
        <v>110</v>
      </c>
      <c r="F16" s="8" t="s">
        <v>112</v>
      </c>
      <c r="G16" s="8" t="s">
        <v>238</v>
      </c>
      <c r="H16" s="8" t="s">
        <v>239</v>
      </c>
      <c r="I16" s="13">
        <f>38280000+3400000</f>
        <v>41680000</v>
      </c>
      <c r="J16" s="8">
        <v>2026</v>
      </c>
      <c r="K16" s="8" t="s">
        <v>240</v>
      </c>
      <c r="L16" s="8" t="s">
        <v>116</v>
      </c>
      <c r="M16" s="8" t="s">
        <v>241</v>
      </c>
      <c r="N16" s="8" t="s">
        <v>242</v>
      </c>
      <c r="O16" s="8" t="s">
        <v>119</v>
      </c>
      <c r="P16" s="8">
        <v>1598</v>
      </c>
      <c r="Q16" s="12">
        <v>46121</v>
      </c>
      <c r="R16" s="8"/>
      <c r="S16" s="8" t="s">
        <v>119</v>
      </c>
      <c r="T16" s="14" t="s">
        <v>120</v>
      </c>
      <c r="U16" s="15" t="str">
        <f t="shared" si="0"/>
        <v>-</v>
      </c>
      <c r="V16" s="8" t="str">
        <f t="shared" ca="1" si="1"/>
        <v>-</v>
      </c>
      <c r="W16" s="8" t="s">
        <v>119</v>
      </c>
      <c r="X16" s="8" t="s">
        <v>119</v>
      </c>
      <c r="Y16" s="8" t="s">
        <v>119</v>
      </c>
      <c r="Z16" s="8"/>
      <c r="AA16" s="8"/>
      <c r="AB16" s="8"/>
      <c r="AC16" s="8" t="s">
        <v>119</v>
      </c>
      <c r="AD16" s="8"/>
      <c r="AE16" s="8"/>
      <c r="AF16" s="8"/>
      <c r="AG16" s="8"/>
      <c r="AH16" s="8"/>
      <c r="AI16" s="8"/>
      <c r="AJ16" s="8"/>
      <c r="AK16" s="9"/>
      <c r="AL16" s="8"/>
      <c r="AM16" s="9"/>
      <c r="AN16" s="9"/>
      <c r="AO16" s="9"/>
      <c r="AP16" s="9"/>
      <c r="AQ16" s="8"/>
      <c r="AR16" s="8" t="s">
        <v>119</v>
      </c>
      <c r="AS16" s="9"/>
      <c r="AT16" s="20" t="s">
        <v>146</v>
      </c>
      <c r="AU16" s="8" t="s">
        <v>119</v>
      </c>
      <c r="AV16" s="8"/>
      <c r="AW16" s="8" t="s">
        <v>119</v>
      </c>
      <c r="AX16" s="8" t="s">
        <v>119</v>
      </c>
      <c r="AY16" s="8" t="s">
        <v>119</v>
      </c>
      <c r="AZ16" s="8" t="s">
        <v>119</v>
      </c>
      <c r="BA16" s="8" t="s">
        <v>119</v>
      </c>
      <c r="BB16" s="8" t="s">
        <v>119</v>
      </c>
      <c r="BC16" s="8" t="s">
        <v>119</v>
      </c>
      <c r="BD16" s="9" t="s">
        <v>125</v>
      </c>
      <c r="BE16" s="9" t="s">
        <v>126</v>
      </c>
      <c r="BF16" s="9" t="s">
        <v>127</v>
      </c>
      <c r="BG16" s="9" t="s">
        <v>128</v>
      </c>
      <c r="BH16" s="9" t="s">
        <v>129</v>
      </c>
      <c r="BI16" s="9" t="s">
        <v>130</v>
      </c>
      <c r="BJ16" s="8" t="s">
        <v>131</v>
      </c>
      <c r="BK16" s="9" t="s">
        <v>132</v>
      </c>
      <c r="BL16" s="9" t="s">
        <v>133</v>
      </c>
      <c r="BM16" s="9" t="s">
        <v>133</v>
      </c>
      <c r="BN16" s="9" t="s">
        <v>134</v>
      </c>
      <c r="BO16" s="9" t="s">
        <v>134</v>
      </c>
      <c r="BP16" s="8" t="s">
        <v>119</v>
      </c>
      <c r="BQ16" s="8" t="s">
        <v>119</v>
      </c>
      <c r="BR16" s="8" t="s">
        <v>119</v>
      </c>
      <c r="BS16" s="8" t="s">
        <v>119</v>
      </c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 t="s">
        <v>137</v>
      </c>
      <c r="DJ16" s="19"/>
      <c r="DK16" s="19"/>
      <c r="DL16" s="19"/>
      <c r="DM16" s="19"/>
      <c r="DN16" s="19"/>
      <c r="DO16" s="19"/>
      <c r="DP16" s="19"/>
    </row>
    <row r="17" spans="1:120">
      <c r="A17" s="8">
        <v>16</v>
      </c>
      <c r="B17" s="8" t="s">
        <v>243</v>
      </c>
      <c r="C17" s="8" t="s">
        <v>244</v>
      </c>
      <c r="D17" s="8" t="s">
        <v>245</v>
      </c>
      <c r="E17" s="8" t="s">
        <v>246</v>
      </c>
      <c r="F17" s="8" t="s">
        <v>247</v>
      </c>
      <c r="G17" s="8" t="s">
        <v>248</v>
      </c>
      <c r="H17" s="8" t="s">
        <v>114</v>
      </c>
      <c r="I17" s="9">
        <v>12750000</v>
      </c>
      <c r="J17" s="8">
        <v>2022</v>
      </c>
      <c r="K17" s="10" t="s">
        <v>115</v>
      </c>
      <c r="L17" s="10" t="s">
        <v>116</v>
      </c>
      <c r="M17" s="8" t="s">
        <v>249</v>
      </c>
      <c r="N17" s="8" t="s">
        <v>250</v>
      </c>
      <c r="O17" s="8" t="s">
        <v>119</v>
      </c>
      <c r="P17" s="11">
        <v>998</v>
      </c>
      <c r="Q17" s="12">
        <v>44494</v>
      </c>
      <c r="R17" s="12">
        <v>44497</v>
      </c>
      <c r="S17" s="24">
        <v>44497</v>
      </c>
      <c r="T17" s="14" t="s">
        <v>120</v>
      </c>
      <c r="U17" s="15">
        <f t="shared" si="0"/>
        <v>46322</v>
      </c>
      <c r="V17" s="8">
        <f t="shared" ca="1" si="1"/>
        <v>3</v>
      </c>
      <c r="W17" s="16">
        <v>20000</v>
      </c>
      <c r="X17" s="9" t="s">
        <v>251</v>
      </c>
      <c r="Y17" s="9" t="s">
        <v>252</v>
      </c>
      <c r="Z17" s="9" t="s">
        <v>253</v>
      </c>
      <c r="AA17" s="9" t="s">
        <v>254</v>
      </c>
      <c r="AB17" s="12">
        <v>44505</v>
      </c>
      <c r="AC17" s="8">
        <f>365*T17</f>
        <v>1825</v>
      </c>
      <c r="AD17" s="8">
        <f ca="1">U17-TODAY()</f>
        <v>96</v>
      </c>
      <c r="AE17" s="8">
        <f>VLOOKUP($B17, [1]렌트_계약서번호!$B$3:$E$501, 4, FALSE)</f>
        <v>21100001</v>
      </c>
      <c r="AF17" s="9">
        <v>13234421</v>
      </c>
      <c r="AG17" s="9">
        <v>200000</v>
      </c>
      <c r="AH17" s="9">
        <v>12688000</v>
      </c>
      <c r="AI17" s="9">
        <v>0</v>
      </c>
      <c r="AJ17" s="9">
        <v>2000</v>
      </c>
      <c r="AK17" s="9">
        <v>461380</v>
      </c>
      <c r="AL17" s="9">
        <v>0</v>
      </c>
      <c r="AM17" s="9">
        <v>2000</v>
      </c>
      <c r="AN17" s="9">
        <v>27000</v>
      </c>
      <c r="AO17" s="9">
        <v>30000</v>
      </c>
      <c r="AP17" s="9">
        <v>430000</v>
      </c>
      <c r="AQ17" s="9">
        <v>0</v>
      </c>
      <c r="AR17" s="9" t="s">
        <v>122</v>
      </c>
      <c r="AS17" s="9">
        <v>0</v>
      </c>
      <c r="AT17" s="9" t="s">
        <v>123</v>
      </c>
      <c r="AU17" s="9"/>
      <c r="AV17" s="13">
        <f>SUM(AI17,AJ17,AM17,AN17,AO17, AQ17,AS17+AK17+AL17)</f>
        <v>522380</v>
      </c>
      <c r="AW17" s="13" t="s">
        <v>124</v>
      </c>
      <c r="AX17" s="17">
        <v>44494</v>
      </c>
      <c r="AY17" s="18">
        <v>1138590</v>
      </c>
      <c r="AZ17" s="25">
        <v>1034460</v>
      </c>
      <c r="BA17" s="9"/>
      <c r="BB17" s="9"/>
      <c r="BC17" s="9"/>
      <c r="BD17" s="9" t="s">
        <v>125</v>
      </c>
      <c r="BE17" s="9" t="s">
        <v>126</v>
      </c>
      <c r="BF17" s="9" t="s">
        <v>255</v>
      </c>
      <c r="BG17" s="9" t="s">
        <v>128</v>
      </c>
      <c r="BH17" s="9" t="s">
        <v>129</v>
      </c>
      <c r="BI17" s="9" t="s">
        <v>130</v>
      </c>
      <c r="BJ17" s="8" t="s">
        <v>256</v>
      </c>
      <c r="BK17" s="9" t="s">
        <v>132</v>
      </c>
      <c r="BL17" s="9" t="s">
        <v>133</v>
      </c>
      <c r="BM17" s="9" t="s">
        <v>257</v>
      </c>
      <c r="BN17" s="9" t="s">
        <v>134</v>
      </c>
      <c r="BO17" s="9" t="s">
        <v>134</v>
      </c>
      <c r="BP17" s="9" t="s">
        <v>258</v>
      </c>
      <c r="BQ17" s="8"/>
      <c r="BR17" s="9">
        <f>IF(P17&lt;=1600,P17*18,IF(P17&lt;=2500,P17*19,IF(P17&gt;2500,P17*24,20000)))</f>
        <v>17964</v>
      </c>
      <c r="BS17" s="8" t="s">
        <v>136</v>
      </c>
      <c r="BT17" s="12"/>
      <c r="BU17" s="8"/>
      <c r="BV17" s="26"/>
      <c r="BW17" s="8"/>
      <c r="BX17" s="9">
        <f>BW17*BV17</f>
        <v>0</v>
      </c>
      <c r="BY17" s="9">
        <f>BX17-BU17</f>
        <v>0</v>
      </c>
      <c r="BZ17" s="27">
        <v>0</v>
      </c>
      <c r="CA17" s="8"/>
      <c r="CB17" s="28" t="s">
        <v>120</v>
      </c>
      <c r="CC17" s="28" t="s">
        <v>120</v>
      </c>
      <c r="CD17" s="9">
        <v>342650</v>
      </c>
      <c r="CE17" s="9">
        <f>T17*12</f>
        <v>60</v>
      </c>
      <c r="CF17" s="9">
        <f>CE17*CD17</f>
        <v>20559000</v>
      </c>
      <c r="CG17" s="9"/>
      <c r="CH17" s="9"/>
      <c r="CI17" s="9">
        <v>2506900</v>
      </c>
      <c r="CJ17" s="29">
        <v>0.04</v>
      </c>
      <c r="CK17" s="30">
        <v>0.04</v>
      </c>
      <c r="CL17" s="31" t="s">
        <v>259</v>
      </c>
      <c r="CM17" s="31"/>
      <c r="CN17" s="31"/>
      <c r="CO17" s="27">
        <v>0.03</v>
      </c>
      <c r="CP17" s="22"/>
      <c r="CQ17" s="32">
        <v>0</v>
      </c>
      <c r="CR17" s="32">
        <v>0</v>
      </c>
      <c r="CS17" s="32">
        <v>0</v>
      </c>
      <c r="CT17" s="32">
        <v>0</v>
      </c>
      <c r="CU17" s="32">
        <v>0</v>
      </c>
      <c r="CV17" s="32">
        <v>0</v>
      </c>
      <c r="CW17" s="32">
        <v>0</v>
      </c>
      <c r="CX17" s="32">
        <v>0</v>
      </c>
      <c r="CY17" s="32">
        <v>0</v>
      </c>
      <c r="CZ17" s="32">
        <v>0</v>
      </c>
      <c r="DA17" s="32">
        <v>0</v>
      </c>
      <c r="DB17" s="32" t="str">
        <f>IF(DC17="정수원 실장","기아", IF(DC17="박현식 부장", "현대", IF(DC17="김성진 팀장", "한성", IF(DC17="전석영 부장", "한성", IF(DC17= "박봉호 부장", "모토원",IF(DC17="정원철 부장", "한성"))))))</f>
        <v>기아</v>
      </c>
      <c r="DC17" s="32" t="s">
        <v>260</v>
      </c>
      <c r="DD17" s="32" t="str">
        <f>IF(DC17="정수원 실장","렌트베네핏", IF(DC17="박현식 부장", "렌트베네핏", IF(DC17="김성진 팀장", "청담", IF(DC17="전석영 부장", "방배", IF(DC17= "박봉호 부장", "일산",IF(DC73="정원철 부장", "청담"))))))</f>
        <v>렌트베네핏</v>
      </c>
      <c r="DE17" s="32"/>
      <c r="DF17" s="32"/>
      <c r="DG17" s="32"/>
      <c r="DH17" s="32" t="s">
        <v>261</v>
      </c>
      <c r="DI17" s="19" t="s">
        <v>137</v>
      </c>
      <c r="DJ17" s="22">
        <v>0.3</v>
      </c>
      <c r="DK17" s="22">
        <v>0.2</v>
      </c>
      <c r="DL17" s="32"/>
      <c r="DM17" s="20"/>
      <c r="DN17" s="32"/>
      <c r="DO17" s="32"/>
      <c r="DP17" s="22"/>
    </row>
    <row r="18" spans="1:120">
      <c r="A18" s="8">
        <v>16</v>
      </c>
      <c r="B18" s="8" t="s">
        <v>262</v>
      </c>
      <c r="C18" s="8" t="s">
        <v>263</v>
      </c>
      <c r="D18" s="8" t="s">
        <v>111</v>
      </c>
      <c r="E18" s="8" t="s">
        <v>110</v>
      </c>
      <c r="F18" s="8" t="s">
        <v>112</v>
      </c>
      <c r="G18" s="22" t="s">
        <v>264</v>
      </c>
      <c r="H18" s="20" t="s">
        <v>119</v>
      </c>
      <c r="I18" s="13">
        <v>188662500</v>
      </c>
      <c r="J18" s="8">
        <v>2026</v>
      </c>
      <c r="K18" s="22" t="s">
        <v>265</v>
      </c>
      <c r="L18" s="22" t="s">
        <v>229</v>
      </c>
      <c r="M18" s="22" t="s">
        <v>266</v>
      </c>
      <c r="N18" s="8" t="s">
        <v>267</v>
      </c>
      <c r="O18" s="8"/>
      <c r="P18" s="11">
        <v>2989</v>
      </c>
      <c r="Q18" s="12">
        <v>46073</v>
      </c>
      <c r="R18" s="12"/>
      <c r="S18" s="12" t="s">
        <v>119</v>
      </c>
      <c r="T18" s="14" t="s">
        <v>120</v>
      </c>
      <c r="U18" s="15" t="str">
        <f t="shared" si="0"/>
        <v>-</v>
      </c>
      <c r="V18" s="8" t="str">
        <f t="shared" ca="1" si="1"/>
        <v>-</v>
      </c>
      <c r="W18" s="9"/>
      <c r="X18" s="22"/>
      <c r="Y18" s="22"/>
      <c r="Z18" s="22"/>
      <c r="AA18" s="12"/>
      <c r="AB18" s="12"/>
      <c r="AC18" s="8"/>
      <c r="AD18" s="8"/>
      <c r="AE18" s="20"/>
      <c r="AF18" s="20"/>
      <c r="AG18" s="9"/>
      <c r="AH18" s="20"/>
      <c r="AI18" s="20"/>
      <c r="AJ18" s="20"/>
      <c r="AK18" s="9"/>
      <c r="AL18" s="20"/>
      <c r="AM18" s="9"/>
      <c r="AN18" s="9"/>
      <c r="AO18" s="9"/>
      <c r="AP18" s="9"/>
      <c r="AQ18" s="20"/>
      <c r="AR18" s="20"/>
      <c r="AS18" s="9"/>
      <c r="AT18" s="17"/>
      <c r="AU18" s="20"/>
      <c r="AV18" s="20"/>
      <c r="AW18" s="20"/>
      <c r="AX18" s="20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8"/>
      <c r="BM18" s="23"/>
      <c r="BN18" s="23"/>
      <c r="BO18" s="23"/>
      <c r="BP18" s="23"/>
      <c r="BQ18" s="23"/>
      <c r="BR18" s="8"/>
      <c r="BS18" s="23"/>
      <c r="BT18" s="19"/>
      <c r="BU18" s="19"/>
      <c r="BV18" s="19"/>
      <c r="BW18" s="19"/>
      <c r="BX18" s="19"/>
      <c r="BY18" s="19"/>
      <c r="BZ18" s="19"/>
      <c r="CA18" s="33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 t="s">
        <v>137</v>
      </c>
      <c r="DJ18" s="19"/>
      <c r="DK18" s="19"/>
      <c r="DL18" s="19"/>
      <c r="DM18" s="19"/>
      <c r="DN18" s="19"/>
      <c r="DO18" s="19"/>
      <c r="DP18" s="19"/>
    </row>
    <row r="19" spans="1:120">
      <c r="A19" s="34">
        <v>17</v>
      </c>
      <c r="B19" s="34" t="s">
        <v>268</v>
      </c>
      <c r="C19" s="34" t="s">
        <v>244</v>
      </c>
      <c r="D19" s="34" t="s">
        <v>269</v>
      </c>
      <c r="E19" s="34" t="s">
        <v>246</v>
      </c>
      <c r="F19" s="34" t="s">
        <v>247</v>
      </c>
      <c r="G19" s="34" t="s">
        <v>248</v>
      </c>
      <c r="H19" s="34" t="s">
        <v>114</v>
      </c>
      <c r="I19" s="35">
        <v>12750000</v>
      </c>
      <c r="J19" s="34">
        <v>2022</v>
      </c>
      <c r="K19" s="36" t="s">
        <v>115</v>
      </c>
      <c r="L19" s="36" t="s">
        <v>116</v>
      </c>
      <c r="M19" s="34" t="s">
        <v>270</v>
      </c>
      <c r="N19" s="34" t="s">
        <v>271</v>
      </c>
      <c r="O19" s="34" t="s">
        <v>119</v>
      </c>
      <c r="P19" s="37">
        <v>998</v>
      </c>
      <c r="Q19" s="15">
        <v>44494</v>
      </c>
      <c r="R19" s="15">
        <v>44497</v>
      </c>
      <c r="S19" s="38">
        <v>44497</v>
      </c>
      <c r="T19" s="39" t="s">
        <v>120</v>
      </c>
      <c r="U19" s="15">
        <f t="shared" si="0"/>
        <v>46322</v>
      </c>
      <c r="V19" s="8">
        <f t="shared" ca="1" si="1"/>
        <v>3</v>
      </c>
      <c r="W19" s="40">
        <v>20000</v>
      </c>
      <c r="X19" s="35" t="s">
        <v>272</v>
      </c>
      <c r="Y19" s="35" t="s">
        <v>273</v>
      </c>
      <c r="Z19" s="35" t="s">
        <v>274</v>
      </c>
      <c r="AA19" s="35" t="s">
        <v>275</v>
      </c>
      <c r="AB19" s="15">
        <v>44505</v>
      </c>
      <c r="AC19" s="34">
        <f t="shared" ref="AC19:AC82" si="4">365*T19</f>
        <v>1825</v>
      </c>
      <c r="AD19" s="34">
        <f t="shared" ref="AD19:AD82" ca="1" si="5">U19-TODAY()</f>
        <v>96</v>
      </c>
      <c r="AE19" s="34">
        <f>VLOOKUP($B19, [1]렌트_계약서번호!$B$3:$E$501, 4, FALSE)</f>
        <v>21100002</v>
      </c>
      <c r="AF19" s="35">
        <v>13234421</v>
      </c>
      <c r="AG19" s="35">
        <v>200000</v>
      </c>
      <c r="AH19" s="35">
        <v>12704000</v>
      </c>
      <c r="AI19" s="35">
        <v>0</v>
      </c>
      <c r="AJ19" s="35">
        <v>2000</v>
      </c>
      <c r="AK19" s="35">
        <v>461960</v>
      </c>
      <c r="AL19" s="35">
        <v>0</v>
      </c>
      <c r="AM19" s="35">
        <v>2000</v>
      </c>
      <c r="AN19" s="35">
        <v>27000</v>
      </c>
      <c r="AO19" s="35">
        <v>30000</v>
      </c>
      <c r="AP19" s="35">
        <v>430000</v>
      </c>
      <c r="AQ19" s="35">
        <v>0</v>
      </c>
      <c r="AR19" s="35" t="s">
        <v>122</v>
      </c>
      <c r="AS19" s="35">
        <v>0</v>
      </c>
      <c r="AT19" s="35" t="s">
        <v>123</v>
      </c>
      <c r="AU19" s="35"/>
      <c r="AV19" s="41">
        <f t="shared" ref="AV19:AV82" si="6">SUM(AI19,AJ19,AM19,AN19,AO19, AQ19,AS19+AK19+AL19)</f>
        <v>522960</v>
      </c>
      <c r="AW19" s="41" t="s">
        <v>124</v>
      </c>
      <c r="AX19" s="42">
        <v>44494</v>
      </c>
      <c r="AY19" s="43">
        <v>1138590</v>
      </c>
      <c r="AZ19" s="44">
        <v>1034460</v>
      </c>
      <c r="BA19" s="35"/>
      <c r="BB19" s="35"/>
      <c r="BC19" s="35"/>
      <c r="BD19" s="35" t="s">
        <v>125</v>
      </c>
      <c r="BE19" s="35" t="s">
        <v>126</v>
      </c>
      <c r="BF19" s="35" t="s">
        <v>255</v>
      </c>
      <c r="BG19" s="35" t="s">
        <v>128</v>
      </c>
      <c r="BH19" s="35" t="s">
        <v>129</v>
      </c>
      <c r="BI19" s="35" t="s">
        <v>130</v>
      </c>
      <c r="BJ19" s="34" t="s">
        <v>256</v>
      </c>
      <c r="BK19" s="35" t="s">
        <v>132</v>
      </c>
      <c r="BL19" s="35" t="s">
        <v>133</v>
      </c>
      <c r="BM19" s="35" t="s">
        <v>257</v>
      </c>
      <c r="BN19" s="35" t="s">
        <v>134</v>
      </c>
      <c r="BO19" s="35" t="s">
        <v>134</v>
      </c>
      <c r="BP19" s="35" t="s">
        <v>135</v>
      </c>
      <c r="BQ19" s="34"/>
      <c r="BR19" s="35">
        <f t="shared" ref="BR19:BR82" si="7">IF(P19&lt;=1600,P19*18,IF(P19&lt;=2500,P19*19,IF(P19&gt;2500,P19*24,20000)))</f>
        <v>17964</v>
      </c>
      <c r="BS19" s="34" t="s">
        <v>136</v>
      </c>
      <c r="BT19" s="15"/>
      <c r="BU19" s="34"/>
      <c r="BV19" s="45"/>
      <c r="BW19" s="34"/>
      <c r="BX19" s="35">
        <f t="shared" ref="BX19:BX38" si="8">BW19*BV19</f>
        <v>0</v>
      </c>
      <c r="BY19" s="35">
        <f t="shared" ref="BY19:BY38" si="9">BX19-BU19</f>
        <v>0</v>
      </c>
      <c r="BZ19" s="46">
        <v>0</v>
      </c>
      <c r="CA19" s="1"/>
      <c r="CB19" s="47" t="s">
        <v>120</v>
      </c>
      <c r="CC19" s="47" t="s">
        <v>120</v>
      </c>
      <c r="CD19" s="35">
        <v>342650</v>
      </c>
      <c r="CE19" s="35">
        <f t="shared" ref="CE19:CE82" si="10">T19*12</f>
        <v>60</v>
      </c>
      <c r="CF19" s="35">
        <f t="shared" ref="CF19:CF82" si="11">CE19*CD19</f>
        <v>20559000</v>
      </c>
      <c r="CG19" s="35"/>
      <c r="CH19" s="35"/>
      <c r="CI19" s="35">
        <v>2506900</v>
      </c>
      <c r="CJ19" s="48">
        <v>0.04</v>
      </c>
      <c r="CK19" s="49">
        <v>0.04</v>
      </c>
      <c r="CL19" s="50" t="s">
        <v>259</v>
      </c>
      <c r="CM19" s="50"/>
      <c r="CN19" s="50"/>
      <c r="CO19" s="46">
        <v>0.03</v>
      </c>
      <c r="CP19" s="51"/>
      <c r="CQ19" s="52">
        <v>0</v>
      </c>
      <c r="CR19" s="52">
        <v>0</v>
      </c>
      <c r="CS19" s="52">
        <v>0</v>
      </c>
      <c r="CT19" s="52">
        <v>0</v>
      </c>
      <c r="CU19" s="52">
        <v>0</v>
      </c>
      <c r="CV19" s="52">
        <v>0</v>
      </c>
      <c r="CW19" s="52">
        <v>0</v>
      </c>
      <c r="CX19" s="52">
        <v>0</v>
      </c>
      <c r="CY19" s="52">
        <v>0</v>
      </c>
      <c r="CZ19" s="52">
        <v>0</v>
      </c>
      <c r="DA19" s="52">
        <v>0</v>
      </c>
      <c r="DB19" s="52" t="str">
        <f t="shared" ref="DB19:DB78" si="12">IF(DC19="정수원 실장","기아", IF(DC19="박현식 부장", "현대", IF(DC19="김성진 팀장", "한성", IF(DC19="전석영 부장", "한성", IF(DC19= "박봉호 부장", "모토원",IF(DC19="정원철 부장", "한성"))))))</f>
        <v>기아</v>
      </c>
      <c r="DC19" s="52" t="s">
        <v>260</v>
      </c>
      <c r="DD19" s="52" t="str">
        <f>IF(DC19="정수원 실장","렌트베네핏", IF(DC19="박현식 부장", "렌트베네핏", IF(DC19="김성진 팀장", "청담", IF(DC19="전석영 부장", "방배", IF(DC19= "박봉호 부장", "일산",IF(DC75="정원철 부장", "청담"))))))</f>
        <v>렌트베네핏</v>
      </c>
      <c r="DE19" s="52"/>
      <c r="DF19" s="52"/>
      <c r="DG19" s="52"/>
      <c r="DH19" s="52" t="s">
        <v>261</v>
      </c>
      <c r="DI19" s="19" t="s">
        <v>137</v>
      </c>
      <c r="DJ19" s="51">
        <v>0.3</v>
      </c>
      <c r="DK19" s="51">
        <v>0.2</v>
      </c>
      <c r="DL19" s="52"/>
      <c r="DM19" s="53"/>
      <c r="DN19" s="52"/>
      <c r="DO19" s="52"/>
      <c r="DP19" s="51"/>
    </row>
    <row r="20" spans="1:120">
      <c r="A20" s="8">
        <v>18</v>
      </c>
      <c r="B20" s="8" t="s">
        <v>276</v>
      </c>
      <c r="C20" s="34" t="s">
        <v>244</v>
      </c>
      <c r="D20" s="8" t="s">
        <v>277</v>
      </c>
      <c r="E20" s="8" t="s">
        <v>246</v>
      </c>
      <c r="F20" s="8" t="s">
        <v>247</v>
      </c>
      <c r="G20" s="8" t="s">
        <v>248</v>
      </c>
      <c r="H20" s="8" t="s">
        <v>114</v>
      </c>
      <c r="I20" s="9">
        <v>12750000</v>
      </c>
      <c r="J20" s="8">
        <v>2022</v>
      </c>
      <c r="K20" s="10" t="s">
        <v>115</v>
      </c>
      <c r="L20" s="10" t="s">
        <v>116</v>
      </c>
      <c r="M20" s="8" t="s">
        <v>278</v>
      </c>
      <c r="N20" s="8" t="s">
        <v>279</v>
      </c>
      <c r="O20" s="8" t="s">
        <v>119</v>
      </c>
      <c r="P20" s="11">
        <v>998</v>
      </c>
      <c r="Q20" s="12">
        <v>44494</v>
      </c>
      <c r="R20" s="12">
        <v>44497</v>
      </c>
      <c r="S20" s="24">
        <v>44497</v>
      </c>
      <c r="T20" s="14" t="s">
        <v>120</v>
      </c>
      <c r="U20" s="12">
        <f t="shared" si="0"/>
        <v>46322</v>
      </c>
      <c r="V20" s="8">
        <f t="shared" ca="1" si="1"/>
        <v>3</v>
      </c>
      <c r="W20" s="16">
        <v>20000</v>
      </c>
      <c r="X20" s="9" t="s">
        <v>272</v>
      </c>
      <c r="Y20" s="9" t="s">
        <v>273</v>
      </c>
      <c r="Z20" s="9" t="s">
        <v>274</v>
      </c>
      <c r="AA20" s="9" t="s">
        <v>275</v>
      </c>
      <c r="AB20" s="12">
        <v>44505</v>
      </c>
      <c r="AC20" s="8">
        <f t="shared" si="4"/>
        <v>1825</v>
      </c>
      <c r="AD20" s="8">
        <f t="shared" ca="1" si="5"/>
        <v>96</v>
      </c>
      <c r="AE20" s="8">
        <f>VLOOKUP($B20, [1]렌트_계약서번호!$B$3:$E$501, 4, FALSE)</f>
        <v>21100003</v>
      </c>
      <c r="AF20" s="9">
        <v>13234421</v>
      </c>
      <c r="AG20" s="9">
        <v>200000</v>
      </c>
      <c r="AH20" s="9">
        <v>12704000</v>
      </c>
      <c r="AI20" s="9">
        <v>0</v>
      </c>
      <c r="AJ20" s="9">
        <v>2000</v>
      </c>
      <c r="AK20" s="9">
        <v>461960</v>
      </c>
      <c r="AL20" s="9">
        <v>0</v>
      </c>
      <c r="AM20" s="9">
        <v>2000</v>
      </c>
      <c r="AN20" s="9">
        <v>27000</v>
      </c>
      <c r="AO20" s="9">
        <v>30000</v>
      </c>
      <c r="AP20" s="9">
        <v>430000</v>
      </c>
      <c r="AQ20" s="9">
        <v>0</v>
      </c>
      <c r="AR20" s="9" t="s">
        <v>122</v>
      </c>
      <c r="AS20" s="9">
        <v>0</v>
      </c>
      <c r="AT20" s="9" t="s">
        <v>123</v>
      </c>
      <c r="AU20" s="9"/>
      <c r="AV20" s="13">
        <f t="shared" si="6"/>
        <v>522960</v>
      </c>
      <c r="AW20" s="13" t="s">
        <v>124</v>
      </c>
      <c r="AX20" s="17">
        <v>44494</v>
      </c>
      <c r="AY20" s="18">
        <v>1138590</v>
      </c>
      <c r="AZ20" s="25">
        <v>1034460</v>
      </c>
      <c r="BA20" s="9"/>
      <c r="BB20" s="9"/>
      <c r="BC20" s="9"/>
      <c r="BD20" s="9" t="s">
        <v>125</v>
      </c>
      <c r="BE20" s="9" t="s">
        <v>126</v>
      </c>
      <c r="BF20" s="9" t="s">
        <v>255</v>
      </c>
      <c r="BG20" s="9" t="s">
        <v>128</v>
      </c>
      <c r="BH20" s="9" t="s">
        <v>129</v>
      </c>
      <c r="BI20" s="9" t="s">
        <v>130</v>
      </c>
      <c r="BJ20" s="8" t="s">
        <v>256</v>
      </c>
      <c r="BK20" s="9" t="s">
        <v>132</v>
      </c>
      <c r="BL20" s="9" t="s">
        <v>133</v>
      </c>
      <c r="BM20" s="9" t="s">
        <v>257</v>
      </c>
      <c r="BN20" s="9" t="s">
        <v>134</v>
      </c>
      <c r="BO20" s="9" t="s">
        <v>134</v>
      </c>
      <c r="BP20" s="9" t="s">
        <v>135</v>
      </c>
      <c r="BQ20" s="8"/>
      <c r="BR20" s="9">
        <f t="shared" si="7"/>
        <v>17964</v>
      </c>
      <c r="BS20" s="8" t="s">
        <v>136</v>
      </c>
      <c r="BT20" s="12"/>
      <c r="BU20" s="8"/>
      <c r="BV20" s="26"/>
      <c r="BW20" s="8"/>
      <c r="BX20" s="9">
        <f t="shared" si="8"/>
        <v>0</v>
      </c>
      <c r="BY20" s="9">
        <f t="shared" si="9"/>
        <v>0</v>
      </c>
      <c r="BZ20" s="27">
        <v>0</v>
      </c>
      <c r="CA20" s="1"/>
      <c r="CB20" s="28" t="s">
        <v>120</v>
      </c>
      <c r="CC20" s="28" t="s">
        <v>120</v>
      </c>
      <c r="CD20" s="9">
        <v>342650</v>
      </c>
      <c r="CE20" s="9">
        <f t="shared" si="10"/>
        <v>60</v>
      </c>
      <c r="CF20" s="9">
        <f t="shared" si="11"/>
        <v>20559000</v>
      </c>
      <c r="CG20" s="9"/>
      <c r="CH20" s="9"/>
      <c r="CI20" s="9">
        <v>2506900</v>
      </c>
      <c r="CJ20" s="29">
        <v>0.04</v>
      </c>
      <c r="CK20" s="30">
        <v>0.04</v>
      </c>
      <c r="CL20" s="31" t="s">
        <v>259</v>
      </c>
      <c r="CM20" s="31"/>
      <c r="CN20" s="31"/>
      <c r="CO20" s="27">
        <v>0.03</v>
      </c>
      <c r="CP20" s="22"/>
      <c r="CQ20" s="32">
        <v>0</v>
      </c>
      <c r="CR20" s="32">
        <v>0</v>
      </c>
      <c r="CS20" s="32">
        <v>0</v>
      </c>
      <c r="CT20" s="32">
        <v>0</v>
      </c>
      <c r="CU20" s="32">
        <v>0</v>
      </c>
      <c r="CV20" s="32">
        <v>0</v>
      </c>
      <c r="CW20" s="32">
        <v>0</v>
      </c>
      <c r="CX20" s="32">
        <v>0</v>
      </c>
      <c r="CY20" s="32">
        <v>0</v>
      </c>
      <c r="CZ20" s="32">
        <v>0</v>
      </c>
      <c r="DA20" s="32">
        <v>0</v>
      </c>
      <c r="DB20" s="32" t="str">
        <f t="shared" si="12"/>
        <v>기아</v>
      </c>
      <c r="DC20" s="32" t="s">
        <v>260</v>
      </c>
      <c r="DD20" s="32" t="str">
        <f>IF(DC20="정수원 실장","렌트베네핏", IF(DC20="박현식 부장", "렌트베네핏", IF(DC20="김성진 팀장", "청담", IF(DC20="전석영 부장", "방배", IF(DC20= "박봉호 부장", "일산",IF(DC76="정원철 부장", "청담"))))))</f>
        <v>렌트베네핏</v>
      </c>
      <c r="DE20" s="32"/>
      <c r="DF20" s="32"/>
      <c r="DG20" s="32"/>
      <c r="DH20" s="32" t="s">
        <v>261</v>
      </c>
      <c r="DI20" s="19" t="s">
        <v>137</v>
      </c>
      <c r="DJ20" s="22">
        <v>0.3</v>
      </c>
      <c r="DK20" s="51">
        <v>0.2</v>
      </c>
      <c r="DL20" s="32"/>
      <c r="DM20" s="20"/>
      <c r="DN20" s="32"/>
      <c r="DO20" s="32"/>
      <c r="DP20" s="22"/>
    </row>
    <row r="21" spans="1:120">
      <c r="A21" s="8">
        <v>19</v>
      </c>
      <c r="B21" s="8" t="s">
        <v>280</v>
      </c>
      <c r="C21" s="34" t="s">
        <v>244</v>
      </c>
      <c r="D21" s="8" t="s">
        <v>281</v>
      </c>
      <c r="E21" s="8" t="s">
        <v>246</v>
      </c>
      <c r="F21" s="8" t="s">
        <v>247</v>
      </c>
      <c r="G21" s="8" t="s">
        <v>248</v>
      </c>
      <c r="H21" s="8" t="s">
        <v>114</v>
      </c>
      <c r="I21" s="9">
        <v>12750000</v>
      </c>
      <c r="J21" s="8">
        <v>2022</v>
      </c>
      <c r="K21" s="10" t="s">
        <v>115</v>
      </c>
      <c r="L21" s="10" t="s">
        <v>116</v>
      </c>
      <c r="M21" s="8" t="s">
        <v>282</v>
      </c>
      <c r="N21" s="8" t="s">
        <v>283</v>
      </c>
      <c r="O21" s="8" t="s">
        <v>119</v>
      </c>
      <c r="P21" s="11">
        <v>998</v>
      </c>
      <c r="Q21" s="12">
        <v>44494</v>
      </c>
      <c r="R21" s="12">
        <v>44497</v>
      </c>
      <c r="S21" s="24">
        <v>44497</v>
      </c>
      <c r="T21" s="14" t="s">
        <v>120</v>
      </c>
      <c r="U21" s="12">
        <f t="shared" si="0"/>
        <v>46322</v>
      </c>
      <c r="V21" s="8">
        <f t="shared" ca="1" si="1"/>
        <v>3</v>
      </c>
      <c r="W21" s="16">
        <v>20000</v>
      </c>
      <c r="X21" s="9" t="s">
        <v>284</v>
      </c>
      <c r="Y21" s="9" t="s">
        <v>273</v>
      </c>
      <c r="Z21" s="9" t="s">
        <v>274</v>
      </c>
      <c r="AA21" s="9" t="s">
        <v>285</v>
      </c>
      <c r="AB21" s="12">
        <v>44505</v>
      </c>
      <c r="AC21" s="8">
        <f t="shared" si="4"/>
        <v>1825</v>
      </c>
      <c r="AD21" s="8">
        <f t="shared" ca="1" si="5"/>
        <v>96</v>
      </c>
      <c r="AE21" s="8">
        <f>VLOOKUP($B21, [1]렌트_계약서번호!$B$3:$E$501, 4, FALSE)</f>
        <v>21100004</v>
      </c>
      <c r="AF21" s="9">
        <v>13234421</v>
      </c>
      <c r="AG21" s="9">
        <v>200000</v>
      </c>
      <c r="AH21" s="9">
        <v>12704000</v>
      </c>
      <c r="AI21" s="9">
        <v>0</v>
      </c>
      <c r="AJ21" s="9">
        <v>2000</v>
      </c>
      <c r="AK21" s="9">
        <v>461960</v>
      </c>
      <c r="AL21" s="9">
        <v>0</v>
      </c>
      <c r="AM21" s="9">
        <v>2000</v>
      </c>
      <c r="AN21" s="9">
        <v>27000</v>
      </c>
      <c r="AO21" s="9">
        <v>30000</v>
      </c>
      <c r="AP21" s="9">
        <v>430000</v>
      </c>
      <c r="AQ21" s="9">
        <v>0</v>
      </c>
      <c r="AR21" s="9" t="s">
        <v>122</v>
      </c>
      <c r="AS21" s="9">
        <v>0</v>
      </c>
      <c r="AT21" s="9" t="s">
        <v>123</v>
      </c>
      <c r="AU21" s="9"/>
      <c r="AV21" s="13">
        <f t="shared" si="6"/>
        <v>522960</v>
      </c>
      <c r="AW21" s="13" t="s">
        <v>124</v>
      </c>
      <c r="AX21" s="17">
        <v>44494</v>
      </c>
      <c r="AY21" s="18">
        <v>1138590</v>
      </c>
      <c r="AZ21" s="25">
        <v>1034460</v>
      </c>
      <c r="BA21" s="9"/>
      <c r="BB21" s="9"/>
      <c r="BC21" s="9"/>
      <c r="BD21" s="9" t="s">
        <v>125</v>
      </c>
      <c r="BE21" s="9" t="s">
        <v>126</v>
      </c>
      <c r="BF21" s="9" t="s">
        <v>255</v>
      </c>
      <c r="BG21" s="9" t="s">
        <v>128</v>
      </c>
      <c r="BH21" s="9" t="s">
        <v>129</v>
      </c>
      <c r="BI21" s="9" t="s">
        <v>130</v>
      </c>
      <c r="BJ21" s="8" t="s">
        <v>256</v>
      </c>
      <c r="BK21" s="9" t="s">
        <v>132</v>
      </c>
      <c r="BL21" s="9" t="s">
        <v>133</v>
      </c>
      <c r="BM21" s="9" t="s">
        <v>257</v>
      </c>
      <c r="BN21" s="9" t="s">
        <v>134</v>
      </c>
      <c r="BO21" s="9" t="s">
        <v>134</v>
      </c>
      <c r="BP21" s="9" t="s">
        <v>135</v>
      </c>
      <c r="BQ21" s="8"/>
      <c r="BR21" s="9">
        <f t="shared" si="7"/>
        <v>17964</v>
      </c>
      <c r="BS21" s="8" t="s">
        <v>136</v>
      </c>
      <c r="BT21" s="12"/>
      <c r="BU21" s="8"/>
      <c r="BV21" s="26"/>
      <c r="BW21" s="8"/>
      <c r="BX21" s="9">
        <f t="shared" si="8"/>
        <v>0</v>
      </c>
      <c r="BY21" s="9">
        <f t="shared" si="9"/>
        <v>0</v>
      </c>
      <c r="BZ21" s="27">
        <v>0</v>
      </c>
      <c r="CA21" s="1"/>
      <c r="CB21" s="28" t="s">
        <v>120</v>
      </c>
      <c r="CC21" s="28" t="s">
        <v>120</v>
      </c>
      <c r="CD21" s="9">
        <v>342650</v>
      </c>
      <c r="CE21" s="9">
        <f t="shared" si="10"/>
        <v>60</v>
      </c>
      <c r="CF21" s="9">
        <f t="shared" si="11"/>
        <v>20559000</v>
      </c>
      <c r="CG21" s="9"/>
      <c r="CH21" s="9"/>
      <c r="CI21" s="9">
        <v>2506900</v>
      </c>
      <c r="CJ21" s="29">
        <v>0.04</v>
      </c>
      <c r="CK21" s="30">
        <v>0.04</v>
      </c>
      <c r="CL21" s="31" t="s">
        <v>259</v>
      </c>
      <c r="CM21" s="31"/>
      <c r="CN21" s="31"/>
      <c r="CO21" s="27">
        <v>0.03</v>
      </c>
      <c r="CP21" s="22"/>
      <c r="CQ21" s="32">
        <v>0</v>
      </c>
      <c r="CR21" s="32">
        <v>0</v>
      </c>
      <c r="CS21" s="32">
        <v>0</v>
      </c>
      <c r="CT21" s="32">
        <v>0</v>
      </c>
      <c r="CU21" s="32">
        <v>0</v>
      </c>
      <c r="CV21" s="32">
        <v>0</v>
      </c>
      <c r="CW21" s="32">
        <v>0</v>
      </c>
      <c r="CX21" s="32">
        <v>0</v>
      </c>
      <c r="CY21" s="32">
        <v>0</v>
      </c>
      <c r="CZ21" s="32">
        <v>0</v>
      </c>
      <c r="DA21" s="32">
        <v>0</v>
      </c>
      <c r="DB21" s="32" t="str">
        <f t="shared" si="12"/>
        <v>기아</v>
      </c>
      <c r="DC21" s="32" t="s">
        <v>260</v>
      </c>
      <c r="DD21" s="32" t="str">
        <f>IF(DC21="정수원 실장","렌트베네핏", IF(DC21="박현식 부장", "렌트베네핏", IF(DC21="김성진 팀장", "청담", IF(DC21="전석영 부장", "방배", IF(DC21= "박봉호 부장", "일산",IF([1]렌트_차량관리_거래완료!DC23="정원철 부장", "청담"))))))</f>
        <v>렌트베네핏</v>
      </c>
      <c r="DE21" s="32"/>
      <c r="DF21" s="32"/>
      <c r="DG21" s="32"/>
      <c r="DH21" s="32" t="s">
        <v>261</v>
      </c>
      <c r="DI21" s="19" t="s">
        <v>137</v>
      </c>
      <c r="DJ21" s="22">
        <v>0.3</v>
      </c>
      <c r="DK21" s="51">
        <v>0.2</v>
      </c>
      <c r="DL21" s="32"/>
      <c r="DM21" s="20"/>
      <c r="DN21" s="32"/>
      <c r="DO21" s="32"/>
      <c r="DP21" s="22"/>
    </row>
    <row r="22" spans="1:120">
      <c r="A22" s="8">
        <v>20</v>
      </c>
      <c r="B22" s="8" t="s">
        <v>286</v>
      </c>
      <c r="C22" s="34" t="s">
        <v>244</v>
      </c>
      <c r="D22" s="8" t="s">
        <v>287</v>
      </c>
      <c r="E22" s="8" t="s">
        <v>246</v>
      </c>
      <c r="F22" s="8" t="s">
        <v>247</v>
      </c>
      <c r="G22" s="8" t="s">
        <v>248</v>
      </c>
      <c r="H22" s="8" t="s">
        <v>114</v>
      </c>
      <c r="I22" s="9">
        <v>12750000</v>
      </c>
      <c r="J22" s="8">
        <v>2022</v>
      </c>
      <c r="K22" s="10" t="s">
        <v>115</v>
      </c>
      <c r="L22" s="10" t="s">
        <v>116</v>
      </c>
      <c r="M22" s="8" t="s">
        <v>288</v>
      </c>
      <c r="N22" s="8" t="s">
        <v>289</v>
      </c>
      <c r="O22" s="8" t="s">
        <v>119</v>
      </c>
      <c r="P22" s="11">
        <v>998</v>
      </c>
      <c r="Q22" s="12">
        <v>44494</v>
      </c>
      <c r="R22" s="12">
        <v>44497</v>
      </c>
      <c r="S22" s="24">
        <v>44497</v>
      </c>
      <c r="T22" s="14" t="s">
        <v>120</v>
      </c>
      <c r="U22" s="12">
        <f t="shared" si="0"/>
        <v>46322</v>
      </c>
      <c r="V22" s="8">
        <f t="shared" ca="1" si="1"/>
        <v>3</v>
      </c>
      <c r="W22" s="16">
        <v>20000</v>
      </c>
      <c r="X22" s="9" t="s">
        <v>284</v>
      </c>
      <c r="Y22" s="9" t="s">
        <v>273</v>
      </c>
      <c r="Z22" s="9" t="s">
        <v>274</v>
      </c>
      <c r="AA22" s="9" t="s">
        <v>275</v>
      </c>
      <c r="AB22" s="12">
        <v>44505</v>
      </c>
      <c r="AC22" s="8">
        <f t="shared" si="4"/>
        <v>1825</v>
      </c>
      <c r="AD22" s="8">
        <f t="shared" ca="1" si="5"/>
        <v>96</v>
      </c>
      <c r="AE22" s="8">
        <f>VLOOKUP($B22, [1]렌트_계약서번호!$B$3:$E$501, 4, FALSE)</f>
        <v>21100005</v>
      </c>
      <c r="AF22" s="9">
        <v>13234421</v>
      </c>
      <c r="AG22" s="9">
        <v>200000</v>
      </c>
      <c r="AH22" s="9">
        <v>12704000</v>
      </c>
      <c r="AI22" s="9">
        <v>0</v>
      </c>
      <c r="AJ22" s="9">
        <v>2000</v>
      </c>
      <c r="AK22" s="9">
        <v>461960</v>
      </c>
      <c r="AL22" s="9">
        <v>0</v>
      </c>
      <c r="AM22" s="9">
        <v>2000</v>
      </c>
      <c r="AN22" s="9">
        <v>27000</v>
      </c>
      <c r="AO22" s="9">
        <v>30000</v>
      </c>
      <c r="AP22" s="9">
        <v>430000</v>
      </c>
      <c r="AQ22" s="9">
        <v>0</v>
      </c>
      <c r="AR22" s="9" t="s">
        <v>122</v>
      </c>
      <c r="AS22" s="9">
        <v>0</v>
      </c>
      <c r="AT22" s="9" t="s">
        <v>123</v>
      </c>
      <c r="AU22" s="9"/>
      <c r="AV22" s="13">
        <f t="shared" si="6"/>
        <v>522960</v>
      </c>
      <c r="AW22" s="13" t="s">
        <v>124</v>
      </c>
      <c r="AX22" s="17">
        <v>44494</v>
      </c>
      <c r="AY22" s="18">
        <v>1138590</v>
      </c>
      <c r="AZ22" s="25">
        <v>1034460</v>
      </c>
      <c r="BA22" s="9"/>
      <c r="BB22" s="9"/>
      <c r="BC22" s="9"/>
      <c r="BD22" s="9" t="s">
        <v>125</v>
      </c>
      <c r="BE22" s="9" t="s">
        <v>126</v>
      </c>
      <c r="BF22" s="9" t="s">
        <v>255</v>
      </c>
      <c r="BG22" s="9" t="s">
        <v>128</v>
      </c>
      <c r="BH22" s="9" t="s">
        <v>129</v>
      </c>
      <c r="BI22" s="9" t="s">
        <v>130</v>
      </c>
      <c r="BJ22" s="8" t="s">
        <v>256</v>
      </c>
      <c r="BK22" s="9" t="s">
        <v>132</v>
      </c>
      <c r="BL22" s="9" t="s">
        <v>133</v>
      </c>
      <c r="BM22" s="9" t="s">
        <v>257</v>
      </c>
      <c r="BN22" s="9" t="s">
        <v>134</v>
      </c>
      <c r="BO22" s="9" t="s">
        <v>134</v>
      </c>
      <c r="BP22" s="9" t="s">
        <v>135</v>
      </c>
      <c r="BQ22" s="8"/>
      <c r="BR22" s="9">
        <f t="shared" si="7"/>
        <v>17964</v>
      </c>
      <c r="BS22" s="8" t="s">
        <v>136</v>
      </c>
      <c r="BT22" s="12"/>
      <c r="BU22" s="8"/>
      <c r="BV22" s="26"/>
      <c r="BW22" s="8"/>
      <c r="BX22" s="9">
        <f t="shared" si="8"/>
        <v>0</v>
      </c>
      <c r="BY22" s="9">
        <f t="shared" si="9"/>
        <v>0</v>
      </c>
      <c r="BZ22" s="27">
        <v>0</v>
      </c>
      <c r="CA22" s="1"/>
      <c r="CB22" s="28" t="s">
        <v>120</v>
      </c>
      <c r="CC22" s="28" t="s">
        <v>120</v>
      </c>
      <c r="CD22" s="9">
        <v>342650</v>
      </c>
      <c r="CE22" s="9">
        <f t="shared" si="10"/>
        <v>60</v>
      </c>
      <c r="CF22" s="9">
        <f t="shared" si="11"/>
        <v>20559000</v>
      </c>
      <c r="CG22" s="9"/>
      <c r="CH22" s="9"/>
      <c r="CI22" s="9">
        <v>2506900</v>
      </c>
      <c r="CJ22" s="29">
        <v>0.04</v>
      </c>
      <c r="CK22" s="30">
        <v>0.04</v>
      </c>
      <c r="CL22" s="31" t="s">
        <v>259</v>
      </c>
      <c r="CM22" s="31"/>
      <c r="CN22" s="31"/>
      <c r="CO22" s="27">
        <v>0.03</v>
      </c>
      <c r="CP22" s="22"/>
      <c r="CQ22" s="32">
        <v>0</v>
      </c>
      <c r="CR22" s="32">
        <v>0</v>
      </c>
      <c r="CS22" s="32">
        <v>0</v>
      </c>
      <c r="CT22" s="32">
        <v>0</v>
      </c>
      <c r="CU22" s="32">
        <v>0</v>
      </c>
      <c r="CV22" s="32">
        <v>0</v>
      </c>
      <c r="CW22" s="32">
        <v>0</v>
      </c>
      <c r="CX22" s="32">
        <v>0</v>
      </c>
      <c r="CY22" s="32">
        <v>0</v>
      </c>
      <c r="CZ22" s="32">
        <v>0</v>
      </c>
      <c r="DA22" s="32">
        <v>0</v>
      </c>
      <c r="DB22" s="32" t="str">
        <f t="shared" si="12"/>
        <v>기아</v>
      </c>
      <c r="DC22" s="32" t="s">
        <v>260</v>
      </c>
      <c r="DD22" s="32" t="str">
        <f t="shared" ref="DD22:DD29" si="13">IF(DC22="정수원 실장","렌트베네핏", IF(DC22="박현식 부장", "렌트베네핏", IF(DC22="김성진 팀장", "청담", IF(DC22="전석영 부장", "방배", IF(DC22= "박봉호 부장", "일산",IF(DC77="정원철 부장", "청담"))))))</f>
        <v>렌트베네핏</v>
      </c>
      <c r="DE22" s="32"/>
      <c r="DF22" s="32"/>
      <c r="DG22" s="32"/>
      <c r="DH22" s="32" t="s">
        <v>261</v>
      </c>
      <c r="DI22" s="19" t="s">
        <v>137</v>
      </c>
      <c r="DJ22" s="22">
        <v>0.3</v>
      </c>
      <c r="DK22" s="51">
        <v>0.2</v>
      </c>
      <c r="DL22" s="32"/>
      <c r="DM22" s="20"/>
      <c r="DN22" s="32"/>
      <c r="DO22" s="32"/>
      <c r="DP22" s="22"/>
    </row>
    <row r="23" spans="1:120">
      <c r="A23" s="8">
        <v>21</v>
      </c>
      <c r="B23" s="8" t="s">
        <v>290</v>
      </c>
      <c r="C23" s="34" t="s">
        <v>244</v>
      </c>
      <c r="D23" s="8" t="s">
        <v>291</v>
      </c>
      <c r="E23" s="8" t="s">
        <v>246</v>
      </c>
      <c r="F23" s="8" t="s">
        <v>247</v>
      </c>
      <c r="G23" s="8" t="s">
        <v>248</v>
      </c>
      <c r="H23" s="8" t="s">
        <v>114</v>
      </c>
      <c r="I23" s="9">
        <v>12750000</v>
      </c>
      <c r="J23" s="8">
        <v>2022</v>
      </c>
      <c r="K23" s="10" t="s">
        <v>115</v>
      </c>
      <c r="L23" s="10" t="s">
        <v>116</v>
      </c>
      <c r="M23" s="8" t="s">
        <v>292</v>
      </c>
      <c r="N23" s="8" t="s">
        <v>293</v>
      </c>
      <c r="O23" s="8" t="s">
        <v>119</v>
      </c>
      <c r="P23" s="11">
        <v>998</v>
      </c>
      <c r="Q23" s="12">
        <v>44494</v>
      </c>
      <c r="R23" s="12">
        <v>44497</v>
      </c>
      <c r="S23" s="24">
        <v>44497</v>
      </c>
      <c r="T23" s="14" t="s">
        <v>120</v>
      </c>
      <c r="U23" s="12">
        <f t="shared" si="0"/>
        <v>46322</v>
      </c>
      <c r="V23" s="8">
        <f t="shared" ca="1" si="1"/>
        <v>3</v>
      </c>
      <c r="W23" s="16">
        <v>20000</v>
      </c>
      <c r="X23" s="9" t="s">
        <v>284</v>
      </c>
      <c r="Y23" s="9" t="s">
        <v>273</v>
      </c>
      <c r="Z23" s="9" t="s">
        <v>274</v>
      </c>
      <c r="AA23" s="9" t="s">
        <v>275</v>
      </c>
      <c r="AB23" s="12">
        <v>44505</v>
      </c>
      <c r="AC23" s="8">
        <f t="shared" si="4"/>
        <v>1825</v>
      </c>
      <c r="AD23" s="8">
        <f t="shared" ca="1" si="5"/>
        <v>96</v>
      </c>
      <c r="AE23" s="8">
        <f>VLOOKUP($B23, [1]렌트_계약서번호!$B$3:$E$501, 4, FALSE)</f>
        <v>21100006</v>
      </c>
      <c r="AF23" s="18">
        <v>13234421</v>
      </c>
      <c r="AG23" s="9">
        <v>200000</v>
      </c>
      <c r="AH23" s="9">
        <v>12704000</v>
      </c>
      <c r="AI23" s="9">
        <v>0</v>
      </c>
      <c r="AJ23" s="9">
        <v>2000</v>
      </c>
      <c r="AK23" s="9">
        <v>461960</v>
      </c>
      <c r="AL23" s="9">
        <v>0</v>
      </c>
      <c r="AM23" s="9">
        <v>2000</v>
      </c>
      <c r="AN23" s="9">
        <v>27000</v>
      </c>
      <c r="AO23" s="9">
        <v>30000</v>
      </c>
      <c r="AP23" s="9">
        <v>430000</v>
      </c>
      <c r="AQ23" s="9">
        <v>0</v>
      </c>
      <c r="AR23" s="9" t="s">
        <v>122</v>
      </c>
      <c r="AS23" s="9">
        <v>0</v>
      </c>
      <c r="AT23" s="9" t="s">
        <v>123</v>
      </c>
      <c r="AU23" s="9"/>
      <c r="AV23" s="13">
        <f t="shared" si="6"/>
        <v>522960</v>
      </c>
      <c r="AW23" s="13" t="s">
        <v>124</v>
      </c>
      <c r="AX23" s="17">
        <v>44494</v>
      </c>
      <c r="AY23" s="18">
        <v>1138590</v>
      </c>
      <c r="AZ23" s="25">
        <v>1034460</v>
      </c>
      <c r="BA23" s="9"/>
      <c r="BB23" s="9"/>
      <c r="BC23" s="9"/>
      <c r="BD23" s="9" t="s">
        <v>125</v>
      </c>
      <c r="BE23" s="9" t="s">
        <v>126</v>
      </c>
      <c r="BF23" s="9" t="s">
        <v>255</v>
      </c>
      <c r="BG23" s="9" t="s">
        <v>128</v>
      </c>
      <c r="BH23" s="9" t="s">
        <v>129</v>
      </c>
      <c r="BI23" s="9" t="s">
        <v>130</v>
      </c>
      <c r="BJ23" s="8" t="s">
        <v>256</v>
      </c>
      <c r="BK23" s="9" t="s">
        <v>132</v>
      </c>
      <c r="BL23" s="9" t="s">
        <v>133</v>
      </c>
      <c r="BM23" s="9" t="s">
        <v>257</v>
      </c>
      <c r="BN23" s="9" t="s">
        <v>134</v>
      </c>
      <c r="BO23" s="9" t="s">
        <v>134</v>
      </c>
      <c r="BP23" s="9" t="s">
        <v>135</v>
      </c>
      <c r="BQ23" s="8"/>
      <c r="BR23" s="9">
        <f t="shared" si="7"/>
        <v>17964</v>
      </c>
      <c r="BS23" s="8" t="s">
        <v>136</v>
      </c>
      <c r="BT23" s="19"/>
      <c r="BU23" s="9"/>
      <c r="BV23" s="26"/>
      <c r="BW23" s="9"/>
      <c r="BX23" s="9">
        <f t="shared" si="8"/>
        <v>0</v>
      </c>
      <c r="BY23" s="9">
        <f t="shared" si="9"/>
        <v>0</v>
      </c>
      <c r="BZ23" s="27">
        <v>0</v>
      </c>
      <c r="CA23" s="1"/>
      <c r="CB23" s="28" t="s">
        <v>120</v>
      </c>
      <c r="CC23" s="28" t="s">
        <v>120</v>
      </c>
      <c r="CD23" s="9">
        <v>342650</v>
      </c>
      <c r="CE23" s="9">
        <f t="shared" si="10"/>
        <v>60</v>
      </c>
      <c r="CF23" s="9">
        <f t="shared" si="11"/>
        <v>20559000</v>
      </c>
      <c r="CG23" s="9"/>
      <c r="CH23" s="9"/>
      <c r="CI23" s="9">
        <v>2506900</v>
      </c>
      <c r="CJ23" s="29">
        <v>0.04</v>
      </c>
      <c r="CK23" s="30">
        <v>0.04</v>
      </c>
      <c r="CL23" s="31" t="s">
        <v>259</v>
      </c>
      <c r="CM23" s="31"/>
      <c r="CN23" s="31"/>
      <c r="CO23" s="27">
        <v>0.03</v>
      </c>
      <c r="CP23" s="22"/>
      <c r="CQ23" s="32">
        <v>0</v>
      </c>
      <c r="CR23" s="32">
        <v>0</v>
      </c>
      <c r="CS23" s="32">
        <v>0</v>
      </c>
      <c r="CT23" s="32">
        <v>0</v>
      </c>
      <c r="CU23" s="32">
        <v>0</v>
      </c>
      <c r="CV23" s="32">
        <v>0</v>
      </c>
      <c r="CW23" s="32">
        <v>0</v>
      </c>
      <c r="CX23" s="32">
        <v>0</v>
      </c>
      <c r="CY23" s="32">
        <v>0</v>
      </c>
      <c r="CZ23" s="32">
        <v>0</v>
      </c>
      <c r="DA23" s="32">
        <v>0</v>
      </c>
      <c r="DB23" s="32" t="str">
        <f t="shared" si="12"/>
        <v>기아</v>
      </c>
      <c r="DC23" s="32" t="s">
        <v>260</v>
      </c>
      <c r="DD23" s="32" t="str">
        <f t="shared" si="13"/>
        <v>렌트베네핏</v>
      </c>
      <c r="DE23" s="32"/>
      <c r="DF23" s="32"/>
      <c r="DG23" s="32"/>
      <c r="DH23" s="32" t="s">
        <v>261</v>
      </c>
      <c r="DI23" s="19" t="s">
        <v>137</v>
      </c>
      <c r="DJ23" s="22">
        <v>0.3</v>
      </c>
      <c r="DK23" s="51">
        <v>0.2</v>
      </c>
      <c r="DL23" s="32"/>
      <c r="DM23" s="20"/>
      <c r="DN23" s="32"/>
      <c r="DO23" s="32"/>
      <c r="DP23" s="22"/>
    </row>
    <row r="24" spans="1:120">
      <c r="A24" s="8">
        <v>22</v>
      </c>
      <c r="B24" s="8" t="s">
        <v>294</v>
      </c>
      <c r="C24" s="34" t="s">
        <v>244</v>
      </c>
      <c r="D24" s="8" t="s">
        <v>295</v>
      </c>
      <c r="E24" s="8" t="s">
        <v>246</v>
      </c>
      <c r="F24" s="8" t="s">
        <v>247</v>
      </c>
      <c r="G24" s="8" t="s">
        <v>248</v>
      </c>
      <c r="H24" s="8" t="s">
        <v>114</v>
      </c>
      <c r="I24" s="9">
        <v>12750000</v>
      </c>
      <c r="J24" s="8">
        <v>2022</v>
      </c>
      <c r="K24" s="10" t="s">
        <v>115</v>
      </c>
      <c r="L24" s="10" t="s">
        <v>116</v>
      </c>
      <c r="M24" s="8" t="s">
        <v>296</v>
      </c>
      <c r="N24" s="8" t="s">
        <v>297</v>
      </c>
      <c r="O24" s="8" t="s">
        <v>119</v>
      </c>
      <c r="P24" s="11">
        <v>998</v>
      </c>
      <c r="Q24" s="12">
        <v>44494</v>
      </c>
      <c r="R24" s="12">
        <v>44497</v>
      </c>
      <c r="S24" s="24">
        <v>44497</v>
      </c>
      <c r="T24" s="14" t="s">
        <v>120</v>
      </c>
      <c r="U24" s="12">
        <f t="shared" si="0"/>
        <v>46322</v>
      </c>
      <c r="V24" s="8">
        <f t="shared" ca="1" si="1"/>
        <v>3</v>
      </c>
      <c r="W24" s="16">
        <v>20000</v>
      </c>
      <c r="X24" s="9" t="s">
        <v>298</v>
      </c>
      <c r="Y24" s="9" t="s">
        <v>252</v>
      </c>
      <c r="Z24" s="9" t="s">
        <v>253</v>
      </c>
      <c r="AA24" s="9" t="s">
        <v>254</v>
      </c>
      <c r="AB24" s="12">
        <v>44505</v>
      </c>
      <c r="AC24" s="8">
        <f t="shared" si="4"/>
        <v>1825</v>
      </c>
      <c r="AD24" s="8">
        <f t="shared" ca="1" si="5"/>
        <v>96</v>
      </c>
      <c r="AE24" s="8">
        <f>VLOOKUP($B24, [1]렌트_계약서번호!$B$3:$E$501, 4, FALSE)</f>
        <v>21100007</v>
      </c>
      <c r="AF24" s="18">
        <v>13234421</v>
      </c>
      <c r="AG24" s="9">
        <v>200000</v>
      </c>
      <c r="AH24" s="9">
        <v>12688000</v>
      </c>
      <c r="AI24" s="9">
        <v>0</v>
      </c>
      <c r="AJ24" s="9">
        <v>2000</v>
      </c>
      <c r="AK24" s="9">
        <v>461380</v>
      </c>
      <c r="AL24" s="9">
        <v>0</v>
      </c>
      <c r="AM24" s="9">
        <v>2000</v>
      </c>
      <c r="AN24" s="9">
        <v>27000</v>
      </c>
      <c r="AO24" s="9">
        <v>30000</v>
      </c>
      <c r="AP24" s="9">
        <v>430000</v>
      </c>
      <c r="AQ24" s="9">
        <v>0</v>
      </c>
      <c r="AR24" s="9" t="s">
        <v>122</v>
      </c>
      <c r="AS24" s="9">
        <v>0</v>
      </c>
      <c r="AT24" s="9" t="s">
        <v>123</v>
      </c>
      <c r="AU24" s="9"/>
      <c r="AV24" s="13">
        <f t="shared" si="6"/>
        <v>522380</v>
      </c>
      <c r="AW24" s="13" t="s">
        <v>124</v>
      </c>
      <c r="AX24" s="17">
        <v>44494</v>
      </c>
      <c r="AY24" s="18">
        <v>1138590</v>
      </c>
      <c r="AZ24" s="25">
        <v>1034460</v>
      </c>
      <c r="BA24" s="9"/>
      <c r="BB24" s="9"/>
      <c r="BC24" s="9"/>
      <c r="BD24" s="9" t="s">
        <v>125</v>
      </c>
      <c r="BE24" s="9" t="s">
        <v>126</v>
      </c>
      <c r="BF24" s="9" t="s">
        <v>255</v>
      </c>
      <c r="BG24" s="9" t="s">
        <v>128</v>
      </c>
      <c r="BH24" s="9" t="s">
        <v>129</v>
      </c>
      <c r="BI24" s="9" t="s">
        <v>130</v>
      </c>
      <c r="BJ24" s="8" t="s">
        <v>256</v>
      </c>
      <c r="BK24" s="9" t="s">
        <v>132</v>
      </c>
      <c r="BL24" s="9" t="s">
        <v>133</v>
      </c>
      <c r="BM24" s="9" t="s">
        <v>257</v>
      </c>
      <c r="BN24" s="9" t="s">
        <v>134</v>
      </c>
      <c r="BO24" s="9" t="s">
        <v>134</v>
      </c>
      <c r="BP24" s="9" t="s">
        <v>135</v>
      </c>
      <c r="BQ24" s="8"/>
      <c r="BR24" s="9">
        <f t="shared" si="7"/>
        <v>17964</v>
      </c>
      <c r="BS24" s="8" t="s">
        <v>136</v>
      </c>
      <c r="BT24" s="19"/>
      <c r="BU24" s="9"/>
      <c r="BV24" s="26"/>
      <c r="BW24" s="9"/>
      <c r="BX24" s="9">
        <f t="shared" si="8"/>
        <v>0</v>
      </c>
      <c r="BY24" s="9">
        <f t="shared" si="9"/>
        <v>0</v>
      </c>
      <c r="BZ24" s="27">
        <v>0</v>
      </c>
      <c r="CA24" s="1"/>
      <c r="CB24" s="28" t="s">
        <v>120</v>
      </c>
      <c r="CC24" s="28" t="s">
        <v>120</v>
      </c>
      <c r="CD24" s="9">
        <v>342650</v>
      </c>
      <c r="CE24" s="9">
        <f t="shared" si="10"/>
        <v>60</v>
      </c>
      <c r="CF24" s="9">
        <f t="shared" si="11"/>
        <v>20559000</v>
      </c>
      <c r="CG24" s="9"/>
      <c r="CH24" s="9"/>
      <c r="CI24" s="9">
        <v>2506900</v>
      </c>
      <c r="CJ24" s="29">
        <v>0.04</v>
      </c>
      <c r="CK24" s="30">
        <v>0.04</v>
      </c>
      <c r="CL24" s="31" t="s">
        <v>259</v>
      </c>
      <c r="CM24" s="31"/>
      <c r="CN24" s="31"/>
      <c r="CO24" s="27">
        <v>0.03</v>
      </c>
      <c r="CP24" s="22"/>
      <c r="CQ24" s="32">
        <v>0</v>
      </c>
      <c r="CR24" s="32">
        <v>0</v>
      </c>
      <c r="CS24" s="32">
        <v>0</v>
      </c>
      <c r="CT24" s="32">
        <v>0</v>
      </c>
      <c r="CU24" s="32">
        <v>0</v>
      </c>
      <c r="CV24" s="32">
        <v>0</v>
      </c>
      <c r="CW24" s="32">
        <v>0</v>
      </c>
      <c r="CX24" s="32">
        <v>0</v>
      </c>
      <c r="CY24" s="32">
        <v>0</v>
      </c>
      <c r="CZ24" s="32">
        <v>0</v>
      </c>
      <c r="DA24" s="32">
        <v>0</v>
      </c>
      <c r="DB24" s="32" t="str">
        <f t="shared" si="12"/>
        <v>기아</v>
      </c>
      <c r="DC24" s="32" t="s">
        <v>260</v>
      </c>
      <c r="DD24" s="32" t="str">
        <f t="shared" si="13"/>
        <v>렌트베네핏</v>
      </c>
      <c r="DE24" s="32"/>
      <c r="DF24" s="32"/>
      <c r="DG24" s="32"/>
      <c r="DH24" s="32" t="s">
        <v>261</v>
      </c>
      <c r="DI24" s="19" t="s">
        <v>137</v>
      </c>
      <c r="DJ24" s="22">
        <v>0.3</v>
      </c>
      <c r="DK24" s="51">
        <v>0.2</v>
      </c>
      <c r="DL24" s="32"/>
      <c r="DM24" s="20"/>
      <c r="DN24" s="32"/>
      <c r="DO24" s="32"/>
      <c r="DP24" s="22"/>
    </row>
    <row r="25" spans="1:120">
      <c r="A25" s="8">
        <v>23</v>
      </c>
      <c r="B25" s="8" t="s">
        <v>299</v>
      </c>
      <c r="C25" s="34" t="s">
        <v>244</v>
      </c>
      <c r="D25" s="8" t="s">
        <v>300</v>
      </c>
      <c r="E25" s="8" t="s">
        <v>246</v>
      </c>
      <c r="F25" s="8" t="s">
        <v>247</v>
      </c>
      <c r="G25" s="8" t="s">
        <v>248</v>
      </c>
      <c r="H25" s="8" t="s">
        <v>114</v>
      </c>
      <c r="I25" s="9">
        <v>12750000</v>
      </c>
      <c r="J25" s="8">
        <v>2022</v>
      </c>
      <c r="K25" s="10" t="s">
        <v>115</v>
      </c>
      <c r="L25" s="10" t="s">
        <v>116</v>
      </c>
      <c r="M25" s="8" t="s">
        <v>301</v>
      </c>
      <c r="N25" s="8" t="s">
        <v>302</v>
      </c>
      <c r="O25" s="8" t="s">
        <v>119</v>
      </c>
      <c r="P25" s="11">
        <v>998</v>
      </c>
      <c r="Q25" s="12">
        <v>44494</v>
      </c>
      <c r="R25" s="12">
        <v>44497</v>
      </c>
      <c r="S25" s="24">
        <v>44497</v>
      </c>
      <c r="T25" s="14" t="s">
        <v>120</v>
      </c>
      <c r="U25" s="12">
        <f t="shared" si="0"/>
        <v>46322</v>
      </c>
      <c r="V25" s="8">
        <f t="shared" ca="1" si="1"/>
        <v>3</v>
      </c>
      <c r="W25" s="16">
        <v>20000</v>
      </c>
      <c r="X25" s="9" t="s">
        <v>303</v>
      </c>
      <c r="Y25" s="9" t="s">
        <v>304</v>
      </c>
      <c r="Z25" s="9" t="s">
        <v>305</v>
      </c>
      <c r="AA25" s="9" t="s">
        <v>306</v>
      </c>
      <c r="AB25" s="12">
        <v>44505</v>
      </c>
      <c r="AC25" s="8">
        <f t="shared" si="4"/>
        <v>1825</v>
      </c>
      <c r="AD25" s="8">
        <f t="shared" ca="1" si="5"/>
        <v>96</v>
      </c>
      <c r="AE25" s="8">
        <f>VLOOKUP($B25, [1]렌트_계약서번호!$B$3:$E$501, 4, FALSE)</f>
        <v>21100008</v>
      </c>
      <c r="AF25" s="18">
        <v>13234421</v>
      </c>
      <c r="AG25" s="9">
        <v>200000</v>
      </c>
      <c r="AH25" s="9">
        <v>12799000</v>
      </c>
      <c r="AI25" s="9">
        <v>0</v>
      </c>
      <c r="AJ25" s="9">
        <v>2000</v>
      </c>
      <c r="AK25" s="9">
        <v>465410</v>
      </c>
      <c r="AL25" s="9">
        <v>0</v>
      </c>
      <c r="AM25" s="9">
        <v>2000</v>
      </c>
      <c r="AN25" s="9">
        <v>27000</v>
      </c>
      <c r="AO25" s="9">
        <v>30000</v>
      </c>
      <c r="AP25" s="9">
        <v>430000</v>
      </c>
      <c r="AQ25" s="9">
        <v>0</v>
      </c>
      <c r="AR25" s="9" t="s">
        <v>122</v>
      </c>
      <c r="AS25" s="9">
        <v>0</v>
      </c>
      <c r="AT25" s="9" t="s">
        <v>123</v>
      </c>
      <c r="AU25" s="9"/>
      <c r="AV25" s="13">
        <f t="shared" si="6"/>
        <v>526410</v>
      </c>
      <c r="AW25" s="13" t="s">
        <v>124</v>
      </c>
      <c r="AX25" s="17">
        <v>44494</v>
      </c>
      <c r="AY25" s="18">
        <v>1138590</v>
      </c>
      <c r="AZ25" s="25">
        <v>1034460</v>
      </c>
      <c r="BA25" s="9"/>
      <c r="BB25" s="9"/>
      <c r="BC25" s="9"/>
      <c r="BD25" s="9" t="s">
        <v>125</v>
      </c>
      <c r="BE25" s="9" t="s">
        <v>126</v>
      </c>
      <c r="BF25" s="9" t="s">
        <v>255</v>
      </c>
      <c r="BG25" s="9" t="s">
        <v>128</v>
      </c>
      <c r="BH25" s="9" t="s">
        <v>129</v>
      </c>
      <c r="BI25" s="9" t="s">
        <v>130</v>
      </c>
      <c r="BJ25" s="8" t="s">
        <v>256</v>
      </c>
      <c r="BK25" s="9" t="s">
        <v>132</v>
      </c>
      <c r="BL25" s="9" t="s">
        <v>133</v>
      </c>
      <c r="BM25" s="9" t="s">
        <v>257</v>
      </c>
      <c r="BN25" s="9" t="s">
        <v>134</v>
      </c>
      <c r="BO25" s="9" t="s">
        <v>134</v>
      </c>
      <c r="BP25" s="9" t="s">
        <v>135</v>
      </c>
      <c r="BQ25" s="8"/>
      <c r="BR25" s="9">
        <f t="shared" si="7"/>
        <v>17964</v>
      </c>
      <c r="BS25" s="8" t="s">
        <v>136</v>
      </c>
      <c r="BT25" s="19"/>
      <c r="BU25" s="9"/>
      <c r="BV25" s="26"/>
      <c r="BW25" s="9"/>
      <c r="BX25" s="9">
        <f t="shared" si="8"/>
        <v>0</v>
      </c>
      <c r="BY25" s="9">
        <f t="shared" si="9"/>
        <v>0</v>
      </c>
      <c r="BZ25" s="27">
        <v>0</v>
      </c>
      <c r="CA25" s="1"/>
      <c r="CB25" s="28" t="s">
        <v>120</v>
      </c>
      <c r="CC25" s="28" t="s">
        <v>120</v>
      </c>
      <c r="CD25" s="9">
        <v>342650</v>
      </c>
      <c r="CE25" s="9">
        <f t="shared" si="10"/>
        <v>60</v>
      </c>
      <c r="CF25" s="9">
        <f t="shared" si="11"/>
        <v>20559000</v>
      </c>
      <c r="CG25" s="9"/>
      <c r="CH25" s="9"/>
      <c r="CI25" s="9">
        <v>2506900</v>
      </c>
      <c r="CJ25" s="29">
        <v>0.04</v>
      </c>
      <c r="CK25" s="30">
        <v>0.04</v>
      </c>
      <c r="CL25" s="31" t="s">
        <v>259</v>
      </c>
      <c r="CM25" s="31"/>
      <c r="CN25" s="31"/>
      <c r="CO25" s="27">
        <v>0.03</v>
      </c>
      <c r="CP25" s="22"/>
      <c r="CQ25" s="32">
        <v>0</v>
      </c>
      <c r="CR25" s="32">
        <v>0</v>
      </c>
      <c r="CS25" s="32">
        <v>0</v>
      </c>
      <c r="CT25" s="32">
        <v>0</v>
      </c>
      <c r="CU25" s="32">
        <v>0</v>
      </c>
      <c r="CV25" s="32">
        <v>0</v>
      </c>
      <c r="CW25" s="32">
        <v>0</v>
      </c>
      <c r="CX25" s="32">
        <v>0</v>
      </c>
      <c r="CY25" s="32">
        <v>0</v>
      </c>
      <c r="CZ25" s="32">
        <v>0</v>
      </c>
      <c r="DA25" s="32">
        <v>0</v>
      </c>
      <c r="DB25" s="32" t="str">
        <f t="shared" si="12"/>
        <v>기아</v>
      </c>
      <c r="DC25" s="32" t="s">
        <v>260</v>
      </c>
      <c r="DD25" s="32" t="str">
        <f t="shared" si="13"/>
        <v>렌트베네핏</v>
      </c>
      <c r="DE25" s="32"/>
      <c r="DF25" s="32"/>
      <c r="DG25" s="32"/>
      <c r="DH25" s="32" t="s">
        <v>261</v>
      </c>
      <c r="DI25" s="19" t="s">
        <v>137</v>
      </c>
      <c r="DJ25" s="22">
        <v>0.3</v>
      </c>
      <c r="DK25" s="51">
        <v>0.2</v>
      </c>
      <c r="DL25" s="32"/>
      <c r="DM25" s="20"/>
      <c r="DN25" s="32"/>
      <c r="DO25" s="32"/>
      <c r="DP25" s="22"/>
    </row>
    <row r="26" spans="1:120">
      <c r="A26" s="8">
        <v>24</v>
      </c>
      <c r="B26" s="8" t="s">
        <v>307</v>
      </c>
      <c r="C26" s="34" t="s">
        <v>244</v>
      </c>
      <c r="D26" s="8" t="s">
        <v>308</v>
      </c>
      <c r="E26" s="8" t="s">
        <v>246</v>
      </c>
      <c r="F26" s="8" t="s">
        <v>247</v>
      </c>
      <c r="G26" s="8" t="s">
        <v>248</v>
      </c>
      <c r="H26" s="8" t="s">
        <v>114</v>
      </c>
      <c r="I26" s="9">
        <v>12750000</v>
      </c>
      <c r="J26" s="8">
        <v>2022</v>
      </c>
      <c r="K26" s="10" t="s">
        <v>115</v>
      </c>
      <c r="L26" s="10" t="s">
        <v>116</v>
      </c>
      <c r="M26" s="8" t="s">
        <v>309</v>
      </c>
      <c r="N26" s="8" t="s">
        <v>310</v>
      </c>
      <c r="O26" s="8" t="s">
        <v>119</v>
      </c>
      <c r="P26" s="11">
        <v>998</v>
      </c>
      <c r="Q26" s="12">
        <v>44494</v>
      </c>
      <c r="R26" s="12">
        <v>44497</v>
      </c>
      <c r="S26" s="24">
        <v>44497</v>
      </c>
      <c r="T26" s="14" t="s">
        <v>120</v>
      </c>
      <c r="U26" s="12">
        <f t="shared" si="0"/>
        <v>46322</v>
      </c>
      <c r="V26" s="8">
        <f t="shared" ca="1" si="1"/>
        <v>3</v>
      </c>
      <c r="W26" s="16">
        <v>20000</v>
      </c>
      <c r="X26" s="9" t="s">
        <v>303</v>
      </c>
      <c r="Y26" s="9" t="s">
        <v>304</v>
      </c>
      <c r="Z26" s="9" t="s">
        <v>305</v>
      </c>
      <c r="AA26" s="9" t="s">
        <v>306</v>
      </c>
      <c r="AB26" s="12">
        <v>44505</v>
      </c>
      <c r="AC26" s="8">
        <f t="shared" si="4"/>
        <v>1825</v>
      </c>
      <c r="AD26" s="8">
        <f t="shared" ca="1" si="5"/>
        <v>96</v>
      </c>
      <c r="AE26" s="8">
        <f>VLOOKUP($B26, [1]렌트_계약서번호!$B$3:$E$501, 4, FALSE)</f>
        <v>21100009</v>
      </c>
      <c r="AF26" s="18">
        <v>13234421</v>
      </c>
      <c r="AG26" s="9">
        <v>200000</v>
      </c>
      <c r="AH26" s="9">
        <v>12799000</v>
      </c>
      <c r="AI26" s="9">
        <v>0</v>
      </c>
      <c r="AJ26" s="9">
        <v>2000</v>
      </c>
      <c r="AK26" s="9">
        <v>465410</v>
      </c>
      <c r="AL26" s="9">
        <v>0</v>
      </c>
      <c r="AM26" s="9">
        <v>2000</v>
      </c>
      <c r="AN26" s="9">
        <v>27000</v>
      </c>
      <c r="AO26" s="9">
        <v>30000</v>
      </c>
      <c r="AP26" s="9">
        <v>430000</v>
      </c>
      <c r="AQ26" s="9">
        <v>0</v>
      </c>
      <c r="AR26" s="9" t="s">
        <v>122</v>
      </c>
      <c r="AS26" s="9">
        <v>0</v>
      </c>
      <c r="AT26" s="9" t="s">
        <v>123</v>
      </c>
      <c r="AU26" s="9"/>
      <c r="AV26" s="13">
        <f t="shared" si="6"/>
        <v>526410</v>
      </c>
      <c r="AW26" s="13" t="s">
        <v>124</v>
      </c>
      <c r="AX26" s="17">
        <v>44494</v>
      </c>
      <c r="AY26" s="18">
        <v>1138590</v>
      </c>
      <c r="AZ26" s="25">
        <v>1034460</v>
      </c>
      <c r="BA26" s="9"/>
      <c r="BB26" s="9"/>
      <c r="BC26" s="9"/>
      <c r="BD26" s="9" t="s">
        <v>125</v>
      </c>
      <c r="BE26" s="9" t="s">
        <v>126</v>
      </c>
      <c r="BF26" s="9" t="s">
        <v>255</v>
      </c>
      <c r="BG26" s="9" t="s">
        <v>128</v>
      </c>
      <c r="BH26" s="9" t="s">
        <v>129</v>
      </c>
      <c r="BI26" s="9" t="s">
        <v>130</v>
      </c>
      <c r="BJ26" s="8" t="s">
        <v>256</v>
      </c>
      <c r="BK26" s="9" t="s">
        <v>132</v>
      </c>
      <c r="BL26" s="9" t="s">
        <v>133</v>
      </c>
      <c r="BM26" s="9" t="s">
        <v>257</v>
      </c>
      <c r="BN26" s="9" t="s">
        <v>134</v>
      </c>
      <c r="BO26" s="9" t="s">
        <v>134</v>
      </c>
      <c r="BP26" s="9" t="s">
        <v>135</v>
      </c>
      <c r="BQ26" s="8"/>
      <c r="BR26" s="9">
        <f t="shared" si="7"/>
        <v>17964</v>
      </c>
      <c r="BS26" s="8" t="s">
        <v>136</v>
      </c>
      <c r="BT26" s="19"/>
      <c r="BU26" s="9"/>
      <c r="BV26" s="26"/>
      <c r="BW26" s="9"/>
      <c r="BX26" s="9">
        <f t="shared" si="8"/>
        <v>0</v>
      </c>
      <c r="BY26" s="9">
        <f t="shared" si="9"/>
        <v>0</v>
      </c>
      <c r="BZ26" s="27">
        <v>0</v>
      </c>
      <c r="CA26" s="1"/>
      <c r="CB26" s="28" t="s">
        <v>120</v>
      </c>
      <c r="CC26" s="28" t="s">
        <v>120</v>
      </c>
      <c r="CD26" s="9">
        <v>342650</v>
      </c>
      <c r="CE26" s="9">
        <f t="shared" si="10"/>
        <v>60</v>
      </c>
      <c r="CF26" s="9">
        <f t="shared" si="11"/>
        <v>20559000</v>
      </c>
      <c r="CG26" s="9"/>
      <c r="CH26" s="9"/>
      <c r="CI26" s="9">
        <v>2506900</v>
      </c>
      <c r="CJ26" s="29">
        <v>0.04</v>
      </c>
      <c r="CK26" s="30">
        <v>0.04</v>
      </c>
      <c r="CL26" s="31" t="s">
        <v>259</v>
      </c>
      <c r="CM26" s="31"/>
      <c r="CN26" s="31"/>
      <c r="CO26" s="27">
        <v>0.03</v>
      </c>
      <c r="CP26" s="22"/>
      <c r="CQ26" s="32">
        <v>0</v>
      </c>
      <c r="CR26" s="32">
        <v>0</v>
      </c>
      <c r="CS26" s="32">
        <v>0</v>
      </c>
      <c r="CT26" s="32">
        <v>0</v>
      </c>
      <c r="CU26" s="32">
        <v>0</v>
      </c>
      <c r="CV26" s="32">
        <v>0</v>
      </c>
      <c r="CW26" s="32">
        <v>0</v>
      </c>
      <c r="CX26" s="32">
        <v>0</v>
      </c>
      <c r="CY26" s="32">
        <v>0</v>
      </c>
      <c r="CZ26" s="32">
        <v>0</v>
      </c>
      <c r="DA26" s="32">
        <v>0</v>
      </c>
      <c r="DB26" s="32" t="str">
        <f t="shared" si="12"/>
        <v>기아</v>
      </c>
      <c r="DC26" s="32" t="s">
        <v>260</v>
      </c>
      <c r="DD26" s="32" t="str">
        <f t="shared" si="13"/>
        <v>렌트베네핏</v>
      </c>
      <c r="DE26" s="32"/>
      <c r="DF26" s="32"/>
      <c r="DG26" s="32"/>
      <c r="DH26" s="32" t="s">
        <v>261</v>
      </c>
      <c r="DI26" s="19" t="s">
        <v>137</v>
      </c>
      <c r="DJ26" s="22">
        <v>0.3</v>
      </c>
      <c r="DK26" s="51">
        <v>0.2</v>
      </c>
      <c r="DL26" s="32"/>
      <c r="DM26" s="20"/>
      <c r="DN26" s="32"/>
      <c r="DO26" s="32"/>
      <c r="DP26" s="22"/>
    </row>
    <row r="27" spans="1:120">
      <c r="A27" s="8">
        <v>25</v>
      </c>
      <c r="B27" s="8" t="s">
        <v>311</v>
      </c>
      <c r="C27" s="34" t="s">
        <v>244</v>
      </c>
      <c r="D27" s="8" t="s">
        <v>312</v>
      </c>
      <c r="E27" s="8" t="s">
        <v>246</v>
      </c>
      <c r="F27" s="8" t="s">
        <v>247</v>
      </c>
      <c r="G27" s="8" t="s">
        <v>248</v>
      </c>
      <c r="H27" s="8" t="s">
        <v>114</v>
      </c>
      <c r="I27" s="9">
        <v>12750000</v>
      </c>
      <c r="J27" s="8">
        <v>2022</v>
      </c>
      <c r="K27" s="10" t="s">
        <v>115</v>
      </c>
      <c r="L27" s="10" t="s">
        <v>116</v>
      </c>
      <c r="M27" s="8" t="s">
        <v>313</v>
      </c>
      <c r="N27" s="8" t="s">
        <v>314</v>
      </c>
      <c r="O27" s="8" t="s">
        <v>119</v>
      </c>
      <c r="P27" s="11">
        <v>998</v>
      </c>
      <c r="Q27" s="12">
        <v>44494</v>
      </c>
      <c r="R27" s="12">
        <v>44497</v>
      </c>
      <c r="S27" s="24">
        <v>44497</v>
      </c>
      <c r="T27" s="14" t="s">
        <v>120</v>
      </c>
      <c r="U27" s="12">
        <f t="shared" si="0"/>
        <v>46322</v>
      </c>
      <c r="V27" s="8">
        <f t="shared" ca="1" si="1"/>
        <v>3</v>
      </c>
      <c r="W27" s="16">
        <v>20000</v>
      </c>
      <c r="X27" s="9" t="s">
        <v>315</v>
      </c>
      <c r="Y27" s="9" t="s">
        <v>304</v>
      </c>
      <c r="Z27" s="9" t="s">
        <v>305</v>
      </c>
      <c r="AA27" s="9" t="s">
        <v>306</v>
      </c>
      <c r="AB27" s="12">
        <v>44505</v>
      </c>
      <c r="AC27" s="8">
        <f t="shared" si="4"/>
        <v>1825</v>
      </c>
      <c r="AD27" s="8">
        <f t="shared" ca="1" si="5"/>
        <v>96</v>
      </c>
      <c r="AE27" s="8">
        <f>VLOOKUP($B27, [1]렌트_계약서번호!$B$3:$E$501, 4, FALSE)</f>
        <v>21100010</v>
      </c>
      <c r="AF27" s="18">
        <v>13234421</v>
      </c>
      <c r="AG27" s="9">
        <v>200000</v>
      </c>
      <c r="AH27" s="9">
        <v>12799000</v>
      </c>
      <c r="AI27" s="9">
        <v>0</v>
      </c>
      <c r="AJ27" s="9">
        <v>2000</v>
      </c>
      <c r="AK27" s="9">
        <v>465410</v>
      </c>
      <c r="AL27" s="9">
        <v>0</v>
      </c>
      <c r="AM27" s="9">
        <v>2000</v>
      </c>
      <c r="AN27" s="9">
        <v>27000</v>
      </c>
      <c r="AO27" s="9">
        <v>30000</v>
      </c>
      <c r="AP27" s="9">
        <v>430000</v>
      </c>
      <c r="AQ27" s="9">
        <v>0</v>
      </c>
      <c r="AR27" s="9" t="s">
        <v>122</v>
      </c>
      <c r="AS27" s="9">
        <v>0</v>
      </c>
      <c r="AT27" s="9" t="s">
        <v>123</v>
      </c>
      <c r="AU27" s="9"/>
      <c r="AV27" s="13">
        <f t="shared" si="6"/>
        <v>526410</v>
      </c>
      <c r="AW27" s="13" t="s">
        <v>124</v>
      </c>
      <c r="AX27" s="17">
        <v>44494</v>
      </c>
      <c r="AY27" s="18">
        <v>1138590</v>
      </c>
      <c r="AZ27" s="25">
        <v>1034460</v>
      </c>
      <c r="BA27" s="9"/>
      <c r="BB27" s="9"/>
      <c r="BC27" s="9"/>
      <c r="BD27" s="9" t="s">
        <v>125</v>
      </c>
      <c r="BE27" s="9" t="s">
        <v>126</v>
      </c>
      <c r="BF27" s="9" t="s">
        <v>255</v>
      </c>
      <c r="BG27" s="9" t="s">
        <v>128</v>
      </c>
      <c r="BH27" s="9" t="s">
        <v>129</v>
      </c>
      <c r="BI27" s="9" t="s">
        <v>130</v>
      </c>
      <c r="BJ27" s="8" t="s">
        <v>256</v>
      </c>
      <c r="BK27" s="9" t="s">
        <v>132</v>
      </c>
      <c r="BL27" s="9" t="s">
        <v>133</v>
      </c>
      <c r="BM27" s="9" t="s">
        <v>257</v>
      </c>
      <c r="BN27" s="9" t="s">
        <v>134</v>
      </c>
      <c r="BO27" s="9" t="s">
        <v>134</v>
      </c>
      <c r="BP27" s="9" t="s">
        <v>135</v>
      </c>
      <c r="BQ27" s="8"/>
      <c r="BR27" s="9">
        <f t="shared" si="7"/>
        <v>17964</v>
      </c>
      <c r="BS27" s="8" t="s">
        <v>136</v>
      </c>
      <c r="BT27" s="19"/>
      <c r="BU27" s="9"/>
      <c r="BV27" s="26"/>
      <c r="BW27" s="9"/>
      <c r="BX27" s="9">
        <f t="shared" si="8"/>
        <v>0</v>
      </c>
      <c r="BY27" s="9">
        <f t="shared" si="9"/>
        <v>0</v>
      </c>
      <c r="BZ27" s="27">
        <v>0</v>
      </c>
      <c r="CA27" s="1"/>
      <c r="CB27" s="28" t="s">
        <v>120</v>
      </c>
      <c r="CC27" s="28" t="s">
        <v>120</v>
      </c>
      <c r="CD27" s="9">
        <v>342650</v>
      </c>
      <c r="CE27" s="9">
        <f t="shared" si="10"/>
        <v>60</v>
      </c>
      <c r="CF27" s="9">
        <f t="shared" si="11"/>
        <v>20559000</v>
      </c>
      <c r="CG27" s="9"/>
      <c r="CH27" s="9"/>
      <c r="CI27" s="9">
        <v>2506900</v>
      </c>
      <c r="CJ27" s="29">
        <v>0.04</v>
      </c>
      <c r="CK27" s="30">
        <v>0.04</v>
      </c>
      <c r="CL27" s="31" t="s">
        <v>259</v>
      </c>
      <c r="CM27" s="31"/>
      <c r="CN27" s="31"/>
      <c r="CO27" s="27">
        <v>0.03</v>
      </c>
      <c r="CP27" s="22"/>
      <c r="CQ27" s="32">
        <v>0</v>
      </c>
      <c r="CR27" s="32">
        <v>0</v>
      </c>
      <c r="CS27" s="32">
        <v>0</v>
      </c>
      <c r="CT27" s="32">
        <v>0</v>
      </c>
      <c r="CU27" s="32">
        <v>0</v>
      </c>
      <c r="CV27" s="32">
        <v>0</v>
      </c>
      <c r="CW27" s="32">
        <v>0</v>
      </c>
      <c r="CX27" s="32">
        <v>0</v>
      </c>
      <c r="CY27" s="32">
        <v>0</v>
      </c>
      <c r="CZ27" s="32">
        <v>0</v>
      </c>
      <c r="DA27" s="32">
        <v>0</v>
      </c>
      <c r="DB27" s="32" t="str">
        <f t="shared" si="12"/>
        <v>기아</v>
      </c>
      <c r="DC27" s="32" t="s">
        <v>260</v>
      </c>
      <c r="DD27" s="32" t="str">
        <f t="shared" si="13"/>
        <v>렌트베네핏</v>
      </c>
      <c r="DE27" s="32"/>
      <c r="DF27" s="32"/>
      <c r="DG27" s="32"/>
      <c r="DH27" s="32" t="s">
        <v>261</v>
      </c>
      <c r="DI27" s="19" t="s">
        <v>137</v>
      </c>
      <c r="DJ27" s="22">
        <v>0.3</v>
      </c>
      <c r="DK27" s="51">
        <v>0.2</v>
      </c>
      <c r="DL27" s="32"/>
      <c r="DM27" s="20"/>
      <c r="DN27" s="32"/>
      <c r="DO27" s="32"/>
      <c r="DP27" s="22"/>
    </row>
    <row r="28" spans="1:120">
      <c r="A28" s="8">
        <v>26</v>
      </c>
      <c r="B28" s="8" t="s">
        <v>316</v>
      </c>
      <c r="C28" s="34" t="s">
        <v>244</v>
      </c>
      <c r="D28" s="8" t="s">
        <v>317</v>
      </c>
      <c r="E28" s="8" t="s">
        <v>246</v>
      </c>
      <c r="F28" s="8" t="s">
        <v>247</v>
      </c>
      <c r="G28" s="8" t="s">
        <v>248</v>
      </c>
      <c r="H28" s="8" t="s">
        <v>114</v>
      </c>
      <c r="I28" s="9">
        <v>12750000</v>
      </c>
      <c r="J28" s="8">
        <v>2022</v>
      </c>
      <c r="K28" s="10" t="s">
        <v>115</v>
      </c>
      <c r="L28" s="10" t="s">
        <v>116</v>
      </c>
      <c r="M28" s="8" t="s">
        <v>318</v>
      </c>
      <c r="N28" s="8" t="s">
        <v>319</v>
      </c>
      <c r="O28" s="8" t="s">
        <v>119</v>
      </c>
      <c r="P28" s="11">
        <v>998</v>
      </c>
      <c r="Q28" s="12">
        <v>44494</v>
      </c>
      <c r="R28" s="12">
        <v>44497</v>
      </c>
      <c r="S28" s="24">
        <v>44497</v>
      </c>
      <c r="T28" s="14" t="s">
        <v>120</v>
      </c>
      <c r="U28" s="12">
        <f t="shared" si="0"/>
        <v>46322</v>
      </c>
      <c r="V28" s="8">
        <f t="shared" ca="1" si="1"/>
        <v>3</v>
      </c>
      <c r="W28" s="16">
        <v>20000</v>
      </c>
      <c r="X28" s="9" t="s">
        <v>320</v>
      </c>
      <c r="Y28" s="9" t="s">
        <v>321</v>
      </c>
      <c r="Z28" s="9" t="s">
        <v>322</v>
      </c>
      <c r="AA28" s="9" t="s">
        <v>323</v>
      </c>
      <c r="AB28" s="12">
        <v>44505</v>
      </c>
      <c r="AC28" s="8">
        <f t="shared" si="4"/>
        <v>1825</v>
      </c>
      <c r="AD28" s="8">
        <f t="shared" ca="1" si="5"/>
        <v>96</v>
      </c>
      <c r="AE28" s="8">
        <f>VLOOKUP($B28, [1]렌트_계약서번호!$B$3:$E$501, 4, FALSE)</f>
        <v>21100011</v>
      </c>
      <c r="AF28" s="18">
        <v>13234421</v>
      </c>
      <c r="AG28" s="9">
        <v>200000</v>
      </c>
      <c r="AH28" s="9">
        <v>12786000</v>
      </c>
      <c r="AI28" s="9">
        <v>0</v>
      </c>
      <c r="AJ28" s="9">
        <v>2000</v>
      </c>
      <c r="AK28" s="9">
        <v>464940</v>
      </c>
      <c r="AL28" s="9">
        <v>0</v>
      </c>
      <c r="AM28" s="9">
        <v>2000</v>
      </c>
      <c r="AN28" s="9">
        <v>27000</v>
      </c>
      <c r="AO28" s="9">
        <v>30000</v>
      </c>
      <c r="AP28" s="9">
        <v>430000</v>
      </c>
      <c r="AQ28" s="9">
        <v>0</v>
      </c>
      <c r="AR28" s="9" t="s">
        <v>122</v>
      </c>
      <c r="AS28" s="9">
        <v>0</v>
      </c>
      <c r="AT28" s="9" t="s">
        <v>123</v>
      </c>
      <c r="AU28" s="9"/>
      <c r="AV28" s="13">
        <f t="shared" si="6"/>
        <v>525940</v>
      </c>
      <c r="AW28" s="13" t="s">
        <v>124</v>
      </c>
      <c r="AX28" s="17">
        <v>44494</v>
      </c>
      <c r="AY28" s="18">
        <v>1138590</v>
      </c>
      <c r="AZ28" s="25">
        <v>1034460</v>
      </c>
      <c r="BA28" s="9"/>
      <c r="BB28" s="9"/>
      <c r="BC28" s="9"/>
      <c r="BD28" s="9" t="s">
        <v>125</v>
      </c>
      <c r="BE28" s="9" t="s">
        <v>126</v>
      </c>
      <c r="BF28" s="9" t="s">
        <v>255</v>
      </c>
      <c r="BG28" s="9" t="s">
        <v>128</v>
      </c>
      <c r="BH28" s="9" t="s">
        <v>129</v>
      </c>
      <c r="BI28" s="9" t="s">
        <v>130</v>
      </c>
      <c r="BJ28" s="8" t="s">
        <v>256</v>
      </c>
      <c r="BK28" s="9" t="s">
        <v>132</v>
      </c>
      <c r="BL28" s="9" t="s">
        <v>133</v>
      </c>
      <c r="BM28" s="9" t="s">
        <v>257</v>
      </c>
      <c r="BN28" s="9" t="s">
        <v>134</v>
      </c>
      <c r="BO28" s="9" t="s">
        <v>134</v>
      </c>
      <c r="BP28" s="9" t="s">
        <v>135</v>
      </c>
      <c r="BQ28" s="8"/>
      <c r="BR28" s="9">
        <f t="shared" si="7"/>
        <v>17964</v>
      </c>
      <c r="BS28" s="8" t="s">
        <v>136</v>
      </c>
      <c r="BT28" s="19"/>
      <c r="BU28" s="9"/>
      <c r="BV28" s="26"/>
      <c r="BW28" s="9"/>
      <c r="BX28" s="9">
        <f t="shared" si="8"/>
        <v>0</v>
      </c>
      <c r="BY28" s="9">
        <f t="shared" si="9"/>
        <v>0</v>
      </c>
      <c r="BZ28" s="27">
        <v>0</v>
      </c>
      <c r="CA28" s="1"/>
      <c r="CB28" s="28" t="s">
        <v>120</v>
      </c>
      <c r="CC28" s="28" t="s">
        <v>120</v>
      </c>
      <c r="CD28" s="9">
        <v>342650</v>
      </c>
      <c r="CE28" s="9">
        <f t="shared" si="10"/>
        <v>60</v>
      </c>
      <c r="CF28" s="9">
        <f t="shared" si="11"/>
        <v>20559000</v>
      </c>
      <c r="CG28" s="9"/>
      <c r="CH28" s="9"/>
      <c r="CI28" s="9">
        <v>2506900</v>
      </c>
      <c r="CJ28" s="29">
        <v>0.04</v>
      </c>
      <c r="CK28" s="30">
        <v>0.04</v>
      </c>
      <c r="CL28" s="31" t="s">
        <v>259</v>
      </c>
      <c r="CM28" s="31"/>
      <c r="CN28" s="31"/>
      <c r="CO28" s="27">
        <v>0.03</v>
      </c>
      <c r="CP28" s="22"/>
      <c r="CQ28" s="32">
        <v>0</v>
      </c>
      <c r="CR28" s="32">
        <v>0</v>
      </c>
      <c r="CS28" s="32">
        <v>0</v>
      </c>
      <c r="CT28" s="32">
        <v>0</v>
      </c>
      <c r="CU28" s="32">
        <v>0</v>
      </c>
      <c r="CV28" s="32">
        <v>0</v>
      </c>
      <c r="CW28" s="32">
        <v>0</v>
      </c>
      <c r="CX28" s="32">
        <v>0</v>
      </c>
      <c r="CY28" s="32">
        <v>0</v>
      </c>
      <c r="CZ28" s="32">
        <v>0</v>
      </c>
      <c r="DA28" s="32">
        <v>0</v>
      </c>
      <c r="DB28" s="32" t="str">
        <f t="shared" si="12"/>
        <v>기아</v>
      </c>
      <c r="DC28" s="32" t="s">
        <v>260</v>
      </c>
      <c r="DD28" s="32" t="str">
        <f t="shared" si="13"/>
        <v>렌트베네핏</v>
      </c>
      <c r="DE28" s="32"/>
      <c r="DF28" s="32"/>
      <c r="DG28" s="32"/>
      <c r="DH28" s="32" t="s">
        <v>261</v>
      </c>
      <c r="DI28" s="19" t="s">
        <v>137</v>
      </c>
      <c r="DJ28" s="22">
        <v>0.3</v>
      </c>
      <c r="DK28" s="51">
        <v>0.2</v>
      </c>
      <c r="DL28" s="32"/>
      <c r="DM28" s="20"/>
      <c r="DN28" s="32"/>
      <c r="DO28" s="32"/>
      <c r="DP28" s="22"/>
    </row>
    <row r="29" spans="1:120">
      <c r="A29" s="8">
        <v>27</v>
      </c>
      <c r="B29" s="8" t="s">
        <v>324</v>
      </c>
      <c r="C29" s="34" t="s">
        <v>244</v>
      </c>
      <c r="D29" s="8" t="s">
        <v>325</v>
      </c>
      <c r="E29" s="8" t="s">
        <v>246</v>
      </c>
      <c r="F29" s="8" t="s">
        <v>247</v>
      </c>
      <c r="G29" s="8" t="s">
        <v>248</v>
      </c>
      <c r="H29" s="8" t="s">
        <v>114</v>
      </c>
      <c r="I29" s="9">
        <v>12750000</v>
      </c>
      <c r="J29" s="8">
        <v>2022</v>
      </c>
      <c r="K29" s="10" t="s">
        <v>115</v>
      </c>
      <c r="L29" s="10" t="s">
        <v>116</v>
      </c>
      <c r="M29" s="8" t="s">
        <v>326</v>
      </c>
      <c r="N29" s="8" t="s">
        <v>327</v>
      </c>
      <c r="O29" s="8" t="s">
        <v>119</v>
      </c>
      <c r="P29" s="11">
        <v>998</v>
      </c>
      <c r="Q29" s="12">
        <v>44494</v>
      </c>
      <c r="R29" s="12">
        <v>44497</v>
      </c>
      <c r="S29" s="24">
        <v>44497</v>
      </c>
      <c r="T29" s="14" t="s">
        <v>120</v>
      </c>
      <c r="U29" s="12">
        <f t="shared" si="0"/>
        <v>46322</v>
      </c>
      <c r="V29" s="8">
        <f t="shared" ca="1" si="1"/>
        <v>3</v>
      </c>
      <c r="W29" s="16">
        <v>20000</v>
      </c>
      <c r="X29" s="9" t="s">
        <v>328</v>
      </c>
      <c r="Y29" s="9" t="s">
        <v>329</v>
      </c>
      <c r="Z29" s="9" t="s">
        <v>330</v>
      </c>
      <c r="AA29" s="9" t="s">
        <v>331</v>
      </c>
      <c r="AB29" s="12">
        <v>44505</v>
      </c>
      <c r="AC29" s="8">
        <f t="shared" si="4"/>
        <v>1825</v>
      </c>
      <c r="AD29" s="8">
        <f t="shared" ca="1" si="5"/>
        <v>96</v>
      </c>
      <c r="AE29" s="8">
        <f>VLOOKUP($B29, [1]렌트_계약서번호!$B$3:$E$501, 4, FALSE)</f>
        <v>21100012</v>
      </c>
      <c r="AF29" s="18">
        <v>13234421</v>
      </c>
      <c r="AG29" s="9">
        <v>200000</v>
      </c>
      <c r="AH29" s="9">
        <v>12682000</v>
      </c>
      <c r="AI29" s="9">
        <v>0</v>
      </c>
      <c r="AJ29" s="9">
        <v>2000</v>
      </c>
      <c r="AK29" s="9">
        <v>461160</v>
      </c>
      <c r="AL29" s="9">
        <v>0</v>
      </c>
      <c r="AM29" s="9">
        <v>2000</v>
      </c>
      <c r="AN29" s="9">
        <v>27000</v>
      </c>
      <c r="AO29" s="9">
        <v>30000</v>
      </c>
      <c r="AP29" s="9">
        <v>430000</v>
      </c>
      <c r="AQ29" s="9">
        <v>0</v>
      </c>
      <c r="AR29" s="9" t="s">
        <v>122</v>
      </c>
      <c r="AS29" s="9">
        <v>0</v>
      </c>
      <c r="AT29" s="9" t="s">
        <v>123</v>
      </c>
      <c r="AU29" s="9"/>
      <c r="AV29" s="13">
        <f t="shared" si="6"/>
        <v>522160</v>
      </c>
      <c r="AW29" s="13" t="s">
        <v>124</v>
      </c>
      <c r="AX29" s="17">
        <v>44494</v>
      </c>
      <c r="AY29" s="18">
        <v>1138590</v>
      </c>
      <c r="AZ29" s="25">
        <v>1034460</v>
      </c>
      <c r="BA29" s="9"/>
      <c r="BB29" s="9"/>
      <c r="BC29" s="9"/>
      <c r="BD29" s="9" t="s">
        <v>125</v>
      </c>
      <c r="BE29" s="9" t="s">
        <v>126</v>
      </c>
      <c r="BF29" s="9" t="s">
        <v>255</v>
      </c>
      <c r="BG29" s="9" t="s">
        <v>128</v>
      </c>
      <c r="BH29" s="9" t="s">
        <v>129</v>
      </c>
      <c r="BI29" s="9" t="s">
        <v>130</v>
      </c>
      <c r="BJ29" s="8" t="s">
        <v>256</v>
      </c>
      <c r="BK29" s="9" t="s">
        <v>132</v>
      </c>
      <c r="BL29" s="9" t="s">
        <v>133</v>
      </c>
      <c r="BM29" s="9" t="s">
        <v>257</v>
      </c>
      <c r="BN29" s="9" t="s">
        <v>134</v>
      </c>
      <c r="BO29" s="9" t="s">
        <v>134</v>
      </c>
      <c r="BP29" s="9" t="s">
        <v>135</v>
      </c>
      <c r="BQ29" s="8"/>
      <c r="BR29" s="9">
        <f t="shared" si="7"/>
        <v>17964</v>
      </c>
      <c r="BS29" s="8" t="s">
        <v>136</v>
      </c>
      <c r="BT29" s="19"/>
      <c r="BU29" s="9"/>
      <c r="BV29" s="26"/>
      <c r="BW29" s="9"/>
      <c r="BX29" s="9">
        <f t="shared" si="8"/>
        <v>0</v>
      </c>
      <c r="BY29" s="9">
        <f t="shared" si="9"/>
        <v>0</v>
      </c>
      <c r="BZ29" s="27">
        <v>0</v>
      </c>
      <c r="CA29" s="1"/>
      <c r="CB29" s="28" t="s">
        <v>120</v>
      </c>
      <c r="CC29" s="28" t="s">
        <v>120</v>
      </c>
      <c r="CD29" s="9">
        <v>342650</v>
      </c>
      <c r="CE29" s="9">
        <f t="shared" si="10"/>
        <v>60</v>
      </c>
      <c r="CF29" s="9">
        <f t="shared" si="11"/>
        <v>20559000</v>
      </c>
      <c r="CG29" s="9"/>
      <c r="CH29" s="9"/>
      <c r="CI29" s="9">
        <v>2506900</v>
      </c>
      <c r="CJ29" s="29">
        <v>0.04</v>
      </c>
      <c r="CK29" s="30">
        <v>0.04</v>
      </c>
      <c r="CL29" s="31" t="s">
        <v>259</v>
      </c>
      <c r="CM29" s="31"/>
      <c r="CN29" s="31"/>
      <c r="CO29" s="27">
        <v>0.03</v>
      </c>
      <c r="CP29" s="22"/>
      <c r="CQ29" s="32">
        <v>0</v>
      </c>
      <c r="CR29" s="32">
        <v>0</v>
      </c>
      <c r="CS29" s="32">
        <v>0</v>
      </c>
      <c r="CT29" s="32">
        <v>0</v>
      </c>
      <c r="CU29" s="32">
        <v>0</v>
      </c>
      <c r="CV29" s="32">
        <v>0</v>
      </c>
      <c r="CW29" s="32">
        <v>0</v>
      </c>
      <c r="CX29" s="32">
        <v>0</v>
      </c>
      <c r="CY29" s="32">
        <v>0</v>
      </c>
      <c r="CZ29" s="32">
        <v>0</v>
      </c>
      <c r="DA29" s="32">
        <v>0</v>
      </c>
      <c r="DB29" s="32" t="str">
        <f t="shared" si="12"/>
        <v>기아</v>
      </c>
      <c r="DC29" s="32" t="s">
        <v>260</v>
      </c>
      <c r="DD29" s="32" t="str">
        <f t="shared" si="13"/>
        <v>렌트베네핏</v>
      </c>
      <c r="DE29" s="32"/>
      <c r="DF29" s="32"/>
      <c r="DG29" s="32"/>
      <c r="DH29" s="32" t="s">
        <v>261</v>
      </c>
      <c r="DI29" s="19" t="s">
        <v>137</v>
      </c>
      <c r="DJ29" s="22">
        <v>0.3</v>
      </c>
      <c r="DK29" s="51">
        <v>0.2</v>
      </c>
      <c r="DL29" s="32"/>
      <c r="DM29" s="20"/>
      <c r="DN29" s="32"/>
      <c r="DO29" s="32"/>
      <c r="DP29" s="22"/>
    </row>
    <row r="30" spans="1:120" ht="15" customHeight="1">
      <c r="A30" s="8">
        <v>28</v>
      </c>
      <c r="B30" s="8" t="s">
        <v>332</v>
      </c>
      <c r="C30" s="34" t="s">
        <v>244</v>
      </c>
      <c r="D30" s="8" t="s">
        <v>333</v>
      </c>
      <c r="E30" s="8" t="s">
        <v>246</v>
      </c>
      <c r="F30" s="8" t="s">
        <v>247</v>
      </c>
      <c r="G30" s="8" t="s">
        <v>248</v>
      </c>
      <c r="H30" s="8" t="s">
        <v>114</v>
      </c>
      <c r="I30" s="9">
        <v>12750000</v>
      </c>
      <c r="J30" s="8">
        <v>2022</v>
      </c>
      <c r="K30" s="10" t="s">
        <v>115</v>
      </c>
      <c r="L30" s="10" t="s">
        <v>116</v>
      </c>
      <c r="M30" s="8" t="s">
        <v>334</v>
      </c>
      <c r="N30" s="8" t="s">
        <v>335</v>
      </c>
      <c r="O30" s="8" t="s">
        <v>119</v>
      </c>
      <c r="P30" s="11">
        <v>998</v>
      </c>
      <c r="Q30" s="12">
        <v>44494</v>
      </c>
      <c r="R30" s="12">
        <v>44497</v>
      </c>
      <c r="S30" s="24">
        <v>44497</v>
      </c>
      <c r="T30" s="14" t="s">
        <v>120</v>
      </c>
      <c r="U30" s="12">
        <f t="shared" si="0"/>
        <v>46322</v>
      </c>
      <c r="V30" s="8">
        <f t="shared" ca="1" si="1"/>
        <v>3</v>
      </c>
      <c r="W30" s="16">
        <v>20000</v>
      </c>
      <c r="X30" s="9" t="s">
        <v>328</v>
      </c>
      <c r="Y30" s="9" t="s">
        <v>329</v>
      </c>
      <c r="Z30" s="9" t="s">
        <v>330</v>
      </c>
      <c r="AA30" s="9" t="s">
        <v>331</v>
      </c>
      <c r="AB30" s="12">
        <v>44505</v>
      </c>
      <c r="AC30" s="8">
        <f t="shared" si="4"/>
        <v>1825</v>
      </c>
      <c r="AD30" s="8">
        <f t="shared" ca="1" si="5"/>
        <v>96</v>
      </c>
      <c r="AE30" s="8">
        <f>VLOOKUP($B30, [1]렌트_계약서번호!$B$3:$E$501, 4, FALSE)</f>
        <v>21100013</v>
      </c>
      <c r="AF30" s="18">
        <v>13234421</v>
      </c>
      <c r="AG30" s="9">
        <v>200000</v>
      </c>
      <c r="AH30" s="9">
        <v>12682000</v>
      </c>
      <c r="AI30" s="9">
        <v>0</v>
      </c>
      <c r="AJ30" s="9">
        <v>2000</v>
      </c>
      <c r="AK30" s="9">
        <v>461160</v>
      </c>
      <c r="AL30" s="9">
        <v>0</v>
      </c>
      <c r="AM30" s="9">
        <v>2000</v>
      </c>
      <c r="AN30" s="9">
        <v>27000</v>
      </c>
      <c r="AO30" s="9">
        <v>30000</v>
      </c>
      <c r="AP30" s="9">
        <v>430000</v>
      </c>
      <c r="AQ30" s="9">
        <v>0</v>
      </c>
      <c r="AR30" s="9" t="s">
        <v>122</v>
      </c>
      <c r="AS30" s="9">
        <v>0</v>
      </c>
      <c r="AT30" s="9" t="s">
        <v>123</v>
      </c>
      <c r="AU30" s="9"/>
      <c r="AV30" s="13">
        <f t="shared" si="6"/>
        <v>522160</v>
      </c>
      <c r="AW30" s="13" t="s">
        <v>124</v>
      </c>
      <c r="AX30" s="17">
        <v>44494</v>
      </c>
      <c r="AY30" s="18">
        <v>1138590</v>
      </c>
      <c r="AZ30" s="25">
        <v>1034460</v>
      </c>
      <c r="BA30" s="9"/>
      <c r="BB30" s="9"/>
      <c r="BC30" s="9"/>
      <c r="BD30" s="9" t="s">
        <v>125</v>
      </c>
      <c r="BE30" s="9" t="s">
        <v>126</v>
      </c>
      <c r="BF30" s="9" t="s">
        <v>255</v>
      </c>
      <c r="BG30" s="9" t="s">
        <v>128</v>
      </c>
      <c r="BH30" s="9" t="s">
        <v>129</v>
      </c>
      <c r="BI30" s="9" t="s">
        <v>130</v>
      </c>
      <c r="BJ30" s="8" t="s">
        <v>256</v>
      </c>
      <c r="BK30" s="9" t="s">
        <v>132</v>
      </c>
      <c r="BL30" s="9" t="s">
        <v>133</v>
      </c>
      <c r="BM30" s="9" t="s">
        <v>257</v>
      </c>
      <c r="BN30" s="9" t="s">
        <v>134</v>
      </c>
      <c r="BO30" s="9" t="s">
        <v>134</v>
      </c>
      <c r="BP30" s="9" t="s">
        <v>135</v>
      </c>
      <c r="BQ30" s="8"/>
      <c r="BR30" s="9">
        <f t="shared" si="7"/>
        <v>17964</v>
      </c>
      <c r="BS30" s="8" t="s">
        <v>136</v>
      </c>
      <c r="BT30" s="19"/>
      <c r="BU30" s="9"/>
      <c r="BV30" s="26"/>
      <c r="BW30" s="9"/>
      <c r="BX30" s="9">
        <f t="shared" si="8"/>
        <v>0</v>
      </c>
      <c r="BY30" s="9">
        <f t="shared" si="9"/>
        <v>0</v>
      </c>
      <c r="BZ30" s="27">
        <v>0</v>
      </c>
      <c r="CA30" s="1"/>
      <c r="CB30" s="28" t="s">
        <v>120</v>
      </c>
      <c r="CC30" s="28" t="s">
        <v>120</v>
      </c>
      <c r="CD30" s="9">
        <v>342650</v>
      </c>
      <c r="CE30" s="9">
        <f t="shared" si="10"/>
        <v>60</v>
      </c>
      <c r="CF30" s="9">
        <f t="shared" si="11"/>
        <v>20559000</v>
      </c>
      <c r="CG30" s="9"/>
      <c r="CH30" s="9"/>
      <c r="CI30" s="9">
        <v>2506900</v>
      </c>
      <c r="CJ30" s="29">
        <v>0.04</v>
      </c>
      <c r="CK30" s="30">
        <v>0.04</v>
      </c>
      <c r="CL30" s="31" t="s">
        <v>259</v>
      </c>
      <c r="CM30" s="31"/>
      <c r="CN30" s="31"/>
      <c r="CO30" s="27">
        <v>0.03</v>
      </c>
      <c r="CP30" s="22"/>
      <c r="CQ30" s="32">
        <v>0</v>
      </c>
      <c r="CR30" s="32">
        <v>0</v>
      </c>
      <c r="CS30" s="32">
        <v>0</v>
      </c>
      <c r="CT30" s="32">
        <v>0</v>
      </c>
      <c r="CU30" s="32">
        <v>0</v>
      </c>
      <c r="CV30" s="32">
        <v>0</v>
      </c>
      <c r="CW30" s="32">
        <v>0</v>
      </c>
      <c r="CX30" s="32">
        <v>0</v>
      </c>
      <c r="CY30" s="32">
        <v>0</v>
      </c>
      <c r="CZ30" s="32">
        <v>0</v>
      </c>
      <c r="DA30" s="32">
        <v>0</v>
      </c>
      <c r="DB30" s="32" t="str">
        <f t="shared" si="12"/>
        <v>기아</v>
      </c>
      <c r="DC30" s="32" t="s">
        <v>260</v>
      </c>
      <c r="DD30" s="32" t="str">
        <f>IF(DC30="정수원 실장","렌트베네핏", IF(DC30="박현식 부장", "렌트베네핏", IF(DC30="김성진 팀장", "청담", IF(DC30="전석영 부장", "방배", IF(DC30= "박봉호 부장", "일산",IF(#REF!="정원철 부장", "청담"))))))</f>
        <v>렌트베네핏</v>
      </c>
      <c r="DE30" s="32"/>
      <c r="DF30" s="32"/>
      <c r="DG30" s="32"/>
      <c r="DH30" s="32" t="s">
        <v>261</v>
      </c>
      <c r="DI30" s="19" t="s">
        <v>137</v>
      </c>
      <c r="DJ30" s="22">
        <v>0.3</v>
      </c>
      <c r="DK30" s="51">
        <v>0.2</v>
      </c>
      <c r="DL30" s="32"/>
      <c r="DM30" s="20"/>
      <c r="DN30" s="32"/>
      <c r="DO30" s="32"/>
      <c r="DP30" s="22"/>
    </row>
    <row r="31" spans="1:120">
      <c r="A31" s="8">
        <v>29</v>
      </c>
      <c r="B31" s="8" t="s">
        <v>336</v>
      </c>
      <c r="C31" s="34" t="s">
        <v>244</v>
      </c>
      <c r="D31" s="8" t="s">
        <v>337</v>
      </c>
      <c r="E31" s="8" t="s">
        <v>246</v>
      </c>
      <c r="F31" s="8" t="s">
        <v>247</v>
      </c>
      <c r="G31" s="8" t="s">
        <v>248</v>
      </c>
      <c r="H31" s="8" t="s">
        <v>114</v>
      </c>
      <c r="I31" s="9">
        <v>12750000</v>
      </c>
      <c r="J31" s="8">
        <v>2022</v>
      </c>
      <c r="K31" s="10" t="s">
        <v>115</v>
      </c>
      <c r="L31" s="10" t="s">
        <v>116</v>
      </c>
      <c r="M31" s="8" t="s">
        <v>338</v>
      </c>
      <c r="N31" s="8" t="s">
        <v>339</v>
      </c>
      <c r="O31" s="8" t="s">
        <v>119</v>
      </c>
      <c r="P31" s="11">
        <v>998</v>
      </c>
      <c r="Q31" s="12">
        <v>44494</v>
      </c>
      <c r="R31" s="12">
        <v>44497</v>
      </c>
      <c r="S31" s="24">
        <v>44497</v>
      </c>
      <c r="T31" s="14" t="s">
        <v>120</v>
      </c>
      <c r="U31" s="12">
        <f t="shared" si="0"/>
        <v>46322</v>
      </c>
      <c r="V31" s="8">
        <f t="shared" ca="1" si="1"/>
        <v>3</v>
      </c>
      <c r="W31" s="16">
        <v>20000</v>
      </c>
      <c r="X31" s="9" t="s">
        <v>340</v>
      </c>
      <c r="Y31" s="9" t="s">
        <v>341</v>
      </c>
      <c r="Z31" s="9" t="s">
        <v>342</v>
      </c>
      <c r="AA31" s="9" t="s">
        <v>343</v>
      </c>
      <c r="AB31" s="12">
        <v>44505</v>
      </c>
      <c r="AC31" s="8">
        <f t="shared" si="4"/>
        <v>1825</v>
      </c>
      <c r="AD31" s="8">
        <f t="shared" ca="1" si="5"/>
        <v>96</v>
      </c>
      <c r="AE31" s="8">
        <f>VLOOKUP($B31, [1]렌트_계약서번호!$B$3:$E$501, 4, FALSE)</f>
        <v>21100014</v>
      </c>
      <c r="AF31" s="18">
        <v>13234421</v>
      </c>
      <c r="AG31" s="9">
        <v>200000</v>
      </c>
      <c r="AH31" s="9">
        <v>12682000</v>
      </c>
      <c r="AI31" s="9">
        <v>0</v>
      </c>
      <c r="AJ31" s="9">
        <v>2000</v>
      </c>
      <c r="AK31" s="9">
        <v>461160</v>
      </c>
      <c r="AL31" s="9">
        <v>0</v>
      </c>
      <c r="AM31" s="9">
        <v>2000</v>
      </c>
      <c r="AN31" s="9">
        <v>27000</v>
      </c>
      <c r="AO31" s="9">
        <v>30000</v>
      </c>
      <c r="AP31" s="9">
        <v>430000</v>
      </c>
      <c r="AQ31" s="9">
        <v>0</v>
      </c>
      <c r="AR31" s="9" t="s">
        <v>122</v>
      </c>
      <c r="AS31" s="9">
        <v>0</v>
      </c>
      <c r="AT31" s="9" t="s">
        <v>123</v>
      </c>
      <c r="AU31" s="9"/>
      <c r="AV31" s="13">
        <f t="shared" si="6"/>
        <v>522160</v>
      </c>
      <c r="AW31" s="13" t="s">
        <v>124</v>
      </c>
      <c r="AX31" s="17">
        <v>44494</v>
      </c>
      <c r="AY31" s="18">
        <v>1138590</v>
      </c>
      <c r="AZ31" s="25">
        <v>1034460</v>
      </c>
      <c r="BA31" s="9"/>
      <c r="BB31" s="9"/>
      <c r="BC31" s="9"/>
      <c r="BD31" s="9" t="s">
        <v>125</v>
      </c>
      <c r="BE31" s="9" t="s">
        <v>126</v>
      </c>
      <c r="BF31" s="9" t="s">
        <v>255</v>
      </c>
      <c r="BG31" s="9" t="s">
        <v>128</v>
      </c>
      <c r="BH31" s="9" t="s">
        <v>129</v>
      </c>
      <c r="BI31" s="9" t="s">
        <v>130</v>
      </c>
      <c r="BJ31" s="8" t="s">
        <v>256</v>
      </c>
      <c r="BK31" s="9" t="s">
        <v>132</v>
      </c>
      <c r="BL31" s="9" t="s">
        <v>133</v>
      </c>
      <c r="BM31" s="9" t="s">
        <v>257</v>
      </c>
      <c r="BN31" s="9" t="s">
        <v>134</v>
      </c>
      <c r="BO31" s="9" t="s">
        <v>134</v>
      </c>
      <c r="BP31" s="9" t="s">
        <v>135</v>
      </c>
      <c r="BQ31" s="8"/>
      <c r="BR31" s="9">
        <f t="shared" si="7"/>
        <v>17964</v>
      </c>
      <c r="BS31" s="8" t="s">
        <v>136</v>
      </c>
      <c r="BT31" s="19"/>
      <c r="BU31" s="9"/>
      <c r="BV31" s="26"/>
      <c r="BW31" s="9"/>
      <c r="BX31" s="9">
        <f t="shared" si="8"/>
        <v>0</v>
      </c>
      <c r="BY31" s="9">
        <f t="shared" si="9"/>
        <v>0</v>
      </c>
      <c r="BZ31" s="27">
        <v>0</v>
      </c>
      <c r="CA31" s="1"/>
      <c r="CB31" s="28" t="s">
        <v>120</v>
      </c>
      <c r="CC31" s="28" t="s">
        <v>120</v>
      </c>
      <c r="CD31" s="9">
        <v>342650</v>
      </c>
      <c r="CE31" s="9">
        <f t="shared" si="10"/>
        <v>60</v>
      </c>
      <c r="CF31" s="9">
        <f t="shared" si="11"/>
        <v>20559000</v>
      </c>
      <c r="CG31" s="9"/>
      <c r="CH31" s="9"/>
      <c r="CI31" s="9">
        <v>2506900</v>
      </c>
      <c r="CJ31" s="29">
        <v>0.04</v>
      </c>
      <c r="CK31" s="30">
        <v>0.04</v>
      </c>
      <c r="CL31" s="31" t="s">
        <v>259</v>
      </c>
      <c r="CM31" s="31"/>
      <c r="CN31" s="31"/>
      <c r="CO31" s="27">
        <v>0.03</v>
      </c>
      <c r="CP31" s="22"/>
      <c r="CQ31" s="32">
        <v>0</v>
      </c>
      <c r="CR31" s="32">
        <v>0</v>
      </c>
      <c r="CS31" s="32">
        <v>0</v>
      </c>
      <c r="CT31" s="32">
        <v>0</v>
      </c>
      <c r="CU31" s="32">
        <v>0</v>
      </c>
      <c r="CV31" s="32">
        <v>0</v>
      </c>
      <c r="CW31" s="32">
        <v>0</v>
      </c>
      <c r="CX31" s="32">
        <v>0</v>
      </c>
      <c r="CY31" s="32">
        <v>0</v>
      </c>
      <c r="CZ31" s="32">
        <v>0</v>
      </c>
      <c r="DA31" s="32">
        <v>0</v>
      </c>
      <c r="DB31" s="32" t="str">
        <f t="shared" si="12"/>
        <v>기아</v>
      </c>
      <c r="DC31" s="32" t="s">
        <v>260</v>
      </c>
      <c r="DD31" s="32" t="str">
        <f>IF(DC31="정수원 실장","렌트베네핏", IF(DC31="박현식 부장", "렌트베네핏", IF(DC31="김성진 팀장", "청담", IF(DC31="전석영 부장", "방배", IF(DC31= "박봉호 부장", "일산",IF(#REF!="정원철 부장", "청담"))))))</f>
        <v>렌트베네핏</v>
      </c>
      <c r="DE31" s="32"/>
      <c r="DF31" s="32"/>
      <c r="DG31" s="32"/>
      <c r="DH31" s="32" t="s">
        <v>261</v>
      </c>
      <c r="DI31" s="19" t="s">
        <v>137</v>
      </c>
      <c r="DJ31" s="22">
        <v>0.3</v>
      </c>
      <c r="DK31" s="51">
        <v>0.2</v>
      </c>
      <c r="DL31" s="32"/>
      <c r="DM31" s="20"/>
      <c r="DN31" s="32"/>
      <c r="DO31" s="32"/>
      <c r="DP31" s="22"/>
    </row>
    <row r="32" spans="1:120">
      <c r="A32" s="8">
        <v>30</v>
      </c>
      <c r="B32" s="8" t="s">
        <v>344</v>
      </c>
      <c r="C32" s="34" t="s">
        <v>244</v>
      </c>
      <c r="D32" s="8" t="s">
        <v>345</v>
      </c>
      <c r="E32" s="8" t="s">
        <v>246</v>
      </c>
      <c r="F32" s="8" t="s">
        <v>247</v>
      </c>
      <c r="G32" s="8" t="s">
        <v>248</v>
      </c>
      <c r="H32" s="8" t="s">
        <v>114</v>
      </c>
      <c r="I32" s="9">
        <v>12750000</v>
      </c>
      <c r="J32" s="8">
        <v>2022</v>
      </c>
      <c r="K32" s="10" t="s">
        <v>115</v>
      </c>
      <c r="L32" s="10" t="s">
        <v>116</v>
      </c>
      <c r="M32" s="8" t="s">
        <v>346</v>
      </c>
      <c r="N32" s="8" t="s">
        <v>347</v>
      </c>
      <c r="O32" s="8" t="s">
        <v>119</v>
      </c>
      <c r="P32" s="11">
        <v>998</v>
      </c>
      <c r="Q32" s="12">
        <v>44494</v>
      </c>
      <c r="R32" s="12">
        <v>44497</v>
      </c>
      <c r="S32" s="24">
        <v>44497</v>
      </c>
      <c r="T32" s="14" t="s">
        <v>120</v>
      </c>
      <c r="U32" s="12">
        <f t="shared" si="0"/>
        <v>46322</v>
      </c>
      <c r="V32" s="8">
        <f t="shared" ca="1" si="1"/>
        <v>3</v>
      </c>
      <c r="W32" s="16">
        <v>20000</v>
      </c>
      <c r="X32" s="9" t="s">
        <v>328</v>
      </c>
      <c r="Y32" s="9" t="s">
        <v>329</v>
      </c>
      <c r="Z32" s="9" t="s">
        <v>330</v>
      </c>
      <c r="AA32" s="9" t="s">
        <v>331</v>
      </c>
      <c r="AB32" s="12">
        <v>44505</v>
      </c>
      <c r="AC32" s="8">
        <f t="shared" si="4"/>
        <v>1825</v>
      </c>
      <c r="AD32" s="8">
        <f t="shared" ca="1" si="5"/>
        <v>96</v>
      </c>
      <c r="AE32" s="8">
        <f>VLOOKUP($B32, [1]렌트_계약서번호!$B$3:$E$501, 4, FALSE)</f>
        <v>21100015</v>
      </c>
      <c r="AF32" s="18">
        <v>13234421</v>
      </c>
      <c r="AG32" s="9">
        <v>200000</v>
      </c>
      <c r="AH32" s="9">
        <v>12682000</v>
      </c>
      <c r="AI32" s="9">
        <v>0</v>
      </c>
      <c r="AJ32" s="9">
        <v>2000</v>
      </c>
      <c r="AK32" s="9">
        <v>461160</v>
      </c>
      <c r="AL32" s="9">
        <v>0</v>
      </c>
      <c r="AM32" s="9">
        <v>2000</v>
      </c>
      <c r="AN32" s="9">
        <v>27000</v>
      </c>
      <c r="AO32" s="9">
        <v>30000</v>
      </c>
      <c r="AP32" s="9">
        <v>430000</v>
      </c>
      <c r="AQ32" s="9">
        <v>0</v>
      </c>
      <c r="AR32" s="9" t="s">
        <v>122</v>
      </c>
      <c r="AS32" s="9">
        <v>0</v>
      </c>
      <c r="AT32" s="9" t="s">
        <v>123</v>
      </c>
      <c r="AU32" s="9"/>
      <c r="AV32" s="13">
        <f t="shared" si="6"/>
        <v>522160</v>
      </c>
      <c r="AW32" s="13" t="s">
        <v>124</v>
      </c>
      <c r="AX32" s="17">
        <v>44494</v>
      </c>
      <c r="AY32" s="18">
        <v>1138590</v>
      </c>
      <c r="AZ32" s="25">
        <v>1034460</v>
      </c>
      <c r="BA32" s="9"/>
      <c r="BB32" s="9"/>
      <c r="BC32" s="9"/>
      <c r="BD32" s="9" t="s">
        <v>125</v>
      </c>
      <c r="BE32" s="9" t="s">
        <v>126</v>
      </c>
      <c r="BF32" s="9" t="s">
        <v>255</v>
      </c>
      <c r="BG32" s="9" t="s">
        <v>128</v>
      </c>
      <c r="BH32" s="9" t="s">
        <v>129</v>
      </c>
      <c r="BI32" s="9" t="s">
        <v>130</v>
      </c>
      <c r="BJ32" s="8" t="s">
        <v>256</v>
      </c>
      <c r="BK32" s="9" t="s">
        <v>132</v>
      </c>
      <c r="BL32" s="9" t="s">
        <v>133</v>
      </c>
      <c r="BM32" s="9" t="s">
        <v>257</v>
      </c>
      <c r="BN32" s="9" t="s">
        <v>134</v>
      </c>
      <c r="BO32" s="9" t="s">
        <v>134</v>
      </c>
      <c r="BP32" s="9" t="s">
        <v>135</v>
      </c>
      <c r="BQ32" s="8"/>
      <c r="BR32" s="9">
        <f t="shared" si="7"/>
        <v>17964</v>
      </c>
      <c r="BS32" s="8" t="s">
        <v>136</v>
      </c>
      <c r="BT32" s="19"/>
      <c r="BU32" s="9"/>
      <c r="BV32" s="26"/>
      <c r="BW32" s="9"/>
      <c r="BX32" s="9">
        <f t="shared" si="8"/>
        <v>0</v>
      </c>
      <c r="BY32" s="9">
        <f t="shared" si="9"/>
        <v>0</v>
      </c>
      <c r="BZ32" s="27">
        <v>0</v>
      </c>
      <c r="CA32" s="1"/>
      <c r="CB32" s="28" t="s">
        <v>120</v>
      </c>
      <c r="CC32" s="28" t="s">
        <v>120</v>
      </c>
      <c r="CD32" s="9">
        <v>342650</v>
      </c>
      <c r="CE32" s="9">
        <f t="shared" si="10"/>
        <v>60</v>
      </c>
      <c r="CF32" s="9">
        <f t="shared" si="11"/>
        <v>20559000</v>
      </c>
      <c r="CG32" s="9"/>
      <c r="CH32" s="9"/>
      <c r="CI32" s="9">
        <v>2506900</v>
      </c>
      <c r="CJ32" s="29">
        <v>0.04</v>
      </c>
      <c r="CK32" s="30">
        <v>0.04</v>
      </c>
      <c r="CL32" s="31" t="s">
        <v>259</v>
      </c>
      <c r="CM32" s="31"/>
      <c r="CN32" s="31"/>
      <c r="CO32" s="27">
        <v>0.03</v>
      </c>
      <c r="CP32" s="22"/>
      <c r="CQ32" s="32">
        <v>0</v>
      </c>
      <c r="CR32" s="32">
        <v>0</v>
      </c>
      <c r="CS32" s="32">
        <v>0</v>
      </c>
      <c r="CT32" s="32">
        <v>0</v>
      </c>
      <c r="CU32" s="32">
        <v>0</v>
      </c>
      <c r="CV32" s="32">
        <v>0</v>
      </c>
      <c r="CW32" s="32">
        <v>0</v>
      </c>
      <c r="CX32" s="32">
        <v>0</v>
      </c>
      <c r="CY32" s="32">
        <v>0</v>
      </c>
      <c r="CZ32" s="32">
        <v>0</v>
      </c>
      <c r="DA32" s="32">
        <v>0</v>
      </c>
      <c r="DB32" s="32" t="str">
        <f t="shared" si="12"/>
        <v>기아</v>
      </c>
      <c r="DC32" s="32" t="s">
        <v>260</v>
      </c>
      <c r="DD32" s="32" t="str">
        <f>IF(DC32="정수원 실장","렌트베네핏", IF(DC32="박현식 부장", "렌트베네핏", IF(DC32="김성진 팀장", "청담", IF(DC32="전석영 부장", "방배", IF(DC32= "박봉호 부장", "일산",IF(DC93="정원철 부장", "청담"))))))</f>
        <v>렌트베네핏</v>
      </c>
      <c r="DE32" s="32"/>
      <c r="DF32" s="32"/>
      <c r="DG32" s="32"/>
      <c r="DH32" s="32" t="s">
        <v>261</v>
      </c>
      <c r="DI32" s="19" t="s">
        <v>137</v>
      </c>
      <c r="DJ32" s="22">
        <v>0.3</v>
      </c>
      <c r="DK32" s="51">
        <v>0.2</v>
      </c>
      <c r="DL32" s="32"/>
      <c r="DM32" s="20"/>
      <c r="DN32" s="32"/>
      <c r="DO32" s="32"/>
      <c r="DP32" s="22"/>
    </row>
    <row r="33" spans="1:120">
      <c r="A33" s="8">
        <v>31</v>
      </c>
      <c r="B33" s="8" t="s">
        <v>348</v>
      </c>
      <c r="C33" s="34" t="s">
        <v>244</v>
      </c>
      <c r="D33" s="8" t="s">
        <v>349</v>
      </c>
      <c r="E33" s="8" t="s">
        <v>246</v>
      </c>
      <c r="F33" s="8" t="s">
        <v>247</v>
      </c>
      <c r="G33" s="8" t="s">
        <v>248</v>
      </c>
      <c r="H33" s="8" t="s">
        <v>114</v>
      </c>
      <c r="I33" s="9">
        <v>12750000</v>
      </c>
      <c r="J33" s="8">
        <v>2022</v>
      </c>
      <c r="K33" s="10" t="s">
        <v>115</v>
      </c>
      <c r="L33" s="10" t="s">
        <v>116</v>
      </c>
      <c r="M33" s="8" t="s">
        <v>350</v>
      </c>
      <c r="N33" s="8" t="s">
        <v>351</v>
      </c>
      <c r="O33" s="8" t="s">
        <v>119</v>
      </c>
      <c r="P33" s="11">
        <v>998</v>
      </c>
      <c r="Q33" s="12">
        <v>44494</v>
      </c>
      <c r="R33" s="12">
        <v>44497</v>
      </c>
      <c r="S33" s="24">
        <v>44497</v>
      </c>
      <c r="T33" s="14" t="s">
        <v>120</v>
      </c>
      <c r="U33" s="12">
        <f t="shared" si="0"/>
        <v>46322</v>
      </c>
      <c r="V33" s="8">
        <f t="shared" ca="1" si="1"/>
        <v>3</v>
      </c>
      <c r="W33" s="16">
        <v>20000</v>
      </c>
      <c r="X33" s="9" t="s">
        <v>340</v>
      </c>
      <c r="Y33" s="9" t="s">
        <v>341</v>
      </c>
      <c r="Z33" s="9" t="s">
        <v>342</v>
      </c>
      <c r="AA33" s="9" t="s">
        <v>343</v>
      </c>
      <c r="AB33" s="12">
        <v>44505</v>
      </c>
      <c r="AC33" s="8">
        <f t="shared" si="4"/>
        <v>1825</v>
      </c>
      <c r="AD33" s="8">
        <f t="shared" ca="1" si="5"/>
        <v>96</v>
      </c>
      <c r="AE33" s="8">
        <f>VLOOKUP($B33, [1]렌트_계약서번호!$B$3:$E$501, 4, FALSE)</f>
        <v>21100016</v>
      </c>
      <c r="AF33" s="18">
        <v>13234421</v>
      </c>
      <c r="AG33" s="9">
        <v>200000</v>
      </c>
      <c r="AH33" s="9">
        <v>12682000</v>
      </c>
      <c r="AI33" s="9">
        <v>0</v>
      </c>
      <c r="AJ33" s="9">
        <v>2000</v>
      </c>
      <c r="AK33" s="9">
        <v>461160</v>
      </c>
      <c r="AL33" s="9">
        <v>0</v>
      </c>
      <c r="AM33" s="9">
        <v>2000</v>
      </c>
      <c r="AN33" s="9">
        <v>27000</v>
      </c>
      <c r="AO33" s="9">
        <v>30000</v>
      </c>
      <c r="AP33" s="9">
        <v>430000</v>
      </c>
      <c r="AQ33" s="9">
        <v>0</v>
      </c>
      <c r="AR33" s="9" t="s">
        <v>122</v>
      </c>
      <c r="AS33" s="9">
        <v>0</v>
      </c>
      <c r="AT33" s="9" t="s">
        <v>123</v>
      </c>
      <c r="AU33" s="9"/>
      <c r="AV33" s="13">
        <f t="shared" si="6"/>
        <v>522160</v>
      </c>
      <c r="AW33" s="13" t="s">
        <v>124</v>
      </c>
      <c r="AX33" s="17">
        <v>44494</v>
      </c>
      <c r="AY33" s="18">
        <v>1138590</v>
      </c>
      <c r="AZ33" s="25">
        <v>1034460</v>
      </c>
      <c r="BA33" s="9"/>
      <c r="BB33" s="9"/>
      <c r="BC33" s="9"/>
      <c r="BD33" s="9" t="s">
        <v>125</v>
      </c>
      <c r="BE33" s="9" t="s">
        <v>126</v>
      </c>
      <c r="BF33" s="9" t="s">
        <v>255</v>
      </c>
      <c r="BG33" s="9" t="s">
        <v>128</v>
      </c>
      <c r="BH33" s="9" t="s">
        <v>129</v>
      </c>
      <c r="BI33" s="9" t="s">
        <v>130</v>
      </c>
      <c r="BJ33" s="8" t="s">
        <v>256</v>
      </c>
      <c r="BK33" s="9" t="s">
        <v>132</v>
      </c>
      <c r="BL33" s="9" t="s">
        <v>133</v>
      </c>
      <c r="BM33" s="9" t="s">
        <v>257</v>
      </c>
      <c r="BN33" s="9" t="s">
        <v>134</v>
      </c>
      <c r="BO33" s="9" t="s">
        <v>134</v>
      </c>
      <c r="BP33" s="9" t="s">
        <v>135</v>
      </c>
      <c r="BQ33" s="8"/>
      <c r="BR33" s="9">
        <f t="shared" si="7"/>
        <v>17964</v>
      </c>
      <c r="BS33" s="8" t="s">
        <v>136</v>
      </c>
      <c r="BT33" s="19"/>
      <c r="BU33" s="9"/>
      <c r="BV33" s="26"/>
      <c r="BW33" s="9"/>
      <c r="BX33" s="9">
        <f t="shared" si="8"/>
        <v>0</v>
      </c>
      <c r="BY33" s="9">
        <f t="shared" si="9"/>
        <v>0</v>
      </c>
      <c r="BZ33" s="27">
        <v>0</v>
      </c>
      <c r="CA33" s="1"/>
      <c r="CB33" s="28" t="s">
        <v>120</v>
      </c>
      <c r="CC33" s="28" t="s">
        <v>120</v>
      </c>
      <c r="CD33" s="9">
        <v>342650</v>
      </c>
      <c r="CE33" s="9">
        <f t="shared" si="10"/>
        <v>60</v>
      </c>
      <c r="CF33" s="9">
        <f t="shared" si="11"/>
        <v>20559000</v>
      </c>
      <c r="CG33" s="9"/>
      <c r="CH33" s="9"/>
      <c r="CI33" s="9">
        <v>2506900</v>
      </c>
      <c r="CJ33" s="29">
        <v>0.04</v>
      </c>
      <c r="CK33" s="30">
        <v>0.04</v>
      </c>
      <c r="CL33" s="31" t="s">
        <v>259</v>
      </c>
      <c r="CM33" s="31"/>
      <c r="CN33" s="31"/>
      <c r="CO33" s="27">
        <v>0.03</v>
      </c>
      <c r="CP33" s="22"/>
      <c r="CQ33" s="32">
        <v>0</v>
      </c>
      <c r="CR33" s="32">
        <v>0</v>
      </c>
      <c r="CS33" s="32">
        <v>0</v>
      </c>
      <c r="CT33" s="32">
        <v>0</v>
      </c>
      <c r="CU33" s="32">
        <v>0</v>
      </c>
      <c r="CV33" s="32">
        <v>0</v>
      </c>
      <c r="CW33" s="32">
        <v>0</v>
      </c>
      <c r="CX33" s="32">
        <v>0</v>
      </c>
      <c r="CY33" s="32">
        <v>0</v>
      </c>
      <c r="CZ33" s="32">
        <v>0</v>
      </c>
      <c r="DA33" s="32">
        <v>0</v>
      </c>
      <c r="DB33" s="32" t="str">
        <f t="shared" si="12"/>
        <v>기아</v>
      </c>
      <c r="DC33" s="32" t="s">
        <v>260</v>
      </c>
      <c r="DD33" s="32" t="str">
        <f>IF(DC33="정수원 실장","렌트베네핏", IF(DC33="박현식 부장", "렌트베네핏", IF(DC33="김성진 팀장", "청담", IF(DC33="전석영 부장", "방배", IF(DC33= "박봉호 부장", "일산",IF(DC94="정원철 부장", "청담"))))))</f>
        <v>렌트베네핏</v>
      </c>
      <c r="DE33" s="32"/>
      <c r="DF33" s="32"/>
      <c r="DG33" s="32"/>
      <c r="DH33" s="32" t="s">
        <v>261</v>
      </c>
      <c r="DI33" s="19" t="s">
        <v>137</v>
      </c>
      <c r="DJ33" s="22">
        <v>0.3</v>
      </c>
      <c r="DK33" s="51">
        <v>0.2</v>
      </c>
      <c r="DL33" s="32"/>
      <c r="DM33" s="20"/>
      <c r="DN33" s="32"/>
      <c r="DO33" s="32"/>
      <c r="DP33" s="22"/>
    </row>
    <row r="34" spans="1:120">
      <c r="A34" s="8">
        <v>32</v>
      </c>
      <c r="B34" s="8" t="s">
        <v>352</v>
      </c>
      <c r="C34" s="34" t="s">
        <v>244</v>
      </c>
      <c r="D34" s="8" t="s">
        <v>353</v>
      </c>
      <c r="E34" s="8" t="s">
        <v>246</v>
      </c>
      <c r="F34" s="8" t="s">
        <v>247</v>
      </c>
      <c r="G34" s="8" t="s">
        <v>248</v>
      </c>
      <c r="H34" s="8" t="s">
        <v>114</v>
      </c>
      <c r="I34" s="9">
        <v>12750000</v>
      </c>
      <c r="J34" s="8">
        <v>2022</v>
      </c>
      <c r="K34" s="10" t="s">
        <v>115</v>
      </c>
      <c r="L34" s="10" t="s">
        <v>116</v>
      </c>
      <c r="M34" s="8" t="s">
        <v>354</v>
      </c>
      <c r="N34" s="8" t="s">
        <v>355</v>
      </c>
      <c r="O34" s="8" t="s">
        <v>119</v>
      </c>
      <c r="P34" s="11">
        <v>998</v>
      </c>
      <c r="Q34" s="12">
        <v>44494</v>
      </c>
      <c r="R34" s="12">
        <v>44497</v>
      </c>
      <c r="S34" s="24">
        <v>44497</v>
      </c>
      <c r="T34" s="14" t="s">
        <v>120</v>
      </c>
      <c r="U34" s="12">
        <f t="shared" si="0"/>
        <v>46322</v>
      </c>
      <c r="V34" s="8">
        <f t="shared" ca="1" si="1"/>
        <v>3</v>
      </c>
      <c r="W34" s="16">
        <v>20000</v>
      </c>
      <c r="X34" s="9" t="s">
        <v>340</v>
      </c>
      <c r="Y34" s="9" t="s">
        <v>341</v>
      </c>
      <c r="Z34" s="9" t="s">
        <v>342</v>
      </c>
      <c r="AA34" s="9"/>
      <c r="AB34" s="12">
        <v>44505</v>
      </c>
      <c r="AC34" s="8">
        <f t="shared" si="4"/>
        <v>1825</v>
      </c>
      <c r="AD34" s="8">
        <f t="shared" ca="1" si="5"/>
        <v>96</v>
      </c>
      <c r="AE34" s="8">
        <f>VLOOKUP($B34, [1]렌트_계약서번호!$B$3:$E$501, 4, FALSE)</f>
        <v>21100017</v>
      </c>
      <c r="AF34" s="18">
        <v>13234421</v>
      </c>
      <c r="AG34" s="9">
        <v>200000</v>
      </c>
      <c r="AH34" s="9">
        <v>12682000</v>
      </c>
      <c r="AI34" s="9">
        <v>0</v>
      </c>
      <c r="AJ34" s="9">
        <v>2000</v>
      </c>
      <c r="AK34" s="9">
        <v>461160</v>
      </c>
      <c r="AL34" s="9">
        <v>0</v>
      </c>
      <c r="AM34" s="9">
        <v>2000</v>
      </c>
      <c r="AN34" s="9">
        <v>27000</v>
      </c>
      <c r="AO34" s="9">
        <v>30000</v>
      </c>
      <c r="AP34" s="9">
        <v>430000</v>
      </c>
      <c r="AQ34" s="9">
        <v>0</v>
      </c>
      <c r="AR34" s="9" t="s">
        <v>122</v>
      </c>
      <c r="AS34" s="9">
        <v>0</v>
      </c>
      <c r="AT34" s="9" t="s">
        <v>123</v>
      </c>
      <c r="AU34" s="9"/>
      <c r="AV34" s="13">
        <f t="shared" si="6"/>
        <v>522160</v>
      </c>
      <c r="AW34" s="13" t="s">
        <v>124</v>
      </c>
      <c r="AX34" s="17">
        <v>44494</v>
      </c>
      <c r="AY34" s="18">
        <v>1138590</v>
      </c>
      <c r="AZ34" s="25">
        <v>1034460</v>
      </c>
      <c r="BA34" s="9"/>
      <c r="BB34" s="9"/>
      <c r="BC34" s="9"/>
      <c r="BD34" s="9" t="s">
        <v>125</v>
      </c>
      <c r="BE34" s="9" t="s">
        <v>126</v>
      </c>
      <c r="BF34" s="9" t="s">
        <v>255</v>
      </c>
      <c r="BG34" s="9" t="s">
        <v>128</v>
      </c>
      <c r="BH34" s="9" t="s">
        <v>129</v>
      </c>
      <c r="BI34" s="9" t="s">
        <v>130</v>
      </c>
      <c r="BJ34" s="8" t="s">
        <v>256</v>
      </c>
      <c r="BK34" s="9" t="s">
        <v>132</v>
      </c>
      <c r="BL34" s="9" t="s">
        <v>133</v>
      </c>
      <c r="BM34" s="9" t="s">
        <v>257</v>
      </c>
      <c r="BN34" s="9" t="s">
        <v>134</v>
      </c>
      <c r="BO34" s="9" t="s">
        <v>134</v>
      </c>
      <c r="BP34" s="9" t="s">
        <v>135</v>
      </c>
      <c r="BQ34" s="8"/>
      <c r="BR34" s="9">
        <f t="shared" si="7"/>
        <v>17964</v>
      </c>
      <c r="BS34" s="8" t="s">
        <v>136</v>
      </c>
      <c r="BT34" s="19"/>
      <c r="BU34" s="9"/>
      <c r="BV34" s="26"/>
      <c r="BW34" s="9"/>
      <c r="BX34" s="9">
        <f t="shared" si="8"/>
        <v>0</v>
      </c>
      <c r="BY34" s="9">
        <f t="shared" si="9"/>
        <v>0</v>
      </c>
      <c r="BZ34" s="27">
        <v>0</v>
      </c>
      <c r="CA34" s="1"/>
      <c r="CB34" s="28" t="s">
        <v>120</v>
      </c>
      <c r="CC34" s="28" t="s">
        <v>120</v>
      </c>
      <c r="CD34" s="9">
        <v>342650</v>
      </c>
      <c r="CE34" s="9">
        <f t="shared" si="10"/>
        <v>60</v>
      </c>
      <c r="CF34" s="9">
        <f t="shared" si="11"/>
        <v>20559000</v>
      </c>
      <c r="CG34" s="9"/>
      <c r="CH34" s="9"/>
      <c r="CI34" s="9">
        <v>2506900</v>
      </c>
      <c r="CJ34" s="29">
        <v>0.04</v>
      </c>
      <c r="CK34" s="30">
        <v>0.04</v>
      </c>
      <c r="CL34" s="31" t="s">
        <v>259</v>
      </c>
      <c r="CM34" s="31"/>
      <c r="CN34" s="31"/>
      <c r="CO34" s="27">
        <v>0.03</v>
      </c>
      <c r="CP34" s="22"/>
      <c r="CQ34" s="32">
        <v>0</v>
      </c>
      <c r="CR34" s="32">
        <v>0</v>
      </c>
      <c r="CS34" s="32">
        <v>0</v>
      </c>
      <c r="CT34" s="32">
        <v>0</v>
      </c>
      <c r="CU34" s="32">
        <v>0</v>
      </c>
      <c r="CV34" s="32">
        <v>0</v>
      </c>
      <c r="CW34" s="32">
        <v>0</v>
      </c>
      <c r="CX34" s="32">
        <v>0</v>
      </c>
      <c r="CY34" s="32">
        <v>0</v>
      </c>
      <c r="CZ34" s="32">
        <v>0</v>
      </c>
      <c r="DA34" s="32">
        <v>0</v>
      </c>
      <c r="DB34" s="32" t="str">
        <f t="shared" si="12"/>
        <v>기아</v>
      </c>
      <c r="DC34" s="32" t="s">
        <v>260</v>
      </c>
      <c r="DD34" s="32" t="str">
        <f>IF(DC34="정수원 실장","렌트베네핏", IF(DC34="박현식 부장", "렌트베네핏", IF(DC34="김성진 팀장", "청담", IF(DC34="전석영 부장", "방배", IF(DC34= "박봉호 부장", "일산",IF(#REF!="정원철 부장", "청담"))))))</f>
        <v>렌트베네핏</v>
      </c>
      <c r="DE34" s="32"/>
      <c r="DF34" s="32"/>
      <c r="DG34" s="32"/>
      <c r="DH34" s="32" t="s">
        <v>261</v>
      </c>
      <c r="DI34" s="19" t="s">
        <v>137</v>
      </c>
      <c r="DJ34" s="22">
        <v>0.3</v>
      </c>
      <c r="DK34" s="51">
        <v>0.2</v>
      </c>
      <c r="DL34" s="32"/>
      <c r="DM34" s="20"/>
      <c r="DN34" s="32"/>
      <c r="DO34" s="32"/>
      <c r="DP34" s="22"/>
    </row>
    <row r="35" spans="1:120">
      <c r="A35" s="8">
        <v>33</v>
      </c>
      <c r="B35" s="8" t="s">
        <v>356</v>
      </c>
      <c r="C35" s="34" t="s">
        <v>244</v>
      </c>
      <c r="D35" s="8" t="s">
        <v>357</v>
      </c>
      <c r="E35" s="8" t="s">
        <v>246</v>
      </c>
      <c r="F35" s="8" t="s">
        <v>247</v>
      </c>
      <c r="G35" s="8" t="s">
        <v>248</v>
      </c>
      <c r="H35" s="8" t="s">
        <v>114</v>
      </c>
      <c r="I35" s="9">
        <v>12750000</v>
      </c>
      <c r="J35" s="8">
        <v>2022</v>
      </c>
      <c r="K35" s="10" t="s">
        <v>115</v>
      </c>
      <c r="L35" s="10" t="s">
        <v>116</v>
      </c>
      <c r="M35" s="8" t="s">
        <v>358</v>
      </c>
      <c r="N35" s="8" t="s">
        <v>359</v>
      </c>
      <c r="O35" s="8" t="s">
        <v>119</v>
      </c>
      <c r="P35" s="11">
        <v>998</v>
      </c>
      <c r="Q35" s="12">
        <v>44494</v>
      </c>
      <c r="R35" s="12">
        <v>44497</v>
      </c>
      <c r="S35" s="24">
        <v>44497</v>
      </c>
      <c r="T35" s="14" t="s">
        <v>120</v>
      </c>
      <c r="U35" s="12">
        <f t="shared" si="0"/>
        <v>46322</v>
      </c>
      <c r="V35" s="8">
        <f t="shared" ca="1" si="1"/>
        <v>3</v>
      </c>
      <c r="W35" s="16">
        <v>20000</v>
      </c>
      <c r="X35" s="9" t="s">
        <v>360</v>
      </c>
      <c r="Y35" s="9" t="s">
        <v>361</v>
      </c>
      <c r="Z35" s="9" t="s">
        <v>362</v>
      </c>
      <c r="AA35" s="9" t="s">
        <v>363</v>
      </c>
      <c r="AB35" s="12">
        <v>44505</v>
      </c>
      <c r="AC35" s="8">
        <f t="shared" si="4"/>
        <v>1825</v>
      </c>
      <c r="AD35" s="8">
        <f t="shared" ca="1" si="5"/>
        <v>96</v>
      </c>
      <c r="AE35" s="8">
        <f>VLOOKUP($B35, [1]렌트_계약서번호!$B$3:$E$501, 4, FALSE)</f>
        <v>21100018</v>
      </c>
      <c r="AF35" s="18">
        <v>13234421</v>
      </c>
      <c r="AG35" s="9">
        <v>200000</v>
      </c>
      <c r="AH35" s="9">
        <v>12703000</v>
      </c>
      <c r="AI35" s="9">
        <v>0</v>
      </c>
      <c r="AJ35" s="9">
        <v>2000</v>
      </c>
      <c r="AK35" s="9">
        <v>461920</v>
      </c>
      <c r="AL35" s="9">
        <v>0</v>
      </c>
      <c r="AM35" s="9">
        <v>2000</v>
      </c>
      <c r="AN35" s="9">
        <v>27000</v>
      </c>
      <c r="AO35" s="9">
        <v>30000</v>
      </c>
      <c r="AP35" s="9">
        <v>430000</v>
      </c>
      <c r="AQ35" s="9">
        <v>0</v>
      </c>
      <c r="AR35" s="9" t="s">
        <v>122</v>
      </c>
      <c r="AS35" s="9">
        <v>0</v>
      </c>
      <c r="AT35" s="9" t="s">
        <v>123</v>
      </c>
      <c r="AU35" s="9"/>
      <c r="AV35" s="13">
        <f t="shared" si="6"/>
        <v>522920</v>
      </c>
      <c r="AW35" s="13" t="s">
        <v>124</v>
      </c>
      <c r="AX35" s="17">
        <v>44494</v>
      </c>
      <c r="AY35" s="18">
        <v>1138590</v>
      </c>
      <c r="AZ35" s="25">
        <v>1034460</v>
      </c>
      <c r="BA35" s="9"/>
      <c r="BB35" s="9"/>
      <c r="BC35" s="9"/>
      <c r="BD35" s="9" t="s">
        <v>125</v>
      </c>
      <c r="BE35" s="9" t="s">
        <v>126</v>
      </c>
      <c r="BF35" s="9" t="s">
        <v>255</v>
      </c>
      <c r="BG35" s="9" t="s">
        <v>128</v>
      </c>
      <c r="BH35" s="9" t="s">
        <v>129</v>
      </c>
      <c r="BI35" s="9" t="s">
        <v>130</v>
      </c>
      <c r="BJ35" s="8" t="s">
        <v>256</v>
      </c>
      <c r="BK35" s="9" t="s">
        <v>132</v>
      </c>
      <c r="BL35" s="9" t="s">
        <v>133</v>
      </c>
      <c r="BM35" s="9" t="s">
        <v>257</v>
      </c>
      <c r="BN35" s="9" t="s">
        <v>134</v>
      </c>
      <c r="BO35" s="9" t="s">
        <v>134</v>
      </c>
      <c r="BP35" s="9" t="s">
        <v>135</v>
      </c>
      <c r="BQ35" s="8"/>
      <c r="BR35" s="9">
        <f t="shared" si="7"/>
        <v>17964</v>
      </c>
      <c r="BS35" s="8" t="s">
        <v>136</v>
      </c>
      <c r="BT35" s="19"/>
      <c r="BU35" s="9"/>
      <c r="BV35" s="26"/>
      <c r="BW35" s="9"/>
      <c r="BX35" s="9">
        <f t="shared" si="8"/>
        <v>0</v>
      </c>
      <c r="BY35" s="9">
        <f t="shared" si="9"/>
        <v>0</v>
      </c>
      <c r="BZ35" s="27">
        <v>0</v>
      </c>
      <c r="CA35" s="1"/>
      <c r="CB35" s="28" t="s">
        <v>120</v>
      </c>
      <c r="CC35" s="28" t="s">
        <v>120</v>
      </c>
      <c r="CD35" s="9">
        <v>342650</v>
      </c>
      <c r="CE35" s="9">
        <f t="shared" si="10"/>
        <v>60</v>
      </c>
      <c r="CF35" s="9">
        <f t="shared" si="11"/>
        <v>20559000</v>
      </c>
      <c r="CG35" s="9"/>
      <c r="CH35" s="9"/>
      <c r="CI35" s="9">
        <v>2506900</v>
      </c>
      <c r="CJ35" s="29">
        <v>0.04</v>
      </c>
      <c r="CK35" s="30">
        <v>0.04</v>
      </c>
      <c r="CL35" s="31" t="s">
        <v>259</v>
      </c>
      <c r="CM35" s="31"/>
      <c r="CN35" s="31"/>
      <c r="CO35" s="27">
        <v>0.03</v>
      </c>
      <c r="CP35" s="22"/>
      <c r="CQ35" s="32">
        <v>0</v>
      </c>
      <c r="CR35" s="32">
        <v>0</v>
      </c>
      <c r="CS35" s="32">
        <v>0</v>
      </c>
      <c r="CT35" s="32">
        <v>0</v>
      </c>
      <c r="CU35" s="32">
        <v>0</v>
      </c>
      <c r="CV35" s="32">
        <v>0</v>
      </c>
      <c r="CW35" s="32">
        <v>0</v>
      </c>
      <c r="CX35" s="32">
        <v>0</v>
      </c>
      <c r="CY35" s="32">
        <v>0</v>
      </c>
      <c r="CZ35" s="32">
        <v>0</v>
      </c>
      <c r="DA35" s="32">
        <v>0</v>
      </c>
      <c r="DB35" s="32" t="str">
        <f t="shared" si="12"/>
        <v>기아</v>
      </c>
      <c r="DC35" s="32" t="s">
        <v>260</v>
      </c>
      <c r="DD35" s="32" t="str">
        <f>IF(DC35="정수원 실장","렌트베네핏", IF(DC35="박현식 부장", "렌트베네핏", IF(DC35="김성진 팀장", "청담", IF(DC35="전석영 부장", "방배", IF(DC35= "박봉호 부장", "일산",IF(DC85="정원철 부장", "청담"))))))</f>
        <v>렌트베네핏</v>
      </c>
      <c r="DE35" s="32"/>
      <c r="DF35" s="32"/>
      <c r="DG35" s="32"/>
      <c r="DH35" s="32" t="s">
        <v>261</v>
      </c>
      <c r="DI35" s="19" t="s">
        <v>137</v>
      </c>
      <c r="DJ35" s="22">
        <v>0.3</v>
      </c>
      <c r="DK35" s="51">
        <v>0.2</v>
      </c>
      <c r="DL35" s="32"/>
      <c r="DM35" s="20"/>
      <c r="DN35" s="32"/>
      <c r="DO35" s="32"/>
      <c r="DP35" s="22"/>
    </row>
    <row r="36" spans="1:120">
      <c r="A36" s="8">
        <v>34</v>
      </c>
      <c r="B36" s="8" t="s">
        <v>364</v>
      </c>
      <c r="C36" s="34" t="s">
        <v>244</v>
      </c>
      <c r="D36" s="8" t="s">
        <v>365</v>
      </c>
      <c r="E36" s="8" t="s">
        <v>246</v>
      </c>
      <c r="F36" s="8" t="s">
        <v>247</v>
      </c>
      <c r="G36" s="8" t="s">
        <v>248</v>
      </c>
      <c r="H36" s="8" t="s">
        <v>114</v>
      </c>
      <c r="I36" s="9">
        <v>12750000</v>
      </c>
      <c r="J36" s="8">
        <v>2022</v>
      </c>
      <c r="K36" s="10" t="s">
        <v>115</v>
      </c>
      <c r="L36" s="10" t="s">
        <v>116</v>
      </c>
      <c r="M36" s="8" t="s">
        <v>366</v>
      </c>
      <c r="N36" s="8" t="s">
        <v>367</v>
      </c>
      <c r="O36" s="8" t="s">
        <v>119</v>
      </c>
      <c r="P36" s="11">
        <v>998</v>
      </c>
      <c r="Q36" s="12">
        <v>44494</v>
      </c>
      <c r="R36" s="12">
        <v>44497</v>
      </c>
      <c r="S36" s="24">
        <v>44497</v>
      </c>
      <c r="T36" s="14" t="s">
        <v>120</v>
      </c>
      <c r="U36" s="12">
        <f t="shared" si="0"/>
        <v>46322</v>
      </c>
      <c r="V36" s="8">
        <f t="shared" ca="1" si="1"/>
        <v>3</v>
      </c>
      <c r="W36" s="16">
        <v>20000</v>
      </c>
      <c r="X36" s="9" t="s">
        <v>368</v>
      </c>
      <c r="Y36" s="9" t="s">
        <v>369</v>
      </c>
      <c r="Z36" s="9" t="s">
        <v>370</v>
      </c>
      <c r="AA36" s="9" t="s">
        <v>371</v>
      </c>
      <c r="AB36" s="12">
        <v>44505</v>
      </c>
      <c r="AC36" s="8">
        <f t="shared" si="4"/>
        <v>1825</v>
      </c>
      <c r="AD36" s="8">
        <f t="shared" ca="1" si="5"/>
        <v>96</v>
      </c>
      <c r="AE36" s="8">
        <f>VLOOKUP($B36, [1]렌트_계약서번호!$B$3:$E$501, 4, FALSE)</f>
        <v>21100019</v>
      </c>
      <c r="AF36" s="18">
        <v>13234421</v>
      </c>
      <c r="AG36" s="9">
        <v>200000</v>
      </c>
      <c r="AH36" s="9">
        <v>12675000</v>
      </c>
      <c r="AI36" s="9">
        <v>0</v>
      </c>
      <c r="AJ36" s="9">
        <v>2000</v>
      </c>
      <c r="AK36" s="9">
        <v>460900</v>
      </c>
      <c r="AL36" s="9">
        <v>0</v>
      </c>
      <c r="AM36" s="9">
        <v>2000</v>
      </c>
      <c r="AN36" s="9">
        <v>27000</v>
      </c>
      <c r="AO36" s="9">
        <v>30000</v>
      </c>
      <c r="AP36" s="9">
        <v>430000</v>
      </c>
      <c r="AQ36" s="9">
        <v>0</v>
      </c>
      <c r="AR36" s="9" t="s">
        <v>122</v>
      </c>
      <c r="AS36" s="9">
        <v>0</v>
      </c>
      <c r="AT36" s="9" t="s">
        <v>123</v>
      </c>
      <c r="AU36" s="9"/>
      <c r="AV36" s="13">
        <f t="shared" si="6"/>
        <v>521900</v>
      </c>
      <c r="AW36" s="13" t="s">
        <v>124</v>
      </c>
      <c r="AX36" s="17">
        <v>44494</v>
      </c>
      <c r="AY36" s="18">
        <v>1138590</v>
      </c>
      <c r="AZ36" s="25">
        <v>1034460</v>
      </c>
      <c r="BA36" s="9"/>
      <c r="BB36" s="9"/>
      <c r="BC36" s="9"/>
      <c r="BD36" s="9" t="s">
        <v>125</v>
      </c>
      <c r="BE36" s="9" t="s">
        <v>126</v>
      </c>
      <c r="BF36" s="9" t="s">
        <v>255</v>
      </c>
      <c r="BG36" s="9" t="s">
        <v>128</v>
      </c>
      <c r="BH36" s="9" t="s">
        <v>129</v>
      </c>
      <c r="BI36" s="9" t="s">
        <v>130</v>
      </c>
      <c r="BJ36" s="8" t="s">
        <v>256</v>
      </c>
      <c r="BK36" s="9" t="s">
        <v>132</v>
      </c>
      <c r="BL36" s="9" t="s">
        <v>133</v>
      </c>
      <c r="BM36" s="9" t="s">
        <v>257</v>
      </c>
      <c r="BN36" s="9" t="s">
        <v>134</v>
      </c>
      <c r="BO36" s="9" t="s">
        <v>134</v>
      </c>
      <c r="BP36" s="9" t="s">
        <v>135</v>
      </c>
      <c r="BQ36" s="8"/>
      <c r="BR36" s="9">
        <f t="shared" si="7"/>
        <v>17964</v>
      </c>
      <c r="BS36" s="8" t="s">
        <v>136</v>
      </c>
      <c r="BT36" s="19"/>
      <c r="BU36" s="9"/>
      <c r="BV36" s="26"/>
      <c r="BW36" s="9"/>
      <c r="BX36" s="9">
        <f t="shared" si="8"/>
        <v>0</v>
      </c>
      <c r="BY36" s="9">
        <f t="shared" si="9"/>
        <v>0</v>
      </c>
      <c r="BZ36" s="27">
        <v>0</v>
      </c>
      <c r="CA36" s="1"/>
      <c r="CB36" s="28" t="s">
        <v>120</v>
      </c>
      <c r="CC36" s="28" t="s">
        <v>120</v>
      </c>
      <c r="CD36" s="9">
        <v>342650</v>
      </c>
      <c r="CE36" s="9">
        <f t="shared" si="10"/>
        <v>60</v>
      </c>
      <c r="CF36" s="9">
        <f t="shared" si="11"/>
        <v>20559000</v>
      </c>
      <c r="CG36" s="9"/>
      <c r="CH36" s="9"/>
      <c r="CI36" s="9">
        <v>2506900</v>
      </c>
      <c r="CJ36" s="29">
        <v>0.04</v>
      </c>
      <c r="CK36" s="30">
        <v>0.04</v>
      </c>
      <c r="CL36" s="31" t="s">
        <v>259</v>
      </c>
      <c r="CM36" s="31"/>
      <c r="CN36" s="31"/>
      <c r="CO36" s="27">
        <v>0.03</v>
      </c>
      <c r="CP36" s="22"/>
      <c r="CQ36" s="32">
        <v>0</v>
      </c>
      <c r="CR36" s="32">
        <v>0</v>
      </c>
      <c r="CS36" s="32">
        <v>0</v>
      </c>
      <c r="CT36" s="32">
        <v>0</v>
      </c>
      <c r="CU36" s="32">
        <v>0</v>
      </c>
      <c r="CV36" s="32">
        <v>0</v>
      </c>
      <c r="CW36" s="32">
        <v>0</v>
      </c>
      <c r="CX36" s="32">
        <v>0</v>
      </c>
      <c r="CY36" s="32">
        <v>0</v>
      </c>
      <c r="CZ36" s="32">
        <v>0</v>
      </c>
      <c r="DA36" s="32">
        <v>0</v>
      </c>
      <c r="DB36" s="32" t="str">
        <f t="shared" si="12"/>
        <v>기아</v>
      </c>
      <c r="DC36" s="32" t="s">
        <v>260</v>
      </c>
      <c r="DD36" s="32" t="str">
        <f>IF(DC36="정수원 실장","렌트베네핏", IF(DC36="박현식 부장", "렌트베네핏", IF(DC36="김성진 팀장", "청담", IF(DC36="전석영 부장", "방배", IF(DC36= "박봉호 부장", "일산",IF(#REF!="정원철 부장", "청담"))))))</f>
        <v>렌트베네핏</v>
      </c>
      <c r="DE36" s="32"/>
      <c r="DF36" s="32"/>
      <c r="DG36" s="32"/>
      <c r="DH36" s="32" t="s">
        <v>261</v>
      </c>
      <c r="DI36" s="19" t="s">
        <v>137</v>
      </c>
      <c r="DJ36" s="22">
        <v>0.3</v>
      </c>
      <c r="DK36" s="51">
        <v>0.2</v>
      </c>
      <c r="DL36" s="32"/>
      <c r="DM36" s="20"/>
      <c r="DN36" s="32"/>
      <c r="DO36" s="32"/>
      <c r="DP36" s="22"/>
    </row>
    <row r="37" spans="1:120">
      <c r="A37" s="8">
        <v>35</v>
      </c>
      <c r="B37" s="8" t="s">
        <v>372</v>
      </c>
      <c r="C37" s="34" t="s">
        <v>244</v>
      </c>
      <c r="D37" s="8" t="s">
        <v>373</v>
      </c>
      <c r="E37" s="8" t="s">
        <v>246</v>
      </c>
      <c r="F37" s="8" t="s">
        <v>247</v>
      </c>
      <c r="G37" s="8" t="s">
        <v>248</v>
      </c>
      <c r="H37" s="8" t="s">
        <v>114</v>
      </c>
      <c r="I37" s="9">
        <v>12750000</v>
      </c>
      <c r="J37" s="8">
        <v>2022</v>
      </c>
      <c r="K37" s="10" t="s">
        <v>115</v>
      </c>
      <c r="L37" s="10" t="s">
        <v>116</v>
      </c>
      <c r="M37" s="8" t="s">
        <v>374</v>
      </c>
      <c r="N37" s="8" t="s">
        <v>375</v>
      </c>
      <c r="O37" s="8" t="s">
        <v>119</v>
      </c>
      <c r="P37" s="11">
        <v>998</v>
      </c>
      <c r="Q37" s="12">
        <v>44494</v>
      </c>
      <c r="R37" s="12">
        <v>44497</v>
      </c>
      <c r="S37" s="24">
        <v>44497</v>
      </c>
      <c r="T37" s="14" t="s">
        <v>120</v>
      </c>
      <c r="U37" s="12">
        <f t="shared" si="0"/>
        <v>46322</v>
      </c>
      <c r="V37" s="8">
        <f t="shared" ca="1" si="1"/>
        <v>3</v>
      </c>
      <c r="W37" s="16">
        <v>20000</v>
      </c>
      <c r="X37" s="9" t="s">
        <v>368</v>
      </c>
      <c r="Y37" s="9" t="s">
        <v>369</v>
      </c>
      <c r="Z37" s="9" t="s">
        <v>376</v>
      </c>
      <c r="AA37" s="9" t="s">
        <v>371</v>
      </c>
      <c r="AB37" s="12">
        <v>44505</v>
      </c>
      <c r="AC37" s="8">
        <f t="shared" si="4"/>
        <v>1825</v>
      </c>
      <c r="AD37" s="8">
        <f t="shared" ca="1" si="5"/>
        <v>96</v>
      </c>
      <c r="AE37" s="8">
        <f>VLOOKUP($B37, [1]렌트_계약서번호!$B$3:$E$501, 4, FALSE)</f>
        <v>21100020</v>
      </c>
      <c r="AF37" s="18">
        <v>13234421</v>
      </c>
      <c r="AG37" s="9">
        <v>200000</v>
      </c>
      <c r="AH37" s="9">
        <v>12675000</v>
      </c>
      <c r="AI37" s="9">
        <v>0</v>
      </c>
      <c r="AJ37" s="9">
        <v>2000</v>
      </c>
      <c r="AK37" s="9">
        <v>460900</v>
      </c>
      <c r="AL37" s="9">
        <v>0</v>
      </c>
      <c r="AM37" s="9">
        <v>2000</v>
      </c>
      <c r="AN37" s="9">
        <v>27000</v>
      </c>
      <c r="AO37" s="9">
        <v>30000</v>
      </c>
      <c r="AP37" s="9">
        <v>430000</v>
      </c>
      <c r="AQ37" s="9">
        <v>0</v>
      </c>
      <c r="AR37" s="9" t="s">
        <v>122</v>
      </c>
      <c r="AS37" s="9">
        <v>0</v>
      </c>
      <c r="AT37" s="9" t="s">
        <v>123</v>
      </c>
      <c r="AU37" s="9"/>
      <c r="AV37" s="13">
        <f t="shared" si="6"/>
        <v>521900</v>
      </c>
      <c r="AW37" s="13" t="s">
        <v>124</v>
      </c>
      <c r="AX37" s="17">
        <v>44494</v>
      </c>
      <c r="AY37" s="18">
        <v>1138590</v>
      </c>
      <c r="AZ37" s="25">
        <v>1034460</v>
      </c>
      <c r="BA37" s="9"/>
      <c r="BB37" s="9"/>
      <c r="BC37" s="9"/>
      <c r="BD37" s="9" t="s">
        <v>125</v>
      </c>
      <c r="BE37" s="9" t="s">
        <v>126</v>
      </c>
      <c r="BF37" s="9" t="s">
        <v>255</v>
      </c>
      <c r="BG37" s="9" t="s">
        <v>128</v>
      </c>
      <c r="BH37" s="9" t="s">
        <v>129</v>
      </c>
      <c r="BI37" s="9" t="s">
        <v>130</v>
      </c>
      <c r="BJ37" s="8" t="s">
        <v>256</v>
      </c>
      <c r="BK37" s="9" t="s">
        <v>132</v>
      </c>
      <c r="BL37" s="9" t="s">
        <v>133</v>
      </c>
      <c r="BM37" s="9" t="s">
        <v>257</v>
      </c>
      <c r="BN37" s="9" t="s">
        <v>134</v>
      </c>
      <c r="BO37" s="9" t="s">
        <v>134</v>
      </c>
      <c r="BP37" s="9" t="s">
        <v>135</v>
      </c>
      <c r="BQ37" s="8"/>
      <c r="BR37" s="9">
        <f t="shared" si="7"/>
        <v>17964</v>
      </c>
      <c r="BS37" s="8" t="s">
        <v>136</v>
      </c>
      <c r="BT37" s="19"/>
      <c r="BU37" s="9"/>
      <c r="BV37" s="26"/>
      <c r="BW37" s="9"/>
      <c r="BX37" s="9">
        <f t="shared" si="8"/>
        <v>0</v>
      </c>
      <c r="BY37" s="9">
        <f t="shared" si="9"/>
        <v>0</v>
      </c>
      <c r="BZ37" s="27">
        <v>0</v>
      </c>
      <c r="CA37" s="1"/>
      <c r="CB37" s="28" t="s">
        <v>120</v>
      </c>
      <c r="CC37" s="28" t="s">
        <v>120</v>
      </c>
      <c r="CD37" s="9">
        <v>342650</v>
      </c>
      <c r="CE37" s="9">
        <f t="shared" si="10"/>
        <v>60</v>
      </c>
      <c r="CF37" s="9">
        <f t="shared" si="11"/>
        <v>20559000</v>
      </c>
      <c r="CG37" s="9"/>
      <c r="CH37" s="9"/>
      <c r="CI37" s="9">
        <v>2506900</v>
      </c>
      <c r="CJ37" s="29">
        <v>0.04</v>
      </c>
      <c r="CK37" s="30">
        <v>0.04</v>
      </c>
      <c r="CL37" s="31" t="s">
        <v>259</v>
      </c>
      <c r="CM37" s="31"/>
      <c r="CN37" s="31"/>
      <c r="CO37" s="27">
        <v>0.03</v>
      </c>
      <c r="CP37" s="22"/>
      <c r="CQ37" s="32">
        <v>0</v>
      </c>
      <c r="CR37" s="32">
        <v>0</v>
      </c>
      <c r="CS37" s="32">
        <v>0</v>
      </c>
      <c r="CT37" s="32">
        <v>0</v>
      </c>
      <c r="CU37" s="32">
        <v>0</v>
      </c>
      <c r="CV37" s="32">
        <v>0</v>
      </c>
      <c r="CW37" s="32">
        <v>0</v>
      </c>
      <c r="CX37" s="32">
        <v>0</v>
      </c>
      <c r="CY37" s="32">
        <v>0</v>
      </c>
      <c r="CZ37" s="32">
        <v>0</v>
      </c>
      <c r="DA37" s="32">
        <v>0</v>
      </c>
      <c r="DB37" s="32" t="str">
        <f t="shared" si="12"/>
        <v>기아</v>
      </c>
      <c r="DC37" s="32" t="s">
        <v>260</v>
      </c>
      <c r="DD37" s="32" t="str">
        <f>IF(DC37="정수원 실장","렌트베네핏", IF(DC37="박현식 부장", "렌트베네핏", IF(DC37="김성진 팀장", "청담", IF(DC37="전석영 부장", "방배", IF(DC37= "박봉호 부장", "일산",IF(DC86="정원철 부장", "청담"))))))</f>
        <v>렌트베네핏</v>
      </c>
      <c r="DE37" s="32"/>
      <c r="DF37" s="32"/>
      <c r="DG37" s="32"/>
      <c r="DH37" s="32" t="s">
        <v>261</v>
      </c>
      <c r="DI37" s="19" t="s">
        <v>137</v>
      </c>
      <c r="DJ37" s="22">
        <v>0.3</v>
      </c>
      <c r="DK37" s="51">
        <v>0.2</v>
      </c>
      <c r="DL37" s="32"/>
      <c r="DM37" s="20"/>
      <c r="DN37" s="32"/>
      <c r="DO37" s="32"/>
      <c r="DP37" s="22"/>
    </row>
    <row r="38" spans="1:120">
      <c r="A38" s="8">
        <v>36</v>
      </c>
      <c r="B38" s="8" t="s">
        <v>377</v>
      </c>
      <c r="C38" s="34" t="s">
        <v>244</v>
      </c>
      <c r="D38" s="8" t="s">
        <v>378</v>
      </c>
      <c r="E38" s="8" t="s">
        <v>379</v>
      </c>
      <c r="F38" s="8" t="s">
        <v>380</v>
      </c>
      <c r="G38" s="8" t="s">
        <v>248</v>
      </c>
      <c r="H38" s="8" t="s">
        <v>114</v>
      </c>
      <c r="I38" s="9">
        <v>12750000</v>
      </c>
      <c r="J38" s="8">
        <v>2022</v>
      </c>
      <c r="K38" s="10" t="s">
        <v>115</v>
      </c>
      <c r="L38" s="10" t="s">
        <v>116</v>
      </c>
      <c r="M38" s="8" t="s">
        <v>381</v>
      </c>
      <c r="N38" s="8" t="s">
        <v>382</v>
      </c>
      <c r="O38" s="8" t="s">
        <v>119</v>
      </c>
      <c r="P38" s="11">
        <v>998</v>
      </c>
      <c r="Q38" s="12">
        <v>44503</v>
      </c>
      <c r="R38" s="12">
        <v>44510</v>
      </c>
      <c r="S38" s="12">
        <v>44510</v>
      </c>
      <c r="T38" s="14" t="s">
        <v>120</v>
      </c>
      <c r="U38" s="12">
        <f t="shared" si="0"/>
        <v>46335</v>
      </c>
      <c r="V38" s="8">
        <f t="shared" ca="1" si="1"/>
        <v>3</v>
      </c>
      <c r="W38" s="16">
        <v>20000</v>
      </c>
      <c r="X38" s="8" t="s">
        <v>383</v>
      </c>
      <c r="Y38" s="8" t="s">
        <v>380</v>
      </c>
      <c r="Z38" s="8"/>
      <c r="AA38" s="9" t="s">
        <v>384</v>
      </c>
      <c r="AB38" s="12">
        <v>44525</v>
      </c>
      <c r="AC38" s="8">
        <f t="shared" si="4"/>
        <v>1825</v>
      </c>
      <c r="AD38" s="8">
        <f t="shared" ca="1" si="5"/>
        <v>109</v>
      </c>
      <c r="AE38" s="8">
        <f>VLOOKUP($B38, [1]렌트_계약서번호!$B$3:$E$501, 4, FALSE)</f>
        <v>22090033</v>
      </c>
      <c r="AF38" s="18">
        <v>13209603</v>
      </c>
      <c r="AG38" s="9">
        <v>200000</v>
      </c>
      <c r="AH38" s="9">
        <v>12688000</v>
      </c>
      <c r="AI38" s="9">
        <v>0</v>
      </c>
      <c r="AJ38" s="9">
        <v>2000</v>
      </c>
      <c r="AK38" s="9">
        <v>461380</v>
      </c>
      <c r="AL38" s="9">
        <v>0</v>
      </c>
      <c r="AM38" s="9">
        <v>2000</v>
      </c>
      <c r="AN38" s="9">
        <v>27000</v>
      </c>
      <c r="AO38" s="9">
        <v>30000</v>
      </c>
      <c r="AP38" s="9">
        <v>430000</v>
      </c>
      <c r="AQ38" s="9">
        <v>0</v>
      </c>
      <c r="AR38" s="9" t="s">
        <v>122</v>
      </c>
      <c r="AS38" s="9">
        <v>0</v>
      </c>
      <c r="AT38" s="9" t="s">
        <v>123</v>
      </c>
      <c r="AU38" s="9"/>
      <c r="AV38" s="13">
        <f t="shared" si="6"/>
        <v>522380</v>
      </c>
      <c r="AW38" s="13" t="s">
        <v>124</v>
      </c>
      <c r="AX38" s="17">
        <v>44503</v>
      </c>
      <c r="AY38" s="18">
        <v>1153090</v>
      </c>
      <c r="AZ38" s="18">
        <v>1035460</v>
      </c>
      <c r="BA38" s="9"/>
      <c r="BB38" s="9"/>
      <c r="BC38" s="9"/>
      <c r="BD38" s="9" t="s">
        <v>125</v>
      </c>
      <c r="BE38" s="9" t="s">
        <v>126</v>
      </c>
      <c r="BF38" s="9" t="s">
        <v>255</v>
      </c>
      <c r="BG38" s="9" t="s">
        <v>128</v>
      </c>
      <c r="BH38" s="9" t="s">
        <v>129</v>
      </c>
      <c r="BI38" s="9" t="s">
        <v>130</v>
      </c>
      <c r="BJ38" s="8" t="s">
        <v>256</v>
      </c>
      <c r="BK38" s="9" t="s">
        <v>132</v>
      </c>
      <c r="BL38" s="9" t="s">
        <v>133</v>
      </c>
      <c r="BM38" s="9" t="s">
        <v>257</v>
      </c>
      <c r="BN38" s="9" t="s">
        <v>134</v>
      </c>
      <c r="BO38" s="9" t="s">
        <v>134</v>
      </c>
      <c r="BP38" s="9" t="s">
        <v>135</v>
      </c>
      <c r="BQ38" s="8"/>
      <c r="BR38" s="9">
        <f t="shared" si="7"/>
        <v>17964</v>
      </c>
      <c r="BS38" s="8" t="s">
        <v>136</v>
      </c>
      <c r="BT38" s="19"/>
      <c r="BU38" s="9"/>
      <c r="BV38" s="26"/>
      <c r="BW38" s="9"/>
      <c r="BX38" s="9">
        <f t="shared" si="8"/>
        <v>0</v>
      </c>
      <c r="BY38" s="9">
        <f t="shared" si="9"/>
        <v>0</v>
      </c>
      <c r="BZ38" s="27">
        <v>0</v>
      </c>
      <c r="CA38" s="1"/>
      <c r="CB38" s="28" t="s">
        <v>385</v>
      </c>
      <c r="CC38" s="28" t="s">
        <v>385</v>
      </c>
      <c r="CD38" s="9">
        <v>350000</v>
      </c>
      <c r="CE38" s="9">
        <f t="shared" si="10"/>
        <v>60</v>
      </c>
      <c r="CF38" s="9">
        <f t="shared" si="11"/>
        <v>21000000</v>
      </c>
      <c r="CG38" s="9"/>
      <c r="CH38" s="9"/>
      <c r="CI38" s="9">
        <v>2506900</v>
      </c>
      <c r="CJ38" s="29">
        <v>7.6999999999999999E-2</v>
      </c>
      <c r="CK38" s="30">
        <v>0.04</v>
      </c>
      <c r="CL38" s="31" t="s">
        <v>386</v>
      </c>
      <c r="CM38" s="31" t="s">
        <v>387</v>
      </c>
      <c r="CN38" s="31"/>
      <c r="CO38" s="27">
        <v>0.03</v>
      </c>
      <c r="CP38" s="22"/>
      <c r="CQ38" s="32">
        <v>0</v>
      </c>
      <c r="CR38" s="32">
        <v>0</v>
      </c>
      <c r="CS38" s="32">
        <v>0</v>
      </c>
      <c r="CT38" s="32">
        <v>0</v>
      </c>
      <c r="CU38" s="32">
        <v>0</v>
      </c>
      <c r="CV38" s="32">
        <v>0</v>
      </c>
      <c r="CW38" s="32">
        <v>0</v>
      </c>
      <c r="CX38" s="32">
        <v>0</v>
      </c>
      <c r="CY38" s="32">
        <v>0</v>
      </c>
      <c r="CZ38" s="32">
        <v>0</v>
      </c>
      <c r="DA38" s="32">
        <v>0</v>
      </c>
      <c r="DB38" s="32" t="str">
        <f t="shared" si="12"/>
        <v>기아</v>
      </c>
      <c r="DC38" s="32" t="s">
        <v>260</v>
      </c>
      <c r="DD38" s="32" t="str">
        <f>IF(DC38="정수원 실장","렌트베네핏", IF(DC38="박현식 부장", "렌트베네핏", IF(DC38="김성진 팀장", "청담", IF(DC38="전석영 부장", "방배", IF(DC38= "박봉호 부장", "일산",IF(#REF!="정원철 부장", "청담"))))))</f>
        <v>렌트베네핏</v>
      </c>
      <c r="DE38" s="32"/>
      <c r="DF38" s="32"/>
      <c r="DG38" s="32"/>
      <c r="DH38" s="32" t="s">
        <v>388</v>
      </c>
      <c r="DI38" s="9" t="s">
        <v>384</v>
      </c>
      <c r="DJ38" s="22">
        <v>0.3</v>
      </c>
      <c r="DK38" s="51">
        <v>0.2</v>
      </c>
      <c r="DL38" s="32"/>
      <c r="DM38" s="20"/>
      <c r="DN38" s="32"/>
      <c r="DO38" s="32"/>
      <c r="DP38" s="22"/>
    </row>
    <row r="39" spans="1:120">
      <c r="A39" s="8">
        <v>37</v>
      </c>
      <c r="B39" s="8" t="s">
        <v>389</v>
      </c>
      <c r="C39" s="8" t="s">
        <v>208</v>
      </c>
      <c r="D39" s="8" t="s">
        <v>390</v>
      </c>
      <c r="E39" s="9" t="s">
        <v>391</v>
      </c>
      <c r="F39" s="8" t="s">
        <v>392</v>
      </c>
      <c r="G39" s="8" t="s">
        <v>393</v>
      </c>
      <c r="H39" s="8" t="s">
        <v>200</v>
      </c>
      <c r="I39" s="9">
        <v>118600000</v>
      </c>
      <c r="J39" s="8">
        <v>2021</v>
      </c>
      <c r="K39" s="10" t="s">
        <v>394</v>
      </c>
      <c r="L39" s="10" t="s">
        <v>116</v>
      </c>
      <c r="M39" s="8" t="s">
        <v>395</v>
      </c>
      <c r="N39" s="8" t="s">
        <v>396</v>
      </c>
      <c r="O39" s="8" t="s">
        <v>119</v>
      </c>
      <c r="P39" s="11">
        <v>2999</v>
      </c>
      <c r="Q39" s="12">
        <v>44512</v>
      </c>
      <c r="R39" s="12">
        <v>44510</v>
      </c>
      <c r="S39" s="12">
        <v>44513</v>
      </c>
      <c r="T39" s="14" t="s">
        <v>397</v>
      </c>
      <c r="U39" s="12">
        <f t="shared" si="0"/>
        <v>45608</v>
      </c>
      <c r="V39" s="8" t="str">
        <f t="shared" ca="1" si="1"/>
        <v>-</v>
      </c>
      <c r="W39" s="16">
        <v>20000</v>
      </c>
      <c r="X39" s="9" t="s">
        <v>391</v>
      </c>
      <c r="Y39" s="8" t="s">
        <v>392</v>
      </c>
      <c r="Z39" s="9"/>
      <c r="AA39" s="9" t="s">
        <v>398</v>
      </c>
      <c r="AB39" s="12">
        <v>44555</v>
      </c>
      <c r="AC39" s="8">
        <f t="shared" si="4"/>
        <v>1095</v>
      </c>
      <c r="AD39" s="8">
        <f t="shared" ca="1" si="5"/>
        <v>-618</v>
      </c>
      <c r="AE39" s="8">
        <f>VLOOKUP($B39, [1]렌트_계약서번호!$B$3:$E$501, 4, FALSE)</f>
        <v>24110003</v>
      </c>
      <c r="AF39" s="18">
        <v>113856000</v>
      </c>
      <c r="AG39" s="9">
        <f>AF39-AH39</f>
        <v>0</v>
      </c>
      <c r="AH39" s="9">
        <v>113856000</v>
      </c>
      <c r="AI39" s="9">
        <v>0</v>
      </c>
      <c r="AJ39" s="9">
        <v>0</v>
      </c>
      <c r="AK39" s="9">
        <v>4140210</v>
      </c>
      <c r="AL39" s="9">
        <v>201254</v>
      </c>
      <c r="AM39" s="9">
        <v>5000</v>
      </c>
      <c r="AN39" s="9">
        <v>21500</v>
      </c>
      <c r="AO39" s="9">
        <v>30000</v>
      </c>
      <c r="AP39" s="9">
        <v>0</v>
      </c>
      <c r="AQ39" s="9">
        <v>0</v>
      </c>
      <c r="AR39" s="9" t="s">
        <v>205</v>
      </c>
      <c r="AS39" s="9">
        <v>0</v>
      </c>
      <c r="AT39" s="9" t="s">
        <v>206</v>
      </c>
      <c r="AU39" s="18">
        <v>4397964</v>
      </c>
      <c r="AV39" s="13">
        <f t="shared" si="6"/>
        <v>4397964</v>
      </c>
      <c r="AW39" s="13" t="s">
        <v>158</v>
      </c>
      <c r="AX39" s="17">
        <v>44512</v>
      </c>
      <c r="AY39" s="18">
        <f>4776960-702160</f>
        <v>4074800</v>
      </c>
      <c r="AZ39" s="25">
        <v>1134440</v>
      </c>
      <c r="BA39" s="9"/>
      <c r="BB39" s="9"/>
      <c r="BC39" s="9"/>
      <c r="BD39" s="9" t="s">
        <v>125</v>
      </c>
      <c r="BE39" s="9" t="s">
        <v>126</v>
      </c>
      <c r="BF39" s="9" t="s">
        <v>187</v>
      </c>
      <c r="BG39" s="9" t="s">
        <v>188</v>
      </c>
      <c r="BH39" s="9" t="s">
        <v>129</v>
      </c>
      <c r="BI39" s="9" t="s">
        <v>189</v>
      </c>
      <c r="BJ39" s="8" t="s">
        <v>256</v>
      </c>
      <c r="BK39" s="9" t="s">
        <v>132</v>
      </c>
      <c r="BL39" s="9" t="s">
        <v>133</v>
      </c>
      <c r="BM39" s="9" t="s">
        <v>257</v>
      </c>
      <c r="BN39" s="9" t="s">
        <v>134</v>
      </c>
      <c r="BO39" s="9" t="s">
        <v>134</v>
      </c>
      <c r="BP39" s="9" t="s">
        <v>399</v>
      </c>
      <c r="BQ39" s="8"/>
      <c r="BR39" s="9">
        <f t="shared" si="7"/>
        <v>71976</v>
      </c>
      <c r="BS39" s="8" t="s">
        <v>400</v>
      </c>
      <c r="BT39" s="19">
        <v>44511</v>
      </c>
      <c r="BU39" s="9">
        <v>101571000</v>
      </c>
      <c r="BV39" s="26" t="s">
        <v>401</v>
      </c>
      <c r="BW39" s="9">
        <v>3067700</v>
      </c>
      <c r="BX39" s="9">
        <v>111382117</v>
      </c>
      <c r="BY39" s="9">
        <v>9811117</v>
      </c>
      <c r="BZ39" s="27">
        <v>3.0599999999999999E-2</v>
      </c>
      <c r="CA39" s="1"/>
      <c r="CB39" s="28" t="s">
        <v>385</v>
      </c>
      <c r="CC39" s="28" t="s">
        <v>402</v>
      </c>
      <c r="CD39" s="9">
        <v>2932000</v>
      </c>
      <c r="CE39" s="9">
        <f t="shared" si="10"/>
        <v>36</v>
      </c>
      <c r="CF39" s="9">
        <f t="shared" si="11"/>
        <v>105552000</v>
      </c>
      <c r="CG39" s="9">
        <v>12360000</v>
      </c>
      <c r="CH39" s="9">
        <v>0</v>
      </c>
      <c r="CI39" s="9">
        <v>45114000</v>
      </c>
      <c r="CJ39" s="29">
        <v>2.1000000000000001E-2</v>
      </c>
      <c r="CK39" s="30">
        <v>0.06</v>
      </c>
      <c r="CL39" s="31" t="s">
        <v>403</v>
      </c>
      <c r="CM39" s="31" t="s">
        <v>404</v>
      </c>
      <c r="CN39" s="31"/>
      <c r="CO39" s="27">
        <v>0.03</v>
      </c>
      <c r="CP39" s="22"/>
      <c r="CQ39" s="32">
        <v>0</v>
      </c>
      <c r="CR39" s="32">
        <v>0</v>
      </c>
      <c r="CS39" s="32">
        <v>0</v>
      </c>
      <c r="CT39" s="32">
        <v>0</v>
      </c>
      <c r="CU39" s="32">
        <v>0</v>
      </c>
      <c r="CV39" s="32">
        <v>0</v>
      </c>
      <c r="CW39" s="32">
        <v>0</v>
      </c>
      <c r="CX39" s="32">
        <v>0</v>
      </c>
      <c r="CY39" s="32">
        <v>0</v>
      </c>
      <c r="CZ39" s="32">
        <v>0</v>
      </c>
      <c r="DA39" s="32">
        <v>0</v>
      </c>
      <c r="DB39" s="32" t="str">
        <f t="shared" si="12"/>
        <v>한성</v>
      </c>
      <c r="DC39" s="32" t="s">
        <v>405</v>
      </c>
      <c r="DD39" s="32" t="b">
        <f>IF(DC39="정수원 실장","렌트베네핏", IF(DC39="박현식 부장", "렌트베네핏", IF(DC39="김성진 팀장", "청담", IF(DC39="전석영 부장", "방배", IF(DC39= "박봉호 부장", "일산",IF(DC97="정원철 부장", "청담"))))))</f>
        <v>0</v>
      </c>
      <c r="DE39" s="32"/>
      <c r="DF39" s="32"/>
      <c r="DG39" s="32"/>
      <c r="DH39" s="32" t="s">
        <v>406</v>
      </c>
      <c r="DI39" s="19" t="s">
        <v>137</v>
      </c>
      <c r="DJ39" s="22">
        <v>0.3</v>
      </c>
      <c r="DK39" s="51">
        <v>0.2</v>
      </c>
      <c r="DL39" s="32"/>
      <c r="DM39" s="20"/>
      <c r="DN39" s="32"/>
      <c r="DO39" s="32"/>
      <c r="DP39" s="22"/>
    </row>
    <row r="40" spans="1:120">
      <c r="A40" s="8">
        <v>38</v>
      </c>
      <c r="B40" s="8" t="s">
        <v>407</v>
      </c>
      <c r="C40" s="34" t="s">
        <v>244</v>
      </c>
      <c r="D40" s="8" t="s">
        <v>408</v>
      </c>
      <c r="E40" s="8" t="s">
        <v>409</v>
      </c>
      <c r="F40" s="8" t="s">
        <v>410</v>
      </c>
      <c r="G40" s="8" t="s">
        <v>113</v>
      </c>
      <c r="H40" s="8" t="s">
        <v>114</v>
      </c>
      <c r="I40" s="9">
        <v>12750000</v>
      </c>
      <c r="J40" s="8">
        <v>2022</v>
      </c>
      <c r="K40" s="10" t="s">
        <v>115</v>
      </c>
      <c r="L40" s="10" t="s">
        <v>116</v>
      </c>
      <c r="M40" s="8" t="s">
        <v>411</v>
      </c>
      <c r="N40" s="8" t="s">
        <v>412</v>
      </c>
      <c r="O40" s="8" t="s">
        <v>119</v>
      </c>
      <c r="P40" s="11">
        <v>998</v>
      </c>
      <c r="Q40" s="12">
        <v>44503</v>
      </c>
      <c r="R40" s="12">
        <v>44517</v>
      </c>
      <c r="S40" s="12">
        <v>44517</v>
      </c>
      <c r="T40" s="14" t="s">
        <v>120</v>
      </c>
      <c r="U40" s="12">
        <f t="shared" si="0"/>
        <v>46342</v>
      </c>
      <c r="V40" s="8">
        <f t="shared" ca="1" si="1"/>
        <v>3</v>
      </c>
      <c r="W40" s="16">
        <v>20000</v>
      </c>
      <c r="X40" s="9" t="s">
        <v>413</v>
      </c>
      <c r="Y40" s="9" t="s">
        <v>410</v>
      </c>
      <c r="Z40" s="9"/>
      <c r="AA40" s="9" t="s">
        <v>414</v>
      </c>
      <c r="AB40" s="12">
        <v>44545</v>
      </c>
      <c r="AC40" s="8">
        <f t="shared" si="4"/>
        <v>1825</v>
      </c>
      <c r="AD40" s="8">
        <f t="shared" ca="1" si="5"/>
        <v>116</v>
      </c>
      <c r="AE40" s="8">
        <f>VLOOKUP($B40, [1]렌트_계약서번호!$B$3:$E$501, 4, FALSE)</f>
        <v>21110022</v>
      </c>
      <c r="AF40" s="18">
        <v>13209603</v>
      </c>
      <c r="AG40" s="9">
        <v>200000</v>
      </c>
      <c r="AH40" s="9">
        <v>12688000</v>
      </c>
      <c r="AI40" s="9">
        <v>0</v>
      </c>
      <c r="AJ40" s="9">
        <v>2000</v>
      </c>
      <c r="AK40" s="9">
        <v>461380</v>
      </c>
      <c r="AL40" s="9">
        <v>0</v>
      </c>
      <c r="AM40" s="9">
        <v>2000</v>
      </c>
      <c r="AN40" s="9">
        <v>27000</v>
      </c>
      <c r="AO40" s="9">
        <v>30000</v>
      </c>
      <c r="AP40" s="9">
        <v>430000</v>
      </c>
      <c r="AQ40" s="9">
        <v>0</v>
      </c>
      <c r="AR40" s="9" t="s">
        <v>122</v>
      </c>
      <c r="AS40" s="9">
        <v>0</v>
      </c>
      <c r="AT40" s="9" t="s">
        <v>123</v>
      </c>
      <c r="AU40" s="9"/>
      <c r="AV40" s="13">
        <f t="shared" si="6"/>
        <v>522380</v>
      </c>
      <c r="AW40" s="13" t="s">
        <v>124</v>
      </c>
      <c r="AX40" s="17">
        <v>44503</v>
      </c>
      <c r="AY40" s="18">
        <v>1153090</v>
      </c>
      <c r="AZ40" s="18">
        <v>1035460</v>
      </c>
      <c r="BA40" s="9"/>
      <c r="BB40" s="9"/>
      <c r="BC40" s="9"/>
      <c r="BD40" s="9" t="s">
        <v>125</v>
      </c>
      <c r="BE40" s="9" t="s">
        <v>126</v>
      </c>
      <c r="BF40" s="9" t="s">
        <v>255</v>
      </c>
      <c r="BG40" s="9" t="s">
        <v>128</v>
      </c>
      <c r="BH40" s="9" t="s">
        <v>129</v>
      </c>
      <c r="BI40" s="9" t="s">
        <v>130</v>
      </c>
      <c r="BJ40" s="8" t="s">
        <v>256</v>
      </c>
      <c r="BK40" s="9" t="s">
        <v>132</v>
      </c>
      <c r="BL40" s="9" t="s">
        <v>133</v>
      </c>
      <c r="BM40" s="9" t="s">
        <v>257</v>
      </c>
      <c r="BN40" s="9" t="s">
        <v>134</v>
      </c>
      <c r="BO40" s="9" t="s">
        <v>134</v>
      </c>
      <c r="BP40" s="9" t="s">
        <v>135</v>
      </c>
      <c r="BQ40" s="8"/>
      <c r="BR40" s="9">
        <f t="shared" si="7"/>
        <v>17964</v>
      </c>
      <c r="BS40" s="8" t="s">
        <v>136</v>
      </c>
      <c r="BT40" s="19"/>
      <c r="BU40" s="9"/>
      <c r="BV40" s="26"/>
      <c r="BW40" s="9"/>
      <c r="BX40" s="9">
        <f t="shared" ref="BX40:BX48" si="14">BW40*BV40</f>
        <v>0</v>
      </c>
      <c r="BY40" s="9">
        <f t="shared" ref="BY40:BY48" si="15">BX40-BU40</f>
        <v>0</v>
      </c>
      <c r="BZ40" s="27">
        <v>0</v>
      </c>
      <c r="CA40" s="1"/>
      <c r="CB40" s="28" t="s">
        <v>402</v>
      </c>
      <c r="CC40" s="28" t="s">
        <v>402</v>
      </c>
      <c r="CD40" s="9">
        <v>366700</v>
      </c>
      <c r="CE40" s="9">
        <f t="shared" si="10"/>
        <v>60</v>
      </c>
      <c r="CF40" s="9">
        <f t="shared" si="11"/>
        <v>22002000</v>
      </c>
      <c r="CG40" s="9"/>
      <c r="CH40" s="9"/>
      <c r="CI40" s="9">
        <v>2506900</v>
      </c>
      <c r="CJ40" s="29">
        <v>2.1000000000000001E-2</v>
      </c>
      <c r="CK40" s="30">
        <v>0.04</v>
      </c>
      <c r="CL40" s="31" t="s">
        <v>415</v>
      </c>
      <c r="CM40" s="31"/>
      <c r="CN40" s="31"/>
      <c r="CO40" s="27">
        <v>0.03</v>
      </c>
      <c r="CP40" s="22"/>
      <c r="CQ40" s="32">
        <v>0</v>
      </c>
      <c r="CR40" s="32">
        <v>0</v>
      </c>
      <c r="CS40" s="32">
        <v>0</v>
      </c>
      <c r="CT40" s="32">
        <v>0</v>
      </c>
      <c r="CU40" s="32">
        <v>0</v>
      </c>
      <c r="CV40" s="32">
        <v>0</v>
      </c>
      <c r="CW40" s="32">
        <v>0</v>
      </c>
      <c r="CX40" s="32">
        <v>0</v>
      </c>
      <c r="CY40" s="32">
        <v>0</v>
      </c>
      <c r="CZ40" s="32">
        <v>0</v>
      </c>
      <c r="DA40" s="32">
        <v>0</v>
      </c>
      <c r="DB40" s="32" t="str">
        <f t="shared" si="12"/>
        <v>기아</v>
      </c>
      <c r="DC40" s="32" t="s">
        <v>260</v>
      </c>
      <c r="DD40" s="32" t="str">
        <f>IF(DC40="정수원 실장","렌트베네핏", IF(DC40="박현식 부장", "렌트베네핏", IF(DC40="김성진 팀장", "청담", IF(DC40="전석영 부장", "방배", IF(DC40= "박봉호 부장", "일산",IF(DC99="정원철 부장", "청담"))))))</f>
        <v>렌트베네핏</v>
      </c>
      <c r="DE40" s="32"/>
      <c r="DF40" s="32" t="s">
        <v>416</v>
      </c>
      <c r="DG40" s="32" t="s">
        <v>417</v>
      </c>
      <c r="DH40" s="32" t="s">
        <v>418</v>
      </c>
      <c r="DI40" s="32" t="s">
        <v>419</v>
      </c>
      <c r="DJ40" s="22">
        <v>0.3</v>
      </c>
      <c r="DK40" s="51">
        <v>0.2</v>
      </c>
      <c r="DL40" s="32"/>
      <c r="DM40" s="20"/>
      <c r="DN40" s="32"/>
      <c r="DO40" s="32"/>
      <c r="DP40" s="22"/>
    </row>
    <row r="41" spans="1:120">
      <c r="A41" s="8">
        <v>39</v>
      </c>
      <c r="B41" s="8" t="s">
        <v>420</v>
      </c>
      <c r="C41" s="34" t="s">
        <v>244</v>
      </c>
      <c r="D41" s="8" t="s">
        <v>421</v>
      </c>
      <c r="E41" s="8" t="s">
        <v>422</v>
      </c>
      <c r="F41" s="8" t="s">
        <v>410</v>
      </c>
      <c r="G41" s="8" t="s">
        <v>248</v>
      </c>
      <c r="H41" s="8" t="s">
        <v>114</v>
      </c>
      <c r="I41" s="9">
        <v>12750000</v>
      </c>
      <c r="J41" s="8">
        <v>2022</v>
      </c>
      <c r="K41" s="10" t="s">
        <v>115</v>
      </c>
      <c r="L41" s="10" t="s">
        <v>116</v>
      </c>
      <c r="M41" s="8" t="s">
        <v>423</v>
      </c>
      <c r="N41" s="8" t="s">
        <v>424</v>
      </c>
      <c r="O41" s="8" t="s">
        <v>119</v>
      </c>
      <c r="P41" s="11">
        <v>998</v>
      </c>
      <c r="Q41" s="12">
        <v>44503</v>
      </c>
      <c r="R41" s="12">
        <v>44517</v>
      </c>
      <c r="S41" s="12">
        <v>44517</v>
      </c>
      <c r="T41" s="14" t="s">
        <v>120</v>
      </c>
      <c r="U41" s="12">
        <f t="shared" si="0"/>
        <v>46342</v>
      </c>
      <c r="V41" s="8">
        <f t="shared" ca="1" si="1"/>
        <v>3</v>
      </c>
      <c r="W41" s="16">
        <v>20000</v>
      </c>
      <c r="X41" s="9" t="s">
        <v>425</v>
      </c>
      <c r="Y41" s="9" t="s">
        <v>426</v>
      </c>
      <c r="Z41" s="9"/>
      <c r="AA41" s="9" t="s">
        <v>427</v>
      </c>
      <c r="AB41" s="12">
        <v>45945</v>
      </c>
      <c r="AC41" s="8">
        <f t="shared" si="4"/>
        <v>1825</v>
      </c>
      <c r="AD41" s="8">
        <f t="shared" ca="1" si="5"/>
        <v>116</v>
      </c>
      <c r="AE41" s="8">
        <f>VLOOKUP($B41, [1]렌트_계약서번호!$B$3:$E$501, 4, FALSE)</f>
        <v>21110022</v>
      </c>
      <c r="AF41" s="18">
        <v>13209603</v>
      </c>
      <c r="AG41" s="9">
        <v>200000</v>
      </c>
      <c r="AH41" s="9">
        <v>12688000</v>
      </c>
      <c r="AI41" s="9">
        <v>0</v>
      </c>
      <c r="AJ41" s="9">
        <v>2000</v>
      </c>
      <c r="AK41" s="9">
        <v>461380</v>
      </c>
      <c r="AL41" s="9">
        <v>0</v>
      </c>
      <c r="AM41" s="9">
        <v>2000</v>
      </c>
      <c r="AN41" s="9">
        <v>27000</v>
      </c>
      <c r="AO41" s="9">
        <v>30000</v>
      </c>
      <c r="AP41" s="9">
        <v>430000</v>
      </c>
      <c r="AQ41" s="9">
        <v>0</v>
      </c>
      <c r="AR41" s="9" t="s">
        <v>122</v>
      </c>
      <c r="AS41" s="9">
        <v>0</v>
      </c>
      <c r="AT41" s="9" t="s">
        <v>123</v>
      </c>
      <c r="AU41" s="9"/>
      <c r="AV41" s="13">
        <f t="shared" si="6"/>
        <v>522380</v>
      </c>
      <c r="AW41" s="13" t="s">
        <v>124</v>
      </c>
      <c r="AX41" s="17">
        <v>44503</v>
      </c>
      <c r="AY41" s="18">
        <v>1153090</v>
      </c>
      <c r="AZ41" s="18">
        <v>1035460</v>
      </c>
      <c r="BA41" s="9"/>
      <c r="BB41" s="9"/>
      <c r="BC41" s="9"/>
      <c r="BD41" s="9" t="s">
        <v>125</v>
      </c>
      <c r="BE41" s="9" t="s">
        <v>126</v>
      </c>
      <c r="BF41" s="9" t="s">
        <v>255</v>
      </c>
      <c r="BG41" s="9" t="s">
        <v>128</v>
      </c>
      <c r="BH41" s="9" t="s">
        <v>129</v>
      </c>
      <c r="BI41" s="9" t="s">
        <v>130</v>
      </c>
      <c r="BJ41" s="8" t="s">
        <v>256</v>
      </c>
      <c r="BK41" s="9" t="s">
        <v>132</v>
      </c>
      <c r="BL41" s="9" t="s">
        <v>133</v>
      </c>
      <c r="BM41" s="9" t="s">
        <v>257</v>
      </c>
      <c r="BN41" s="9" t="s">
        <v>134</v>
      </c>
      <c r="BO41" s="9" t="s">
        <v>134</v>
      </c>
      <c r="BP41" s="9" t="s">
        <v>135</v>
      </c>
      <c r="BQ41" s="8"/>
      <c r="BR41" s="9">
        <f t="shared" si="7"/>
        <v>17964</v>
      </c>
      <c r="BS41" s="8" t="s">
        <v>136</v>
      </c>
      <c r="BT41" s="19"/>
      <c r="BU41" s="9"/>
      <c r="BV41" s="26"/>
      <c r="BW41" s="9"/>
      <c r="BX41" s="9">
        <f t="shared" si="14"/>
        <v>0</v>
      </c>
      <c r="BY41" s="9">
        <f t="shared" si="15"/>
        <v>0</v>
      </c>
      <c r="BZ41" s="27">
        <v>0</v>
      </c>
      <c r="CA41" s="1"/>
      <c r="CB41" s="28" t="s">
        <v>402</v>
      </c>
      <c r="CC41" s="28" t="s">
        <v>402</v>
      </c>
      <c r="CD41" s="9">
        <v>477650</v>
      </c>
      <c r="CE41" s="9">
        <f t="shared" si="10"/>
        <v>60</v>
      </c>
      <c r="CF41" s="9">
        <f t="shared" si="11"/>
        <v>28659000</v>
      </c>
      <c r="CG41" s="9"/>
      <c r="CH41" s="9"/>
      <c r="CI41" s="9">
        <v>2506900</v>
      </c>
      <c r="CJ41" s="29">
        <v>0.09</v>
      </c>
      <c r="CK41" s="30">
        <v>0.04</v>
      </c>
      <c r="CL41" s="31" t="s">
        <v>415</v>
      </c>
      <c r="CM41" s="31"/>
      <c r="CN41" s="31"/>
      <c r="CO41" s="27">
        <v>0.03</v>
      </c>
      <c r="CP41" s="22"/>
      <c r="CQ41" s="32">
        <v>0</v>
      </c>
      <c r="CR41" s="32">
        <v>0</v>
      </c>
      <c r="CS41" s="32">
        <v>0</v>
      </c>
      <c r="CT41" s="32">
        <v>0</v>
      </c>
      <c r="CU41" s="32">
        <v>0</v>
      </c>
      <c r="CV41" s="32">
        <v>0</v>
      </c>
      <c r="CW41" s="32">
        <v>0</v>
      </c>
      <c r="CX41" s="32">
        <v>0</v>
      </c>
      <c r="CY41" s="32">
        <v>0</v>
      </c>
      <c r="CZ41" s="32">
        <v>0</v>
      </c>
      <c r="DA41" s="32">
        <v>0</v>
      </c>
      <c r="DB41" s="32" t="str">
        <f t="shared" si="12"/>
        <v>기아</v>
      </c>
      <c r="DC41" s="32" t="s">
        <v>260</v>
      </c>
      <c r="DD41" s="32" t="str">
        <f>IF(DC41="정수원 실장","렌트베네핏", IF(DC41="박현식 부장", "렌트베네핏", IF(DC41="김성진 팀장", "청담", IF(DC41="전석영 부장", "방배", IF(DC41= "박봉호 부장", "일산",IF(#REF!="정원철 부장", "청담"))))))</f>
        <v>렌트베네핏</v>
      </c>
      <c r="DE41" s="32"/>
      <c r="DF41" s="32" t="s">
        <v>416</v>
      </c>
      <c r="DG41" s="32" t="s">
        <v>428</v>
      </c>
      <c r="DH41" s="32" t="s">
        <v>429</v>
      </c>
      <c r="DI41" s="32" t="s">
        <v>427</v>
      </c>
      <c r="DJ41" s="22">
        <v>0.3</v>
      </c>
      <c r="DK41" s="51">
        <v>0.2</v>
      </c>
      <c r="DL41" s="32"/>
      <c r="DM41" s="20"/>
      <c r="DN41" s="32"/>
      <c r="DO41" s="32"/>
      <c r="DP41" s="22"/>
    </row>
    <row r="42" spans="1:120">
      <c r="A42" s="8">
        <v>40</v>
      </c>
      <c r="B42" s="8" t="s">
        <v>430</v>
      </c>
      <c r="C42" s="34" t="s">
        <v>244</v>
      </c>
      <c r="D42" s="8" t="s">
        <v>431</v>
      </c>
      <c r="E42" s="8" t="s">
        <v>409</v>
      </c>
      <c r="F42" s="8" t="s">
        <v>410</v>
      </c>
      <c r="G42" s="8" t="s">
        <v>248</v>
      </c>
      <c r="H42" s="8" t="s">
        <v>114</v>
      </c>
      <c r="I42" s="9">
        <v>12750000</v>
      </c>
      <c r="J42" s="8">
        <v>2022</v>
      </c>
      <c r="K42" s="10" t="s">
        <v>115</v>
      </c>
      <c r="L42" s="10" t="s">
        <v>116</v>
      </c>
      <c r="M42" s="8" t="s">
        <v>432</v>
      </c>
      <c r="N42" s="8" t="s">
        <v>433</v>
      </c>
      <c r="O42" s="8" t="s">
        <v>119</v>
      </c>
      <c r="P42" s="11">
        <v>998</v>
      </c>
      <c r="Q42" s="12">
        <v>44503</v>
      </c>
      <c r="R42" s="12">
        <v>44517</v>
      </c>
      <c r="S42" s="12">
        <v>44517</v>
      </c>
      <c r="T42" s="14" t="s">
        <v>120</v>
      </c>
      <c r="U42" s="12">
        <f t="shared" si="0"/>
        <v>46342</v>
      </c>
      <c r="V42" s="8">
        <f t="shared" ca="1" si="1"/>
        <v>3</v>
      </c>
      <c r="W42" s="16">
        <v>20000</v>
      </c>
      <c r="X42" s="9" t="s">
        <v>413</v>
      </c>
      <c r="Y42" s="9" t="s">
        <v>410</v>
      </c>
      <c r="Z42" s="9"/>
      <c r="AA42" s="9" t="s">
        <v>414</v>
      </c>
      <c r="AB42" s="12">
        <v>44545</v>
      </c>
      <c r="AC42" s="8">
        <f t="shared" si="4"/>
        <v>1825</v>
      </c>
      <c r="AD42" s="8">
        <f t="shared" ca="1" si="5"/>
        <v>116</v>
      </c>
      <c r="AE42" s="8">
        <f>VLOOKUP($B42, [1]렌트_계약서번호!$B$3:$E$501, 4, FALSE)</f>
        <v>22030017</v>
      </c>
      <c r="AF42" s="18">
        <v>13209603</v>
      </c>
      <c r="AG42" s="9">
        <v>200000</v>
      </c>
      <c r="AH42" s="9">
        <v>12688000</v>
      </c>
      <c r="AI42" s="9">
        <v>0</v>
      </c>
      <c r="AJ42" s="9">
        <v>2000</v>
      </c>
      <c r="AK42" s="9">
        <v>461380</v>
      </c>
      <c r="AL42" s="9">
        <v>0</v>
      </c>
      <c r="AM42" s="9">
        <v>2000</v>
      </c>
      <c r="AN42" s="9">
        <v>27000</v>
      </c>
      <c r="AO42" s="9">
        <v>30000</v>
      </c>
      <c r="AP42" s="9">
        <v>430000</v>
      </c>
      <c r="AQ42" s="9">
        <v>0</v>
      </c>
      <c r="AR42" s="9" t="s">
        <v>122</v>
      </c>
      <c r="AS42" s="9">
        <v>0</v>
      </c>
      <c r="AT42" s="9" t="s">
        <v>123</v>
      </c>
      <c r="AU42" s="9"/>
      <c r="AV42" s="13">
        <f t="shared" si="6"/>
        <v>522380</v>
      </c>
      <c r="AW42" s="13" t="s">
        <v>124</v>
      </c>
      <c r="AX42" s="17">
        <v>44503</v>
      </c>
      <c r="AY42" s="18">
        <v>1153090</v>
      </c>
      <c r="AZ42" s="25">
        <v>1042640</v>
      </c>
      <c r="BA42" s="9"/>
      <c r="BB42" s="9"/>
      <c r="BC42" s="9"/>
      <c r="BD42" s="9" t="s">
        <v>125</v>
      </c>
      <c r="BE42" s="9" t="s">
        <v>126</v>
      </c>
      <c r="BF42" s="9" t="s">
        <v>255</v>
      </c>
      <c r="BG42" s="9" t="s">
        <v>128</v>
      </c>
      <c r="BH42" s="9" t="s">
        <v>129</v>
      </c>
      <c r="BI42" s="9" t="s">
        <v>130</v>
      </c>
      <c r="BJ42" s="8" t="s">
        <v>256</v>
      </c>
      <c r="BK42" s="9" t="s">
        <v>132</v>
      </c>
      <c r="BL42" s="9" t="s">
        <v>133</v>
      </c>
      <c r="BM42" s="9" t="s">
        <v>257</v>
      </c>
      <c r="BN42" s="9" t="s">
        <v>134</v>
      </c>
      <c r="BO42" s="9" t="s">
        <v>134</v>
      </c>
      <c r="BP42" s="9" t="s">
        <v>135</v>
      </c>
      <c r="BQ42" s="8"/>
      <c r="BR42" s="9">
        <f t="shared" si="7"/>
        <v>17964</v>
      </c>
      <c r="BS42" s="8" t="s">
        <v>136</v>
      </c>
      <c r="BT42" s="19"/>
      <c r="BU42" s="9"/>
      <c r="BV42" s="26"/>
      <c r="BW42" s="9"/>
      <c r="BX42" s="9">
        <f t="shared" si="14"/>
        <v>0</v>
      </c>
      <c r="BY42" s="9">
        <f t="shared" si="15"/>
        <v>0</v>
      </c>
      <c r="BZ42" s="27">
        <v>0</v>
      </c>
      <c r="CA42" s="1"/>
      <c r="CB42" s="28" t="s">
        <v>402</v>
      </c>
      <c r="CC42" s="28" t="s">
        <v>402</v>
      </c>
      <c r="CD42" s="9">
        <v>352650</v>
      </c>
      <c r="CE42" s="9">
        <f t="shared" si="10"/>
        <v>60</v>
      </c>
      <c r="CF42" s="9">
        <f t="shared" si="11"/>
        <v>21159000</v>
      </c>
      <c r="CG42" s="9"/>
      <c r="CH42" s="9"/>
      <c r="CI42" s="9">
        <v>2506900</v>
      </c>
      <c r="CJ42" s="29">
        <v>0.09</v>
      </c>
      <c r="CK42" s="30">
        <v>0.04</v>
      </c>
      <c r="CL42" s="31" t="s">
        <v>415</v>
      </c>
      <c r="CM42" s="31"/>
      <c r="CN42" s="31"/>
      <c r="CO42" s="27">
        <v>0.03</v>
      </c>
      <c r="CP42" s="22"/>
      <c r="CQ42" s="32">
        <v>0</v>
      </c>
      <c r="CR42" s="32">
        <v>0</v>
      </c>
      <c r="CS42" s="32">
        <v>0</v>
      </c>
      <c r="CT42" s="32">
        <v>0</v>
      </c>
      <c r="CU42" s="32">
        <v>0</v>
      </c>
      <c r="CV42" s="32">
        <v>0</v>
      </c>
      <c r="CW42" s="32">
        <v>0</v>
      </c>
      <c r="CX42" s="32">
        <v>0</v>
      </c>
      <c r="CY42" s="32">
        <v>0</v>
      </c>
      <c r="CZ42" s="32">
        <v>0</v>
      </c>
      <c r="DA42" s="32">
        <v>0</v>
      </c>
      <c r="DB42" s="32" t="str">
        <f t="shared" si="12"/>
        <v>기아</v>
      </c>
      <c r="DC42" s="32" t="s">
        <v>260</v>
      </c>
      <c r="DD42" s="32" t="str">
        <f>IF(DC42="정수원 실장","렌트베네핏", IF(DC42="박현식 부장", "렌트베네핏", IF(DC42="김성진 팀장", "청담", IF(DC42="전석영 부장", "방배", IF(DC42= "박봉호 부장", "일산",IF(DC87="정원철 부장", "청담"))))))</f>
        <v>렌트베네핏</v>
      </c>
      <c r="DE42" s="32"/>
      <c r="DF42" s="32" t="s">
        <v>416</v>
      </c>
      <c r="DG42" s="32" t="s">
        <v>417</v>
      </c>
      <c r="DH42" s="32" t="s">
        <v>418</v>
      </c>
      <c r="DI42" s="32" t="s">
        <v>419</v>
      </c>
      <c r="DJ42" s="22">
        <v>0.3</v>
      </c>
      <c r="DK42" s="51">
        <v>0.2</v>
      </c>
      <c r="DL42" s="32"/>
      <c r="DM42" s="20"/>
      <c r="DN42" s="32"/>
      <c r="DO42" s="32"/>
      <c r="DP42" s="22"/>
    </row>
    <row r="43" spans="1:120">
      <c r="A43" s="8">
        <v>41</v>
      </c>
      <c r="B43" s="8" t="s">
        <v>434</v>
      </c>
      <c r="C43" s="8" t="s">
        <v>263</v>
      </c>
      <c r="D43" s="8" t="s">
        <v>435</v>
      </c>
      <c r="E43" s="8" t="s">
        <v>436</v>
      </c>
      <c r="F43" s="8" t="s">
        <v>437</v>
      </c>
      <c r="G43" s="8" t="s">
        <v>113</v>
      </c>
      <c r="H43" s="8" t="s">
        <v>114</v>
      </c>
      <c r="I43" s="9">
        <v>12750000</v>
      </c>
      <c r="J43" s="8">
        <v>2022</v>
      </c>
      <c r="K43" s="10" t="s">
        <v>115</v>
      </c>
      <c r="L43" s="10" t="s">
        <v>116</v>
      </c>
      <c r="M43" s="8" t="s">
        <v>438</v>
      </c>
      <c r="N43" s="8" t="s">
        <v>439</v>
      </c>
      <c r="O43" s="8" t="s">
        <v>119</v>
      </c>
      <c r="P43" s="11">
        <v>998</v>
      </c>
      <c r="Q43" s="12">
        <v>44503</v>
      </c>
      <c r="R43" s="12">
        <v>44518</v>
      </c>
      <c r="S43" s="12">
        <v>44518</v>
      </c>
      <c r="T43" s="14" t="s">
        <v>120</v>
      </c>
      <c r="U43" s="12">
        <f t="shared" si="0"/>
        <v>46343</v>
      </c>
      <c r="V43" s="8">
        <f t="shared" ca="1" si="1"/>
        <v>3</v>
      </c>
      <c r="W43" s="16">
        <v>20000</v>
      </c>
      <c r="X43" s="9" t="s">
        <v>440</v>
      </c>
      <c r="Y43" s="9" t="s">
        <v>441</v>
      </c>
      <c r="Z43" s="9"/>
      <c r="AA43" s="9" t="s">
        <v>442</v>
      </c>
      <c r="AB43" s="12">
        <v>44525</v>
      </c>
      <c r="AC43" s="8">
        <f t="shared" si="4"/>
        <v>1825</v>
      </c>
      <c r="AD43" s="8">
        <f t="shared" ca="1" si="5"/>
        <v>117</v>
      </c>
      <c r="AE43" s="8">
        <f>VLOOKUP($B43, [1]렌트_계약서번호!$B$3:$E$501, 4, FALSE)</f>
        <v>21110027</v>
      </c>
      <c r="AF43" s="18">
        <v>13209603</v>
      </c>
      <c r="AG43" s="9">
        <v>200000</v>
      </c>
      <c r="AH43" s="9">
        <v>12688000</v>
      </c>
      <c r="AI43" s="9">
        <v>0</v>
      </c>
      <c r="AJ43" s="9">
        <v>2000</v>
      </c>
      <c r="AK43" s="9">
        <v>461380</v>
      </c>
      <c r="AL43" s="9">
        <v>0</v>
      </c>
      <c r="AM43" s="9">
        <v>2000</v>
      </c>
      <c r="AN43" s="9">
        <v>27000</v>
      </c>
      <c r="AO43" s="9">
        <v>30000</v>
      </c>
      <c r="AP43" s="9">
        <v>430000</v>
      </c>
      <c r="AQ43" s="9">
        <v>0</v>
      </c>
      <c r="AR43" s="9" t="s">
        <v>122</v>
      </c>
      <c r="AS43" s="9">
        <v>0</v>
      </c>
      <c r="AT43" s="9" t="s">
        <v>123</v>
      </c>
      <c r="AU43" s="9"/>
      <c r="AV43" s="13">
        <f t="shared" si="6"/>
        <v>522380</v>
      </c>
      <c r="AW43" s="13" t="s">
        <v>124</v>
      </c>
      <c r="AX43" s="17">
        <v>44503</v>
      </c>
      <c r="AY43" s="18">
        <v>1153090</v>
      </c>
      <c r="AZ43" s="18">
        <v>1035460</v>
      </c>
      <c r="BA43" s="9"/>
      <c r="BB43" s="9"/>
      <c r="BC43" s="9"/>
      <c r="BD43" s="9" t="s">
        <v>125</v>
      </c>
      <c r="BE43" s="9" t="s">
        <v>126</v>
      </c>
      <c r="BF43" s="9" t="s">
        <v>255</v>
      </c>
      <c r="BG43" s="9" t="s">
        <v>128</v>
      </c>
      <c r="BH43" s="9" t="s">
        <v>129</v>
      </c>
      <c r="BI43" s="9" t="s">
        <v>130</v>
      </c>
      <c r="BJ43" s="8" t="s">
        <v>256</v>
      </c>
      <c r="BK43" s="9" t="s">
        <v>132</v>
      </c>
      <c r="BL43" s="9" t="s">
        <v>133</v>
      </c>
      <c r="BM43" s="9" t="s">
        <v>257</v>
      </c>
      <c r="BN43" s="9" t="s">
        <v>134</v>
      </c>
      <c r="BO43" s="9" t="s">
        <v>134</v>
      </c>
      <c r="BP43" s="9" t="s">
        <v>135</v>
      </c>
      <c r="BQ43" s="8"/>
      <c r="BR43" s="9">
        <f t="shared" si="7"/>
        <v>17964</v>
      </c>
      <c r="BS43" s="8" t="s">
        <v>136</v>
      </c>
      <c r="BT43" s="19"/>
      <c r="BU43" s="9"/>
      <c r="BV43" s="26"/>
      <c r="BW43" s="9"/>
      <c r="BX43" s="9">
        <f t="shared" si="14"/>
        <v>0</v>
      </c>
      <c r="BY43" s="9">
        <f t="shared" si="15"/>
        <v>0</v>
      </c>
      <c r="BZ43" s="27">
        <v>0</v>
      </c>
      <c r="CA43" s="1"/>
      <c r="CB43" s="28" t="s">
        <v>385</v>
      </c>
      <c r="CC43" s="28" t="s">
        <v>385</v>
      </c>
      <c r="CD43" s="9">
        <v>376700</v>
      </c>
      <c r="CE43" s="9">
        <f t="shared" si="10"/>
        <v>60</v>
      </c>
      <c r="CF43" s="9">
        <f t="shared" si="11"/>
        <v>22602000</v>
      </c>
      <c r="CG43" s="9"/>
      <c r="CH43" s="9"/>
      <c r="CI43" s="9">
        <v>2506900</v>
      </c>
      <c r="CJ43" s="29">
        <v>4.1000000000000002E-2</v>
      </c>
      <c r="CK43" s="30">
        <v>0.04</v>
      </c>
      <c r="CL43" s="31" t="s">
        <v>443</v>
      </c>
      <c r="CM43" s="31"/>
      <c r="CN43" s="31"/>
      <c r="CO43" s="27">
        <v>0.03</v>
      </c>
      <c r="CP43" s="22"/>
      <c r="CQ43" s="32">
        <v>0</v>
      </c>
      <c r="CR43" s="32">
        <v>0</v>
      </c>
      <c r="CS43" s="32">
        <v>0</v>
      </c>
      <c r="CT43" s="32">
        <v>0</v>
      </c>
      <c r="CU43" s="32">
        <v>0</v>
      </c>
      <c r="CV43" s="32">
        <v>0</v>
      </c>
      <c r="CW43" s="32">
        <v>0</v>
      </c>
      <c r="CX43" s="32">
        <v>0</v>
      </c>
      <c r="CY43" s="32">
        <v>0</v>
      </c>
      <c r="CZ43" s="32">
        <v>0</v>
      </c>
      <c r="DA43" s="32">
        <v>0</v>
      </c>
      <c r="DB43" s="32" t="str">
        <f t="shared" si="12"/>
        <v>기아</v>
      </c>
      <c r="DC43" s="32" t="s">
        <v>260</v>
      </c>
      <c r="DD43" s="32" t="str">
        <f>IF(DC43="정수원 실장","렌트베네핏", IF(DC43="박현식 부장", "렌트베네핏", IF(DC43="김성진 팀장", "청담", IF(DC43="전석영 부장", "방배", IF(DC43= "박봉호 부장", "일산",IF(DC88="정원철 부장", "청담"))))))</f>
        <v>렌트베네핏</v>
      </c>
      <c r="DE43" s="32"/>
      <c r="DF43" s="32"/>
      <c r="DG43" s="32"/>
      <c r="DH43" s="32" t="s">
        <v>444</v>
      </c>
      <c r="DI43" s="19" t="s">
        <v>137</v>
      </c>
      <c r="DJ43" s="22">
        <v>0.3</v>
      </c>
      <c r="DK43" s="51">
        <v>0.2</v>
      </c>
      <c r="DL43" s="32"/>
      <c r="DM43" s="20"/>
      <c r="DN43" s="32"/>
      <c r="DO43" s="32"/>
      <c r="DP43" s="22"/>
    </row>
    <row r="44" spans="1:120">
      <c r="A44" s="8">
        <v>42</v>
      </c>
      <c r="B44" s="8" t="s">
        <v>445</v>
      </c>
      <c r="C44" s="8" t="s">
        <v>263</v>
      </c>
      <c r="D44" s="8" t="s">
        <v>446</v>
      </c>
      <c r="E44" s="8" t="s">
        <v>436</v>
      </c>
      <c r="F44" s="8" t="s">
        <v>437</v>
      </c>
      <c r="G44" s="8" t="s">
        <v>113</v>
      </c>
      <c r="H44" s="8" t="s">
        <v>114</v>
      </c>
      <c r="I44" s="9">
        <v>12750000</v>
      </c>
      <c r="J44" s="8">
        <v>2022</v>
      </c>
      <c r="K44" s="10" t="s">
        <v>115</v>
      </c>
      <c r="L44" s="10" t="s">
        <v>116</v>
      </c>
      <c r="M44" s="8" t="s">
        <v>447</v>
      </c>
      <c r="N44" s="8" t="s">
        <v>448</v>
      </c>
      <c r="O44" s="8" t="s">
        <v>119</v>
      </c>
      <c r="P44" s="11">
        <v>998</v>
      </c>
      <c r="Q44" s="12">
        <v>44503</v>
      </c>
      <c r="R44" s="12">
        <v>44518</v>
      </c>
      <c r="S44" s="12">
        <v>44518</v>
      </c>
      <c r="T44" s="14" t="s">
        <v>120</v>
      </c>
      <c r="U44" s="12">
        <f t="shared" si="0"/>
        <v>46343</v>
      </c>
      <c r="V44" s="8">
        <f t="shared" ca="1" si="1"/>
        <v>3</v>
      </c>
      <c r="W44" s="16">
        <v>20000</v>
      </c>
      <c r="X44" s="9" t="s">
        <v>440</v>
      </c>
      <c r="Y44" s="9" t="s">
        <v>441</v>
      </c>
      <c r="Z44" s="9"/>
      <c r="AA44" s="9" t="s">
        <v>449</v>
      </c>
      <c r="AB44" s="12">
        <v>44525</v>
      </c>
      <c r="AC44" s="8">
        <f t="shared" si="4"/>
        <v>1825</v>
      </c>
      <c r="AD44" s="8">
        <f t="shared" ca="1" si="5"/>
        <v>117</v>
      </c>
      <c r="AE44" s="8">
        <f>VLOOKUP($B44, [1]렌트_계약서번호!$B$3:$E$501, 4, FALSE)</f>
        <v>21110028</v>
      </c>
      <c r="AF44" s="18">
        <v>13209603</v>
      </c>
      <c r="AG44" s="9">
        <v>200000</v>
      </c>
      <c r="AH44" s="9">
        <v>12688000</v>
      </c>
      <c r="AI44" s="9">
        <v>0</v>
      </c>
      <c r="AJ44" s="9">
        <v>2000</v>
      </c>
      <c r="AK44" s="9">
        <v>461380</v>
      </c>
      <c r="AL44" s="9">
        <v>0</v>
      </c>
      <c r="AM44" s="9">
        <v>2000</v>
      </c>
      <c r="AN44" s="9">
        <v>27000</v>
      </c>
      <c r="AO44" s="9">
        <v>30000</v>
      </c>
      <c r="AP44" s="9">
        <v>430000</v>
      </c>
      <c r="AQ44" s="9">
        <v>0</v>
      </c>
      <c r="AR44" s="9" t="s">
        <v>122</v>
      </c>
      <c r="AS44" s="9">
        <v>0</v>
      </c>
      <c r="AT44" s="9" t="s">
        <v>123</v>
      </c>
      <c r="AU44" s="9"/>
      <c r="AV44" s="13">
        <f t="shared" si="6"/>
        <v>522380</v>
      </c>
      <c r="AW44" s="13" t="s">
        <v>124</v>
      </c>
      <c r="AX44" s="17">
        <v>44503</v>
      </c>
      <c r="AY44" s="18">
        <v>1153090</v>
      </c>
      <c r="AZ44" s="25">
        <v>1305430</v>
      </c>
      <c r="BA44" s="9"/>
      <c r="BB44" s="9"/>
      <c r="BC44" s="9"/>
      <c r="BD44" s="9" t="s">
        <v>125</v>
      </c>
      <c r="BE44" s="9" t="s">
        <v>126</v>
      </c>
      <c r="BF44" s="9" t="s">
        <v>255</v>
      </c>
      <c r="BG44" s="9" t="s">
        <v>128</v>
      </c>
      <c r="BH44" s="9" t="s">
        <v>129</v>
      </c>
      <c r="BI44" s="9" t="s">
        <v>130</v>
      </c>
      <c r="BJ44" s="8" t="s">
        <v>256</v>
      </c>
      <c r="BK44" s="9" t="s">
        <v>132</v>
      </c>
      <c r="BL44" s="9" t="s">
        <v>133</v>
      </c>
      <c r="BM44" s="9" t="s">
        <v>257</v>
      </c>
      <c r="BN44" s="9" t="s">
        <v>134</v>
      </c>
      <c r="BO44" s="9" t="s">
        <v>134</v>
      </c>
      <c r="BP44" s="9" t="s">
        <v>135</v>
      </c>
      <c r="BQ44" s="8"/>
      <c r="BR44" s="9">
        <f t="shared" si="7"/>
        <v>17964</v>
      </c>
      <c r="BS44" s="8" t="s">
        <v>136</v>
      </c>
      <c r="BT44" s="19"/>
      <c r="BU44" s="9"/>
      <c r="BV44" s="26"/>
      <c r="BW44" s="9"/>
      <c r="BX44" s="9">
        <f t="shared" si="14"/>
        <v>0</v>
      </c>
      <c r="BY44" s="9">
        <f t="shared" si="15"/>
        <v>0</v>
      </c>
      <c r="BZ44" s="27">
        <v>0</v>
      </c>
      <c r="CA44" s="1"/>
      <c r="CB44" s="28" t="s">
        <v>385</v>
      </c>
      <c r="CC44" s="28" t="s">
        <v>385</v>
      </c>
      <c r="CD44" s="9">
        <v>366700</v>
      </c>
      <c r="CE44" s="9">
        <f t="shared" si="10"/>
        <v>60</v>
      </c>
      <c r="CF44" s="9">
        <f t="shared" si="11"/>
        <v>22002000</v>
      </c>
      <c r="CG44" s="9"/>
      <c r="CH44" s="9"/>
      <c r="CI44" s="9">
        <v>2506900</v>
      </c>
      <c r="CJ44" s="29">
        <v>5.8999999999999997E-2</v>
      </c>
      <c r="CK44" s="30">
        <v>0.04</v>
      </c>
      <c r="CL44" s="31" t="s">
        <v>443</v>
      </c>
      <c r="CM44" s="31"/>
      <c r="CN44" s="31"/>
      <c r="CO44" s="27">
        <v>0.03</v>
      </c>
      <c r="CP44" s="22"/>
      <c r="CQ44" s="32">
        <v>0</v>
      </c>
      <c r="CR44" s="32">
        <v>0</v>
      </c>
      <c r="CS44" s="32">
        <v>0</v>
      </c>
      <c r="CT44" s="32">
        <v>0</v>
      </c>
      <c r="CU44" s="32">
        <v>0</v>
      </c>
      <c r="CV44" s="32">
        <v>0</v>
      </c>
      <c r="CW44" s="32">
        <v>0</v>
      </c>
      <c r="CX44" s="32">
        <v>0</v>
      </c>
      <c r="CY44" s="32">
        <v>0</v>
      </c>
      <c r="CZ44" s="32">
        <v>0</v>
      </c>
      <c r="DA44" s="32">
        <v>0</v>
      </c>
      <c r="DB44" s="32" t="str">
        <f t="shared" si="12"/>
        <v>기아</v>
      </c>
      <c r="DC44" s="32" t="s">
        <v>260</v>
      </c>
      <c r="DD44" s="32" t="str">
        <f>IF(DC44="정수원 실장","렌트베네핏", IF(DC44="박현식 부장", "렌트베네핏", IF(DC44="김성진 팀장", "청담", IF(DC44="전석영 부장", "방배", IF(DC44= "박봉호 부장", "일산",IF(DC89="정원철 부장", "청담"))))))</f>
        <v>렌트베네핏</v>
      </c>
      <c r="DE44" s="32"/>
      <c r="DF44" s="32"/>
      <c r="DG44" s="32"/>
      <c r="DH44" s="32" t="s">
        <v>444</v>
      </c>
      <c r="DI44" s="19" t="s">
        <v>137</v>
      </c>
      <c r="DJ44" s="22">
        <v>0.3</v>
      </c>
      <c r="DK44" s="51">
        <v>0.2</v>
      </c>
      <c r="DL44" s="32"/>
      <c r="DM44" s="20"/>
      <c r="DN44" s="32"/>
      <c r="DO44" s="32"/>
      <c r="DP44" s="22"/>
    </row>
    <row r="45" spans="1:120">
      <c r="A45" s="8">
        <v>43</v>
      </c>
      <c r="B45" s="8" t="s">
        <v>450</v>
      </c>
      <c r="C45" s="34" t="s">
        <v>244</v>
      </c>
      <c r="D45" s="8" t="s">
        <v>451</v>
      </c>
      <c r="E45" s="8" t="s">
        <v>452</v>
      </c>
      <c r="F45" s="8" t="s">
        <v>453</v>
      </c>
      <c r="G45" s="8" t="s">
        <v>113</v>
      </c>
      <c r="H45" s="8" t="s">
        <v>114</v>
      </c>
      <c r="I45" s="9">
        <v>12750000</v>
      </c>
      <c r="J45" s="8">
        <v>2022</v>
      </c>
      <c r="K45" s="10" t="s">
        <v>115</v>
      </c>
      <c r="L45" s="10" t="s">
        <v>116</v>
      </c>
      <c r="M45" s="8" t="s">
        <v>454</v>
      </c>
      <c r="N45" s="8" t="s">
        <v>455</v>
      </c>
      <c r="O45" s="8" t="s">
        <v>119</v>
      </c>
      <c r="P45" s="11">
        <v>998</v>
      </c>
      <c r="Q45" s="12">
        <v>44503</v>
      </c>
      <c r="R45" s="12">
        <v>44525</v>
      </c>
      <c r="S45" s="12">
        <v>45255</v>
      </c>
      <c r="T45" s="14" t="s">
        <v>397</v>
      </c>
      <c r="U45" s="12">
        <f t="shared" si="0"/>
        <v>46350</v>
      </c>
      <c r="V45" s="8">
        <f t="shared" ca="1" si="1"/>
        <v>4</v>
      </c>
      <c r="W45" s="16">
        <v>20000</v>
      </c>
      <c r="X45" s="9" t="s">
        <v>456</v>
      </c>
      <c r="Y45" s="8" t="s">
        <v>457</v>
      </c>
      <c r="Z45" s="9"/>
      <c r="AA45" s="9" t="s">
        <v>458</v>
      </c>
      <c r="AB45" s="12">
        <v>45285</v>
      </c>
      <c r="AC45" s="8">
        <f t="shared" si="4"/>
        <v>1095</v>
      </c>
      <c r="AD45" s="8">
        <f t="shared" ca="1" si="5"/>
        <v>124</v>
      </c>
      <c r="AE45" s="8">
        <f>VLOOKUP($B45, [1]렌트_계약서번호!$B$3:$E$501, 4, FALSE)</f>
        <v>21110029</v>
      </c>
      <c r="AF45" s="18">
        <v>13209603</v>
      </c>
      <c r="AG45" s="9">
        <v>200000</v>
      </c>
      <c r="AH45" s="9">
        <v>12688000</v>
      </c>
      <c r="AI45" s="9">
        <v>0</v>
      </c>
      <c r="AJ45" s="9">
        <v>2000</v>
      </c>
      <c r="AK45" s="9">
        <v>461380</v>
      </c>
      <c r="AL45" s="9">
        <v>0</v>
      </c>
      <c r="AM45" s="9">
        <v>2000</v>
      </c>
      <c r="AN45" s="9">
        <v>27000</v>
      </c>
      <c r="AO45" s="9">
        <v>30000</v>
      </c>
      <c r="AP45" s="9">
        <v>430000</v>
      </c>
      <c r="AQ45" s="9">
        <v>0</v>
      </c>
      <c r="AR45" s="9" t="s">
        <v>122</v>
      </c>
      <c r="AS45" s="9">
        <v>0</v>
      </c>
      <c r="AT45" s="9" t="s">
        <v>123</v>
      </c>
      <c r="AU45" s="9"/>
      <c r="AV45" s="13">
        <f t="shared" si="6"/>
        <v>522380</v>
      </c>
      <c r="AW45" s="13" t="s">
        <v>124</v>
      </c>
      <c r="AX45" s="17">
        <v>44503</v>
      </c>
      <c r="AY45" s="18">
        <v>1153090</v>
      </c>
      <c r="AZ45" s="25">
        <v>1042640</v>
      </c>
      <c r="BA45" s="9"/>
      <c r="BB45" s="9"/>
      <c r="BC45" s="9"/>
      <c r="BD45" s="9" t="s">
        <v>125</v>
      </c>
      <c r="BE45" s="9" t="s">
        <v>126</v>
      </c>
      <c r="BF45" s="9" t="s">
        <v>255</v>
      </c>
      <c r="BG45" s="9" t="s">
        <v>128</v>
      </c>
      <c r="BH45" s="9" t="s">
        <v>129</v>
      </c>
      <c r="BI45" s="9" t="s">
        <v>130</v>
      </c>
      <c r="BJ45" s="8" t="s">
        <v>256</v>
      </c>
      <c r="BK45" s="9" t="s">
        <v>132</v>
      </c>
      <c r="BL45" s="9" t="s">
        <v>133</v>
      </c>
      <c r="BM45" s="9" t="s">
        <v>257</v>
      </c>
      <c r="BN45" s="9" t="s">
        <v>134</v>
      </c>
      <c r="BO45" s="9" t="s">
        <v>134</v>
      </c>
      <c r="BP45" s="9" t="s">
        <v>135</v>
      </c>
      <c r="BQ45" s="8"/>
      <c r="BR45" s="9">
        <f t="shared" si="7"/>
        <v>17964</v>
      </c>
      <c r="BS45" s="8" t="s">
        <v>136</v>
      </c>
      <c r="BT45" s="19"/>
      <c r="BU45" s="9"/>
      <c r="BV45" s="26"/>
      <c r="BW45" s="9"/>
      <c r="BX45" s="9">
        <f t="shared" si="14"/>
        <v>0</v>
      </c>
      <c r="BY45" s="9">
        <f t="shared" si="15"/>
        <v>0</v>
      </c>
      <c r="BZ45" s="27">
        <v>0</v>
      </c>
      <c r="CA45" s="1"/>
      <c r="CB45" s="28" t="s">
        <v>385</v>
      </c>
      <c r="CC45" s="28" t="s">
        <v>385</v>
      </c>
      <c r="CD45" s="9">
        <v>376700</v>
      </c>
      <c r="CE45" s="9">
        <f t="shared" si="10"/>
        <v>36</v>
      </c>
      <c r="CF45" s="9">
        <f t="shared" si="11"/>
        <v>13561200</v>
      </c>
      <c r="CG45" s="9"/>
      <c r="CH45" s="9"/>
      <c r="CI45" s="9">
        <v>2506900</v>
      </c>
      <c r="CJ45" s="29">
        <v>5.6000000000000001E-2</v>
      </c>
      <c r="CK45" s="30">
        <v>0.04</v>
      </c>
      <c r="CL45" s="31" t="s">
        <v>459</v>
      </c>
      <c r="CM45" s="9"/>
      <c r="CN45" s="9"/>
      <c r="CO45" s="27">
        <v>0.03</v>
      </c>
      <c r="CP45" s="22"/>
      <c r="CQ45" s="32">
        <v>0</v>
      </c>
      <c r="CR45" s="32">
        <v>0</v>
      </c>
      <c r="CS45" s="32">
        <v>0</v>
      </c>
      <c r="CT45" s="32">
        <v>0</v>
      </c>
      <c r="CU45" s="32">
        <v>0</v>
      </c>
      <c r="CV45" s="32">
        <v>0</v>
      </c>
      <c r="CW45" s="32">
        <v>0</v>
      </c>
      <c r="CX45" s="32">
        <v>0</v>
      </c>
      <c r="CY45" s="32">
        <v>0</v>
      </c>
      <c r="CZ45" s="32">
        <v>0</v>
      </c>
      <c r="DA45" s="32">
        <v>0</v>
      </c>
      <c r="DB45" s="32" t="str">
        <f t="shared" si="12"/>
        <v>기아</v>
      </c>
      <c r="DC45" s="32" t="s">
        <v>260</v>
      </c>
      <c r="DD45" s="32" t="str">
        <f>IF(DC45="정수원 실장","렌트베네핏", IF(DC45="박현식 부장", "렌트베네핏", IF(DC45="김성진 팀장", "청담", IF(DC45="전석영 부장", "방배", IF(DC45= "박봉호 부장", "일산",IF(DC95="정원철 부장", "청담"))))))</f>
        <v>렌트베네핏</v>
      </c>
      <c r="DE45" s="32"/>
      <c r="DF45" s="32" t="s">
        <v>460</v>
      </c>
      <c r="DG45" s="32" t="s">
        <v>461</v>
      </c>
      <c r="DH45" s="32" t="s">
        <v>462</v>
      </c>
      <c r="DI45" s="19" t="s">
        <v>137</v>
      </c>
      <c r="DJ45" s="22">
        <v>0.3</v>
      </c>
      <c r="DK45" s="51">
        <v>0.2</v>
      </c>
      <c r="DL45" s="32"/>
      <c r="DM45" s="20"/>
      <c r="DN45" s="32"/>
      <c r="DO45" s="32"/>
      <c r="DP45" s="22"/>
    </row>
    <row r="46" spans="1:120">
      <c r="A46" s="8">
        <v>44</v>
      </c>
      <c r="B46" s="8" t="s">
        <v>463</v>
      </c>
      <c r="C46" s="34" t="s">
        <v>244</v>
      </c>
      <c r="D46" s="8" t="s">
        <v>464</v>
      </c>
      <c r="E46" s="8" t="s">
        <v>465</v>
      </c>
      <c r="F46" s="8" t="s">
        <v>466</v>
      </c>
      <c r="G46" s="8" t="s">
        <v>113</v>
      </c>
      <c r="H46" s="8" t="s">
        <v>114</v>
      </c>
      <c r="I46" s="9">
        <v>12750000</v>
      </c>
      <c r="J46" s="8">
        <v>2022</v>
      </c>
      <c r="K46" s="10" t="s">
        <v>467</v>
      </c>
      <c r="L46" s="10" t="s">
        <v>116</v>
      </c>
      <c r="M46" s="8" t="s">
        <v>468</v>
      </c>
      <c r="N46" s="8" t="s">
        <v>469</v>
      </c>
      <c r="O46" s="8" t="s">
        <v>119</v>
      </c>
      <c r="P46" s="11">
        <v>998</v>
      </c>
      <c r="Q46" s="12">
        <v>44503</v>
      </c>
      <c r="R46" s="12">
        <v>44529</v>
      </c>
      <c r="S46" s="12">
        <v>44529</v>
      </c>
      <c r="T46" s="14" t="s">
        <v>120</v>
      </c>
      <c r="U46" s="12">
        <f t="shared" si="0"/>
        <v>46354</v>
      </c>
      <c r="V46" s="8">
        <f t="shared" ca="1" si="1"/>
        <v>4</v>
      </c>
      <c r="W46" s="16">
        <v>20000</v>
      </c>
      <c r="X46" s="9" t="s">
        <v>470</v>
      </c>
      <c r="Y46" s="8" t="s">
        <v>471</v>
      </c>
      <c r="Z46" s="9"/>
      <c r="AA46" s="9" t="s">
        <v>472</v>
      </c>
      <c r="AB46" s="12">
        <v>44555</v>
      </c>
      <c r="AC46" s="8">
        <f t="shared" si="4"/>
        <v>1825</v>
      </c>
      <c r="AD46" s="8">
        <f t="shared" ca="1" si="5"/>
        <v>128</v>
      </c>
      <c r="AE46" s="8">
        <f>VLOOKUP($B46, [1]렌트_계약서번호!$B$3:$E$501, 4, FALSE)</f>
        <v>21110030</v>
      </c>
      <c r="AF46" s="18">
        <v>13209603</v>
      </c>
      <c r="AG46" s="9">
        <v>200000</v>
      </c>
      <c r="AH46" s="9">
        <v>12688000</v>
      </c>
      <c r="AI46" s="9">
        <v>0</v>
      </c>
      <c r="AJ46" s="9">
        <v>2000</v>
      </c>
      <c r="AK46" s="9">
        <v>461380</v>
      </c>
      <c r="AL46" s="9">
        <v>0</v>
      </c>
      <c r="AM46" s="9">
        <v>2000</v>
      </c>
      <c r="AN46" s="9">
        <v>27000</v>
      </c>
      <c r="AO46" s="9">
        <v>30000</v>
      </c>
      <c r="AP46" s="9">
        <v>430000</v>
      </c>
      <c r="AQ46" s="9">
        <v>0</v>
      </c>
      <c r="AR46" s="9" t="s">
        <v>122</v>
      </c>
      <c r="AS46" s="9">
        <v>0</v>
      </c>
      <c r="AT46" s="9" t="s">
        <v>123</v>
      </c>
      <c r="AU46" s="9"/>
      <c r="AV46" s="13">
        <f t="shared" si="6"/>
        <v>522380</v>
      </c>
      <c r="AW46" s="13" t="s">
        <v>124</v>
      </c>
      <c r="AX46" s="17">
        <v>44503</v>
      </c>
      <c r="AY46" s="18">
        <v>1153090</v>
      </c>
      <c r="AZ46" s="18">
        <v>1035460</v>
      </c>
      <c r="BA46" s="9"/>
      <c r="BB46" s="9"/>
      <c r="BC46" s="9"/>
      <c r="BD46" s="9" t="s">
        <v>125</v>
      </c>
      <c r="BE46" s="9" t="s">
        <v>126</v>
      </c>
      <c r="BF46" s="9" t="s">
        <v>255</v>
      </c>
      <c r="BG46" s="9" t="s">
        <v>128</v>
      </c>
      <c r="BH46" s="9" t="s">
        <v>129</v>
      </c>
      <c r="BI46" s="9" t="s">
        <v>130</v>
      </c>
      <c r="BJ46" s="8" t="s">
        <v>256</v>
      </c>
      <c r="BK46" s="9" t="s">
        <v>132</v>
      </c>
      <c r="BL46" s="9" t="s">
        <v>133</v>
      </c>
      <c r="BM46" s="9" t="s">
        <v>257</v>
      </c>
      <c r="BN46" s="9" t="s">
        <v>134</v>
      </c>
      <c r="BO46" s="9" t="s">
        <v>134</v>
      </c>
      <c r="BP46" s="9" t="s">
        <v>135</v>
      </c>
      <c r="BQ46" s="8"/>
      <c r="BR46" s="9">
        <f t="shared" si="7"/>
        <v>17964</v>
      </c>
      <c r="BS46" s="8" t="s">
        <v>136</v>
      </c>
      <c r="BT46" s="19"/>
      <c r="BU46" s="9"/>
      <c r="BV46" s="26"/>
      <c r="BW46" s="9"/>
      <c r="BX46" s="9">
        <f t="shared" si="14"/>
        <v>0</v>
      </c>
      <c r="BY46" s="9">
        <f t="shared" si="15"/>
        <v>0</v>
      </c>
      <c r="BZ46" s="27">
        <v>0</v>
      </c>
      <c r="CA46" s="1"/>
      <c r="CB46" s="28" t="s">
        <v>385</v>
      </c>
      <c r="CC46" s="28" t="s">
        <v>385</v>
      </c>
      <c r="CD46" s="9">
        <v>376700</v>
      </c>
      <c r="CE46" s="9">
        <f t="shared" si="10"/>
        <v>60</v>
      </c>
      <c r="CF46" s="9">
        <f t="shared" si="11"/>
        <v>22602000</v>
      </c>
      <c r="CG46" s="9"/>
      <c r="CH46" s="9"/>
      <c r="CI46" s="9">
        <v>2506900</v>
      </c>
      <c r="CJ46" s="29">
        <v>5.6000000000000001E-2</v>
      </c>
      <c r="CK46" s="30">
        <v>0.04</v>
      </c>
      <c r="CL46" s="31" t="s">
        <v>473</v>
      </c>
      <c r="CM46" s="31" t="s">
        <v>474</v>
      </c>
      <c r="CN46" s="31"/>
      <c r="CO46" s="27">
        <v>0.03</v>
      </c>
      <c r="CP46" s="22"/>
      <c r="CQ46" s="32">
        <v>0</v>
      </c>
      <c r="CR46" s="32">
        <v>0</v>
      </c>
      <c r="CS46" s="32">
        <v>0</v>
      </c>
      <c r="CT46" s="32">
        <v>0</v>
      </c>
      <c r="CU46" s="32">
        <v>0</v>
      </c>
      <c r="CV46" s="32">
        <v>0</v>
      </c>
      <c r="CW46" s="32">
        <v>0</v>
      </c>
      <c r="CX46" s="32">
        <v>0</v>
      </c>
      <c r="CY46" s="32">
        <v>0</v>
      </c>
      <c r="CZ46" s="32">
        <v>0</v>
      </c>
      <c r="DA46" s="32">
        <v>0</v>
      </c>
      <c r="DB46" s="32" t="str">
        <f t="shared" si="12"/>
        <v>기아</v>
      </c>
      <c r="DC46" s="32" t="s">
        <v>260</v>
      </c>
      <c r="DD46" s="32" t="str">
        <f>IF(DC46="정수원 실장","렌트베네핏", IF(DC46="박현식 부장", "렌트베네핏", IF(DC46="김성진 팀장", "청담", IF(DC46="전석영 부장", "방배", IF(DC46= "박봉호 부장", "일산",IF(#REF!="정원철 부장", "청담"))))))</f>
        <v>렌트베네핏</v>
      </c>
      <c r="DE46" s="32"/>
      <c r="DF46" s="32"/>
      <c r="DG46" s="32"/>
      <c r="DH46" s="32" t="s">
        <v>475</v>
      </c>
      <c r="DI46" s="19" t="s">
        <v>137</v>
      </c>
      <c r="DJ46" s="22">
        <v>0.3</v>
      </c>
      <c r="DK46" s="51">
        <v>0.2</v>
      </c>
      <c r="DL46" s="32"/>
      <c r="DM46" s="20"/>
      <c r="DN46" s="32"/>
      <c r="DO46" s="32"/>
      <c r="DP46" s="22"/>
    </row>
    <row r="47" spans="1:120">
      <c r="A47" s="8">
        <v>45</v>
      </c>
      <c r="B47" s="8" t="s">
        <v>476</v>
      </c>
      <c r="C47" s="34" t="s">
        <v>244</v>
      </c>
      <c r="D47" s="8" t="s">
        <v>477</v>
      </c>
      <c r="E47" s="8" t="s">
        <v>478</v>
      </c>
      <c r="F47" s="8" t="s">
        <v>479</v>
      </c>
      <c r="G47" s="8" t="s">
        <v>480</v>
      </c>
      <c r="H47" s="8" t="s">
        <v>481</v>
      </c>
      <c r="I47" s="9">
        <v>15900000</v>
      </c>
      <c r="J47" s="8">
        <v>2022</v>
      </c>
      <c r="K47" s="10" t="s">
        <v>482</v>
      </c>
      <c r="L47" s="10" t="s">
        <v>116</v>
      </c>
      <c r="M47" s="8" t="s">
        <v>483</v>
      </c>
      <c r="N47" s="8" t="s">
        <v>484</v>
      </c>
      <c r="O47" s="8" t="s">
        <v>119</v>
      </c>
      <c r="P47" s="11">
        <v>998</v>
      </c>
      <c r="Q47" s="12">
        <v>44526</v>
      </c>
      <c r="R47" s="12">
        <v>44531</v>
      </c>
      <c r="S47" s="12">
        <v>44531</v>
      </c>
      <c r="T47" s="14" t="s">
        <v>120</v>
      </c>
      <c r="U47" s="12">
        <f t="shared" si="0"/>
        <v>46356</v>
      </c>
      <c r="V47" s="8">
        <f t="shared" ca="1" si="1"/>
        <v>4</v>
      </c>
      <c r="W47" s="16">
        <v>20000</v>
      </c>
      <c r="X47" s="9" t="s">
        <v>485</v>
      </c>
      <c r="Y47" s="8" t="s">
        <v>479</v>
      </c>
      <c r="Z47" s="9"/>
      <c r="AA47" s="9" t="s">
        <v>486</v>
      </c>
      <c r="AB47" s="12">
        <v>44555</v>
      </c>
      <c r="AC47" s="8">
        <f t="shared" si="4"/>
        <v>1825</v>
      </c>
      <c r="AD47" s="8">
        <f t="shared" ca="1" si="5"/>
        <v>130</v>
      </c>
      <c r="AE47" s="8">
        <f>VLOOKUP($B47, [1]렌트_계약서번호!$B$3:$E$501, 4, FALSE)</f>
        <v>21120031</v>
      </c>
      <c r="AF47" s="18">
        <v>16079000</v>
      </c>
      <c r="AG47" s="9">
        <v>0</v>
      </c>
      <c r="AH47" s="9">
        <v>16077000</v>
      </c>
      <c r="AI47" s="9">
        <v>0</v>
      </c>
      <c r="AJ47" s="9">
        <v>0</v>
      </c>
      <c r="AK47" s="9">
        <v>584610</v>
      </c>
      <c r="AL47" s="9">
        <v>0</v>
      </c>
      <c r="AM47" s="9">
        <v>0</v>
      </c>
      <c r="AN47" s="9">
        <v>6800</v>
      </c>
      <c r="AO47" s="9">
        <v>0</v>
      </c>
      <c r="AP47" s="9">
        <v>0</v>
      </c>
      <c r="AQ47" s="9">
        <v>132000</v>
      </c>
      <c r="AR47" s="9" t="s">
        <v>487</v>
      </c>
      <c r="AS47" s="9">
        <v>66000</v>
      </c>
      <c r="AT47" s="9" t="s">
        <v>488</v>
      </c>
      <c r="AU47" s="25">
        <v>584610</v>
      </c>
      <c r="AV47" s="13">
        <f t="shared" si="6"/>
        <v>789410</v>
      </c>
      <c r="AW47" s="13" t="s">
        <v>124</v>
      </c>
      <c r="AX47" s="17">
        <v>44526</v>
      </c>
      <c r="AY47" s="18">
        <v>1153090</v>
      </c>
      <c r="AZ47" s="18">
        <v>1035460</v>
      </c>
      <c r="BA47" s="9"/>
      <c r="BB47" s="9"/>
      <c r="BC47" s="9"/>
      <c r="BD47" s="9" t="s">
        <v>125</v>
      </c>
      <c r="BE47" s="9" t="s">
        <v>126</v>
      </c>
      <c r="BF47" s="9" t="s">
        <v>255</v>
      </c>
      <c r="BG47" s="9" t="s">
        <v>128</v>
      </c>
      <c r="BH47" s="9" t="s">
        <v>129</v>
      </c>
      <c r="BI47" s="9" t="s">
        <v>130</v>
      </c>
      <c r="BJ47" s="8" t="s">
        <v>256</v>
      </c>
      <c r="BK47" s="9" t="s">
        <v>132</v>
      </c>
      <c r="BL47" s="9" t="s">
        <v>133</v>
      </c>
      <c r="BM47" s="9" t="s">
        <v>257</v>
      </c>
      <c r="BN47" s="9" t="s">
        <v>134</v>
      </c>
      <c r="BO47" s="9" t="s">
        <v>134</v>
      </c>
      <c r="BP47" s="9" t="s">
        <v>489</v>
      </c>
      <c r="BQ47" s="8"/>
      <c r="BR47" s="9">
        <f t="shared" si="7"/>
        <v>17964</v>
      </c>
      <c r="BS47" s="8" t="s">
        <v>400</v>
      </c>
      <c r="BT47" s="19">
        <v>44525</v>
      </c>
      <c r="BU47" s="9">
        <v>14310000</v>
      </c>
      <c r="BV47" s="26" t="s">
        <v>490</v>
      </c>
      <c r="BW47" s="9">
        <v>275000</v>
      </c>
      <c r="BX47" s="9">
        <f t="shared" si="14"/>
        <v>16500000</v>
      </c>
      <c r="BY47" s="9">
        <f t="shared" si="15"/>
        <v>2190000</v>
      </c>
      <c r="BZ47" s="27">
        <v>0</v>
      </c>
      <c r="CA47" s="1"/>
      <c r="CB47" s="28" t="s">
        <v>385</v>
      </c>
      <c r="CC47" s="28" t="s">
        <v>385</v>
      </c>
      <c r="CD47" s="9">
        <v>370000</v>
      </c>
      <c r="CE47" s="9">
        <f t="shared" si="10"/>
        <v>60</v>
      </c>
      <c r="CF47" s="9">
        <f t="shared" si="11"/>
        <v>22200000</v>
      </c>
      <c r="CG47" s="9">
        <v>0</v>
      </c>
      <c r="CH47" s="9">
        <v>0</v>
      </c>
      <c r="CI47" s="9">
        <v>5719000</v>
      </c>
      <c r="CJ47" s="29">
        <v>5.8999999999999997E-2</v>
      </c>
      <c r="CK47" s="30">
        <v>0.04</v>
      </c>
      <c r="CL47" s="31" t="s">
        <v>491</v>
      </c>
      <c r="CM47" s="31" t="s">
        <v>492</v>
      </c>
      <c r="CN47" s="31"/>
      <c r="CO47" s="27">
        <v>0.03</v>
      </c>
      <c r="CP47" s="22"/>
      <c r="CQ47" s="32">
        <v>0</v>
      </c>
      <c r="CR47" s="32">
        <v>0</v>
      </c>
      <c r="CS47" s="32">
        <v>0</v>
      </c>
      <c r="CT47" s="32">
        <v>0</v>
      </c>
      <c r="CU47" s="32">
        <v>0</v>
      </c>
      <c r="CV47" s="32">
        <v>0</v>
      </c>
      <c r="CW47" s="32">
        <v>0</v>
      </c>
      <c r="CX47" s="32">
        <v>0</v>
      </c>
      <c r="CY47" s="32">
        <v>0</v>
      </c>
      <c r="CZ47" s="32">
        <v>0</v>
      </c>
      <c r="DA47" s="32">
        <v>0</v>
      </c>
      <c r="DB47" s="32" t="b">
        <f t="shared" si="12"/>
        <v>0</v>
      </c>
      <c r="DC47" s="32" t="s">
        <v>493</v>
      </c>
      <c r="DD47" s="32" t="b">
        <f>IF(DC47="정수원 실장","렌트베네핏", IF(DC47="박현식 부장", "렌트베네핏", IF(DC47="김성진 팀장", "청담", IF(DC47="전석영 부장", "방배", IF(DC47= "박봉호 부장", "일산",IF(DC90="정원철 부장", "청담"))))))</f>
        <v>0</v>
      </c>
      <c r="DE47" s="32"/>
      <c r="DF47" s="32"/>
      <c r="DG47" s="32"/>
      <c r="DH47" s="32" t="s">
        <v>494</v>
      </c>
      <c r="DI47" s="19" t="s">
        <v>137</v>
      </c>
      <c r="DJ47" s="22">
        <v>0.3</v>
      </c>
      <c r="DK47" s="51">
        <v>0.2</v>
      </c>
      <c r="DL47" s="32"/>
      <c r="DM47" s="20"/>
      <c r="DN47" s="32"/>
      <c r="DO47" s="32"/>
      <c r="DP47" s="22"/>
    </row>
    <row r="48" spans="1:120">
      <c r="A48" s="8">
        <v>46</v>
      </c>
      <c r="B48" s="8" t="s">
        <v>495</v>
      </c>
      <c r="C48" s="34" t="s">
        <v>244</v>
      </c>
      <c r="D48" s="8" t="s">
        <v>496</v>
      </c>
      <c r="E48" s="8" t="s">
        <v>497</v>
      </c>
      <c r="F48" s="8" t="s">
        <v>498</v>
      </c>
      <c r="G48" s="8" t="s">
        <v>113</v>
      </c>
      <c r="H48" s="8" t="s">
        <v>114</v>
      </c>
      <c r="I48" s="9">
        <v>12750000</v>
      </c>
      <c r="J48" s="8">
        <v>2022</v>
      </c>
      <c r="K48" s="10" t="s">
        <v>115</v>
      </c>
      <c r="L48" s="10" t="s">
        <v>116</v>
      </c>
      <c r="M48" s="8" t="s">
        <v>499</v>
      </c>
      <c r="N48" s="8" t="s">
        <v>500</v>
      </c>
      <c r="O48" s="8" t="s">
        <v>119</v>
      </c>
      <c r="P48" s="11">
        <v>998</v>
      </c>
      <c r="Q48" s="12">
        <v>44503</v>
      </c>
      <c r="R48" s="12">
        <v>44540</v>
      </c>
      <c r="S48" s="12">
        <v>44540</v>
      </c>
      <c r="T48" s="14" t="s">
        <v>120</v>
      </c>
      <c r="U48" s="12">
        <f t="shared" si="0"/>
        <v>46365</v>
      </c>
      <c r="V48" s="8">
        <f t="shared" ca="1" si="1"/>
        <v>4</v>
      </c>
      <c r="W48" s="16">
        <v>20000</v>
      </c>
      <c r="X48" s="8" t="s">
        <v>501</v>
      </c>
      <c r="Y48" s="8" t="s">
        <v>502</v>
      </c>
      <c r="Z48" s="9"/>
      <c r="AA48" s="9" t="s">
        <v>503</v>
      </c>
      <c r="AB48" s="12">
        <v>44555</v>
      </c>
      <c r="AC48" s="8">
        <f t="shared" si="4"/>
        <v>1825</v>
      </c>
      <c r="AD48" s="8">
        <f t="shared" ca="1" si="5"/>
        <v>139</v>
      </c>
      <c r="AE48" s="8">
        <f>VLOOKUP($B48, [1]렌트_계약서번호!$B$3:$E$501, 4, FALSE)</f>
        <v>21120034</v>
      </c>
      <c r="AF48" s="18">
        <v>13209603</v>
      </c>
      <c r="AG48" s="9">
        <v>200000</v>
      </c>
      <c r="AH48" s="9">
        <v>12688000</v>
      </c>
      <c r="AI48" s="9">
        <v>0</v>
      </c>
      <c r="AJ48" s="9">
        <v>2000</v>
      </c>
      <c r="AK48" s="9">
        <v>461380</v>
      </c>
      <c r="AL48" s="9">
        <v>0</v>
      </c>
      <c r="AM48" s="9">
        <v>2000</v>
      </c>
      <c r="AN48" s="9">
        <v>27000</v>
      </c>
      <c r="AO48" s="9">
        <v>30000</v>
      </c>
      <c r="AP48" s="9">
        <v>430000</v>
      </c>
      <c r="AQ48" s="9">
        <v>0</v>
      </c>
      <c r="AR48" s="9" t="s">
        <v>122</v>
      </c>
      <c r="AS48" s="9">
        <v>0</v>
      </c>
      <c r="AT48" s="9" t="s">
        <v>123</v>
      </c>
      <c r="AU48" s="9"/>
      <c r="AV48" s="13">
        <f t="shared" si="6"/>
        <v>522380</v>
      </c>
      <c r="AW48" s="13" t="s">
        <v>124</v>
      </c>
      <c r="AX48" s="17">
        <v>44503</v>
      </c>
      <c r="AY48" s="18">
        <v>1153090</v>
      </c>
      <c r="AZ48" s="18">
        <v>1035460</v>
      </c>
      <c r="BA48" s="9"/>
      <c r="BB48" s="9"/>
      <c r="BC48" s="9"/>
      <c r="BD48" s="9" t="s">
        <v>125</v>
      </c>
      <c r="BE48" s="9" t="s">
        <v>126</v>
      </c>
      <c r="BF48" s="9" t="s">
        <v>255</v>
      </c>
      <c r="BG48" s="9" t="s">
        <v>128</v>
      </c>
      <c r="BH48" s="9" t="s">
        <v>129</v>
      </c>
      <c r="BI48" s="9" t="s">
        <v>130</v>
      </c>
      <c r="BJ48" s="8" t="s">
        <v>256</v>
      </c>
      <c r="BK48" s="9" t="s">
        <v>132</v>
      </c>
      <c r="BL48" s="9" t="s">
        <v>133</v>
      </c>
      <c r="BM48" s="9" t="s">
        <v>257</v>
      </c>
      <c r="BN48" s="9" t="s">
        <v>134</v>
      </c>
      <c r="BO48" s="9" t="s">
        <v>134</v>
      </c>
      <c r="BP48" s="9" t="s">
        <v>135</v>
      </c>
      <c r="BQ48" s="8"/>
      <c r="BR48" s="9">
        <f t="shared" si="7"/>
        <v>17964</v>
      </c>
      <c r="BS48" s="8" t="s">
        <v>136</v>
      </c>
      <c r="BT48" s="19"/>
      <c r="BU48" s="9"/>
      <c r="BV48" s="26"/>
      <c r="BW48" s="9"/>
      <c r="BX48" s="9">
        <f t="shared" si="14"/>
        <v>0</v>
      </c>
      <c r="BY48" s="9">
        <f t="shared" si="15"/>
        <v>0</v>
      </c>
      <c r="BZ48" s="27">
        <v>0</v>
      </c>
      <c r="CA48" s="1"/>
      <c r="CB48" s="28" t="s">
        <v>504</v>
      </c>
      <c r="CC48" s="28" t="s">
        <v>385</v>
      </c>
      <c r="CD48" s="9">
        <v>376700</v>
      </c>
      <c r="CE48" s="9">
        <f t="shared" si="10"/>
        <v>60</v>
      </c>
      <c r="CF48" s="9">
        <f t="shared" si="11"/>
        <v>22602000</v>
      </c>
      <c r="CG48" s="9"/>
      <c r="CH48" s="9"/>
      <c r="CI48" s="9">
        <v>2506900</v>
      </c>
      <c r="CJ48" s="29">
        <v>5.6000000000000001E-2</v>
      </c>
      <c r="CK48" s="30">
        <v>0.04</v>
      </c>
      <c r="CL48" s="31" t="s">
        <v>505</v>
      </c>
      <c r="CM48" s="31"/>
      <c r="CN48" s="31"/>
      <c r="CO48" s="27">
        <v>0.03</v>
      </c>
      <c r="CP48" s="22"/>
      <c r="CQ48" s="32">
        <v>0</v>
      </c>
      <c r="CR48" s="32">
        <v>0</v>
      </c>
      <c r="CS48" s="32">
        <v>0</v>
      </c>
      <c r="CT48" s="32">
        <v>0</v>
      </c>
      <c r="CU48" s="32">
        <v>0</v>
      </c>
      <c r="CV48" s="32">
        <v>0</v>
      </c>
      <c r="CW48" s="32">
        <v>0</v>
      </c>
      <c r="CX48" s="32">
        <v>0</v>
      </c>
      <c r="CY48" s="32">
        <v>0</v>
      </c>
      <c r="CZ48" s="32">
        <v>0</v>
      </c>
      <c r="DA48" s="32">
        <v>0</v>
      </c>
      <c r="DB48" s="32" t="str">
        <f t="shared" si="12"/>
        <v>기아</v>
      </c>
      <c r="DC48" s="32" t="s">
        <v>260</v>
      </c>
      <c r="DD48" s="32" t="str">
        <f>IF(DC48="정수원 실장","렌트베네핏", IF(DC48="박현식 부장", "렌트베네핏", IF(DC48="김성진 팀장", "청담", IF(DC48="전석영 부장", "방배", IF(DC48= "박봉호 부장", "일산",IF(DC100="정원철 부장", "청담"))))))</f>
        <v>렌트베네핏</v>
      </c>
      <c r="DE48" s="32"/>
      <c r="DF48" s="32"/>
      <c r="DG48" s="32"/>
      <c r="DH48" s="32" t="s">
        <v>506</v>
      </c>
      <c r="DI48" s="19" t="s">
        <v>137</v>
      </c>
      <c r="DJ48" s="22">
        <v>0.3</v>
      </c>
      <c r="DK48" s="51">
        <v>0.2</v>
      </c>
      <c r="DL48" s="32"/>
      <c r="DM48" s="20"/>
      <c r="DN48" s="32"/>
      <c r="DO48" s="32"/>
      <c r="DP48" s="22"/>
    </row>
    <row r="49" spans="1:120">
      <c r="A49" s="8">
        <v>47</v>
      </c>
      <c r="B49" s="8" t="s">
        <v>507</v>
      </c>
      <c r="C49" s="34" t="s">
        <v>244</v>
      </c>
      <c r="D49" s="8" t="s">
        <v>508</v>
      </c>
      <c r="E49" s="8" t="s">
        <v>509</v>
      </c>
      <c r="F49" s="8" t="s">
        <v>510</v>
      </c>
      <c r="G49" s="8" t="s">
        <v>511</v>
      </c>
      <c r="H49" s="8" t="s">
        <v>512</v>
      </c>
      <c r="I49" s="9">
        <v>22130000</v>
      </c>
      <c r="J49" s="8">
        <v>2022</v>
      </c>
      <c r="K49" s="10" t="s">
        <v>115</v>
      </c>
      <c r="L49" s="10" t="s">
        <v>116</v>
      </c>
      <c r="M49" s="8" t="s">
        <v>513</v>
      </c>
      <c r="N49" s="8" t="s">
        <v>514</v>
      </c>
      <c r="O49" s="8" t="s">
        <v>119</v>
      </c>
      <c r="P49" s="11">
        <v>1598</v>
      </c>
      <c r="Q49" s="12">
        <v>44538</v>
      </c>
      <c r="R49" s="12">
        <v>44543</v>
      </c>
      <c r="S49" s="12">
        <v>44543</v>
      </c>
      <c r="T49" s="14" t="s">
        <v>120</v>
      </c>
      <c r="U49" s="12">
        <f t="shared" si="0"/>
        <v>46368</v>
      </c>
      <c r="V49" s="8">
        <f t="shared" ca="1" si="1"/>
        <v>4</v>
      </c>
      <c r="W49" s="16">
        <v>30000</v>
      </c>
      <c r="X49" s="9" t="s">
        <v>515</v>
      </c>
      <c r="Y49" s="8" t="s">
        <v>516</v>
      </c>
      <c r="Z49" s="9"/>
      <c r="AA49" s="9" t="s">
        <v>517</v>
      </c>
      <c r="AB49" s="12">
        <v>44561</v>
      </c>
      <c r="AC49" s="8">
        <f t="shared" si="4"/>
        <v>1825</v>
      </c>
      <c r="AD49" s="8">
        <f t="shared" ca="1" si="5"/>
        <v>142</v>
      </c>
      <c r="AE49" s="8">
        <f>VLOOKUP($B49, [1]렌트_계약서번호!$B$3:$E$501, 4, FALSE)</f>
        <v>21120032</v>
      </c>
      <c r="AF49" s="18">
        <v>21247761</v>
      </c>
      <c r="AG49" s="9">
        <v>1373239</v>
      </c>
      <c r="AH49" s="9">
        <v>21145760</v>
      </c>
      <c r="AI49" s="9" t="s">
        <v>119</v>
      </c>
      <c r="AJ49" s="9">
        <v>0</v>
      </c>
      <c r="AK49" s="9">
        <v>768930</v>
      </c>
      <c r="AL49" s="9">
        <v>54068</v>
      </c>
      <c r="AM49" s="9">
        <v>0</v>
      </c>
      <c r="AN49" s="9">
        <v>33500</v>
      </c>
      <c r="AO49" s="9">
        <v>0</v>
      </c>
      <c r="AP49" s="9">
        <v>941000</v>
      </c>
      <c r="AQ49" s="9">
        <v>143000</v>
      </c>
      <c r="AR49" s="9" t="s">
        <v>487</v>
      </c>
      <c r="AS49" s="9">
        <v>66000</v>
      </c>
      <c r="AT49" s="9" t="s">
        <v>488</v>
      </c>
      <c r="AU49" s="25">
        <v>769830</v>
      </c>
      <c r="AV49" s="13">
        <f t="shared" si="6"/>
        <v>1065498</v>
      </c>
      <c r="AW49" s="13" t="s">
        <v>124</v>
      </c>
      <c r="AX49" s="17">
        <v>44538</v>
      </c>
      <c r="AY49" s="18">
        <v>1130870</v>
      </c>
      <c r="AZ49" s="25">
        <v>1016230</v>
      </c>
      <c r="BA49" s="9"/>
      <c r="BB49" s="9"/>
      <c r="BC49" s="9"/>
      <c r="BD49" s="9" t="s">
        <v>125</v>
      </c>
      <c r="BE49" s="9" t="s">
        <v>126</v>
      </c>
      <c r="BF49" s="9" t="s">
        <v>255</v>
      </c>
      <c r="BG49" s="9" t="s">
        <v>128</v>
      </c>
      <c r="BH49" s="9" t="s">
        <v>129</v>
      </c>
      <c r="BI49" s="9" t="s">
        <v>130</v>
      </c>
      <c r="BJ49" s="8" t="s">
        <v>256</v>
      </c>
      <c r="BK49" s="9" t="s">
        <v>132</v>
      </c>
      <c r="BL49" s="9" t="s">
        <v>133</v>
      </c>
      <c r="BM49" s="9" t="s">
        <v>133</v>
      </c>
      <c r="BN49" s="9" t="s">
        <v>133</v>
      </c>
      <c r="BO49" s="9" t="s">
        <v>133</v>
      </c>
      <c r="BP49" s="9"/>
      <c r="BQ49" s="8"/>
      <c r="BR49" s="9">
        <f t="shared" si="7"/>
        <v>28764</v>
      </c>
      <c r="BS49" s="8" t="s">
        <v>136</v>
      </c>
      <c r="BT49" s="19"/>
      <c r="BU49" s="9"/>
      <c r="BV49" s="26"/>
      <c r="BW49" s="9"/>
      <c r="BX49" s="9"/>
      <c r="BY49" s="9"/>
      <c r="BZ49" s="27">
        <v>0</v>
      </c>
      <c r="CA49" s="1"/>
      <c r="CB49" s="28" t="s">
        <v>504</v>
      </c>
      <c r="CC49" s="28" t="s">
        <v>385</v>
      </c>
      <c r="CD49" s="9">
        <v>484000</v>
      </c>
      <c r="CE49" s="9">
        <f t="shared" si="10"/>
        <v>60</v>
      </c>
      <c r="CF49" s="9">
        <f t="shared" si="11"/>
        <v>29040000</v>
      </c>
      <c r="CG49" s="9">
        <v>0</v>
      </c>
      <c r="CH49" s="9">
        <v>0</v>
      </c>
      <c r="CI49" s="9">
        <v>8852000</v>
      </c>
      <c r="CJ49" s="29">
        <v>3.6200000000000003E-2</v>
      </c>
      <c r="CK49" s="30">
        <v>0.04</v>
      </c>
      <c r="CL49" s="54" t="s">
        <v>518</v>
      </c>
      <c r="CM49" s="9" t="s">
        <v>519</v>
      </c>
      <c r="CN49" s="9"/>
      <c r="CO49" s="27">
        <v>0.03</v>
      </c>
      <c r="CP49" s="22"/>
      <c r="CQ49" s="32">
        <v>0</v>
      </c>
      <c r="CR49" s="32">
        <v>0</v>
      </c>
      <c r="CS49" s="32">
        <v>0</v>
      </c>
      <c r="CT49" s="32">
        <v>0</v>
      </c>
      <c r="CU49" s="32">
        <v>0</v>
      </c>
      <c r="CV49" s="32">
        <v>0</v>
      </c>
      <c r="CW49" s="32">
        <v>0</v>
      </c>
      <c r="CX49" s="32">
        <v>0</v>
      </c>
      <c r="CY49" s="32">
        <v>0</v>
      </c>
      <c r="CZ49" s="32">
        <v>0</v>
      </c>
      <c r="DA49" s="32">
        <v>0</v>
      </c>
      <c r="DB49" s="32" t="str">
        <f t="shared" si="12"/>
        <v>기아</v>
      </c>
      <c r="DC49" s="32" t="s">
        <v>260</v>
      </c>
      <c r="DD49" s="32" t="str">
        <f>IF(DC49="정수원 실장","렌트베네핏", IF(DC49="박현식 부장", "렌트베네핏", IF(DC49="김성진 팀장", "청담", IF(DC49="전석영 부장", "방배", IF(DC49= "박봉호 부장", "일산",IF(DC91="정원철 부장", "청담"))))))</f>
        <v>렌트베네핏</v>
      </c>
      <c r="DE49" s="32"/>
      <c r="DF49" s="32"/>
      <c r="DG49" s="32"/>
      <c r="DH49" s="32" t="s">
        <v>520</v>
      </c>
      <c r="DI49" s="19" t="s">
        <v>137</v>
      </c>
      <c r="DJ49" s="22">
        <v>0.3</v>
      </c>
      <c r="DK49" s="51">
        <v>0.2</v>
      </c>
      <c r="DL49" s="32"/>
      <c r="DM49" s="20"/>
      <c r="DN49" s="32"/>
      <c r="DO49" s="32"/>
      <c r="DP49" s="22"/>
    </row>
    <row r="50" spans="1:120">
      <c r="A50" s="8">
        <v>48</v>
      </c>
      <c r="B50" s="8" t="s">
        <v>521</v>
      </c>
      <c r="C50" s="34" t="s">
        <v>244</v>
      </c>
      <c r="D50" s="8" t="s">
        <v>522</v>
      </c>
      <c r="E50" s="8" t="s">
        <v>523</v>
      </c>
      <c r="F50" s="8" t="s">
        <v>524</v>
      </c>
      <c r="G50" s="8" t="s">
        <v>113</v>
      </c>
      <c r="H50" s="8" t="s">
        <v>114</v>
      </c>
      <c r="I50" s="9">
        <v>12750000</v>
      </c>
      <c r="J50" s="8">
        <v>2022</v>
      </c>
      <c r="K50" s="10" t="s">
        <v>115</v>
      </c>
      <c r="L50" s="10" t="s">
        <v>116</v>
      </c>
      <c r="M50" s="8" t="s">
        <v>525</v>
      </c>
      <c r="N50" s="55" t="s">
        <v>526</v>
      </c>
      <c r="O50" s="8" t="s">
        <v>119</v>
      </c>
      <c r="P50" s="11">
        <v>998</v>
      </c>
      <c r="Q50" s="12">
        <v>44503</v>
      </c>
      <c r="R50" s="12">
        <v>44557</v>
      </c>
      <c r="S50" s="12">
        <v>44557</v>
      </c>
      <c r="T50" s="14" t="s">
        <v>120</v>
      </c>
      <c r="U50" s="12">
        <f t="shared" si="0"/>
        <v>46382</v>
      </c>
      <c r="V50" s="8">
        <f t="shared" ca="1" si="1"/>
        <v>5</v>
      </c>
      <c r="W50" s="16">
        <v>20000</v>
      </c>
      <c r="X50" s="9" t="s">
        <v>527</v>
      </c>
      <c r="Y50" s="8" t="s">
        <v>528</v>
      </c>
      <c r="Z50" s="9"/>
      <c r="AA50" s="9" t="s">
        <v>529</v>
      </c>
      <c r="AB50" s="12">
        <v>44586</v>
      </c>
      <c r="AC50" s="8">
        <f t="shared" si="4"/>
        <v>1825</v>
      </c>
      <c r="AD50" s="8">
        <f t="shared" ca="1" si="5"/>
        <v>156</v>
      </c>
      <c r="AE50" s="8">
        <f>VLOOKUP($B50, [1]렌트_계약서번호!$B$3:$E$501, 4, FALSE)</f>
        <v>21120040</v>
      </c>
      <c r="AF50" s="18">
        <v>13209603</v>
      </c>
      <c r="AG50" s="9">
        <v>200000</v>
      </c>
      <c r="AH50" s="9">
        <v>12688000</v>
      </c>
      <c r="AI50" s="9">
        <v>0</v>
      </c>
      <c r="AJ50" s="9">
        <v>2000</v>
      </c>
      <c r="AK50" s="9">
        <v>461380</v>
      </c>
      <c r="AL50" s="9">
        <v>0</v>
      </c>
      <c r="AM50" s="9">
        <v>2000</v>
      </c>
      <c r="AN50" s="9">
        <v>27000</v>
      </c>
      <c r="AO50" s="9">
        <v>30000</v>
      </c>
      <c r="AP50" s="9">
        <v>430000</v>
      </c>
      <c r="AQ50" s="9">
        <v>0</v>
      </c>
      <c r="AR50" s="9" t="s">
        <v>122</v>
      </c>
      <c r="AS50" s="9">
        <v>66000</v>
      </c>
      <c r="AT50" s="9" t="s">
        <v>488</v>
      </c>
      <c r="AU50" s="9"/>
      <c r="AV50" s="13">
        <f t="shared" si="6"/>
        <v>588380</v>
      </c>
      <c r="AW50" s="13" t="s">
        <v>124</v>
      </c>
      <c r="AX50" s="17">
        <v>44503</v>
      </c>
      <c r="AY50" s="18">
        <v>1153090</v>
      </c>
      <c r="AZ50" s="18">
        <v>1035460</v>
      </c>
      <c r="BA50" s="9"/>
      <c r="BB50" s="9"/>
      <c r="BC50" s="9"/>
      <c r="BD50" s="9" t="s">
        <v>125</v>
      </c>
      <c r="BE50" s="9" t="s">
        <v>126</v>
      </c>
      <c r="BF50" s="9" t="s">
        <v>255</v>
      </c>
      <c r="BG50" s="9" t="s">
        <v>128</v>
      </c>
      <c r="BH50" s="9" t="s">
        <v>129</v>
      </c>
      <c r="BI50" s="9" t="s">
        <v>130</v>
      </c>
      <c r="BJ50" s="8" t="s">
        <v>256</v>
      </c>
      <c r="BK50" s="9" t="s">
        <v>132</v>
      </c>
      <c r="BL50" s="9" t="s">
        <v>133</v>
      </c>
      <c r="BM50" s="9" t="s">
        <v>257</v>
      </c>
      <c r="BN50" s="9" t="s">
        <v>134</v>
      </c>
      <c r="BO50" s="9" t="s">
        <v>134</v>
      </c>
      <c r="BP50" s="9" t="s">
        <v>135</v>
      </c>
      <c r="BQ50" s="8"/>
      <c r="BR50" s="9">
        <f t="shared" si="7"/>
        <v>17964</v>
      </c>
      <c r="BS50" s="8" t="s">
        <v>136</v>
      </c>
      <c r="BT50" s="19"/>
      <c r="BU50" s="9"/>
      <c r="BV50" s="26"/>
      <c r="BW50" s="9"/>
      <c r="BX50" s="9">
        <f>BW50*BV50</f>
        <v>0</v>
      </c>
      <c r="BY50" s="9">
        <f>BX50-BU50</f>
        <v>0</v>
      </c>
      <c r="BZ50" s="27">
        <v>0</v>
      </c>
      <c r="CA50" s="1"/>
      <c r="CB50" s="28" t="s">
        <v>385</v>
      </c>
      <c r="CC50" s="28" t="s">
        <v>385</v>
      </c>
      <c r="CD50" s="9">
        <v>376700</v>
      </c>
      <c r="CE50" s="9">
        <f t="shared" si="10"/>
        <v>60</v>
      </c>
      <c r="CF50" s="9">
        <f t="shared" si="11"/>
        <v>22602000</v>
      </c>
      <c r="CG50" s="9"/>
      <c r="CH50" s="9"/>
      <c r="CI50" s="9">
        <v>2506900</v>
      </c>
      <c r="CJ50" s="29">
        <v>5.6000000000000001E-2</v>
      </c>
      <c r="CK50" s="30">
        <v>0.04</v>
      </c>
      <c r="CL50" s="31" t="s">
        <v>530</v>
      </c>
      <c r="CM50" s="9"/>
      <c r="CN50" s="9" t="s">
        <v>528</v>
      </c>
      <c r="CO50" s="27">
        <v>0.03</v>
      </c>
      <c r="CP50" s="22"/>
      <c r="CQ50" s="32">
        <v>0</v>
      </c>
      <c r="CR50" s="32">
        <v>0</v>
      </c>
      <c r="CS50" s="32">
        <v>0</v>
      </c>
      <c r="CT50" s="32">
        <v>0</v>
      </c>
      <c r="CU50" s="32">
        <v>0</v>
      </c>
      <c r="CV50" s="32">
        <v>0</v>
      </c>
      <c r="CW50" s="32">
        <v>0</v>
      </c>
      <c r="CX50" s="32">
        <v>0</v>
      </c>
      <c r="CY50" s="32">
        <v>0</v>
      </c>
      <c r="CZ50" s="32">
        <v>0</v>
      </c>
      <c r="DA50" s="32">
        <v>0</v>
      </c>
      <c r="DB50" s="32" t="str">
        <f t="shared" si="12"/>
        <v>기아</v>
      </c>
      <c r="DC50" s="32" t="s">
        <v>260</v>
      </c>
      <c r="DD50" s="32" t="str">
        <f>IF(DC50="정수원 실장","렌트베네핏", IF(DC50="박현식 부장", "렌트베네핏", IF(DC50="김성진 팀장", "청담", IF(DC50="전석영 부장", "방배", IF(DC50= "박봉호 부장", "일산",IF(DC102="정원철 부장", "청담"))))))</f>
        <v>렌트베네핏</v>
      </c>
      <c r="DE50" s="32"/>
      <c r="DF50" s="32"/>
      <c r="DG50" s="32"/>
      <c r="DH50" s="32" t="s">
        <v>531</v>
      </c>
      <c r="DI50" s="19" t="s">
        <v>137</v>
      </c>
      <c r="DJ50" s="22">
        <v>0.3</v>
      </c>
      <c r="DK50" s="51">
        <v>0.2</v>
      </c>
      <c r="DL50" s="32"/>
      <c r="DM50" s="20"/>
      <c r="DN50" s="32"/>
      <c r="DO50" s="32"/>
      <c r="DP50" s="22"/>
    </row>
    <row r="51" spans="1:120">
      <c r="A51" s="8">
        <v>49</v>
      </c>
      <c r="B51" s="8" t="s">
        <v>532</v>
      </c>
      <c r="C51" s="34" t="s">
        <v>244</v>
      </c>
      <c r="D51" s="8" t="s">
        <v>533</v>
      </c>
      <c r="E51" s="8" t="s">
        <v>534</v>
      </c>
      <c r="F51" s="8" t="s">
        <v>535</v>
      </c>
      <c r="G51" s="8" t="s">
        <v>536</v>
      </c>
      <c r="H51" s="8" t="s">
        <v>537</v>
      </c>
      <c r="I51" s="9">
        <v>245600000</v>
      </c>
      <c r="J51" s="8">
        <v>2022</v>
      </c>
      <c r="K51" s="10" t="s">
        <v>538</v>
      </c>
      <c r="L51" s="10" t="s">
        <v>116</v>
      </c>
      <c r="M51" s="8" t="s">
        <v>539</v>
      </c>
      <c r="N51" s="8" t="s">
        <v>540</v>
      </c>
      <c r="O51" s="8" t="s">
        <v>119</v>
      </c>
      <c r="P51" s="11">
        <v>3982</v>
      </c>
      <c r="Q51" s="12">
        <v>44557</v>
      </c>
      <c r="R51" s="12">
        <v>44549</v>
      </c>
      <c r="S51" s="12">
        <v>44559</v>
      </c>
      <c r="T51" s="14" t="s">
        <v>120</v>
      </c>
      <c r="U51" s="12">
        <f t="shared" si="0"/>
        <v>46384</v>
      </c>
      <c r="V51" s="8">
        <f t="shared" ca="1" si="1"/>
        <v>5</v>
      </c>
      <c r="W51" s="16">
        <v>20000</v>
      </c>
      <c r="X51" s="8" t="s">
        <v>541</v>
      </c>
      <c r="Y51" s="8" t="s">
        <v>535</v>
      </c>
      <c r="Z51" s="9"/>
      <c r="AA51" s="9" t="s">
        <v>542</v>
      </c>
      <c r="AB51" s="12">
        <v>44586</v>
      </c>
      <c r="AC51" s="8">
        <f t="shared" si="4"/>
        <v>1825</v>
      </c>
      <c r="AD51" s="8">
        <f t="shared" ca="1" si="5"/>
        <v>158</v>
      </c>
      <c r="AE51" s="8">
        <f>VLOOKUP($B51, [1]렌트_계약서번호!$B$3:$E$501, 4, FALSE)</f>
        <v>21120036</v>
      </c>
      <c r="AF51" s="18">
        <v>245600000</v>
      </c>
      <c r="AG51" s="9">
        <v>9824000</v>
      </c>
      <c r="AH51" s="9">
        <v>245600000</v>
      </c>
      <c r="AI51" s="9"/>
      <c r="AJ51" s="9">
        <v>0</v>
      </c>
      <c r="AK51" s="9">
        <v>8930900</v>
      </c>
      <c r="AL51" s="9">
        <v>411087</v>
      </c>
      <c r="AM51" s="9">
        <v>5000</v>
      </c>
      <c r="AN51" s="9">
        <v>21500</v>
      </c>
      <c r="AO51" s="9">
        <v>30000</v>
      </c>
      <c r="AP51" s="9">
        <v>0</v>
      </c>
      <c r="AQ51" s="9"/>
      <c r="AR51" s="9" t="s">
        <v>205</v>
      </c>
      <c r="AS51" s="9"/>
      <c r="AT51" s="9" t="s">
        <v>206</v>
      </c>
      <c r="AU51" s="18">
        <v>9398987</v>
      </c>
      <c r="AV51" s="13">
        <f t="shared" si="6"/>
        <v>9398487</v>
      </c>
      <c r="AW51" s="13" t="s">
        <v>543</v>
      </c>
      <c r="AX51" s="17">
        <v>44557</v>
      </c>
      <c r="AY51" s="18">
        <f>8747130-1819480</f>
        <v>6927650</v>
      </c>
      <c r="AZ51" s="18">
        <v>1430070</v>
      </c>
      <c r="BA51" s="9"/>
      <c r="BB51" s="9"/>
      <c r="BC51" s="9"/>
      <c r="BD51" s="9" t="s">
        <v>125</v>
      </c>
      <c r="BE51" s="9" t="s">
        <v>126</v>
      </c>
      <c r="BF51" s="9" t="s">
        <v>187</v>
      </c>
      <c r="BG51" s="9" t="s">
        <v>188</v>
      </c>
      <c r="BH51" s="9" t="s">
        <v>129</v>
      </c>
      <c r="BI51" s="9" t="s">
        <v>189</v>
      </c>
      <c r="BJ51" s="8" t="s">
        <v>256</v>
      </c>
      <c r="BK51" s="9" t="s">
        <v>132</v>
      </c>
      <c r="BL51" s="9" t="s">
        <v>133</v>
      </c>
      <c r="BM51" s="9" t="s">
        <v>257</v>
      </c>
      <c r="BN51" s="9" t="s">
        <v>134</v>
      </c>
      <c r="BO51" s="9" t="s">
        <v>134</v>
      </c>
      <c r="BP51" s="9" t="s">
        <v>544</v>
      </c>
      <c r="BQ51" s="8"/>
      <c r="BR51" s="9">
        <f t="shared" si="7"/>
        <v>95568</v>
      </c>
      <c r="BS51" s="8" t="s">
        <v>136</v>
      </c>
      <c r="BT51" s="19"/>
      <c r="BU51" s="9"/>
      <c r="BV51" s="26"/>
      <c r="BW51" s="9"/>
      <c r="BX51" s="9"/>
      <c r="BY51" s="9"/>
      <c r="BZ51" s="27">
        <v>0</v>
      </c>
      <c r="CA51" s="1"/>
      <c r="CB51" s="28" t="s">
        <v>385</v>
      </c>
      <c r="CC51" s="28" t="s">
        <v>385</v>
      </c>
      <c r="CD51" s="9">
        <v>3892150</v>
      </c>
      <c r="CE51" s="9">
        <f t="shared" si="10"/>
        <v>60</v>
      </c>
      <c r="CF51" s="9">
        <f t="shared" si="11"/>
        <v>233529000</v>
      </c>
      <c r="CG51" s="9">
        <v>65285000</v>
      </c>
      <c r="CH51" s="9">
        <v>33525000</v>
      </c>
      <c r="CI51" s="9">
        <v>65285000</v>
      </c>
      <c r="CJ51" s="29">
        <v>0</v>
      </c>
      <c r="CK51" s="30">
        <v>0.06</v>
      </c>
      <c r="CL51" s="31" t="s">
        <v>545</v>
      </c>
      <c r="CM51" s="31" t="s">
        <v>546</v>
      </c>
      <c r="CN51" s="31"/>
      <c r="CO51" s="27">
        <v>0.03</v>
      </c>
      <c r="CP51" s="22"/>
      <c r="CQ51" s="32">
        <v>0</v>
      </c>
      <c r="CR51" s="32">
        <v>0</v>
      </c>
      <c r="CS51" s="32">
        <v>0</v>
      </c>
      <c r="CT51" s="32">
        <v>0</v>
      </c>
      <c r="CU51" s="32">
        <v>0</v>
      </c>
      <c r="CV51" s="32">
        <v>0</v>
      </c>
      <c r="CW51" s="32">
        <v>0</v>
      </c>
      <c r="CX51" s="32">
        <v>0</v>
      </c>
      <c r="CY51" s="32">
        <v>0</v>
      </c>
      <c r="CZ51" s="32">
        <v>0</v>
      </c>
      <c r="DA51" s="32">
        <v>0</v>
      </c>
      <c r="DB51" s="32" t="b">
        <f t="shared" si="12"/>
        <v>0</v>
      </c>
      <c r="DC51" s="32" t="s">
        <v>547</v>
      </c>
      <c r="DD51" s="32" t="b">
        <f>IF(DC51="정수원 실장","렌트베네핏", IF(DC51="박현식 부장", "렌트베네핏", IF(DC51="김성진 팀장", "청담", IF(DC51="전석영 부장", "방배", IF(DC51= "박봉호 부장", "일산",IF(DC103="정원철 부장", "청담"))))))</f>
        <v>0</v>
      </c>
      <c r="DE51" s="32"/>
      <c r="DF51" s="32"/>
      <c r="DG51" s="32"/>
      <c r="DH51" s="32" t="s">
        <v>548</v>
      </c>
      <c r="DI51" s="19" t="s">
        <v>549</v>
      </c>
      <c r="DJ51" s="22">
        <v>0.3</v>
      </c>
      <c r="DK51" s="51">
        <v>0.2</v>
      </c>
      <c r="DL51" s="32"/>
      <c r="DM51" s="20"/>
      <c r="DN51" s="32"/>
      <c r="DO51" s="32"/>
      <c r="DP51" s="22"/>
    </row>
    <row r="52" spans="1:120">
      <c r="A52" s="8">
        <v>50</v>
      </c>
      <c r="B52" s="8" t="s">
        <v>550</v>
      </c>
      <c r="C52" s="34" t="s">
        <v>244</v>
      </c>
      <c r="D52" s="8" t="s">
        <v>551</v>
      </c>
      <c r="E52" s="8" t="s">
        <v>552</v>
      </c>
      <c r="F52" s="8" t="s">
        <v>553</v>
      </c>
      <c r="G52" s="8" t="s">
        <v>113</v>
      </c>
      <c r="H52" s="8" t="s">
        <v>114</v>
      </c>
      <c r="I52" s="9">
        <v>12750000</v>
      </c>
      <c r="J52" s="8">
        <v>2022</v>
      </c>
      <c r="K52" s="10" t="s">
        <v>115</v>
      </c>
      <c r="L52" s="10" t="s">
        <v>116</v>
      </c>
      <c r="M52" s="8" t="s">
        <v>554</v>
      </c>
      <c r="N52" s="55" t="s">
        <v>555</v>
      </c>
      <c r="O52" s="8" t="s">
        <v>119</v>
      </c>
      <c r="P52" s="11">
        <v>998</v>
      </c>
      <c r="Q52" s="12">
        <v>44503</v>
      </c>
      <c r="R52" s="12">
        <v>44561</v>
      </c>
      <c r="S52" s="12">
        <v>44582</v>
      </c>
      <c r="T52" s="14" t="s">
        <v>556</v>
      </c>
      <c r="U52" s="12">
        <f t="shared" si="0"/>
        <v>46042</v>
      </c>
      <c r="V52" s="8" t="str">
        <f t="shared" ca="1" si="1"/>
        <v>-</v>
      </c>
      <c r="W52" s="16">
        <v>20000</v>
      </c>
      <c r="X52" s="9" t="s">
        <v>557</v>
      </c>
      <c r="Y52" s="8" t="s">
        <v>558</v>
      </c>
      <c r="Z52" s="9"/>
      <c r="AA52" s="9" t="s">
        <v>559</v>
      </c>
      <c r="AB52" s="12">
        <v>44592</v>
      </c>
      <c r="AC52" s="8">
        <f t="shared" si="4"/>
        <v>1460</v>
      </c>
      <c r="AD52" s="8">
        <f t="shared" ca="1" si="5"/>
        <v>-184</v>
      </c>
      <c r="AE52" s="8">
        <f>VLOOKUP($B52, [1]렌트_계약서번호!$B$3:$E$501, 4, FALSE)</f>
        <v>21120041</v>
      </c>
      <c r="AF52" s="18">
        <v>13209603</v>
      </c>
      <c r="AG52" s="9">
        <v>200000</v>
      </c>
      <c r="AH52" s="9">
        <v>12688000</v>
      </c>
      <c r="AI52" s="9">
        <v>0</v>
      </c>
      <c r="AJ52" s="9">
        <v>2000</v>
      </c>
      <c r="AK52" s="9">
        <v>461380</v>
      </c>
      <c r="AL52" s="9">
        <v>0</v>
      </c>
      <c r="AM52" s="9">
        <v>2000</v>
      </c>
      <c r="AN52" s="9">
        <v>27000</v>
      </c>
      <c r="AO52" s="9">
        <v>30000</v>
      </c>
      <c r="AP52" s="9">
        <v>430000</v>
      </c>
      <c r="AQ52" s="9">
        <v>0</v>
      </c>
      <c r="AR52" s="9" t="s">
        <v>122</v>
      </c>
      <c r="AS52" s="9">
        <v>0</v>
      </c>
      <c r="AT52" s="9" t="s">
        <v>123</v>
      </c>
      <c r="AU52" s="9"/>
      <c r="AV52" s="13">
        <f t="shared" si="6"/>
        <v>522380</v>
      </c>
      <c r="AW52" s="13" t="s">
        <v>124</v>
      </c>
      <c r="AX52" s="17">
        <v>44503</v>
      </c>
      <c r="AY52" s="18">
        <v>1153090</v>
      </c>
      <c r="AZ52" s="18">
        <v>1035460</v>
      </c>
      <c r="BA52" s="9"/>
      <c r="BB52" s="9"/>
      <c r="BC52" s="9"/>
      <c r="BD52" s="9" t="s">
        <v>125</v>
      </c>
      <c r="BE52" s="9" t="s">
        <v>126</v>
      </c>
      <c r="BF52" s="9" t="s">
        <v>255</v>
      </c>
      <c r="BG52" s="9" t="s">
        <v>128</v>
      </c>
      <c r="BH52" s="9" t="s">
        <v>129</v>
      </c>
      <c r="BI52" s="9" t="s">
        <v>130</v>
      </c>
      <c r="BJ52" s="8" t="s">
        <v>256</v>
      </c>
      <c r="BK52" s="9" t="s">
        <v>132</v>
      </c>
      <c r="BL52" s="9" t="s">
        <v>133</v>
      </c>
      <c r="BM52" s="9" t="s">
        <v>257</v>
      </c>
      <c r="BN52" s="9" t="s">
        <v>134</v>
      </c>
      <c r="BO52" s="9" t="s">
        <v>134</v>
      </c>
      <c r="BP52" s="9" t="s">
        <v>135</v>
      </c>
      <c r="BQ52" s="8"/>
      <c r="BR52" s="9">
        <f t="shared" si="7"/>
        <v>17964</v>
      </c>
      <c r="BS52" s="8" t="s">
        <v>136</v>
      </c>
      <c r="BT52" s="19"/>
      <c r="BU52" s="9"/>
      <c r="BV52" s="26"/>
      <c r="BW52" s="9"/>
      <c r="BX52" s="9">
        <f>BW52*BV52</f>
        <v>0</v>
      </c>
      <c r="BY52" s="9">
        <f>BX52-BU52</f>
        <v>0</v>
      </c>
      <c r="BZ52" s="27">
        <v>0</v>
      </c>
      <c r="CA52" s="1"/>
      <c r="CB52" s="28" t="s">
        <v>504</v>
      </c>
      <c r="CC52" s="28" t="s">
        <v>385</v>
      </c>
      <c r="CD52" s="9">
        <v>418300</v>
      </c>
      <c r="CE52" s="9">
        <f t="shared" si="10"/>
        <v>48</v>
      </c>
      <c r="CF52" s="9">
        <f t="shared" si="11"/>
        <v>20078400</v>
      </c>
      <c r="CG52" s="9"/>
      <c r="CH52" s="9"/>
      <c r="CI52" s="9">
        <v>4065000</v>
      </c>
      <c r="CJ52" s="29">
        <v>2.5999999999999999E-2</v>
      </c>
      <c r="CK52" s="30">
        <v>0.06</v>
      </c>
      <c r="CL52" s="31" t="s">
        <v>560</v>
      </c>
      <c r="CM52" s="9"/>
      <c r="CN52" s="9"/>
      <c r="CO52" s="27">
        <v>0.03</v>
      </c>
      <c r="CP52" s="22"/>
      <c r="CQ52" s="32">
        <v>0</v>
      </c>
      <c r="CR52" s="32">
        <v>0</v>
      </c>
      <c r="CS52" s="32">
        <v>0</v>
      </c>
      <c r="CT52" s="32">
        <v>0</v>
      </c>
      <c r="CU52" s="32">
        <v>0</v>
      </c>
      <c r="CV52" s="32">
        <v>0</v>
      </c>
      <c r="CW52" s="32">
        <v>0</v>
      </c>
      <c r="CX52" s="32">
        <v>0</v>
      </c>
      <c r="CY52" s="32">
        <v>0</v>
      </c>
      <c r="CZ52" s="32">
        <v>0</v>
      </c>
      <c r="DA52" s="32">
        <v>0</v>
      </c>
      <c r="DB52" s="32" t="str">
        <f t="shared" si="12"/>
        <v>기아</v>
      </c>
      <c r="DC52" s="32" t="s">
        <v>260</v>
      </c>
      <c r="DD52" s="32" t="s">
        <v>561</v>
      </c>
      <c r="DE52" s="32"/>
      <c r="DF52" s="32"/>
      <c r="DG52" s="32"/>
      <c r="DH52" s="32" t="s">
        <v>562</v>
      </c>
      <c r="DI52" s="19" t="s">
        <v>137</v>
      </c>
      <c r="DJ52" s="22">
        <v>0.3</v>
      </c>
      <c r="DK52" s="51">
        <v>0.2</v>
      </c>
      <c r="DL52" s="32"/>
      <c r="DM52" s="20"/>
      <c r="DN52" s="32"/>
      <c r="DO52" s="32"/>
      <c r="DP52" s="22"/>
    </row>
    <row r="53" spans="1:120">
      <c r="A53" s="8">
        <v>51</v>
      </c>
      <c r="B53" s="8" t="s">
        <v>563</v>
      </c>
      <c r="C53" s="34" t="s">
        <v>244</v>
      </c>
      <c r="D53" s="8" t="s">
        <v>564</v>
      </c>
      <c r="E53" s="8" t="s">
        <v>565</v>
      </c>
      <c r="F53" s="8" t="s">
        <v>566</v>
      </c>
      <c r="G53" s="8" t="s">
        <v>567</v>
      </c>
      <c r="H53" s="8" t="s">
        <v>568</v>
      </c>
      <c r="I53" s="9">
        <v>281600000</v>
      </c>
      <c r="J53" s="8">
        <v>2022</v>
      </c>
      <c r="K53" s="10" t="s">
        <v>538</v>
      </c>
      <c r="L53" s="10" t="s">
        <v>116</v>
      </c>
      <c r="M53" s="8" t="s">
        <v>569</v>
      </c>
      <c r="N53" s="8" t="s">
        <v>570</v>
      </c>
      <c r="O53" s="8" t="s">
        <v>119</v>
      </c>
      <c r="P53" s="11">
        <v>3982</v>
      </c>
      <c r="Q53" s="12">
        <v>44561</v>
      </c>
      <c r="R53" s="12">
        <v>44554</v>
      </c>
      <c r="S53" s="12">
        <v>44565</v>
      </c>
      <c r="T53" s="14" t="s">
        <v>120</v>
      </c>
      <c r="U53" s="12">
        <f t="shared" si="0"/>
        <v>46390</v>
      </c>
      <c r="V53" s="8">
        <f t="shared" ca="1" si="1"/>
        <v>5</v>
      </c>
      <c r="W53" s="16">
        <v>20000</v>
      </c>
      <c r="X53" s="9" t="s">
        <v>571</v>
      </c>
      <c r="Y53" s="9" t="s">
        <v>572</v>
      </c>
      <c r="Z53" s="9"/>
      <c r="AA53" s="9" t="s">
        <v>573</v>
      </c>
      <c r="AB53" s="12">
        <v>44586</v>
      </c>
      <c r="AC53" s="8">
        <f t="shared" si="4"/>
        <v>1825</v>
      </c>
      <c r="AD53" s="8">
        <f t="shared" ca="1" si="5"/>
        <v>164</v>
      </c>
      <c r="AE53" s="8">
        <f>VLOOKUP($B53, [1]렌트_계약서번호!$B$3:$E$501, 4, FALSE)</f>
        <v>21120039</v>
      </c>
      <c r="AF53" s="18">
        <v>270336000</v>
      </c>
      <c r="AG53" s="9">
        <v>11264000</v>
      </c>
      <c r="AH53" s="9">
        <v>270336000</v>
      </c>
      <c r="AI53" s="9"/>
      <c r="AJ53" s="9">
        <v>0</v>
      </c>
      <c r="AK53" s="9">
        <v>9830400</v>
      </c>
      <c r="AL53" s="9">
        <v>693745</v>
      </c>
      <c r="AM53" s="9">
        <v>5000</v>
      </c>
      <c r="AN53" s="9">
        <v>21500</v>
      </c>
      <c r="AO53" s="9">
        <v>30000</v>
      </c>
      <c r="AP53" s="9">
        <v>0</v>
      </c>
      <c r="AQ53" s="9"/>
      <c r="AR53" s="9" t="s">
        <v>205</v>
      </c>
      <c r="AS53" s="9"/>
      <c r="AT53" s="9" t="s">
        <v>206</v>
      </c>
      <c r="AU53" s="18">
        <v>10581145</v>
      </c>
      <c r="AV53" s="13">
        <f t="shared" si="6"/>
        <v>10580645</v>
      </c>
      <c r="AW53" s="13" t="s">
        <v>543</v>
      </c>
      <c r="AX53" s="17">
        <v>44561</v>
      </c>
      <c r="AY53" s="18">
        <f>9934060-3478990</f>
        <v>6455070</v>
      </c>
      <c r="AZ53" s="18">
        <v>1104500</v>
      </c>
      <c r="BA53" s="9"/>
      <c r="BB53" s="9"/>
      <c r="BC53" s="9"/>
      <c r="BD53" s="9" t="s">
        <v>125</v>
      </c>
      <c r="BE53" s="9" t="s">
        <v>126</v>
      </c>
      <c r="BF53" s="9" t="s">
        <v>187</v>
      </c>
      <c r="BG53" s="9" t="s">
        <v>188</v>
      </c>
      <c r="BH53" s="9" t="s">
        <v>129</v>
      </c>
      <c r="BI53" s="9" t="s">
        <v>189</v>
      </c>
      <c r="BJ53" s="8" t="s">
        <v>256</v>
      </c>
      <c r="BK53" s="9" t="s">
        <v>132</v>
      </c>
      <c r="BL53" s="9" t="s">
        <v>133</v>
      </c>
      <c r="BM53" s="9" t="s">
        <v>257</v>
      </c>
      <c r="BN53" s="9" t="s">
        <v>134</v>
      </c>
      <c r="BO53" s="9" t="s">
        <v>134</v>
      </c>
      <c r="BP53" s="9" t="s">
        <v>574</v>
      </c>
      <c r="BQ53" s="8"/>
      <c r="BR53" s="9">
        <f t="shared" si="7"/>
        <v>95568</v>
      </c>
      <c r="BS53" s="8" t="s">
        <v>136</v>
      </c>
      <c r="BT53" s="19"/>
      <c r="BU53" s="9"/>
      <c r="BV53" s="26"/>
      <c r="BW53" s="9"/>
      <c r="BX53" s="9"/>
      <c r="BY53" s="9"/>
      <c r="BZ53" s="27">
        <v>0</v>
      </c>
      <c r="CA53" s="1"/>
      <c r="CB53" s="28" t="s">
        <v>385</v>
      </c>
      <c r="CC53" s="28" t="s">
        <v>575</v>
      </c>
      <c r="CD53" s="9">
        <v>4379100</v>
      </c>
      <c r="CE53" s="9">
        <f t="shared" si="10"/>
        <v>60</v>
      </c>
      <c r="CF53" s="9">
        <f t="shared" si="11"/>
        <v>262746000</v>
      </c>
      <c r="CG53" s="9">
        <v>84480000</v>
      </c>
      <c r="CH53" s="9">
        <v>0</v>
      </c>
      <c r="CI53" s="9">
        <v>104192000</v>
      </c>
      <c r="CJ53" s="29">
        <v>0</v>
      </c>
      <c r="CK53" s="30">
        <v>0.06</v>
      </c>
      <c r="CL53" s="31" t="s">
        <v>576</v>
      </c>
      <c r="CM53" s="56" t="s">
        <v>577</v>
      </c>
      <c r="CN53" s="31"/>
      <c r="CO53" s="27">
        <v>0.03</v>
      </c>
      <c r="CP53" s="22"/>
      <c r="CQ53" s="32">
        <v>0</v>
      </c>
      <c r="CR53" s="32">
        <v>0</v>
      </c>
      <c r="CS53" s="32">
        <v>0</v>
      </c>
      <c r="CT53" s="32">
        <v>0</v>
      </c>
      <c r="CU53" s="32">
        <v>0</v>
      </c>
      <c r="CV53" s="32">
        <v>0</v>
      </c>
      <c r="CW53" s="32">
        <v>0</v>
      </c>
      <c r="CX53" s="32">
        <v>0</v>
      </c>
      <c r="CY53" s="32">
        <v>0</v>
      </c>
      <c r="CZ53" s="32">
        <v>0</v>
      </c>
      <c r="DA53" s="32">
        <v>0</v>
      </c>
      <c r="DB53" s="32" t="str">
        <f t="shared" si="12"/>
        <v>한성</v>
      </c>
      <c r="DC53" s="32" t="s">
        <v>578</v>
      </c>
      <c r="DD53" s="32" t="s">
        <v>579</v>
      </c>
      <c r="DE53" s="32"/>
      <c r="DF53" s="32"/>
      <c r="DG53" s="32"/>
      <c r="DH53" s="32" t="s">
        <v>580</v>
      </c>
      <c r="DI53" s="19" t="s">
        <v>137</v>
      </c>
      <c r="DJ53" s="22">
        <v>0.3</v>
      </c>
      <c r="DK53" s="51">
        <v>0.2</v>
      </c>
      <c r="DL53" s="32"/>
      <c r="DM53" s="20"/>
      <c r="DN53" s="32"/>
      <c r="DO53" s="32"/>
      <c r="DP53" s="22"/>
    </row>
    <row r="54" spans="1:120">
      <c r="A54" s="8">
        <v>52</v>
      </c>
      <c r="B54" s="8" t="s">
        <v>581</v>
      </c>
      <c r="C54" s="34" t="s">
        <v>244</v>
      </c>
      <c r="D54" s="8" t="s">
        <v>582</v>
      </c>
      <c r="E54" s="8" t="s">
        <v>583</v>
      </c>
      <c r="F54" s="8" t="s">
        <v>584</v>
      </c>
      <c r="G54" s="8" t="s">
        <v>113</v>
      </c>
      <c r="H54" s="8" t="s">
        <v>114</v>
      </c>
      <c r="I54" s="9">
        <v>12750000</v>
      </c>
      <c r="J54" s="8">
        <v>2022</v>
      </c>
      <c r="K54" s="10" t="s">
        <v>115</v>
      </c>
      <c r="L54" s="10" t="s">
        <v>116</v>
      </c>
      <c r="M54" s="8" t="s">
        <v>585</v>
      </c>
      <c r="N54" s="55" t="s">
        <v>586</v>
      </c>
      <c r="O54" s="8" t="s">
        <v>119</v>
      </c>
      <c r="P54" s="11">
        <v>998</v>
      </c>
      <c r="Q54" s="12">
        <v>44503</v>
      </c>
      <c r="R54" s="12">
        <v>44566</v>
      </c>
      <c r="S54" s="12">
        <v>44566</v>
      </c>
      <c r="T54" s="14" t="s">
        <v>120</v>
      </c>
      <c r="U54" s="12">
        <f t="shared" si="0"/>
        <v>46391</v>
      </c>
      <c r="V54" s="8">
        <f t="shared" ca="1" si="1"/>
        <v>5</v>
      </c>
      <c r="W54" s="16">
        <v>20000</v>
      </c>
      <c r="X54" s="9" t="s">
        <v>587</v>
      </c>
      <c r="Y54" s="8" t="s">
        <v>588</v>
      </c>
      <c r="Z54" s="9"/>
      <c r="AA54" s="9" t="s">
        <v>589</v>
      </c>
      <c r="AB54" s="12">
        <v>44592</v>
      </c>
      <c r="AC54" s="8">
        <f t="shared" si="4"/>
        <v>1825</v>
      </c>
      <c r="AD54" s="8">
        <f t="shared" ca="1" si="5"/>
        <v>165</v>
      </c>
      <c r="AE54" s="8">
        <f>VLOOKUP($B54, [1]렌트_계약서번호!$B$3:$E$501, 4, FALSE)</f>
        <v>22010001</v>
      </c>
      <c r="AF54" s="18">
        <v>13209603</v>
      </c>
      <c r="AG54" s="9">
        <v>200000</v>
      </c>
      <c r="AH54" s="9">
        <v>12688000</v>
      </c>
      <c r="AI54" s="9">
        <v>0</v>
      </c>
      <c r="AJ54" s="9">
        <v>2000</v>
      </c>
      <c r="AK54" s="9">
        <v>461380</v>
      </c>
      <c r="AL54" s="9">
        <v>0</v>
      </c>
      <c r="AM54" s="9">
        <v>2000</v>
      </c>
      <c r="AN54" s="9">
        <v>27000</v>
      </c>
      <c r="AO54" s="9">
        <v>30000</v>
      </c>
      <c r="AP54" s="9">
        <v>430000</v>
      </c>
      <c r="AQ54" s="9">
        <v>0</v>
      </c>
      <c r="AR54" s="9" t="s">
        <v>122</v>
      </c>
      <c r="AS54" s="9">
        <v>0</v>
      </c>
      <c r="AT54" s="9" t="s">
        <v>123</v>
      </c>
      <c r="AU54" s="9"/>
      <c r="AV54" s="13">
        <f t="shared" si="6"/>
        <v>522380</v>
      </c>
      <c r="AW54" s="13" t="s">
        <v>124</v>
      </c>
      <c r="AX54" s="17">
        <v>44503</v>
      </c>
      <c r="AY54" s="18">
        <v>1153090</v>
      </c>
      <c r="AZ54" s="18">
        <v>1035460</v>
      </c>
      <c r="BA54" s="9"/>
      <c r="BB54" s="9"/>
      <c r="BC54" s="9"/>
      <c r="BD54" s="9" t="s">
        <v>125</v>
      </c>
      <c r="BE54" s="9" t="s">
        <v>126</v>
      </c>
      <c r="BF54" s="9" t="s">
        <v>255</v>
      </c>
      <c r="BG54" s="9" t="s">
        <v>128</v>
      </c>
      <c r="BH54" s="9" t="s">
        <v>129</v>
      </c>
      <c r="BI54" s="9" t="s">
        <v>130</v>
      </c>
      <c r="BJ54" s="8" t="s">
        <v>256</v>
      </c>
      <c r="BK54" s="9" t="s">
        <v>132</v>
      </c>
      <c r="BL54" s="9" t="s">
        <v>133</v>
      </c>
      <c r="BM54" s="9" t="s">
        <v>257</v>
      </c>
      <c r="BN54" s="9" t="s">
        <v>134</v>
      </c>
      <c r="BO54" s="9" t="s">
        <v>134</v>
      </c>
      <c r="BP54" s="9" t="s">
        <v>590</v>
      </c>
      <c r="BQ54" s="8"/>
      <c r="BR54" s="9">
        <f t="shared" si="7"/>
        <v>17964</v>
      </c>
      <c r="BS54" s="8" t="s">
        <v>136</v>
      </c>
      <c r="BT54" s="19"/>
      <c r="BU54" s="9"/>
      <c r="BV54" s="26"/>
      <c r="BW54" s="9"/>
      <c r="BX54" s="9">
        <f t="shared" ref="BX54:BX63" si="16">BW54*BV54</f>
        <v>0</v>
      </c>
      <c r="BY54" s="9">
        <f t="shared" ref="BY54:BY63" si="17">BX54-BU54</f>
        <v>0</v>
      </c>
      <c r="BZ54" s="27">
        <v>0</v>
      </c>
      <c r="CA54" s="1"/>
      <c r="CB54" s="28" t="s">
        <v>504</v>
      </c>
      <c r="CC54" s="28" t="s">
        <v>504</v>
      </c>
      <c r="CD54" s="9">
        <v>365200</v>
      </c>
      <c r="CE54" s="9">
        <f t="shared" si="10"/>
        <v>60</v>
      </c>
      <c r="CF54" s="9">
        <f t="shared" si="11"/>
        <v>21912000</v>
      </c>
      <c r="CG54" s="9">
        <v>3387500</v>
      </c>
      <c r="CH54" s="9"/>
      <c r="CI54" s="9">
        <v>3387500</v>
      </c>
      <c r="CJ54" s="29">
        <v>8.0000000000000002E-3</v>
      </c>
      <c r="CK54" s="30">
        <v>0.06</v>
      </c>
      <c r="CL54" s="31" t="s">
        <v>591</v>
      </c>
      <c r="CM54" s="9"/>
      <c r="CN54" s="9" t="s">
        <v>588</v>
      </c>
      <c r="CO54" s="27">
        <v>0.03</v>
      </c>
      <c r="CP54" s="22"/>
      <c r="CQ54" s="32">
        <v>0</v>
      </c>
      <c r="CR54" s="32">
        <v>0</v>
      </c>
      <c r="CS54" s="32">
        <v>0</v>
      </c>
      <c r="CT54" s="32">
        <v>0</v>
      </c>
      <c r="CU54" s="32">
        <v>0</v>
      </c>
      <c r="CV54" s="32">
        <v>0</v>
      </c>
      <c r="CW54" s="32">
        <v>0</v>
      </c>
      <c r="CX54" s="32">
        <v>0</v>
      </c>
      <c r="CY54" s="32">
        <v>0</v>
      </c>
      <c r="CZ54" s="32">
        <v>0</v>
      </c>
      <c r="DA54" s="32">
        <v>0</v>
      </c>
      <c r="DB54" s="32" t="str">
        <f t="shared" si="12"/>
        <v>기아</v>
      </c>
      <c r="DC54" s="32" t="s">
        <v>260</v>
      </c>
      <c r="DD54" s="32" t="s">
        <v>561</v>
      </c>
      <c r="DE54" s="32"/>
      <c r="DF54" s="32"/>
      <c r="DG54" s="32"/>
      <c r="DH54" s="32" t="s">
        <v>592</v>
      </c>
      <c r="DI54" s="19" t="s">
        <v>137</v>
      </c>
      <c r="DJ54" s="22">
        <v>0.3</v>
      </c>
      <c r="DK54" s="51">
        <v>0.2</v>
      </c>
      <c r="DL54" s="32"/>
      <c r="DM54" s="20"/>
      <c r="DN54" s="32"/>
      <c r="DO54" s="32"/>
      <c r="DP54" s="22"/>
    </row>
    <row r="55" spans="1:120">
      <c r="A55" s="8">
        <v>53</v>
      </c>
      <c r="B55" s="8" t="s">
        <v>593</v>
      </c>
      <c r="C55" s="34" t="s">
        <v>244</v>
      </c>
      <c r="D55" s="8" t="s">
        <v>582</v>
      </c>
      <c r="E55" s="8" t="s">
        <v>583</v>
      </c>
      <c r="F55" s="8" t="s">
        <v>584</v>
      </c>
      <c r="G55" s="8" t="s">
        <v>113</v>
      </c>
      <c r="H55" s="8" t="s">
        <v>114</v>
      </c>
      <c r="I55" s="9">
        <v>12750000</v>
      </c>
      <c r="J55" s="8">
        <v>2022</v>
      </c>
      <c r="K55" s="10" t="s">
        <v>115</v>
      </c>
      <c r="L55" s="10" t="s">
        <v>116</v>
      </c>
      <c r="M55" s="8" t="s">
        <v>594</v>
      </c>
      <c r="N55" s="55" t="s">
        <v>595</v>
      </c>
      <c r="O55" s="8" t="s">
        <v>119</v>
      </c>
      <c r="P55" s="11">
        <v>998</v>
      </c>
      <c r="Q55" s="12">
        <v>44503</v>
      </c>
      <c r="R55" s="12">
        <v>44566</v>
      </c>
      <c r="S55" s="12">
        <v>44566</v>
      </c>
      <c r="T55" s="14" t="s">
        <v>120</v>
      </c>
      <c r="U55" s="12">
        <f t="shared" si="0"/>
        <v>46391</v>
      </c>
      <c r="V55" s="8">
        <f t="shared" ca="1" si="1"/>
        <v>5</v>
      </c>
      <c r="W55" s="16">
        <v>20000</v>
      </c>
      <c r="X55" s="9" t="s">
        <v>587</v>
      </c>
      <c r="Y55" s="8" t="s">
        <v>588</v>
      </c>
      <c r="Z55" s="9"/>
      <c r="AA55" s="9" t="s">
        <v>589</v>
      </c>
      <c r="AB55" s="12">
        <v>44592</v>
      </c>
      <c r="AC55" s="8">
        <f t="shared" si="4"/>
        <v>1825</v>
      </c>
      <c r="AD55" s="8">
        <f t="shared" ca="1" si="5"/>
        <v>165</v>
      </c>
      <c r="AE55" s="8">
        <f>VLOOKUP($B55, [1]렌트_계약서번호!$B$3:$E$501, 4, FALSE)</f>
        <v>22010002</v>
      </c>
      <c r="AF55" s="18">
        <v>13209603</v>
      </c>
      <c r="AG55" s="9">
        <v>200000</v>
      </c>
      <c r="AH55" s="9">
        <v>12688000</v>
      </c>
      <c r="AI55" s="9">
        <v>0</v>
      </c>
      <c r="AJ55" s="9">
        <v>2000</v>
      </c>
      <c r="AK55" s="9">
        <v>461380</v>
      </c>
      <c r="AL55" s="9">
        <v>0</v>
      </c>
      <c r="AM55" s="9">
        <v>2000</v>
      </c>
      <c r="AN55" s="9">
        <v>27000</v>
      </c>
      <c r="AO55" s="9">
        <v>30000</v>
      </c>
      <c r="AP55" s="9">
        <v>430000</v>
      </c>
      <c r="AQ55" s="9">
        <v>0</v>
      </c>
      <c r="AR55" s="9" t="s">
        <v>122</v>
      </c>
      <c r="AS55" s="9">
        <v>0</v>
      </c>
      <c r="AT55" s="9" t="s">
        <v>123</v>
      </c>
      <c r="AU55" s="9"/>
      <c r="AV55" s="13">
        <f t="shared" si="6"/>
        <v>522380</v>
      </c>
      <c r="AW55" s="13" t="s">
        <v>124</v>
      </c>
      <c r="AX55" s="17">
        <v>44503</v>
      </c>
      <c r="AY55" s="18">
        <v>1153090</v>
      </c>
      <c r="AZ55" s="18">
        <v>1035460</v>
      </c>
      <c r="BA55" s="9"/>
      <c r="BB55" s="9"/>
      <c r="BC55" s="9"/>
      <c r="BD55" s="9" t="s">
        <v>125</v>
      </c>
      <c r="BE55" s="9" t="s">
        <v>126</v>
      </c>
      <c r="BF55" s="9" t="s">
        <v>255</v>
      </c>
      <c r="BG55" s="9" t="s">
        <v>128</v>
      </c>
      <c r="BH55" s="9" t="s">
        <v>129</v>
      </c>
      <c r="BI55" s="9" t="s">
        <v>130</v>
      </c>
      <c r="BJ55" s="8" t="s">
        <v>256</v>
      </c>
      <c r="BK55" s="9" t="s">
        <v>132</v>
      </c>
      <c r="BL55" s="9" t="s">
        <v>133</v>
      </c>
      <c r="BM55" s="9" t="s">
        <v>257</v>
      </c>
      <c r="BN55" s="9" t="s">
        <v>134</v>
      </c>
      <c r="BO55" s="9" t="s">
        <v>134</v>
      </c>
      <c r="BP55" s="9" t="s">
        <v>590</v>
      </c>
      <c r="BQ55" s="8"/>
      <c r="BR55" s="9">
        <f t="shared" si="7"/>
        <v>17964</v>
      </c>
      <c r="BS55" s="8" t="s">
        <v>136</v>
      </c>
      <c r="BT55" s="19"/>
      <c r="BU55" s="9"/>
      <c r="BV55" s="26"/>
      <c r="BW55" s="9"/>
      <c r="BX55" s="9">
        <f t="shared" si="16"/>
        <v>0</v>
      </c>
      <c r="BY55" s="9">
        <f t="shared" si="17"/>
        <v>0</v>
      </c>
      <c r="BZ55" s="27">
        <v>0</v>
      </c>
      <c r="CA55" s="1"/>
      <c r="CB55" s="28" t="s">
        <v>504</v>
      </c>
      <c r="CC55" s="28" t="s">
        <v>504</v>
      </c>
      <c r="CD55" s="9">
        <v>365200</v>
      </c>
      <c r="CE55" s="9">
        <f t="shared" si="10"/>
        <v>60</v>
      </c>
      <c r="CF55" s="9">
        <f t="shared" si="11"/>
        <v>21912000</v>
      </c>
      <c r="CG55" s="9">
        <v>3387500</v>
      </c>
      <c r="CH55" s="9"/>
      <c r="CI55" s="9">
        <v>3387500</v>
      </c>
      <c r="CJ55" s="29">
        <v>8.0000000000000002E-3</v>
      </c>
      <c r="CK55" s="30">
        <v>0.06</v>
      </c>
      <c r="CL55" s="31" t="s">
        <v>591</v>
      </c>
      <c r="CM55" s="9"/>
      <c r="CN55" s="9"/>
      <c r="CO55" s="27">
        <v>0.03</v>
      </c>
      <c r="CP55" s="22"/>
      <c r="CQ55" s="32">
        <v>0</v>
      </c>
      <c r="CR55" s="32">
        <v>0</v>
      </c>
      <c r="CS55" s="32">
        <v>0</v>
      </c>
      <c r="CT55" s="32">
        <v>0</v>
      </c>
      <c r="CU55" s="32">
        <v>0</v>
      </c>
      <c r="CV55" s="32">
        <v>0</v>
      </c>
      <c r="CW55" s="32">
        <v>0</v>
      </c>
      <c r="CX55" s="32">
        <v>0</v>
      </c>
      <c r="CY55" s="32">
        <v>0</v>
      </c>
      <c r="CZ55" s="32">
        <v>0</v>
      </c>
      <c r="DA55" s="32">
        <v>0</v>
      </c>
      <c r="DB55" s="32" t="str">
        <f t="shared" si="12"/>
        <v>기아</v>
      </c>
      <c r="DC55" s="32" t="s">
        <v>260</v>
      </c>
      <c r="DD55" s="32" t="s">
        <v>561</v>
      </c>
      <c r="DE55" s="32"/>
      <c r="DF55" s="32"/>
      <c r="DG55" s="32"/>
      <c r="DH55" s="32" t="s">
        <v>592</v>
      </c>
      <c r="DI55" s="19" t="s">
        <v>137</v>
      </c>
      <c r="DJ55" s="22">
        <v>0.3</v>
      </c>
      <c r="DK55" s="51">
        <v>0.2</v>
      </c>
      <c r="DL55" s="32"/>
      <c r="DM55" s="20"/>
      <c r="DN55" s="32"/>
      <c r="DO55" s="32"/>
      <c r="DP55" s="22"/>
    </row>
    <row r="56" spans="1:120">
      <c r="A56" s="8">
        <v>54</v>
      </c>
      <c r="B56" s="8" t="s">
        <v>596</v>
      </c>
      <c r="C56" s="8" t="s">
        <v>208</v>
      </c>
      <c r="D56" s="8" t="s">
        <v>597</v>
      </c>
      <c r="E56" s="8" t="s">
        <v>598</v>
      </c>
      <c r="F56" s="8" t="s">
        <v>599</v>
      </c>
      <c r="G56" s="8" t="s">
        <v>248</v>
      </c>
      <c r="H56" s="8" t="s">
        <v>114</v>
      </c>
      <c r="I56" s="9">
        <v>12750000</v>
      </c>
      <c r="J56" s="8">
        <v>2022</v>
      </c>
      <c r="K56" s="10" t="s">
        <v>115</v>
      </c>
      <c r="L56" s="10" t="s">
        <v>116</v>
      </c>
      <c r="M56" s="8" t="s">
        <v>600</v>
      </c>
      <c r="N56" s="55" t="s">
        <v>601</v>
      </c>
      <c r="O56" s="8" t="s">
        <v>119</v>
      </c>
      <c r="P56" s="11">
        <v>998</v>
      </c>
      <c r="Q56" s="12">
        <v>44503</v>
      </c>
      <c r="R56" s="12">
        <v>44568</v>
      </c>
      <c r="S56" s="12">
        <v>44568</v>
      </c>
      <c r="T56" s="14" t="s">
        <v>397</v>
      </c>
      <c r="U56" s="12">
        <f t="shared" si="0"/>
        <v>45663</v>
      </c>
      <c r="V56" s="8" t="str">
        <f t="shared" ca="1" si="1"/>
        <v>-</v>
      </c>
      <c r="W56" s="16">
        <v>20000</v>
      </c>
      <c r="X56" s="9" t="s">
        <v>602</v>
      </c>
      <c r="Y56" s="8" t="s">
        <v>603</v>
      </c>
      <c r="Z56" s="9"/>
      <c r="AA56" s="9" t="s">
        <v>604</v>
      </c>
      <c r="AB56" s="12">
        <v>44586</v>
      </c>
      <c r="AC56" s="8">
        <f t="shared" si="4"/>
        <v>1095</v>
      </c>
      <c r="AD56" s="8">
        <f t="shared" ca="1" si="5"/>
        <v>-563</v>
      </c>
      <c r="AE56" s="8">
        <f>VLOOKUP($B56, [1]렌트_계약서번호!$B$3:$E$501, 4, FALSE)</f>
        <v>22010003</v>
      </c>
      <c r="AF56" s="18">
        <v>13209603</v>
      </c>
      <c r="AG56" s="9">
        <v>200000</v>
      </c>
      <c r="AH56" s="9">
        <v>12688000</v>
      </c>
      <c r="AI56" s="9">
        <v>0</v>
      </c>
      <c r="AJ56" s="9">
        <v>2000</v>
      </c>
      <c r="AK56" s="9">
        <v>461380</v>
      </c>
      <c r="AL56" s="9">
        <v>0</v>
      </c>
      <c r="AM56" s="9">
        <v>2000</v>
      </c>
      <c r="AN56" s="9">
        <v>27000</v>
      </c>
      <c r="AO56" s="9">
        <v>30000</v>
      </c>
      <c r="AP56" s="9">
        <v>430000</v>
      </c>
      <c r="AQ56" s="9">
        <v>0</v>
      </c>
      <c r="AR56" s="9" t="s">
        <v>122</v>
      </c>
      <c r="AS56" s="9">
        <v>0</v>
      </c>
      <c r="AT56" s="9" t="s">
        <v>123</v>
      </c>
      <c r="AU56" s="9"/>
      <c r="AV56" s="13">
        <f t="shared" si="6"/>
        <v>522380</v>
      </c>
      <c r="AW56" s="13" t="s">
        <v>124</v>
      </c>
      <c r="AX56" s="17">
        <v>44503</v>
      </c>
      <c r="AY56" s="18">
        <v>1153090</v>
      </c>
      <c r="AZ56" s="18">
        <v>1035460</v>
      </c>
      <c r="BA56" s="9"/>
      <c r="BB56" s="9"/>
      <c r="BC56" s="9"/>
      <c r="BD56" s="9" t="s">
        <v>125</v>
      </c>
      <c r="BE56" s="9" t="s">
        <v>126</v>
      </c>
      <c r="BF56" s="9" t="s">
        <v>255</v>
      </c>
      <c r="BG56" s="9" t="s">
        <v>128</v>
      </c>
      <c r="BH56" s="9" t="s">
        <v>129</v>
      </c>
      <c r="BI56" s="9" t="s">
        <v>130</v>
      </c>
      <c r="BJ56" s="8" t="s">
        <v>256</v>
      </c>
      <c r="BK56" s="9" t="s">
        <v>132</v>
      </c>
      <c r="BL56" s="9" t="s">
        <v>133</v>
      </c>
      <c r="BM56" s="9" t="s">
        <v>257</v>
      </c>
      <c r="BN56" s="9" t="s">
        <v>134</v>
      </c>
      <c r="BO56" s="9" t="s">
        <v>134</v>
      </c>
      <c r="BP56" s="9" t="s">
        <v>590</v>
      </c>
      <c r="BQ56" s="8"/>
      <c r="BR56" s="9">
        <f t="shared" si="7"/>
        <v>17964</v>
      </c>
      <c r="BS56" s="8" t="s">
        <v>136</v>
      </c>
      <c r="BT56" s="19"/>
      <c r="BU56" s="9"/>
      <c r="BV56" s="26"/>
      <c r="BW56" s="9"/>
      <c r="BX56" s="9">
        <f t="shared" si="16"/>
        <v>0</v>
      </c>
      <c r="BY56" s="9">
        <f t="shared" si="17"/>
        <v>0</v>
      </c>
      <c r="BZ56" s="27">
        <v>0</v>
      </c>
      <c r="CA56" s="1"/>
      <c r="CB56" s="28" t="s">
        <v>385</v>
      </c>
      <c r="CC56" s="28" t="s">
        <v>385</v>
      </c>
      <c r="CD56" s="9">
        <v>393700</v>
      </c>
      <c r="CE56" s="9">
        <f t="shared" si="10"/>
        <v>36</v>
      </c>
      <c r="CF56" s="9">
        <f t="shared" si="11"/>
        <v>14173200</v>
      </c>
      <c r="CG56" s="9">
        <v>3825000</v>
      </c>
      <c r="CH56" s="9"/>
      <c r="CI56" s="9">
        <v>4065000</v>
      </c>
      <c r="CJ56" s="29">
        <v>-0.02</v>
      </c>
      <c r="CK56" s="30">
        <v>0.04</v>
      </c>
      <c r="CL56" s="31" t="s">
        <v>605</v>
      </c>
      <c r="CM56" s="9"/>
      <c r="CN56" s="9"/>
      <c r="CO56" s="27">
        <v>0.03</v>
      </c>
      <c r="CP56" s="22"/>
      <c r="CQ56" s="32">
        <v>0</v>
      </c>
      <c r="CR56" s="32">
        <v>0</v>
      </c>
      <c r="CS56" s="32">
        <v>0</v>
      </c>
      <c r="CT56" s="32">
        <v>0</v>
      </c>
      <c r="CU56" s="32">
        <v>0</v>
      </c>
      <c r="CV56" s="32">
        <v>0</v>
      </c>
      <c r="CW56" s="32">
        <v>0</v>
      </c>
      <c r="CX56" s="32">
        <v>0</v>
      </c>
      <c r="CY56" s="32">
        <v>0</v>
      </c>
      <c r="CZ56" s="32">
        <v>0</v>
      </c>
      <c r="DA56" s="32">
        <v>0</v>
      </c>
      <c r="DB56" s="32" t="str">
        <f t="shared" si="12"/>
        <v>기아</v>
      </c>
      <c r="DC56" s="32" t="s">
        <v>260</v>
      </c>
      <c r="DD56" s="32" t="s">
        <v>561</v>
      </c>
      <c r="DE56" s="32"/>
      <c r="DF56" s="32"/>
      <c r="DG56" s="32"/>
      <c r="DH56" s="32" t="s">
        <v>606</v>
      </c>
      <c r="DI56" s="19" t="s">
        <v>137</v>
      </c>
      <c r="DJ56" s="22">
        <v>0.3</v>
      </c>
      <c r="DK56" s="51">
        <v>0.2</v>
      </c>
      <c r="DL56" s="32"/>
      <c r="DM56" s="20"/>
      <c r="DN56" s="32"/>
      <c r="DO56" s="32"/>
      <c r="DP56" s="22"/>
    </row>
    <row r="57" spans="1:120">
      <c r="A57" s="8">
        <v>55</v>
      </c>
      <c r="B57" s="8" t="s">
        <v>607</v>
      </c>
      <c r="C57" s="34" t="s">
        <v>244</v>
      </c>
      <c r="D57" s="8" t="s">
        <v>608</v>
      </c>
      <c r="E57" s="8" t="s">
        <v>246</v>
      </c>
      <c r="F57" s="8" t="s">
        <v>247</v>
      </c>
      <c r="G57" s="8" t="s">
        <v>248</v>
      </c>
      <c r="H57" s="8" t="s">
        <v>114</v>
      </c>
      <c r="I57" s="9">
        <v>12750000</v>
      </c>
      <c r="J57" s="8">
        <v>2022</v>
      </c>
      <c r="K57" s="10" t="s">
        <v>115</v>
      </c>
      <c r="L57" s="10" t="s">
        <v>116</v>
      </c>
      <c r="M57" s="8" t="s">
        <v>609</v>
      </c>
      <c r="N57" s="55" t="s">
        <v>610</v>
      </c>
      <c r="O57" s="8" t="s">
        <v>119</v>
      </c>
      <c r="P57" s="11">
        <v>998</v>
      </c>
      <c r="Q57" s="12">
        <v>44503</v>
      </c>
      <c r="R57" s="12">
        <v>44596</v>
      </c>
      <c r="S57" s="12">
        <v>44596</v>
      </c>
      <c r="T57" s="14" t="s">
        <v>120</v>
      </c>
      <c r="U57" s="12">
        <f t="shared" si="0"/>
        <v>46421</v>
      </c>
      <c r="V57" s="8">
        <f t="shared" ca="1" si="1"/>
        <v>6</v>
      </c>
      <c r="W57" s="16">
        <v>20000</v>
      </c>
      <c r="X57" s="9" t="s">
        <v>611</v>
      </c>
      <c r="Y57" s="9" t="s">
        <v>612</v>
      </c>
      <c r="Z57" s="9" t="s">
        <v>613</v>
      </c>
      <c r="AA57" s="9" t="s">
        <v>614</v>
      </c>
      <c r="AB57" s="12">
        <v>44625</v>
      </c>
      <c r="AC57" s="8">
        <f t="shared" si="4"/>
        <v>1825</v>
      </c>
      <c r="AD57" s="8">
        <f t="shared" ca="1" si="5"/>
        <v>195</v>
      </c>
      <c r="AE57" s="8">
        <f>VLOOKUP($B57, [1]렌트_계약서번호!$B$3:$E$501, 4, FALSE)</f>
        <v>22020008</v>
      </c>
      <c r="AF57" s="9">
        <v>13209603</v>
      </c>
      <c r="AG57" s="9">
        <v>200000</v>
      </c>
      <c r="AH57" s="9">
        <v>12688000</v>
      </c>
      <c r="AI57" s="9">
        <v>0</v>
      </c>
      <c r="AJ57" s="9">
        <v>2000</v>
      </c>
      <c r="AK57" s="9">
        <v>461380</v>
      </c>
      <c r="AL57" s="9">
        <v>0</v>
      </c>
      <c r="AM57" s="9">
        <v>2000</v>
      </c>
      <c r="AN57" s="9">
        <v>27000</v>
      </c>
      <c r="AO57" s="9">
        <v>30000</v>
      </c>
      <c r="AP57" s="9">
        <v>430000</v>
      </c>
      <c r="AQ57" s="9">
        <v>0</v>
      </c>
      <c r="AR57" s="9" t="s">
        <v>122</v>
      </c>
      <c r="AS57" s="9">
        <v>0</v>
      </c>
      <c r="AT57" s="9" t="s">
        <v>123</v>
      </c>
      <c r="AU57" s="9"/>
      <c r="AV57" s="57">
        <f t="shared" si="6"/>
        <v>522380</v>
      </c>
      <c r="AW57" s="8" t="s">
        <v>124</v>
      </c>
      <c r="AX57" s="17">
        <v>44503</v>
      </c>
      <c r="AY57" s="9">
        <v>1153090</v>
      </c>
      <c r="AZ57" s="58">
        <v>1035460</v>
      </c>
      <c r="BA57" s="9"/>
      <c r="BB57" s="9"/>
      <c r="BC57" s="9"/>
      <c r="BD57" s="9" t="s">
        <v>125</v>
      </c>
      <c r="BE57" s="9" t="s">
        <v>126</v>
      </c>
      <c r="BF57" s="9" t="s">
        <v>255</v>
      </c>
      <c r="BG57" s="9" t="s">
        <v>128</v>
      </c>
      <c r="BH57" s="9" t="s">
        <v>129</v>
      </c>
      <c r="BI57" s="9" t="s">
        <v>130</v>
      </c>
      <c r="BJ57" s="8" t="s">
        <v>256</v>
      </c>
      <c r="BK57" s="9" t="s">
        <v>132</v>
      </c>
      <c r="BL57" s="9" t="s">
        <v>133</v>
      </c>
      <c r="BM57" s="9" t="s">
        <v>257</v>
      </c>
      <c r="BN57" s="9" t="s">
        <v>134</v>
      </c>
      <c r="BO57" s="9" t="s">
        <v>134</v>
      </c>
      <c r="BP57" s="9" t="s">
        <v>590</v>
      </c>
      <c r="BQ57" s="8"/>
      <c r="BR57" s="9">
        <f t="shared" si="7"/>
        <v>17964</v>
      </c>
      <c r="BS57" s="8" t="s">
        <v>136</v>
      </c>
      <c r="BT57" s="19"/>
      <c r="BU57" s="9"/>
      <c r="BV57" s="26"/>
      <c r="BW57" s="9"/>
      <c r="BX57" s="9">
        <f t="shared" si="16"/>
        <v>0</v>
      </c>
      <c r="BY57" s="9">
        <f t="shared" si="17"/>
        <v>0</v>
      </c>
      <c r="BZ57" s="27">
        <v>0</v>
      </c>
      <c r="CA57" s="1"/>
      <c r="CB57" s="28" t="s">
        <v>120</v>
      </c>
      <c r="CC57" s="28" t="s">
        <v>120</v>
      </c>
      <c r="CD57" s="9">
        <v>330900</v>
      </c>
      <c r="CE57" s="9">
        <f t="shared" si="10"/>
        <v>60</v>
      </c>
      <c r="CF57" s="9">
        <f t="shared" si="11"/>
        <v>19854000</v>
      </c>
      <c r="CG57" s="9"/>
      <c r="CH57" s="9"/>
      <c r="CI57" s="9">
        <v>2506900</v>
      </c>
      <c r="CJ57" s="29">
        <v>-1.2E-2</v>
      </c>
      <c r="CK57" s="30">
        <v>0.04</v>
      </c>
      <c r="CL57" s="31" t="s">
        <v>259</v>
      </c>
      <c r="CM57" s="9"/>
      <c r="CN57" s="9"/>
      <c r="CO57" s="27">
        <v>0.03</v>
      </c>
      <c r="CP57" s="22"/>
      <c r="CQ57" s="32">
        <v>0</v>
      </c>
      <c r="CR57" s="32">
        <v>0</v>
      </c>
      <c r="CS57" s="32">
        <v>0</v>
      </c>
      <c r="CT57" s="32">
        <v>0</v>
      </c>
      <c r="CU57" s="32">
        <v>0</v>
      </c>
      <c r="CV57" s="32">
        <v>0</v>
      </c>
      <c r="CW57" s="32">
        <v>0</v>
      </c>
      <c r="CX57" s="32">
        <v>0</v>
      </c>
      <c r="CY57" s="32">
        <v>0</v>
      </c>
      <c r="CZ57" s="32">
        <v>0</v>
      </c>
      <c r="DA57" s="32">
        <v>0</v>
      </c>
      <c r="DB57" s="32" t="str">
        <f t="shared" si="12"/>
        <v>기아</v>
      </c>
      <c r="DC57" s="32" t="s">
        <v>260</v>
      </c>
      <c r="DD57" s="32" t="s">
        <v>561</v>
      </c>
      <c r="DE57" s="32"/>
      <c r="DF57" s="32"/>
      <c r="DG57" s="32"/>
      <c r="DH57" s="32" t="s">
        <v>261</v>
      </c>
      <c r="DI57" s="19" t="s">
        <v>137</v>
      </c>
      <c r="DJ57" s="22">
        <v>0.3</v>
      </c>
      <c r="DK57" s="51">
        <v>0.2</v>
      </c>
      <c r="DL57" s="32"/>
      <c r="DM57" s="20"/>
      <c r="DN57" s="32"/>
      <c r="DO57" s="32"/>
      <c r="DP57" s="22"/>
    </row>
    <row r="58" spans="1:120">
      <c r="A58" s="8">
        <v>56</v>
      </c>
      <c r="B58" s="8" t="s">
        <v>615</v>
      </c>
      <c r="C58" s="34" t="s">
        <v>244</v>
      </c>
      <c r="D58" s="8" t="s">
        <v>616</v>
      </c>
      <c r="E58" s="8" t="s">
        <v>246</v>
      </c>
      <c r="F58" s="8" t="s">
        <v>247</v>
      </c>
      <c r="G58" s="8" t="s">
        <v>248</v>
      </c>
      <c r="H58" s="8" t="s">
        <v>114</v>
      </c>
      <c r="I58" s="9">
        <v>12750000</v>
      </c>
      <c r="J58" s="8">
        <v>2022</v>
      </c>
      <c r="K58" s="10" t="s">
        <v>115</v>
      </c>
      <c r="L58" s="10" t="s">
        <v>116</v>
      </c>
      <c r="M58" s="8" t="s">
        <v>617</v>
      </c>
      <c r="N58" s="55" t="s">
        <v>618</v>
      </c>
      <c r="O58" s="8" t="s">
        <v>119</v>
      </c>
      <c r="P58" s="11">
        <v>998</v>
      </c>
      <c r="Q58" s="12">
        <v>44503</v>
      </c>
      <c r="R58" s="12">
        <v>44596</v>
      </c>
      <c r="S58" s="12">
        <v>44596</v>
      </c>
      <c r="T58" s="14" t="s">
        <v>120</v>
      </c>
      <c r="U58" s="12">
        <f t="shared" si="0"/>
        <v>46421</v>
      </c>
      <c r="V58" s="8">
        <f t="shared" ca="1" si="1"/>
        <v>6</v>
      </c>
      <c r="W58" s="16">
        <v>20000</v>
      </c>
      <c r="X58" s="9" t="s">
        <v>619</v>
      </c>
      <c r="Y58" s="9" t="s">
        <v>620</v>
      </c>
      <c r="Z58" s="9" t="s">
        <v>621</v>
      </c>
      <c r="AA58" s="9" t="s">
        <v>622</v>
      </c>
      <c r="AB58" s="12">
        <v>44625</v>
      </c>
      <c r="AC58" s="8">
        <f t="shared" si="4"/>
        <v>1825</v>
      </c>
      <c r="AD58" s="8">
        <f t="shared" ca="1" si="5"/>
        <v>195</v>
      </c>
      <c r="AE58" s="8">
        <f>VLOOKUP($B58, [1]렌트_계약서번호!$B$3:$E$501, 4, FALSE)</f>
        <v>22020010</v>
      </c>
      <c r="AF58" s="9">
        <v>13209603</v>
      </c>
      <c r="AG58" s="9">
        <v>200000</v>
      </c>
      <c r="AH58" s="9">
        <v>12688000</v>
      </c>
      <c r="AI58" s="9">
        <v>0</v>
      </c>
      <c r="AJ58" s="9">
        <v>2000</v>
      </c>
      <c r="AK58" s="9">
        <v>461380</v>
      </c>
      <c r="AL58" s="9">
        <v>0</v>
      </c>
      <c r="AM58" s="9">
        <v>2000</v>
      </c>
      <c r="AN58" s="9">
        <v>27000</v>
      </c>
      <c r="AO58" s="9">
        <v>30000</v>
      </c>
      <c r="AP58" s="9">
        <v>430000</v>
      </c>
      <c r="AQ58" s="9">
        <v>0</v>
      </c>
      <c r="AR58" s="9" t="s">
        <v>122</v>
      </c>
      <c r="AS58" s="9">
        <v>0</v>
      </c>
      <c r="AT58" s="9" t="s">
        <v>123</v>
      </c>
      <c r="AU58" s="9"/>
      <c r="AV58" s="57">
        <f t="shared" si="6"/>
        <v>522380</v>
      </c>
      <c r="AW58" s="8" t="s">
        <v>124</v>
      </c>
      <c r="AX58" s="17">
        <v>44503</v>
      </c>
      <c r="AY58" s="9">
        <v>1153090</v>
      </c>
      <c r="AZ58" s="9">
        <f>1035460</f>
        <v>1035460</v>
      </c>
      <c r="BA58" s="9"/>
      <c r="BB58" s="9"/>
      <c r="BC58" s="9"/>
      <c r="BD58" s="9" t="s">
        <v>125</v>
      </c>
      <c r="BE58" s="9" t="s">
        <v>126</v>
      </c>
      <c r="BF58" s="9" t="s">
        <v>255</v>
      </c>
      <c r="BG58" s="9" t="s">
        <v>128</v>
      </c>
      <c r="BH58" s="9" t="s">
        <v>129</v>
      </c>
      <c r="BI58" s="9" t="s">
        <v>130</v>
      </c>
      <c r="BJ58" s="8" t="s">
        <v>256</v>
      </c>
      <c r="BK58" s="9" t="s">
        <v>132</v>
      </c>
      <c r="BL58" s="9" t="s">
        <v>133</v>
      </c>
      <c r="BM58" s="9" t="s">
        <v>257</v>
      </c>
      <c r="BN58" s="9" t="s">
        <v>134</v>
      </c>
      <c r="BO58" s="9" t="s">
        <v>134</v>
      </c>
      <c r="BP58" s="9" t="s">
        <v>590</v>
      </c>
      <c r="BQ58" s="8"/>
      <c r="BR58" s="9">
        <f t="shared" si="7"/>
        <v>17964</v>
      </c>
      <c r="BS58" s="8" t="s">
        <v>136</v>
      </c>
      <c r="BT58" s="19"/>
      <c r="BU58" s="9"/>
      <c r="BV58" s="26"/>
      <c r="BW58" s="9"/>
      <c r="BX58" s="9">
        <f t="shared" si="16"/>
        <v>0</v>
      </c>
      <c r="BY58" s="9">
        <f t="shared" si="17"/>
        <v>0</v>
      </c>
      <c r="BZ58" s="27">
        <v>0</v>
      </c>
      <c r="CA58" s="1"/>
      <c r="CB58" s="28" t="s">
        <v>120</v>
      </c>
      <c r="CC58" s="28" t="s">
        <v>120</v>
      </c>
      <c r="CD58" s="9">
        <v>330900</v>
      </c>
      <c r="CE58" s="9">
        <f t="shared" si="10"/>
        <v>60</v>
      </c>
      <c r="CF58" s="9">
        <f t="shared" si="11"/>
        <v>19854000</v>
      </c>
      <c r="CG58" s="9"/>
      <c r="CH58" s="9"/>
      <c r="CI58" s="9">
        <v>2506900</v>
      </c>
      <c r="CJ58" s="29">
        <v>-1.2E-2</v>
      </c>
      <c r="CK58" s="30">
        <v>0.04</v>
      </c>
      <c r="CL58" s="31" t="s">
        <v>259</v>
      </c>
      <c r="CM58" s="9"/>
      <c r="CN58" s="9"/>
      <c r="CO58" s="27">
        <v>0.03</v>
      </c>
      <c r="CP58" s="22"/>
      <c r="CQ58" s="32">
        <v>0</v>
      </c>
      <c r="CR58" s="32">
        <v>0</v>
      </c>
      <c r="CS58" s="32">
        <v>0</v>
      </c>
      <c r="CT58" s="32">
        <v>0</v>
      </c>
      <c r="CU58" s="32">
        <v>0</v>
      </c>
      <c r="CV58" s="32">
        <v>0</v>
      </c>
      <c r="CW58" s="32">
        <v>0</v>
      </c>
      <c r="CX58" s="32">
        <v>0</v>
      </c>
      <c r="CY58" s="32">
        <v>0</v>
      </c>
      <c r="CZ58" s="32">
        <v>0</v>
      </c>
      <c r="DA58" s="32">
        <v>0</v>
      </c>
      <c r="DB58" s="32" t="str">
        <f t="shared" si="12"/>
        <v>기아</v>
      </c>
      <c r="DC58" s="32" t="s">
        <v>260</v>
      </c>
      <c r="DD58" s="32" t="s">
        <v>561</v>
      </c>
      <c r="DE58" s="32"/>
      <c r="DF58" s="32"/>
      <c r="DG58" s="32"/>
      <c r="DH58" s="32" t="s">
        <v>261</v>
      </c>
      <c r="DI58" s="19" t="s">
        <v>137</v>
      </c>
      <c r="DJ58" s="22">
        <v>0.3</v>
      </c>
      <c r="DK58" s="51">
        <v>0.2</v>
      </c>
      <c r="DL58" s="32"/>
      <c r="DM58" s="20"/>
      <c r="DN58" s="32"/>
      <c r="DO58" s="32"/>
      <c r="DP58" s="22"/>
    </row>
    <row r="59" spans="1:120">
      <c r="A59" s="8">
        <v>57</v>
      </c>
      <c r="B59" s="8" t="s">
        <v>623</v>
      </c>
      <c r="C59" s="34" t="s">
        <v>244</v>
      </c>
      <c r="D59" s="8" t="s">
        <v>624</v>
      </c>
      <c r="E59" s="8" t="s">
        <v>246</v>
      </c>
      <c r="F59" s="8" t="s">
        <v>247</v>
      </c>
      <c r="G59" s="8" t="s">
        <v>248</v>
      </c>
      <c r="H59" s="8" t="s">
        <v>114</v>
      </c>
      <c r="I59" s="9">
        <v>12750000</v>
      </c>
      <c r="J59" s="8">
        <v>2022</v>
      </c>
      <c r="K59" s="10" t="s">
        <v>115</v>
      </c>
      <c r="L59" s="10" t="s">
        <v>116</v>
      </c>
      <c r="M59" s="8" t="s">
        <v>625</v>
      </c>
      <c r="N59" s="55" t="s">
        <v>626</v>
      </c>
      <c r="O59" s="8" t="s">
        <v>119</v>
      </c>
      <c r="P59" s="11">
        <v>998</v>
      </c>
      <c r="Q59" s="12">
        <v>44503</v>
      </c>
      <c r="R59" s="12">
        <v>44596</v>
      </c>
      <c r="S59" s="12">
        <v>44596</v>
      </c>
      <c r="T59" s="14" t="s">
        <v>120</v>
      </c>
      <c r="U59" s="12">
        <f t="shared" si="0"/>
        <v>46421</v>
      </c>
      <c r="V59" s="8">
        <f t="shared" ca="1" si="1"/>
        <v>6</v>
      </c>
      <c r="W59" s="16">
        <v>20000</v>
      </c>
      <c r="X59" s="9" t="s">
        <v>619</v>
      </c>
      <c r="Y59" s="9" t="s">
        <v>620</v>
      </c>
      <c r="Z59" s="9" t="s">
        <v>621</v>
      </c>
      <c r="AA59" s="9" t="s">
        <v>622</v>
      </c>
      <c r="AB59" s="12">
        <v>44625</v>
      </c>
      <c r="AC59" s="8">
        <f t="shared" si="4"/>
        <v>1825</v>
      </c>
      <c r="AD59" s="8">
        <f t="shared" ca="1" si="5"/>
        <v>195</v>
      </c>
      <c r="AE59" s="8">
        <f>VLOOKUP($B59, [1]렌트_계약서번호!$B$3:$E$501, 4, FALSE)</f>
        <v>22020011</v>
      </c>
      <c r="AF59" s="9">
        <v>13209603</v>
      </c>
      <c r="AG59" s="9">
        <v>200000</v>
      </c>
      <c r="AH59" s="9">
        <v>12688000</v>
      </c>
      <c r="AI59" s="9">
        <v>0</v>
      </c>
      <c r="AJ59" s="9">
        <v>2000</v>
      </c>
      <c r="AK59" s="9">
        <v>461380</v>
      </c>
      <c r="AL59" s="9">
        <v>0</v>
      </c>
      <c r="AM59" s="9">
        <v>2000</v>
      </c>
      <c r="AN59" s="9">
        <v>27000</v>
      </c>
      <c r="AO59" s="9">
        <v>30000</v>
      </c>
      <c r="AP59" s="9">
        <v>430000</v>
      </c>
      <c r="AQ59" s="9">
        <v>0</v>
      </c>
      <c r="AR59" s="9" t="s">
        <v>122</v>
      </c>
      <c r="AS59" s="9">
        <v>0</v>
      </c>
      <c r="AT59" s="9" t="s">
        <v>123</v>
      </c>
      <c r="AU59" s="9"/>
      <c r="AV59" s="57">
        <f t="shared" si="6"/>
        <v>522380</v>
      </c>
      <c r="AW59" s="8" t="s">
        <v>124</v>
      </c>
      <c r="AX59" s="17">
        <v>44503</v>
      </c>
      <c r="AY59" s="9">
        <v>1153090</v>
      </c>
      <c r="AZ59" s="9">
        <v>1035460</v>
      </c>
      <c r="BA59" s="9"/>
      <c r="BB59" s="9"/>
      <c r="BC59" s="9"/>
      <c r="BD59" s="9" t="s">
        <v>125</v>
      </c>
      <c r="BE59" s="9" t="s">
        <v>126</v>
      </c>
      <c r="BF59" s="9" t="s">
        <v>255</v>
      </c>
      <c r="BG59" s="9" t="s">
        <v>128</v>
      </c>
      <c r="BH59" s="9" t="s">
        <v>129</v>
      </c>
      <c r="BI59" s="9" t="s">
        <v>130</v>
      </c>
      <c r="BJ59" s="8" t="s">
        <v>256</v>
      </c>
      <c r="BK59" s="9" t="s">
        <v>132</v>
      </c>
      <c r="BL59" s="9" t="s">
        <v>133</v>
      </c>
      <c r="BM59" s="9" t="s">
        <v>257</v>
      </c>
      <c r="BN59" s="9" t="s">
        <v>134</v>
      </c>
      <c r="BO59" s="9" t="s">
        <v>134</v>
      </c>
      <c r="BP59" s="9" t="s">
        <v>590</v>
      </c>
      <c r="BQ59" s="8"/>
      <c r="BR59" s="9">
        <f t="shared" si="7"/>
        <v>17964</v>
      </c>
      <c r="BS59" s="8" t="s">
        <v>136</v>
      </c>
      <c r="BT59" s="19"/>
      <c r="BU59" s="9"/>
      <c r="BV59" s="26"/>
      <c r="BW59" s="9"/>
      <c r="BX59" s="9">
        <f t="shared" si="16"/>
        <v>0</v>
      </c>
      <c r="BY59" s="9">
        <f t="shared" si="17"/>
        <v>0</v>
      </c>
      <c r="BZ59" s="27">
        <v>0</v>
      </c>
      <c r="CA59" s="1"/>
      <c r="CB59" s="28" t="s">
        <v>120</v>
      </c>
      <c r="CC59" s="28" t="s">
        <v>120</v>
      </c>
      <c r="CD59" s="9">
        <v>330900</v>
      </c>
      <c r="CE59" s="9">
        <f t="shared" si="10"/>
        <v>60</v>
      </c>
      <c r="CF59" s="9">
        <f t="shared" si="11"/>
        <v>19854000</v>
      </c>
      <c r="CG59" s="9"/>
      <c r="CH59" s="9"/>
      <c r="CI59" s="9">
        <v>2506900</v>
      </c>
      <c r="CJ59" s="29">
        <v>-1.2E-2</v>
      </c>
      <c r="CK59" s="30">
        <v>0.04</v>
      </c>
      <c r="CL59" s="31" t="s">
        <v>259</v>
      </c>
      <c r="CM59" s="9"/>
      <c r="CN59" s="9"/>
      <c r="CO59" s="27">
        <v>0.03</v>
      </c>
      <c r="CP59" s="22"/>
      <c r="CQ59" s="32">
        <v>0</v>
      </c>
      <c r="CR59" s="32">
        <v>0</v>
      </c>
      <c r="CS59" s="32">
        <v>0</v>
      </c>
      <c r="CT59" s="32">
        <v>0</v>
      </c>
      <c r="CU59" s="32">
        <v>0</v>
      </c>
      <c r="CV59" s="32">
        <v>0</v>
      </c>
      <c r="CW59" s="32">
        <v>0</v>
      </c>
      <c r="CX59" s="32">
        <v>0</v>
      </c>
      <c r="CY59" s="32">
        <v>0</v>
      </c>
      <c r="CZ59" s="32">
        <v>0</v>
      </c>
      <c r="DA59" s="32">
        <v>0</v>
      </c>
      <c r="DB59" s="32" t="str">
        <f t="shared" si="12"/>
        <v>기아</v>
      </c>
      <c r="DC59" s="32" t="s">
        <v>260</v>
      </c>
      <c r="DD59" s="32" t="s">
        <v>561</v>
      </c>
      <c r="DE59" s="32"/>
      <c r="DF59" s="32"/>
      <c r="DG59" s="32"/>
      <c r="DH59" s="32" t="s">
        <v>261</v>
      </c>
      <c r="DI59" s="19" t="s">
        <v>137</v>
      </c>
      <c r="DJ59" s="22">
        <v>0.3</v>
      </c>
      <c r="DK59" s="51">
        <v>0.2</v>
      </c>
      <c r="DL59" s="32"/>
      <c r="DM59" s="20"/>
      <c r="DN59" s="32"/>
      <c r="DO59" s="32"/>
      <c r="DP59" s="22"/>
    </row>
    <row r="60" spans="1:120">
      <c r="A60" s="8">
        <v>58</v>
      </c>
      <c r="B60" s="8" t="s">
        <v>627</v>
      </c>
      <c r="C60" s="34" t="s">
        <v>244</v>
      </c>
      <c r="D60" s="8" t="s">
        <v>628</v>
      </c>
      <c r="E60" s="8" t="s">
        <v>246</v>
      </c>
      <c r="F60" s="8" t="s">
        <v>247</v>
      </c>
      <c r="G60" s="8" t="s">
        <v>248</v>
      </c>
      <c r="H60" s="8" t="s">
        <v>114</v>
      </c>
      <c r="I60" s="9">
        <v>12750000</v>
      </c>
      <c r="J60" s="8">
        <v>2022</v>
      </c>
      <c r="K60" s="10" t="s">
        <v>115</v>
      </c>
      <c r="L60" s="10" t="s">
        <v>116</v>
      </c>
      <c r="M60" s="8" t="s">
        <v>629</v>
      </c>
      <c r="N60" s="55" t="s">
        <v>630</v>
      </c>
      <c r="O60" s="8" t="s">
        <v>119</v>
      </c>
      <c r="P60" s="11">
        <v>998</v>
      </c>
      <c r="Q60" s="12">
        <v>44503</v>
      </c>
      <c r="R60" s="12">
        <v>44596</v>
      </c>
      <c r="S60" s="12">
        <v>44596</v>
      </c>
      <c r="T60" s="14" t="s">
        <v>120</v>
      </c>
      <c r="U60" s="12">
        <f t="shared" si="0"/>
        <v>46421</v>
      </c>
      <c r="V60" s="8">
        <f t="shared" ca="1" si="1"/>
        <v>6</v>
      </c>
      <c r="W60" s="16">
        <v>20000</v>
      </c>
      <c r="X60" s="9" t="s">
        <v>619</v>
      </c>
      <c r="Y60" s="9" t="s">
        <v>620</v>
      </c>
      <c r="Z60" s="9" t="s">
        <v>621</v>
      </c>
      <c r="AA60" s="9" t="s">
        <v>622</v>
      </c>
      <c r="AB60" s="12">
        <v>44625</v>
      </c>
      <c r="AC60" s="8">
        <f t="shared" si="4"/>
        <v>1825</v>
      </c>
      <c r="AD60" s="8">
        <f t="shared" ca="1" si="5"/>
        <v>195</v>
      </c>
      <c r="AE60" s="8">
        <f>VLOOKUP($B60, [1]렌트_계약서번호!$B$3:$E$501, 4, FALSE)</f>
        <v>22020012</v>
      </c>
      <c r="AF60" s="9">
        <v>13209603</v>
      </c>
      <c r="AG60" s="9">
        <v>200000</v>
      </c>
      <c r="AH60" s="9">
        <v>12688000</v>
      </c>
      <c r="AI60" s="9">
        <v>0</v>
      </c>
      <c r="AJ60" s="9">
        <v>2000</v>
      </c>
      <c r="AK60" s="9">
        <v>461380</v>
      </c>
      <c r="AL60" s="9">
        <v>0</v>
      </c>
      <c r="AM60" s="9">
        <v>2000</v>
      </c>
      <c r="AN60" s="9">
        <v>27000</v>
      </c>
      <c r="AO60" s="9">
        <v>30000</v>
      </c>
      <c r="AP60" s="9">
        <v>430000</v>
      </c>
      <c r="AQ60" s="9">
        <v>0</v>
      </c>
      <c r="AR60" s="9" t="s">
        <v>122</v>
      </c>
      <c r="AS60" s="9">
        <v>0</v>
      </c>
      <c r="AT60" s="9" t="s">
        <v>123</v>
      </c>
      <c r="AU60" s="9"/>
      <c r="AV60" s="57">
        <f t="shared" si="6"/>
        <v>522380</v>
      </c>
      <c r="AW60" s="8" t="s">
        <v>124</v>
      </c>
      <c r="AX60" s="17">
        <v>44503</v>
      </c>
      <c r="AY60" s="9">
        <v>1153090</v>
      </c>
      <c r="AZ60" s="9">
        <f>1035460</f>
        <v>1035460</v>
      </c>
      <c r="BA60" s="9"/>
      <c r="BB60" s="9"/>
      <c r="BC60" s="9"/>
      <c r="BD60" s="9" t="s">
        <v>125</v>
      </c>
      <c r="BE60" s="9" t="s">
        <v>126</v>
      </c>
      <c r="BF60" s="9" t="s">
        <v>255</v>
      </c>
      <c r="BG60" s="9" t="s">
        <v>128</v>
      </c>
      <c r="BH60" s="9" t="s">
        <v>129</v>
      </c>
      <c r="BI60" s="9" t="s">
        <v>130</v>
      </c>
      <c r="BJ60" s="8" t="s">
        <v>256</v>
      </c>
      <c r="BK60" s="9" t="s">
        <v>132</v>
      </c>
      <c r="BL60" s="9" t="s">
        <v>133</v>
      </c>
      <c r="BM60" s="9" t="s">
        <v>257</v>
      </c>
      <c r="BN60" s="9" t="s">
        <v>134</v>
      </c>
      <c r="BO60" s="9" t="s">
        <v>134</v>
      </c>
      <c r="BP60" s="9" t="s">
        <v>590</v>
      </c>
      <c r="BQ60" s="8"/>
      <c r="BR60" s="9">
        <f t="shared" si="7"/>
        <v>17964</v>
      </c>
      <c r="BS60" s="8" t="s">
        <v>136</v>
      </c>
      <c r="BT60" s="19"/>
      <c r="BU60" s="9"/>
      <c r="BV60" s="26"/>
      <c r="BW60" s="9"/>
      <c r="BX60" s="9">
        <f t="shared" si="16"/>
        <v>0</v>
      </c>
      <c r="BY60" s="9">
        <f t="shared" si="17"/>
        <v>0</v>
      </c>
      <c r="BZ60" s="27">
        <v>0</v>
      </c>
      <c r="CA60" s="1"/>
      <c r="CB60" s="28" t="s">
        <v>120</v>
      </c>
      <c r="CC60" s="28" t="s">
        <v>120</v>
      </c>
      <c r="CD60" s="9">
        <v>330900</v>
      </c>
      <c r="CE60" s="9">
        <f t="shared" si="10"/>
        <v>60</v>
      </c>
      <c r="CF60" s="9">
        <f t="shared" si="11"/>
        <v>19854000</v>
      </c>
      <c r="CG60" s="9"/>
      <c r="CH60" s="9"/>
      <c r="CI60" s="9">
        <v>2506900</v>
      </c>
      <c r="CJ60" s="29">
        <v>-1.2E-2</v>
      </c>
      <c r="CK60" s="30">
        <v>0.04</v>
      </c>
      <c r="CL60" s="31" t="s">
        <v>259</v>
      </c>
      <c r="CM60" s="9"/>
      <c r="CN60" s="9"/>
      <c r="CO60" s="27">
        <v>0.03</v>
      </c>
      <c r="CP60" s="22"/>
      <c r="CQ60" s="32">
        <v>0</v>
      </c>
      <c r="CR60" s="32">
        <v>0</v>
      </c>
      <c r="CS60" s="32">
        <v>0</v>
      </c>
      <c r="CT60" s="32">
        <v>0</v>
      </c>
      <c r="CU60" s="32">
        <v>0</v>
      </c>
      <c r="CV60" s="32">
        <v>0</v>
      </c>
      <c r="CW60" s="32">
        <v>0</v>
      </c>
      <c r="CX60" s="32">
        <v>0</v>
      </c>
      <c r="CY60" s="32">
        <v>0</v>
      </c>
      <c r="CZ60" s="32">
        <v>0</v>
      </c>
      <c r="DA60" s="32">
        <v>0</v>
      </c>
      <c r="DB60" s="32" t="str">
        <f t="shared" si="12"/>
        <v>기아</v>
      </c>
      <c r="DC60" s="32" t="s">
        <v>260</v>
      </c>
      <c r="DD60" s="32" t="str">
        <f t="shared" ref="DD60:DD76" si="18">IF(DC60="정수원 실장","렌트베네핏", IF(DC60="박현식 부장", "렌트베네핏", IF(DC60="김성진 팀장", "청담", IF(DC60="전석영 부장", "방배", IF(DC60= "박봉호 부장", "일산",IF(DC104="정원철 부장", "청담"))))))</f>
        <v>렌트베네핏</v>
      </c>
      <c r="DE60" s="32"/>
      <c r="DF60" s="32"/>
      <c r="DG60" s="32"/>
      <c r="DH60" s="32" t="s">
        <v>261</v>
      </c>
      <c r="DI60" s="19" t="s">
        <v>137</v>
      </c>
      <c r="DJ60" s="22">
        <v>0.3</v>
      </c>
      <c r="DK60" s="51">
        <v>0.2</v>
      </c>
      <c r="DL60" s="32"/>
      <c r="DM60" s="20"/>
      <c r="DN60" s="32"/>
      <c r="DO60" s="32"/>
      <c r="DP60" s="22"/>
    </row>
    <row r="61" spans="1:120">
      <c r="A61" s="8">
        <v>59</v>
      </c>
      <c r="B61" s="8" t="s">
        <v>631</v>
      </c>
      <c r="C61" s="34" t="s">
        <v>244</v>
      </c>
      <c r="D61" s="8" t="s">
        <v>632</v>
      </c>
      <c r="E61" s="8" t="s">
        <v>246</v>
      </c>
      <c r="F61" s="8" t="s">
        <v>247</v>
      </c>
      <c r="G61" s="8" t="s">
        <v>248</v>
      </c>
      <c r="H61" s="8" t="s">
        <v>114</v>
      </c>
      <c r="I61" s="9">
        <v>12750000</v>
      </c>
      <c r="J61" s="8">
        <v>2022</v>
      </c>
      <c r="K61" s="10" t="s">
        <v>115</v>
      </c>
      <c r="L61" s="10" t="s">
        <v>116</v>
      </c>
      <c r="M61" s="8" t="s">
        <v>633</v>
      </c>
      <c r="N61" s="55" t="s">
        <v>634</v>
      </c>
      <c r="O61" s="8" t="s">
        <v>119</v>
      </c>
      <c r="P61" s="11">
        <v>998</v>
      </c>
      <c r="Q61" s="12">
        <v>44503</v>
      </c>
      <c r="R61" s="12">
        <v>44596</v>
      </c>
      <c r="S61" s="12">
        <v>44600</v>
      </c>
      <c r="T61" s="14" t="s">
        <v>120</v>
      </c>
      <c r="U61" s="12">
        <f t="shared" si="0"/>
        <v>46425</v>
      </c>
      <c r="V61" s="8">
        <f t="shared" ca="1" si="1"/>
        <v>6</v>
      </c>
      <c r="W61" s="16">
        <v>20000</v>
      </c>
      <c r="X61" s="9" t="s">
        <v>619</v>
      </c>
      <c r="Y61" s="9" t="s">
        <v>620</v>
      </c>
      <c r="Z61" s="9" t="s">
        <v>635</v>
      </c>
      <c r="AA61" s="9" t="s">
        <v>622</v>
      </c>
      <c r="AB61" s="12">
        <v>44625</v>
      </c>
      <c r="AC61" s="8">
        <f t="shared" si="4"/>
        <v>1825</v>
      </c>
      <c r="AD61" s="8">
        <f t="shared" ca="1" si="5"/>
        <v>199</v>
      </c>
      <c r="AE61" s="8">
        <f>VLOOKUP($B61, [1]렌트_계약서번호!$B$3:$E$501, 4, FALSE)</f>
        <v>22020006</v>
      </c>
      <c r="AF61" s="58">
        <v>13209603</v>
      </c>
      <c r="AG61" s="9">
        <v>200000</v>
      </c>
      <c r="AH61" s="9">
        <v>12681000</v>
      </c>
      <c r="AI61" s="9">
        <v>0</v>
      </c>
      <c r="AJ61" s="9">
        <v>2000</v>
      </c>
      <c r="AK61" s="9">
        <v>461120</v>
      </c>
      <c r="AL61" s="9">
        <v>0</v>
      </c>
      <c r="AM61" s="9">
        <v>2000</v>
      </c>
      <c r="AN61" s="9">
        <v>27000</v>
      </c>
      <c r="AO61" s="9">
        <v>30000</v>
      </c>
      <c r="AP61" s="9">
        <v>430000</v>
      </c>
      <c r="AQ61" s="9">
        <v>0</v>
      </c>
      <c r="AR61" s="9" t="s">
        <v>122</v>
      </c>
      <c r="AS61" s="9">
        <v>0</v>
      </c>
      <c r="AT61" s="9" t="s">
        <v>123</v>
      </c>
      <c r="AU61" s="9"/>
      <c r="AV61" s="57">
        <f t="shared" si="6"/>
        <v>522120</v>
      </c>
      <c r="AW61" s="8" t="s">
        <v>124</v>
      </c>
      <c r="AX61" s="17">
        <v>44503</v>
      </c>
      <c r="AY61" s="9">
        <v>1153090</v>
      </c>
      <c r="AZ61" s="9">
        <f>1035460</f>
        <v>1035460</v>
      </c>
      <c r="BA61" s="9"/>
      <c r="BB61" s="9"/>
      <c r="BC61" s="9"/>
      <c r="BD61" s="9" t="s">
        <v>125</v>
      </c>
      <c r="BE61" s="9" t="s">
        <v>126</v>
      </c>
      <c r="BF61" s="9" t="s">
        <v>255</v>
      </c>
      <c r="BG61" s="9" t="s">
        <v>128</v>
      </c>
      <c r="BH61" s="9" t="s">
        <v>129</v>
      </c>
      <c r="BI61" s="9" t="s">
        <v>130</v>
      </c>
      <c r="BJ61" s="8" t="s">
        <v>256</v>
      </c>
      <c r="BK61" s="9" t="s">
        <v>132</v>
      </c>
      <c r="BL61" s="9" t="s">
        <v>133</v>
      </c>
      <c r="BM61" s="9" t="s">
        <v>257</v>
      </c>
      <c r="BN61" s="9" t="s">
        <v>134</v>
      </c>
      <c r="BO61" s="9" t="s">
        <v>134</v>
      </c>
      <c r="BP61" s="9" t="s">
        <v>590</v>
      </c>
      <c r="BQ61" s="8"/>
      <c r="BR61" s="9">
        <f t="shared" si="7"/>
        <v>17964</v>
      </c>
      <c r="BS61" s="8" t="s">
        <v>136</v>
      </c>
      <c r="BT61" s="19"/>
      <c r="BU61" s="9"/>
      <c r="BV61" s="26"/>
      <c r="BW61" s="9"/>
      <c r="BX61" s="9">
        <f t="shared" si="16"/>
        <v>0</v>
      </c>
      <c r="BY61" s="9">
        <f t="shared" si="17"/>
        <v>0</v>
      </c>
      <c r="BZ61" s="27">
        <v>0</v>
      </c>
      <c r="CA61" s="1"/>
      <c r="CB61" s="28" t="s">
        <v>120</v>
      </c>
      <c r="CC61" s="28" t="s">
        <v>120</v>
      </c>
      <c r="CD61" s="9">
        <v>330900</v>
      </c>
      <c r="CE61" s="9">
        <f t="shared" si="10"/>
        <v>60</v>
      </c>
      <c r="CF61" s="9">
        <f t="shared" si="11"/>
        <v>19854000</v>
      </c>
      <c r="CG61" s="9"/>
      <c r="CH61" s="9"/>
      <c r="CI61" s="9">
        <v>2506900</v>
      </c>
      <c r="CJ61" s="29">
        <v>-1.2E-2</v>
      </c>
      <c r="CK61" s="30">
        <v>0.04</v>
      </c>
      <c r="CL61" s="31" t="s">
        <v>259</v>
      </c>
      <c r="CM61" s="9"/>
      <c r="CN61" s="9"/>
      <c r="CO61" s="27">
        <v>0.03</v>
      </c>
      <c r="CP61" s="22"/>
      <c r="CQ61" s="32">
        <v>0</v>
      </c>
      <c r="CR61" s="32">
        <v>0</v>
      </c>
      <c r="CS61" s="32">
        <v>0</v>
      </c>
      <c r="CT61" s="32">
        <v>0</v>
      </c>
      <c r="CU61" s="32">
        <v>0</v>
      </c>
      <c r="CV61" s="32">
        <v>0</v>
      </c>
      <c r="CW61" s="32">
        <v>0</v>
      </c>
      <c r="CX61" s="32">
        <v>0</v>
      </c>
      <c r="CY61" s="32">
        <v>0</v>
      </c>
      <c r="CZ61" s="32">
        <v>0</v>
      </c>
      <c r="DA61" s="32">
        <v>0</v>
      </c>
      <c r="DB61" s="32" t="str">
        <f t="shared" si="12"/>
        <v>기아</v>
      </c>
      <c r="DC61" s="32" t="s">
        <v>260</v>
      </c>
      <c r="DD61" s="32" t="str">
        <f t="shared" si="18"/>
        <v>렌트베네핏</v>
      </c>
      <c r="DE61" s="32"/>
      <c r="DF61" s="32"/>
      <c r="DG61" s="32"/>
      <c r="DH61" s="32" t="s">
        <v>261</v>
      </c>
      <c r="DI61" s="19" t="s">
        <v>137</v>
      </c>
      <c r="DJ61" s="22">
        <v>0.3</v>
      </c>
      <c r="DK61" s="51">
        <v>0.2</v>
      </c>
      <c r="DL61" s="32"/>
      <c r="DM61" s="20"/>
      <c r="DN61" s="32"/>
      <c r="DO61" s="32"/>
      <c r="DP61" s="22"/>
    </row>
    <row r="62" spans="1:120">
      <c r="A62" s="8">
        <v>60</v>
      </c>
      <c r="B62" s="8" t="s">
        <v>636</v>
      </c>
      <c r="C62" s="34" t="s">
        <v>244</v>
      </c>
      <c r="D62" s="8" t="s">
        <v>637</v>
      </c>
      <c r="E62" s="8" t="s">
        <v>638</v>
      </c>
      <c r="F62" s="8" t="s">
        <v>639</v>
      </c>
      <c r="G62" s="8" t="s">
        <v>248</v>
      </c>
      <c r="H62" s="8" t="s">
        <v>114</v>
      </c>
      <c r="I62" s="9">
        <v>12750000</v>
      </c>
      <c r="J62" s="8">
        <v>2022</v>
      </c>
      <c r="K62" s="10" t="s">
        <v>115</v>
      </c>
      <c r="L62" s="10" t="s">
        <v>116</v>
      </c>
      <c r="M62" s="8" t="s">
        <v>640</v>
      </c>
      <c r="N62" s="55" t="s">
        <v>641</v>
      </c>
      <c r="O62" s="8" t="s">
        <v>119</v>
      </c>
      <c r="P62" s="11">
        <v>998</v>
      </c>
      <c r="Q62" s="12">
        <v>44503</v>
      </c>
      <c r="R62" s="12">
        <v>44602</v>
      </c>
      <c r="S62" s="12">
        <v>44602</v>
      </c>
      <c r="T62" s="14" t="s">
        <v>120</v>
      </c>
      <c r="U62" s="12">
        <f t="shared" si="0"/>
        <v>46427</v>
      </c>
      <c r="V62" s="8">
        <f t="shared" ca="1" si="1"/>
        <v>6</v>
      </c>
      <c r="W62" s="16">
        <v>20000</v>
      </c>
      <c r="X62" s="8" t="s">
        <v>638</v>
      </c>
      <c r="Y62" s="8" t="s">
        <v>112</v>
      </c>
      <c r="Z62" s="9"/>
      <c r="AA62" s="9" t="s">
        <v>642</v>
      </c>
      <c r="AB62" s="12">
        <v>44630</v>
      </c>
      <c r="AC62" s="8">
        <f t="shared" si="4"/>
        <v>1825</v>
      </c>
      <c r="AD62" s="8">
        <f t="shared" ca="1" si="5"/>
        <v>201</v>
      </c>
      <c r="AE62" s="8">
        <f>VLOOKUP($B62, [1]렌트_계약서번호!$B$3:$E$501, 4, FALSE)</f>
        <v>22020013</v>
      </c>
      <c r="AF62" s="9">
        <v>13209603</v>
      </c>
      <c r="AG62" s="9">
        <v>200000</v>
      </c>
      <c r="AH62" s="9">
        <v>12681000</v>
      </c>
      <c r="AI62" s="9">
        <v>0</v>
      </c>
      <c r="AJ62" s="9">
        <v>2000</v>
      </c>
      <c r="AK62" s="9">
        <v>461120</v>
      </c>
      <c r="AL62" s="9">
        <v>0</v>
      </c>
      <c r="AM62" s="9">
        <v>2000</v>
      </c>
      <c r="AN62" s="9">
        <v>27000</v>
      </c>
      <c r="AO62" s="9">
        <v>30000</v>
      </c>
      <c r="AP62" s="9">
        <v>430000</v>
      </c>
      <c r="AQ62" s="9">
        <v>0</v>
      </c>
      <c r="AR62" s="9" t="s">
        <v>122</v>
      </c>
      <c r="AS62" s="9">
        <v>0</v>
      </c>
      <c r="AT62" s="9" t="s">
        <v>123</v>
      </c>
      <c r="AU62" s="9"/>
      <c r="AV62" s="57">
        <f t="shared" si="6"/>
        <v>522120</v>
      </c>
      <c r="AW62" s="8" t="s">
        <v>124</v>
      </c>
      <c r="AX62" s="17">
        <v>44503</v>
      </c>
      <c r="AY62" s="9">
        <v>1153090</v>
      </c>
      <c r="AZ62" s="9">
        <f>1042640</f>
        <v>1042640</v>
      </c>
      <c r="BA62" s="9"/>
      <c r="BB62" s="9"/>
      <c r="BC62" s="9"/>
      <c r="BD62" s="9" t="s">
        <v>125</v>
      </c>
      <c r="BE62" s="9" t="s">
        <v>126</v>
      </c>
      <c r="BF62" s="9" t="s">
        <v>255</v>
      </c>
      <c r="BG62" s="9" t="s">
        <v>128</v>
      </c>
      <c r="BH62" s="9" t="s">
        <v>129</v>
      </c>
      <c r="BI62" s="9" t="s">
        <v>130</v>
      </c>
      <c r="BJ62" s="8" t="s">
        <v>256</v>
      </c>
      <c r="BK62" s="9" t="s">
        <v>132</v>
      </c>
      <c r="BL62" s="9" t="s">
        <v>133</v>
      </c>
      <c r="BM62" s="9" t="s">
        <v>257</v>
      </c>
      <c r="BN62" s="9" t="s">
        <v>134</v>
      </c>
      <c r="BO62" s="9" t="s">
        <v>134</v>
      </c>
      <c r="BP62" s="9" t="s">
        <v>590</v>
      </c>
      <c r="BQ62" s="8"/>
      <c r="BR62" s="9">
        <f t="shared" si="7"/>
        <v>17964</v>
      </c>
      <c r="BS62" s="8" t="s">
        <v>136</v>
      </c>
      <c r="BT62" s="19"/>
      <c r="BU62" s="9"/>
      <c r="BV62" s="26"/>
      <c r="BW62" s="9"/>
      <c r="BX62" s="9">
        <f t="shared" si="16"/>
        <v>0</v>
      </c>
      <c r="BY62" s="9">
        <f t="shared" si="17"/>
        <v>0</v>
      </c>
      <c r="BZ62" s="27">
        <v>0</v>
      </c>
      <c r="CA62" s="1"/>
      <c r="CB62" s="28" t="s">
        <v>643</v>
      </c>
      <c r="CC62" s="28" t="s">
        <v>643</v>
      </c>
      <c r="CD62" s="9">
        <v>360000</v>
      </c>
      <c r="CE62" s="9">
        <f t="shared" si="10"/>
        <v>60</v>
      </c>
      <c r="CF62" s="9">
        <f t="shared" si="11"/>
        <v>21600000</v>
      </c>
      <c r="CG62" s="9"/>
      <c r="CH62" s="9"/>
      <c r="CI62" s="9">
        <v>2506900</v>
      </c>
      <c r="CJ62" s="29">
        <v>2.1000000000000001E-2</v>
      </c>
      <c r="CK62" s="30">
        <v>0.06</v>
      </c>
      <c r="CL62" s="31" t="s">
        <v>644</v>
      </c>
      <c r="CM62" s="9"/>
      <c r="CN62" s="9" t="s">
        <v>645</v>
      </c>
      <c r="CO62" s="27">
        <v>0.03</v>
      </c>
      <c r="CP62" s="22"/>
      <c r="CQ62" s="32">
        <v>0</v>
      </c>
      <c r="CR62" s="32">
        <v>0</v>
      </c>
      <c r="CS62" s="32">
        <v>0</v>
      </c>
      <c r="CT62" s="32">
        <v>0</v>
      </c>
      <c r="CU62" s="32">
        <v>0</v>
      </c>
      <c r="CV62" s="32">
        <v>0</v>
      </c>
      <c r="CW62" s="32">
        <v>0</v>
      </c>
      <c r="CX62" s="32">
        <v>0</v>
      </c>
      <c r="CY62" s="32">
        <v>0</v>
      </c>
      <c r="CZ62" s="32">
        <v>0</v>
      </c>
      <c r="DA62" s="32">
        <v>0</v>
      </c>
      <c r="DB62" s="32" t="str">
        <f t="shared" si="12"/>
        <v>기아</v>
      </c>
      <c r="DC62" s="32" t="s">
        <v>260</v>
      </c>
      <c r="DD62" s="32" t="str">
        <f t="shared" si="18"/>
        <v>렌트베네핏</v>
      </c>
      <c r="DE62" s="32"/>
      <c r="DF62" s="32"/>
      <c r="DG62" s="32"/>
      <c r="DH62" s="32" t="s">
        <v>646</v>
      </c>
      <c r="DI62" s="19" t="s">
        <v>137</v>
      </c>
      <c r="DJ62" s="22">
        <v>0.3</v>
      </c>
      <c r="DK62" s="51">
        <v>0.2</v>
      </c>
      <c r="DL62" s="32"/>
      <c r="DM62" s="20"/>
      <c r="DN62" s="32"/>
      <c r="DO62" s="32"/>
      <c r="DP62" s="22"/>
    </row>
    <row r="63" spans="1:120">
      <c r="A63" s="8">
        <v>61</v>
      </c>
      <c r="B63" s="8" t="s">
        <v>647</v>
      </c>
      <c r="C63" s="34" t="s">
        <v>244</v>
      </c>
      <c r="D63" s="8" t="s">
        <v>648</v>
      </c>
      <c r="E63" s="8" t="s">
        <v>246</v>
      </c>
      <c r="F63" s="8" t="s">
        <v>247</v>
      </c>
      <c r="G63" s="8" t="s">
        <v>248</v>
      </c>
      <c r="H63" s="8" t="s">
        <v>114</v>
      </c>
      <c r="I63" s="9">
        <v>12750000</v>
      </c>
      <c r="J63" s="8">
        <v>2022</v>
      </c>
      <c r="K63" s="10" t="s">
        <v>115</v>
      </c>
      <c r="L63" s="10" t="s">
        <v>116</v>
      </c>
      <c r="M63" s="8" t="s">
        <v>649</v>
      </c>
      <c r="N63" s="55" t="s">
        <v>650</v>
      </c>
      <c r="O63" s="8" t="s">
        <v>119</v>
      </c>
      <c r="P63" s="11">
        <v>998</v>
      </c>
      <c r="Q63" s="12">
        <v>44503</v>
      </c>
      <c r="R63" s="12">
        <v>44596</v>
      </c>
      <c r="S63" s="12">
        <v>44603</v>
      </c>
      <c r="T63" s="14" t="s">
        <v>120</v>
      </c>
      <c r="U63" s="12">
        <f t="shared" si="0"/>
        <v>46428</v>
      </c>
      <c r="V63" s="8">
        <f t="shared" ca="1" si="1"/>
        <v>6</v>
      </c>
      <c r="W63" s="16">
        <v>20000</v>
      </c>
      <c r="X63" s="9" t="s">
        <v>368</v>
      </c>
      <c r="Y63" s="9" t="s">
        <v>369</v>
      </c>
      <c r="Z63" s="9" t="s">
        <v>370</v>
      </c>
      <c r="AA63" s="9" t="s">
        <v>371</v>
      </c>
      <c r="AB63" s="12">
        <v>44625</v>
      </c>
      <c r="AC63" s="8">
        <f t="shared" si="4"/>
        <v>1825</v>
      </c>
      <c r="AD63" s="8">
        <f t="shared" ca="1" si="5"/>
        <v>202</v>
      </c>
      <c r="AE63" s="8">
        <f>VLOOKUP($B63, [1]렌트_계약서번호!$B$3:$E$501, 4, FALSE)</f>
        <v>22020007</v>
      </c>
      <c r="AF63" s="9">
        <v>13209603</v>
      </c>
      <c r="AG63" s="9">
        <v>200000</v>
      </c>
      <c r="AH63" s="9">
        <v>12688000</v>
      </c>
      <c r="AI63" s="9">
        <v>0</v>
      </c>
      <c r="AJ63" s="9">
        <v>2000</v>
      </c>
      <c r="AK63" s="9">
        <v>461380</v>
      </c>
      <c r="AL63" s="9">
        <v>0</v>
      </c>
      <c r="AM63" s="9">
        <v>2000</v>
      </c>
      <c r="AN63" s="9">
        <v>27000</v>
      </c>
      <c r="AO63" s="9">
        <v>30000</v>
      </c>
      <c r="AP63" s="9">
        <v>430000</v>
      </c>
      <c r="AQ63" s="9">
        <v>0</v>
      </c>
      <c r="AR63" s="9" t="s">
        <v>122</v>
      </c>
      <c r="AS63" s="9">
        <v>0</v>
      </c>
      <c r="AT63" s="9" t="s">
        <v>123</v>
      </c>
      <c r="AU63" s="9"/>
      <c r="AV63" s="57">
        <f t="shared" si="6"/>
        <v>522380</v>
      </c>
      <c r="AW63" s="8" t="s">
        <v>124</v>
      </c>
      <c r="AX63" s="17">
        <v>44503</v>
      </c>
      <c r="AY63" s="9">
        <v>1153090</v>
      </c>
      <c r="AZ63" s="9">
        <f>1035460</f>
        <v>1035460</v>
      </c>
      <c r="BA63" s="9"/>
      <c r="BB63" s="9"/>
      <c r="BC63" s="9"/>
      <c r="BD63" s="9" t="s">
        <v>125</v>
      </c>
      <c r="BE63" s="9" t="s">
        <v>126</v>
      </c>
      <c r="BF63" s="9" t="s">
        <v>255</v>
      </c>
      <c r="BG63" s="9" t="s">
        <v>128</v>
      </c>
      <c r="BH63" s="9" t="s">
        <v>129</v>
      </c>
      <c r="BI63" s="9" t="s">
        <v>130</v>
      </c>
      <c r="BJ63" s="8" t="s">
        <v>256</v>
      </c>
      <c r="BK63" s="9" t="s">
        <v>132</v>
      </c>
      <c r="BL63" s="9" t="s">
        <v>133</v>
      </c>
      <c r="BM63" s="9" t="s">
        <v>257</v>
      </c>
      <c r="BN63" s="9" t="s">
        <v>134</v>
      </c>
      <c r="BO63" s="9" t="s">
        <v>134</v>
      </c>
      <c r="BP63" s="9" t="s">
        <v>590</v>
      </c>
      <c r="BQ63" s="8"/>
      <c r="BR63" s="9">
        <f t="shared" si="7"/>
        <v>17964</v>
      </c>
      <c r="BS63" s="8" t="s">
        <v>136</v>
      </c>
      <c r="BT63" s="19"/>
      <c r="BU63" s="9"/>
      <c r="BV63" s="26"/>
      <c r="BW63" s="9"/>
      <c r="BX63" s="9">
        <f t="shared" si="16"/>
        <v>0</v>
      </c>
      <c r="BY63" s="9">
        <f t="shared" si="17"/>
        <v>0</v>
      </c>
      <c r="BZ63" s="27">
        <v>0</v>
      </c>
      <c r="CA63" s="1"/>
      <c r="CB63" s="28" t="s">
        <v>120</v>
      </c>
      <c r="CC63" s="28" t="s">
        <v>120</v>
      </c>
      <c r="CD63" s="9">
        <v>330900</v>
      </c>
      <c r="CE63" s="9">
        <f t="shared" si="10"/>
        <v>60</v>
      </c>
      <c r="CF63" s="9">
        <f t="shared" si="11"/>
        <v>19854000</v>
      </c>
      <c r="CG63" s="9"/>
      <c r="CH63" s="9"/>
      <c r="CI63" s="9">
        <v>2506900</v>
      </c>
      <c r="CJ63" s="29">
        <v>-1.2E-2</v>
      </c>
      <c r="CK63" s="30">
        <v>0.04</v>
      </c>
      <c r="CL63" s="31" t="s">
        <v>259</v>
      </c>
      <c r="CM63" s="9"/>
      <c r="CN63" s="9"/>
      <c r="CO63" s="27">
        <v>0.03</v>
      </c>
      <c r="CP63" s="22"/>
      <c r="CQ63" s="32">
        <v>0</v>
      </c>
      <c r="CR63" s="32">
        <v>0</v>
      </c>
      <c r="CS63" s="32">
        <v>0</v>
      </c>
      <c r="CT63" s="32">
        <v>0</v>
      </c>
      <c r="CU63" s="32">
        <v>0</v>
      </c>
      <c r="CV63" s="32">
        <v>0</v>
      </c>
      <c r="CW63" s="32">
        <v>0</v>
      </c>
      <c r="CX63" s="32">
        <v>0</v>
      </c>
      <c r="CY63" s="32">
        <v>0</v>
      </c>
      <c r="CZ63" s="32">
        <v>0</v>
      </c>
      <c r="DA63" s="32">
        <v>0</v>
      </c>
      <c r="DB63" s="32" t="str">
        <f t="shared" si="12"/>
        <v>기아</v>
      </c>
      <c r="DC63" s="32" t="s">
        <v>260</v>
      </c>
      <c r="DD63" s="32" t="str">
        <f t="shared" si="18"/>
        <v>렌트베네핏</v>
      </c>
      <c r="DE63" s="32"/>
      <c r="DF63" s="32"/>
      <c r="DG63" s="32"/>
      <c r="DH63" s="32" t="s">
        <v>261</v>
      </c>
      <c r="DI63" s="19" t="s">
        <v>137</v>
      </c>
      <c r="DJ63" s="22">
        <v>0.3</v>
      </c>
      <c r="DK63" s="51">
        <v>0.2</v>
      </c>
      <c r="DL63" s="32"/>
      <c r="DM63" s="20"/>
      <c r="DN63" s="32"/>
      <c r="DO63" s="32"/>
      <c r="DP63" s="22"/>
    </row>
    <row r="64" spans="1:120">
      <c r="A64" s="8">
        <v>62</v>
      </c>
      <c r="B64" s="8" t="s">
        <v>651</v>
      </c>
      <c r="C64" s="8" t="s">
        <v>208</v>
      </c>
      <c r="D64" s="8" t="s">
        <v>652</v>
      </c>
      <c r="E64" s="8" t="s">
        <v>653</v>
      </c>
      <c r="F64" s="8" t="s">
        <v>654</v>
      </c>
      <c r="G64" s="8" t="s">
        <v>234</v>
      </c>
      <c r="H64" s="8" t="s">
        <v>655</v>
      </c>
      <c r="I64" s="9">
        <v>193600000</v>
      </c>
      <c r="J64" s="8">
        <v>2021</v>
      </c>
      <c r="K64" s="10" t="s">
        <v>656</v>
      </c>
      <c r="L64" s="10" t="s">
        <v>116</v>
      </c>
      <c r="M64" s="8" t="s">
        <v>657</v>
      </c>
      <c r="N64" s="55" t="s">
        <v>658</v>
      </c>
      <c r="O64" s="8" t="s">
        <v>119</v>
      </c>
      <c r="P64" s="11">
        <v>2999</v>
      </c>
      <c r="Q64" s="12">
        <v>44503</v>
      </c>
      <c r="R64" s="12">
        <v>44607</v>
      </c>
      <c r="S64" s="12">
        <v>44610</v>
      </c>
      <c r="T64" s="14" t="s">
        <v>120</v>
      </c>
      <c r="U64" s="12">
        <f t="shared" si="0"/>
        <v>46435</v>
      </c>
      <c r="V64" s="8">
        <f t="shared" ca="1" si="1"/>
        <v>6</v>
      </c>
      <c r="W64" s="16">
        <v>20000</v>
      </c>
      <c r="X64" s="9" t="s">
        <v>659</v>
      </c>
      <c r="Y64" s="8" t="s">
        <v>660</v>
      </c>
      <c r="Z64" s="9"/>
      <c r="AA64" s="9" t="s">
        <v>661</v>
      </c>
      <c r="AB64" s="12">
        <v>44617</v>
      </c>
      <c r="AC64" s="8">
        <f t="shared" si="4"/>
        <v>1825</v>
      </c>
      <c r="AD64" s="8">
        <f t="shared" ca="1" si="5"/>
        <v>209</v>
      </c>
      <c r="AE64" s="8" t="e">
        <f>VLOOKUP($B64, [1]렌트_계약서번호!$B$3:$E$501, 4, FALSE)</f>
        <v>#N/A</v>
      </c>
      <c r="AF64" s="9">
        <v>186816000</v>
      </c>
      <c r="AG64" s="9">
        <f>AF64-AH64</f>
        <v>0</v>
      </c>
      <c r="AH64" s="9">
        <v>186816000</v>
      </c>
      <c r="AI64" s="9">
        <v>0</v>
      </c>
      <c r="AJ64" s="9">
        <v>0</v>
      </c>
      <c r="AK64" s="9">
        <v>6793300</v>
      </c>
      <c r="AL64" s="9">
        <v>548437</v>
      </c>
      <c r="AM64" s="9">
        <v>5000</v>
      </c>
      <c r="AN64" s="9">
        <v>21500</v>
      </c>
      <c r="AO64" s="9">
        <v>30000</v>
      </c>
      <c r="AP64" s="9">
        <v>0</v>
      </c>
      <c r="AQ64" s="9">
        <v>0</v>
      </c>
      <c r="AR64" s="9" t="s">
        <v>205</v>
      </c>
      <c r="AS64" s="9">
        <v>240000</v>
      </c>
      <c r="AT64" s="9" t="s">
        <v>206</v>
      </c>
      <c r="AU64" s="9">
        <f>7398237</f>
        <v>7398237</v>
      </c>
      <c r="AV64" s="57">
        <f t="shared" si="6"/>
        <v>7638237</v>
      </c>
      <c r="AW64" s="13" t="s">
        <v>543</v>
      </c>
      <c r="AX64" s="17">
        <v>44503</v>
      </c>
      <c r="AY64" s="9">
        <f>6911210-1172880</f>
        <v>5738330</v>
      </c>
      <c r="AZ64" s="9">
        <f>1142540</f>
        <v>1142540</v>
      </c>
      <c r="BA64" s="9"/>
      <c r="BB64" s="9"/>
      <c r="BC64" s="9"/>
      <c r="BD64" s="9" t="s">
        <v>125</v>
      </c>
      <c r="BE64" s="9" t="s">
        <v>126</v>
      </c>
      <c r="BF64" s="9" t="s">
        <v>187</v>
      </c>
      <c r="BG64" s="9" t="s">
        <v>188</v>
      </c>
      <c r="BH64" s="9" t="s">
        <v>662</v>
      </c>
      <c r="BI64" s="9" t="s">
        <v>189</v>
      </c>
      <c r="BJ64" s="8" t="s">
        <v>256</v>
      </c>
      <c r="BK64" s="9" t="s">
        <v>132</v>
      </c>
      <c r="BL64" s="9" t="s">
        <v>133</v>
      </c>
      <c r="BM64" s="9" t="s">
        <v>257</v>
      </c>
      <c r="BN64" s="9" t="s">
        <v>134</v>
      </c>
      <c r="BO64" s="9" t="s">
        <v>134</v>
      </c>
      <c r="BP64" s="9"/>
      <c r="BQ64" s="8"/>
      <c r="BR64" s="9">
        <f t="shared" si="7"/>
        <v>71976</v>
      </c>
      <c r="BS64" s="8" t="s">
        <v>136</v>
      </c>
      <c r="BT64" s="19"/>
      <c r="BU64" s="9"/>
      <c r="BV64" s="26"/>
      <c r="BW64" s="9"/>
      <c r="BX64" s="9"/>
      <c r="BY64" s="9"/>
      <c r="BZ64" s="27">
        <v>0</v>
      </c>
      <c r="CA64" s="1"/>
      <c r="CB64" s="28" t="s">
        <v>663</v>
      </c>
      <c r="CC64" s="28" t="s">
        <v>663</v>
      </c>
      <c r="CD64" s="9">
        <v>3383160</v>
      </c>
      <c r="CE64" s="9">
        <f t="shared" si="10"/>
        <v>60</v>
      </c>
      <c r="CF64" s="9">
        <f t="shared" si="11"/>
        <v>202989600</v>
      </c>
      <c r="CG64" s="9">
        <v>54494000</v>
      </c>
      <c r="CH64" s="9"/>
      <c r="CI64" s="9">
        <v>54494000</v>
      </c>
      <c r="CJ64" s="29">
        <v>3.0000000000000001E-3</v>
      </c>
      <c r="CK64" s="30">
        <v>0.06</v>
      </c>
      <c r="CL64" s="59" t="s">
        <v>664</v>
      </c>
      <c r="CM64" s="9"/>
      <c r="CN64" s="9"/>
      <c r="CO64" s="27">
        <v>0.03</v>
      </c>
      <c r="CP64" s="22"/>
      <c r="CQ64" s="32">
        <v>0</v>
      </c>
      <c r="CR64" s="32">
        <v>0</v>
      </c>
      <c r="CS64" s="32">
        <v>0</v>
      </c>
      <c r="CT64" s="32">
        <v>0</v>
      </c>
      <c r="CU64" s="32">
        <v>0</v>
      </c>
      <c r="CV64" s="32">
        <v>0</v>
      </c>
      <c r="CW64" s="32">
        <v>0</v>
      </c>
      <c r="CX64" s="32">
        <v>0</v>
      </c>
      <c r="CY64" s="32">
        <v>0</v>
      </c>
      <c r="CZ64" s="32">
        <v>0</v>
      </c>
      <c r="DA64" s="32">
        <v>0</v>
      </c>
      <c r="DB64" s="32" t="str">
        <f t="shared" si="12"/>
        <v>한성</v>
      </c>
      <c r="DC64" s="32" t="s">
        <v>578</v>
      </c>
      <c r="DD64" s="32" t="str">
        <f t="shared" si="18"/>
        <v>청담</v>
      </c>
      <c r="DE64" s="32"/>
      <c r="DF64" s="32"/>
      <c r="DG64" s="32"/>
      <c r="DH64" s="32" t="s">
        <v>665</v>
      </c>
      <c r="DI64" s="19" t="s">
        <v>137</v>
      </c>
      <c r="DJ64" s="22">
        <v>0.3</v>
      </c>
      <c r="DK64" s="51">
        <v>0.2</v>
      </c>
      <c r="DL64" s="32"/>
      <c r="DM64" s="20"/>
      <c r="DN64" s="32"/>
      <c r="DO64" s="32"/>
      <c r="DP64" s="22"/>
    </row>
    <row r="65" spans="1:120">
      <c r="A65" s="8">
        <v>63</v>
      </c>
      <c r="B65" s="8" t="s">
        <v>666</v>
      </c>
      <c r="C65" s="34" t="s">
        <v>244</v>
      </c>
      <c r="D65" s="8" t="s">
        <v>667</v>
      </c>
      <c r="E65" s="8" t="s">
        <v>246</v>
      </c>
      <c r="F65" s="8" t="s">
        <v>247</v>
      </c>
      <c r="G65" s="8" t="s">
        <v>248</v>
      </c>
      <c r="H65" s="8" t="s">
        <v>114</v>
      </c>
      <c r="I65" s="9">
        <v>12750000</v>
      </c>
      <c r="J65" s="8">
        <v>2022</v>
      </c>
      <c r="K65" s="10" t="s">
        <v>115</v>
      </c>
      <c r="L65" s="10" t="s">
        <v>116</v>
      </c>
      <c r="M65" s="8" t="s">
        <v>668</v>
      </c>
      <c r="N65" s="55" t="s">
        <v>669</v>
      </c>
      <c r="O65" s="8" t="s">
        <v>119</v>
      </c>
      <c r="P65" s="11">
        <v>998</v>
      </c>
      <c r="Q65" s="12">
        <v>44503</v>
      </c>
      <c r="R65" s="12">
        <v>44596</v>
      </c>
      <c r="S65" s="12">
        <v>44622</v>
      </c>
      <c r="T65" s="14" t="s">
        <v>120</v>
      </c>
      <c r="U65" s="12">
        <f t="shared" si="0"/>
        <v>46447</v>
      </c>
      <c r="V65" s="8">
        <f t="shared" ca="1" si="1"/>
        <v>7</v>
      </c>
      <c r="W65" s="16">
        <v>20000</v>
      </c>
      <c r="X65" s="9" t="s">
        <v>251</v>
      </c>
      <c r="Y65" s="9" t="s">
        <v>670</v>
      </c>
      <c r="Z65" s="9" t="s">
        <v>671</v>
      </c>
      <c r="AA65" s="9" t="s">
        <v>672</v>
      </c>
      <c r="AB65" s="12">
        <v>44625</v>
      </c>
      <c r="AC65" s="8">
        <f t="shared" si="4"/>
        <v>1825</v>
      </c>
      <c r="AD65" s="8">
        <f t="shared" ca="1" si="5"/>
        <v>221</v>
      </c>
      <c r="AE65" s="8">
        <f>VLOOKUP($B65, [1]렌트_계약서번호!$B$3:$E$501, 4, FALSE)</f>
        <v>22020009</v>
      </c>
      <c r="AF65" s="9">
        <v>13209603</v>
      </c>
      <c r="AG65" s="9">
        <v>200000</v>
      </c>
      <c r="AH65" s="9">
        <v>12688000</v>
      </c>
      <c r="AI65" s="9">
        <v>0</v>
      </c>
      <c r="AJ65" s="9">
        <v>2000</v>
      </c>
      <c r="AK65" s="9">
        <v>461380</v>
      </c>
      <c r="AL65" s="9">
        <v>0</v>
      </c>
      <c r="AM65" s="9">
        <v>2000</v>
      </c>
      <c r="AN65" s="9">
        <v>27000</v>
      </c>
      <c r="AO65" s="9">
        <v>30000</v>
      </c>
      <c r="AP65" s="9">
        <v>430000</v>
      </c>
      <c r="AQ65" s="9">
        <v>0</v>
      </c>
      <c r="AR65" s="9" t="s">
        <v>122</v>
      </c>
      <c r="AS65" s="9">
        <v>0</v>
      </c>
      <c r="AT65" s="9" t="s">
        <v>123</v>
      </c>
      <c r="AU65" s="9"/>
      <c r="AV65" s="57">
        <f t="shared" si="6"/>
        <v>522380</v>
      </c>
      <c r="AW65" s="8" t="s">
        <v>124</v>
      </c>
      <c r="AX65" s="17">
        <v>44503</v>
      </c>
      <c r="AY65" s="9">
        <v>1153090</v>
      </c>
      <c r="AZ65" s="9">
        <f>1035460</f>
        <v>1035460</v>
      </c>
      <c r="BA65" s="9"/>
      <c r="BB65" s="9"/>
      <c r="BC65" s="9"/>
      <c r="BD65" s="9" t="s">
        <v>125</v>
      </c>
      <c r="BE65" s="9" t="s">
        <v>126</v>
      </c>
      <c r="BF65" s="9" t="s">
        <v>255</v>
      </c>
      <c r="BG65" s="9" t="s">
        <v>128</v>
      </c>
      <c r="BH65" s="9" t="s">
        <v>129</v>
      </c>
      <c r="BI65" s="9" t="s">
        <v>130</v>
      </c>
      <c r="BJ65" s="8" t="s">
        <v>256</v>
      </c>
      <c r="BK65" s="9" t="s">
        <v>132</v>
      </c>
      <c r="BL65" s="9" t="s">
        <v>133</v>
      </c>
      <c r="BM65" s="9" t="s">
        <v>257</v>
      </c>
      <c r="BN65" s="9" t="s">
        <v>134</v>
      </c>
      <c r="BO65" s="9" t="s">
        <v>134</v>
      </c>
      <c r="BP65" s="9" t="s">
        <v>590</v>
      </c>
      <c r="BQ65" s="8"/>
      <c r="BR65" s="9">
        <f t="shared" si="7"/>
        <v>17964</v>
      </c>
      <c r="BS65" s="8" t="s">
        <v>136</v>
      </c>
      <c r="BT65" s="19"/>
      <c r="BU65" s="9"/>
      <c r="BV65" s="26"/>
      <c r="BW65" s="9"/>
      <c r="BX65" s="9">
        <f>BW65*BV65</f>
        <v>0</v>
      </c>
      <c r="BY65" s="9">
        <f>BX65-BU65</f>
        <v>0</v>
      </c>
      <c r="BZ65" s="27">
        <v>0</v>
      </c>
      <c r="CA65" s="1"/>
      <c r="CB65" s="28" t="s">
        <v>120</v>
      </c>
      <c r="CC65" s="28" t="s">
        <v>120</v>
      </c>
      <c r="CD65" s="9">
        <v>330900</v>
      </c>
      <c r="CE65" s="9">
        <f t="shared" si="10"/>
        <v>60</v>
      </c>
      <c r="CF65" s="9">
        <f t="shared" si="11"/>
        <v>19854000</v>
      </c>
      <c r="CG65" s="9"/>
      <c r="CH65" s="9"/>
      <c r="CI65" s="9">
        <v>2506900</v>
      </c>
      <c r="CJ65" s="29">
        <v>-1.2E-2</v>
      </c>
      <c r="CK65" s="30">
        <v>0.04</v>
      </c>
      <c r="CL65" s="31" t="s">
        <v>259</v>
      </c>
      <c r="CM65" s="9"/>
      <c r="CN65" s="9"/>
      <c r="CO65" s="27">
        <v>0.03</v>
      </c>
      <c r="CP65" s="22"/>
      <c r="CQ65" s="32">
        <v>0</v>
      </c>
      <c r="CR65" s="32">
        <v>0</v>
      </c>
      <c r="CS65" s="32">
        <v>0</v>
      </c>
      <c r="CT65" s="32">
        <v>0</v>
      </c>
      <c r="CU65" s="32">
        <v>0</v>
      </c>
      <c r="CV65" s="32">
        <v>0</v>
      </c>
      <c r="CW65" s="32">
        <v>0</v>
      </c>
      <c r="CX65" s="32">
        <v>0</v>
      </c>
      <c r="CY65" s="32">
        <v>0</v>
      </c>
      <c r="CZ65" s="32">
        <v>0</v>
      </c>
      <c r="DA65" s="32">
        <v>0</v>
      </c>
      <c r="DB65" s="32" t="str">
        <f t="shared" si="12"/>
        <v>기아</v>
      </c>
      <c r="DC65" s="32" t="s">
        <v>260</v>
      </c>
      <c r="DD65" s="32" t="str">
        <f t="shared" si="18"/>
        <v>렌트베네핏</v>
      </c>
      <c r="DE65" s="32"/>
      <c r="DF65" s="32"/>
      <c r="DG65" s="32"/>
      <c r="DH65" s="32" t="s">
        <v>261</v>
      </c>
      <c r="DI65" s="19" t="s">
        <v>137</v>
      </c>
      <c r="DJ65" s="22">
        <v>0.3</v>
      </c>
      <c r="DK65" s="51">
        <v>0.2</v>
      </c>
      <c r="DL65" s="32"/>
      <c r="DM65" s="20"/>
      <c r="DN65" s="32"/>
      <c r="DO65" s="32"/>
      <c r="DP65" s="22"/>
    </row>
    <row r="66" spans="1:120">
      <c r="A66" s="8">
        <v>64</v>
      </c>
      <c r="B66" s="8" t="s">
        <v>673</v>
      </c>
      <c r="C66" s="34" t="s">
        <v>244</v>
      </c>
      <c r="D66" s="8" t="s">
        <v>674</v>
      </c>
      <c r="E66" s="8" t="s">
        <v>246</v>
      </c>
      <c r="F66" s="8" t="s">
        <v>247</v>
      </c>
      <c r="G66" s="8" t="s">
        <v>248</v>
      </c>
      <c r="H66" s="8" t="s">
        <v>114</v>
      </c>
      <c r="I66" s="9">
        <v>12750000</v>
      </c>
      <c r="J66" s="8">
        <v>2022</v>
      </c>
      <c r="K66" s="10" t="s">
        <v>115</v>
      </c>
      <c r="L66" s="10" t="s">
        <v>116</v>
      </c>
      <c r="M66" s="8" t="s">
        <v>675</v>
      </c>
      <c r="N66" s="55" t="s">
        <v>676</v>
      </c>
      <c r="O66" s="8" t="s">
        <v>119</v>
      </c>
      <c r="P66" s="11">
        <v>998</v>
      </c>
      <c r="Q66" s="12">
        <v>44503</v>
      </c>
      <c r="R66" s="12">
        <v>44596</v>
      </c>
      <c r="S66" s="12">
        <v>44622</v>
      </c>
      <c r="T66" s="14" t="s">
        <v>120</v>
      </c>
      <c r="U66" s="12">
        <f t="shared" ref="U66:U129" si="19">IFERROR(S66+AC66, "-")</f>
        <v>46447</v>
      </c>
      <c r="V66" s="8">
        <f t="shared" ref="V66:V77" ca="1" si="20">IFERROR(DATEDIF(TODAY(), U66, "m"), "-")</f>
        <v>7</v>
      </c>
      <c r="W66" s="16">
        <v>20000</v>
      </c>
      <c r="X66" s="9" t="s">
        <v>677</v>
      </c>
      <c r="Y66" s="9" t="s">
        <v>678</v>
      </c>
      <c r="Z66" s="9" t="s">
        <v>679</v>
      </c>
      <c r="AA66" s="9" t="s">
        <v>680</v>
      </c>
      <c r="AB66" s="12">
        <v>44625</v>
      </c>
      <c r="AC66" s="8">
        <f t="shared" si="4"/>
        <v>1825</v>
      </c>
      <c r="AD66" s="8">
        <f t="shared" ca="1" si="5"/>
        <v>221</v>
      </c>
      <c r="AE66" s="8">
        <f>VLOOKUP($B66, [1]렌트_계약서번호!$B$3:$E$501, 4, FALSE)</f>
        <v>22020014</v>
      </c>
      <c r="AF66" s="9">
        <v>13209603</v>
      </c>
      <c r="AG66" s="9">
        <v>200000</v>
      </c>
      <c r="AH66" s="9">
        <v>12688000</v>
      </c>
      <c r="AI66" s="9">
        <v>0</v>
      </c>
      <c r="AJ66" s="9">
        <v>2000</v>
      </c>
      <c r="AK66" s="9">
        <v>461380</v>
      </c>
      <c r="AL66" s="9">
        <v>0</v>
      </c>
      <c r="AM66" s="9">
        <v>2000</v>
      </c>
      <c r="AN66" s="9">
        <v>27000</v>
      </c>
      <c r="AO66" s="9">
        <v>30000</v>
      </c>
      <c r="AP66" s="9">
        <v>430000</v>
      </c>
      <c r="AQ66" s="9">
        <v>0</v>
      </c>
      <c r="AR66" s="9" t="s">
        <v>122</v>
      </c>
      <c r="AS66" s="9">
        <v>0</v>
      </c>
      <c r="AT66" s="9" t="s">
        <v>123</v>
      </c>
      <c r="AU66" s="9"/>
      <c r="AV66" s="57">
        <f t="shared" si="6"/>
        <v>522380</v>
      </c>
      <c r="AW66" s="8" t="s">
        <v>124</v>
      </c>
      <c r="AX66" s="17">
        <v>44503</v>
      </c>
      <c r="AY66" s="9">
        <v>1153090</v>
      </c>
      <c r="AZ66" s="9">
        <f>1035460</f>
        <v>1035460</v>
      </c>
      <c r="BA66" s="9"/>
      <c r="BB66" s="9"/>
      <c r="BC66" s="9"/>
      <c r="BD66" s="9" t="s">
        <v>125</v>
      </c>
      <c r="BE66" s="9" t="s">
        <v>126</v>
      </c>
      <c r="BF66" s="9" t="s">
        <v>255</v>
      </c>
      <c r="BG66" s="9" t="s">
        <v>128</v>
      </c>
      <c r="BH66" s="9" t="s">
        <v>129</v>
      </c>
      <c r="BI66" s="9" t="s">
        <v>130</v>
      </c>
      <c r="BJ66" s="8" t="s">
        <v>256</v>
      </c>
      <c r="BK66" s="9" t="s">
        <v>132</v>
      </c>
      <c r="BL66" s="9" t="s">
        <v>133</v>
      </c>
      <c r="BM66" s="9" t="s">
        <v>257</v>
      </c>
      <c r="BN66" s="9" t="s">
        <v>134</v>
      </c>
      <c r="BO66" s="9" t="s">
        <v>134</v>
      </c>
      <c r="BP66" s="9" t="s">
        <v>590</v>
      </c>
      <c r="BQ66" s="8"/>
      <c r="BR66" s="9">
        <f t="shared" si="7"/>
        <v>17964</v>
      </c>
      <c r="BS66" s="8" t="s">
        <v>136</v>
      </c>
      <c r="BT66" s="19"/>
      <c r="BU66" s="9"/>
      <c r="BV66" s="26"/>
      <c r="BW66" s="9"/>
      <c r="BX66" s="9">
        <f>BW66*BV66</f>
        <v>0</v>
      </c>
      <c r="BY66" s="9">
        <f>BX66-BU66</f>
        <v>0</v>
      </c>
      <c r="BZ66" s="27">
        <v>0</v>
      </c>
      <c r="CA66" s="1"/>
      <c r="CB66" s="28" t="s">
        <v>120</v>
      </c>
      <c r="CC66" s="28" t="s">
        <v>120</v>
      </c>
      <c r="CD66" s="9">
        <v>330900</v>
      </c>
      <c r="CE66" s="9">
        <f t="shared" si="10"/>
        <v>60</v>
      </c>
      <c r="CF66" s="9">
        <f t="shared" si="11"/>
        <v>19854000</v>
      </c>
      <c r="CG66" s="9"/>
      <c r="CH66" s="9"/>
      <c r="CI66" s="9">
        <v>2506900</v>
      </c>
      <c r="CJ66" s="29">
        <v>-1.2E-2</v>
      </c>
      <c r="CK66" s="30">
        <v>0.04</v>
      </c>
      <c r="CL66" s="31" t="s">
        <v>259</v>
      </c>
      <c r="CM66" s="60"/>
      <c r="CN66" s="9"/>
      <c r="CO66" s="27">
        <v>0.03</v>
      </c>
      <c r="CP66" s="22"/>
      <c r="CQ66" s="32">
        <v>0</v>
      </c>
      <c r="CR66" s="32">
        <v>0</v>
      </c>
      <c r="CS66" s="32">
        <v>0</v>
      </c>
      <c r="CT66" s="32">
        <v>0</v>
      </c>
      <c r="CU66" s="32">
        <v>0</v>
      </c>
      <c r="CV66" s="32">
        <v>0</v>
      </c>
      <c r="CW66" s="32">
        <v>0</v>
      </c>
      <c r="CX66" s="32">
        <v>0</v>
      </c>
      <c r="CY66" s="32">
        <v>0</v>
      </c>
      <c r="CZ66" s="32">
        <v>0</v>
      </c>
      <c r="DA66" s="32">
        <v>0</v>
      </c>
      <c r="DB66" s="32" t="str">
        <f t="shared" si="12"/>
        <v>기아</v>
      </c>
      <c r="DC66" s="32" t="s">
        <v>260</v>
      </c>
      <c r="DD66" s="32" t="str">
        <f t="shared" si="18"/>
        <v>렌트베네핏</v>
      </c>
      <c r="DE66" s="32"/>
      <c r="DF66" s="32"/>
      <c r="DG66" s="32"/>
      <c r="DH66" s="32" t="s">
        <v>261</v>
      </c>
      <c r="DI66" s="19" t="s">
        <v>137</v>
      </c>
      <c r="DJ66" s="22">
        <v>0.3</v>
      </c>
      <c r="DK66" s="51">
        <v>0.2</v>
      </c>
      <c r="DL66" s="32"/>
      <c r="DM66" s="20"/>
      <c r="DN66" s="32"/>
      <c r="DO66" s="32"/>
      <c r="DP66" s="22"/>
    </row>
    <row r="67" spans="1:120">
      <c r="A67" s="8">
        <v>65</v>
      </c>
      <c r="B67" s="8" t="s">
        <v>681</v>
      </c>
      <c r="C67" s="34" t="s">
        <v>244</v>
      </c>
      <c r="D67" s="8" t="s">
        <v>682</v>
      </c>
      <c r="E67" s="8" t="s">
        <v>683</v>
      </c>
      <c r="F67" s="8" t="s">
        <v>684</v>
      </c>
      <c r="G67" s="8" t="s">
        <v>685</v>
      </c>
      <c r="H67" s="8" t="s">
        <v>568</v>
      </c>
      <c r="I67" s="9">
        <v>229320000</v>
      </c>
      <c r="J67" s="8">
        <v>2022</v>
      </c>
      <c r="K67" s="10" t="s">
        <v>538</v>
      </c>
      <c r="L67" s="10" t="s">
        <v>116</v>
      </c>
      <c r="M67" s="8" t="s">
        <v>686</v>
      </c>
      <c r="N67" s="55" t="s">
        <v>687</v>
      </c>
      <c r="O67" s="8" t="s">
        <v>119</v>
      </c>
      <c r="P67" s="11">
        <v>3982</v>
      </c>
      <c r="Q67" s="12">
        <v>44623</v>
      </c>
      <c r="R67" s="12">
        <v>44620</v>
      </c>
      <c r="S67" s="12">
        <v>44628</v>
      </c>
      <c r="T67" s="14" t="s">
        <v>120</v>
      </c>
      <c r="U67" s="12">
        <f t="shared" si="19"/>
        <v>46453</v>
      </c>
      <c r="V67" s="8">
        <f t="shared" ca="1" si="20"/>
        <v>7</v>
      </c>
      <c r="W67" s="16">
        <v>20000</v>
      </c>
      <c r="X67" s="8" t="s">
        <v>683</v>
      </c>
      <c r="Y67" s="8" t="s">
        <v>684</v>
      </c>
      <c r="Z67" s="9"/>
      <c r="AA67" s="9" t="s">
        <v>688</v>
      </c>
      <c r="AB67" s="12">
        <v>44645</v>
      </c>
      <c r="AC67" s="8">
        <f t="shared" si="4"/>
        <v>1825</v>
      </c>
      <c r="AD67" s="8">
        <f t="shared" ca="1" si="5"/>
        <v>227</v>
      </c>
      <c r="AE67" s="8">
        <f>VLOOKUP($B67, [1]렌트_계약서번호!$B$3:$E$501, 4, FALSE)</f>
        <v>22020016</v>
      </c>
      <c r="AF67" s="9">
        <v>220147200</v>
      </c>
      <c r="AG67" s="9">
        <f>AF67*4%</f>
        <v>8805888</v>
      </c>
      <c r="AH67" s="9">
        <f>AF67-AG67</f>
        <v>211341312</v>
      </c>
      <c r="AI67" s="9"/>
      <c r="AJ67" s="9"/>
      <c r="AK67" s="9">
        <v>8005350</v>
      </c>
      <c r="AL67" s="9">
        <v>716058</v>
      </c>
      <c r="AM67" s="9">
        <v>5000</v>
      </c>
      <c r="AN67" s="9">
        <v>21500</v>
      </c>
      <c r="AO67" s="9">
        <v>30000</v>
      </c>
      <c r="AP67" s="9">
        <v>0</v>
      </c>
      <c r="AQ67" s="9"/>
      <c r="AR67" s="9" t="s">
        <v>205</v>
      </c>
      <c r="AS67" s="9">
        <v>240000</v>
      </c>
      <c r="AT67" s="9" t="s">
        <v>206</v>
      </c>
      <c r="AU67" s="9">
        <f>8777908</f>
        <v>8777908</v>
      </c>
      <c r="AV67" s="57">
        <f t="shared" si="6"/>
        <v>9017908</v>
      </c>
      <c r="AW67" s="13" t="s">
        <v>543</v>
      </c>
      <c r="AX67" s="17">
        <v>44628</v>
      </c>
      <c r="AY67" s="9">
        <f>8205580-1172880</f>
        <v>7032700</v>
      </c>
      <c r="AZ67" s="9">
        <f>1160880</f>
        <v>1160880</v>
      </c>
      <c r="BA67" s="9"/>
      <c r="BB67" s="9"/>
      <c r="BC67" s="9"/>
      <c r="BD67" s="9" t="s">
        <v>125</v>
      </c>
      <c r="BE67" s="9" t="s">
        <v>126</v>
      </c>
      <c r="BF67" s="9" t="s">
        <v>187</v>
      </c>
      <c r="BG67" s="9" t="s">
        <v>188</v>
      </c>
      <c r="BH67" s="9" t="s">
        <v>129</v>
      </c>
      <c r="BI67" s="9" t="s">
        <v>189</v>
      </c>
      <c r="BJ67" s="8" t="s">
        <v>256</v>
      </c>
      <c r="BK67" s="9" t="s">
        <v>132</v>
      </c>
      <c r="BL67" s="9" t="s">
        <v>133</v>
      </c>
      <c r="BM67" s="9" t="s">
        <v>257</v>
      </c>
      <c r="BN67" s="9" t="s">
        <v>134</v>
      </c>
      <c r="BO67" s="9" t="s">
        <v>134</v>
      </c>
      <c r="BP67" s="9"/>
      <c r="BQ67" s="8"/>
      <c r="BR67" s="9">
        <f t="shared" si="7"/>
        <v>95568</v>
      </c>
      <c r="BS67" s="8" t="s">
        <v>136</v>
      </c>
      <c r="BT67" s="19"/>
      <c r="BU67" s="9"/>
      <c r="BV67" s="26"/>
      <c r="BW67" s="9"/>
      <c r="BX67" s="9"/>
      <c r="BY67" s="9"/>
      <c r="BZ67" s="27">
        <v>0</v>
      </c>
      <c r="CA67" s="1"/>
      <c r="CB67" s="28" t="s">
        <v>385</v>
      </c>
      <c r="CC67" s="28" t="s">
        <v>385</v>
      </c>
      <c r="CD67" s="9">
        <v>1828200</v>
      </c>
      <c r="CE67" s="9">
        <f t="shared" si="10"/>
        <v>60</v>
      </c>
      <c r="CF67" s="9">
        <f t="shared" si="11"/>
        <v>109692000</v>
      </c>
      <c r="CG67" s="9">
        <v>84848400</v>
      </c>
      <c r="CH67" s="9">
        <v>98607600</v>
      </c>
      <c r="CI67" s="9">
        <v>84848400</v>
      </c>
      <c r="CJ67" s="29">
        <v>3.2000000000000001E-2</v>
      </c>
      <c r="CK67" s="30">
        <v>0.06</v>
      </c>
      <c r="CL67" s="31" t="s">
        <v>689</v>
      </c>
      <c r="CM67" s="9"/>
      <c r="CN67" s="9"/>
      <c r="CO67" s="27">
        <v>0.03</v>
      </c>
      <c r="CP67" s="22"/>
      <c r="CQ67" s="32">
        <v>0</v>
      </c>
      <c r="CR67" s="32">
        <v>0</v>
      </c>
      <c r="CS67" s="32">
        <v>0</v>
      </c>
      <c r="CT67" s="32">
        <v>0</v>
      </c>
      <c r="CU67" s="32">
        <v>0</v>
      </c>
      <c r="CV67" s="32">
        <v>0</v>
      </c>
      <c r="CW67" s="32">
        <v>0</v>
      </c>
      <c r="CX67" s="32">
        <v>0</v>
      </c>
      <c r="CY67" s="32">
        <v>0</v>
      </c>
      <c r="CZ67" s="32">
        <v>0</v>
      </c>
      <c r="DA67" s="32">
        <v>0</v>
      </c>
      <c r="DB67" s="32" t="str">
        <f t="shared" si="12"/>
        <v>한성</v>
      </c>
      <c r="DC67" s="32" t="s">
        <v>578</v>
      </c>
      <c r="DD67" s="32" t="str">
        <f t="shared" si="18"/>
        <v>청담</v>
      </c>
      <c r="DE67" s="32"/>
      <c r="DF67" s="32"/>
      <c r="DG67" s="32"/>
      <c r="DH67" s="32" t="s">
        <v>690</v>
      </c>
      <c r="DI67" s="19" t="s">
        <v>688</v>
      </c>
      <c r="DJ67" s="22">
        <v>0.3</v>
      </c>
      <c r="DK67" s="51">
        <v>0.2</v>
      </c>
      <c r="DL67" s="32"/>
      <c r="DM67" s="20"/>
      <c r="DN67" s="32"/>
      <c r="DO67" s="32"/>
      <c r="DP67" s="22"/>
    </row>
    <row r="68" spans="1:120">
      <c r="A68" s="8">
        <v>66</v>
      </c>
      <c r="B68" s="8" t="s">
        <v>691</v>
      </c>
      <c r="C68" s="34" t="s">
        <v>244</v>
      </c>
      <c r="D68" s="8" t="s">
        <v>692</v>
      </c>
      <c r="E68" s="8" t="s">
        <v>693</v>
      </c>
      <c r="F68" s="8" t="s">
        <v>694</v>
      </c>
      <c r="G68" s="8" t="s">
        <v>152</v>
      </c>
      <c r="H68" s="8" t="s">
        <v>153</v>
      </c>
      <c r="I68" s="9">
        <v>38450000</v>
      </c>
      <c r="J68" s="8">
        <v>2022</v>
      </c>
      <c r="K68" s="10" t="s">
        <v>695</v>
      </c>
      <c r="L68" s="10" t="s">
        <v>116</v>
      </c>
      <c r="M68" s="8" t="s">
        <v>696</v>
      </c>
      <c r="N68" s="8" t="s">
        <v>697</v>
      </c>
      <c r="O68" s="8" t="s">
        <v>119</v>
      </c>
      <c r="P68" s="11">
        <v>2497</v>
      </c>
      <c r="Q68" s="12">
        <v>44642</v>
      </c>
      <c r="R68" s="12">
        <v>44575</v>
      </c>
      <c r="S68" s="12">
        <v>44645</v>
      </c>
      <c r="T68" s="14" t="s">
        <v>120</v>
      </c>
      <c r="U68" s="12">
        <f t="shared" si="19"/>
        <v>46470</v>
      </c>
      <c r="V68" s="8">
        <f t="shared" ca="1" si="20"/>
        <v>8</v>
      </c>
      <c r="W68" s="16">
        <v>50000</v>
      </c>
      <c r="X68" s="9" t="s">
        <v>698</v>
      </c>
      <c r="Y68" s="9" t="s">
        <v>699</v>
      </c>
      <c r="Z68" s="9"/>
      <c r="AA68" s="9" t="s">
        <v>700</v>
      </c>
      <c r="AB68" s="12">
        <v>44666</v>
      </c>
      <c r="AC68" s="8">
        <f t="shared" si="4"/>
        <v>1825</v>
      </c>
      <c r="AD68" s="8">
        <f t="shared" ca="1" si="5"/>
        <v>244</v>
      </c>
      <c r="AE68" s="8">
        <f>VLOOKUP($B68, [1]렌트_계약서번호!$B$3:$E$501, 4, FALSE)</f>
        <v>22010004</v>
      </c>
      <c r="AF68" s="9">
        <v>36037286</v>
      </c>
      <c r="AG68" s="9">
        <v>1538000</v>
      </c>
      <c r="AH68" s="9">
        <f>AF68-AG68</f>
        <v>34499286</v>
      </c>
      <c r="AI68" s="9"/>
      <c r="AJ68" s="9"/>
      <c r="AK68" s="9">
        <v>1310370</v>
      </c>
      <c r="AL68" s="9">
        <v>123060</v>
      </c>
      <c r="AM68" s="9">
        <v>2000</v>
      </c>
      <c r="AN68" s="9">
        <v>4500</v>
      </c>
      <c r="AO68" s="9">
        <v>50000</v>
      </c>
      <c r="AP68" s="9">
        <v>1148000</v>
      </c>
      <c r="AQ68" s="9">
        <v>132000</v>
      </c>
      <c r="AR68" s="9" t="s">
        <v>487</v>
      </c>
      <c r="AS68" s="9">
        <v>198000</v>
      </c>
      <c r="AT68" s="9" t="s">
        <v>701</v>
      </c>
      <c r="AU68" s="9">
        <f>1530430</f>
        <v>1530430</v>
      </c>
      <c r="AV68" s="57">
        <f t="shared" si="6"/>
        <v>1819930</v>
      </c>
      <c r="AW68" s="8" t="s">
        <v>124</v>
      </c>
      <c r="AX68" s="17">
        <v>44642</v>
      </c>
      <c r="AY68" s="9">
        <f>2222740-693000</f>
        <v>1529740</v>
      </c>
      <c r="AZ68" s="9"/>
      <c r="BA68" s="9"/>
      <c r="BB68" s="9"/>
      <c r="BC68" s="9"/>
      <c r="BD68" s="9" t="s">
        <v>125</v>
      </c>
      <c r="BE68" s="9" t="s">
        <v>126</v>
      </c>
      <c r="BF68" s="9" t="s">
        <v>255</v>
      </c>
      <c r="BG68" s="9" t="s">
        <v>128</v>
      </c>
      <c r="BH68" s="9" t="s">
        <v>129</v>
      </c>
      <c r="BI68" s="9" t="s">
        <v>130</v>
      </c>
      <c r="BJ68" s="8" t="s">
        <v>256</v>
      </c>
      <c r="BK68" s="9" t="s">
        <v>132</v>
      </c>
      <c r="BL68" s="9" t="s">
        <v>133</v>
      </c>
      <c r="BM68" s="9" t="s">
        <v>133</v>
      </c>
      <c r="BN68" s="9" t="s">
        <v>133</v>
      </c>
      <c r="BO68" s="9" t="s">
        <v>702</v>
      </c>
      <c r="BP68" s="9" t="s">
        <v>159</v>
      </c>
      <c r="BQ68" s="8"/>
      <c r="BR68" s="9">
        <f t="shared" si="7"/>
        <v>47443</v>
      </c>
      <c r="BS68" s="8" t="s">
        <v>136</v>
      </c>
      <c r="BT68" s="19"/>
      <c r="BU68" s="9"/>
      <c r="BV68" s="26"/>
      <c r="BW68" s="9"/>
      <c r="BX68" s="9"/>
      <c r="BY68" s="9"/>
      <c r="BZ68" s="27">
        <v>0</v>
      </c>
      <c r="CA68" s="1"/>
      <c r="CB68" s="28" t="s">
        <v>402</v>
      </c>
      <c r="CC68" s="28" t="s">
        <v>402</v>
      </c>
      <c r="CD68" s="9">
        <v>830000</v>
      </c>
      <c r="CE68" s="9">
        <f t="shared" si="10"/>
        <v>60</v>
      </c>
      <c r="CF68" s="9">
        <f t="shared" si="11"/>
        <v>49800000</v>
      </c>
      <c r="CG68" s="9">
        <v>7690000</v>
      </c>
      <c r="CH68" s="9">
        <v>0</v>
      </c>
      <c r="CI68" s="9">
        <v>10112350</v>
      </c>
      <c r="CJ68" s="29">
        <v>0</v>
      </c>
      <c r="CK68" s="30">
        <v>0.06</v>
      </c>
      <c r="CL68" s="31" t="s">
        <v>703</v>
      </c>
      <c r="CM68" s="9"/>
      <c r="CN68" s="9"/>
      <c r="CO68" s="27">
        <v>0.03</v>
      </c>
      <c r="CP68" s="22"/>
      <c r="CQ68" s="32" t="s">
        <v>704</v>
      </c>
      <c r="CR68" s="32">
        <v>34100</v>
      </c>
      <c r="CS68" s="32">
        <v>0</v>
      </c>
      <c r="CT68" s="32">
        <v>0</v>
      </c>
      <c r="CU68" s="32">
        <v>0</v>
      </c>
      <c r="CV68" s="32">
        <v>0</v>
      </c>
      <c r="CW68" s="32">
        <v>0</v>
      </c>
      <c r="CX68" s="32">
        <v>0</v>
      </c>
      <c r="CY68" s="32">
        <v>0</v>
      </c>
      <c r="CZ68" s="32">
        <v>0</v>
      </c>
      <c r="DA68" s="32">
        <v>214100</v>
      </c>
      <c r="DB68" s="32" t="str">
        <f t="shared" si="12"/>
        <v>기아</v>
      </c>
      <c r="DC68" s="32" t="s">
        <v>260</v>
      </c>
      <c r="DD68" s="32" t="str">
        <f t="shared" si="18"/>
        <v>렌트베네핏</v>
      </c>
      <c r="DE68" s="32"/>
      <c r="DF68" s="32" t="s">
        <v>705</v>
      </c>
      <c r="DG68" s="32" t="s">
        <v>706</v>
      </c>
      <c r="DH68" s="32" t="s">
        <v>707</v>
      </c>
      <c r="DI68" s="32" t="s">
        <v>708</v>
      </c>
      <c r="DJ68" s="22">
        <v>0.3</v>
      </c>
      <c r="DK68" s="51">
        <v>0.2</v>
      </c>
      <c r="DL68" s="32"/>
      <c r="DM68" s="20"/>
      <c r="DN68" s="32"/>
      <c r="DO68" s="32"/>
      <c r="DP68" s="22"/>
    </row>
    <row r="69" spans="1:120">
      <c r="A69" s="8">
        <v>67</v>
      </c>
      <c r="B69" s="8" t="s">
        <v>709</v>
      </c>
      <c r="C69" s="8" t="s">
        <v>208</v>
      </c>
      <c r="D69" s="8" t="s">
        <v>710</v>
      </c>
      <c r="E69" s="8" t="s">
        <v>711</v>
      </c>
      <c r="F69" s="8" t="s">
        <v>712</v>
      </c>
      <c r="G69" s="8" t="s">
        <v>713</v>
      </c>
      <c r="H69" s="8" t="s">
        <v>714</v>
      </c>
      <c r="I69" s="9">
        <v>87000000</v>
      </c>
      <c r="J69" s="8">
        <v>2022</v>
      </c>
      <c r="K69" s="10" t="s">
        <v>715</v>
      </c>
      <c r="L69" s="10" t="s">
        <v>116</v>
      </c>
      <c r="M69" s="8" t="s">
        <v>716</v>
      </c>
      <c r="N69" s="8" t="s">
        <v>717</v>
      </c>
      <c r="O69" s="8" t="s">
        <v>119</v>
      </c>
      <c r="P69" s="11">
        <v>3342</v>
      </c>
      <c r="Q69" s="12">
        <v>44652</v>
      </c>
      <c r="R69" s="12">
        <v>44649</v>
      </c>
      <c r="S69" s="12">
        <v>44652</v>
      </c>
      <c r="T69" s="14" t="s">
        <v>556</v>
      </c>
      <c r="U69" s="12">
        <f t="shared" si="19"/>
        <v>46112</v>
      </c>
      <c r="V69" s="8" t="str">
        <f t="shared" ca="1" si="20"/>
        <v>-</v>
      </c>
      <c r="W69" s="16">
        <v>20000</v>
      </c>
      <c r="X69" s="8" t="s">
        <v>718</v>
      </c>
      <c r="Y69" s="8" t="s">
        <v>712</v>
      </c>
      <c r="Z69" s="9"/>
      <c r="AA69" s="9" t="s">
        <v>719</v>
      </c>
      <c r="AB69" s="12">
        <v>44676</v>
      </c>
      <c r="AC69" s="8">
        <f t="shared" si="4"/>
        <v>1460</v>
      </c>
      <c r="AD69" s="8">
        <f t="shared" ca="1" si="5"/>
        <v>-114</v>
      </c>
      <c r="AE69" s="8" t="e">
        <f>VLOOKUP($B69, [1]렌트_계약서번호!$B$3:$E$501, 4, FALSE)</f>
        <v>#N/A</v>
      </c>
      <c r="AF69" s="9">
        <v>81586141</v>
      </c>
      <c r="AG69" s="9">
        <v>5509859</v>
      </c>
      <c r="AH69" s="9">
        <f>AF69-AG69</f>
        <v>76076282</v>
      </c>
      <c r="AI69" s="9">
        <v>94000</v>
      </c>
      <c r="AJ69" s="9">
        <v>2000</v>
      </c>
      <c r="AK69" s="9">
        <v>2966690</v>
      </c>
      <c r="AL69" s="9">
        <v>311500</v>
      </c>
      <c r="AM69" s="9">
        <v>2000</v>
      </c>
      <c r="AN69" s="9">
        <v>47000</v>
      </c>
      <c r="AO69" s="9">
        <v>50000</v>
      </c>
      <c r="AP69" s="9">
        <v>2235000</v>
      </c>
      <c r="AQ69" s="9">
        <v>132000</v>
      </c>
      <c r="AR69" s="9" t="s">
        <v>487</v>
      </c>
      <c r="AS69" s="9">
        <v>220000</v>
      </c>
      <c r="AT69" s="9" t="s">
        <v>206</v>
      </c>
      <c r="AU69" s="9">
        <f>3381140</f>
        <v>3381140</v>
      </c>
      <c r="AV69" s="57">
        <f t="shared" si="6"/>
        <v>3825190</v>
      </c>
      <c r="AW69" s="8" t="s">
        <v>124</v>
      </c>
      <c r="AX69" s="17">
        <v>44652</v>
      </c>
      <c r="AY69" s="9">
        <f>3716280-1705650</f>
        <v>2010630</v>
      </c>
      <c r="AZ69" s="9"/>
      <c r="BA69" s="9"/>
      <c r="BB69" s="9"/>
      <c r="BC69" s="9"/>
      <c r="BD69" s="9" t="s">
        <v>125</v>
      </c>
      <c r="BE69" s="9" t="s">
        <v>126</v>
      </c>
      <c r="BF69" s="9" t="s">
        <v>187</v>
      </c>
      <c r="BG69" s="9" t="s">
        <v>188</v>
      </c>
      <c r="BH69" s="9" t="s">
        <v>129</v>
      </c>
      <c r="BI69" s="9" t="s">
        <v>189</v>
      </c>
      <c r="BJ69" s="8" t="s">
        <v>720</v>
      </c>
      <c r="BK69" s="9" t="s">
        <v>132</v>
      </c>
      <c r="BL69" s="9" t="s">
        <v>133</v>
      </c>
      <c r="BM69" s="9" t="s">
        <v>133</v>
      </c>
      <c r="BN69" s="9" t="s">
        <v>133</v>
      </c>
      <c r="BO69" s="9" t="s">
        <v>133</v>
      </c>
      <c r="BP69" s="9" t="s">
        <v>721</v>
      </c>
      <c r="BQ69" s="8"/>
      <c r="BR69" s="9">
        <f t="shared" si="7"/>
        <v>80208</v>
      </c>
      <c r="BS69" s="8" t="s">
        <v>136</v>
      </c>
      <c r="BT69" s="19"/>
      <c r="BU69" s="9"/>
      <c r="BV69" s="26"/>
      <c r="BW69" s="9"/>
      <c r="BX69" s="9"/>
      <c r="BY69" s="9"/>
      <c r="BZ69" s="27">
        <v>0</v>
      </c>
      <c r="CA69" s="1"/>
      <c r="CB69" s="28" t="s">
        <v>385</v>
      </c>
      <c r="CC69" s="28" t="s">
        <v>385</v>
      </c>
      <c r="CD69" s="9">
        <v>1690000</v>
      </c>
      <c r="CE69" s="9">
        <f t="shared" si="10"/>
        <v>48</v>
      </c>
      <c r="CF69" s="9">
        <f t="shared" si="11"/>
        <v>81120000</v>
      </c>
      <c r="CG69" s="9">
        <v>0</v>
      </c>
      <c r="CH69" s="9">
        <v>0</v>
      </c>
      <c r="CI69" s="9">
        <v>39000000</v>
      </c>
      <c r="CJ69" s="29">
        <v>0</v>
      </c>
      <c r="CK69" s="30">
        <v>0.06</v>
      </c>
      <c r="CL69" s="31" t="s">
        <v>722</v>
      </c>
      <c r="CM69" s="9"/>
      <c r="CN69" s="9"/>
      <c r="CO69" s="27">
        <v>0.03</v>
      </c>
      <c r="CP69" s="22"/>
      <c r="CQ69" s="32">
        <v>0</v>
      </c>
      <c r="CR69" s="32">
        <v>0</v>
      </c>
      <c r="CS69" s="32">
        <v>0</v>
      </c>
      <c r="CT69" s="32">
        <v>0</v>
      </c>
      <c r="CU69" s="32">
        <v>0</v>
      </c>
      <c r="CV69" s="32">
        <v>0</v>
      </c>
      <c r="CW69" s="32">
        <v>0</v>
      </c>
      <c r="CX69" s="32">
        <v>0</v>
      </c>
      <c r="CY69" s="32">
        <v>0</v>
      </c>
      <c r="CZ69" s="32">
        <v>0</v>
      </c>
      <c r="DA69" s="32">
        <v>220000</v>
      </c>
      <c r="DB69" s="32" t="str">
        <f t="shared" si="12"/>
        <v>기아</v>
      </c>
      <c r="DC69" s="32" t="s">
        <v>260</v>
      </c>
      <c r="DD69" s="32" t="str">
        <f t="shared" si="18"/>
        <v>렌트베네핏</v>
      </c>
      <c r="DE69" s="32"/>
      <c r="DF69" s="32"/>
      <c r="DG69" s="32"/>
      <c r="DH69" s="32" t="s">
        <v>261</v>
      </c>
      <c r="DI69" s="19" t="s">
        <v>137</v>
      </c>
      <c r="DJ69" s="22">
        <v>0.3</v>
      </c>
      <c r="DK69" s="51">
        <v>0.2</v>
      </c>
      <c r="DL69" s="32"/>
      <c r="DM69" s="20"/>
      <c r="DN69" s="32"/>
      <c r="DO69" s="32"/>
      <c r="DP69" s="22"/>
    </row>
    <row r="70" spans="1:120">
      <c r="A70" s="8">
        <v>68</v>
      </c>
      <c r="B70" s="8" t="s">
        <v>723</v>
      </c>
      <c r="C70" s="34" t="s">
        <v>244</v>
      </c>
      <c r="D70" s="8" t="s">
        <v>724</v>
      </c>
      <c r="E70" s="8" t="s">
        <v>724</v>
      </c>
      <c r="F70" s="8" t="s">
        <v>725</v>
      </c>
      <c r="G70" s="8" t="s">
        <v>536</v>
      </c>
      <c r="H70" s="8" t="s">
        <v>537</v>
      </c>
      <c r="I70" s="9">
        <v>245600000</v>
      </c>
      <c r="J70" s="8">
        <v>2021</v>
      </c>
      <c r="K70" s="10" t="s">
        <v>726</v>
      </c>
      <c r="L70" s="10" t="s">
        <v>116</v>
      </c>
      <c r="M70" s="8" t="s">
        <v>727</v>
      </c>
      <c r="N70" s="8" t="s">
        <v>728</v>
      </c>
      <c r="O70" s="8" t="s">
        <v>119</v>
      </c>
      <c r="P70" s="11">
        <v>3982</v>
      </c>
      <c r="Q70" s="12">
        <v>44655</v>
      </c>
      <c r="R70" s="12">
        <v>44655</v>
      </c>
      <c r="S70" s="12">
        <v>45751</v>
      </c>
      <c r="T70" s="14" t="s">
        <v>729</v>
      </c>
      <c r="U70" s="12">
        <f t="shared" si="19"/>
        <v>46481</v>
      </c>
      <c r="V70" s="8">
        <f t="shared" ca="1" si="20"/>
        <v>8</v>
      </c>
      <c r="W70" s="16">
        <v>20000</v>
      </c>
      <c r="X70" s="8" t="s">
        <v>724</v>
      </c>
      <c r="Y70" s="8" t="s">
        <v>725</v>
      </c>
      <c r="Z70" s="9"/>
      <c r="AA70" s="9" t="s">
        <v>730</v>
      </c>
      <c r="AB70" s="12">
        <v>45772</v>
      </c>
      <c r="AC70" s="8">
        <f t="shared" si="4"/>
        <v>730</v>
      </c>
      <c r="AD70" s="8">
        <f t="shared" ca="1" si="5"/>
        <v>255</v>
      </c>
      <c r="AE70" s="8">
        <f>VLOOKUP($B70, [1]렌트_계약서번호!$B$3:$E$501, 4, FALSE)</f>
        <v>22040014</v>
      </c>
      <c r="AF70" s="9">
        <v>245600000</v>
      </c>
      <c r="AG70" s="9"/>
      <c r="AH70" s="9">
        <f>AF70-AG70</f>
        <v>245600000</v>
      </c>
      <c r="AI70" s="9"/>
      <c r="AJ70" s="9">
        <v>2000</v>
      </c>
      <c r="AK70" s="9">
        <v>8930900</v>
      </c>
      <c r="AL70" s="9">
        <v>656053</v>
      </c>
      <c r="AM70" s="9">
        <v>5000</v>
      </c>
      <c r="AN70" s="9">
        <v>21500</v>
      </c>
      <c r="AO70" s="9">
        <v>30000</v>
      </c>
      <c r="AP70" s="9">
        <v>0</v>
      </c>
      <c r="AQ70" s="9"/>
      <c r="AR70" s="9" t="s">
        <v>205</v>
      </c>
      <c r="AS70" s="9"/>
      <c r="AT70" s="9" t="s">
        <v>206</v>
      </c>
      <c r="AU70" s="9">
        <f>9643453</f>
        <v>9643453</v>
      </c>
      <c r="AV70" s="57">
        <f t="shared" si="6"/>
        <v>9645453</v>
      </c>
      <c r="AW70" s="13" t="s">
        <v>543</v>
      </c>
      <c r="AX70" s="17">
        <v>44655</v>
      </c>
      <c r="AY70" s="9">
        <f>8766060-5296620</f>
        <v>3469440</v>
      </c>
      <c r="AZ70" s="9"/>
      <c r="BA70" s="9"/>
      <c r="BB70" s="9"/>
      <c r="BC70" s="9"/>
      <c r="BD70" s="9" t="s">
        <v>125</v>
      </c>
      <c r="BE70" s="9" t="s">
        <v>126</v>
      </c>
      <c r="BF70" s="9" t="s">
        <v>187</v>
      </c>
      <c r="BG70" s="9" t="s">
        <v>188</v>
      </c>
      <c r="BH70" s="9" t="s">
        <v>129</v>
      </c>
      <c r="BI70" s="9" t="s">
        <v>189</v>
      </c>
      <c r="BJ70" s="8" t="s">
        <v>131</v>
      </c>
      <c r="BK70" s="9" t="s">
        <v>132</v>
      </c>
      <c r="BL70" s="9" t="s">
        <v>133</v>
      </c>
      <c r="BM70" s="9" t="s">
        <v>257</v>
      </c>
      <c r="BN70" s="9" t="s">
        <v>134</v>
      </c>
      <c r="BO70" s="9" t="s">
        <v>134</v>
      </c>
      <c r="BP70" s="9" t="s">
        <v>731</v>
      </c>
      <c r="BQ70" s="8"/>
      <c r="BR70" s="9">
        <f t="shared" si="7"/>
        <v>95568</v>
      </c>
      <c r="BS70" s="8" t="s">
        <v>136</v>
      </c>
      <c r="BT70" s="19"/>
      <c r="BU70" s="9"/>
      <c r="BV70" s="26"/>
      <c r="BW70" s="9"/>
      <c r="BX70" s="9"/>
      <c r="BY70" s="9"/>
      <c r="BZ70" s="27">
        <v>0</v>
      </c>
      <c r="CA70" s="1"/>
      <c r="CB70" s="28" t="s">
        <v>385</v>
      </c>
      <c r="CC70" s="28" t="s">
        <v>385</v>
      </c>
      <c r="CD70" s="9">
        <v>469000</v>
      </c>
      <c r="CE70" s="9">
        <f t="shared" si="10"/>
        <v>24</v>
      </c>
      <c r="CF70" s="9">
        <f t="shared" si="11"/>
        <v>11256000</v>
      </c>
      <c r="CG70" s="9">
        <v>90872000</v>
      </c>
      <c r="CH70" s="9">
        <v>0</v>
      </c>
      <c r="CI70" s="9">
        <v>90872000</v>
      </c>
      <c r="CJ70" s="29">
        <v>2.5999999999999999E-2</v>
      </c>
      <c r="CK70" s="30">
        <v>0.06</v>
      </c>
      <c r="CL70" s="9" t="s">
        <v>732</v>
      </c>
      <c r="CM70" s="9"/>
      <c r="CN70" s="9"/>
      <c r="CO70" s="27">
        <v>0.03</v>
      </c>
      <c r="CP70" s="22"/>
      <c r="CQ70" s="32">
        <v>0</v>
      </c>
      <c r="CR70" s="32">
        <v>0</v>
      </c>
      <c r="CS70" s="32">
        <v>0</v>
      </c>
      <c r="CT70" s="32">
        <v>0</v>
      </c>
      <c r="CU70" s="32">
        <v>0</v>
      </c>
      <c r="CV70" s="32">
        <v>0</v>
      </c>
      <c r="CW70" s="32">
        <v>0</v>
      </c>
      <c r="CX70" s="32">
        <v>0</v>
      </c>
      <c r="CY70" s="32">
        <v>0</v>
      </c>
      <c r="CZ70" s="32">
        <v>0</v>
      </c>
      <c r="DA70" s="32">
        <v>0</v>
      </c>
      <c r="DB70" s="32" t="str">
        <f t="shared" si="12"/>
        <v>한성</v>
      </c>
      <c r="DC70" s="61" t="s">
        <v>733</v>
      </c>
      <c r="DD70" s="32" t="str">
        <f t="shared" si="18"/>
        <v>방배</v>
      </c>
      <c r="DE70" s="61"/>
      <c r="DF70" s="61" t="s">
        <v>734</v>
      </c>
      <c r="DG70" s="32" t="s">
        <v>735</v>
      </c>
      <c r="DH70" s="32" t="s">
        <v>736</v>
      </c>
      <c r="DI70" s="19" t="s">
        <v>137</v>
      </c>
      <c r="DJ70" s="22">
        <v>0.3</v>
      </c>
      <c r="DK70" s="51">
        <v>0.2</v>
      </c>
      <c r="DL70" s="32"/>
      <c r="DM70" s="20"/>
      <c r="DN70" s="32"/>
      <c r="DO70" s="32"/>
      <c r="DP70" s="22"/>
    </row>
    <row r="71" spans="1:120">
      <c r="A71" s="8">
        <v>69</v>
      </c>
      <c r="B71" s="8" t="s">
        <v>737</v>
      </c>
      <c r="C71" s="34" t="s">
        <v>244</v>
      </c>
      <c r="D71" s="8" t="s">
        <v>738</v>
      </c>
      <c r="E71" s="8" t="s">
        <v>246</v>
      </c>
      <c r="F71" s="8" t="s">
        <v>739</v>
      </c>
      <c r="G71" s="8" t="s">
        <v>248</v>
      </c>
      <c r="H71" s="8" t="s">
        <v>114</v>
      </c>
      <c r="I71" s="9">
        <v>12750000</v>
      </c>
      <c r="J71" s="8">
        <v>2022</v>
      </c>
      <c r="K71" s="10" t="s">
        <v>115</v>
      </c>
      <c r="L71" s="10" t="s">
        <v>116</v>
      </c>
      <c r="M71" s="8" t="s">
        <v>740</v>
      </c>
      <c r="N71" s="8" t="s">
        <v>741</v>
      </c>
      <c r="O71" s="8" t="s">
        <v>119</v>
      </c>
      <c r="P71" s="11">
        <v>998</v>
      </c>
      <c r="Q71" s="12">
        <v>44503</v>
      </c>
      <c r="R71" s="12">
        <v>44666</v>
      </c>
      <c r="S71" s="12">
        <v>44669</v>
      </c>
      <c r="T71" s="14" t="s">
        <v>120</v>
      </c>
      <c r="U71" s="12">
        <f t="shared" si="19"/>
        <v>46494</v>
      </c>
      <c r="V71" s="8">
        <f t="shared" ca="1" si="20"/>
        <v>8</v>
      </c>
      <c r="W71" s="16">
        <v>20000</v>
      </c>
      <c r="X71" s="9" t="s">
        <v>251</v>
      </c>
      <c r="Y71" s="9" t="s">
        <v>670</v>
      </c>
      <c r="Z71" s="9" t="s">
        <v>671</v>
      </c>
      <c r="AA71" s="9" t="s">
        <v>672</v>
      </c>
      <c r="AB71" s="12">
        <v>44686</v>
      </c>
      <c r="AC71" s="8">
        <f t="shared" si="4"/>
        <v>1825</v>
      </c>
      <c r="AD71" s="8">
        <f t="shared" ca="1" si="5"/>
        <v>268</v>
      </c>
      <c r="AE71" s="8">
        <f>VLOOKUP($B71, [1]렌트_계약서번호!$B$3:$E$501, 4, FALSE)</f>
        <v>22040015</v>
      </c>
      <c r="AF71" s="9">
        <v>13209603</v>
      </c>
      <c r="AG71" s="9">
        <v>200000</v>
      </c>
      <c r="AH71" s="9">
        <v>12681000</v>
      </c>
      <c r="AI71" s="9">
        <v>0</v>
      </c>
      <c r="AJ71" s="9">
        <v>2000</v>
      </c>
      <c r="AK71" s="9">
        <v>461120</v>
      </c>
      <c r="AL71" s="9">
        <v>0</v>
      </c>
      <c r="AM71" s="9">
        <v>2000</v>
      </c>
      <c r="AN71" s="9">
        <v>27000</v>
      </c>
      <c r="AO71" s="9">
        <v>30000</v>
      </c>
      <c r="AP71" s="9">
        <v>430000</v>
      </c>
      <c r="AQ71" s="9">
        <v>0</v>
      </c>
      <c r="AR71" s="9" t="s">
        <v>122</v>
      </c>
      <c r="AS71" s="9">
        <v>0</v>
      </c>
      <c r="AT71" s="9" t="s">
        <v>123</v>
      </c>
      <c r="AU71" s="9"/>
      <c r="AV71" s="57">
        <f t="shared" si="6"/>
        <v>522120</v>
      </c>
      <c r="AW71" s="8" t="s">
        <v>124</v>
      </c>
      <c r="AX71" s="17">
        <v>44503</v>
      </c>
      <c r="AY71" s="9">
        <v>1153090</v>
      </c>
      <c r="AZ71" s="9">
        <f>1035460</f>
        <v>1035460</v>
      </c>
      <c r="BA71" s="9"/>
      <c r="BB71" s="9"/>
      <c r="BC71" s="9"/>
      <c r="BD71" s="9" t="s">
        <v>125</v>
      </c>
      <c r="BE71" s="9" t="s">
        <v>126</v>
      </c>
      <c r="BF71" s="9" t="s">
        <v>255</v>
      </c>
      <c r="BG71" s="9" t="s">
        <v>128</v>
      </c>
      <c r="BH71" s="9" t="s">
        <v>129</v>
      </c>
      <c r="BI71" s="9" t="s">
        <v>130</v>
      </c>
      <c r="BJ71" s="8" t="s">
        <v>256</v>
      </c>
      <c r="BK71" s="9" t="s">
        <v>132</v>
      </c>
      <c r="BL71" s="9" t="s">
        <v>133</v>
      </c>
      <c r="BM71" s="9" t="s">
        <v>257</v>
      </c>
      <c r="BN71" s="9" t="s">
        <v>134</v>
      </c>
      <c r="BO71" s="9" t="s">
        <v>134</v>
      </c>
      <c r="BP71" s="9" t="s">
        <v>590</v>
      </c>
      <c r="BQ71" s="8"/>
      <c r="BR71" s="9">
        <f t="shared" si="7"/>
        <v>17964</v>
      </c>
      <c r="BS71" s="8" t="s">
        <v>136</v>
      </c>
      <c r="BT71" s="19"/>
      <c r="BU71" s="9"/>
      <c r="BV71" s="26"/>
      <c r="BW71" s="9"/>
      <c r="BX71" s="9">
        <f>BW71*BV71</f>
        <v>0</v>
      </c>
      <c r="BY71" s="9">
        <f>BX71-BU71</f>
        <v>0</v>
      </c>
      <c r="BZ71" s="27">
        <v>0</v>
      </c>
      <c r="CA71" s="1"/>
      <c r="CB71" s="28" t="s">
        <v>120</v>
      </c>
      <c r="CC71" s="28" t="s">
        <v>120</v>
      </c>
      <c r="CD71" s="9">
        <v>330900</v>
      </c>
      <c r="CE71" s="9">
        <f t="shared" si="10"/>
        <v>60</v>
      </c>
      <c r="CF71" s="9">
        <f t="shared" si="11"/>
        <v>19854000</v>
      </c>
      <c r="CG71" s="9"/>
      <c r="CH71" s="9"/>
      <c r="CI71" s="9">
        <v>2506900</v>
      </c>
      <c r="CJ71" s="29">
        <v>-1.2E-2</v>
      </c>
      <c r="CK71" s="30">
        <v>0.04</v>
      </c>
      <c r="CL71" s="31" t="s">
        <v>259</v>
      </c>
      <c r="CM71" s="60"/>
      <c r="CN71" s="9"/>
      <c r="CO71" s="27">
        <v>0.03</v>
      </c>
      <c r="CP71" s="22"/>
      <c r="CQ71" s="32">
        <v>0</v>
      </c>
      <c r="CR71" s="32">
        <v>0</v>
      </c>
      <c r="CS71" s="32">
        <v>0</v>
      </c>
      <c r="CT71" s="32">
        <v>0</v>
      </c>
      <c r="CU71" s="32">
        <v>0</v>
      </c>
      <c r="CV71" s="32">
        <v>0</v>
      </c>
      <c r="CW71" s="32">
        <v>0</v>
      </c>
      <c r="CX71" s="32">
        <v>0</v>
      </c>
      <c r="CY71" s="32">
        <v>0</v>
      </c>
      <c r="CZ71" s="32">
        <v>0</v>
      </c>
      <c r="DA71" s="32">
        <v>0</v>
      </c>
      <c r="DB71" s="32" t="str">
        <f t="shared" si="12"/>
        <v>기아</v>
      </c>
      <c r="DC71" s="32" t="s">
        <v>260</v>
      </c>
      <c r="DD71" s="32" t="str">
        <f t="shared" si="18"/>
        <v>렌트베네핏</v>
      </c>
      <c r="DE71" s="32"/>
      <c r="DF71" s="32"/>
      <c r="DG71" s="32"/>
      <c r="DH71" s="32" t="s">
        <v>261</v>
      </c>
      <c r="DI71" s="19" t="s">
        <v>137</v>
      </c>
      <c r="DJ71" s="22">
        <v>0.3</v>
      </c>
      <c r="DK71" s="51">
        <v>0.2</v>
      </c>
      <c r="DL71" s="32"/>
      <c r="DM71" s="20"/>
      <c r="DN71" s="32"/>
      <c r="DO71" s="32"/>
      <c r="DP71" s="22"/>
    </row>
    <row r="72" spans="1:120">
      <c r="A72" s="8">
        <v>70</v>
      </c>
      <c r="B72" s="8" t="s">
        <v>742</v>
      </c>
      <c r="C72" s="34" t="s">
        <v>244</v>
      </c>
      <c r="D72" s="8" t="s">
        <v>743</v>
      </c>
      <c r="E72" s="8" t="s">
        <v>246</v>
      </c>
      <c r="F72" s="8" t="s">
        <v>739</v>
      </c>
      <c r="G72" s="8" t="s">
        <v>248</v>
      </c>
      <c r="H72" s="8" t="s">
        <v>114</v>
      </c>
      <c r="I72" s="9">
        <v>12750000</v>
      </c>
      <c r="J72" s="8">
        <v>2022</v>
      </c>
      <c r="K72" s="10" t="s">
        <v>115</v>
      </c>
      <c r="L72" s="10" t="s">
        <v>116</v>
      </c>
      <c r="M72" s="8" t="s">
        <v>744</v>
      </c>
      <c r="N72" s="8" t="s">
        <v>745</v>
      </c>
      <c r="O72" s="8" t="s">
        <v>119</v>
      </c>
      <c r="P72" s="11">
        <v>998</v>
      </c>
      <c r="Q72" s="12">
        <v>44503</v>
      </c>
      <c r="R72" s="12">
        <v>44666</v>
      </c>
      <c r="S72" s="12">
        <v>44669</v>
      </c>
      <c r="T72" s="14" t="s">
        <v>120</v>
      </c>
      <c r="U72" s="12">
        <f t="shared" si="19"/>
        <v>46494</v>
      </c>
      <c r="V72" s="8">
        <f t="shared" ca="1" si="20"/>
        <v>8</v>
      </c>
      <c r="W72" s="16">
        <v>20000</v>
      </c>
      <c r="X72" s="9" t="s">
        <v>251</v>
      </c>
      <c r="Y72" s="9" t="s">
        <v>670</v>
      </c>
      <c r="Z72" s="9" t="s">
        <v>671</v>
      </c>
      <c r="AA72" s="9" t="s">
        <v>672</v>
      </c>
      <c r="AB72" s="12">
        <v>44686</v>
      </c>
      <c r="AC72" s="8">
        <f t="shared" si="4"/>
        <v>1825</v>
      </c>
      <c r="AD72" s="8">
        <f t="shared" ca="1" si="5"/>
        <v>268</v>
      </c>
      <c r="AE72" s="8">
        <f>VLOOKUP($B72, [1]렌트_계약서번호!$B$3:$E$501, 4, FALSE)</f>
        <v>22040017</v>
      </c>
      <c r="AF72" s="9">
        <v>13209603</v>
      </c>
      <c r="AG72" s="9">
        <v>200000</v>
      </c>
      <c r="AH72" s="9">
        <v>12688000</v>
      </c>
      <c r="AI72" s="9">
        <v>0</v>
      </c>
      <c r="AJ72" s="9">
        <v>2000</v>
      </c>
      <c r="AK72" s="9">
        <v>461380</v>
      </c>
      <c r="AL72" s="9">
        <v>0</v>
      </c>
      <c r="AM72" s="9">
        <v>2000</v>
      </c>
      <c r="AN72" s="9">
        <v>27000</v>
      </c>
      <c r="AO72" s="9">
        <v>30000</v>
      </c>
      <c r="AP72" s="9">
        <v>430000</v>
      </c>
      <c r="AQ72" s="9">
        <v>0</v>
      </c>
      <c r="AR72" s="9" t="s">
        <v>122</v>
      </c>
      <c r="AS72" s="9">
        <v>0</v>
      </c>
      <c r="AT72" s="9" t="s">
        <v>123</v>
      </c>
      <c r="AU72" s="9"/>
      <c r="AV72" s="57">
        <f t="shared" si="6"/>
        <v>522380</v>
      </c>
      <c r="AW72" s="8" t="s">
        <v>124</v>
      </c>
      <c r="AX72" s="17">
        <v>44503</v>
      </c>
      <c r="AY72" s="9">
        <v>1153090</v>
      </c>
      <c r="AZ72" s="9">
        <f>1042640</f>
        <v>1042640</v>
      </c>
      <c r="BA72" s="9"/>
      <c r="BB72" s="9"/>
      <c r="BC72" s="9"/>
      <c r="BD72" s="9" t="s">
        <v>125</v>
      </c>
      <c r="BE72" s="9" t="s">
        <v>126</v>
      </c>
      <c r="BF72" s="9" t="s">
        <v>255</v>
      </c>
      <c r="BG72" s="9" t="s">
        <v>128</v>
      </c>
      <c r="BH72" s="9" t="s">
        <v>129</v>
      </c>
      <c r="BI72" s="9" t="s">
        <v>130</v>
      </c>
      <c r="BJ72" s="8" t="s">
        <v>256</v>
      </c>
      <c r="BK72" s="9" t="s">
        <v>132</v>
      </c>
      <c r="BL72" s="9" t="s">
        <v>133</v>
      </c>
      <c r="BM72" s="9" t="s">
        <v>257</v>
      </c>
      <c r="BN72" s="9" t="s">
        <v>134</v>
      </c>
      <c r="BO72" s="9" t="s">
        <v>134</v>
      </c>
      <c r="BP72" s="9" t="s">
        <v>590</v>
      </c>
      <c r="BQ72" s="8"/>
      <c r="BR72" s="9">
        <f t="shared" si="7"/>
        <v>17964</v>
      </c>
      <c r="BS72" s="8" t="s">
        <v>136</v>
      </c>
      <c r="BT72" s="19"/>
      <c r="BU72" s="9"/>
      <c r="BV72" s="26"/>
      <c r="BW72" s="9"/>
      <c r="BX72" s="9">
        <f>BW72*BV72</f>
        <v>0</v>
      </c>
      <c r="BY72" s="9">
        <f>BX72-BU72</f>
        <v>0</v>
      </c>
      <c r="BZ72" s="27">
        <v>0</v>
      </c>
      <c r="CA72" s="1"/>
      <c r="CB72" s="28" t="s">
        <v>120</v>
      </c>
      <c r="CC72" s="28" t="s">
        <v>120</v>
      </c>
      <c r="CD72" s="9">
        <v>330900</v>
      </c>
      <c r="CE72" s="9">
        <f t="shared" si="10"/>
        <v>60</v>
      </c>
      <c r="CF72" s="9">
        <f t="shared" si="11"/>
        <v>19854000</v>
      </c>
      <c r="CG72" s="9"/>
      <c r="CH72" s="9"/>
      <c r="CI72" s="9">
        <v>2056900</v>
      </c>
      <c r="CJ72" s="29">
        <v>-1.2E-2</v>
      </c>
      <c r="CK72" s="30">
        <v>0.04</v>
      </c>
      <c r="CL72" s="31" t="s">
        <v>259</v>
      </c>
      <c r="CM72" s="9"/>
      <c r="CN72" s="9"/>
      <c r="CO72" s="27">
        <v>0.03</v>
      </c>
      <c r="CP72" s="22"/>
      <c r="CQ72" s="32">
        <v>0</v>
      </c>
      <c r="CR72" s="32">
        <v>0</v>
      </c>
      <c r="CS72" s="32">
        <v>0</v>
      </c>
      <c r="CT72" s="32">
        <v>0</v>
      </c>
      <c r="CU72" s="32">
        <v>0</v>
      </c>
      <c r="CV72" s="32">
        <v>0</v>
      </c>
      <c r="CW72" s="32">
        <v>0</v>
      </c>
      <c r="CX72" s="32">
        <v>0</v>
      </c>
      <c r="CY72" s="32">
        <v>0</v>
      </c>
      <c r="CZ72" s="32">
        <v>0</v>
      </c>
      <c r="DA72" s="32">
        <v>0</v>
      </c>
      <c r="DB72" s="32" t="str">
        <f t="shared" si="12"/>
        <v>기아</v>
      </c>
      <c r="DC72" s="32" t="s">
        <v>260</v>
      </c>
      <c r="DD72" s="32" t="str">
        <f t="shared" si="18"/>
        <v>렌트베네핏</v>
      </c>
      <c r="DE72" s="32"/>
      <c r="DF72" s="32"/>
      <c r="DG72" s="32"/>
      <c r="DH72" s="32" t="s">
        <v>261</v>
      </c>
      <c r="DI72" s="19" t="s">
        <v>137</v>
      </c>
      <c r="DJ72" s="22">
        <v>0.3</v>
      </c>
      <c r="DK72" s="51">
        <v>0.2</v>
      </c>
      <c r="DL72" s="32"/>
      <c r="DM72" s="20"/>
      <c r="DN72" s="32"/>
      <c r="DO72" s="32"/>
      <c r="DP72" s="22"/>
    </row>
    <row r="73" spans="1:120">
      <c r="A73" s="8">
        <v>71</v>
      </c>
      <c r="B73" s="8" t="s">
        <v>746</v>
      </c>
      <c r="C73" s="34" t="s">
        <v>244</v>
      </c>
      <c r="D73" s="8" t="s">
        <v>747</v>
      </c>
      <c r="E73" s="8" t="s">
        <v>246</v>
      </c>
      <c r="F73" s="8" t="s">
        <v>739</v>
      </c>
      <c r="G73" s="8" t="s">
        <v>248</v>
      </c>
      <c r="H73" s="8" t="s">
        <v>114</v>
      </c>
      <c r="I73" s="9">
        <v>12750000</v>
      </c>
      <c r="J73" s="8">
        <v>2022</v>
      </c>
      <c r="K73" s="10" t="s">
        <v>115</v>
      </c>
      <c r="L73" s="10" t="s">
        <v>116</v>
      </c>
      <c r="M73" s="8" t="s">
        <v>748</v>
      </c>
      <c r="N73" s="8" t="s">
        <v>749</v>
      </c>
      <c r="O73" s="8" t="s">
        <v>119</v>
      </c>
      <c r="P73" s="11">
        <v>998</v>
      </c>
      <c r="Q73" s="12">
        <v>44503</v>
      </c>
      <c r="R73" s="12">
        <v>44666</v>
      </c>
      <c r="S73" s="12">
        <v>44669</v>
      </c>
      <c r="T73" s="14" t="s">
        <v>120</v>
      </c>
      <c r="U73" s="12">
        <f t="shared" si="19"/>
        <v>46494</v>
      </c>
      <c r="V73" s="8">
        <f t="shared" ca="1" si="20"/>
        <v>8</v>
      </c>
      <c r="W73" s="16">
        <v>20000</v>
      </c>
      <c r="X73" s="9" t="s">
        <v>251</v>
      </c>
      <c r="Y73" s="9" t="s">
        <v>670</v>
      </c>
      <c r="Z73" s="9" t="s">
        <v>671</v>
      </c>
      <c r="AA73" s="9" t="s">
        <v>672</v>
      </c>
      <c r="AB73" s="12">
        <v>44686</v>
      </c>
      <c r="AC73" s="8">
        <f t="shared" si="4"/>
        <v>1825</v>
      </c>
      <c r="AD73" s="8">
        <f t="shared" ca="1" si="5"/>
        <v>268</v>
      </c>
      <c r="AE73" s="8">
        <f>VLOOKUP($B73, [1]렌트_계약서번호!$B$3:$E$501, 4, FALSE)</f>
        <v>22040016</v>
      </c>
      <c r="AF73" s="9">
        <v>13209603</v>
      </c>
      <c r="AG73" s="9">
        <v>200000</v>
      </c>
      <c r="AH73" s="9">
        <v>12688000</v>
      </c>
      <c r="AI73" s="9">
        <v>0</v>
      </c>
      <c r="AJ73" s="9">
        <v>2000</v>
      </c>
      <c r="AK73" s="9">
        <v>461380</v>
      </c>
      <c r="AL73" s="9">
        <v>0</v>
      </c>
      <c r="AM73" s="9">
        <v>2000</v>
      </c>
      <c r="AN73" s="9">
        <v>27000</v>
      </c>
      <c r="AO73" s="9">
        <v>30000</v>
      </c>
      <c r="AP73" s="9">
        <v>430000</v>
      </c>
      <c r="AQ73" s="9">
        <v>0</v>
      </c>
      <c r="AR73" s="9" t="s">
        <v>122</v>
      </c>
      <c r="AS73" s="9">
        <v>0</v>
      </c>
      <c r="AT73" s="9" t="s">
        <v>123</v>
      </c>
      <c r="AU73" s="9"/>
      <c r="AV73" s="57">
        <f t="shared" si="6"/>
        <v>522380</v>
      </c>
      <c r="AW73" s="8" t="s">
        <v>124</v>
      </c>
      <c r="AX73" s="17">
        <v>44503</v>
      </c>
      <c r="AY73" s="9">
        <v>1153090</v>
      </c>
      <c r="AZ73" s="9">
        <f>1035460</f>
        <v>1035460</v>
      </c>
      <c r="BA73" s="9"/>
      <c r="BB73" s="9"/>
      <c r="BC73" s="9"/>
      <c r="BD73" s="9" t="s">
        <v>125</v>
      </c>
      <c r="BE73" s="9" t="s">
        <v>126</v>
      </c>
      <c r="BF73" s="9" t="s">
        <v>255</v>
      </c>
      <c r="BG73" s="9" t="s">
        <v>128</v>
      </c>
      <c r="BH73" s="9" t="s">
        <v>129</v>
      </c>
      <c r="BI73" s="9" t="s">
        <v>130</v>
      </c>
      <c r="BJ73" s="8" t="s">
        <v>256</v>
      </c>
      <c r="BK73" s="9" t="s">
        <v>132</v>
      </c>
      <c r="BL73" s="9" t="s">
        <v>133</v>
      </c>
      <c r="BM73" s="9" t="s">
        <v>257</v>
      </c>
      <c r="BN73" s="9" t="s">
        <v>134</v>
      </c>
      <c r="BO73" s="9" t="s">
        <v>134</v>
      </c>
      <c r="BP73" s="9" t="s">
        <v>590</v>
      </c>
      <c r="BQ73" s="8"/>
      <c r="BR73" s="9">
        <f t="shared" si="7"/>
        <v>17964</v>
      </c>
      <c r="BS73" s="8" t="s">
        <v>136</v>
      </c>
      <c r="BT73" s="19"/>
      <c r="BU73" s="9"/>
      <c r="BV73" s="26"/>
      <c r="BW73" s="9"/>
      <c r="BX73" s="9">
        <f>BW73*BV73</f>
        <v>0</v>
      </c>
      <c r="BY73" s="9">
        <f>BX73-BU73</f>
        <v>0</v>
      </c>
      <c r="BZ73" s="27">
        <v>0</v>
      </c>
      <c r="CA73" s="1"/>
      <c r="CB73" s="28" t="s">
        <v>120</v>
      </c>
      <c r="CC73" s="28" t="s">
        <v>120</v>
      </c>
      <c r="CD73" s="9">
        <v>330900</v>
      </c>
      <c r="CE73" s="9">
        <f t="shared" si="10"/>
        <v>60</v>
      </c>
      <c r="CF73" s="9">
        <f t="shared" si="11"/>
        <v>19854000</v>
      </c>
      <c r="CG73" s="9"/>
      <c r="CH73" s="9"/>
      <c r="CI73" s="9">
        <v>2506900</v>
      </c>
      <c r="CJ73" s="29">
        <v>-1.2E-2</v>
      </c>
      <c r="CK73" s="30">
        <v>0.04</v>
      </c>
      <c r="CL73" s="31" t="s">
        <v>259</v>
      </c>
      <c r="CM73" s="9"/>
      <c r="CN73" s="9"/>
      <c r="CO73" s="27">
        <v>0.03</v>
      </c>
      <c r="CP73" s="22"/>
      <c r="CQ73" s="32">
        <v>0</v>
      </c>
      <c r="CR73" s="32">
        <v>0</v>
      </c>
      <c r="CS73" s="32">
        <v>0</v>
      </c>
      <c r="CT73" s="32">
        <v>0</v>
      </c>
      <c r="CU73" s="32">
        <v>0</v>
      </c>
      <c r="CV73" s="32">
        <v>0</v>
      </c>
      <c r="CW73" s="32">
        <v>0</v>
      </c>
      <c r="CX73" s="32">
        <v>0</v>
      </c>
      <c r="CY73" s="32">
        <v>0</v>
      </c>
      <c r="CZ73" s="32">
        <v>0</v>
      </c>
      <c r="DA73" s="32">
        <v>0</v>
      </c>
      <c r="DB73" s="32" t="str">
        <f t="shared" si="12"/>
        <v>기아</v>
      </c>
      <c r="DC73" s="32" t="s">
        <v>260</v>
      </c>
      <c r="DD73" s="32" t="str">
        <f t="shared" si="18"/>
        <v>렌트베네핏</v>
      </c>
      <c r="DE73" s="32"/>
      <c r="DF73" s="32"/>
      <c r="DG73" s="32"/>
      <c r="DH73" s="32" t="s">
        <v>261</v>
      </c>
      <c r="DI73" s="19" t="s">
        <v>137</v>
      </c>
      <c r="DJ73" s="22">
        <v>0.3</v>
      </c>
      <c r="DK73" s="51">
        <v>0.2</v>
      </c>
      <c r="DL73" s="32"/>
      <c r="DM73" s="20"/>
      <c r="DN73" s="32"/>
      <c r="DO73" s="32"/>
      <c r="DP73" s="22"/>
    </row>
    <row r="74" spans="1:120">
      <c r="A74" s="8">
        <v>72</v>
      </c>
      <c r="B74" s="8" t="s">
        <v>750</v>
      </c>
      <c r="C74" s="34" t="s">
        <v>244</v>
      </c>
      <c r="D74" s="8" t="s">
        <v>751</v>
      </c>
      <c r="E74" s="8" t="s">
        <v>751</v>
      </c>
      <c r="F74" s="8" t="s">
        <v>752</v>
      </c>
      <c r="G74" s="8" t="s">
        <v>199</v>
      </c>
      <c r="H74" s="8" t="s">
        <v>753</v>
      </c>
      <c r="I74" s="9">
        <v>85220000</v>
      </c>
      <c r="J74" s="8">
        <v>2022</v>
      </c>
      <c r="K74" s="10" t="s">
        <v>754</v>
      </c>
      <c r="L74" s="10" t="s">
        <v>116</v>
      </c>
      <c r="M74" s="8" t="s">
        <v>755</v>
      </c>
      <c r="N74" s="8" t="s">
        <v>756</v>
      </c>
      <c r="O74" s="8" t="s">
        <v>119</v>
      </c>
      <c r="P74" s="11">
        <v>1991</v>
      </c>
      <c r="Q74" s="12">
        <v>44680</v>
      </c>
      <c r="R74" s="12">
        <v>44673</v>
      </c>
      <c r="S74" s="12">
        <v>44680</v>
      </c>
      <c r="T74" s="14" t="s">
        <v>120</v>
      </c>
      <c r="U74" s="12">
        <f t="shared" si="19"/>
        <v>46505</v>
      </c>
      <c r="V74" s="8">
        <f t="shared" ca="1" si="20"/>
        <v>9</v>
      </c>
      <c r="W74" s="16">
        <v>20000</v>
      </c>
      <c r="X74" s="8" t="s">
        <v>751</v>
      </c>
      <c r="Y74" s="8" t="s">
        <v>752</v>
      </c>
      <c r="Z74" s="9"/>
      <c r="AA74" s="9" t="s">
        <v>757</v>
      </c>
      <c r="AB74" s="12">
        <v>44706</v>
      </c>
      <c r="AC74" s="8">
        <f t="shared" si="4"/>
        <v>1825</v>
      </c>
      <c r="AD74" s="8">
        <f t="shared" ca="1" si="5"/>
        <v>279</v>
      </c>
      <c r="AE74" s="8">
        <f>VLOOKUP($B74, [1]렌트_계약서번호!$B$3:$E$501, 4, FALSE)</f>
        <v>22040023</v>
      </c>
      <c r="AF74" s="9">
        <v>81811700</v>
      </c>
      <c r="AG74" s="9"/>
      <c r="AH74" s="9">
        <f t="shared" ref="AH74:AH87" si="21">AF74-AG74</f>
        <v>81811700</v>
      </c>
      <c r="AI74" s="9"/>
      <c r="AJ74" s="9"/>
      <c r="AK74" s="9">
        <f>AH74/1.1*0.04</f>
        <v>2974970.9090909087</v>
      </c>
      <c r="AL74" s="9">
        <v>210144</v>
      </c>
      <c r="AM74" s="9">
        <v>5000</v>
      </c>
      <c r="AN74" s="9">
        <v>21500</v>
      </c>
      <c r="AO74" s="9">
        <v>30000</v>
      </c>
      <c r="AP74" s="9">
        <v>0</v>
      </c>
      <c r="AQ74" s="9"/>
      <c r="AR74" s="9" t="s">
        <v>205</v>
      </c>
      <c r="AS74" s="9"/>
      <c r="AT74" s="9" t="s">
        <v>206</v>
      </c>
      <c r="AU74" s="9">
        <f>3378080</f>
        <v>3378080</v>
      </c>
      <c r="AV74" s="57">
        <f t="shared" si="6"/>
        <v>3241614.9090909087</v>
      </c>
      <c r="AW74" s="8" t="s">
        <v>124</v>
      </c>
      <c r="AX74" s="17">
        <v>44680</v>
      </c>
      <c r="AY74" s="9">
        <f>3804290-1997580</f>
        <v>1806710</v>
      </c>
      <c r="AZ74" s="9"/>
      <c r="BA74" s="9"/>
      <c r="BB74" s="9"/>
      <c r="BC74" s="9"/>
      <c r="BD74" s="9" t="s">
        <v>125</v>
      </c>
      <c r="BE74" s="9" t="s">
        <v>126</v>
      </c>
      <c r="BF74" s="9" t="s">
        <v>187</v>
      </c>
      <c r="BG74" s="9" t="s">
        <v>188</v>
      </c>
      <c r="BH74" s="9" t="s">
        <v>129</v>
      </c>
      <c r="BI74" s="9" t="s">
        <v>189</v>
      </c>
      <c r="BJ74" s="8" t="s">
        <v>720</v>
      </c>
      <c r="BK74" s="9" t="s">
        <v>132</v>
      </c>
      <c r="BL74" s="9" t="s">
        <v>133</v>
      </c>
      <c r="BM74" s="9" t="s">
        <v>257</v>
      </c>
      <c r="BN74" s="9" t="s">
        <v>134</v>
      </c>
      <c r="BO74" s="9" t="s">
        <v>134</v>
      </c>
      <c r="BP74" s="9"/>
      <c r="BQ74" s="8"/>
      <c r="BR74" s="9">
        <f t="shared" si="7"/>
        <v>37829</v>
      </c>
      <c r="BS74" s="8" t="s">
        <v>136</v>
      </c>
      <c r="BT74" s="19"/>
      <c r="BU74" s="9"/>
      <c r="BV74" s="26"/>
      <c r="BW74" s="9"/>
      <c r="BX74" s="9"/>
      <c r="BY74" s="9"/>
      <c r="BZ74" s="27">
        <v>0</v>
      </c>
      <c r="CA74" s="1"/>
      <c r="CB74" s="28" t="s">
        <v>385</v>
      </c>
      <c r="CC74" s="28" t="s">
        <v>385</v>
      </c>
      <c r="CD74" s="9">
        <v>1404000</v>
      </c>
      <c r="CE74" s="9">
        <f t="shared" si="10"/>
        <v>60</v>
      </c>
      <c r="CF74" s="9">
        <f t="shared" si="11"/>
        <v>84240000</v>
      </c>
      <c r="CG74" s="9">
        <v>20000000</v>
      </c>
      <c r="CH74" s="9"/>
      <c r="CI74" s="9">
        <v>35616000</v>
      </c>
      <c r="CJ74" s="29">
        <v>4.4999999999999998E-2</v>
      </c>
      <c r="CK74" s="30">
        <v>0.06</v>
      </c>
      <c r="CL74" s="31" t="s">
        <v>758</v>
      </c>
      <c r="CM74" s="31" t="s">
        <v>759</v>
      </c>
      <c r="CN74" s="31"/>
      <c r="CO74" s="27">
        <v>0.03</v>
      </c>
      <c r="CP74" s="22"/>
      <c r="CQ74" s="32">
        <v>0</v>
      </c>
      <c r="CR74" s="32">
        <v>0</v>
      </c>
      <c r="CS74" s="32">
        <v>0</v>
      </c>
      <c r="CT74" s="32">
        <v>0</v>
      </c>
      <c r="CU74" s="32">
        <v>0</v>
      </c>
      <c r="CV74" s="32">
        <v>0</v>
      </c>
      <c r="CW74" s="32">
        <v>0</v>
      </c>
      <c r="CX74" s="32">
        <v>0</v>
      </c>
      <c r="CY74" s="32">
        <v>0</v>
      </c>
      <c r="CZ74" s="32">
        <v>0</v>
      </c>
      <c r="DA74" s="32">
        <v>0</v>
      </c>
      <c r="DB74" s="32" t="str">
        <f t="shared" si="12"/>
        <v>한성</v>
      </c>
      <c r="DC74" s="32" t="s">
        <v>733</v>
      </c>
      <c r="DD74" s="32" t="str">
        <f t="shared" si="18"/>
        <v>방배</v>
      </c>
      <c r="DE74" s="32"/>
      <c r="DF74" s="32"/>
      <c r="DG74" s="32"/>
      <c r="DH74" s="32" t="s">
        <v>760</v>
      </c>
      <c r="DI74" s="19" t="s">
        <v>137</v>
      </c>
      <c r="DJ74" s="22">
        <v>0.3</v>
      </c>
      <c r="DK74" s="51">
        <v>0.2</v>
      </c>
      <c r="DL74" s="32"/>
      <c r="DM74" s="20"/>
      <c r="DN74" s="32"/>
      <c r="DO74" s="32"/>
      <c r="DP74" s="22"/>
    </row>
    <row r="75" spans="1:120">
      <c r="A75" s="8">
        <v>73</v>
      </c>
      <c r="B75" s="8" t="s">
        <v>761</v>
      </c>
      <c r="C75" s="34" t="s">
        <v>244</v>
      </c>
      <c r="D75" s="8" t="s">
        <v>762</v>
      </c>
      <c r="E75" s="8" t="s">
        <v>763</v>
      </c>
      <c r="F75" s="8" t="s">
        <v>764</v>
      </c>
      <c r="G75" s="8" t="s">
        <v>536</v>
      </c>
      <c r="H75" s="8" t="s">
        <v>119</v>
      </c>
      <c r="I75" s="9">
        <v>217600000</v>
      </c>
      <c r="J75" s="8">
        <v>2021</v>
      </c>
      <c r="K75" s="10" t="s">
        <v>765</v>
      </c>
      <c r="L75" s="10" t="s">
        <v>116</v>
      </c>
      <c r="M75" s="8" t="s">
        <v>766</v>
      </c>
      <c r="N75" s="8" t="s">
        <v>767</v>
      </c>
      <c r="O75" s="8" t="s">
        <v>119</v>
      </c>
      <c r="P75" s="11">
        <v>3982</v>
      </c>
      <c r="Q75" s="12">
        <v>44683</v>
      </c>
      <c r="R75" s="12">
        <v>45401</v>
      </c>
      <c r="S75" s="12">
        <v>45414</v>
      </c>
      <c r="T75" s="14" t="s">
        <v>397</v>
      </c>
      <c r="U75" s="12">
        <f t="shared" si="19"/>
        <v>46509</v>
      </c>
      <c r="V75" s="8">
        <f t="shared" ca="1" si="20"/>
        <v>9</v>
      </c>
      <c r="W75" s="16">
        <v>20000</v>
      </c>
      <c r="X75" s="9" t="s">
        <v>768</v>
      </c>
      <c r="Y75" s="9" t="s">
        <v>769</v>
      </c>
      <c r="Z75" s="9"/>
      <c r="AA75" s="9" t="s">
        <v>398</v>
      </c>
      <c r="AB75" s="12">
        <v>45437</v>
      </c>
      <c r="AC75" s="8">
        <f t="shared" si="4"/>
        <v>1095</v>
      </c>
      <c r="AD75" s="8">
        <f t="shared" ca="1" si="5"/>
        <v>283</v>
      </c>
      <c r="AE75" s="8">
        <f>VLOOKUP($B75, [1]렌트_계약서번호!$B$3:$E$501, 4, FALSE)</f>
        <v>22040024</v>
      </c>
      <c r="AF75" s="9">
        <v>217600000</v>
      </c>
      <c r="AG75" s="9"/>
      <c r="AH75" s="9">
        <f t="shared" si="21"/>
        <v>217600000</v>
      </c>
      <c r="AI75" s="9"/>
      <c r="AJ75" s="9"/>
      <c r="AK75" s="9">
        <f>AH75/1.1*0.04</f>
        <v>7912727.2727272725</v>
      </c>
      <c r="AL75" s="9">
        <v>411087</v>
      </c>
      <c r="AM75" s="9">
        <v>5000</v>
      </c>
      <c r="AN75" s="9">
        <v>21500</v>
      </c>
      <c r="AO75" s="9">
        <v>30000</v>
      </c>
      <c r="AP75" s="9">
        <v>0</v>
      </c>
      <c r="AQ75" s="9"/>
      <c r="AR75" s="9" t="s">
        <v>205</v>
      </c>
      <c r="AS75" s="9"/>
      <c r="AT75" s="9" t="s">
        <v>206</v>
      </c>
      <c r="AU75" s="9">
        <f>7582918</f>
        <v>7582918</v>
      </c>
      <c r="AV75" s="57">
        <f t="shared" si="6"/>
        <v>8380314.2727272725</v>
      </c>
      <c r="AW75" s="13" t="s">
        <v>543</v>
      </c>
      <c r="AX75" s="17">
        <v>44683</v>
      </c>
      <c r="AY75" s="9">
        <f>7615480-5054020</f>
        <v>2561460</v>
      </c>
      <c r="AZ75" s="9"/>
      <c r="BA75" s="9"/>
      <c r="BB75" s="9"/>
      <c r="BC75" s="9"/>
      <c r="BD75" s="9" t="s">
        <v>125</v>
      </c>
      <c r="BE75" s="9" t="s">
        <v>126</v>
      </c>
      <c r="BF75" s="9" t="s">
        <v>187</v>
      </c>
      <c r="BG75" s="9" t="s">
        <v>188</v>
      </c>
      <c r="BH75" s="9" t="s">
        <v>129</v>
      </c>
      <c r="BI75" s="9" t="s">
        <v>189</v>
      </c>
      <c r="BJ75" s="8" t="s">
        <v>256</v>
      </c>
      <c r="BK75" s="9" t="s">
        <v>132</v>
      </c>
      <c r="BL75" s="9" t="s">
        <v>133</v>
      </c>
      <c r="BM75" s="9" t="s">
        <v>257</v>
      </c>
      <c r="BN75" s="9" t="s">
        <v>134</v>
      </c>
      <c r="BO75" s="9" t="s">
        <v>134</v>
      </c>
      <c r="BP75" s="9"/>
      <c r="BQ75" s="8"/>
      <c r="BR75" s="9">
        <f t="shared" si="7"/>
        <v>95568</v>
      </c>
      <c r="BS75" s="8" t="s">
        <v>136</v>
      </c>
      <c r="BT75" s="19"/>
      <c r="BU75" s="9"/>
      <c r="BV75" s="26"/>
      <c r="BW75" s="9"/>
      <c r="BX75" s="9"/>
      <c r="BY75" s="9"/>
      <c r="BZ75" s="27">
        <v>0</v>
      </c>
      <c r="CA75" s="1"/>
      <c r="CB75" s="28" t="s">
        <v>385</v>
      </c>
      <c r="CC75" s="28" t="s">
        <v>385</v>
      </c>
      <c r="CD75" s="9">
        <v>3916000</v>
      </c>
      <c r="CE75" s="9">
        <f t="shared" si="10"/>
        <v>36</v>
      </c>
      <c r="CF75" s="9">
        <f t="shared" si="11"/>
        <v>140976000</v>
      </c>
      <c r="CG75" s="9">
        <v>65280000</v>
      </c>
      <c r="CH75" s="9">
        <v>0</v>
      </c>
      <c r="CI75" s="9">
        <v>65280000</v>
      </c>
      <c r="CJ75" s="29">
        <v>0.02</v>
      </c>
      <c r="CK75" s="30">
        <v>0.06</v>
      </c>
      <c r="CL75" s="31" t="s">
        <v>770</v>
      </c>
      <c r="CM75" s="9" t="s">
        <v>771</v>
      </c>
      <c r="CN75" s="9" t="s">
        <v>769</v>
      </c>
      <c r="CO75" s="27">
        <v>0.03</v>
      </c>
      <c r="CP75" s="22"/>
      <c r="CQ75" s="32">
        <v>0</v>
      </c>
      <c r="CR75" s="32">
        <v>0</v>
      </c>
      <c r="CS75" s="32">
        <v>0</v>
      </c>
      <c r="CT75" s="32">
        <v>0</v>
      </c>
      <c r="CU75" s="32">
        <v>0</v>
      </c>
      <c r="CV75" s="32">
        <v>0</v>
      </c>
      <c r="CW75" s="32">
        <v>0</v>
      </c>
      <c r="CX75" s="32">
        <v>0</v>
      </c>
      <c r="CY75" s="32">
        <v>0</v>
      </c>
      <c r="CZ75" s="32">
        <v>0</v>
      </c>
      <c r="DA75" s="32">
        <v>0</v>
      </c>
      <c r="DB75" s="32" t="str">
        <f t="shared" si="12"/>
        <v>한성</v>
      </c>
      <c r="DC75" s="32" t="s">
        <v>578</v>
      </c>
      <c r="DD75" s="32" t="str">
        <f t="shared" si="18"/>
        <v>청담</v>
      </c>
      <c r="DE75" s="32"/>
      <c r="DF75" s="32" t="s">
        <v>416</v>
      </c>
      <c r="DG75" s="32" t="s">
        <v>772</v>
      </c>
      <c r="DH75" s="32" t="s">
        <v>773</v>
      </c>
      <c r="DI75" s="32" t="s">
        <v>774</v>
      </c>
      <c r="DJ75" s="22">
        <v>0.3</v>
      </c>
      <c r="DK75" s="51">
        <v>0.2</v>
      </c>
      <c r="DL75" s="32"/>
      <c r="DM75" s="20"/>
      <c r="DN75" s="32"/>
      <c r="DO75" s="32"/>
      <c r="DP75" s="22"/>
    </row>
    <row r="76" spans="1:120">
      <c r="A76" s="8">
        <v>74</v>
      </c>
      <c r="B76" s="8" t="s">
        <v>775</v>
      </c>
      <c r="C76" s="34" t="s">
        <v>244</v>
      </c>
      <c r="D76" s="8" t="s">
        <v>776</v>
      </c>
      <c r="E76" s="8" t="s">
        <v>777</v>
      </c>
      <c r="F76" s="8" t="s">
        <v>778</v>
      </c>
      <c r="G76" s="8" t="s">
        <v>779</v>
      </c>
      <c r="H76" s="8" t="s">
        <v>780</v>
      </c>
      <c r="I76" s="9">
        <v>116320000</v>
      </c>
      <c r="J76" s="8">
        <v>2022</v>
      </c>
      <c r="K76" s="10" t="s">
        <v>754</v>
      </c>
      <c r="L76" s="10" t="s">
        <v>116</v>
      </c>
      <c r="M76" s="8" t="s">
        <v>781</v>
      </c>
      <c r="N76" s="8" t="s">
        <v>782</v>
      </c>
      <c r="O76" s="8" t="s">
        <v>119</v>
      </c>
      <c r="P76" s="11">
        <v>1991</v>
      </c>
      <c r="Q76" s="12">
        <v>44700</v>
      </c>
      <c r="R76" s="12">
        <v>44693</v>
      </c>
      <c r="S76" s="12">
        <v>44701</v>
      </c>
      <c r="T76" s="14" t="s">
        <v>120</v>
      </c>
      <c r="U76" s="12">
        <f t="shared" si="19"/>
        <v>46526</v>
      </c>
      <c r="V76" s="8">
        <f t="shared" ca="1" si="20"/>
        <v>9</v>
      </c>
      <c r="W76" s="16">
        <v>20000</v>
      </c>
      <c r="X76" s="8" t="s">
        <v>777</v>
      </c>
      <c r="Y76" s="8" t="s">
        <v>778</v>
      </c>
      <c r="Z76" s="9"/>
      <c r="AA76" s="9" t="s">
        <v>783</v>
      </c>
      <c r="AB76" s="12">
        <v>44706</v>
      </c>
      <c r="AC76" s="8">
        <f t="shared" si="4"/>
        <v>1825</v>
      </c>
      <c r="AD76" s="8">
        <f t="shared" ca="1" si="5"/>
        <v>300</v>
      </c>
      <c r="AE76" s="8">
        <f>VLOOKUP($B76, [1]렌트_계약서번호!$B$3:$E$501, 4, FALSE)</f>
        <v>22050025</v>
      </c>
      <c r="AF76" s="9">
        <v>111667200</v>
      </c>
      <c r="AG76" s="9">
        <f>AF76*4%</f>
        <v>4466688</v>
      </c>
      <c r="AH76" s="9">
        <f t="shared" si="21"/>
        <v>107200512</v>
      </c>
      <c r="AI76" s="9"/>
      <c r="AJ76" s="9"/>
      <c r="AK76" s="9">
        <v>4060620</v>
      </c>
      <c r="AL76" s="9">
        <v>330932</v>
      </c>
      <c r="AM76" s="9">
        <v>5000</v>
      </c>
      <c r="AN76" s="9">
        <v>21500</v>
      </c>
      <c r="AO76" s="9">
        <v>30000</v>
      </c>
      <c r="AP76" s="9">
        <v>0</v>
      </c>
      <c r="AQ76" s="9"/>
      <c r="AR76" s="9" t="s">
        <v>205</v>
      </c>
      <c r="AS76" s="9"/>
      <c r="AT76" s="9" t="s">
        <v>206</v>
      </c>
      <c r="AU76" s="9">
        <f>4448052</f>
        <v>4448052</v>
      </c>
      <c r="AV76" s="57">
        <f t="shared" si="6"/>
        <v>4448052</v>
      </c>
      <c r="AW76" s="13" t="s">
        <v>158</v>
      </c>
      <c r="AX76" s="17">
        <v>44699</v>
      </c>
      <c r="AY76" s="9">
        <f>4715540-2794740</f>
        <v>1920800</v>
      </c>
      <c r="AZ76" s="9"/>
      <c r="BA76" s="9"/>
      <c r="BB76" s="9"/>
      <c r="BC76" s="9"/>
      <c r="BD76" s="9" t="s">
        <v>125</v>
      </c>
      <c r="BE76" s="9" t="s">
        <v>126</v>
      </c>
      <c r="BF76" s="9" t="s">
        <v>187</v>
      </c>
      <c r="BG76" s="9" t="s">
        <v>188</v>
      </c>
      <c r="BH76" s="9" t="s">
        <v>129</v>
      </c>
      <c r="BI76" s="9" t="s">
        <v>189</v>
      </c>
      <c r="BJ76" s="8" t="s">
        <v>720</v>
      </c>
      <c r="BK76" s="9" t="s">
        <v>132</v>
      </c>
      <c r="BL76" s="9" t="s">
        <v>133</v>
      </c>
      <c r="BM76" s="9" t="s">
        <v>257</v>
      </c>
      <c r="BN76" s="9" t="s">
        <v>134</v>
      </c>
      <c r="BO76" s="9" t="s">
        <v>134</v>
      </c>
      <c r="BP76" s="9"/>
      <c r="BQ76" s="8"/>
      <c r="BR76" s="9">
        <f t="shared" si="7"/>
        <v>37829</v>
      </c>
      <c r="BS76" s="8" t="s">
        <v>136</v>
      </c>
      <c r="BT76" s="19"/>
      <c r="BU76" s="9"/>
      <c r="BV76" s="26"/>
      <c r="BW76" s="9"/>
      <c r="BX76" s="9"/>
      <c r="BY76" s="9"/>
      <c r="BZ76" s="27">
        <v>0</v>
      </c>
      <c r="CA76" s="1"/>
      <c r="CB76" s="28" t="s">
        <v>385</v>
      </c>
      <c r="CC76" s="28" t="s">
        <v>385</v>
      </c>
      <c r="CD76" s="9">
        <v>1558000</v>
      </c>
      <c r="CE76" s="9">
        <f t="shared" si="10"/>
        <v>60</v>
      </c>
      <c r="CF76" s="9">
        <f t="shared" si="11"/>
        <v>93480000</v>
      </c>
      <c r="CG76" s="9">
        <v>32351000</v>
      </c>
      <c r="CH76" s="9">
        <v>25510000</v>
      </c>
      <c r="CI76" s="9">
        <v>32351000</v>
      </c>
      <c r="CJ76" s="29">
        <v>-2.1600000000000001E-2</v>
      </c>
      <c r="CK76" s="30">
        <v>0.06</v>
      </c>
      <c r="CL76" s="31" t="s">
        <v>784</v>
      </c>
      <c r="CM76" s="9"/>
      <c r="CN76" s="9"/>
      <c r="CO76" s="27">
        <v>0.03</v>
      </c>
      <c r="CP76" s="22"/>
      <c r="CQ76" s="32">
        <v>0</v>
      </c>
      <c r="CR76" s="32">
        <v>0</v>
      </c>
      <c r="CS76" s="32">
        <v>0</v>
      </c>
      <c r="CT76" s="32">
        <v>0</v>
      </c>
      <c r="CU76" s="32">
        <v>0</v>
      </c>
      <c r="CV76" s="32">
        <v>0</v>
      </c>
      <c r="CW76" s="32">
        <v>0</v>
      </c>
      <c r="CX76" s="32">
        <v>0</v>
      </c>
      <c r="CY76" s="32">
        <v>0</v>
      </c>
      <c r="CZ76" s="32">
        <v>0</v>
      </c>
      <c r="DA76" s="32">
        <v>0</v>
      </c>
      <c r="DB76" s="32" t="str">
        <f t="shared" si="12"/>
        <v>한성</v>
      </c>
      <c r="DC76" s="32" t="s">
        <v>733</v>
      </c>
      <c r="DD76" s="32" t="str">
        <f t="shared" si="18"/>
        <v>방배</v>
      </c>
      <c r="DE76" s="32"/>
      <c r="DF76" s="32"/>
      <c r="DG76" s="32"/>
      <c r="DH76" s="32" t="s">
        <v>785</v>
      </c>
      <c r="DI76" s="19" t="s">
        <v>137</v>
      </c>
      <c r="DJ76" s="22">
        <v>0.3</v>
      </c>
      <c r="DK76" s="51">
        <v>0.2</v>
      </c>
      <c r="DL76" s="32"/>
      <c r="DM76" s="20"/>
      <c r="DN76" s="32"/>
      <c r="DO76" s="32"/>
      <c r="DP76" s="22"/>
    </row>
    <row r="77" spans="1:120">
      <c r="A77" s="8">
        <v>75</v>
      </c>
      <c r="B77" s="8" t="s">
        <v>786</v>
      </c>
      <c r="C77" s="34" t="s">
        <v>110</v>
      </c>
      <c r="D77" s="8" t="s">
        <v>111</v>
      </c>
      <c r="E77" s="8" t="s">
        <v>110</v>
      </c>
      <c r="F77" s="8"/>
      <c r="G77" s="8" t="s">
        <v>787</v>
      </c>
      <c r="H77" s="8" t="s">
        <v>788</v>
      </c>
      <c r="I77" s="9">
        <v>119200000</v>
      </c>
      <c r="J77" s="8">
        <v>2022</v>
      </c>
      <c r="K77" s="10" t="s">
        <v>789</v>
      </c>
      <c r="L77" s="10" t="s">
        <v>116</v>
      </c>
      <c r="M77" s="8" t="s">
        <v>790</v>
      </c>
      <c r="N77" s="8" t="s">
        <v>791</v>
      </c>
      <c r="O77" s="8" t="s">
        <v>119</v>
      </c>
      <c r="P77" s="11">
        <v>3470</v>
      </c>
      <c r="Q77" s="12">
        <v>44735</v>
      </c>
      <c r="R77" s="12">
        <v>45401</v>
      </c>
      <c r="S77" s="12">
        <v>45406</v>
      </c>
      <c r="T77" s="14" t="s">
        <v>120</v>
      </c>
      <c r="U77" s="12">
        <f t="shared" si="19"/>
        <v>47231</v>
      </c>
      <c r="V77" s="8">
        <f t="shared" ca="1" si="20"/>
        <v>33</v>
      </c>
      <c r="W77" s="16">
        <v>30000</v>
      </c>
      <c r="X77" s="9" t="s">
        <v>792</v>
      </c>
      <c r="Y77" s="9" t="s">
        <v>793</v>
      </c>
      <c r="Z77" s="9"/>
      <c r="AA77" s="9" t="s">
        <v>794</v>
      </c>
      <c r="AB77" s="12">
        <v>45437</v>
      </c>
      <c r="AC77" s="8">
        <f t="shared" si="4"/>
        <v>1825</v>
      </c>
      <c r="AD77" s="8">
        <f t="shared" ca="1" si="5"/>
        <v>1005</v>
      </c>
      <c r="AE77" s="8">
        <f>VLOOKUP($B77, [1]렌트_계약서번호!$B$3:$E$501, 4, FALSE)</f>
        <v>22050026</v>
      </c>
      <c r="AF77" s="9">
        <v>112227883</v>
      </c>
      <c r="AG77" s="9">
        <f>AF77*4%</f>
        <v>4489115.32</v>
      </c>
      <c r="AH77" s="9">
        <f t="shared" si="21"/>
        <v>107738767.68000001</v>
      </c>
      <c r="AI77" s="9">
        <v>303000</v>
      </c>
      <c r="AJ77" s="9">
        <v>2000</v>
      </c>
      <c r="AK77" s="9">
        <v>4081010</v>
      </c>
      <c r="AL77" s="9">
        <v>575914</v>
      </c>
      <c r="AM77" s="9">
        <v>5000</v>
      </c>
      <c r="AN77" s="9">
        <v>21500</v>
      </c>
      <c r="AO77" s="9">
        <v>100000</v>
      </c>
      <c r="AP77" s="9">
        <v>2315000</v>
      </c>
      <c r="AQ77" s="9">
        <v>330000</v>
      </c>
      <c r="AR77" s="9" t="s">
        <v>795</v>
      </c>
      <c r="AS77" s="9">
        <v>420000</v>
      </c>
      <c r="AT77" s="9" t="s">
        <v>796</v>
      </c>
      <c r="AU77" s="62">
        <v>4800000</v>
      </c>
      <c r="AV77" s="57">
        <f t="shared" si="6"/>
        <v>5838424</v>
      </c>
      <c r="AW77" s="8" t="s">
        <v>124</v>
      </c>
      <c r="AX77" s="17">
        <v>44735</v>
      </c>
      <c r="AY77" s="9">
        <f>4479070-3128010</f>
        <v>1351060</v>
      </c>
      <c r="AZ77" s="9"/>
      <c r="BA77" s="9" t="s">
        <v>797</v>
      </c>
      <c r="BB77" s="9"/>
      <c r="BC77" s="9"/>
      <c r="BD77" s="9" t="s">
        <v>125</v>
      </c>
      <c r="BE77" s="9" t="s">
        <v>126</v>
      </c>
      <c r="BF77" s="9" t="s">
        <v>187</v>
      </c>
      <c r="BG77" s="9" t="s">
        <v>188</v>
      </c>
      <c r="BH77" s="9" t="s">
        <v>129</v>
      </c>
      <c r="BI77" s="9" t="s">
        <v>189</v>
      </c>
      <c r="BJ77" s="63" t="s">
        <v>256</v>
      </c>
      <c r="BK77" s="9" t="s">
        <v>132</v>
      </c>
      <c r="BL77" s="9" t="s">
        <v>133</v>
      </c>
      <c r="BM77" s="9" t="s">
        <v>133</v>
      </c>
      <c r="BN77" s="9" t="s">
        <v>133</v>
      </c>
      <c r="BO77" s="9" t="s">
        <v>134</v>
      </c>
      <c r="BP77" s="9" t="s">
        <v>798</v>
      </c>
      <c r="BQ77" s="8"/>
      <c r="BR77" s="9">
        <f t="shared" si="7"/>
        <v>83280</v>
      </c>
      <c r="BS77" s="8" t="s">
        <v>136</v>
      </c>
      <c r="BT77" s="19"/>
      <c r="BU77" s="9"/>
      <c r="BV77" s="26"/>
      <c r="BW77" s="9"/>
      <c r="BX77" s="9"/>
      <c r="BY77" s="9"/>
      <c r="BZ77" s="27">
        <v>0</v>
      </c>
      <c r="CA77" s="1"/>
      <c r="CB77" s="28" t="s">
        <v>385</v>
      </c>
      <c r="CC77" s="28" t="s">
        <v>385</v>
      </c>
      <c r="CD77" s="9">
        <v>2170000</v>
      </c>
      <c r="CE77" s="9">
        <f t="shared" si="10"/>
        <v>60</v>
      </c>
      <c r="CF77" s="9">
        <f t="shared" si="11"/>
        <v>130200000</v>
      </c>
      <c r="CG77" s="9">
        <v>0</v>
      </c>
      <c r="CH77" s="9">
        <v>0</v>
      </c>
      <c r="CI77" s="62" t="s">
        <v>799</v>
      </c>
      <c r="CJ77" s="29">
        <v>0</v>
      </c>
      <c r="CK77" s="30">
        <v>0.06</v>
      </c>
      <c r="CL77" s="31" t="s">
        <v>800</v>
      </c>
      <c r="CM77" s="9"/>
      <c r="CN77" s="9"/>
      <c r="CO77" s="27">
        <v>0.03</v>
      </c>
      <c r="CP77" s="22"/>
      <c r="CQ77" s="32">
        <v>0</v>
      </c>
      <c r="CR77" s="32">
        <v>0</v>
      </c>
      <c r="CS77" s="32">
        <v>0</v>
      </c>
      <c r="CT77" s="32">
        <v>0</v>
      </c>
      <c r="CU77" s="32">
        <v>0</v>
      </c>
      <c r="CV77" s="32">
        <v>0</v>
      </c>
      <c r="CW77" s="32">
        <v>0</v>
      </c>
      <c r="CX77" s="32">
        <v>0</v>
      </c>
      <c r="CY77" s="32">
        <v>0</v>
      </c>
      <c r="CZ77" s="32">
        <v>0</v>
      </c>
      <c r="DA77" s="32">
        <v>0</v>
      </c>
      <c r="DB77" s="32" t="str">
        <f t="shared" si="12"/>
        <v>현대</v>
      </c>
      <c r="DC77" s="32" t="s">
        <v>801</v>
      </c>
      <c r="DD77" s="32" t="str">
        <f>IF(DC77="정수원 실장","렌트베네핏", IF(DC77="박현식 부장", "렌트베네핏", IF(DC77="김성진 팀장", "청담", IF(DC77="전석영 부장", "방배", IF(DC77= "박봉호 부장", "일산",IF(DB120="정원철 부장", "청담"))))))</f>
        <v>렌트베네핏</v>
      </c>
      <c r="DE77" s="32"/>
      <c r="DF77" s="32" t="s">
        <v>802</v>
      </c>
      <c r="DG77" s="32" t="s">
        <v>803</v>
      </c>
      <c r="DH77" s="32" t="s">
        <v>804</v>
      </c>
      <c r="DI77" s="32" t="s">
        <v>805</v>
      </c>
      <c r="DJ77" s="22">
        <v>0.3</v>
      </c>
      <c r="DK77" s="64"/>
      <c r="DL77" s="19"/>
      <c r="DM77" s="19"/>
      <c r="DN77" s="19"/>
      <c r="DO77" s="19"/>
      <c r="DP77" s="19"/>
    </row>
    <row r="78" spans="1:120">
      <c r="A78" s="8">
        <v>75</v>
      </c>
      <c r="B78" s="8" t="s">
        <v>806</v>
      </c>
      <c r="C78" s="34" t="s">
        <v>244</v>
      </c>
      <c r="D78" s="8" t="s">
        <v>807</v>
      </c>
      <c r="E78" s="8" t="s">
        <v>808</v>
      </c>
      <c r="F78" s="8" t="s">
        <v>793</v>
      </c>
      <c r="G78" s="8" t="s">
        <v>787</v>
      </c>
      <c r="H78" s="8" t="s">
        <v>788</v>
      </c>
      <c r="I78" s="9">
        <v>119200000</v>
      </c>
      <c r="J78" s="8">
        <v>2022</v>
      </c>
      <c r="K78" s="10" t="s">
        <v>789</v>
      </c>
      <c r="L78" s="10" t="s">
        <v>116</v>
      </c>
      <c r="M78" s="8" t="s">
        <v>790</v>
      </c>
      <c r="N78" s="8" t="s">
        <v>791</v>
      </c>
      <c r="O78" s="8" t="s">
        <v>119</v>
      </c>
      <c r="P78" s="11">
        <v>3470</v>
      </c>
      <c r="Q78" s="12">
        <v>44735</v>
      </c>
      <c r="R78" s="12">
        <v>45401</v>
      </c>
      <c r="S78" s="12">
        <v>45406</v>
      </c>
      <c r="T78" s="14" t="s">
        <v>809</v>
      </c>
      <c r="U78" s="12">
        <f t="shared" si="19"/>
        <v>46196.83309</v>
      </c>
      <c r="V78" s="8">
        <v>26</v>
      </c>
      <c r="W78" s="16">
        <v>30000</v>
      </c>
      <c r="X78" s="9" t="s">
        <v>792</v>
      </c>
      <c r="Y78" s="9" t="s">
        <v>793</v>
      </c>
      <c r="Z78" s="9"/>
      <c r="AA78" s="9" t="s">
        <v>794</v>
      </c>
      <c r="AB78" s="12">
        <v>45437</v>
      </c>
      <c r="AC78" s="8">
        <f t="shared" si="4"/>
        <v>790.83309000000008</v>
      </c>
      <c r="AD78" s="8">
        <f t="shared" ca="1" si="5"/>
        <v>-29.166909999999916</v>
      </c>
      <c r="AE78" s="8" t="e">
        <f>VLOOKUP($B78, [1]렌트_계약서번호!$B$3:$E$501, 4, FALSE)</f>
        <v>#N/A</v>
      </c>
      <c r="AF78" s="9">
        <v>112227883</v>
      </c>
      <c r="AG78" s="9">
        <f>AF78*4%</f>
        <v>4489115.32</v>
      </c>
      <c r="AH78" s="9">
        <f t="shared" si="21"/>
        <v>107738767.68000001</v>
      </c>
      <c r="AI78" s="9">
        <v>303000</v>
      </c>
      <c r="AJ78" s="9">
        <v>2000</v>
      </c>
      <c r="AK78" s="9">
        <v>4081010</v>
      </c>
      <c r="AL78" s="9">
        <v>575914</v>
      </c>
      <c r="AM78" s="9">
        <v>5000</v>
      </c>
      <c r="AN78" s="9">
        <v>21500</v>
      </c>
      <c r="AO78" s="9">
        <v>100000</v>
      </c>
      <c r="AP78" s="9">
        <v>2315000</v>
      </c>
      <c r="AQ78" s="9">
        <v>330000</v>
      </c>
      <c r="AR78" s="9" t="s">
        <v>795</v>
      </c>
      <c r="AS78" s="9">
        <v>420000</v>
      </c>
      <c r="AT78" s="9" t="s">
        <v>796</v>
      </c>
      <c r="AU78" s="62">
        <v>4800000</v>
      </c>
      <c r="AV78" s="57">
        <f t="shared" si="6"/>
        <v>5838424</v>
      </c>
      <c r="AW78" s="8" t="s">
        <v>124</v>
      </c>
      <c r="AX78" s="17">
        <v>44735</v>
      </c>
      <c r="AY78" s="9">
        <f>4479070-3128010</f>
        <v>1351060</v>
      </c>
      <c r="AZ78" s="9"/>
      <c r="BA78" s="9" t="s">
        <v>797</v>
      </c>
      <c r="BB78" s="9"/>
      <c r="BC78" s="9"/>
      <c r="BD78" s="9" t="s">
        <v>125</v>
      </c>
      <c r="BE78" s="9" t="s">
        <v>126</v>
      </c>
      <c r="BF78" s="9" t="s">
        <v>187</v>
      </c>
      <c r="BG78" s="9" t="s">
        <v>188</v>
      </c>
      <c r="BH78" s="9" t="s">
        <v>129</v>
      </c>
      <c r="BI78" s="9" t="s">
        <v>189</v>
      </c>
      <c r="BJ78" s="63" t="s">
        <v>256</v>
      </c>
      <c r="BK78" s="9" t="s">
        <v>132</v>
      </c>
      <c r="BL78" s="9" t="s">
        <v>133</v>
      </c>
      <c r="BM78" s="9" t="s">
        <v>133</v>
      </c>
      <c r="BN78" s="9" t="s">
        <v>133</v>
      </c>
      <c r="BO78" s="9" t="s">
        <v>134</v>
      </c>
      <c r="BP78" s="9" t="s">
        <v>798</v>
      </c>
      <c r="BQ78" s="8"/>
      <c r="BR78" s="9">
        <f t="shared" si="7"/>
        <v>83280</v>
      </c>
      <c r="BS78" s="8" t="s">
        <v>136</v>
      </c>
      <c r="BT78" s="19"/>
      <c r="BU78" s="9"/>
      <c r="BV78" s="26"/>
      <c r="BW78" s="9"/>
      <c r="BX78" s="9"/>
      <c r="BY78" s="9"/>
      <c r="BZ78" s="27">
        <v>0</v>
      </c>
      <c r="CA78" s="1"/>
      <c r="CB78" s="28" t="s">
        <v>385</v>
      </c>
      <c r="CC78" s="28" t="s">
        <v>385</v>
      </c>
      <c r="CD78" s="9">
        <v>2170000</v>
      </c>
      <c r="CE78" s="9">
        <f t="shared" si="10"/>
        <v>25.999992000000002</v>
      </c>
      <c r="CF78" s="9">
        <f t="shared" si="11"/>
        <v>56419982.640000008</v>
      </c>
      <c r="CG78" s="9">
        <v>0</v>
      </c>
      <c r="CH78" s="9">
        <v>0</v>
      </c>
      <c r="CI78" s="62" t="s">
        <v>799</v>
      </c>
      <c r="CJ78" s="29">
        <v>0</v>
      </c>
      <c r="CK78" s="30">
        <v>0.06</v>
      </c>
      <c r="CL78" s="31" t="s">
        <v>800</v>
      </c>
      <c r="CM78" s="9"/>
      <c r="CN78" s="9"/>
      <c r="CO78" s="27">
        <v>0.03</v>
      </c>
      <c r="CP78" s="22"/>
      <c r="CQ78" s="32">
        <v>0</v>
      </c>
      <c r="CR78" s="32">
        <v>0</v>
      </c>
      <c r="CS78" s="32">
        <v>0</v>
      </c>
      <c r="CT78" s="32">
        <v>0</v>
      </c>
      <c r="CU78" s="32">
        <v>0</v>
      </c>
      <c r="CV78" s="32">
        <v>0</v>
      </c>
      <c r="CW78" s="32">
        <v>0</v>
      </c>
      <c r="CX78" s="32">
        <v>0</v>
      </c>
      <c r="CY78" s="32">
        <v>0</v>
      </c>
      <c r="CZ78" s="32">
        <v>0</v>
      </c>
      <c r="DA78" s="32">
        <v>0</v>
      </c>
      <c r="DB78" s="32" t="str">
        <f t="shared" si="12"/>
        <v>현대</v>
      </c>
      <c r="DC78" s="32" t="s">
        <v>801</v>
      </c>
      <c r="DD78" s="32" t="str">
        <f>IF(DC78="정수원 실장","렌트베네핏", IF(DC78="박현식 부장", "렌트베네핏", IF(DC78="김성진 팀장", "청담", IF(DC78="전석영 부장", "방배", IF(DC78= "박봉호 부장", "일산",IF(DC123="정원철 부장", "청담"))))))</f>
        <v>렌트베네핏</v>
      </c>
      <c r="DE78" s="32"/>
      <c r="DF78" s="32" t="s">
        <v>802</v>
      </c>
      <c r="DG78" s="32" t="s">
        <v>803</v>
      </c>
      <c r="DH78" s="32" t="s">
        <v>804</v>
      </c>
      <c r="DI78" s="32" t="s">
        <v>805</v>
      </c>
      <c r="DJ78" s="22">
        <v>0.3</v>
      </c>
      <c r="DK78" s="51">
        <v>0.2</v>
      </c>
      <c r="DL78" s="32"/>
      <c r="DM78" s="20"/>
      <c r="DN78" s="32"/>
      <c r="DO78" s="32"/>
      <c r="DP78" s="22"/>
    </row>
    <row r="79" spans="1:120">
      <c r="A79" s="8">
        <v>76</v>
      </c>
      <c r="B79" s="8" t="s">
        <v>810</v>
      </c>
      <c r="C79" s="34" t="s">
        <v>263</v>
      </c>
      <c r="D79" s="8" t="s">
        <v>811</v>
      </c>
      <c r="E79" s="8" t="s">
        <v>812</v>
      </c>
      <c r="F79" s="8" t="s">
        <v>813</v>
      </c>
      <c r="G79" s="8" t="s">
        <v>787</v>
      </c>
      <c r="H79" s="8" t="s">
        <v>788</v>
      </c>
      <c r="I79" s="9">
        <v>119200000</v>
      </c>
      <c r="J79" s="8">
        <v>2022</v>
      </c>
      <c r="K79" s="10" t="s">
        <v>789</v>
      </c>
      <c r="L79" s="10" t="s">
        <v>116</v>
      </c>
      <c r="M79" s="8" t="s">
        <v>814</v>
      </c>
      <c r="N79" s="8" t="s">
        <v>815</v>
      </c>
      <c r="O79" s="8" t="s">
        <v>119</v>
      </c>
      <c r="P79" s="11">
        <v>3470</v>
      </c>
      <c r="Q79" s="12">
        <v>44735</v>
      </c>
      <c r="R79" s="12">
        <v>44735</v>
      </c>
      <c r="S79" s="12">
        <v>44736</v>
      </c>
      <c r="T79" s="14" t="s">
        <v>556</v>
      </c>
      <c r="U79" s="12">
        <f t="shared" si="19"/>
        <v>46196</v>
      </c>
      <c r="V79" s="8" t="str">
        <f t="shared" ref="V79:V142" ca="1" si="22">IFERROR(DATEDIF(TODAY(), U79, "m"), "-")</f>
        <v>-</v>
      </c>
      <c r="W79" s="16">
        <v>30000</v>
      </c>
      <c r="X79" s="8" t="s">
        <v>812</v>
      </c>
      <c r="Y79" s="8" t="s">
        <v>813</v>
      </c>
      <c r="Z79" s="9"/>
      <c r="AA79" s="9" t="s">
        <v>816</v>
      </c>
      <c r="AB79" s="12">
        <v>44767</v>
      </c>
      <c r="AC79" s="8">
        <f t="shared" si="4"/>
        <v>1460</v>
      </c>
      <c r="AD79" s="8">
        <f t="shared" ca="1" si="5"/>
        <v>-30</v>
      </c>
      <c r="AE79" s="8">
        <f>VLOOKUP($B79, [1]렌트_계약서번호!$B$3:$E$501, 4, FALSE)</f>
        <v>22060028</v>
      </c>
      <c r="AF79" s="9">
        <v>112227883</v>
      </c>
      <c r="AG79" s="9">
        <f>AF79*4%</f>
        <v>4489115.32</v>
      </c>
      <c r="AH79" s="9">
        <f t="shared" si="21"/>
        <v>107738767.68000001</v>
      </c>
      <c r="AI79" s="9">
        <v>303000</v>
      </c>
      <c r="AJ79" s="9">
        <v>2000</v>
      </c>
      <c r="AK79" s="9">
        <v>4081010</v>
      </c>
      <c r="AL79" s="9">
        <v>575914</v>
      </c>
      <c r="AM79" s="9">
        <v>5000</v>
      </c>
      <c r="AN79" s="9">
        <v>21500</v>
      </c>
      <c r="AO79" s="9">
        <v>100000</v>
      </c>
      <c r="AP79" s="9">
        <v>2315000</v>
      </c>
      <c r="AQ79" s="9">
        <v>330000</v>
      </c>
      <c r="AR79" s="9" t="s">
        <v>795</v>
      </c>
      <c r="AS79" s="9">
        <v>420000</v>
      </c>
      <c r="AT79" s="9" t="s">
        <v>796</v>
      </c>
      <c r="AU79" s="62">
        <v>4800000</v>
      </c>
      <c r="AV79" s="57">
        <f t="shared" si="6"/>
        <v>5838424</v>
      </c>
      <c r="AW79" s="8" t="s">
        <v>124</v>
      </c>
      <c r="AX79" s="17">
        <v>44735</v>
      </c>
      <c r="AY79" s="9">
        <f>4440730-3156840</f>
        <v>1283890</v>
      </c>
      <c r="AZ79" s="9"/>
      <c r="BA79" s="9"/>
      <c r="BB79" s="9"/>
      <c r="BC79" s="9"/>
      <c r="BD79" s="9" t="s">
        <v>125</v>
      </c>
      <c r="BE79" s="9" t="s">
        <v>126</v>
      </c>
      <c r="BF79" s="9" t="s">
        <v>187</v>
      </c>
      <c r="BG79" s="9" t="s">
        <v>188</v>
      </c>
      <c r="BH79" s="9" t="s">
        <v>129</v>
      </c>
      <c r="BI79" s="9" t="s">
        <v>189</v>
      </c>
      <c r="BJ79" s="8" t="s">
        <v>256</v>
      </c>
      <c r="BK79" s="9" t="s">
        <v>132</v>
      </c>
      <c r="BL79" s="9" t="s">
        <v>133</v>
      </c>
      <c r="BM79" s="9" t="s">
        <v>133</v>
      </c>
      <c r="BN79" s="9" t="s">
        <v>133</v>
      </c>
      <c r="BO79" s="9" t="s">
        <v>817</v>
      </c>
      <c r="BP79" s="9" t="s">
        <v>798</v>
      </c>
      <c r="BQ79" s="8"/>
      <c r="BR79" s="9">
        <f t="shared" si="7"/>
        <v>83280</v>
      </c>
      <c r="BS79" s="8" t="s">
        <v>136</v>
      </c>
      <c r="BT79" s="19"/>
      <c r="BU79" s="9"/>
      <c r="BV79" s="26"/>
      <c r="BW79" s="9"/>
      <c r="BX79" s="9"/>
      <c r="BY79" s="9"/>
      <c r="BZ79" s="27">
        <v>0</v>
      </c>
      <c r="CA79" s="1"/>
      <c r="CB79" s="28" t="s">
        <v>385</v>
      </c>
      <c r="CC79" s="28" t="s">
        <v>385</v>
      </c>
      <c r="CD79" s="9">
        <v>2707000</v>
      </c>
      <c r="CE79" s="9">
        <f t="shared" si="10"/>
        <v>48</v>
      </c>
      <c r="CF79" s="9">
        <f t="shared" si="11"/>
        <v>129936000</v>
      </c>
      <c r="CG79" s="9">
        <v>35760000</v>
      </c>
      <c r="CH79" s="9">
        <v>0</v>
      </c>
      <c r="CI79" s="9">
        <v>35760000</v>
      </c>
      <c r="CJ79" s="29">
        <v>9.8799999999999999E-2</v>
      </c>
      <c r="CK79" s="30">
        <v>0.06</v>
      </c>
      <c r="CL79" s="31" t="s">
        <v>818</v>
      </c>
      <c r="CM79" s="9"/>
      <c r="CN79" s="9"/>
      <c r="CO79" s="27">
        <v>0.03</v>
      </c>
      <c r="CP79" s="22"/>
      <c r="CQ79" s="32">
        <v>0</v>
      </c>
      <c r="CR79" s="32">
        <v>0</v>
      </c>
      <c r="CS79" s="32">
        <v>0</v>
      </c>
      <c r="CT79" s="32">
        <v>0</v>
      </c>
      <c r="CU79" s="32">
        <v>0</v>
      </c>
      <c r="CV79" s="32">
        <v>0</v>
      </c>
      <c r="CW79" s="32">
        <v>0</v>
      </c>
      <c r="CX79" s="32">
        <v>0</v>
      </c>
      <c r="CY79" s="32">
        <v>0</v>
      </c>
      <c r="CZ79" s="32">
        <v>0</v>
      </c>
      <c r="DA79" s="32">
        <v>0</v>
      </c>
      <c r="DB79" s="32" t="s">
        <v>232</v>
      </c>
      <c r="DC79" s="32" t="s">
        <v>801</v>
      </c>
      <c r="DD79" s="32" t="s">
        <v>819</v>
      </c>
      <c r="DE79" s="32"/>
      <c r="DF79" s="32"/>
      <c r="DG79" s="32"/>
      <c r="DH79" s="32" t="s">
        <v>820</v>
      </c>
      <c r="DI79" s="9" t="s">
        <v>816</v>
      </c>
      <c r="DJ79" s="22">
        <v>0.3</v>
      </c>
      <c r="DK79" s="51">
        <v>0.2</v>
      </c>
      <c r="DL79" s="32"/>
      <c r="DM79" s="20"/>
      <c r="DN79" s="32"/>
      <c r="DO79" s="32"/>
      <c r="DP79" s="22"/>
    </row>
    <row r="80" spans="1:120">
      <c r="A80" s="8">
        <v>77</v>
      </c>
      <c r="B80" s="8" t="s">
        <v>821</v>
      </c>
      <c r="C80" s="34" t="s">
        <v>244</v>
      </c>
      <c r="D80" s="8" t="s">
        <v>822</v>
      </c>
      <c r="E80" s="8" t="s">
        <v>246</v>
      </c>
      <c r="F80" s="8" t="s">
        <v>247</v>
      </c>
      <c r="G80" s="8" t="s">
        <v>248</v>
      </c>
      <c r="H80" s="8" t="s">
        <v>512</v>
      </c>
      <c r="I80" s="9">
        <v>13150000</v>
      </c>
      <c r="J80" s="8">
        <v>2022</v>
      </c>
      <c r="K80" s="10" t="s">
        <v>115</v>
      </c>
      <c r="L80" s="10" t="s">
        <v>116</v>
      </c>
      <c r="M80" s="8" t="s">
        <v>823</v>
      </c>
      <c r="N80" s="8" t="s">
        <v>824</v>
      </c>
      <c r="O80" s="8" t="s">
        <v>119</v>
      </c>
      <c r="P80" s="11">
        <v>998</v>
      </c>
      <c r="Q80" s="12">
        <v>44735</v>
      </c>
      <c r="R80" s="12">
        <v>44666</v>
      </c>
      <c r="S80" s="12">
        <v>44740</v>
      </c>
      <c r="T80" s="14" t="s">
        <v>120</v>
      </c>
      <c r="U80" s="12">
        <f t="shared" si="19"/>
        <v>46565</v>
      </c>
      <c r="V80" s="8">
        <f t="shared" ca="1" si="22"/>
        <v>11</v>
      </c>
      <c r="W80" s="16">
        <v>20000</v>
      </c>
      <c r="X80" s="9" t="s">
        <v>272</v>
      </c>
      <c r="Y80" s="9" t="s">
        <v>273</v>
      </c>
      <c r="Z80" s="9" t="s">
        <v>825</v>
      </c>
      <c r="AA80" s="9" t="s">
        <v>275</v>
      </c>
      <c r="AB80" s="12">
        <v>44747</v>
      </c>
      <c r="AC80" s="8">
        <f t="shared" si="4"/>
        <v>1825</v>
      </c>
      <c r="AD80" s="8">
        <f t="shared" ca="1" si="5"/>
        <v>339</v>
      </c>
      <c r="AE80" s="8">
        <f>VLOOKUP($B80, [1]렌트_계약서번호!$B$3:$E$501, 4, FALSE)</f>
        <v>22040019</v>
      </c>
      <c r="AF80" s="9">
        <v>13118375</v>
      </c>
      <c r="AG80" s="9">
        <v>0</v>
      </c>
      <c r="AH80" s="9">
        <f t="shared" si="21"/>
        <v>13118375</v>
      </c>
      <c r="AI80" s="9"/>
      <c r="AJ80" s="9">
        <v>2000</v>
      </c>
      <c r="AK80" s="9">
        <f>AH80/1.1*0.04</f>
        <v>477031.81818181812</v>
      </c>
      <c r="AL80" s="9">
        <v>0</v>
      </c>
      <c r="AM80" s="9">
        <v>2000</v>
      </c>
      <c r="AN80" s="9">
        <v>27000</v>
      </c>
      <c r="AO80" s="9">
        <v>30000</v>
      </c>
      <c r="AP80" s="9">
        <v>430000</v>
      </c>
      <c r="AQ80" s="9">
        <v>0</v>
      </c>
      <c r="AR80" s="9" t="s">
        <v>122</v>
      </c>
      <c r="AS80" s="9">
        <v>0</v>
      </c>
      <c r="AT80" s="9" t="s">
        <v>123</v>
      </c>
      <c r="AU80" s="9">
        <f>477028</f>
        <v>477028</v>
      </c>
      <c r="AV80" s="57">
        <f t="shared" si="6"/>
        <v>538031.81818181812</v>
      </c>
      <c r="AW80" s="8" t="s">
        <v>124</v>
      </c>
      <c r="AX80" s="17">
        <v>44735</v>
      </c>
      <c r="AY80" s="9">
        <v>1182390</v>
      </c>
      <c r="AZ80" s="9"/>
      <c r="BA80" s="9"/>
      <c r="BB80" s="9"/>
      <c r="BC80" s="9"/>
      <c r="BD80" s="9" t="s">
        <v>125</v>
      </c>
      <c r="BE80" s="9" t="s">
        <v>126</v>
      </c>
      <c r="BF80" s="9" t="s">
        <v>255</v>
      </c>
      <c r="BG80" s="9" t="s">
        <v>128</v>
      </c>
      <c r="BH80" s="9" t="s">
        <v>129</v>
      </c>
      <c r="BI80" s="9" t="s">
        <v>130</v>
      </c>
      <c r="BJ80" s="8" t="s">
        <v>256</v>
      </c>
      <c r="BK80" s="9" t="s">
        <v>132</v>
      </c>
      <c r="BL80" s="9" t="s">
        <v>133</v>
      </c>
      <c r="BM80" s="9" t="s">
        <v>257</v>
      </c>
      <c r="BN80" s="9" t="s">
        <v>134</v>
      </c>
      <c r="BO80" s="9" t="s">
        <v>134</v>
      </c>
      <c r="BP80" s="9" t="s">
        <v>590</v>
      </c>
      <c r="BQ80" s="8"/>
      <c r="BR80" s="9">
        <f t="shared" si="7"/>
        <v>17964</v>
      </c>
      <c r="BS80" s="8" t="s">
        <v>136</v>
      </c>
      <c r="BT80" s="19"/>
      <c r="BU80" s="9"/>
      <c r="BV80" s="26"/>
      <c r="BW80" s="9"/>
      <c r="BX80" s="9"/>
      <c r="BY80" s="9"/>
      <c r="BZ80" s="27">
        <v>0</v>
      </c>
      <c r="CA80" s="1"/>
      <c r="CB80" s="28" t="s">
        <v>120</v>
      </c>
      <c r="CC80" s="28" t="s">
        <v>120</v>
      </c>
      <c r="CD80" s="9">
        <v>340700</v>
      </c>
      <c r="CE80" s="9">
        <f t="shared" si="10"/>
        <v>60</v>
      </c>
      <c r="CF80" s="9">
        <f t="shared" si="11"/>
        <v>20442000</v>
      </c>
      <c r="CG80" s="9"/>
      <c r="CH80" s="9"/>
      <c r="CI80" s="9">
        <v>2506900</v>
      </c>
      <c r="CJ80" s="29">
        <v>0.01</v>
      </c>
      <c r="CK80" s="30">
        <v>0.04</v>
      </c>
      <c r="CL80" s="31" t="s">
        <v>259</v>
      </c>
      <c r="CM80" s="9"/>
      <c r="CN80" s="9"/>
      <c r="CO80" s="27">
        <v>0.03</v>
      </c>
      <c r="CP80" s="22"/>
      <c r="CQ80" s="32">
        <v>0</v>
      </c>
      <c r="CR80" s="32">
        <v>0</v>
      </c>
      <c r="CS80" s="32">
        <v>0</v>
      </c>
      <c r="CT80" s="32">
        <v>0</v>
      </c>
      <c r="CU80" s="32">
        <v>0</v>
      </c>
      <c r="CV80" s="32">
        <v>0</v>
      </c>
      <c r="CW80" s="32">
        <v>0</v>
      </c>
      <c r="CX80" s="32">
        <v>0</v>
      </c>
      <c r="CY80" s="32">
        <v>0</v>
      </c>
      <c r="CZ80" s="32">
        <v>0</v>
      </c>
      <c r="DA80" s="32">
        <v>0</v>
      </c>
      <c r="DB80" s="32" t="str">
        <f t="shared" ref="DB80:DB87" si="23">IF(DC80="정수원 실장","기아", IF(DC80="박현식 부장", "현대", IF(DC80="김성진 팀장", "한성", IF(DC80="전석영 부장", "한성", IF(DC80= "박봉호 부장", "모토원",IF(DC80="정원철 부장", "한성"))))))</f>
        <v>기아</v>
      </c>
      <c r="DC80" s="32" t="s">
        <v>260</v>
      </c>
      <c r="DD80" s="32" t="str">
        <f t="shared" ref="DD80:DD85" si="24">IF(DC80="정수원 실장","렌트베네핏", IF(DC80="박현식 부장", "렌트베네핏", IF(DC80="김성진 팀장", "청담", IF(DC80="전석영 부장", "방배", IF(DC80= "박봉호 부장", "일산",IF(DC125="정원철 부장", "청담"))))))</f>
        <v>렌트베네핏</v>
      </c>
      <c r="DE80" s="32"/>
      <c r="DF80" s="32"/>
      <c r="DG80" s="32"/>
      <c r="DH80" s="32" t="s">
        <v>261</v>
      </c>
      <c r="DI80" s="19" t="s">
        <v>137</v>
      </c>
      <c r="DJ80" s="22">
        <v>0.3</v>
      </c>
      <c r="DK80" s="51">
        <v>0.2</v>
      </c>
      <c r="DL80" s="32"/>
      <c r="DM80" s="20"/>
      <c r="DN80" s="32"/>
      <c r="DO80" s="32"/>
      <c r="DP80" s="22"/>
    </row>
    <row r="81" spans="1:120">
      <c r="A81" s="8">
        <v>78</v>
      </c>
      <c r="B81" s="8" t="s">
        <v>826</v>
      </c>
      <c r="C81" s="34" t="s">
        <v>244</v>
      </c>
      <c r="D81" s="8" t="s">
        <v>827</v>
      </c>
      <c r="E81" s="8" t="s">
        <v>246</v>
      </c>
      <c r="F81" s="8" t="s">
        <v>247</v>
      </c>
      <c r="G81" s="8" t="s">
        <v>248</v>
      </c>
      <c r="H81" s="8" t="s">
        <v>512</v>
      </c>
      <c r="I81" s="9">
        <v>13150000</v>
      </c>
      <c r="J81" s="8">
        <v>2022</v>
      </c>
      <c r="K81" s="10" t="s">
        <v>115</v>
      </c>
      <c r="L81" s="10" t="s">
        <v>116</v>
      </c>
      <c r="M81" s="8" t="s">
        <v>828</v>
      </c>
      <c r="N81" s="8" t="s">
        <v>829</v>
      </c>
      <c r="O81" s="8" t="s">
        <v>119</v>
      </c>
      <c r="P81" s="11">
        <v>998</v>
      </c>
      <c r="Q81" s="12">
        <v>44735</v>
      </c>
      <c r="R81" s="12">
        <v>44666</v>
      </c>
      <c r="S81" s="12">
        <v>44740</v>
      </c>
      <c r="T81" s="14" t="s">
        <v>120</v>
      </c>
      <c r="U81" s="12">
        <f t="shared" si="19"/>
        <v>46565</v>
      </c>
      <c r="V81" s="8">
        <f t="shared" ca="1" si="22"/>
        <v>11</v>
      </c>
      <c r="W81" s="16">
        <v>20000</v>
      </c>
      <c r="X81" s="9" t="s">
        <v>251</v>
      </c>
      <c r="Y81" s="9" t="s">
        <v>670</v>
      </c>
      <c r="Z81" s="9" t="s">
        <v>830</v>
      </c>
      <c r="AA81" s="9" t="s">
        <v>672</v>
      </c>
      <c r="AB81" s="12">
        <v>44747</v>
      </c>
      <c r="AC81" s="8">
        <f t="shared" si="4"/>
        <v>1825</v>
      </c>
      <c r="AD81" s="8">
        <f t="shared" ca="1" si="5"/>
        <v>339</v>
      </c>
      <c r="AE81" s="8">
        <f>VLOOKUP($B81, [1]렌트_계약서번호!$B$3:$E$501, 4, FALSE)</f>
        <v>22040020</v>
      </c>
      <c r="AF81" s="9">
        <v>13118375</v>
      </c>
      <c r="AG81" s="9">
        <v>0</v>
      </c>
      <c r="AH81" s="9">
        <f t="shared" si="21"/>
        <v>13118375</v>
      </c>
      <c r="AI81" s="9"/>
      <c r="AJ81" s="9">
        <v>2000</v>
      </c>
      <c r="AK81" s="9">
        <f>AH81/1.1*0.04</f>
        <v>477031.81818181812</v>
      </c>
      <c r="AL81" s="9">
        <v>0</v>
      </c>
      <c r="AM81" s="9">
        <v>2000</v>
      </c>
      <c r="AN81" s="9">
        <v>27000</v>
      </c>
      <c r="AO81" s="9">
        <v>30000</v>
      </c>
      <c r="AP81" s="9">
        <v>430000</v>
      </c>
      <c r="AQ81" s="9">
        <v>0</v>
      </c>
      <c r="AR81" s="9" t="s">
        <v>122</v>
      </c>
      <c r="AS81" s="9">
        <v>0</v>
      </c>
      <c r="AT81" s="9" t="s">
        <v>123</v>
      </c>
      <c r="AU81" s="9">
        <f>477028</f>
        <v>477028</v>
      </c>
      <c r="AV81" s="57">
        <f t="shared" si="6"/>
        <v>538031.81818181812</v>
      </c>
      <c r="AW81" s="8" t="s">
        <v>124</v>
      </c>
      <c r="AX81" s="17">
        <v>44735</v>
      </c>
      <c r="AY81" s="9">
        <v>1182390</v>
      </c>
      <c r="AZ81" s="9"/>
      <c r="BA81" s="9"/>
      <c r="BB81" s="9"/>
      <c r="BC81" s="9"/>
      <c r="BD81" s="9" t="s">
        <v>125</v>
      </c>
      <c r="BE81" s="9" t="s">
        <v>126</v>
      </c>
      <c r="BF81" s="9" t="s">
        <v>255</v>
      </c>
      <c r="BG81" s="9" t="s">
        <v>128</v>
      </c>
      <c r="BH81" s="9" t="s">
        <v>129</v>
      </c>
      <c r="BI81" s="9" t="s">
        <v>130</v>
      </c>
      <c r="BJ81" s="8" t="s">
        <v>256</v>
      </c>
      <c r="BK81" s="9" t="s">
        <v>132</v>
      </c>
      <c r="BL81" s="9" t="s">
        <v>133</v>
      </c>
      <c r="BM81" s="9" t="s">
        <v>257</v>
      </c>
      <c r="BN81" s="9" t="s">
        <v>134</v>
      </c>
      <c r="BO81" s="9" t="s">
        <v>134</v>
      </c>
      <c r="BP81" s="9" t="s">
        <v>590</v>
      </c>
      <c r="BQ81" s="8"/>
      <c r="BR81" s="9">
        <f t="shared" si="7"/>
        <v>17964</v>
      </c>
      <c r="BS81" s="8" t="s">
        <v>136</v>
      </c>
      <c r="BT81" s="19"/>
      <c r="BU81" s="9"/>
      <c r="BV81" s="26"/>
      <c r="BW81" s="9"/>
      <c r="BX81" s="9"/>
      <c r="BY81" s="9"/>
      <c r="BZ81" s="27">
        <v>0</v>
      </c>
      <c r="CA81" s="1"/>
      <c r="CB81" s="28" t="s">
        <v>120</v>
      </c>
      <c r="CC81" s="28" t="s">
        <v>120</v>
      </c>
      <c r="CD81" s="9">
        <v>340700</v>
      </c>
      <c r="CE81" s="9">
        <f t="shared" si="10"/>
        <v>60</v>
      </c>
      <c r="CF81" s="9">
        <f t="shared" si="11"/>
        <v>20442000</v>
      </c>
      <c r="CG81" s="9"/>
      <c r="CH81" s="9"/>
      <c r="CI81" s="9">
        <v>2506900</v>
      </c>
      <c r="CJ81" s="29">
        <v>0.01</v>
      </c>
      <c r="CK81" s="30">
        <v>0.04</v>
      </c>
      <c r="CL81" s="31" t="s">
        <v>259</v>
      </c>
      <c r="CM81" s="9"/>
      <c r="CN81" s="9"/>
      <c r="CO81" s="27">
        <v>0.03</v>
      </c>
      <c r="CP81" s="22"/>
      <c r="CQ81" s="32">
        <v>0</v>
      </c>
      <c r="CR81" s="32">
        <v>0</v>
      </c>
      <c r="CS81" s="32">
        <v>0</v>
      </c>
      <c r="CT81" s="32">
        <v>0</v>
      </c>
      <c r="CU81" s="32">
        <v>0</v>
      </c>
      <c r="CV81" s="32">
        <v>0</v>
      </c>
      <c r="CW81" s="32">
        <v>0</v>
      </c>
      <c r="CX81" s="32">
        <v>0</v>
      </c>
      <c r="CY81" s="32">
        <v>0</v>
      </c>
      <c r="CZ81" s="32">
        <v>0</v>
      </c>
      <c r="DA81" s="32">
        <v>0</v>
      </c>
      <c r="DB81" s="32" t="str">
        <f t="shared" si="23"/>
        <v>기아</v>
      </c>
      <c r="DC81" s="32" t="s">
        <v>260</v>
      </c>
      <c r="DD81" s="32" t="str">
        <f t="shared" si="24"/>
        <v>렌트베네핏</v>
      </c>
      <c r="DE81" s="32"/>
      <c r="DF81" s="32"/>
      <c r="DG81" s="32"/>
      <c r="DH81" s="32" t="s">
        <v>261</v>
      </c>
      <c r="DI81" s="19" t="s">
        <v>137</v>
      </c>
      <c r="DJ81" s="22">
        <v>0.3</v>
      </c>
      <c r="DK81" s="51">
        <v>0.2</v>
      </c>
      <c r="DL81" s="32"/>
      <c r="DM81" s="20"/>
      <c r="DN81" s="32"/>
      <c r="DO81" s="32"/>
      <c r="DP81" s="22"/>
    </row>
    <row r="82" spans="1:120">
      <c r="A82" s="8">
        <v>79</v>
      </c>
      <c r="B82" s="8" t="s">
        <v>831</v>
      </c>
      <c r="C82" s="34" t="s">
        <v>244</v>
      </c>
      <c r="D82" s="8" t="s">
        <v>832</v>
      </c>
      <c r="E82" s="8" t="s">
        <v>246</v>
      </c>
      <c r="F82" s="8" t="s">
        <v>247</v>
      </c>
      <c r="G82" s="8" t="s">
        <v>248</v>
      </c>
      <c r="H82" s="8" t="s">
        <v>512</v>
      </c>
      <c r="I82" s="9">
        <v>13150000</v>
      </c>
      <c r="J82" s="8">
        <v>2022</v>
      </c>
      <c r="K82" s="10" t="s">
        <v>115</v>
      </c>
      <c r="L82" s="10" t="s">
        <v>116</v>
      </c>
      <c r="M82" s="8" t="s">
        <v>833</v>
      </c>
      <c r="N82" s="8" t="s">
        <v>834</v>
      </c>
      <c r="O82" s="8" t="s">
        <v>119</v>
      </c>
      <c r="P82" s="11">
        <v>998</v>
      </c>
      <c r="Q82" s="12">
        <v>44735</v>
      </c>
      <c r="R82" s="12">
        <v>44666</v>
      </c>
      <c r="S82" s="12">
        <v>44740</v>
      </c>
      <c r="T82" s="14" t="s">
        <v>120</v>
      </c>
      <c r="U82" s="12">
        <f t="shared" si="19"/>
        <v>46565</v>
      </c>
      <c r="V82" s="8">
        <f t="shared" ca="1" si="22"/>
        <v>11</v>
      </c>
      <c r="W82" s="16">
        <v>20000</v>
      </c>
      <c r="X82" s="9" t="s">
        <v>619</v>
      </c>
      <c r="Y82" s="9" t="s">
        <v>620</v>
      </c>
      <c r="Z82" s="9" t="s">
        <v>835</v>
      </c>
      <c r="AA82" s="9" t="s">
        <v>836</v>
      </c>
      <c r="AB82" s="12">
        <v>44747</v>
      </c>
      <c r="AC82" s="8">
        <f t="shared" si="4"/>
        <v>1825</v>
      </c>
      <c r="AD82" s="8">
        <f t="shared" ca="1" si="5"/>
        <v>339</v>
      </c>
      <c r="AE82" s="8">
        <f>VLOOKUP($B82, [1]렌트_계약서번호!$B$3:$E$501, 4, FALSE)</f>
        <v>22040021</v>
      </c>
      <c r="AF82" s="9">
        <v>13118375</v>
      </c>
      <c r="AG82" s="9">
        <v>0</v>
      </c>
      <c r="AH82" s="9">
        <f t="shared" si="21"/>
        <v>13118375</v>
      </c>
      <c r="AI82" s="9"/>
      <c r="AJ82" s="9">
        <v>2000</v>
      </c>
      <c r="AK82" s="9">
        <f>AH82/1.1*0.04</f>
        <v>477031.81818181812</v>
      </c>
      <c r="AL82" s="9">
        <v>0</v>
      </c>
      <c r="AM82" s="9">
        <v>2000</v>
      </c>
      <c r="AN82" s="9">
        <v>27000</v>
      </c>
      <c r="AO82" s="9">
        <v>30000</v>
      </c>
      <c r="AP82" s="9">
        <v>430000</v>
      </c>
      <c r="AQ82" s="9">
        <v>0</v>
      </c>
      <c r="AR82" s="9" t="s">
        <v>122</v>
      </c>
      <c r="AS82" s="9">
        <v>0</v>
      </c>
      <c r="AT82" s="9" t="s">
        <v>123</v>
      </c>
      <c r="AU82" s="9">
        <f>477028</f>
        <v>477028</v>
      </c>
      <c r="AV82" s="57">
        <f t="shared" si="6"/>
        <v>538031.81818181812</v>
      </c>
      <c r="AW82" s="8" t="s">
        <v>124</v>
      </c>
      <c r="AX82" s="17">
        <v>44735</v>
      </c>
      <c r="AY82" s="9">
        <v>1182390</v>
      </c>
      <c r="AZ82" s="9"/>
      <c r="BA82" s="9"/>
      <c r="BB82" s="9"/>
      <c r="BC82" s="9"/>
      <c r="BD82" s="9" t="s">
        <v>125</v>
      </c>
      <c r="BE82" s="9" t="s">
        <v>126</v>
      </c>
      <c r="BF82" s="9" t="s">
        <v>255</v>
      </c>
      <c r="BG82" s="9" t="s">
        <v>128</v>
      </c>
      <c r="BH82" s="9" t="s">
        <v>129</v>
      </c>
      <c r="BI82" s="9" t="s">
        <v>130</v>
      </c>
      <c r="BJ82" s="8" t="s">
        <v>256</v>
      </c>
      <c r="BK82" s="9" t="s">
        <v>132</v>
      </c>
      <c r="BL82" s="9" t="s">
        <v>133</v>
      </c>
      <c r="BM82" s="9" t="s">
        <v>257</v>
      </c>
      <c r="BN82" s="9" t="s">
        <v>134</v>
      </c>
      <c r="BO82" s="9" t="s">
        <v>134</v>
      </c>
      <c r="BP82" s="9" t="s">
        <v>590</v>
      </c>
      <c r="BQ82" s="8"/>
      <c r="BR82" s="9">
        <f t="shared" si="7"/>
        <v>17964</v>
      </c>
      <c r="BS82" s="8" t="s">
        <v>136</v>
      </c>
      <c r="BT82" s="19"/>
      <c r="BU82" s="9"/>
      <c r="BV82" s="26"/>
      <c r="BW82" s="9"/>
      <c r="BX82" s="9"/>
      <c r="BY82" s="9"/>
      <c r="BZ82" s="27">
        <v>0</v>
      </c>
      <c r="CA82" s="1"/>
      <c r="CB82" s="28" t="s">
        <v>120</v>
      </c>
      <c r="CC82" s="28" t="s">
        <v>120</v>
      </c>
      <c r="CD82" s="9">
        <v>340700</v>
      </c>
      <c r="CE82" s="9">
        <f t="shared" si="10"/>
        <v>60</v>
      </c>
      <c r="CF82" s="9">
        <f t="shared" si="11"/>
        <v>20442000</v>
      </c>
      <c r="CG82" s="9"/>
      <c r="CH82" s="9"/>
      <c r="CI82" s="9">
        <v>2506900</v>
      </c>
      <c r="CJ82" s="29">
        <v>0.01</v>
      </c>
      <c r="CK82" s="30">
        <v>0.04</v>
      </c>
      <c r="CL82" s="31" t="s">
        <v>259</v>
      </c>
      <c r="CM82" s="9"/>
      <c r="CN82" s="9"/>
      <c r="CO82" s="27">
        <v>0.03</v>
      </c>
      <c r="CP82" s="22"/>
      <c r="CQ82" s="32">
        <v>0</v>
      </c>
      <c r="CR82" s="32">
        <v>0</v>
      </c>
      <c r="CS82" s="32">
        <v>0</v>
      </c>
      <c r="CT82" s="32">
        <v>0</v>
      </c>
      <c r="CU82" s="32">
        <v>0</v>
      </c>
      <c r="CV82" s="32">
        <v>0</v>
      </c>
      <c r="CW82" s="32">
        <v>0</v>
      </c>
      <c r="CX82" s="32">
        <v>0</v>
      </c>
      <c r="CY82" s="32">
        <v>0</v>
      </c>
      <c r="CZ82" s="32">
        <v>0</v>
      </c>
      <c r="DA82" s="32">
        <v>0</v>
      </c>
      <c r="DB82" s="32" t="str">
        <f t="shared" si="23"/>
        <v>기아</v>
      </c>
      <c r="DC82" s="32" t="s">
        <v>260</v>
      </c>
      <c r="DD82" s="32" t="str">
        <f t="shared" si="24"/>
        <v>렌트베네핏</v>
      </c>
      <c r="DE82" s="32"/>
      <c r="DF82" s="32"/>
      <c r="DG82" s="32"/>
      <c r="DH82" s="32" t="s">
        <v>261</v>
      </c>
      <c r="DI82" s="19" t="s">
        <v>137</v>
      </c>
      <c r="DJ82" s="22">
        <v>0.3</v>
      </c>
      <c r="DK82" s="51">
        <v>0.2</v>
      </c>
      <c r="DL82" s="32"/>
      <c r="DM82" s="20"/>
      <c r="DN82" s="32"/>
      <c r="DO82" s="32"/>
      <c r="DP82" s="22"/>
    </row>
    <row r="83" spans="1:120">
      <c r="A83" s="8">
        <v>80</v>
      </c>
      <c r="B83" s="8" t="s">
        <v>837</v>
      </c>
      <c r="C83" s="34" t="s">
        <v>244</v>
      </c>
      <c r="D83" s="8" t="s">
        <v>838</v>
      </c>
      <c r="E83" s="8" t="s">
        <v>246</v>
      </c>
      <c r="F83" s="8" t="s">
        <v>247</v>
      </c>
      <c r="G83" s="8" t="s">
        <v>248</v>
      </c>
      <c r="H83" s="8" t="s">
        <v>512</v>
      </c>
      <c r="I83" s="9">
        <v>13150000</v>
      </c>
      <c r="J83" s="8">
        <v>2022</v>
      </c>
      <c r="K83" s="10" t="s">
        <v>115</v>
      </c>
      <c r="L83" s="10" t="s">
        <v>116</v>
      </c>
      <c r="M83" s="8" t="s">
        <v>839</v>
      </c>
      <c r="N83" s="8" t="s">
        <v>840</v>
      </c>
      <c r="O83" s="8" t="s">
        <v>119</v>
      </c>
      <c r="P83" s="11">
        <v>998</v>
      </c>
      <c r="Q83" s="12">
        <v>44735</v>
      </c>
      <c r="R83" s="12">
        <v>44666</v>
      </c>
      <c r="S83" s="12">
        <v>44740</v>
      </c>
      <c r="T83" s="14" t="s">
        <v>120</v>
      </c>
      <c r="U83" s="12">
        <f t="shared" si="19"/>
        <v>46565</v>
      </c>
      <c r="V83" s="8">
        <f t="shared" ca="1" si="22"/>
        <v>11</v>
      </c>
      <c r="W83" s="16">
        <v>20000</v>
      </c>
      <c r="X83" s="65" t="s">
        <v>841</v>
      </c>
      <c r="Y83" s="9" t="s">
        <v>842</v>
      </c>
      <c r="Z83" s="9" t="s">
        <v>843</v>
      </c>
      <c r="AA83" s="9" t="s">
        <v>844</v>
      </c>
      <c r="AB83" s="12">
        <v>44747</v>
      </c>
      <c r="AC83" s="8">
        <f t="shared" ref="AC83:AC146" si="25">365*T83</f>
        <v>1825</v>
      </c>
      <c r="AD83" s="8">
        <f t="shared" ref="AD83:AD146" ca="1" si="26">U83-TODAY()</f>
        <v>339</v>
      </c>
      <c r="AE83" s="8">
        <f>VLOOKUP($B83, [1]렌트_계약서번호!$B$3:$E$501, 4, FALSE)</f>
        <v>22040022</v>
      </c>
      <c r="AF83" s="9">
        <v>13118375</v>
      </c>
      <c r="AG83" s="9">
        <v>0</v>
      </c>
      <c r="AH83" s="9">
        <f t="shared" si="21"/>
        <v>13118375</v>
      </c>
      <c r="AI83" s="9"/>
      <c r="AJ83" s="9">
        <v>2000</v>
      </c>
      <c r="AK83" s="9">
        <f>AH83/1.1*0.04</f>
        <v>477031.81818181812</v>
      </c>
      <c r="AL83" s="9">
        <v>0</v>
      </c>
      <c r="AM83" s="9">
        <v>2000</v>
      </c>
      <c r="AN83" s="9">
        <v>27000</v>
      </c>
      <c r="AO83" s="9">
        <v>30000</v>
      </c>
      <c r="AP83" s="9">
        <v>430000</v>
      </c>
      <c r="AQ83" s="9">
        <v>0</v>
      </c>
      <c r="AR83" s="9" t="s">
        <v>122</v>
      </c>
      <c r="AS83" s="9">
        <v>0</v>
      </c>
      <c r="AT83" s="9" t="s">
        <v>123</v>
      </c>
      <c r="AU83" s="9">
        <f>477028</f>
        <v>477028</v>
      </c>
      <c r="AV83" s="57">
        <f t="shared" ref="AV83:AV91" si="27">SUM(AI83,AJ83,AM83,AN83,AO83, AQ83,AS83+AK83+AL83)</f>
        <v>538031.81818181812</v>
      </c>
      <c r="AW83" s="8" t="s">
        <v>124</v>
      </c>
      <c r="AX83" s="17">
        <v>44735</v>
      </c>
      <c r="AY83" s="9">
        <v>1182390</v>
      </c>
      <c r="AZ83" s="9"/>
      <c r="BA83" s="9"/>
      <c r="BB83" s="9"/>
      <c r="BC83" s="9"/>
      <c r="BD83" s="9" t="s">
        <v>125</v>
      </c>
      <c r="BE83" s="9" t="s">
        <v>126</v>
      </c>
      <c r="BF83" s="9" t="s">
        <v>255</v>
      </c>
      <c r="BG83" s="9" t="s">
        <v>128</v>
      </c>
      <c r="BH83" s="9" t="s">
        <v>129</v>
      </c>
      <c r="BI83" s="9" t="s">
        <v>130</v>
      </c>
      <c r="BJ83" s="8" t="s">
        <v>256</v>
      </c>
      <c r="BK83" s="9" t="s">
        <v>132</v>
      </c>
      <c r="BL83" s="9" t="s">
        <v>133</v>
      </c>
      <c r="BM83" s="9" t="s">
        <v>257</v>
      </c>
      <c r="BN83" s="9" t="s">
        <v>134</v>
      </c>
      <c r="BO83" s="9" t="s">
        <v>134</v>
      </c>
      <c r="BP83" s="9" t="s">
        <v>845</v>
      </c>
      <c r="BQ83" s="8"/>
      <c r="BR83" s="9">
        <f t="shared" ref="BR83:BR108" si="28">IF(P83&lt;=1600,P83*18,IF(P83&lt;=2500,P83*19,IF(P83&gt;2500,P83*24,20000)))</f>
        <v>17964</v>
      </c>
      <c r="BS83" s="8" t="s">
        <v>136</v>
      </c>
      <c r="BT83" s="19"/>
      <c r="BU83" s="9"/>
      <c r="BV83" s="26"/>
      <c r="BW83" s="9"/>
      <c r="BX83" s="9"/>
      <c r="BY83" s="9"/>
      <c r="BZ83" s="27">
        <v>0</v>
      </c>
      <c r="CA83" s="1"/>
      <c r="CB83" s="28" t="s">
        <v>120</v>
      </c>
      <c r="CC83" s="28" t="s">
        <v>120</v>
      </c>
      <c r="CD83" s="9">
        <v>340700</v>
      </c>
      <c r="CE83" s="9">
        <f t="shared" ref="CE83:CE92" si="29">T83*12</f>
        <v>60</v>
      </c>
      <c r="CF83" s="9">
        <f t="shared" ref="CF83:CF139" si="30">CE83*CD83</f>
        <v>20442000</v>
      </c>
      <c r="CG83" s="9"/>
      <c r="CH83" s="9"/>
      <c r="CI83" s="9">
        <v>2506900</v>
      </c>
      <c r="CJ83" s="29">
        <v>0.01</v>
      </c>
      <c r="CK83" s="30">
        <v>0.04</v>
      </c>
      <c r="CL83" s="31" t="s">
        <v>259</v>
      </c>
      <c r="CM83" s="9"/>
      <c r="CN83" s="9"/>
      <c r="CO83" s="27">
        <v>0.03</v>
      </c>
      <c r="CP83" s="22"/>
      <c r="CQ83" s="32">
        <v>0</v>
      </c>
      <c r="CR83" s="32">
        <v>0</v>
      </c>
      <c r="CS83" s="32">
        <v>0</v>
      </c>
      <c r="CT83" s="32">
        <v>0</v>
      </c>
      <c r="CU83" s="32">
        <v>0</v>
      </c>
      <c r="CV83" s="32">
        <v>0</v>
      </c>
      <c r="CW83" s="32">
        <v>0</v>
      </c>
      <c r="CX83" s="32">
        <v>0</v>
      </c>
      <c r="CY83" s="32">
        <v>0</v>
      </c>
      <c r="CZ83" s="32">
        <v>0</v>
      </c>
      <c r="DA83" s="32">
        <v>0</v>
      </c>
      <c r="DB83" s="32" t="str">
        <f t="shared" si="23"/>
        <v>기아</v>
      </c>
      <c r="DC83" s="32" t="s">
        <v>260</v>
      </c>
      <c r="DD83" s="32" t="str">
        <f t="shared" si="24"/>
        <v>렌트베네핏</v>
      </c>
      <c r="DE83" s="32"/>
      <c r="DF83" s="32"/>
      <c r="DG83" s="32"/>
      <c r="DH83" s="32" t="s">
        <v>261</v>
      </c>
      <c r="DI83" s="19" t="s">
        <v>137</v>
      </c>
      <c r="DJ83" s="22">
        <v>0.3</v>
      </c>
      <c r="DK83" s="51">
        <v>0.2</v>
      </c>
      <c r="DL83" s="32"/>
      <c r="DM83" s="20"/>
      <c r="DN83" s="32"/>
      <c r="DO83" s="32"/>
      <c r="DP83" s="22"/>
    </row>
    <row r="84" spans="1:120">
      <c r="A84" s="8">
        <v>81</v>
      </c>
      <c r="B84" s="8" t="s">
        <v>846</v>
      </c>
      <c r="C84" s="34" t="s">
        <v>244</v>
      </c>
      <c r="D84" s="8" t="s">
        <v>847</v>
      </c>
      <c r="E84" s="8" t="s">
        <v>246</v>
      </c>
      <c r="F84" s="8" t="s">
        <v>247</v>
      </c>
      <c r="G84" s="8" t="s">
        <v>248</v>
      </c>
      <c r="H84" s="8" t="s">
        <v>512</v>
      </c>
      <c r="I84" s="9">
        <v>13150000</v>
      </c>
      <c r="J84" s="8">
        <v>2022</v>
      </c>
      <c r="K84" s="10" t="s">
        <v>115</v>
      </c>
      <c r="L84" s="10" t="s">
        <v>116</v>
      </c>
      <c r="M84" s="8" t="s">
        <v>848</v>
      </c>
      <c r="N84" s="8" t="s">
        <v>849</v>
      </c>
      <c r="O84" s="8" t="s">
        <v>119</v>
      </c>
      <c r="P84" s="11">
        <v>998</v>
      </c>
      <c r="Q84" s="12">
        <v>44735</v>
      </c>
      <c r="R84" s="12">
        <v>44666</v>
      </c>
      <c r="S84" s="12">
        <v>44741</v>
      </c>
      <c r="T84" s="14" t="s">
        <v>120</v>
      </c>
      <c r="U84" s="12">
        <f t="shared" si="19"/>
        <v>46566</v>
      </c>
      <c r="V84" s="8">
        <f t="shared" ca="1" si="22"/>
        <v>11</v>
      </c>
      <c r="W84" s="16">
        <v>20000</v>
      </c>
      <c r="X84" s="9" t="s">
        <v>272</v>
      </c>
      <c r="Y84" s="9" t="s">
        <v>273</v>
      </c>
      <c r="Z84" s="9" t="s">
        <v>825</v>
      </c>
      <c r="AA84" s="9" t="s">
        <v>275</v>
      </c>
      <c r="AB84" s="12">
        <v>44747</v>
      </c>
      <c r="AC84" s="8">
        <f t="shared" si="25"/>
        <v>1825</v>
      </c>
      <c r="AD84" s="8">
        <f t="shared" ca="1" si="26"/>
        <v>340</v>
      </c>
      <c r="AE84" s="8">
        <f>VLOOKUP($B84, [1]렌트_계약서번호!$B$3:$E$501, 4, FALSE)</f>
        <v>22040018</v>
      </c>
      <c r="AF84" s="9">
        <v>13118375</v>
      </c>
      <c r="AG84" s="9">
        <v>0</v>
      </c>
      <c r="AH84" s="9">
        <f t="shared" si="21"/>
        <v>13118375</v>
      </c>
      <c r="AI84" s="9"/>
      <c r="AJ84" s="9">
        <v>2000</v>
      </c>
      <c r="AK84" s="9">
        <f>AH84/1.1*0.04</f>
        <v>477031.81818181812</v>
      </c>
      <c r="AL84" s="9">
        <v>0</v>
      </c>
      <c r="AM84" s="9">
        <v>2000</v>
      </c>
      <c r="AN84" s="9">
        <v>27000</v>
      </c>
      <c r="AO84" s="9">
        <v>30000</v>
      </c>
      <c r="AP84" s="9">
        <v>430000</v>
      </c>
      <c r="AQ84" s="9">
        <v>0</v>
      </c>
      <c r="AR84" s="9" t="s">
        <v>122</v>
      </c>
      <c r="AS84" s="9">
        <v>0</v>
      </c>
      <c r="AT84" s="9" t="s">
        <v>123</v>
      </c>
      <c r="AU84" s="9">
        <f>477028</f>
        <v>477028</v>
      </c>
      <c r="AV84" s="57">
        <f t="shared" si="27"/>
        <v>538031.81818181812</v>
      </c>
      <c r="AW84" s="8" t="s">
        <v>124</v>
      </c>
      <c r="AX84" s="17">
        <v>44735</v>
      </c>
      <c r="AY84" s="9">
        <v>1182390</v>
      </c>
      <c r="AZ84" s="9"/>
      <c r="BA84" s="9"/>
      <c r="BB84" s="9"/>
      <c r="BC84" s="9"/>
      <c r="BD84" s="9" t="s">
        <v>125</v>
      </c>
      <c r="BE84" s="9" t="s">
        <v>126</v>
      </c>
      <c r="BF84" s="9" t="s">
        <v>255</v>
      </c>
      <c r="BG84" s="9" t="s">
        <v>128</v>
      </c>
      <c r="BH84" s="9" t="s">
        <v>129</v>
      </c>
      <c r="BI84" s="9" t="s">
        <v>130</v>
      </c>
      <c r="BJ84" s="8" t="s">
        <v>256</v>
      </c>
      <c r="BK84" s="9" t="s">
        <v>132</v>
      </c>
      <c r="BL84" s="9" t="s">
        <v>133</v>
      </c>
      <c r="BM84" s="9" t="s">
        <v>257</v>
      </c>
      <c r="BN84" s="9" t="s">
        <v>134</v>
      </c>
      <c r="BO84" s="9" t="s">
        <v>134</v>
      </c>
      <c r="BP84" s="9" t="s">
        <v>590</v>
      </c>
      <c r="BQ84" s="8"/>
      <c r="BR84" s="9">
        <f t="shared" si="28"/>
        <v>17964</v>
      </c>
      <c r="BS84" s="8" t="s">
        <v>136</v>
      </c>
      <c r="BT84" s="19"/>
      <c r="BU84" s="9"/>
      <c r="BV84" s="26"/>
      <c r="BW84" s="9"/>
      <c r="BX84" s="9"/>
      <c r="BY84" s="9"/>
      <c r="BZ84" s="27">
        <v>0</v>
      </c>
      <c r="CA84" s="1"/>
      <c r="CB84" s="28" t="s">
        <v>120</v>
      </c>
      <c r="CC84" s="28" t="s">
        <v>120</v>
      </c>
      <c r="CD84" s="9">
        <v>340700</v>
      </c>
      <c r="CE84" s="9">
        <f t="shared" si="29"/>
        <v>60</v>
      </c>
      <c r="CF84" s="9">
        <f t="shared" si="30"/>
        <v>20442000</v>
      </c>
      <c r="CG84" s="9"/>
      <c r="CH84" s="9"/>
      <c r="CI84" s="9">
        <v>2506900</v>
      </c>
      <c r="CJ84" s="29">
        <v>0.01</v>
      </c>
      <c r="CK84" s="30">
        <v>0.04</v>
      </c>
      <c r="CL84" s="31" t="s">
        <v>259</v>
      </c>
      <c r="CM84" s="9"/>
      <c r="CN84" s="9"/>
      <c r="CO84" s="27">
        <v>0.03</v>
      </c>
      <c r="CP84" s="22"/>
      <c r="CQ84" s="32">
        <v>0</v>
      </c>
      <c r="CR84" s="32">
        <v>0</v>
      </c>
      <c r="CS84" s="32">
        <v>0</v>
      </c>
      <c r="CT84" s="32">
        <v>0</v>
      </c>
      <c r="CU84" s="32">
        <v>0</v>
      </c>
      <c r="CV84" s="32">
        <v>0</v>
      </c>
      <c r="CW84" s="32">
        <v>0</v>
      </c>
      <c r="CX84" s="32">
        <v>0</v>
      </c>
      <c r="CY84" s="32">
        <v>0</v>
      </c>
      <c r="CZ84" s="32">
        <v>0</v>
      </c>
      <c r="DA84" s="32">
        <v>0</v>
      </c>
      <c r="DB84" s="32" t="str">
        <f t="shared" si="23"/>
        <v>기아</v>
      </c>
      <c r="DC84" s="32" t="s">
        <v>260</v>
      </c>
      <c r="DD84" s="32" t="str">
        <f t="shared" si="24"/>
        <v>렌트베네핏</v>
      </c>
      <c r="DE84" s="32"/>
      <c r="DF84" s="32"/>
      <c r="DG84" s="32"/>
      <c r="DH84" s="32" t="s">
        <v>261</v>
      </c>
      <c r="DI84" s="19" t="s">
        <v>137</v>
      </c>
      <c r="DJ84" s="22">
        <v>0.3</v>
      </c>
      <c r="DK84" s="51">
        <v>0.2</v>
      </c>
      <c r="DL84" s="32"/>
      <c r="DM84" s="20"/>
      <c r="DN84" s="32"/>
      <c r="DO84" s="32"/>
      <c r="DP84" s="22"/>
    </row>
    <row r="85" spans="1:120">
      <c r="A85" s="8">
        <v>82</v>
      </c>
      <c r="B85" s="8" t="s">
        <v>850</v>
      </c>
      <c r="C85" s="34" t="s">
        <v>208</v>
      </c>
      <c r="D85" s="8" t="s">
        <v>851</v>
      </c>
      <c r="E85" s="8" t="s">
        <v>852</v>
      </c>
      <c r="F85" s="8" t="s">
        <v>853</v>
      </c>
      <c r="G85" s="8" t="s">
        <v>152</v>
      </c>
      <c r="H85" s="8" t="s">
        <v>153</v>
      </c>
      <c r="I85" s="9">
        <v>35100000</v>
      </c>
      <c r="J85" s="8">
        <v>2022</v>
      </c>
      <c r="K85" s="10" t="s">
        <v>695</v>
      </c>
      <c r="L85" s="10" t="s">
        <v>116</v>
      </c>
      <c r="M85" s="8" t="s">
        <v>854</v>
      </c>
      <c r="N85" s="8" t="s">
        <v>855</v>
      </c>
      <c r="O85" s="8" t="s">
        <v>119</v>
      </c>
      <c r="P85" s="11">
        <v>2497</v>
      </c>
      <c r="Q85" s="12">
        <v>44742</v>
      </c>
      <c r="R85" s="12">
        <v>44617</v>
      </c>
      <c r="S85" s="12">
        <v>44743</v>
      </c>
      <c r="T85" s="14" t="s">
        <v>556</v>
      </c>
      <c r="U85" s="12">
        <f t="shared" si="19"/>
        <v>46203</v>
      </c>
      <c r="V85" s="8" t="str">
        <f t="shared" ca="1" si="22"/>
        <v>-</v>
      </c>
      <c r="W85" s="16">
        <v>20000</v>
      </c>
      <c r="X85" s="9" t="s">
        <v>856</v>
      </c>
      <c r="Y85" s="9" t="s">
        <v>857</v>
      </c>
      <c r="Z85" s="9"/>
      <c r="AA85" s="9" t="s">
        <v>858</v>
      </c>
      <c r="AB85" s="12">
        <v>44747</v>
      </c>
      <c r="AC85" s="8">
        <f t="shared" si="25"/>
        <v>1460</v>
      </c>
      <c r="AD85" s="8">
        <f t="shared" ca="1" si="26"/>
        <v>-23</v>
      </c>
      <c r="AE85" s="8">
        <f>VLOOKUP($B85, [1]렌트_계약서번호!$B$3:$E$501, 4, FALSE)</f>
        <v>22020010</v>
      </c>
      <c r="AF85" s="9">
        <v>34310404</v>
      </c>
      <c r="AG85" s="9">
        <f>AF85*6%</f>
        <v>2058624.24</v>
      </c>
      <c r="AH85" s="9">
        <f t="shared" si="21"/>
        <v>32251779.760000002</v>
      </c>
      <c r="AI85" s="9"/>
      <c r="AJ85" s="9"/>
      <c r="AK85" s="9">
        <v>1310370</v>
      </c>
      <c r="AL85" s="9">
        <v>123060</v>
      </c>
      <c r="AM85" s="9">
        <v>2000</v>
      </c>
      <c r="AN85" s="9">
        <v>4500</v>
      </c>
      <c r="AO85" s="9">
        <v>50000</v>
      </c>
      <c r="AP85" s="9">
        <v>1087000</v>
      </c>
      <c r="AQ85" s="9">
        <v>154000</v>
      </c>
      <c r="AR85" s="9" t="s">
        <v>859</v>
      </c>
      <c r="AS85" s="9">
        <v>198000</v>
      </c>
      <c r="AT85" s="9" t="s">
        <v>701</v>
      </c>
      <c r="AU85" s="9">
        <f>1510350</f>
        <v>1510350</v>
      </c>
      <c r="AV85" s="57">
        <f t="shared" si="27"/>
        <v>1841930</v>
      </c>
      <c r="AW85" s="8" t="s">
        <v>124</v>
      </c>
      <c r="AX85" s="17">
        <v>44742</v>
      </c>
      <c r="AY85" s="9">
        <v>1182390</v>
      </c>
      <c r="AZ85" s="9"/>
      <c r="BA85" s="9"/>
      <c r="BB85" s="9"/>
      <c r="BC85" s="9"/>
      <c r="BD85" s="9" t="s">
        <v>125</v>
      </c>
      <c r="BE85" s="9" t="s">
        <v>126</v>
      </c>
      <c r="BF85" s="9" t="s">
        <v>255</v>
      </c>
      <c r="BG85" s="9" t="s">
        <v>128</v>
      </c>
      <c r="BH85" s="9" t="s">
        <v>129</v>
      </c>
      <c r="BI85" s="9" t="s">
        <v>130</v>
      </c>
      <c r="BJ85" s="8" t="s">
        <v>256</v>
      </c>
      <c r="BK85" s="9" t="s">
        <v>132</v>
      </c>
      <c r="BL85" s="9" t="s">
        <v>133</v>
      </c>
      <c r="BM85" s="9" t="s">
        <v>257</v>
      </c>
      <c r="BN85" s="9" t="s">
        <v>134</v>
      </c>
      <c r="BO85" s="9" t="s">
        <v>134</v>
      </c>
      <c r="BP85" s="9"/>
      <c r="BQ85" s="8"/>
      <c r="BR85" s="9">
        <f t="shared" si="28"/>
        <v>47443</v>
      </c>
      <c r="BS85" s="8" t="s">
        <v>136</v>
      </c>
      <c r="BT85" s="19"/>
      <c r="BU85" s="9"/>
      <c r="BV85" s="26"/>
      <c r="BW85" s="9"/>
      <c r="BX85" s="9"/>
      <c r="BY85" s="9"/>
      <c r="BZ85" s="27">
        <v>0</v>
      </c>
      <c r="CA85" s="1"/>
      <c r="CB85" s="28" t="s">
        <v>120</v>
      </c>
      <c r="CC85" s="28" t="s">
        <v>120</v>
      </c>
      <c r="CD85" s="9">
        <v>563530</v>
      </c>
      <c r="CE85" s="9">
        <f t="shared" si="29"/>
        <v>48</v>
      </c>
      <c r="CF85" s="9">
        <f t="shared" si="30"/>
        <v>27049440</v>
      </c>
      <c r="CG85" s="9">
        <v>7020000</v>
      </c>
      <c r="CH85" s="9">
        <v>0</v>
      </c>
      <c r="CI85" s="9">
        <v>19269900</v>
      </c>
      <c r="CJ85" s="29">
        <v>-0.10979999999999999</v>
      </c>
      <c r="CK85" s="30">
        <v>0.06</v>
      </c>
      <c r="CL85" s="31" t="s">
        <v>860</v>
      </c>
      <c r="CM85" s="9"/>
      <c r="CN85" s="9"/>
      <c r="CO85" s="27">
        <v>0.03</v>
      </c>
      <c r="CP85" s="22"/>
      <c r="CQ85" s="32">
        <v>0</v>
      </c>
      <c r="CR85" s="32">
        <v>0</v>
      </c>
      <c r="CS85" s="32">
        <v>0</v>
      </c>
      <c r="CT85" s="32">
        <v>0</v>
      </c>
      <c r="CU85" s="32">
        <v>0</v>
      </c>
      <c r="CV85" s="32">
        <v>0</v>
      </c>
      <c r="CW85" s="32">
        <v>0</v>
      </c>
      <c r="CX85" s="32">
        <v>0</v>
      </c>
      <c r="CY85" s="32">
        <v>0</v>
      </c>
      <c r="CZ85" s="32">
        <v>0</v>
      </c>
      <c r="DA85" s="32">
        <v>0</v>
      </c>
      <c r="DB85" s="32" t="str">
        <f t="shared" si="23"/>
        <v>기아</v>
      </c>
      <c r="DC85" s="32" t="s">
        <v>260</v>
      </c>
      <c r="DD85" s="32" t="str">
        <f t="shared" si="24"/>
        <v>렌트베네핏</v>
      </c>
      <c r="DE85" s="32"/>
      <c r="DF85" s="32"/>
      <c r="DG85" s="32"/>
      <c r="DH85" s="32" t="s">
        <v>861</v>
      </c>
      <c r="DI85" s="9" t="s">
        <v>858</v>
      </c>
      <c r="DJ85" s="22">
        <v>0.3</v>
      </c>
      <c r="DK85" s="51">
        <v>0.2</v>
      </c>
      <c r="DL85" s="32"/>
      <c r="DM85" s="20"/>
      <c r="DN85" s="32"/>
      <c r="DO85" s="32"/>
      <c r="DP85" s="22"/>
    </row>
    <row r="86" spans="1:120">
      <c r="A86" s="8">
        <v>83</v>
      </c>
      <c r="B86" s="8" t="s">
        <v>862</v>
      </c>
      <c r="C86" s="34" t="s">
        <v>244</v>
      </c>
      <c r="D86" s="8" t="s">
        <v>863</v>
      </c>
      <c r="E86" s="8" t="s">
        <v>864</v>
      </c>
      <c r="F86" s="8" t="s">
        <v>865</v>
      </c>
      <c r="G86" s="8" t="s">
        <v>866</v>
      </c>
      <c r="H86" s="8" t="s">
        <v>867</v>
      </c>
      <c r="I86" s="9">
        <v>22980000</v>
      </c>
      <c r="J86" s="8">
        <v>2022</v>
      </c>
      <c r="K86" s="10" t="s">
        <v>868</v>
      </c>
      <c r="L86" s="10" t="s">
        <v>116</v>
      </c>
      <c r="M86" s="8" t="s">
        <v>869</v>
      </c>
      <c r="N86" s="8" t="s">
        <v>870</v>
      </c>
      <c r="O86" s="8" t="s">
        <v>119</v>
      </c>
      <c r="P86" s="11">
        <v>1597</v>
      </c>
      <c r="Q86" s="12">
        <v>44866</v>
      </c>
      <c r="R86" s="12">
        <v>44638</v>
      </c>
      <c r="S86" s="12">
        <v>44867</v>
      </c>
      <c r="T86" s="14" t="s">
        <v>556</v>
      </c>
      <c r="U86" s="12">
        <f t="shared" si="19"/>
        <v>46327</v>
      </c>
      <c r="V86" s="8">
        <f t="shared" ca="1" si="22"/>
        <v>3</v>
      </c>
      <c r="W86" s="16">
        <v>20000</v>
      </c>
      <c r="X86" s="8" t="s">
        <v>871</v>
      </c>
      <c r="Y86" s="8" t="s">
        <v>872</v>
      </c>
      <c r="Z86" s="9" t="s">
        <v>873</v>
      </c>
      <c r="AA86" s="9" t="s">
        <v>874</v>
      </c>
      <c r="AB86" s="12">
        <v>44875</v>
      </c>
      <c r="AC86" s="8">
        <f t="shared" si="25"/>
        <v>1460</v>
      </c>
      <c r="AD86" s="8">
        <f t="shared" ca="1" si="26"/>
        <v>101</v>
      </c>
      <c r="AE86" s="8">
        <f>VLOOKUP($B86, [1]렌트_계약서번호!$B$3:$E$501, 4, FALSE)</f>
        <v>22030012</v>
      </c>
      <c r="AF86" s="9">
        <v>21745464</v>
      </c>
      <c r="AG86" s="9">
        <f>AF86*6%</f>
        <v>1304727.8399999999</v>
      </c>
      <c r="AH86" s="9">
        <f t="shared" si="21"/>
        <v>20440736.16</v>
      </c>
      <c r="AI86" s="9"/>
      <c r="AJ86" s="9"/>
      <c r="AK86" s="9">
        <f>AH86/1.1*0.04</f>
        <v>743299.49672727275</v>
      </c>
      <c r="AL86" s="9">
        <v>100000</v>
      </c>
      <c r="AM86" s="9">
        <v>2000</v>
      </c>
      <c r="AN86" s="9">
        <v>47000</v>
      </c>
      <c r="AO86" s="9">
        <v>50000</v>
      </c>
      <c r="AP86" s="9"/>
      <c r="AQ86" s="9">
        <v>154000</v>
      </c>
      <c r="AR86" s="9" t="s">
        <v>875</v>
      </c>
      <c r="AS86" s="9">
        <v>66000</v>
      </c>
      <c r="AT86" s="9" t="s">
        <v>876</v>
      </c>
      <c r="AU86" s="9">
        <f>1033404</f>
        <v>1033404</v>
      </c>
      <c r="AV86" s="57">
        <f t="shared" si="27"/>
        <v>1162299.4967272729</v>
      </c>
      <c r="AW86" s="8" t="s">
        <v>124</v>
      </c>
      <c r="AX86" s="17"/>
      <c r="AY86" s="9">
        <v>1189980</v>
      </c>
      <c r="AZ86" s="9"/>
      <c r="BA86" s="9"/>
      <c r="BB86" s="9"/>
      <c r="BC86" s="9"/>
      <c r="BD86" s="9" t="s">
        <v>125</v>
      </c>
      <c r="BE86" s="9" t="s">
        <v>126</v>
      </c>
      <c r="BF86" s="9" t="s">
        <v>255</v>
      </c>
      <c r="BG86" s="9" t="s">
        <v>128</v>
      </c>
      <c r="BH86" s="9" t="s">
        <v>129</v>
      </c>
      <c r="BI86" s="9" t="s">
        <v>130</v>
      </c>
      <c r="BJ86" s="8" t="s">
        <v>256</v>
      </c>
      <c r="BK86" s="9" t="s">
        <v>132</v>
      </c>
      <c r="BL86" s="9" t="s">
        <v>133</v>
      </c>
      <c r="BM86" s="9" t="s">
        <v>257</v>
      </c>
      <c r="BN86" s="9" t="s">
        <v>134</v>
      </c>
      <c r="BO86" s="9" t="s">
        <v>134</v>
      </c>
      <c r="BP86" s="9"/>
      <c r="BQ86" s="8"/>
      <c r="BR86" s="9">
        <f t="shared" si="28"/>
        <v>28746</v>
      </c>
      <c r="BS86" s="8" t="s">
        <v>136</v>
      </c>
      <c r="BT86" s="19"/>
      <c r="BU86" s="9"/>
      <c r="BV86" s="26"/>
      <c r="BW86" s="9"/>
      <c r="BX86" s="9"/>
      <c r="BY86" s="9"/>
      <c r="BZ86" s="27">
        <v>0</v>
      </c>
      <c r="CA86" s="1"/>
      <c r="CB86" s="28" t="s">
        <v>575</v>
      </c>
      <c r="CC86" s="28" t="s">
        <v>575</v>
      </c>
      <c r="CD86" s="9">
        <v>400000</v>
      </c>
      <c r="CE86" s="9">
        <f t="shared" si="29"/>
        <v>48</v>
      </c>
      <c r="CF86" s="9">
        <f t="shared" si="30"/>
        <v>19200000</v>
      </c>
      <c r="CG86" s="9"/>
      <c r="CH86" s="9"/>
      <c r="CI86" s="9">
        <v>15600000</v>
      </c>
      <c r="CJ86" s="29">
        <v>0</v>
      </c>
      <c r="CK86" s="30">
        <v>0.06</v>
      </c>
      <c r="CL86" s="31" t="s">
        <v>877</v>
      </c>
      <c r="CM86" s="31" t="s">
        <v>878</v>
      </c>
      <c r="CN86" s="9" t="s">
        <v>872</v>
      </c>
      <c r="CO86" s="27">
        <v>0.03</v>
      </c>
      <c r="CP86" s="22"/>
      <c r="CQ86" s="32" t="s">
        <v>879</v>
      </c>
      <c r="CR86" s="32">
        <v>47300</v>
      </c>
      <c r="CS86" s="32">
        <v>0</v>
      </c>
      <c r="CT86" s="32">
        <v>0</v>
      </c>
      <c r="CU86" s="32">
        <v>0</v>
      </c>
      <c r="CV86" s="32">
        <v>0</v>
      </c>
      <c r="CW86" s="32">
        <v>0</v>
      </c>
      <c r="CX86" s="32">
        <v>0</v>
      </c>
      <c r="CY86" s="32">
        <v>0</v>
      </c>
      <c r="CZ86" s="32">
        <v>0</v>
      </c>
      <c r="DA86" s="32">
        <v>0</v>
      </c>
      <c r="DB86" s="32" t="str">
        <f t="shared" si="23"/>
        <v>현대</v>
      </c>
      <c r="DC86" s="32" t="s">
        <v>801</v>
      </c>
      <c r="DD86" s="32" t="str">
        <f>IF(DC86="정수원 실장","렌트베네핏", IF(DC86="박현식 부장", "렌트베네핏", IF(DC86="김성진 팀장", "청담", IF(DC86="전석영 부장", "방배", IF(DC86= "박봉호 부장", "일산",IF(DC135="정원철 부장", "청담"))))))</f>
        <v>렌트베네핏</v>
      </c>
      <c r="DE86" s="32"/>
      <c r="DF86" s="32" t="s">
        <v>802</v>
      </c>
      <c r="DG86" s="32" t="s">
        <v>880</v>
      </c>
      <c r="DH86" s="32" t="s">
        <v>881</v>
      </c>
      <c r="DI86" s="9" t="s">
        <v>874</v>
      </c>
      <c r="DJ86" s="22">
        <v>0.3</v>
      </c>
      <c r="DK86" s="51">
        <v>0.2</v>
      </c>
      <c r="DL86" s="32"/>
      <c r="DM86" s="20"/>
      <c r="DN86" s="32"/>
      <c r="DO86" s="9"/>
      <c r="DP86" s="22"/>
    </row>
    <row r="87" spans="1:120">
      <c r="A87" s="8">
        <v>84</v>
      </c>
      <c r="B87" s="8" t="s">
        <v>882</v>
      </c>
      <c r="C87" s="34" t="s">
        <v>110</v>
      </c>
      <c r="D87" s="8" t="s">
        <v>883</v>
      </c>
      <c r="E87" s="8" t="s">
        <v>864</v>
      </c>
      <c r="F87" s="8" t="s">
        <v>865</v>
      </c>
      <c r="G87" s="8" t="s">
        <v>866</v>
      </c>
      <c r="H87" s="8" t="s">
        <v>867</v>
      </c>
      <c r="I87" s="9">
        <v>22980000</v>
      </c>
      <c r="J87" s="8">
        <v>2022</v>
      </c>
      <c r="K87" s="10" t="s">
        <v>884</v>
      </c>
      <c r="L87" s="10" t="s">
        <v>116</v>
      </c>
      <c r="M87" s="8" t="s">
        <v>885</v>
      </c>
      <c r="N87" s="8" t="s">
        <v>886</v>
      </c>
      <c r="O87" s="8" t="s">
        <v>119</v>
      </c>
      <c r="P87" s="11">
        <v>1597</v>
      </c>
      <c r="Q87" s="12">
        <v>44921</v>
      </c>
      <c r="R87" s="12">
        <v>44638</v>
      </c>
      <c r="S87" s="12">
        <v>44922</v>
      </c>
      <c r="T87" s="14" t="s">
        <v>556</v>
      </c>
      <c r="U87" s="12">
        <f t="shared" si="19"/>
        <v>46382</v>
      </c>
      <c r="V87" s="8">
        <f t="shared" ca="1" si="22"/>
        <v>5</v>
      </c>
      <c r="W87" s="16">
        <v>20000</v>
      </c>
      <c r="X87" s="8" t="s">
        <v>887</v>
      </c>
      <c r="Y87" s="8" t="s">
        <v>888</v>
      </c>
      <c r="Z87" s="9" t="s">
        <v>889</v>
      </c>
      <c r="AA87" s="9" t="s">
        <v>890</v>
      </c>
      <c r="AB87" s="12">
        <v>44941</v>
      </c>
      <c r="AC87" s="8">
        <f t="shared" si="25"/>
        <v>1460</v>
      </c>
      <c r="AD87" s="8">
        <f t="shared" ca="1" si="26"/>
        <v>156</v>
      </c>
      <c r="AE87" s="8">
        <f>VLOOKUP($B87, [1]렌트_계약서번호!$B$3:$E$501, 4, FALSE)</f>
        <v>22030014</v>
      </c>
      <c r="AF87" s="9">
        <v>21745465</v>
      </c>
      <c r="AG87" s="9">
        <f>AF87*6%</f>
        <v>1304727.8999999999</v>
      </c>
      <c r="AH87" s="9">
        <f t="shared" si="21"/>
        <v>20440737.100000001</v>
      </c>
      <c r="AI87" s="9"/>
      <c r="AJ87" s="9"/>
      <c r="AK87" s="9">
        <f>AH87/1.1*0.04</f>
        <v>743299.530909091</v>
      </c>
      <c r="AL87" s="9">
        <v>100000</v>
      </c>
      <c r="AM87" s="9">
        <v>2000</v>
      </c>
      <c r="AN87" s="9">
        <v>47000</v>
      </c>
      <c r="AO87" s="9">
        <v>50000</v>
      </c>
      <c r="AP87" s="9"/>
      <c r="AQ87" s="9">
        <v>170000</v>
      </c>
      <c r="AR87" s="9" t="s">
        <v>875</v>
      </c>
      <c r="AS87" s="9">
        <v>66000</v>
      </c>
      <c r="AT87" s="9" t="s">
        <v>891</v>
      </c>
      <c r="AU87" s="9">
        <f>900000</f>
        <v>900000</v>
      </c>
      <c r="AV87" s="57">
        <f t="shared" si="27"/>
        <v>1178299.530909091</v>
      </c>
      <c r="AW87" s="8" t="s">
        <v>124</v>
      </c>
      <c r="AX87" s="17">
        <v>44921</v>
      </c>
      <c r="AY87" s="9">
        <v>1036500</v>
      </c>
      <c r="AZ87" s="9"/>
      <c r="BA87" s="9"/>
      <c r="BB87" s="9"/>
      <c r="BC87" s="9"/>
      <c r="BD87" s="9" t="s">
        <v>125</v>
      </c>
      <c r="BE87" s="9" t="s">
        <v>126</v>
      </c>
      <c r="BF87" s="9" t="s">
        <v>255</v>
      </c>
      <c r="BG87" s="9" t="s">
        <v>128</v>
      </c>
      <c r="BH87" s="9" t="s">
        <v>129</v>
      </c>
      <c r="BI87" s="9" t="s">
        <v>130</v>
      </c>
      <c r="BJ87" s="8" t="s">
        <v>256</v>
      </c>
      <c r="BK87" s="9" t="s">
        <v>132</v>
      </c>
      <c r="BL87" s="9" t="s">
        <v>133</v>
      </c>
      <c r="BM87" s="9" t="s">
        <v>257</v>
      </c>
      <c r="BN87" s="9" t="s">
        <v>134</v>
      </c>
      <c r="BO87" s="9" t="s">
        <v>134</v>
      </c>
      <c r="BP87" s="9"/>
      <c r="BQ87" s="8"/>
      <c r="BR87" s="9">
        <f t="shared" si="28"/>
        <v>28746</v>
      </c>
      <c r="BS87" s="8" t="s">
        <v>136</v>
      </c>
      <c r="BT87" s="19"/>
      <c r="BU87" s="9"/>
      <c r="BV87" s="26"/>
      <c r="BW87" s="9"/>
      <c r="BX87" s="9"/>
      <c r="BY87" s="9"/>
      <c r="BZ87" s="27">
        <v>0</v>
      </c>
      <c r="CA87" s="1"/>
      <c r="CB87" s="28" t="s">
        <v>402</v>
      </c>
      <c r="CC87" s="28" t="s">
        <v>402</v>
      </c>
      <c r="CD87" s="9">
        <v>400000</v>
      </c>
      <c r="CE87" s="9">
        <f t="shared" si="29"/>
        <v>48</v>
      </c>
      <c r="CF87" s="9">
        <f t="shared" si="30"/>
        <v>19200000</v>
      </c>
      <c r="CG87" s="9"/>
      <c r="CH87" s="9"/>
      <c r="CI87" s="9">
        <v>15600000</v>
      </c>
      <c r="CJ87" s="29">
        <v>0</v>
      </c>
      <c r="CK87" s="30">
        <v>0.06</v>
      </c>
      <c r="CL87" s="31" t="s">
        <v>892</v>
      </c>
      <c r="CM87" s="9"/>
      <c r="CN87" s="9" t="s">
        <v>888</v>
      </c>
      <c r="CO87" s="27">
        <v>0.03</v>
      </c>
      <c r="CP87" s="22"/>
      <c r="CQ87" s="32" t="s">
        <v>879</v>
      </c>
      <c r="CR87" s="32">
        <v>30000</v>
      </c>
      <c r="CS87" s="32">
        <v>0</v>
      </c>
      <c r="CT87" s="32">
        <v>0</v>
      </c>
      <c r="CU87" s="32">
        <v>0</v>
      </c>
      <c r="CV87" s="32">
        <v>0</v>
      </c>
      <c r="CW87" s="32">
        <v>0</v>
      </c>
      <c r="CX87" s="32">
        <v>0</v>
      </c>
      <c r="CY87" s="32">
        <v>0</v>
      </c>
      <c r="CZ87" s="32">
        <v>0</v>
      </c>
      <c r="DA87" s="32">
        <v>0</v>
      </c>
      <c r="DB87" s="32" t="str">
        <f t="shared" si="23"/>
        <v>현대</v>
      </c>
      <c r="DC87" s="32" t="s">
        <v>801</v>
      </c>
      <c r="DD87" s="32" t="str">
        <f>IF(DC87="정수원 실장","렌트베네핏", IF(DC87="박현식 부장", "렌트베네핏", IF(DC87="김성진 팀장", "청담", IF(DC87="전석영 부장", "방배", IF(DC87= "박봉호 부장", "일산",IF(DC137="정원철 부장", "청담"))))))</f>
        <v>렌트베네핏</v>
      </c>
      <c r="DE87" s="32"/>
      <c r="DF87" s="32" t="s">
        <v>802</v>
      </c>
      <c r="DG87" s="32" t="s">
        <v>893</v>
      </c>
      <c r="DH87" s="32" t="s">
        <v>894</v>
      </c>
      <c r="DI87" s="9" t="s">
        <v>890</v>
      </c>
      <c r="DJ87" s="22">
        <v>0.3</v>
      </c>
      <c r="DK87" s="51">
        <v>0.2</v>
      </c>
      <c r="DL87" s="32"/>
      <c r="DM87" s="20"/>
      <c r="DN87" s="32"/>
      <c r="DO87" s="9"/>
      <c r="DP87" s="22"/>
    </row>
    <row r="88" spans="1:120">
      <c r="A88" s="8">
        <v>85</v>
      </c>
      <c r="B88" s="8" t="s">
        <v>895</v>
      </c>
      <c r="C88" s="8" t="s">
        <v>208</v>
      </c>
      <c r="D88" s="8" t="s">
        <v>896</v>
      </c>
      <c r="E88" s="8" t="s">
        <v>897</v>
      </c>
      <c r="F88" s="8" t="s">
        <v>898</v>
      </c>
      <c r="G88" s="8" t="s">
        <v>182</v>
      </c>
      <c r="H88" s="8" t="s">
        <v>899</v>
      </c>
      <c r="I88" s="9">
        <v>62000000</v>
      </c>
      <c r="J88" s="8">
        <v>2022</v>
      </c>
      <c r="K88" s="10" t="s">
        <v>900</v>
      </c>
      <c r="L88" s="10" t="s">
        <v>116</v>
      </c>
      <c r="M88" s="8" t="s">
        <v>901</v>
      </c>
      <c r="N88" s="8" t="s">
        <v>902</v>
      </c>
      <c r="O88" s="8" t="s">
        <v>119</v>
      </c>
      <c r="P88" s="11">
        <v>2497</v>
      </c>
      <c r="Q88" s="12">
        <v>44777</v>
      </c>
      <c r="R88" s="12">
        <v>44767</v>
      </c>
      <c r="S88" s="12">
        <v>44777</v>
      </c>
      <c r="T88" s="14" t="s">
        <v>556</v>
      </c>
      <c r="U88" s="12">
        <f t="shared" si="19"/>
        <v>46237</v>
      </c>
      <c r="V88" s="8">
        <f t="shared" ca="1" si="22"/>
        <v>0</v>
      </c>
      <c r="W88" s="16">
        <v>20000</v>
      </c>
      <c r="X88" s="8" t="s">
        <v>897</v>
      </c>
      <c r="Y88" s="8" t="s">
        <v>898</v>
      </c>
      <c r="Z88" s="9"/>
      <c r="AA88" s="9" t="s">
        <v>903</v>
      </c>
      <c r="AB88" s="12">
        <v>44798</v>
      </c>
      <c r="AC88" s="8">
        <f t="shared" si="25"/>
        <v>1460</v>
      </c>
      <c r="AD88" s="8">
        <f t="shared" ca="1" si="26"/>
        <v>11</v>
      </c>
      <c r="AE88" s="8" t="e">
        <f>VLOOKUP($B88, [1]렌트_계약서번호!$B$3:$E$501, 4, FALSE)</f>
        <v>#N/A</v>
      </c>
      <c r="AF88" s="9">
        <v>58547962</v>
      </c>
      <c r="AG88" s="9">
        <v>3784038</v>
      </c>
      <c r="AH88" s="9">
        <f>AF88-AG88+AI88</f>
        <v>55095924</v>
      </c>
      <c r="AI88" s="9">
        <v>332000</v>
      </c>
      <c r="AJ88" s="9">
        <v>2000</v>
      </c>
      <c r="AK88" s="9">
        <v>2129010</v>
      </c>
      <c r="AL88" s="9">
        <v>250318</v>
      </c>
      <c r="AM88" s="9">
        <v>2000</v>
      </c>
      <c r="AN88" s="9">
        <v>45000</v>
      </c>
      <c r="AO88" s="9">
        <v>50000</v>
      </c>
      <c r="AP88" s="9"/>
      <c r="AQ88" s="9">
        <v>154000</v>
      </c>
      <c r="AR88" s="9" t="s">
        <v>904</v>
      </c>
      <c r="AS88" s="9">
        <v>198000</v>
      </c>
      <c r="AT88" s="9" t="s">
        <v>905</v>
      </c>
      <c r="AU88" s="9">
        <f>2479328</f>
        <v>2479328</v>
      </c>
      <c r="AV88" s="57">
        <f t="shared" si="27"/>
        <v>3162328</v>
      </c>
      <c r="AW88" s="8" t="s">
        <v>124</v>
      </c>
      <c r="AX88" s="17">
        <v>44777</v>
      </c>
      <c r="AY88" s="9">
        <v>1299680</v>
      </c>
      <c r="AZ88" s="9"/>
      <c r="BA88" s="9"/>
      <c r="BB88" s="9"/>
      <c r="BC88" s="9"/>
      <c r="BD88" s="9" t="s">
        <v>125</v>
      </c>
      <c r="BE88" s="9" t="s">
        <v>126</v>
      </c>
      <c r="BF88" s="9" t="s">
        <v>187</v>
      </c>
      <c r="BG88" s="9" t="s">
        <v>188</v>
      </c>
      <c r="BH88" s="9" t="s">
        <v>129</v>
      </c>
      <c r="BI88" s="9" t="s">
        <v>189</v>
      </c>
      <c r="BJ88" s="8" t="s">
        <v>256</v>
      </c>
      <c r="BK88" s="9" t="s">
        <v>132</v>
      </c>
      <c r="BL88" s="9" t="s">
        <v>133</v>
      </c>
      <c r="BM88" s="9" t="s">
        <v>257</v>
      </c>
      <c r="BN88" s="9" t="s">
        <v>134</v>
      </c>
      <c r="BO88" s="9" t="s">
        <v>134</v>
      </c>
      <c r="BP88" s="9"/>
      <c r="BQ88" s="8"/>
      <c r="BR88" s="9">
        <f t="shared" si="28"/>
        <v>47443</v>
      </c>
      <c r="BS88" s="8" t="s">
        <v>136</v>
      </c>
      <c r="BT88" s="19"/>
      <c r="BU88" s="9"/>
      <c r="BV88" s="26"/>
      <c r="BW88" s="9"/>
      <c r="BX88" s="9"/>
      <c r="BY88" s="9"/>
      <c r="BZ88" s="27">
        <v>0</v>
      </c>
      <c r="CA88" s="1"/>
      <c r="CB88" s="28" t="s">
        <v>385</v>
      </c>
      <c r="CC88" s="28" t="s">
        <v>385</v>
      </c>
      <c r="CD88" s="9">
        <v>1285000</v>
      </c>
      <c r="CE88" s="9">
        <f t="shared" si="29"/>
        <v>48</v>
      </c>
      <c r="CF88" s="9">
        <f t="shared" si="30"/>
        <v>61680000</v>
      </c>
      <c r="CG88" s="9">
        <v>18600000</v>
      </c>
      <c r="CH88" s="9">
        <v>0</v>
      </c>
      <c r="CI88" s="9">
        <v>18600000</v>
      </c>
      <c r="CJ88" s="29">
        <v>0</v>
      </c>
      <c r="CK88" s="30">
        <v>0.06</v>
      </c>
      <c r="CL88" s="31" t="s">
        <v>906</v>
      </c>
      <c r="CM88" s="9"/>
      <c r="CN88" s="9"/>
      <c r="CO88" s="27">
        <v>0.03</v>
      </c>
      <c r="CP88" s="22"/>
      <c r="CQ88" s="32" t="s">
        <v>879</v>
      </c>
      <c r="CR88" s="32">
        <v>52800</v>
      </c>
      <c r="CS88" s="32" t="s">
        <v>907</v>
      </c>
      <c r="CT88" s="32">
        <v>15000</v>
      </c>
      <c r="CU88" s="32">
        <v>0</v>
      </c>
      <c r="CV88" s="32">
        <v>0</v>
      </c>
      <c r="CW88" s="32">
        <v>0</v>
      </c>
      <c r="CX88" s="32">
        <v>0</v>
      </c>
      <c r="CY88" s="32">
        <v>0</v>
      </c>
      <c r="CZ88" s="32">
        <v>0</v>
      </c>
      <c r="DA88" s="32">
        <v>0</v>
      </c>
      <c r="DB88" s="32" t="s">
        <v>232</v>
      </c>
      <c r="DC88" s="32" t="s">
        <v>801</v>
      </c>
      <c r="DD88" s="32" t="s">
        <v>819</v>
      </c>
      <c r="DE88" s="32"/>
      <c r="DF88" s="32"/>
      <c r="DG88" s="32"/>
      <c r="DH88" s="32" t="s">
        <v>908</v>
      </c>
      <c r="DI88" s="19" t="s">
        <v>137</v>
      </c>
      <c r="DJ88" s="22">
        <v>0.3</v>
      </c>
      <c r="DK88" s="51">
        <v>0.2</v>
      </c>
      <c r="DL88" s="32"/>
      <c r="DM88" s="20"/>
      <c r="DN88" s="32"/>
      <c r="DO88" s="32"/>
      <c r="DP88" s="22"/>
    </row>
    <row r="89" spans="1:120">
      <c r="A89" s="8">
        <v>86</v>
      </c>
      <c r="B89" s="8" t="s">
        <v>909</v>
      </c>
      <c r="C89" s="34" t="s">
        <v>244</v>
      </c>
      <c r="D89" s="8" t="s">
        <v>910</v>
      </c>
      <c r="E89" s="8" t="s">
        <v>911</v>
      </c>
      <c r="F89" s="8" t="s">
        <v>912</v>
      </c>
      <c r="G89" s="8" t="s">
        <v>787</v>
      </c>
      <c r="H89" s="8" t="s">
        <v>788</v>
      </c>
      <c r="I89" s="9">
        <v>119200000</v>
      </c>
      <c r="J89" s="8">
        <v>2022</v>
      </c>
      <c r="K89" s="10" t="s">
        <v>789</v>
      </c>
      <c r="L89" s="10" t="s">
        <v>116</v>
      </c>
      <c r="M89" s="8" t="s">
        <v>913</v>
      </c>
      <c r="N89" s="8" t="s">
        <v>914</v>
      </c>
      <c r="O89" s="8" t="s">
        <v>119</v>
      </c>
      <c r="P89" s="11">
        <v>3470</v>
      </c>
      <c r="Q89" s="12">
        <v>44788</v>
      </c>
      <c r="R89" s="12">
        <v>44782</v>
      </c>
      <c r="S89" s="12">
        <v>44789</v>
      </c>
      <c r="T89" s="14" t="s">
        <v>556</v>
      </c>
      <c r="U89" s="12">
        <f t="shared" si="19"/>
        <v>46249</v>
      </c>
      <c r="V89" s="8">
        <f t="shared" ca="1" si="22"/>
        <v>0</v>
      </c>
      <c r="W89" s="16">
        <v>30000</v>
      </c>
      <c r="X89" s="8" t="s">
        <v>911</v>
      </c>
      <c r="Y89" s="8" t="s">
        <v>912</v>
      </c>
      <c r="Z89" s="9"/>
      <c r="AA89" s="9" t="s">
        <v>915</v>
      </c>
      <c r="AB89" s="12">
        <v>44798</v>
      </c>
      <c r="AC89" s="8">
        <f t="shared" si="25"/>
        <v>1460</v>
      </c>
      <c r="AD89" s="8">
        <f t="shared" ca="1" si="26"/>
        <v>23</v>
      </c>
      <c r="AE89" s="8">
        <f>VLOOKUP($B89, [1]렌트_계약서번호!$B$3:$E$501, 4, FALSE)</f>
        <v>22080031</v>
      </c>
      <c r="AF89" s="9">
        <v>112256882</v>
      </c>
      <c r="AG89" s="9">
        <f>AF89*4%</f>
        <v>4490275.28</v>
      </c>
      <c r="AH89" s="9">
        <f>AF89-AG89</f>
        <v>107766606.72</v>
      </c>
      <c r="AI89" s="9">
        <v>332000</v>
      </c>
      <c r="AJ89" s="9">
        <v>2000</v>
      </c>
      <c r="AK89" s="9">
        <v>4081010</v>
      </c>
      <c r="AL89" s="9">
        <v>575914</v>
      </c>
      <c r="AM89" s="9">
        <v>5000</v>
      </c>
      <c r="AN89" s="9">
        <v>21500</v>
      </c>
      <c r="AO89" s="9">
        <v>100000</v>
      </c>
      <c r="AP89" s="9">
        <v>2315000</v>
      </c>
      <c r="AQ89" s="9">
        <v>330000</v>
      </c>
      <c r="AR89" s="9" t="s">
        <v>795</v>
      </c>
      <c r="AS89" s="9">
        <v>420000</v>
      </c>
      <c r="AT89" s="9" t="s">
        <v>796</v>
      </c>
      <c r="AU89" s="9">
        <f>4681260</f>
        <v>4681260</v>
      </c>
      <c r="AV89" s="57">
        <f t="shared" si="27"/>
        <v>5867424</v>
      </c>
      <c r="AW89" s="8" t="s">
        <v>124</v>
      </c>
      <c r="AX89" s="17">
        <v>44789</v>
      </c>
      <c r="AY89" s="9">
        <v>1188980</v>
      </c>
      <c r="AZ89" s="9"/>
      <c r="BA89" s="9"/>
      <c r="BB89" s="9"/>
      <c r="BC89" s="9"/>
      <c r="BD89" s="9" t="s">
        <v>125</v>
      </c>
      <c r="BE89" s="9" t="s">
        <v>126</v>
      </c>
      <c r="BF89" s="9" t="s">
        <v>187</v>
      </c>
      <c r="BG89" s="9" t="s">
        <v>188</v>
      </c>
      <c r="BH89" s="9" t="s">
        <v>129</v>
      </c>
      <c r="BI89" s="9" t="s">
        <v>189</v>
      </c>
      <c r="BJ89" s="8" t="s">
        <v>256</v>
      </c>
      <c r="BK89" s="9" t="s">
        <v>132</v>
      </c>
      <c r="BL89" s="9" t="s">
        <v>133</v>
      </c>
      <c r="BM89" s="9" t="s">
        <v>133</v>
      </c>
      <c r="BN89" s="9" t="s">
        <v>133</v>
      </c>
      <c r="BO89" s="9" t="s">
        <v>817</v>
      </c>
      <c r="BP89" s="9" t="s">
        <v>798</v>
      </c>
      <c r="BQ89" s="8"/>
      <c r="BR89" s="9">
        <f t="shared" si="28"/>
        <v>83280</v>
      </c>
      <c r="BS89" s="8" t="s">
        <v>136</v>
      </c>
      <c r="BT89" s="19"/>
      <c r="BU89" s="9"/>
      <c r="BV89" s="26"/>
      <c r="BW89" s="9"/>
      <c r="BX89" s="9"/>
      <c r="BY89" s="9"/>
      <c r="BZ89" s="27">
        <v>0</v>
      </c>
      <c r="CA89" s="1"/>
      <c r="CB89" s="28" t="s">
        <v>385</v>
      </c>
      <c r="CC89" s="28" t="s">
        <v>385</v>
      </c>
      <c r="CD89" s="9">
        <v>2399000</v>
      </c>
      <c r="CE89" s="9">
        <f t="shared" si="29"/>
        <v>48</v>
      </c>
      <c r="CF89" s="9">
        <f t="shared" si="30"/>
        <v>115152000</v>
      </c>
      <c r="CG89" s="9">
        <v>35760000</v>
      </c>
      <c r="CH89" s="9">
        <v>14240000</v>
      </c>
      <c r="CI89" s="9">
        <v>35760000</v>
      </c>
      <c r="CJ89" s="29">
        <v>9.8799999999999999E-2</v>
      </c>
      <c r="CK89" s="30">
        <v>0.06</v>
      </c>
      <c r="CL89" s="31" t="s">
        <v>916</v>
      </c>
      <c r="CM89" s="9"/>
      <c r="CN89" s="9"/>
      <c r="CO89" s="27">
        <v>0.03</v>
      </c>
      <c r="CP89" s="22"/>
      <c r="CQ89" s="32">
        <v>0</v>
      </c>
      <c r="CR89" s="32">
        <v>0</v>
      </c>
      <c r="CS89" s="32">
        <v>0</v>
      </c>
      <c r="CT89" s="32">
        <v>0</v>
      </c>
      <c r="CU89" s="32">
        <v>0</v>
      </c>
      <c r="CV89" s="32">
        <v>0</v>
      </c>
      <c r="CW89" s="32">
        <v>0</v>
      </c>
      <c r="CX89" s="32">
        <v>0</v>
      </c>
      <c r="CY89" s="32">
        <v>0</v>
      </c>
      <c r="CZ89" s="32">
        <v>0</v>
      </c>
      <c r="DA89" s="32">
        <v>0</v>
      </c>
      <c r="DB89" s="32" t="s">
        <v>232</v>
      </c>
      <c r="DC89" s="32" t="s">
        <v>801</v>
      </c>
      <c r="DD89" s="32" t="s">
        <v>819</v>
      </c>
      <c r="DE89" s="32"/>
      <c r="DF89" s="32"/>
      <c r="DG89" s="32"/>
      <c r="DH89" s="32" t="s">
        <v>917</v>
      </c>
      <c r="DI89" s="13" t="s">
        <v>915</v>
      </c>
      <c r="DJ89" s="22">
        <v>0.3</v>
      </c>
      <c r="DK89" s="51">
        <v>0.2</v>
      </c>
      <c r="DL89" s="32"/>
      <c r="DM89" s="20"/>
      <c r="DN89" s="32"/>
      <c r="DO89" s="32"/>
      <c r="DP89" s="22"/>
    </row>
    <row r="90" spans="1:120">
      <c r="A90" s="8">
        <v>87</v>
      </c>
      <c r="B90" s="8" t="s">
        <v>918</v>
      </c>
      <c r="C90" s="34" t="s">
        <v>244</v>
      </c>
      <c r="D90" s="8" t="s">
        <v>919</v>
      </c>
      <c r="E90" s="8" t="s">
        <v>919</v>
      </c>
      <c r="F90" s="8" t="s">
        <v>920</v>
      </c>
      <c r="G90" s="8" t="s">
        <v>921</v>
      </c>
      <c r="H90" s="8" t="s">
        <v>119</v>
      </c>
      <c r="I90" s="9">
        <v>163584000</v>
      </c>
      <c r="J90" s="8">
        <v>2022</v>
      </c>
      <c r="K90" s="10" t="s">
        <v>922</v>
      </c>
      <c r="L90" s="10" t="s">
        <v>116</v>
      </c>
      <c r="M90" s="8" t="s">
        <v>923</v>
      </c>
      <c r="N90" s="8" t="s">
        <v>924</v>
      </c>
      <c r="O90" s="8" t="s">
        <v>119</v>
      </c>
      <c r="P90" s="11">
        <v>2925</v>
      </c>
      <c r="Q90" s="12">
        <v>44784</v>
      </c>
      <c r="R90" s="12">
        <v>44782</v>
      </c>
      <c r="S90" s="12">
        <v>44785</v>
      </c>
      <c r="T90" s="14" t="s">
        <v>120</v>
      </c>
      <c r="U90" s="12">
        <f t="shared" si="19"/>
        <v>46610</v>
      </c>
      <c r="V90" s="8">
        <f t="shared" ca="1" si="22"/>
        <v>12</v>
      </c>
      <c r="W90" s="16">
        <v>30000</v>
      </c>
      <c r="X90" s="8" t="s">
        <v>919</v>
      </c>
      <c r="Y90" s="8" t="s">
        <v>920</v>
      </c>
      <c r="Z90" s="9"/>
      <c r="AA90" s="9" t="s">
        <v>925</v>
      </c>
      <c r="AB90" s="12">
        <v>44798</v>
      </c>
      <c r="AC90" s="8">
        <f t="shared" si="25"/>
        <v>1825</v>
      </c>
      <c r="AD90" s="8">
        <f t="shared" ca="1" si="26"/>
        <v>384</v>
      </c>
      <c r="AE90" s="8">
        <f>VLOOKUP($B90, [1]렌트_계약서번호!$B$3:$E$501, 4, FALSE)</f>
        <v>22080032</v>
      </c>
      <c r="AF90" s="9">
        <v>163584000</v>
      </c>
      <c r="AG90" s="9"/>
      <c r="AH90" s="9">
        <v>148712728</v>
      </c>
      <c r="AI90" s="9"/>
      <c r="AJ90" s="9"/>
      <c r="AK90" s="9">
        <v>5948500</v>
      </c>
      <c r="AL90" s="9">
        <v>709570</v>
      </c>
      <c r="AM90" s="9">
        <v>5000</v>
      </c>
      <c r="AN90" s="9">
        <v>21500</v>
      </c>
      <c r="AO90" s="9">
        <v>65000</v>
      </c>
      <c r="AP90" s="9"/>
      <c r="AQ90" s="9"/>
      <c r="AR90" s="9" t="s">
        <v>205</v>
      </c>
      <c r="AS90" s="9"/>
      <c r="AT90" s="9" t="s">
        <v>926</v>
      </c>
      <c r="AU90" s="9">
        <f>6749590</f>
        <v>6749590</v>
      </c>
      <c r="AV90" s="57">
        <f t="shared" si="27"/>
        <v>6749570</v>
      </c>
      <c r="AW90" s="13" t="s">
        <v>543</v>
      </c>
      <c r="AX90" s="17">
        <v>44784</v>
      </c>
      <c r="AY90" s="9">
        <v>1307320</v>
      </c>
      <c r="AZ90" s="9"/>
      <c r="BA90" s="9"/>
      <c r="BB90" s="9"/>
      <c r="BC90" s="9"/>
      <c r="BD90" s="9" t="s">
        <v>125</v>
      </c>
      <c r="BE90" s="9" t="s">
        <v>126</v>
      </c>
      <c r="BF90" s="9" t="s">
        <v>187</v>
      </c>
      <c r="BG90" s="9" t="s">
        <v>188</v>
      </c>
      <c r="BH90" s="9" t="s">
        <v>129</v>
      </c>
      <c r="BI90" s="9" t="s">
        <v>189</v>
      </c>
      <c r="BJ90" s="8" t="s">
        <v>720</v>
      </c>
      <c r="BK90" s="9" t="s">
        <v>132</v>
      </c>
      <c r="BL90" s="9" t="s">
        <v>133</v>
      </c>
      <c r="BM90" s="9" t="s">
        <v>257</v>
      </c>
      <c r="BN90" s="9" t="s">
        <v>134</v>
      </c>
      <c r="BO90" s="9" t="s">
        <v>134</v>
      </c>
      <c r="BP90" s="9"/>
      <c r="BQ90" s="8"/>
      <c r="BR90" s="9">
        <f t="shared" si="28"/>
        <v>70200</v>
      </c>
      <c r="BS90" s="8" t="s">
        <v>136</v>
      </c>
      <c r="BT90" s="19"/>
      <c r="BU90" s="9"/>
      <c r="BV90" s="26"/>
      <c r="BW90" s="9"/>
      <c r="BX90" s="9"/>
      <c r="BY90" s="9"/>
      <c r="BZ90" s="27">
        <v>0</v>
      </c>
      <c r="CA90" s="1"/>
      <c r="CB90" s="28" t="s">
        <v>385</v>
      </c>
      <c r="CC90" s="28" t="s">
        <v>385</v>
      </c>
      <c r="CD90" s="9">
        <v>2737000</v>
      </c>
      <c r="CE90" s="9">
        <f t="shared" si="29"/>
        <v>60</v>
      </c>
      <c r="CF90" s="9">
        <f t="shared" si="30"/>
        <v>164220000</v>
      </c>
      <c r="CG90" s="9">
        <v>51120000</v>
      </c>
      <c r="CH90" s="9">
        <v>0</v>
      </c>
      <c r="CI90" s="9">
        <v>63048000</v>
      </c>
      <c r="CJ90" s="29">
        <v>1.34E-2</v>
      </c>
      <c r="CK90" s="30">
        <v>0.06</v>
      </c>
      <c r="CL90" s="31" t="s">
        <v>927</v>
      </c>
      <c r="CM90" s="9"/>
      <c r="CN90" s="9"/>
      <c r="CO90" s="27">
        <v>0.03</v>
      </c>
      <c r="CP90" s="22"/>
      <c r="CQ90" s="32">
        <v>0</v>
      </c>
      <c r="CR90" s="32">
        <v>0</v>
      </c>
      <c r="CS90" s="32">
        <v>0</v>
      </c>
      <c r="CT90" s="32">
        <v>0</v>
      </c>
      <c r="CU90" s="32">
        <v>0</v>
      </c>
      <c r="CV90" s="32">
        <v>0</v>
      </c>
      <c r="CW90" s="32">
        <v>0</v>
      </c>
      <c r="CX90" s="32">
        <v>0</v>
      </c>
      <c r="CY90" s="32">
        <v>0</v>
      </c>
      <c r="CZ90" s="32">
        <v>0</v>
      </c>
      <c r="DA90" s="32">
        <v>0</v>
      </c>
      <c r="DB90" s="32" t="s">
        <v>928</v>
      </c>
      <c r="DC90" s="32" t="s">
        <v>547</v>
      </c>
      <c r="DD90" s="32" t="s">
        <v>929</v>
      </c>
      <c r="DE90" s="32"/>
      <c r="DF90" s="32"/>
      <c r="DG90" s="32"/>
      <c r="DH90" s="32" t="s">
        <v>930</v>
      </c>
      <c r="DI90" s="19" t="s">
        <v>137</v>
      </c>
      <c r="DJ90" s="22">
        <v>0.3</v>
      </c>
      <c r="DK90" s="51">
        <v>0.2</v>
      </c>
      <c r="DL90" s="32"/>
      <c r="DM90" s="20"/>
      <c r="DN90" s="32"/>
      <c r="DO90" s="32"/>
      <c r="DP90" s="22"/>
    </row>
    <row r="91" spans="1:120">
      <c r="A91" s="8">
        <v>88</v>
      </c>
      <c r="B91" s="8" t="s">
        <v>931</v>
      </c>
      <c r="C91" s="8" t="s">
        <v>208</v>
      </c>
      <c r="D91" s="8" t="s">
        <v>932</v>
      </c>
      <c r="E91" s="8" t="s">
        <v>933</v>
      </c>
      <c r="F91" s="8" t="s">
        <v>934</v>
      </c>
      <c r="G91" s="8" t="s">
        <v>182</v>
      </c>
      <c r="H91" s="8" t="s">
        <v>935</v>
      </c>
      <c r="I91" s="9">
        <v>64000000</v>
      </c>
      <c r="J91" s="8">
        <v>2023</v>
      </c>
      <c r="K91" s="10" t="s">
        <v>789</v>
      </c>
      <c r="L91" s="10" t="s">
        <v>116</v>
      </c>
      <c r="M91" s="8" t="s">
        <v>936</v>
      </c>
      <c r="N91" s="8" t="s">
        <v>937</v>
      </c>
      <c r="O91" s="8" t="s">
        <v>119</v>
      </c>
      <c r="P91" s="11">
        <v>2497</v>
      </c>
      <c r="Q91" s="12">
        <v>44881</v>
      </c>
      <c r="R91" s="12">
        <v>44858</v>
      </c>
      <c r="S91" s="12">
        <v>44896</v>
      </c>
      <c r="T91" s="14" t="s">
        <v>556</v>
      </c>
      <c r="U91" s="12">
        <f t="shared" si="19"/>
        <v>46356</v>
      </c>
      <c r="V91" s="8">
        <f t="shared" ca="1" si="22"/>
        <v>4</v>
      </c>
      <c r="W91" s="16">
        <v>30000</v>
      </c>
      <c r="X91" s="8" t="s">
        <v>933</v>
      </c>
      <c r="Y91" s="8" t="s">
        <v>934</v>
      </c>
      <c r="Z91" s="9"/>
      <c r="AA91" s="9" t="s">
        <v>938</v>
      </c>
      <c r="AB91" s="12">
        <v>44920</v>
      </c>
      <c r="AC91" s="8">
        <f t="shared" si="25"/>
        <v>1460</v>
      </c>
      <c r="AD91" s="8">
        <f t="shared" ca="1" si="26"/>
        <v>130</v>
      </c>
      <c r="AE91" s="8" t="e">
        <f>VLOOKUP($B91, [1]렌트_계약서번호!$B$3:$E$501, 4, FALSE)</f>
        <v>#N/A</v>
      </c>
      <c r="AF91" s="9">
        <v>59925897</v>
      </c>
      <c r="AG91" s="9">
        <v>3906103</v>
      </c>
      <c r="AH91" s="9">
        <f>AF91-AG91</f>
        <v>56019794</v>
      </c>
      <c r="AI91" s="9">
        <v>332000</v>
      </c>
      <c r="AJ91" s="9">
        <v>2000</v>
      </c>
      <c r="AK91" s="9">
        <v>2197300</v>
      </c>
      <c r="AL91" s="9">
        <v>348768</v>
      </c>
      <c r="AM91" s="9">
        <v>2000</v>
      </c>
      <c r="AN91" s="9">
        <v>45000</v>
      </c>
      <c r="AO91" s="9">
        <v>50000</v>
      </c>
      <c r="AP91" s="9"/>
      <c r="AQ91" s="9">
        <v>154000</v>
      </c>
      <c r="AR91" s="9" t="s">
        <v>939</v>
      </c>
      <c r="AS91" s="9">
        <v>198000</v>
      </c>
      <c r="AT91" s="9" t="s">
        <v>940</v>
      </c>
      <c r="AU91" s="9">
        <v>2633068</v>
      </c>
      <c r="AV91" s="57">
        <f t="shared" si="27"/>
        <v>3329068</v>
      </c>
      <c r="AW91" s="8" t="s">
        <v>124</v>
      </c>
      <c r="AX91" s="17">
        <v>44881</v>
      </c>
      <c r="AY91" s="9">
        <v>1053080</v>
      </c>
      <c r="AZ91" s="9"/>
      <c r="BA91" s="9"/>
      <c r="BB91" s="9"/>
      <c r="BC91" s="9"/>
      <c r="BD91" s="9" t="s">
        <v>125</v>
      </c>
      <c r="BE91" s="9" t="s">
        <v>126</v>
      </c>
      <c r="BF91" s="9" t="s">
        <v>187</v>
      </c>
      <c r="BG91" s="9" t="s">
        <v>188</v>
      </c>
      <c r="BH91" s="9" t="s">
        <v>129</v>
      </c>
      <c r="BI91" s="9" t="s">
        <v>189</v>
      </c>
      <c r="BJ91" s="8" t="s">
        <v>256</v>
      </c>
      <c r="BK91" s="9" t="s">
        <v>132</v>
      </c>
      <c r="BL91" s="9" t="s">
        <v>133</v>
      </c>
      <c r="BM91" s="9" t="s">
        <v>257</v>
      </c>
      <c r="BN91" s="9" t="s">
        <v>134</v>
      </c>
      <c r="BO91" s="9" t="s">
        <v>134</v>
      </c>
      <c r="BP91" s="9"/>
      <c r="BQ91" s="8"/>
      <c r="BR91" s="9">
        <f t="shared" si="28"/>
        <v>47443</v>
      </c>
      <c r="BS91" s="8" t="s">
        <v>136</v>
      </c>
      <c r="BT91" s="19"/>
      <c r="BU91" s="9"/>
      <c r="BV91" s="26"/>
      <c r="BW91" s="9"/>
      <c r="BX91" s="9"/>
      <c r="BY91" s="9"/>
      <c r="BZ91" s="27">
        <v>0</v>
      </c>
      <c r="CA91" s="1"/>
      <c r="CB91" s="28" t="s">
        <v>385</v>
      </c>
      <c r="CC91" s="28" t="s">
        <v>385</v>
      </c>
      <c r="CD91" s="9">
        <v>1208000</v>
      </c>
      <c r="CE91" s="9">
        <f t="shared" si="29"/>
        <v>48</v>
      </c>
      <c r="CF91" s="9">
        <f t="shared" si="30"/>
        <v>57984000</v>
      </c>
      <c r="CG91" s="9">
        <v>27389000</v>
      </c>
      <c r="CH91" s="9">
        <v>0</v>
      </c>
      <c r="CI91" s="9">
        <v>27389000</v>
      </c>
      <c r="CJ91" s="29">
        <v>7.6999999999999999E-2</v>
      </c>
      <c r="CK91" s="30">
        <v>0.06</v>
      </c>
      <c r="CL91" s="31" t="s">
        <v>941</v>
      </c>
      <c r="CM91" s="9"/>
      <c r="CN91" s="9" t="s">
        <v>942</v>
      </c>
      <c r="CO91" s="27">
        <v>0.03</v>
      </c>
      <c r="CP91" s="22"/>
      <c r="CQ91" s="32" t="s">
        <v>879</v>
      </c>
      <c r="CR91" s="32">
        <v>52800</v>
      </c>
      <c r="CS91" s="32" t="s">
        <v>943</v>
      </c>
      <c r="CT91" s="32">
        <v>40000</v>
      </c>
      <c r="CU91" s="32">
        <v>0</v>
      </c>
      <c r="CV91" s="32">
        <v>0</v>
      </c>
      <c r="CW91" s="32">
        <v>0</v>
      </c>
      <c r="CX91" s="32">
        <v>0</v>
      </c>
      <c r="CY91" s="32">
        <v>0</v>
      </c>
      <c r="CZ91" s="32">
        <v>0</v>
      </c>
      <c r="DA91" s="32">
        <v>0</v>
      </c>
      <c r="DB91" s="32" t="s">
        <v>232</v>
      </c>
      <c r="DC91" s="32" t="s">
        <v>801</v>
      </c>
      <c r="DD91" s="32" t="s">
        <v>819</v>
      </c>
      <c r="DE91" s="32"/>
      <c r="DF91" s="32" t="s">
        <v>944</v>
      </c>
      <c r="DG91" s="32" t="s">
        <v>945</v>
      </c>
      <c r="DH91" s="32" t="s">
        <v>946</v>
      </c>
      <c r="DI91" s="32" t="s">
        <v>947</v>
      </c>
      <c r="DJ91" s="22">
        <v>0.35</v>
      </c>
      <c r="DK91" s="51">
        <v>0.2</v>
      </c>
      <c r="DL91" s="32"/>
      <c r="DM91" s="20"/>
      <c r="DN91" s="32"/>
      <c r="DO91" s="32"/>
      <c r="DP91" s="22"/>
    </row>
    <row r="92" spans="1:120">
      <c r="A92" s="8">
        <v>89</v>
      </c>
      <c r="B92" s="8" t="s">
        <v>948</v>
      </c>
      <c r="C92" s="34" t="s">
        <v>244</v>
      </c>
      <c r="D92" s="8" t="s">
        <v>949</v>
      </c>
      <c r="E92" s="8" t="s">
        <v>950</v>
      </c>
      <c r="F92" s="8" t="s">
        <v>951</v>
      </c>
      <c r="G92" s="8" t="s">
        <v>952</v>
      </c>
      <c r="H92" s="8" t="s">
        <v>953</v>
      </c>
      <c r="I92" s="9">
        <v>50830000</v>
      </c>
      <c r="J92" s="8">
        <v>2023</v>
      </c>
      <c r="K92" s="10" t="s">
        <v>954</v>
      </c>
      <c r="L92" s="10" t="s">
        <v>116</v>
      </c>
      <c r="M92" s="8" t="s">
        <v>955</v>
      </c>
      <c r="N92" s="8" t="s">
        <v>956</v>
      </c>
      <c r="O92" s="8" t="s">
        <v>119</v>
      </c>
      <c r="P92" s="11">
        <v>1598</v>
      </c>
      <c r="Q92" s="12">
        <v>44963</v>
      </c>
      <c r="R92" s="12">
        <v>45217</v>
      </c>
      <c r="S92" s="12">
        <v>45217</v>
      </c>
      <c r="T92" s="14" t="s">
        <v>120</v>
      </c>
      <c r="U92" s="12">
        <f t="shared" si="19"/>
        <v>47042</v>
      </c>
      <c r="V92" s="8">
        <f t="shared" ca="1" si="22"/>
        <v>26</v>
      </c>
      <c r="W92" s="9">
        <v>20000</v>
      </c>
      <c r="X92" s="8" t="s">
        <v>957</v>
      </c>
      <c r="Y92" s="8" t="s">
        <v>951</v>
      </c>
      <c r="Z92" s="9"/>
      <c r="AA92" s="9" t="s">
        <v>958</v>
      </c>
      <c r="AB92" s="12">
        <v>45255</v>
      </c>
      <c r="AC92" s="8">
        <f t="shared" si="25"/>
        <v>1825</v>
      </c>
      <c r="AD92" s="8">
        <f t="shared" ca="1" si="26"/>
        <v>816</v>
      </c>
      <c r="AE92" s="8">
        <f>VLOOKUP($B92, [1]렌트_계약서번호!$B$3:$E$501, 4, FALSE)</f>
        <v>23010003</v>
      </c>
      <c r="AF92" s="9">
        <v>47779700</v>
      </c>
      <c r="AG92" s="9">
        <v>3102300</v>
      </c>
      <c r="AH92" s="9">
        <f>AF92-AG92</f>
        <v>44677400</v>
      </c>
      <c r="AI92" s="9">
        <v>152000</v>
      </c>
      <c r="AJ92" s="9">
        <v>2000</v>
      </c>
      <c r="AK92" s="9"/>
      <c r="AL92" s="9"/>
      <c r="AM92" s="9"/>
      <c r="AN92" s="9"/>
      <c r="AO92" s="9"/>
      <c r="AP92" s="9">
        <v>1410000</v>
      </c>
      <c r="AQ92" s="9"/>
      <c r="AR92" s="22" t="s">
        <v>145</v>
      </c>
      <c r="AS92" s="9"/>
      <c r="AT92" s="9" t="s">
        <v>959</v>
      </c>
      <c r="AU92" s="9">
        <f>1838070</f>
        <v>1838070</v>
      </c>
      <c r="AV92" s="57"/>
      <c r="AW92" s="8" t="s">
        <v>158</v>
      </c>
      <c r="AX92" s="17"/>
      <c r="AY92" s="9">
        <f>1000360</f>
        <v>1000360</v>
      </c>
      <c r="AZ92" s="9"/>
      <c r="BA92" s="9"/>
      <c r="BB92" s="9"/>
      <c r="BC92" s="9"/>
      <c r="BD92" s="9" t="s">
        <v>125</v>
      </c>
      <c r="BE92" s="9" t="s">
        <v>126</v>
      </c>
      <c r="BF92" s="9" t="s">
        <v>255</v>
      </c>
      <c r="BG92" s="9" t="s">
        <v>128</v>
      </c>
      <c r="BH92" s="9" t="s">
        <v>129</v>
      </c>
      <c r="BI92" s="9" t="s">
        <v>130</v>
      </c>
      <c r="BJ92" s="8" t="s">
        <v>256</v>
      </c>
      <c r="BK92" s="9" t="s">
        <v>132</v>
      </c>
      <c r="BL92" s="9" t="s">
        <v>133</v>
      </c>
      <c r="BM92" s="9" t="s">
        <v>257</v>
      </c>
      <c r="BN92" s="9" t="s">
        <v>134</v>
      </c>
      <c r="BO92" s="9" t="s">
        <v>134</v>
      </c>
      <c r="BP92" s="9"/>
      <c r="BQ92" s="8"/>
      <c r="BR92" s="9">
        <f t="shared" si="28"/>
        <v>28764</v>
      </c>
      <c r="BS92" s="8" t="s">
        <v>136</v>
      </c>
      <c r="BT92" s="19"/>
      <c r="BU92" s="9"/>
      <c r="BV92" s="26"/>
      <c r="BW92" s="9"/>
      <c r="BX92" s="9"/>
      <c r="BY92" s="9"/>
      <c r="BZ92" s="27">
        <v>0</v>
      </c>
      <c r="CA92" s="1"/>
      <c r="CB92" s="28" t="s">
        <v>385</v>
      </c>
      <c r="CC92" s="28" t="s">
        <v>385</v>
      </c>
      <c r="CD92" s="9">
        <v>897000</v>
      </c>
      <c r="CE92" s="9">
        <f t="shared" si="29"/>
        <v>60</v>
      </c>
      <c r="CF92" s="9">
        <f t="shared" si="30"/>
        <v>53820000</v>
      </c>
      <c r="CG92" s="9">
        <v>9984000</v>
      </c>
      <c r="CH92" s="9">
        <v>0</v>
      </c>
      <c r="CI92" s="9">
        <v>17472000</v>
      </c>
      <c r="CJ92" s="29">
        <v>0</v>
      </c>
      <c r="CK92" s="30">
        <v>0.06</v>
      </c>
      <c r="CL92" s="31" t="s">
        <v>960</v>
      </c>
      <c r="CM92" s="9"/>
      <c r="CN92" s="9"/>
      <c r="CO92" s="27">
        <v>0.03</v>
      </c>
      <c r="CP92" s="22"/>
      <c r="CQ92" s="32" t="s">
        <v>961</v>
      </c>
      <c r="CR92" s="32">
        <v>198000</v>
      </c>
      <c r="CS92" s="32" t="s">
        <v>879</v>
      </c>
      <c r="CT92" s="32">
        <v>53300</v>
      </c>
      <c r="CU92" s="32" t="s">
        <v>962</v>
      </c>
      <c r="CV92" s="32">
        <v>132000</v>
      </c>
      <c r="CW92" s="32" t="s">
        <v>41</v>
      </c>
      <c r="CX92" s="32"/>
      <c r="CY92" s="32"/>
      <c r="CZ92" s="32"/>
      <c r="DA92" s="32"/>
      <c r="DB92" s="32" t="s">
        <v>232</v>
      </c>
      <c r="DC92" s="32" t="s">
        <v>801</v>
      </c>
      <c r="DD92" s="32" t="str">
        <f>IF(DC92="정수원 실장","렌트베네핏", IF(DC92="박현식 부장", "렌트베네핏", IF(DC92="김성진 팀장", "청담", IF(DC92="전석영 부장", "방배", IF(DC92= "박봉호 부장", "일산",IF(DC140="정원철 부장", "청담"))))))</f>
        <v>렌트베네핏</v>
      </c>
      <c r="DE92" s="32"/>
      <c r="DF92" s="32" t="s">
        <v>802</v>
      </c>
      <c r="DG92" s="32" t="s">
        <v>963</v>
      </c>
      <c r="DH92" s="32" t="s">
        <v>964</v>
      </c>
      <c r="DI92" s="32" t="s">
        <v>965</v>
      </c>
      <c r="DJ92" s="22">
        <v>0.35</v>
      </c>
      <c r="DK92" s="51">
        <v>0.2</v>
      </c>
      <c r="DL92" s="32"/>
      <c r="DM92" s="20"/>
      <c r="DN92" s="32"/>
      <c r="DO92" s="32"/>
      <c r="DP92" s="22"/>
    </row>
    <row r="93" spans="1:120">
      <c r="A93" s="8">
        <v>90</v>
      </c>
      <c r="B93" s="8" t="s">
        <v>966</v>
      </c>
      <c r="C93" s="34" t="s">
        <v>244</v>
      </c>
      <c r="D93" s="8" t="s">
        <v>967</v>
      </c>
      <c r="E93" s="8" t="s">
        <v>968</v>
      </c>
      <c r="F93" s="8" t="s">
        <v>969</v>
      </c>
      <c r="G93" s="8" t="s">
        <v>970</v>
      </c>
      <c r="H93" s="8" t="s">
        <v>971</v>
      </c>
      <c r="I93" s="9">
        <v>67460000</v>
      </c>
      <c r="J93" s="8">
        <v>2023</v>
      </c>
      <c r="K93" s="10" t="s">
        <v>754</v>
      </c>
      <c r="L93" s="10" t="s">
        <v>116</v>
      </c>
      <c r="M93" s="8" t="s">
        <v>972</v>
      </c>
      <c r="N93" s="8" t="s">
        <v>973</v>
      </c>
      <c r="O93" s="8" t="s">
        <v>119</v>
      </c>
      <c r="P93" s="11">
        <v>1999</v>
      </c>
      <c r="Q93" s="12">
        <v>45016</v>
      </c>
      <c r="R93" s="12">
        <v>45012</v>
      </c>
      <c r="S93" s="12">
        <v>45016</v>
      </c>
      <c r="T93" s="14" t="s">
        <v>120</v>
      </c>
      <c r="U93" s="12">
        <f t="shared" si="19"/>
        <v>46841</v>
      </c>
      <c r="V93" s="8">
        <f t="shared" ca="1" si="22"/>
        <v>20</v>
      </c>
      <c r="W93" s="16">
        <v>20000</v>
      </c>
      <c r="X93" s="8" t="s">
        <v>968</v>
      </c>
      <c r="Y93" s="8" t="s">
        <v>969</v>
      </c>
      <c r="Z93" s="9"/>
      <c r="AA93" s="9" t="s">
        <v>974</v>
      </c>
      <c r="AB93" s="12">
        <v>45041</v>
      </c>
      <c r="AC93" s="8">
        <f t="shared" si="25"/>
        <v>1825</v>
      </c>
      <c r="AD93" s="8">
        <f t="shared" ca="1" si="26"/>
        <v>615</v>
      </c>
      <c r="AE93" s="8">
        <f>VLOOKUP($B93, [1]렌트_계약서번호!$B$3:$E$501, 4, FALSE)</f>
        <v>23030002</v>
      </c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 t="s">
        <v>205</v>
      </c>
      <c r="AS93" s="9"/>
      <c r="AT93" s="9" t="s">
        <v>975</v>
      </c>
      <c r="AU93" s="9"/>
      <c r="AV93" s="57"/>
      <c r="AW93" s="8" t="s">
        <v>158</v>
      </c>
      <c r="AX93" s="17"/>
      <c r="AY93" s="9"/>
      <c r="AZ93" s="9"/>
      <c r="BA93" s="9"/>
      <c r="BB93" s="9"/>
      <c r="BC93" s="9"/>
      <c r="BD93" s="9" t="s">
        <v>125</v>
      </c>
      <c r="BE93" s="9" t="s">
        <v>126</v>
      </c>
      <c r="BF93" s="9" t="s">
        <v>187</v>
      </c>
      <c r="BG93" s="9" t="s">
        <v>188</v>
      </c>
      <c r="BH93" s="9" t="s">
        <v>129</v>
      </c>
      <c r="BI93" s="9" t="s">
        <v>189</v>
      </c>
      <c r="BJ93" s="8" t="s">
        <v>256</v>
      </c>
      <c r="BK93" s="9" t="s">
        <v>132</v>
      </c>
      <c r="BL93" s="9" t="s">
        <v>133</v>
      </c>
      <c r="BM93" s="9" t="s">
        <v>257</v>
      </c>
      <c r="BN93" s="9" t="s">
        <v>134</v>
      </c>
      <c r="BO93" s="9" t="s">
        <v>134</v>
      </c>
      <c r="BP93" s="66" t="s">
        <v>976</v>
      </c>
      <c r="BQ93" s="8"/>
      <c r="BR93" s="9">
        <f t="shared" si="28"/>
        <v>37981</v>
      </c>
      <c r="BS93" s="8" t="s">
        <v>136</v>
      </c>
      <c r="BT93" s="19"/>
      <c r="BU93" s="9"/>
      <c r="BV93" s="26"/>
      <c r="BW93" s="9"/>
      <c r="BX93" s="9"/>
      <c r="BY93" s="9"/>
      <c r="BZ93" s="27"/>
      <c r="CA93" s="1"/>
      <c r="CB93" s="28" t="s">
        <v>385</v>
      </c>
      <c r="CC93" s="28" t="s">
        <v>385</v>
      </c>
      <c r="CD93" s="9">
        <v>1398000</v>
      </c>
      <c r="CE93" s="9">
        <v>60</v>
      </c>
      <c r="CF93" s="9">
        <f t="shared" si="30"/>
        <v>83880000</v>
      </c>
      <c r="CG93" s="9">
        <v>20238000</v>
      </c>
      <c r="CH93" s="9">
        <v>0</v>
      </c>
      <c r="CI93" s="9">
        <v>20238000</v>
      </c>
      <c r="CJ93" s="29">
        <v>0.11600000000000001</v>
      </c>
      <c r="CK93" s="30">
        <v>0.06</v>
      </c>
      <c r="CL93" s="31" t="s">
        <v>977</v>
      </c>
      <c r="CM93" s="9"/>
      <c r="CN93" s="9" t="s">
        <v>969</v>
      </c>
      <c r="CO93" s="27">
        <v>0.03</v>
      </c>
      <c r="CP93" s="22"/>
      <c r="CQ93" s="32" t="s">
        <v>978</v>
      </c>
      <c r="CR93" s="32"/>
      <c r="CS93" s="32" t="s">
        <v>907</v>
      </c>
      <c r="CT93" s="32"/>
      <c r="CU93" s="32" t="s">
        <v>979</v>
      </c>
      <c r="CV93" s="32"/>
      <c r="CW93" s="32" t="s">
        <v>980</v>
      </c>
      <c r="CX93" s="32"/>
      <c r="CY93" s="32" t="s">
        <v>981</v>
      </c>
      <c r="CZ93" s="32"/>
      <c r="DA93" s="32"/>
      <c r="DB93" s="32" t="s">
        <v>982</v>
      </c>
      <c r="DC93" s="67" t="s">
        <v>983</v>
      </c>
      <c r="DD93" s="32" t="s">
        <v>984</v>
      </c>
      <c r="DE93" s="32"/>
      <c r="DF93" s="32" t="s">
        <v>944</v>
      </c>
      <c r="DG93" s="32" t="s">
        <v>985</v>
      </c>
      <c r="DH93" s="32" t="s">
        <v>986</v>
      </c>
      <c r="DI93" s="32" t="s">
        <v>987</v>
      </c>
      <c r="DJ93" s="22">
        <v>0.35</v>
      </c>
      <c r="DK93" s="51">
        <v>0.2</v>
      </c>
      <c r="DL93" s="32"/>
      <c r="DM93" s="20"/>
      <c r="DN93" s="32"/>
      <c r="DO93" s="32"/>
      <c r="DP93" s="22"/>
    </row>
    <row r="94" spans="1:120">
      <c r="A94" s="8">
        <v>91</v>
      </c>
      <c r="B94" s="8" t="s">
        <v>988</v>
      </c>
      <c r="C94" s="34" t="s">
        <v>244</v>
      </c>
      <c r="D94" s="8" t="s">
        <v>989</v>
      </c>
      <c r="E94" s="8" t="s">
        <v>989</v>
      </c>
      <c r="F94" s="8" t="s">
        <v>990</v>
      </c>
      <c r="G94" s="8" t="s">
        <v>991</v>
      </c>
      <c r="H94" s="8" t="s">
        <v>992</v>
      </c>
      <c r="I94" s="9">
        <v>43335800</v>
      </c>
      <c r="J94" s="8">
        <v>2023</v>
      </c>
      <c r="K94" s="68" t="s">
        <v>993</v>
      </c>
      <c r="L94" s="10" t="s">
        <v>116</v>
      </c>
      <c r="M94" s="8" t="s">
        <v>994</v>
      </c>
      <c r="N94" s="8" t="s">
        <v>995</v>
      </c>
      <c r="O94" s="8" t="s">
        <v>119</v>
      </c>
      <c r="P94" s="11">
        <v>3470</v>
      </c>
      <c r="Q94" s="12">
        <v>45037</v>
      </c>
      <c r="R94" s="12">
        <f>IFERROR(P94+Z94, "-")</f>
        <v>3470</v>
      </c>
      <c r="S94" s="12">
        <v>45271</v>
      </c>
      <c r="T94" s="14" t="s">
        <v>120</v>
      </c>
      <c r="U94" s="12">
        <f t="shared" si="19"/>
        <v>47096</v>
      </c>
      <c r="V94" s="8">
        <f t="shared" ca="1" si="22"/>
        <v>28</v>
      </c>
      <c r="W94" s="16">
        <v>20000</v>
      </c>
      <c r="X94" s="9" t="s">
        <v>989</v>
      </c>
      <c r="Y94" s="9" t="s">
        <v>119</v>
      </c>
      <c r="Z94" s="9"/>
      <c r="AA94" s="9" t="s">
        <v>996</v>
      </c>
      <c r="AB94" s="12">
        <v>45316</v>
      </c>
      <c r="AC94" s="8">
        <f t="shared" si="25"/>
        <v>1825</v>
      </c>
      <c r="AD94" s="8">
        <f t="shared" ca="1" si="26"/>
        <v>870</v>
      </c>
      <c r="AE94" s="8">
        <f>VLOOKUP($B94, [1]렌트_계약서번호!$B$3:$E$501, 4, FALSE)</f>
        <v>23120011</v>
      </c>
      <c r="AF94" s="9">
        <v>43335800</v>
      </c>
      <c r="AG94" s="9"/>
      <c r="AH94" s="9"/>
      <c r="AI94" s="9">
        <v>103000</v>
      </c>
      <c r="AJ94" s="9">
        <v>2000</v>
      </c>
      <c r="AK94" s="9"/>
      <c r="AL94" s="9"/>
      <c r="AM94" s="9"/>
      <c r="AN94" s="9"/>
      <c r="AO94" s="9"/>
      <c r="AP94" s="9"/>
      <c r="AQ94" s="9"/>
      <c r="AR94" s="22" t="s">
        <v>145</v>
      </c>
      <c r="AS94" s="9"/>
      <c r="AT94" s="9" t="s">
        <v>940</v>
      </c>
      <c r="AU94" s="9"/>
      <c r="AV94" s="57"/>
      <c r="AW94" s="8" t="s">
        <v>158</v>
      </c>
      <c r="AX94" s="17"/>
      <c r="AY94" s="9"/>
      <c r="AZ94" s="9"/>
      <c r="BA94" s="9"/>
      <c r="BB94" s="9"/>
      <c r="BC94" s="9"/>
      <c r="BD94" s="9" t="s">
        <v>125</v>
      </c>
      <c r="BE94" s="9" t="s">
        <v>126</v>
      </c>
      <c r="BF94" s="9" t="s">
        <v>255</v>
      </c>
      <c r="BG94" s="9" t="s">
        <v>128</v>
      </c>
      <c r="BH94" s="9" t="s">
        <v>129</v>
      </c>
      <c r="BI94" s="9" t="s">
        <v>130</v>
      </c>
      <c r="BJ94" s="8" t="s">
        <v>131</v>
      </c>
      <c r="BK94" s="9" t="s">
        <v>132</v>
      </c>
      <c r="BL94" s="9" t="s">
        <v>133</v>
      </c>
      <c r="BM94" s="9" t="s">
        <v>133</v>
      </c>
      <c r="BN94" s="9" t="s">
        <v>134</v>
      </c>
      <c r="BO94" s="9" t="s">
        <v>134</v>
      </c>
      <c r="BP94" s="9"/>
      <c r="BQ94" s="8"/>
      <c r="BR94" s="9">
        <f t="shared" si="28"/>
        <v>83280</v>
      </c>
      <c r="BS94" s="8" t="s">
        <v>136</v>
      </c>
      <c r="BT94" s="19"/>
      <c r="BU94" s="9"/>
      <c r="BV94" s="26"/>
      <c r="BW94" s="9"/>
      <c r="BX94" s="9"/>
      <c r="BY94" s="9"/>
      <c r="BZ94" s="27"/>
      <c r="CA94" s="1"/>
      <c r="CB94" s="28" t="s">
        <v>385</v>
      </c>
      <c r="CC94" s="28" t="s">
        <v>385</v>
      </c>
      <c r="CD94" s="9">
        <v>539000</v>
      </c>
      <c r="CE94" s="9">
        <v>96</v>
      </c>
      <c r="CF94" s="9">
        <f t="shared" si="30"/>
        <v>51744000</v>
      </c>
      <c r="CG94" s="9">
        <v>0</v>
      </c>
      <c r="CH94" s="9">
        <v>4000000</v>
      </c>
      <c r="CI94" s="9">
        <v>21666500</v>
      </c>
      <c r="CJ94" s="29">
        <v>0</v>
      </c>
      <c r="CK94" s="30">
        <v>0.06</v>
      </c>
      <c r="CL94" s="9"/>
      <c r="CM94" s="9"/>
      <c r="CN94" s="9"/>
      <c r="CO94" s="27">
        <v>0.03</v>
      </c>
      <c r="CP94" s="22"/>
      <c r="CQ94" s="22" t="s">
        <v>879</v>
      </c>
      <c r="CR94" s="32">
        <v>147400</v>
      </c>
      <c r="CS94" s="32" t="s">
        <v>943</v>
      </c>
      <c r="CT94" s="32">
        <f>40000*1.1</f>
        <v>44000</v>
      </c>
      <c r="CU94" s="32"/>
      <c r="CV94" s="32"/>
      <c r="CW94" s="32"/>
      <c r="CX94" s="32"/>
      <c r="CY94" s="32"/>
      <c r="CZ94" s="32"/>
      <c r="DA94" s="32"/>
      <c r="DB94" s="32" t="str">
        <f>IF(DC94="정수원 실장","기아", IF(DC94="박현식 부장", "현대", IF(DC94="김성진 팀장", "한성", IF(DC94="전석영 부장", "한성", IF(DC94= "박봉호 부장", "모토원",IF(DC94="정원철 부장", "한성"))))))</f>
        <v>기아</v>
      </c>
      <c r="DC94" s="32" t="s">
        <v>260</v>
      </c>
      <c r="DD94" s="32" t="str">
        <f>IF(DC94="정수원 실장","렌트베네핏", IF(DC94="박현식 부장", "렌트베네핏", IF(DC94="김성진 팀장", "청담", IF(DC94="전석영 부장", "방배", IF(DC94= "박봉호 부장", "일산",IF(DC139="정원철 부장", "청담"))))))</f>
        <v>렌트베네핏</v>
      </c>
      <c r="DE94" s="61"/>
      <c r="DF94" s="61"/>
      <c r="DG94" s="32"/>
      <c r="DH94" s="32"/>
      <c r="DI94" s="19" t="s">
        <v>137</v>
      </c>
      <c r="DJ94" s="22">
        <v>0.35</v>
      </c>
      <c r="DK94" s="51">
        <v>0.2</v>
      </c>
      <c r="DL94" s="32"/>
      <c r="DM94" s="20"/>
      <c r="DN94" s="32"/>
      <c r="DO94" s="32"/>
      <c r="DP94" s="22"/>
    </row>
    <row r="95" spans="1:120">
      <c r="A95" s="8">
        <v>92</v>
      </c>
      <c r="B95" s="22" t="s">
        <v>997</v>
      </c>
      <c r="C95" s="34" t="s">
        <v>244</v>
      </c>
      <c r="D95" s="8" t="s">
        <v>710</v>
      </c>
      <c r="E95" s="8" t="s">
        <v>711</v>
      </c>
      <c r="F95" s="8" t="s">
        <v>712</v>
      </c>
      <c r="G95" s="22" t="s">
        <v>998</v>
      </c>
      <c r="H95" s="22" t="s">
        <v>999</v>
      </c>
      <c r="I95" s="20">
        <v>35790000</v>
      </c>
      <c r="J95" s="8">
        <v>2023</v>
      </c>
      <c r="K95" s="22" t="s">
        <v>1000</v>
      </c>
      <c r="L95" s="22" t="s">
        <v>116</v>
      </c>
      <c r="M95" s="22" t="s">
        <v>1001</v>
      </c>
      <c r="N95" s="22" t="s">
        <v>1002</v>
      </c>
      <c r="O95" s="8" t="s">
        <v>119</v>
      </c>
      <c r="P95" s="11">
        <v>1598</v>
      </c>
      <c r="Q95" s="12">
        <v>45134</v>
      </c>
      <c r="R95" s="12">
        <v>45134</v>
      </c>
      <c r="S95" s="12">
        <v>45135</v>
      </c>
      <c r="T95" s="14" t="s">
        <v>556</v>
      </c>
      <c r="U95" s="12">
        <f t="shared" si="19"/>
        <v>46595</v>
      </c>
      <c r="V95" s="8">
        <f t="shared" ca="1" si="22"/>
        <v>12</v>
      </c>
      <c r="W95" s="16">
        <v>20000</v>
      </c>
      <c r="X95" s="8" t="s">
        <v>718</v>
      </c>
      <c r="Y95" s="8" t="s">
        <v>712</v>
      </c>
      <c r="Z95" s="22" t="s">
        <v>119</v>
      </c>
      <c r="AA95" s="9" t="s">
        <v>719</v>
      </c>
      <c r="AB95" s="12">
        <v>45163</v>
      </c>
      <c r="AC95" s="8">
        <f t="shared" si="25"/>
        <v>1460</v>
      </c>
      <c r="AD95" s="8">
        <f t="shared" ca="1" si="26"/>
        <v>369</v>
      </c>
      <c r="AE95" s="8">
        <f>VLOOKUP($B95, [1]렌트_계약서번호!$B$3:$E$501, 4, FALSE)</f>
        <v>23070004</v>
      </c>
      <c r="AF95" s="9">
        <v>35540000</v>
      </c>
      <c r="AG95" s="20">
        <v>1798426</v>
      </c>
      <c r="AH95" s="9">
        <f>AF95-AG95</f>
        <v>33741574</v>
      </c>
      <c r="AI95" s="9">
        <v>254000</v>
      </c>
      <c r="AJ95" s="9">
        <v>2000</v>
      </c>
      <c r="AK95" s="22" t="s">
        <v>119</v>
      </c>
      <c r="AL95" s="22" t="s">
        <v>119</v>
      </c>
      <c r="AM95" s="22" t="s">
        <v>119</v>
      </c>
      <c r="AN95" s="22" t="s">
        <v>119</v>
      </c>
      <c r="AO95" s="22" t="s">
        <v>119</v>
      </c>
      <c r="AP95" s="22" t="s">
        <v>119</v>
      </c>
      <c r="AQ95" s="20">
        <f>140000*1.1</f>
        <v>154000</v>
      </c>
      <c r="AR95" s="22" t="s">
        <v>1003</v>
      </c>
      <c r="AS95" s="20">
        <f>180000*1.1</f>
        <v>198000.00000000003</v>
      </c>
      <c r="AT95" s="22" t="s">
        <v>1004</v>
      </c>
      <c r="AU95" s="22" t="s">
        <v>119</v>
      </c>
      <c r="AV95" s="22" t="s">
        <v>119</v>
      </c>
      <c r="AW95" s="22" t="s">
        <v>158</v>
      </c>
      <c r="AX95" s="17" t="s">
        <v>119</v>
      </c>
      <c r="AY95" s="22" t="s">
        <v>119</v>
      </c>
      <c r="AZ95" s="22" t="s">
        <v>119</v>
      </c>
      <c r="BA95" s="22" t="s">
        <v>119</v>
      </c>
      <c r="BB95" s="22" t="s">
        <v>119</v>
      </c>
      <c r="BC95" s="22"/>
      <c r="BD95" s="9" t="s">
        <v>125</v>
      </c>
      <c r="BE95" s="9" t="s">
        <v>126</v>
      </c>
      <c r="BF95" s="9" t="s">
        <v>255</v>
      </c>
      <c r="BG95" s="9" t="s">
        <v>128</v>
      </c>
      <c r="BH95" s="9" t="s">
        <v>129</v>
      </c>
      <c r="BI95" s="9" t="s">
        <v>130</v>
      </c>
      <c r="BJ95" s="8" t="s">
        <v>256</v>
      </c>
      <c r="BK95" s="9" t="s">
        <v>132</v>
      </c>
      <c r="BL95" s="9" t="s">
        <v>133</v>
      </c>
      <c r="BM95" s="9" t="s">
        <v>133</v>
      </c>
      <c r="BN95" s="9" t="s">
        <v>133</v>
      </c>
      <c r="BO95" s="9" t="s">
        <v>817</v>
      </c>
      <c r="BP95" s="22" t="s">
        <v>1005</v>
      </c>
      <c r="BQ95" s="22"/>
      <c r="BR95" s="9">
        <f t="shared" si="28"/>
        <v>28764</v>
      </c>
      <c r="BS95" s="8" t="s">
        <v>136</v>
      </c>
      <c r="BT95" s="22" t="s">
        <v>119</v>
      </c>
      <c r="BU95" s="22" t="s">
        <v>119</v>
      </c>
      <c r="BV95" s="22" t="s">
        <v>119</v>
      </c>
      <c r="BW95" s="22" t="s">
        <v>119</v>
      </c>
      <c r="BX95" s="22" t="s">
        <v>119</v>
      </c>
      <c r="BY95" s="22" t="s">
        <v>119</v>
      </c>
      <c r="BZ95" s="22" t="s">
        <v>119</v>
      </c>
      <c r="CA95" s="22"/>
      <c r="CB95" s="28" t="s">
        <v>385</v>
      </c>
      <c r="CC95" s="28" t="s">
        <v>385</v>
      </c>
      <c r="CD95" s="20">
        <v>689000</v>
      </c>
      <c r="CE95" s="9">
        <v>48</v>
      </c>
      <c r="CF95" s="9">
        <f t="shared" si="30"/>
        <v>33072000</v>
      </c>
      <c r="CG95" s="20">
        <v>10737000</v>
      </c>
      <c r="CH95" s="9">
        <v>0</v>
      </c>
      <c r="CI95" s="9">
        <v>17179200</v>
      </c>
      <c r="CJ95" s="69">
        <v>0</v>
      </c>
      <c r="CK95" s="69">
        <v>0.06</v>
      </c>
      <c r="CL95" s="31" t="s">
        <v>722</v>
      </c>
      <c r="CM95" s="31" t="s">
        <v>722</v>
      </c>
      <c r="CN95" s="22" t="s">
        <v>119</v>
      </c>
      <c r="CO95" s="27">
        <v>0.03</v>
      </c>
      <c r="CP95" s="22"/>
      <c r="CQ95" s="22" t="s">
        <v>879</v>
      </c>
      <c r="CR95" s="20">
        <v>53300</v>
      </c>
      <c r="CS95" s="32" t="s">
        <v>943</v>
      </c>
      <c r="CT95" s="32">
        <f>40000*1.1</f>
        <v>44000</v>
      </c>
      <c r="CU95" s="22" t="s">
        <v>119</v>
      </c>
      <c r="CV95" s="22" t="s">
        <v>119</v>
      </c>
      <c r="CW95" s="22" t="s">
        <v>119</v>
      </c>
      <c r="CX95" s="22" t="s">
        <v>119</v>
      </c>
      <c r="CY95" s="22" t="s">
        <v>119</v>
      </c>
      <c r="CZ95" s="22" t="s">
        <v>119</v>
      </c>
      <c r="DA95" s="22" t="s">
        <v>119</v>
      </c>
      <c r="DB95" s="32" t="str">
        <f>IF(DC95="정수원 실장","기아", IF(DC95="박현식 부장", "현대", IF(DC95="김성진 팀장", "한성", IF(DC95="전석영 부장", "한성", IF(DC95= "박봉호 부장", "모토원",IF(DC95="정원철 부장", "한성"))))))</f>
        <v>기아</v>
      </c>
      <c r="DC95" s="32" t="s">
        <v>260</v>
      </c>
      <c r="DD95" s="32" t="str">
        <f>IF(DC95="정수원 실장","렌트베네핏", IF(DC95="박현식 부장", "렌트베네핏", IF(DC95="김성진 팀장", "청담", IF(DC95="전석영 부장", "방배", IF(DC95= "박봉호 부장", "일산",IF(DC140="정원철 부장", "청담"))))))</f>
        <v>렌트베네핏</v>
      </c>
      <c r="DE95" s="22"/>
      <c r="DF95" s="22" t="s">
        <v>802</v>
      </c>
      <c r="DG95" s="22" t="s">
        <v>1006</v>
      </c>
      <c r="DH95" s="22" t="s">
        <v>1007</v>
      </c>
      <c r="DI95" s="22" t="s">
        <v>1008</v>
      </c>
      <c r="DJ95" s="22">
        <v>0.35</v>
      </c>
      <c r="DK95" s="51">
        <v>0.2</v>
      </c>
      <c r="DL95" s="22"/>
      <c r="DM95" s="20">
        <v>443035</v>
      </c>
      <c r="DN95" s="22"/>
      <c r="DO95" s="22"/>
      <c r="DP95" s="22"/>
    </row>
    <row r="96" spans="1:120">
      <c r="A96" s="8">
        <v>93</v>
      </c>
      <c r="B96" s="8" t="s">
        <v>1009</v>
      </c>
      <c r="C96" s="34" t="s">
        <v>244</v>
      </c>
      <c r="D96" s="8" t="s">
        <v>1010</v>
      </c>
      <c r="E96" s="8" t="s">
        <v>1011</v>
      </c>
      <c r="F96" s="22" t="s">
        <v>1012</v>
      </c>
      <c r="G96" s="22" t="s">
        <v>152</v>
      </c>
      <c r="H96" s="20" t="s">
        <v>1013</v>
      </c>
      <c r="I96" s="13">
        <v>49030000</v>
      </c>
      <c r="J96" s="8">
        <v>2023</v>
      </c>
      <c r="K96" s="22" t="s">
        <v>1014</v>
      </c>
      <c r="L96" s="22" t="s">
        <v>116</v>
      </c>
      <c r="M96" s="22" t="s">
        <v>1015</v>
      </c>
      <c r="N96" s="8" t="s">
        <v>1016</v>
      </c>
      <c r="O96" s="8" t="s">
        <v>119</v>
      </c>
      <c r="P96" s="11">
        <v>1598</v>
      </c>
      <c r="Q96" s="12">
        <v>45156</v>
      </c>
      <c r="R96" s="12">
        <v>45149</v>
      </c>
      <c r="S96" s="12">
        <v>45156</v>
      </c>
      <c r="T96" s="14" t="s">
        <v>120</v>
      </c>
      <c r="U96" s="12">
        <f t="shared" si="19"/>
        <v>46981</v>
      </c>
      <c r="V96" s="16">
        <f t="shared" ca="1" si="22"/>
        <v>24</v>
      </c>
      <c r="W96" s="16">
        <v>50000</v>
      </c>
      <c r="X96" s="8" t="s">
        <v>1011</v>
      </c>
      <c r="Y96" s="22" t="s">
        <v>1012</v>
      </c>
      <c r="Z96" s="22" t="s">
        <v>119</v>
      </c>
      <c r="AA96" s="12" t="s">
        <v>119</v>
      </c>
      <c r="AB96" s="12">
        <v>45163</v>
      </c>
      <c r="AC96" s="8">
        <f t="shared" si="25"/>
        <v>1825</v>
      </c>
      <c r="AD96" s="8">
        <f t="shared" ca="1" si="26"/>
        <v>755</v>
      </c>
      <c r="AE96" s="8">
        <f>VLOOKUP($B96, [1]렌트_계약서번호!$B$3:$E$501, 4, FALSE)</f>
        <v>23070005</v>
      </c>
      <c r="AF96" s="20">
        <v>49030000</v>
      </c>
      <c r="AG96" s="9">
        <v>0</v>
      </c>
      <c r="AH96" s="9">
        <f>AF96-AG96</f>
        <v>49030000</v>
      </c>
      <c r="AI96" s="9" t="s">
        <v>119</v>
      </c>
      <c r="AJ96" s="9">
        <v>2000</v>
      </c>
      <c r="AK96" s="22" t="s">
        <v>119</v>
      </c>
      <c r="AL96" s="22" t="s">
        <v>119</v>
      </c>
      <c r="AM96" s="22" t="s">
        <v>119</v>
      </c>
      <c r="AN96" s="22" t="s">
        <v>119</v>
      </c>
      <c r="AO96" s="22" t="s">
        <v>119</v>
      </c>
      <c r="AP96" s="20" t="s">
        <v>119</v>
      </c>
      <c r="AQ96" s="22" t="s">
        <v>119</v>
      </c>
      <c r="AR96" s="9" t="s">
        <v>145</v>
      </c>
      <c r="AS96" s="20">
        <v>300000</v>
      </c>
      <c r="AT96" s="22" t="s">
        <v>1017</v>
      </c>
      <c r="AU96" s="22" t="s">
        <v>119</v>
      </c>
      <c r="AV96" s="22" t="s">
        <v>119</v>
      </c>
      <c r="AW96" s="22" t="s">
        <v>158</v>
      </c>
      <c r="AX96" s="17" t="s">
        <v>119</v>
      </c>
      <c r="AY96" s="22" t="s">
        <v>119</v>
      </c>
      <c r="AZ96" s="22" t="s">
        <v>119</v>
      </c>
      <c r="BA96" s="22" t="s">
        <v>119</v>
      </c>
      <c r="BB96" s="22" t="s">
        <v>119</v>
      </c>
      <c r="BC96" s="9"/>
      <c r="BD96" s="9" t="s">
        <v>125</v>
      </c>
      <c r="BE96" s="9" t="s">
        <v>126</v>
      </c>
      <c r="BF96" s="9" t="s">
        <v>255</v>
      </c>
      <c r="BG96" s="9" t="s">
        <v>128</v>
      </c>
      <c r="BH96" s="9" t="s">
        <v>129</v>
      </c>
      <c r="BI96" s="9" t="s">
        <v>130</v>
      </c>
      <c r="BJ96" s="8" t="s">
        <v>256</v>
      </c>
      <c r="BK96" s="9" t="s">
        <v>132</v>
      </c>
      <c r="BL96" s="9" t="s">
        <v>133</v>
      </c>
      <c r="BM96" s="9" t="s">
        <v>257</v>
      </c>
      <c r="BN96" s="9" t="s">
        <v>134</v>
      </c>
      <c r="BO96" s="9" t="s">
        <v>134</v>
      </c>
      <c r="BP96" s="22" t="s">
        <v>119</v>
      </c>
      <c r="BQ96" s="22"/>
      <c r="BR96" s="9">
        <f t="shared" si="28"/>
        <v>28764</v>
      </c>
      <c r="BS96" s="8" t="s">
        <v>136</v>
      </c>
      <c r="BT96" s="22" t="s">
        <v>119</v>
      </c>
      <c r="BU96" s="22" t="s">
        <v>119</v>
      </c>
      <c r="BV96" s="22" t="s">
        <v>119</v>
      </c>
      <c r="BW96" s="22" t="s">
        <v>119</v>
      </c>
      <c r="BX96" s="22" t="s">
        <v>119</v>
      </c>
      <c r="BY96" s="22" t="s">
        <v>119</v>
      </c>
      <c r="BZ96" s="22" t="s">
        <v>119</v>
      </c>
      <c r="CA96" s="28"/>
      <c r="CB96" s="28" t="s">
        <v>385</v>
      </c>
      <c r="CC96" s="28" t="s">
        <v>385</v>
      </c>
      <c r="CD96" s="20">
        <v>910000</v>
      </c>
      <c r="CE96" s="9">
        <v>60</v>
      </c>
      <c r="CF96" s="9">
        <f t="shared" si="30"/>
        <v>54600000</v>
      </c>
      <c r="CG96" s="9">
        <v>9806000</v>
      </c>
      <c r="CH96" s="9">
        <v>0</v>
      </c>
      <c r="CI96" s="9">
        <v>18631400</v>
      </c>
      <c r="CJ96" s="69">
        <v>8.09E-2</v>
      </c>
      <c r="CK96" s="70">
        <v>0.06</v>
      </c>
      <c r="CL96" s="31" t="s">
        <v>960</v>
      </c>
      <c r="CM96" s="22" t="s">
        <v>119</v>
      </c>
      <c r="CN96" s="20" t="s">
        <v>1018</v>
      </c>
      <c r="CO96" s="27">
        <v>0.03</v>
      </c>
      <c r="CP96" s="22"/>
      <c r="CQ96" s="22" t="s">
        <v>879</v>
      </c>
      <c r="CR96" s="20">
        <v>53300</v>
      </c>
      <c r="CS96" s="32" t="s">
        <v>943</v>
      </c>
      <c r="CT96" s="32">
        <f>40000*1.1</f>
        <v>44000</v>
      </c>
      <c r="CU96" s="22" t="s">
        <v>119</v>
      </c>
      <c r="CV96" s="22" t="s">
        <v>119</v>
      </c>
      <c r="CW96" s="22" t="s">
        <v>119</v>
      </c>
      <c r="CX96" s="22" t="s">
        <v>119</v>
      </c>
      <c r="CY96" s="22" t="s">
        <v>119</v>
      </c>
      <c r="CZ96" s="22" t="s">
        <v>119</v>
      </c>
      <c r="DA96" s="32" t="s">
        <v>119</v>
      </c>
      <c r="DB96" s="32" t="str">
        <f>IF(DC96="정수원 실장","기아", IF(DC96="박현식 부장", "현대", IF(DC96="김성진 팀장", "한성", IF(DC96="전석영 부장", "한성", IF(DC96= "박봉호 부장", "모토원",IF(DC96="정원철 부장", "한성"))))))</f>
        <v>기아</v>
      </c>
      <c r="DC96" s="32" t="s">
        <v>260</v>
      </c>
      <c r="DD96" s="32" t="str">
        <f>IF(DC96="정수원 실장","렌트베네핏", IF(DC96="박현식 부장", "렌트베네핏", IF(DC96="김성진 팀장", "청담", IF(DC96="전석영 부장", "방배", IF(DC96= "박봉호 부장", "일산",IF(DC141="정원철 부장", "청담"))))))</f>
        <v>렌트베네핏</v>
      </c>
      <c r="DE96" s="22"/>
      <c r="DF96" s="22" t="s">
        <v>802</v>
      </c>
      <c r="DG96" s="32" t="s">
        <v>1019</v>
      </c>
      <c r="DH96" s="32" t="s">
        <v>1020</v>
      </c>
      <c r="DI96" s="22" t="s">
        <v>1021</v>
      </c>
      <c r="DJ96" s="22">
        <v>0.35</v>
      </c>
      <c r="DK96" s="51">
        <v>0.2</v>
      </c>
      <c r="DL96" s="32"/>
      <c r="DM96" s="20">
        <v>1225825</v>
      </c>
      <c r="DN96" s="32"/>
      <c r="DO96" s="22"/>
      <c r="DP96" s="22"/>
    </row>
    <row r="97" spans="1:120">
      <c r="A97" s="8">
        <v>94</v>
      </c>
      <c r="B97" s="8" t="s">
        <v>1022</v>
      </c>
      <c r="C97" s="34" t="s">
        <v>244</v>
      </c>
      <c r="D97" s="8" t="s">
        <v>1023</v>
      </c>
      <c r="E97" s="8" t="s">
        <v>1024</v>
      </c>
      <c r="F97" s="8" t="s">
        <v>1025</v>
      </c>
      <c r="G97" s="8" t="s">
        <v>952</v>
      </c>
      <c r="H97" s="8" t="s">
        <v>1026</v>
      </c>
      <c r="I97" s="9">
        <v>42280000</v>
      </c>
      <c r="J97" s="8">
        <v>2022</v>
      </c>
      <c r="K97" s="10" t="s">
        <v>1027</v>
      </c>
      <c r="L97" s="10" t="s">
        <v>116</v>
      </c>
      <c r="M97" s="8" t="s">
        <v>1028</v>
      </c>
      <c r="N97" s="8" t="s">
        <v>1029</v>
      </c>
      <c r="O97" s="8" t="s">
        <v>119</v>
      </c>
      <c r="P97" s="11">
        <v>2359</v>
      </c>
      <c r="Q97" s="12">
        <v>44748</v>
      </c>
      <c r="R97" s="12">
        <v>45209</v>
      </c>
      <c r="S97" s="12">
        <v>45209</v>
      </c>
      <c r="T97" s="14" t="s">
        <v>397</v>
      </c>
      <c r="U97" s="12">
        <f t="shared" si="19"/>
        <v>46304</v>
      </c>
      <c r="V97" s="8">
        <f t="shared" ca="1" si="22"/>
        <v>2</v>
      </c>
      <c r="W97" s="9">
        <v>20000</v>
      </c>
      <c r="X97" s="8" t="s">
        <v>1024</v>
      </c>
      <c r="Y97" s="8" t="s">
        <v>1025</v>
      </c>
      <c r="Z97" s="9"/>
      <c r="AA97" s="9" t="s">
        <v>996</v>
      </c>
      <c r="AB97" s="12">
        <v>45224</v>
      </c>
      <c r="AC97" s="8">
        <f t="shared" si="25"/>
        <v>1095</v>
      </c>
      <c r="AD97" s="8">
        <f t="shared" ca="1" si="26"/>
        <v>78</v>
      </c>
      <c r="AE97" s="8">
        <f>VLOOKUP($B97, [1]렌트_계약서번호!$B$3:$E$501, 4, FALSE)</f>
        <v>23120008</v>
      </c>
      <c r="AF97" s="9">
        <v>39738531</v>
      </c>
      <c r="AG97" s="9">
        <v>2580469</v>
      </c>
      <c r="AH97" s="9">
        <f>AF97-AG97</f>
        <v>37158062</v>
      </c>
      <c r="AI97" s="9">
        <v>139000</v>
      </c>
      <c r="AJ97" s="9">
        <v>2000</v>
      </c>
      <c r="AK97" s="9">
        <v>1048670</v>
      </c>
      <c r="AL97" s="9">
        <v>0</v>
      </c>
      <c r="AM97" s="9">
        <v>2000</v>
      </c>
      <c r="AN97" s="9">
        <v>45000</v>
      </c>
      <c r="AO97" s="9">
        <v>50000</v>
      </c>
      <c r="AP97" s="9">
        <v>1173000</v>
      </c>
      <c r="AQ97" s="9">
        <v>154000</v>
      </c>
      <c r="AR97" s="9" t="s">
        <v>859</v>
      </c>
      <c r="AS97" s="9">
        <v>198000</v>
      </c>
      <c r="AT97" s="9" t="s">
        <v>701</v>
      </c>
      <c r="AU97" s="18">
        <v>1145670</v>
      </c>
      <c r="AV97" s="13">
        <f>SUM(AI97,AJ97,AM97,AN97,AO97, AQ97,AS97+AK97+AL97)</f>
        <v>1638670</v>
      </c>
      <c r="AW97" s="13" t="s">
        <v>124</v>
      </c>
      <c r="AX97" s="17">
        <v>44748</v>
      </c>
      <c r="AY97" s="18">
        <v>1182390</v>
      </c>
      <c r="AZ97" s="9"/>
      <c r="BA97" s="9"/>
      <c r="BB97" s="9"/>
      <c r="BC97" s="9"/>
      <c r="BD97" s="9" t="s">
        <v>125</v>
      </c>
      <c r="BE97" s="9" t="s">
        <v>126</v>
      </c>
      <c r="BF97" s="9" t="s">
        <v>255</v>
      </c>
      <c r="BG97" s="9" t="s">
        <v>128</v>
      </c>
      <c r="BH97" s="9" t="s">
        <v>129</v>
      </c>
      <c r="BI97" s="9" t="s">
        <v>130</v>
      </c>
      <c r="BJ97" s="8" t="s">
        <v>131</v>
      </c>
      <c r="BK97" s="9" t="s">
        <v>132</v>
      </c>
      <c r="BL97" s="9" t="s">
        <v>133</v>
      </c>
      <c r="BM97" s="9" t="s">
        <v>133</v>
      </c>
      <c r="BN97" s="9" t="s">
        <v>134</v>
      </c>
      <c r="BO97" s="9" t="s">
        <v>134</v>
      </c>
      <c r="BP97" s="9"/>
      <c r="BQ97" s="8"/>
      <c r="BR97" s="9">
        <f t="shared" si="28"/>
        <v>44821</v>
      </c>
      <c r="BS97" s="8" t="s">
        <v>136</v>
      </c>
      <c r="BT97" s="19"/>
      <c r="BU97" s="9"/>
      <c r="BV97" s="26"/>
      <c r="BW97" s="9"/>
      <c r="BX97" s="9"/>
      <c r="BY97" s="9"/>
      <c r="BZ97" s="27">
        <v>0</v>
      </c>
      <c r="CA97" s="1"/>
      <c r="CB97" s="28" t="s">
        <v>385</v>
      </c>
      <c r="CC97" s="28" t="s">
        <v>385</v>
      </c>
      <c r="CD97" s="9">
        <v>0</v>
      </c>
      <c r="CE97" s="9">
        <v>24</v>
      </c>
      <c r="CF97" s="9">
        <f t="shared" si="30"/>
        <v>0</v>
      </c>
      <c r="CG97" s="9">
        <v>0</v>
      </c>
      <c r="CH97" s="9">
        <v>23063000</v>
      </c>
      <c r="CI97" s="9" t="s">
        <v>799</v>
      </c>
      <c r="CJ97" s="29">
        <v>0</v>
      </c>
      <c r="CK97" s="30">
        <v>0.06</v>
      </c>
      <c r="CL97" s="31" t="s">
        <v>1030</v>
      </c>
      <c r="CM97" s="9"/>
      <c r="CN97" s="9"/>
      <c r="CO97" s="27">
        <v>0.03</v>
      </c>
      <c r="CP97" s="22"/>
      <c r="CQ97" s="32">
        <v>0</v>
      </c>
      <c r="CR97" s="32">
        <v>0</v>
      </c>
      <c r="CS97" s="32">
        <v>0</v>
      </c>
      <c r="CT97" s="32">
        <v>0</v>
      </c>
      <c r="CU97" s="32">
        <v>0</v>
      </c>
      <c r="CV97" s="32">
        <v>0</v>
      </c>
      <c r="CW97" s="32">
        <v>0</v>
      </c>
      <c r="CX97" s="32">
        <v>0</v>
      </c>
      <c r="CY97" s="32">
        <v>0</v>
      </c>
      <c r="CZ97" s="32">
        <v>0</v>
      </c>
      <c r="DA97" s="32">
        <v>0</v>
      </c>
      <c r="DB97" s="32" t="s">
        <v>232</v>
      </c>
      <c r="DC97" s="32" t="s">
        <v>801</v>
      </c>
      <c r="DD97" s="32" t="s">
        <v>819</v>
      </c>
      <c r="DE97" s="32"/>
      <c r="DF97" s="32" t="s">
        <v>1031</v>
      </c>
      <c r="DG97" s="32" t="s">
        <v>1032</v>
      </c>
      <c r="DH97" s="32" t="s">
        <v>1033</v>
      </c>
      <c r="DI97" s="19" t="s">
        <v>137</v>
      </c>
      <c r="DJ97" s="22">
        <v>0.3</v>
      </c>
      <c r="DK97" s="51">
        <v>0.2</v>
      </c>
      <c r="DL97" s="32"/>
      <c r="DM97" s="20"/>
      <c r="DN97" s="32"/>
      <c r="DO97" s="32"/>
      <c r="DP97" s="22"/>
    </row>
    <row r="98" spans="1:120">
      <c r="A98" s="8">
        <v>95</v>
      </c>
      <c r="B98" s="8" t="s">
        <v>1034</v>
      </c>
      <c r="C98" s="34" t="s">
        <v>244</v>
      </c>
      <c r="D98" s="8" t="s">
        <v>1035</v>
      </c>
      <c r="E98" s="8" t="s">
        <v>711</v>
      </c>
      <c r="F98" s="8" t="s">
        <v>712</v>
      </c>
      <c r="G98" s="22" t="s">
        <v>1036</v>
      </c>
      <c r="H98" s="20" t="s">
        <v>1037</v>
      </c>
      <c r="I98" s="13">
        <f>50050000+940000</f>
        <v>50990000</v>
      </c>
      <c r="J98" s="8">
        <v>2023</v>
      </c>
      <c r="K98" s="22" t="s">
        <v>1038</v>
      </c>
      <c r="L98" s="22" t="s">
        <v>1039</v>
      </c>
      <c r="M98" s="22" t="s">
        <v>1040</v>
      </c>
      <c r="N98" s="8" t="s">
        <v>1041</v>
      </c>
      <c r="O98" s="8" t="s">
        <v>119</v>
      </c>
      <c r="P98" s="11">
        <v>180</v>
      </c>
      <c r="Q98" s="12">
        <v>45219</v>
      </c>
      <c r="R98" s="12">
        <v>45187</v>
      </c>
      <c r="S98" s="12">
        <v>45222</v>
      </c>
      <c r="T98" s="14" t="s">
        <v>556</v>
      </c>
      <c r="U98" s="12">
        <f t="shared" si="19"/>
        <v>46682</v>
      </c>
      <c r="V98" s="16">
        <f t="shared" ca="1" si="22"/>
        <v>14</v>
      </c>
      <c r="W98" s="9">
        <v>20000</v>
      </c>
      <c r="X98" s="22" t="s">
        <v>1042</v>
      </c>
      <c r="Y98" s="22" t="s">
        <v>1043</v>
      </c>
      <c r="Z98" s="22" t="s">
        <v>119</v>
      </c>
      <c r="AA98" s="9" t="s">
        <v>719</v>
      </c>
      <c r="AB98" s="12">
        <v>45255</v>
      </c>
      <c r="AC98" s="8">
        <f t="shared" si="25"/>
        <v>1460</v>
      </c>
      <c r="AD98" s="8">
        <f t="shared" ca="1" si="26"/>
        <v>456</v>
      </c>
      <c r="AE98" s="8">
        <f>VLOOKUP($B98, [1]렌트_계약서번호!$B$3:$E$501, 4, FALSE)</f>
        <v>23100006</v>
      </c>
      <c r="AF98" s="20">
        <f>50050000+940000</f>
        <v>50990000</v>
      </c>
      <c r="AG98" s="9">
        <f>2580240+9000000</f>
        <v>11580240</v>
      </c>
      <c r="AH98" s="9">
        <f t="shared" ref="AH98:AH109" si="31">AF98-AG98+AI98</f>
        <v>39691760</v>
      </c>
      <c r="AI98" s="9">
        <v>282000</v>
      </c>
      <c r="AJ98" s="9">
        <v>2000</v>
      </c>
      <c r="AK98" s="20">
        <v>326970</v>
      </c>
      <c r="AL98" s="20">
        <v>0</v>
      </c>
      <c r="AM98" s="20">
        <v>2000</v>
      </c>
      <c r="AN98" s="20">
        <v>50000</v>
      </c>
      <c r="AO98" s="20">
        <v>33000</v>
      </c>
      <c r="AP98" s="20" t="s">
        <v>119</v>
      </c>
      <c r="AQ98" s="20" t="s">
        <v>119</v>
      </c>
      <c r="AR98" s="20" t="s">
        <v>145</v>
      </c>
      <c r="AS98" s="20">
        <v>200000</v>
      </c>
      <c r="AT98" s="20" t="s">
        <v>1044</v>
      </c>
      <c r="AU98" s="20" t="s">
        <v>119</v>
      </c>
      <c r="AV98" s="20" t="s">
        <v>119</v>
      </c>
      <c r="AW98" s="20" t="s">
        <v>158</v>
      </c>
      <c r="AX98" s="17" t="s">
        <v>119</v>
      </c>
      <c r="AY98" s="20" t="s">
        <v>119</v>
      </c>
      <c r="AZ98" s="20" t="s">
        <v>119</v>
      </c>
      <c r="BA98" s="20" t="s">
        <v>119</v>
      </c>
      <c r="BB98" s="20" t="s">
        <v>119</v>
      </c>
      <c r="BC98" s="9"/>
      <c r="BD98" s="9" t="s">
        <v>125</v>
      </c>
      <c r="BE98" s="9" t="s">
        <v>126</v>
      </c>
      <c r="BF98" s="9" t="s">
        <v>255</v>
      </c>
      <c r="BG98" s="9" t="s">
        <v>128</v>
      </c>
      <c r="BH98" s="9" t="s">
        <v>129</v>
      </c>
      <c r="BI98" s="9" t="s">
        <v>130</v>
      </c>
      <c r="BJ98" s="8" t="s">
        <v>256</v>
      </c>
      <c r="BK98" s="9" t="s">
        <v>132</v>
      </c>
      <c r="BL98" s="9" t="s">
        <v>133</v>
      </c>
      <c r="BM98" s="9" t="s">
        <v>133</v>
      </c>
      <c r="BN98" s="9" t="s">
        <v>133</v>
      </c>
      <c r="BO98" s="9" t="s">
        <v>817</v>
      </c>
      <c r="BP98" s="20" t="s">
        <v>119</v>
      </c>
      <c r="BQ98" s="22"/>
      <c r="BR98" s="9">
        <f t="shared" si="28"/>
        <v>3240</v>
      </c>
      <c r="BS98" s="8" t="s">
        <v>136</v>
      </c>
      <c r="BT98" s="22" t="s">
        <v>119</v>
      </c>
      <c r="BU98" s="22" t="s">
        <v>119</v>
      </c>
      <c r="BV98" s="22" t="s">
        <v>119</v>
      </c>
      <c r="BW98" s="22" t="s">
        <v>119</v>
      </c>
      <c r="BX98" s="22" t="s">
        <v>119</v>
      </c>
      <c r="BY98" s="22" t="s">
        <v>119</v>
      </c>
      <c r="BZ98" s="22" t="s">
        <v>119</v>
      </c>
      <c r="CA98" s="28"/>
      <c r="CB98" s="28" t="s">
        <v>385</v>
      </c>
      <c r="CC98" s="28" t="s">
        <v>385</v>
      </c>
      <c r="CD98" s="20">
        <v>670000</v>
      </c>
      <c r="CE98" s="9">
        <v>48</v>
      </c>
      <c r="CF98" s="9">
        <f t="shared" si="30"/>
        <v>32160000</v>
      </c>
      <c r="CG98" s="9">
        <v>15297000</v>
      </c>
      <c r="CH98" s="9">
        <v>0</v>
      </c>
      <c r="CI98" s="20">
        <v>24985100</v>
      </c>
      <c r="CJ98" s="69">
        <v>2.8199999999999999E-2</v>
      </c>
      <c r="CK98" s="30">
        <v>0.06</v>
      </c>
      <c r="CL98" s="31" t="s">
        <v>1045</v>
      </c>
      <c r="CM98" s="22" t="s">
        <v>119</v>
      </c>
      <c r="CN98" s="22" t="s">
        <v>119</v>
      </c>
      <c r="CO98" s="27">
        <v>0.03</v>
      </c>
      <c r="CP98" s="22"/>
      <c r="CQ98" s="22" t="s">
        <v>879</v>
      </c>
      <c r="CR98" s="20">
        <v>53300</v>
      </c>
      <c r="CS98" s="32" t="s">
        <v>119</v>
      </c>
      <c r="CT98" s="22" t="s">
        <v>119</v>
      </c>
      <c r="CU98" s="22" t="s">
        <v>119</v>
      </c>
      <c r="CV98" s="22" t="s">
        <v>119</v>
      </c>
      <c r="CW98" s="22" t="s">
        <v>119</v>
      </c>
      <c r="CX98" s="22" t="s">
        <v>119</v>
      </c>
      <c r="CY98" s="22" t="s">
        <v>119</v>
      </c>
      <c r="CZ98" s="22" t="s">
        <v>119</v>
      </c>
      <c r="DA98" s="32" t="s">
        <v>119</v>
      </c>
      <c r="DB98" s="32" t="s">
        <v>232</v>
      </c>
      <c r="DC98" s="32" t="s">
        <v>801</v>
      </c>
      <c r="DD98" s="32" t="s">
        <v>819</v>
      </c>
      <c r="DE98" s="22"/>
      <c r="DF98" s="22" t="s">
        <v>802</v>
      </c>
      <c r="DG98" s="22" t="s">
        <v>1006</v>
      </c>
      <c r="DH98" s="22" t="s">
        <v>1007</v>
      </c>
      <c r="DI98" s="22" t="s">
        <v>1008</v>
      </c>
      <c r="DJ98" s="71">
        <v>0.35</v>
      </c>
      <c r="DK98" s="51">
        <v>0.2</v>
      </c>
      <c r="DL98" s="22"/>
      <c r="DM98" s="20"/>
      <c r="DN98" s="22"/>
      <c r="DO98" s="22"/>
      <c r="DP98" s="71"/>
    </row>
    <row r="99" spans="1:120">
      <c r="A99" s="8">
        <v>96</v>
      </c>
      <c r="B99" s="8" t="s">
        <v>1046</v>
      </c>
      <c r="C99" s="34" t="s">
        <v>244</v>
      </c>
      <c r="D99" s="8" t="s">
        <v>1047</v>
      </c>
      <c r="E99" s="8" t="s">
        <v>1048</v>
      </c>
      <c r="F99" s="8" t="s">
        <v>1049</v>
      </c>
      <c r="G99" s="22" t="s">
        <v>1050</v>
      </c>
      <c r="H99" s="20"/>
      <c r="I99" s="13">
        <v>73900000</v>
      </c>
      <c r="J99" s="8">
        <v>2023</v>
      </c>
      <c r="K99" s="22" t="s">
        <v>1051</v>
      </c>
      <c r="L99" s="10" t="s">
        <v>116</v>
      </c>
      <c r="M99" s="22" t="s">
        <v>1052</v>
      </c>
      <c r="N99" s="8" t="s">
        <v>1053</v>
      </c>
      <c r="O99" s="8" t="s">
        <v>119</v>
      </c>
      <c r="P99" s="11">
        <v>1999</v>
      </c>
      <c r="Q99" s="12">
        <v>45246</v>
      </c>
      <c r="R99" s="12">
        <v>45239</v>
      </c>
      <c r="S99" s="12">
        <v>45247</v>
      </c>
      <c r="T99" s="14" t="s">
        <v>120</v>
      </c>
      <c r="U99" s="12">
        <f t="shared" si="19"/>
        <v>47072</v>
      </c>
      <c r="V99" s="16">
        <f t="shared" ca="1" si="22"/>
        <v>27</v>
      </c>
      <c r="W99" s="9">
        <v>20000</v>
      </c>
      <c r="X99" s="8" t="s">
        <v>1054</v>
      </c>
      <c r="Y99" s="8" t="s">
        <v>1055</v>
      </c>
      <c r="Z99" s="22"/>
      <c r="AA99" s="12" t="s">
        <v>1056</v>
      </c>
      <c r="AB99" s="12">
        <v>45255</v>
      </c>
      <c r="AC99" s="8">
        <f t="shared" si="25"/>
        <v>1825</v>
      </c>
      <c r="AD99" s="8">
        <f t="shared" ca="1" si="26"/>
        <v>846</v>
      </c>
      <c r="AE99" s="8">
        <v>22090033</v>
      </c>
      <c r="AF99" s="20">
        <v>73900000</v>
      </c>
      <c r="AG99" s="9">
        <v>7895000</v>
      </c>
      <c r="AH99" s="9">
        <f t="shared" si="31"/>
        <v>66005000</v>
      </c>
      <c r="AI99" s="9">
        <v>0</v>
      </c>
      <c r="AJ99" s="9"/>
      <c r="AK99" s="20"/>
      <c r="AL99" s="20"/>
      <c r="AM99" s="20"/>
      <c r="AN99" s="20"/>
      <c r="AO99" s="20"/>
      <c r="AP99" s="20"/>
      <c r="AQ99" s="20" t="s">
        <v>119</v>
      </c>
      <c r="AR99" s="9" t="s">
        <v>205</v>
      </c>
      <c r="AS99" s="20"/>
      <c r="AT99" s="20" t="s">
        <v>1057</v>
      </c>
      <c r="AU99" s="20"/>
      <c r="AV99" s="20"/>
      <c r="AW99" s="20" t="s">
        <v>158</v>
      </c>
      <c r="AX99" s="17"/>
      <c r="AY99" s="20"/>
      <c r="AZ99" s="20"/>
      <c r="BA99" s="20"/>
      <c r="BB99" s="20"/>
      <c r="BC99" s="9"/>
      <c r="BD99" s="9" t="s">
        <v>125</v>
      </c>
      <c r="BE99" s="9" t="s">
        <v>126</v>
      </c>
      <c r="BF99" s="9" t="s">
        <v>187</v>
      </c>
      <c r="BG99" s="9" t="s">
        <v>188</v>
      </c>
      <c r="BH99" s="9" t="s">
        <v>129</v>
      </c>
      <c r="BI99" s="9" t="s">
        <v>189</v>
      </c>
      <c r="BJ99" s="8" t="s">
        <v>256</v>
      </c>
      <c r="BK99" s="9" t="s">
        <v>132</v>
      </c>
      <c r="BL99" s="9" t="s">
        <v>133</v>
      </c>
      <c r="BM99" s="9" t="s">
        <v>257</v>
      </c>
      <c r="BN99" s="9" t="s">
        <v>134</v>
      </c>
      <c r="BO99" s="9" t="s">
        <v>134</v>
      </c>
      <c r="BP99" s="20"/>
      <c r="BQ99" s="22"/>
      <c r="BR99" s="9">
        <f t="shared" si="28"/>
        <v>37981</v>
      </c>
      <c r="BS99" s="8" t="s">
        <v>136</v>
      </c>
      <c r="BT99" s="22"/>
      <c r="BU99" s="22"/>
      <c r="BV99" s="22"/>
      <c r="BW99" s="22"/>
      <c r="BX99" s="22"/>
      <c r="BY99" s="22"/>
      <c r="BZ99" s="22"/>
      <c r="CA99" s="28"/>
      <c r="CB99" s="28" t="s">
        <v>385</v>
      </c>
      <c r="CC99" s="28" t="s">
        <v>385</v>
      </c>
      <c r="CD99" s="20">
        <v>1367000</v>
      </c>
      <c r="CE99" s="9">
        <v>60</v>
      </c>
      <c r="CF99" s="9">
        <f t="shared" si="30"/>
        <v>82020000</v>
      </c>
      <c r="CG99" s="9">
        <v>11085000</v>
      </c>
      <c r="CH99" s="9">
        <v>0</v>
      </c>
      <c r="CI99" s="20">
        <v>22170000</v>
      </c>
      <c r="CJ99" s="69">
        <v>8.4199999999999997E-2</v>
      </c>
      <c r="CK99" s="30">
        <v>0.06</v>
      </c>
      <c r="CL99" s="31" t="s">
        <v>1058</v>
      </c>
      <c r="CM99" s="22"/>
      <c r="CN99" s="22" t="s">
        <v>1059</v>
      </c>
      <c r="CO99" s="27">
        <v>0.03</v>
      </c>
      <c r="CP99" s="22"/>
      <c r="CQ99" s="22" t="s">
        <v>1060</v>
      </c>
      <c r="CR99" s="20"/>
      <c r="CS99" s="32"/>
      <c r="CT99" s="22"/>
      <c r="CU99" s="22"/>
      <c r="CV99" s="22"/>
      <c r="CW99" s="22"/>
      <c r="CX99" s="22"/>
      <c r="CY99" s="22"/>
      <c r="CZ99" s="22"/>
      <c r="DA99" s="32"/>
      <c r="DB99" s="32" t="s">
        <v>1061</v>
      </c>
      <c r="DC99" s="32" t="s">
        <v>1062</v>
      </c>
      <c r="DD99" s="32" t="s">
        <v>819</v>
      </c>
      <c r="DE99" s="32"/>
      <c r="DF99" s="32" t="s">
        <v>944</v>
      </c>
      <c r="DG99" s="22" t="s">
        <v>1063</v>
      </c>
      <c r="DH99" s="22" t="s">
        <v>1064</v>
      </c>
      <c r="DI99" s="22" t="s">
        <v>1065</v>
      </c>
      <c r="DJ99" s="71">
        <v>0.35</v>
      </c>
      <c r="DK99" s="51">
        <v>0.2</v>
      </c>
      <c r="DL99" s="22"/>
      <c r="DM99" s="20"/>
      <c r="DN99" s="22"/>
      <c r="DO99" s="22"/>
      <c r="DP99" s="71"/>
    </row>
    <row r="100" spans="1:120">
      <c r="A100" s="8">
        <v>97</v>
      </c>
      <c r="B100" s="8" t="s">
        <v>1066</v>
      </c>
      <c r="C100" s="34" t="s">
        <v>244</v>
      </c>
      <c r="D100" s="8" t="s">
        <v>710</v>
      </c>
      <c r="E100" s="8" t="s">
        <v>711</v>
      </c>
      <c r="F100" s="8" t="s">
        <v>712</v>
      </c>
      <c r="G100" s="8" t="s">
        <v>952</v>
      </c>
      <c r="H100" s="20" t="s">
        <v>1067</v>
      </c>
      <c r="I100" s="13">
        <v>44090000</v>
      </c>
      <c r="J100" s="8">
        <v>2023</v>
      </c>
      <c r="K100" s="22" t="s">
        <v>1068</v>
      </c>
      <c r="L100" s="10" t="s">
        <v>116</v>
      </c>
      <c r="M100" s="22" t="s">
        <v>1069</v>
      </c>
      <c r="N100" s="8" t="s">
        <v>1070</v>
      </c>
      <c r="O100" s="8" t="s">
        <v>119</v>
      </c>
      <c r="P100" s="11">
        <v>1598</v>
      </c>
      <c r="Q100" s="12">
        <v>45244</v>
      </c>
      <c r="R100" s="12">
        <v>45244</v>
      </c>
      <c r="S100" s="12">
        <v>45244</v>
      </c>
      <c r="T100" s="14" t="s">
        <v>556</v>
      </c>
      <c r="U100" s="12">
        <f t="shared" si="19"/>
        <v>46704</v>
      </c>
      <c r="V100" s="16">
        <f t="shared" ca="1" si="22"/>
        <v>15</v>
      </c>
      <c r="W100" s="9">
        <v>20000</v>
      </c>
      <c r="X100" s="8" t="s">
        <v>246</v>
      </c>
      <c r="Y100" s="8" t="s">
        <v>247</v>
      </c>
      <c r="Z100" s="22"/>
      <c r="AA100" s="9" t="s">
        <v>719</v>
      </c>
      <c r="AB100" s="12">
        <v>45265</v>
      </c>
      <c r="AC100" s="8">
        <f t="shared" si="25"/>
        <v>1460</v>
      </c>
      <c r="AD100" s="8">
        <f t="shared" ca="1" si="26"/>
        <v>478</v>
      </c>
      <c r="AE100" s="8">
        <f>VLOOKUP($B100, [1]렌트_계약서번호!$B$3:$E$501, 4, FALSE)</f>
        <v>23110007</v>
      </c>
      <c r="AF100" s="20">
        <v>44090000</v>
      </c>
      <c r="AG100" s="9">
        <v>2236141</v>
      </c>
      <c r="AH100" s="9">
        <f t="shared" si="31"/>
        <v>42015859</v>
      </c>
      <c r="AI100" s="9">
        <v>162000</v>
      </c>
      <c r="AJ100" s="9">
        <v>2000</v>
      </c>
      <c r="AK100" s="20">
        <v>1128030</v>
      </c>
      <c r="AL100" s="20" t="s">
        <v>119</v>
      </c>
      <c r="AM100" s="20">
        <v>2000</v>
      </c>
      <c r="AN100" s="20">
        <v>45000</v>
      </c>
      <c r="AO100" s="20">
        <v>50000</v>
      </c>
      <c r="AP100" s="20" t="s">
        <v>119</v>
      </c>
      <c r="AQ100" s="20">
        <v>143000</v>
      </c>
      <c r="AR100" s="9" t="s">
        <v>859</v>
      </c>
      <c r="AS100" s="20">
        <v>198000</v>
      </c>
      <c r="AT100" s="9" t="s">
        <v>701</v>
      </c>
      <c r="AU100" s="20"/>
      <c r="AV100" s="20"/>
      <c r="AW100" s="20" t="s">
        <v>158</v>
      </c>
      <c r="AX100" s="17"/>
      <c r="AY100" s="20"/>
      <c r="AZ100" s="20"/>
      <c r="BA100" s="20"/>
      <c r="BB100" s="20"/>
      <c r="BC100" s="9"/>
      <c r="BD100" s="9" t="s">
        <v>125</v>
      </c>
      <c r="BE100" s="9" t="s">
        <v>126</v>
      </c>
      <c r="BF100" s="9" t="s">
        <v>255</v>
      </c>
      <c r="BG100" s="9" t="s">
        <v>128</v>
      </c>
      <c r="BH100" s="9" t="s">
        <v>129</v>
      </c>
      <c r="BI100" s="9" t="s">
        <v>130</v>
      </c>
      <c r="BJ100" s="8" t="s">
        <v>256</v>
      </c>
      <c r="BK100" s="9" t="s">
        <v>132</v>
      </c>
      <c r="BL100" s="9" t="s">
        <v>133</v>
      </c>
      <c r="BM100" s="9" t="s">
        <v>133</v>
      </c>
      <c r="BN100" s="9" t="s">
        <v>133</v>
      </c>
      <c r="BO100" s="9" t="s">
        <v>817</v>
      </c>
      <c r="BP100" s="20"/>
      <c r="BQ100" s="22"/>
      <c r="BR100" s="9">
        <f t="shared" si="28"/>
        <v>28764</v>
      </c>
      <c r="BS100" s="8" t="s">
        <v>136</v>
      </c>
      <c r="BT100" s="22"/>
      <c r="BU100" s="22"/>
      <c r="BV100" s="22"/>
      <c r="BW100" s="22"/>
      <c r="BX100" s="22"/>
      <c r="BY100" s="22"/>
      <c r="BZ100" s="22"/>
      <c r="CA100" s="28"/>
      <c r="CB100" s="28" t="s">
        <v>120</v>
      </c>
      <c r="CC100" s="28" t="s">
        <v>120</v>
      </c>
      <c r="CD100" s="20">
        <v>732000</v>
      </c>
      <c r="CE100" s="9">
        <v>48</v>
      </c>
      <c r="CF100" s="9">
        <f t="shared" si="30"/>
        <v>35136000</v>
      </c>
      <c r="CG100" s="9">
        <v>13227000</v>
      </c>
      <c r="CH100" s="9"/>
      <c r="CI100" s="20">
        <v>22045000</v>
      </c>
      <c r="CJ100" s="69">
        <v>-6.8000000000000005E-2</v>
      </c>
      <c r="CK100" s="30">
        <v>0.06</v>
      </c>
      <c r="CL100" s="31" t="s">
        <v>1071</v>
      </c>
      <c r="CM100" s="22"/>
      <c r="CN100" s="22"/>
      <c r="CO100" s="27">
        <v>0.03</v>
      </c>
      <c r="CP100" s="22"/>
      <c r="CQ100" s="22" t="s">
        <v>879</v>
      </c>
      <c r="CR100" s="20">
        <v>53300</v>
      </c>
      <c r="CS100" s="32" t="s">
        <v>943</v>
      </c>
      <c r="CT100" s="32">
        <f>40000*1.1</f>
        <v>44000</v>
      </c>
      <c r="CU100" s="22"/>
      <c r="CV100" s="22"/>
      <c r="CW100" s="22"/>
      <c r="CX100" s="22"/>
      <c r="CY100" s="22"/>
      <c r="CZ100" s="22"/>
      <c r="DA100" s="32"/>
      <c r="DB100" s="32" t="s">
        <v>232</v>
      </c>
      <c r="DC100" s="32" t="s">
        <v>801</v>
      </c>
      <c r="DD100" s="32" t="s">
        <v>819</v>
      </c>
      <c r="DE100" s="22"/>
      <c r="DF100" s="22" t="s">
        <v>802</v>
      </c>
      <c r="DG100" s="22" t="s">
        <v>1072</v>
      </c>
      <c r="DH100" s="22" t="s">
        <v>1073</v>
      </c>
      <c r="DI100" s="22" t="s">
        <v>1074</v>
      </c>
      <c r="DJ100" s="71">
        <v>0.35</v>
      </c>
      <c r="DK100" s="51">
        <v>0.2</v>
      </c>
      <c r="DL100" s="22"/>
      <c r="DM100" s="20">
        <v>922490</v>
      </c>
      <c r="DN100" s="22"/>
      <c r="DO100" s="22"/>
      <c r="DP100" s="71"/>
    </row>
    <row r="101" spans="1:120">
      <c r="A101" s="8">
        <v>98</v>
      </c>
      <c r="B101" s="8" t="s">
        <v>1075</v>
      </c>
      <c r="C101" s="34" t="s">
        <v>244</v>
      </c>
      <c r="D101" s="8" t="s">
        <v>1076</v>
      </c>
      <c r="E101" s="8" t="s">
        <v>1077</v>
      </c>
      <c r="F101" s="8" t="s">
        <v>1078</v>
      </c>
      <c r="G101" s="22" t="s">
        <v>787</v>
      </c>
      <c r="H101" s="20" t="s">
        <v>788</v>
      </c>
      <c r="I101" s="13">
        <v>127880000</v>
      </c>
      <c r="J101" s="8">
        <v>2023</v>
      </c>
      <c r="K101" s="22" t="s">
        <v>1079</v>
      </c>
      <c r="L101" s="10" t="s">
        <v>116</v>
      </c>
      <c r="M101" s="22" t="s">
        <v>1080</v>
      </c>
      <c r="N101" s="8" t="s">
        <v>1081</v>
      </c>
      <c r="O101" s="8" t="s">
        <v>119</v>
      </c>
      <c r="P101" s="11">
        <v>3470</v>
      </c>
      <c r="Q101" s="12">
        <v>45281</v>
      </c>
      <c r="R101" s="12">
        <v>45282</v>
      </c>
      <c r="S101" s="12">
        <v>45282</v>
      </c>
      <c r="T101" s="14" t="s">
        <v>556</v>
      </c>
      <c r="U101" s="12">
        <f t="shared" si="19"/>
        <v>46742</v>
      </c>
      <c r="V101" s="16">
        <f t="shared" ca="1" si="22"/>
        <v>16</v>
      </c>
      <c r="W101" s="9">
        <v>40000</v>
      </c>
      <c r="X101" s="8" t="s">
        <v>1077</v>
      </c>
      <c r="Y101" s="8" t="s">
        <v>1078</v>
      </c>
      <c r="Z101" s="22"/>
      <c r="AA101" s="12" t="s">
        <v>1082</v>
      </c>
      <c r="AB101" s="12">
        <v>45306</v>
      </c>
      <c r="AC101" s="8">
        <f t="shared" si="25"/>
        <v>1460</v>
      </c>
      <c r="AD101" s="8">
        <f t="shared" ca="1" si="26"/>
        <v>516</v>
      </c>
      <c r="AE101" s="8">
        <f>VLOOKUP($B101, [1]렌트_계약서번호!$B$3:$E$501, 4, FALSE)</f>
        <v>23120009</v>
      </c>
      <c r="AF101" s="20">
        <v>127880000</v>
      </c>
      <c r="AG101" s="9">
        <v>6471095</v>
      </c>
      <c r="AH101" s="9">
        <f t="shared" si="31"/>
        <v>121740905</v>
      </c>
      <c r="AI101" s="9">
        <v>332000</v>
      </c>
      <c r="AJ101" s="9">
        <v>1900</v>
      </c>
      <c r="AK101" s="20">
        <v>4426940</v>
      </c>
      <c r="AL101" s="20">
        <v>311679</v>
      </c>
      <c r="AM101" s="20">
        <v>2000</v>
      </c>
      <c r="AN101" s="20">
        <v>45000</v>
      </c>
      <c r="AO101" s="20">
        <v>50000</v>
      </c>
      <c r="AP101" s="20"/>
      <c r="AQ101" s="20"/>
      <c r="AR101" s="20" t="s">
        <v>1083</v>
      </c>
      <c r="AS101" s="20">
        <v>198000</v>
      </c>
      <c r="AT101" s="9" t="s">
        <v>701</v>
      </c>
      <c r="AU101" s="20"/>
      <c r="AV101" s="20"/>
      <c r="AW101" s="20" t="s">
        <v>158</v>
      </c>
      <c r="AX101" s="17"/>
      <c r="AY101" s="20"/>
      <c r="AZ101" s="20"/>
      <c r="BA101" s="20"/>
      <c r="BB101" s="20"/>
      <c r="BC101" s="9"/>
      <c r="BD101" s="9" t="s">
        <v>125</v>
      </c>
      <c r="BE101" s="9" t="s">
        <v>126</v>
      </c>
      <c r="BF101" s="9" t="s">
        <v>187</v>
      </c>
      <c r="BG101" s="9" t="s">
        <v>188</v>
      </c>
      <c r="BH101" s="9" t="s">
        <v>129</v>
      </c>
      <c r="BI101" s="9" t="s">
        <v>189</v>
      </c>
      <c r="BJ101" s="8" t="s">
        <v>256</v>
      </c>
      <c r="BK101" s="9" t="s">
        <v>132</v>
      </c>
      <c r="BL101" s="9" t="s">
        <v>133</v>
      </c>
      <c r="BM101" s="9" t="s">
        <v>133</v>
      </c>
      <c r="BN101" s="9" t="s">
        <v>133</v>
      </c>
      <c r="BO101" s="9" t="s">
        <v>1084</v>
      </c>
      <c r="BP101" s="9" t="s">
        <v>798</v>
      </c>
      <c r="BQ101" s="22"/>
      <c r="BR101" s="9">
        <f t="shared" si="28"/>
        <v>83280</v>
      </c>
      <c r="BS101" s="8" t="s">
        <v>136</v>
      </c>
      <c r="BT101" s="22"/>
      <c r="BU101" s="22"/>
      <c r="BV101" s="22"/>
      <c r="BW101" s="22"/>
      <c r="BX101" s="22"/>
      <c r="BY101" s="22"/>
      <c r="BZ101" s="22"/>
      <c r="CA101" s="28"/>
      <c r="CB101" s="28" t="s">
        <v>402</v>
      </c>
      <c r="CC101" s="28" t="s">
        <v>402</v>
      </c>
      <c r="CD101" s="20">
        <v>1765000</v>
      </c>
      <c r="CE101" s="9">
        <v>48</v>
      </c>
      <c r="CF101" s="9">
        <f t="shared" si="30"/>
        <v>84720000</v>
      </c>
      <c r="CG101" s="9">
        <v>0</v>
      </c>
      <c r="CH101" s="9">
        <v>38364000</v>
      </c>
      <c r="CI101" s="20">
        <v>53709600</v>
      </c>
      <c r="CJ101" s="69">
        <v>3.2800000000000003E-2</v>
      </c>
      <c r="CK101" s="30">
        <v>0.06</v>
      </c>
      <c r="CL101" s="31" t="s">
        <v>1085</v>
      </c>
      <c r="CM101" s="22"/>
      <c r="CN101" s="22"/>
      <c r="CO101" s="27">
        <v>0.03</v>
      </c>
      <c r="CP101" s="22"/>
      <c r="CQ101" s="22" t="s">
        <v>41</v>
      </c>
      <c r="CR101" s="20">
        <v>220000</v>
      </c>
      <c r="CS101" s="32" t="s">
        <v>1086</v>
      </c>
      <c r="CT101" s="32">
        <v>132000</v>
      </c>
      <c r="CU101" s="22" t="s">
        <v>879</v>
      </c>
      <c r="CV101" s="20">
        <v>53300</v>
      </c>
      <c r="CW101" s="22"/>
      <c r="CX101" s="22"/>
      <c r="CY101" s="22"/>
      <c r="CZ101" s="22"/>
      <c r="DA101" s="32"/>
      <c r="DB101" s="32" t="s">
        <v>232</v>
      </c>
      <c r="DC101" s="32" t="s">
        <v>801</v>
      </c>
      <c r="DD101" s="32" t="s">
        <v>819</v>
      </c>
      <c r="DE101" s="32"/>
      <c r="DF101" s="32" t="s">
        <v>944</v>
      </c>
      <c r="DG101" s="22" t="s">
        <v>1087</v>
      </c>
      <c r="DH101" s="22" t="s">
        <v>1088</v>
      </c>
      <c r="DI101" s="22" t="s">
        <v>1082</v>
      </c>
      <c r="DJ101" s="71">
        <v>0.35</v>
      </c>
      <c r="DK101" s="51">
        <v>0.2</v>
      </c>
      <c r="DL101" s="22"/>
      <c r="DM101" s="20">
        <v>7392980</v>
      </c>
      <c r="DN101" s="22"/>
      <c r="DO101" s="22"/>
      <c r="DP101" s="71"/>
    </row>
    <row r="102" spans="1:120">
      <c r="A102" s="8">
        <v>99</v>
      </c>
      <c r="B102" s="8" t="s">
        <v>1089</v>
      </c>
      <c r="C102" s="34" t="s">
        <v>244</v>
      </c>
      <c r="D102" s="8" t="s">
        <v>1076</v>
      </c>
      <c r="E102" s="8" t="s">
        <v>1090</v>
      </c>
      <c r="F102" s="8" t="s">
        <v>1091</v>
      </c>
      <c r="G102" s="22" t="s">
        <v>1092</v>
      </c>
      <c r="H102" s="20" t="s">
        <v>788</v>
      </c>
      <c r="I102" s="13">
        <v>107700000</v>
      </c>
      <c r="J102" s="8">
        <v>2024</v>
      </c>
      <c r="K102" s="22" t="s">
        <v>1093</v>
      </c>
      <c r="L102" s="10" t="s">
        <v>116</v>
      </c>
      <c r="M102" s="22" t="s">
        <v>1094</v>
      </c>
      <c r="N102" s="8" t="s">
        <v>1095</v>
      </c>
      <c r="O102" s="8" t="s">
        <v>119</v>
      </c>
      <c r="P102" s="11">
        <v>3470</v>
      </c>
      <c r="Q102" s="12">
        <v>45373</v>
      </c>
      <c r="R102" s="12">
        <v>45282</v>
      </c>
      <c r="S102" s="12">
        <v>45282</v>
      </c>
      <c r="T102" s="14" t="s">
        <v>1096</v>
      </c>
      <c r="U102" s="12">
        <f t="shared" si="19"/>
        <v>46833.25</v>
      </c>
      <c r="V102" s="16">
        <f t="shared" ca="1" si="22"/>
        <v>19</v>
      </c>
      <c r="W102" s="9">
        <v>40000</v>
      </c>
      <c r="X102" s="8" t="s">
        <v>1090</v>
      </c>
      <c r="Y102" s="8" t="s">
        <v>1078</v>
      </c>
      <c r="Z102" s="22"/>
      <c r="AA102" s="12" t="s">
        <v>1082</v>
      </c>
      <c r="AB102" s="12">
        <v>45306</v>
      </c>
      <c r="AC102" s="8">
        <f t="shared" si="25"/>
        <v>1551.25</v>
      </c>
      <c r="AD102" s="8">
        <f t="shared" ca="1" si="26"/>
        <v>607.25</v>
      </c>
      <c r="AE102" s="8">
        <f>VLOOKUP($B102, [1]렌트_계약서번호!$B$3:$E$501, 4, FALSE)</f>
        <v>23120010</v>
      </c>
      <c r="AF102" s="20">
        <f>107700000</f>
        <v>107700000</v>
      </c>
      <c r="AG102" s="9">
        <v>5449929</v>
      </c>
      <c r="AH102" s="9">
        <f t="shared" si="31"/>
        <v>102610071</v>
      </c>
      <c r="AI102" s="9">
        <v>360000</v>
      </c>
      <c r="AJ102" s="9">
        <v>1900</v>
      </c>
      <c r="AK102" s="20">
        <v>3731270</v>
      </c>
      <c r="AL102" s="20">
        <v>178550</v>
      </c>
      <c r="AM102" s="20">
        <v>2000</v>
      </c>
      <c r="AN102" s="20">
        <v>45000</v>
      </c>
      <c r="AO102" s="20">
        <v>50000</v>
      </c>
      <c r="AP102" s="20"/>
      <c r="AQ102" s="20"/>
      <c r="AR102" s="20" t="s">
        <v>145</v>
      </c>
      <c r="AS102" s="20">
        <v>198000</v>
      </c>
      <c r="AT102" s="9" t="s">
        <v>701</v>
      </c>
      <c r="AU102" s="20"/>
      <c r="AV102" s="20"/>
      <c r="AW102" s="20" t="s">
        <v>158</v>
      </c>
      <c r="AX102" s="17">
        <v>45373</v>
      </c>
      <c r="AY102" s="20">
        <v>950000</v>
      </c>
      <c r="AZ102" s="20">
        <v>1370727</v>
      </c>
      <c r="BA102" s="20">
        <v>1200000</v>
      </c>
      <c r="BB102" s="20">
        <v>2400000</v>
      </c>
      <c r="BC102" s="9"/>
      <c r="BD102" s="9" t="s">
        <v>125</v>
      </c>
      <c r="BE102" s="9" t="s">
        <v>126</v>
      </c>
      <c r="BF102" s="9" t="s">
        <v>187</v>
      </c>
      <c r="BG102" s="9" t="s">
        <v>188</v>
      </c>
      <c r="BH102" s="9" t="s">
        <v>129</v>
      </c>
      <c r="BI102" s="9" t="s">
        <v>189</v>
      </c>
      <c r="BJ102" s="8" t="s">
        <v>256</v>
      </c>
      <c r="BK102" s="9" t="s">
        <v>132</v>
      </c>
      <c r="BL102" s="9" t="s">
        <v>133</v>
      </c>
      <c r="BM102" s="9" t="s">
        <v>133</v>
      </c>
      <c r="BN102" s="9" t="s">
        <v>133</v>
      </c>
      <c r="BO102" s="9" t="s">
        <v>1084</v>
      </c>
      <c r="BP102" s="9" t="s">
        <v>1097</v>
      </c>
      <c r="BQ102" s="22"/>
      <c r="BR102" s="9">
        <f t="shared" si="28"/>
        <v>83280</v>
      </c>
      <c r="BS102" s="8" t="s">
        <v>136</v>
      </c>
      <c r="BT102" s="22"/>
      <c r="BU102" s="22"/>
      <c r="BV102" s="22"/>
      <c r="BW102" s="22"/>
      <c r="BX102" s="22"/>
      <c r="BY102" s="22"/>
      <c r="BZ102" s="22"/>
      <c r="CA102" s="28"/>
      <c r="CB102" s="28" t="s">
        <v>402</v>
      </c>
      <c r="CC102" s="28" t="s">
        <v>402</v>
      </c>
      <c r="CD102" s="20">
        <v>1347360</v>
      </c>
      <c r="CE102" s="9">
        <v>51</v>
      </c>
      <c r="CF102" s="9">
        <f t="shared" si="30"/>
        <v>68715360</v>
      </c>
      <c r="CG102" s="9">
        <v>0</v>
      </c>
      <c r="CH102" s="9">
        <v>29280000</v>
      </c>
      <c r="CI102" s="20">
        <v>48312000</v>
      </c>
      <c r="CJ102" s="69">
        <v>0.03</v>
      </c>
      <c r="CK102" s="72">
        <v>0.06</v>
      </c>
      <c r="CL102" s="73" t="s">
        <v>1085</v>
      </c>
      <c r="CM102" s="22"/>
      <c r="CN102" s="22"/>
      <c r="CO102" s="27">
        <v>0.03</v>
      </c>
      <c r="CP102" s="22"/>
      <c r="CQ102" s="22"/>
      <c r="CR102" s="20"/>
      <c r="CS102" s="32" t="s">
        <v>1086</v>
      </c>
      <c r="CT102" s="32">
        <v>132000</v>
      </c>
      <c r="CU102" s="22" t="s">
        <v>879</v>
      </c>
      <c r="CV102" s="20">
        <v>53300</v>
      </c>
      <c r="CW102" s="22"/>
      <c r="CX102" s="22"/>
      <c r="CY102" s="22"/>
      <c r="CZ102" s="22"/>
      <c r="DA102" s="32"/>
      <c r="DB102" s="32" t="s">
        <v>232</v>
      </c>
      <c r="DC102" s="32" t="s">
        <v>801</v>
      </c>
      <c r="DD102" s="32" t="s">
        <v>819</v>
      </c>
      <c r="DE102" s="32"/>
      <c r="DF102" s="32" t="s">
        <v>944</v>
      </c>
      <c r="DG102" s="22" t="s">
        <v>1087</v>
      </c>
      <c r="DH102" s="22" t="s">
        <v>1088</v>
      </c>
      <c r="DI102" s="22" t="s">
        <v>1082</v>
      </c>
      <c r="DJ102" s="71">
        <v>0.35</v>
      </c>
      <c r="DK102" s="51">
        <v>0.2</v>
      </c>
      <c r="DL102" s="22"/>
      <c r="DM102" s="20">
        <v>6129505</v>
      </c>
      <c r="DN102" s="22"/>
      <c r="DO102" s="22"/>
      <c r="DP102" s="71"/>
    </row>
    <row r="103" spans="1:120">
      <c r="A103" s="8">
        <v>100</v>
      </c>
      <c r="B103" s="8" t="s">
        <v>1098</v>
      </c>
      <c r="C103" s="34" t="s">
        <v>263</v>
      </c>
      <c r="D103" s="8" t="s">
        <v>1099</v>
      </c>
      <c r="E103" s="8" t="s">
        <v>1099</v>
      </c>
      <c r="F103" s="8" t="s">
        <v>1100</v>
      </c>
      <c r="G103" s="22" t="s">
        <v>787</v>
      </c>
      <c r="H103" s="20" t="s">
        <v>788</v>
      </c>
      <c r="I103" s="13">
        <v>131350000</v>
      </c>
      <c r="J103" s="8">
        <v>2023</v>
      </c>
      <c r="K103" s="22" t="s">
        <v>1101</v>
      </c>
      <c r="L103" s="10" t="s">
        <v>116</v>
      </c>
      <c r="M103" s="22" t="s">
        <v>1102</v>
      </c>
      <c r="N103" s="8" t="s">
        <v>1103</v>
      </c>
      <c r="O103" s="8" t="s">
        <v>119</v>
      </c>
      <c r="P103" s="11">
        <v>3470</v>
      </c>
      <c r="Q103" s="12">
        <v>45288</v>
      </c>
      <c r="R103" s="12">
        <v>45288</v>
      </c>
      <c r="S103" s="12">
        <v>45288</v>
      </c>
      <c r="T103" s="14" t="s">
        <v>397</v>
      </c>
      <c r="U103" s="12">
        <f t="shared" si="19"/>
        <v>46383</v>
      </c>
      <c r="V103" s="16">
        <f t="shared" ca="1" si="22"/>
        <v>5</v>
      </c>
      <c r="W103" s="9">
        <v>20000</v>
      </c>
      <c r="X103" s="8" t="s">
        <v>1099</v>
      </c>
      <c r="Y103" s="8" t="s">
        <v>1100</v>
      </c>
      <c r="Z103" s="22"/>
      <c r="AA103" s="12" t="s">
        <v>1104</v>
      </c>
      <c r="AB103" s="12">
        <v>45306</v>
      </c>
      <c r="AC103" s="8">
        <f t="shared" si="25"/>
        <v>1095</v>
      </c>
      <c r="AD103" s="8">
        <f t="shared" ca="1" si="26"/>
        <v>157</v>
      </c>
      <c r="AE103" s="8">
        <f>VLOOKUP($B103, [1]렌트_계약서번호!$B$3:$E$501, 4, FALSE)</f>
        <v>23120011</v>
      </c>
      <c r="AF103" s="20">
        <v>131350000</v>
      </c>
      <c r="AG103" s="9">
        <v>6646687</v>
      </c>
      <c r="AH103" s="9">
        <f t="shared" si="31"/>
        <v>125035313</v>
      </c>
      <c r="AI103" s="9">
        <v>332000</v>
      </c>
      <c r="AJ103" s="9">
        <v>1900</v>
      </c>
      <c r="AK103" s="20">
        <v>4546730</v>
      </c>
      <c r="AL103" s="20">
        <v>309896</v>
      </c>
      <c r="AM103" s="20">
        <v>2000</v>
      </c>
      <c r="AN103" s="20">
        <v>45000</v>
      </c>
      <c r="AO103" s="20">
        <v>50000</v>
      </c>
      <c r="AP103" s="20">
        <v>2598000</v>
      </c>
      <c r="AQ103" s="20"/>
      <c r="AR103" s="20" t="s">
        <v>1105</v>
      </c>
      <c r="AS103" s="20">
        <v>0</v>
      </c>
      <c r="AT103" s="9" t="s">
        <v>1106</v>
      </c>
      <c r="AU103" s="20"/>
      <c r="AV103" s="20"/>
      <c r="AW103" s="20" t="s">
        <v>158</v>
      </c>
      <c r="AX103" s="17"/>
      <c r="AY103" s="20"/>
      <c r="AZ103" s="20"/>
      <c r="BA103" s="20"/>
      <c r="BB103" s="20"/>
      <c r="BC103" s="9"/>
      <c r="BD103" s="9" t="s">
        <v>125</v>
      </c>
      <c r="BE103" s="9" t="s">
        <v>126</v>
      </c>
      <c r="BF103" s="9" t="s">
        <v>187</v>
      </c>
      <c r="BG103" s="9" t="s">
        <v>188</v>
      </c>
      <c r="BH103" s="9" t="s">
        <v>129</v>
      </c>
      <c r="BI103" s="9" t="s">
        <v>189</v>
      </c>
      <c r="BJ103" s="8" t="s">
        <v>720</v>
      </c>
      <c r="BK103" s="9" t="s">
        <v>132</v>
      </c>
      <c r="BL103" s="9" t="s">
        <v>133</v>
      </c>
      <c r="BM103" s="9" t="s">
        <v>133</v>
      </c>
      <c r="BN103" s="9" t="s">
        <v>133</v>
      </c>
      <c r="BO103" s="9" t="s">
        <v>817</v>
      </c>
      <c r="BP103" s="9" t="s">
        <v>798</v>
      </c>
      <c r="BQ103" s="22"/>
      <c r="BR103" s="9">
        <f t="shared" si="28"/>
        <v>83280</v>
      </c>
      <c r="BS103" s="8" t="s">
        <v>136</v>
      </c>
      <c r="BT103" s="22"/>
      <c r="BU103" s="22"/>
      <c r="BV103" s="22"/>
      <c r="BW103" s="22"/>
      <c r="BX103" s="22"/>
      <c r="BY103" s="22"/>
      <c r="BZ103" s="22"/>
      <c r="CA103" s="28"/>
      <c r="CB103" s="28" t="s">
        <v>402</v>
      </c>
      <c r="CC103" s="28" t="s">
        <v>402</v>
      </c>
      <c r="CD103" s="20">
        <v>3487000</v>
      </c>
      <c r="CE103" s="9">
        <v>36</v>
      </c>
      <c r="CF103" s="9">
        <f t="shared" si="30"/>
        <v>125532000</v>
      </c>
      <c r="CG103" s="9">
        <v>0</v>
      </c>
      <c r="CH103" s="9">
        <v>0</v>
      </c>
      <c r="CI103" s="20">
        <v>55167000</v>
      </c>
      <c r="CJ103" s="69">
        <v>9.7000000000000003E-2</v>
      </c>
      <c r="CK103" s="30">
        <v>0.06</v>
      </c>
      <c r="CL103" s="31" t="s">
        <v>1107</v>
      </c>
      <c r="CM103" s="22"/>
      <c r="CN103" s="22"/>
      <c r="CO103" s="27">
        <v>0.03</v>
      </c>
      <c r="CP103" s="22"/>
      <c r="CQ103" s="22" t="s">
        <v>41</v>
      </c>
      <c r="CR103" s="20">
        <v>220000</v>
      </c>
      <c r="CS103" s="32" t="s">
        <v>1086</v>
      </c>
      <c r="CT103" s="32">
        <v>132000</v>
      </c>
      <c r="CU103" s="22" t="s">
        <v>879</v>
      </c>
      <c r="CV103" s="20">
        <v>53300</v>
      </c>
      <c r="CW103" s="22"/>
      <c r="CX103" s="22"/>
      <c r="CY103" s="22"/>
      <c r="CZ103" s="22"/>
      <c r="DA103" s="32"/>
      <c r="DB103" s="32" t="s">
        <v>232</v>
      </c>
      <c r="DC103" s="32" t="s">
        <v>801</v>
      </c>
      <c r="DD103" s="32" t="s">
        <v>819</v>
      </c>
      <c r="DE103" s="32"/>
      <c r="DF103" s="32" t="s">
        <v>705</v>
      </c>
      <c r="DG103" s="22" t="s">
        <v>1108</v>
      </c>
      <c r="DH103" s="22" t="s">
        <v>1109</v>
      </c>
      <c r="DI103" s="22" t="s">
        <v>1104</v>
      </c>
      <c r="DJ103" s="71">
        <v>0.35</v>
      </c>
      <c r="DK103" s="22">
        <v>0.25</v>
      </c>
      <c r="DL103" s="22"/>
      <c r="DM103" s="20"/>
      <c r="DN103" s="22"/>
      <c r="DO103" s="22"/>
      <c r="DP103" s="71"/>
    </row>
    <row r="104" spans="1:120">
      <c r="A104" s="8">
        <v>101</v>
      </c>
      <c r="B104" s="8" t="s">
        <v>1110</v>
      </c>
      <c r="C104" s="34" t="s">
        <v>244</v>
      </c>
      <c r="D104" s="8" t="s">
        <v>1111</v>
      </c>
      <c r="E104" s="8" t="s">
        <v>711</v>
      </c>
      <c r="F104" s="8" t="s">
        <v>712</v>
      </c>
      <c r="G104" s="22" t="s">
        <v>182</v>
      </c>
      <c r="H104" s="20" t="s">
        <v>935</v>
      </c>
      <c r="I104" s="13">
        <v>83690000</v>
      </c>
      <c r="J104" s="8">
        <v>2024</v>
      </c>
      <c r="K104" s="22" t="s">
        <v>1112</v>
      </c>
      <c r="L104" s="22" t="s">
        <v>116</v>
      </c>
      <c r="M104" s="22" t="s">
        <v>1113</v>
      </c>
      <c r="N104" s="8" t="s">
        <v>1114</v>
      </c>
      <c r="O104" s="8" t="s">
        <v>119</v>
      </c>
      <c r="P104" s="11">
        <v>2497</v>
      </c>
      <c r="Q104" s="12">
        <v>45359</v>
      </c>
      <c r="R104" s="12">
        <v>45366</v>
      </c>
      <c r="S104" s="12">
        <v>45366</v>
      </c>
      <c r="T104" s="14" t="s">
        <v>556</v>
      </c>
      <c r="U104" s="12">
        <f t="shared" si="19"/>
        <v>46826</v>
      </c>
      <c r="V104" s="16">
        <f t="shared" ca="1" si="22"/>
        <v>19</v>
      </c>
      <c r="W104" s="9">
        <v>20000</v>
      </c>
      <c r="X104" s="8" t="s">
        <v>718</v>
      </c>
      <c r="Y104" s="8" t="s">
        <v>712</v>
      </c>
      <c r="Z104" s="22"/>
      <c r="AA104" s="12" t="s">
        <v>1115</v>
      </c>
      <c r="AB104" s="12">
        <v>45376</v>
      </c>
      <c r="AC104" s="8">
        <f t="shared" si="25"/>
        <v>1460</v>
      </c>
      <c r="AD104" s="8">
        <f t="shared" ca="1" si="26"/>
        <v>600</v>
      </c>
      <c r="AE104" s="8" t="str">
        <f>VLOOKUP($B104, [1]렌트_계약서번호!$B$3:$E$501, 4, FALSE)</f>
        <v>24030098</v>
      </c>
      <c r="AF104" s="20">
        <v>83690000</v>
      </c>
      <c r="AG104" s="9">
        <v>4234954</v>
      </c>
      <c r="AH104" s="9">
        <f t="shared" si="31"/>
        <v>79812046</v>
      </c>
      <c r="AI104" s="9">
        <v>357000</v>
      </c>
      <c r="AJ104" s="9">
        <v>1900</v>
      </c>
      <c r="AK104" s="20">
        <v>2902250</v>
      </c>
      <c r="AL104" s="20">
        <v>208307</v>
      </c>
      <c r="AM104" s="20">
        <v>2000</v>
      </c>
      <c r="AN104" s="20">
        <v>45000</v>
      </c>
      <c r="AO104" s="20">
        <v>50000</v>
      </c>
      <c r="AP104" s="20">
        <v>2034000</v>
      </c>
      <c r="AQ104" s="20">
        <v>0</v>
      </c>
      <c r="AR104" s="20" t="s">
        <v>145</v>
      </c>
      <c r="AS104" s="20">
        <v>198000</v>
      </c>
      <c r="AT104" s="9" t="s">
        <v>1116</v>
      </c>
      <c r="AU104" s="20"/>
      <c r="AV104" s="20"/>
      <c r="AW104" s="20" t="s">
        <v>158</v>
      </c>
      <c r="AX104" s="17">
        <v>45359</v>
      </c>
      <c r="AY104" s="20">
        <v>950000</v>
      </c>
      <c r="AZ104" s="20">
        <v>1171600</v>
      </c>
      <c r="BA104" s="20">
        <v>2000000</v>
      </c>
      <c r="BB104" s="20">
        <v>2400000</v>
      </c>
      <c r="BC104" s="9"/>
      <c r="BD104" s="9" t="s">
        <v>125</v>
      </c>
      <c r="BE104" s="9" t="s">
        <v>126</v>
      </c>
      <c r="BF104" s="9" t="s">
        <v>187</v>
      </c>
      <c r="BG104" s="9" t="s">
        <v>188</v>
      </c>
      <c r="BH104" s="9" t="s">
        <v>129</v>
      </c>
      <c r="BI104" s="9" t="s">
        <v>189</v>
      </c>
      <c r="BJ104" s="8" t="s">
        <v>256</v>
      </c>
      <c r="BK104" s="9" t="s">
        <v>132</v>
      </c>
      <c r="BL104" s="9" t="s">
        <v>133</v>
      </c>
      <c r="BM104" s="9" t="s">
        <v>133</v>
      </c>
      <c r="BN104" s="9" t="s">
        <v>133</v>
      </c>
      <c r="BO104" s="9" t="s">
        <v>817</v>
      </c>
      <c r="BP104" s="20" t="s">
        <v>1117</v>
      </c>
      <c r="BQ104" s="22"/>
      <c r="BR104" s="9">
        <f t="shared" si="28"/>
        <v>47443</v>
      </c>
      <c r="BS104" s="8" t="s">
        <v>136</v>
      </c>
      <c r="BT104" s="22"/>
      <c r="BU104" s="22"/>
      <c r="BV104" s="22"/>
      <c r="BW104" s="22"/>
      <c r="BX104" s="22"/>
      <c r="BY104" s="22"/>
      <c r="BZ104" s="22"/>
      <c r="CA104" s="28"/>
      <c r="CB104" s="28" t="s">
        <v>385</v>
      </c>
      <c r="CC104" s="28" t="s">
        <v>385</v>
      </c>
      <c r="CD104" s="20">
        <v>1961000</v>
      </c>
      <c r="CE104" s="9">
        <v>48</v>
      </c>
      <c r="CF104" s="9">
        <f t="shared" si="30"/>
        <v>94128000</v>
      </c>
      <c r="CG104" s="9">
        <v>26361000</v>
      </c>
      <c r="CH104" s="9"/>
      <c r="CI104" s="9">
        <v>26361000</v>
      </c>
      <c r="CJ104" s="69">
        <v>0.03</v>
      </c>
      <c r="CK104" s="72">
        <v>0.06</v>
      </c>
      <c r="CL104" s="31" t="s">
        <v>722</v>
      </c>
      <c r="CM104" s="22"/>
      <c r="CN104" s="22"/>
      <c r="CO104" s="27">
        <v>0.03</v>
      </c>
      <c r="CP104" s="22"/>
      <c r="CQ104" s="22"/>
      <c r="CR104" s="20"/>
      <c r="CS104" s="32" t="s">
        <v>943</v>
      </c>
      <c r="CT104" s="32">
        <f>40000*1.1</f>
        <v>44000</v>
      </c>
      <c r="CU104" s="22" t="s">
        <v>879</v>
      </c>
      <c r="CV104" s="20">
        <v>53300</v>
      </c>
      <c r="CW104" s="22"/>
      <c r="CX104" s="22"/>
      <c r="CY104" s="22"/>
      <c r="CZ104" s="22"/>
      <c r="DA104" s="32"/>
      <c r="DB104" s="32" t="s">
        <v>232</v>
      </c>
      <c r="DC104" s="32" t="s">
        <v>801</v>
      </c>
      <c r="DD104" s="32" t="s">
        <v>819</v>
      </c>
      <c r="DE104" s="22"/>
      <c r="DF104" s="22" t="s">
        <v>802</v>
      </c>
      <c r="DG104" s="22" t="s">
        <v>1006</v>
      </c>
      <c r="DH104" s="22" t="s">
        <v>1007</v>
      </c>
      <c r="DI104" s="22" t="s">
        <v>1008</v>
      </c>
      <c r="DJ104" s="71">
        <v>0.35</v>
      </c>
      <c r="DK104" s="22">
        <v>0.25</v>
      </c>
      <c r="DL104" s="22"/>
      <c r="DM104" s="20"/>
      <c r="DN104" s="22"/>
      <c r="DO104" s="22"/>
      <c r="DP104" s="71"/>
    </row>
    <row r="105" spans="1:120">
      <c r="A105" s="8">
        <v>102</v>
      </c>
      <c r="B105" s="8" t="s">
        <v>1118</v>
      </c>
      <c r="C105" s="34" t="s">
        <v>244</v>
      </c>
      <c r="D105" s="8" t="s">
        <v>1119</v>
      </c>
      <c r="E105" s="8" t="s">
        <v>1120</v>
      </c>
      <c r="F105" s="8" t="s">
        <v>1121</v>
      </c>
      <c r="G105" s="22" t="s">
        <v>1122</v>
      </c>
      <c r="H105" s="20" t="s">
        <v>1123</v>
      </c>
      <c r="I105" s="13">
        <f>56380000+2230000</f>
        <v>58610000</v>
      </c>
      <c r="J105" s="8">
        <v>2024</v>
      </c>
      <c r="K105" s="22" t="s">
        <v>1124</v>
      </c>
      <c r="L105" s="22" t="s">
        <v>229</v>
      </c>
      <c r="M105" s="22" t="s">
        <v>1125</v>
      </c>
      <c r="N105" s="8" t="s">
        <v>1126</v>
      </c>
      <c r="O105" s="8" t="s">
        <v>119</v>
      </c>
      <c r="P105" s="11">
        <v>2959</v>
      </c>
      <c r="Q105" s="12">
        <v>45362</v>
      </c>
      <c r="R105" s="12">
        <v>45358</v>
      </c>
      <c r="S105" s="12">
        <v>45362</v>
      </c>
      <c r="T105" s="14" t="s">
        <v>120</v>
      </c>
      <c r="U105" s="12">
        <f t="shared" si="19"/>
        <v>47187</v>
      </c>
      <c r="V105" s="16">
        <f t="shared" ca="1" si="22"/>
        <v>31</v>
      </c>
      <c r="W105" s="9">
        <v>40000</v>
      </c>
      <c r="X105" s="22" t="s">
        <v>1127</v>
      </c>
      <c r="Y105" s="22" t="s">
        <v>1128</v>
      </c>
      <c r="Z105" s="22" t="s">
        <v>119</v>
      </c>
      <c r="AA105" s="12" t="s">
        <v>1129</v>
      </c>
      <c r="AB105" s="12">
        <v>45376</v>
      </c>
      <c r="AC105" s="8">
        <f t="shared" si="25"/>
        <v>1825</v>
      </c>
      <c r="AD105" s="8">
        <f t="shared" ca="1" si="26"/>
        <v>961</v>
      </c>
      <c r="AE105" s="8" t="str">
        <f>VLOOKUP($B105, [1]렌트_계약서번호!$B$3:$E$501, 4, FALSE)</f>
        <v>24030097</v>
      </c>
      <c r="AF105" s="20">
        <v>58610000</v>
      </c>
      <c r="AG105" s="9">
        <f>2965834+3000000</f>
        <v>5965834</v>
      </c>
      <c r="AH105" s="9">
        <f t="shared" si="31"/>
        <v>52810166</v>
      </c>
      <c r="AI105" s="9">
        <f>158000+8000</f>
        <v>166000</v>
      </c>
      <c r="AJ105" s="9">
        <v>1900</v>
      </c>
      <c r="AK105" s="20">
        <v>1920360</v>
      </c>
      <c r="AL105" s="20">
        <v>88415</v>
      </c>
      <c r="AM105" s="20">
        <v>2000</v>
      </c>
      <c r="AN105" s="20">
        <v>45000</v>
      </c>
      <c r="AO105" s="20">
        <v>50000</v>
      </c>
      <c r="AP105" s="20"/>
      <c r="AQ105" s="20">
        <v>220000</v>
      </c>
      <c r="AR105" s="20" t="s">
        <v>1083</v>
      </c>
      <c r="AS105" s="20">
        <v>198000</v>
      </c>
      <c r="AT105" s="9" t="s">
        <v>1130</v>
      </c>
      <c r="AU105" s="20"/>
      <c r="AV105" s="20"/>
      <c r="AW105" s="20" t="s">
        <v>158</v>
      </c>
      <c r="AX105" s="17">
        <v>45362</v>
      </c>
      <c r="AY105" s="20">
        <v>950000</v>
      </c>
      <c r="AZ105" s="20">
        <v>879150</v>
      </c>
      <c r="BA105" s="20">
        <v>1200000</v>
      </c>
      <c r="BB105" s="20">
        <v>3000000</v>
      </c>
      <c r="BC105" s="9"/>
      <c r="BD105" s="9" t="s">
        <v>125</v>
      </c>
      <c r="BE105" s="9" t="s">
        <v>126</v>
      </c>
      <c r="BF105" s="9" t="s">
        <v>1131</v>
      </c>
      <c r="BG105" s="9" t="s">
        <v>128</v>
      </c>
      <c r="BH105" s="9" t="s">
        <v>129</v>
      </c>
      <c r="BI105" s="9" t="s">
        <v>130</v>
      </c>
      <c r="BJ105" s="8" t="s">
        <v>256</v>
      </c>
      <c r="BK105" s="9" t="s">
        <v>132</v>
      </c>
      <c r="BL105" s="9" t="s">
        <v>133</v>
      </c>
      <c r="BM105" s="9" t="s">
        <v>133</v>
      </c>
      <c r="BN105" s="9" t="s">
        <v>133</v>
      </c>
      <c r="BO105" s="9" t="s">
        <v>1084</v>
      </c>
      <c r="BP105" s="20" t="s">
        <v>1132</v>
      </c>
      <c r="BQ105" s="22"/>
      <c r="BR105" s="9">
        <f t="shared" si="28"/>
        <v>71016</v>
      </c>
      <c r="BS105" s="8" t="s">
        <v>136</v>
      </c>
      <c r="BT105" s="22"/>
      <c r="BU105" s="22"/>
      <c r="BV105" s="22"/>
      <c r="BW105" s="22"/>
      <c r="BX105" s="22"/>
      <c r="BY105" s="22"/>
      <c r="BZ105" s="22"/>
      <c r="CA105" s="28"/>
      <c r="CB105" s="28" t="s">
        <v>385</v>
      </c>
      <c r="CC105" s="28" t="s">
        <v>385</v>
      </c>
      <c r="CD105" s="20">
        <v>1040000</v>
      </c>
      <c r="CE105" s="9">
        <v>60</v>
      </c>
      <c r="CF105" s="9">
        <f t="shared" si="30"/>
        <v>62400000</v>
      </c>
      <c r="CG105" s="9">
        <v>11722000</v>
      </c>
      <c r="CH105" s="9">
        <v>0</v>
      </c>
      <c r="CI105" s="20" t="s">
        <v>799</v>
      </c>
      <c r="CJ105" s="69">
        <v>-2.6200000000000001E-2</v>
      </c>
      <c r="CK105" s="72">
        <v>0.06</v>
      </c>
      <c r="CL105" s="31" t="s">
        <v>1133</v>
      </c>
      <c r="CM105" s="22"/>
      <c r="CN105" s="22"/>
      <c r="CO105" s="27">
        <v>0.03</v>
      </c>
      <c r="CP105" s="22"/>
      <c r="CQ105" s="22" t="s">
        <v>41</v>
      </c>
      <c r="CR105" s="20">
        <v>220000</v>
      </c>
      <c r="CS105" s="32" t="s">
        <v>943</v>
      </c>
      <c r="CT105" s="32">
        <f>40000*1.1</f>
        <v>44000</v>
      </c>
      <c r="CU105" s="22" t="s">
        <v>879</v>
      </c>
      <c r="CV105" s="20">
        <v>53300</v>
      </c>
      <c r="CW105" s="22"/>
      <c r="CX105" s="22"/>
      <c r="CY105" s="22"/>
      <c r="CZ105" s="22"/>
      <c r="DA105" s="32"/>
      <c r="DB105" s="32" t="s">
        <v>1134</v>
      </c>
      <c r="DC105" s="32" t="s">
        <v>260</v>
      </c>
      <c r="DD105" s="32" t="s">
        <v>819</v>
      </c>
      <c r="DE105" s="22"/>
      <c r="DF105" s="22" t="s">
        <v>705</v>
      </c>
      <c r="DG105" s="22" t="s">
        <v>1135</v>
      </c>
      <c r="DH105" s="22" t="s">
        <v>1136</v>
      </c>
      <c r="DI105" s="22" t="s">
        <v>1137</v>
      </c>
      <c r="DJ105" s="71">
        <v>0.35</v>
      </c>
      <c r="DK105" s="22">
        <v>0.25</v>
      </c>
      <c r="DL105" s="22"/>
      <c r="DM105" s="20">
        <v>3154615</v>
      </c>
      <c r="DN105" s="22"/>
      <c r="DO105" s="22"/>
      <c r="DP105" s="71"/>
    </row>
    <row r="106" spans="1:120">
      <c r="A106" s="8">
        <v>103</v>
      </c>
      <c r="B106" s="8" t="s">
        <v>1138</v>
      </c>
      <c r="C106" s="34" t="s">
        <v>244</v>
      </c>
      <c r="D106" s="8" t="s">
        <v>582</v>
      </c>
      <c r="E106" s="8" t="s">
        <v>583</v>
      </c>
      <c r="F106" s="8" t="s">
        <v>584</v>
      </c>
      <c r="G106" s="8" t="s">
        <v>182</v>
      </c>
      <c r="H106" s="8" t="s">
        <v>1139</v>
      </c>
      <c r="I106" s="9">
        <f>65900000+11400000</f>
        <v>77300000</v>
      </c>
      <c r="J106" s="8">
        <v>2024</v>
      </c>
      <c r="K106" s="10" t="s">
        <v>1140</v>
      </c>
      <c r="L106" s="22" t="s">
        <v>116</v>
      </c>
      <c r="M106" s="8" t="s">
        <v>1141</v>
      </c>
      <c r="N106" s="55" t="s">
        <v>1142</v>
      </c>
      <c r="O106" s="8" t="s">
        <v>119</v>
      </c>
      <c r="P106" s="11">
        <v>2497</v>
      </c>
      <c r="Q106" s="12">
        <v>45407</v>
      </c>
      <c r="R106" s="12">
        <v>45372</v>
      </c>
      <c r="S106" s="12">
        <v>45408</v>
      </c>
      <c r="T106" s="14" t="s">
        <v>556</v>
      </c>
      <c r="U106" s="12">
        <f t="shared" si="19"/>
        <v>46868</v>
      </c>
      <c r="V106" s="8">
        <f t="shared" ca="1" si="22"/>
        <v>21</v>
      </c>
      <c r="W106" s="9">
        <v>20000</v>
      </c>
      <c r="X106" s="9" t="s">
        <v>587</v>
      </c>
      <c r="Y106" s="8" t="s">
        <v>588</v>
      </c>
      <c r="Z106" s="9"/>
      <c r="AA106" s="9" t="s">
        <v>589</v>
      </c>
      <c r="AB106" s="12">
        <v>45412</v>
      </c>
      <c r="AC106" s="8">
        <f t="shared" si="25"/>
        <v>1460</v>
      </c>
      <c r="AD106" s="8">
        <f t="shared" ca="1" si="26"/>
        <v>642</v>
      </c>
      <c r="AE106" s="8" t="str">
        <f>VLOOKUP($B106, [1]렌트_계약서번호!$B$3:$E$501, 4, FALSE)</f>
        <v>24030099</v>
      </c>
      <c r="AF106" s="18">
        <f>65900000+11400000</f>
        <v>77300000</v>
      </c>
      <c r="AG106" s="9">
        <v>3911602</v>
      </c>
      <c r="AH106" s="9">
        <f t="shared" si="31"/>
        <v>73737398</v>
      </c>
      <c r="AI106" s="9">
        <v>349000</v>
      </c>
      <c r="AJ106" s="9">
        <v>1900</v>
      </c>
      <c r="AK106" s="9">
        <v>2681350</v>
      </c>
      <c r="AL106" s="9">
        <v>215775</v>
      </c>
      <c r="AM106" s="9">
        <v>2000</v>
      </c>
      <c r="AN106" s="9">
        <v>45000</v>
      </c>
      <c r="AO106" s="9">
        <v>50000</v>
      </c>
      <c r="AP106" s="9">
        <v>1878644</v>
      </c>
      <c r="AQ106" s="9">
        <v>0</v>
      </c>
      <c r="AR106" s="9" t="s">
        <v>145</v>
      </c>
      <c r="AS106" s="20">
        <v>198000</v>
      </c>
      <c r="AT106" s="9" t="s">
        <v>1130</v>
      </c>
      <c r="AU106" s="9"/>
      <c r="AV106" s="13"/>
      <c r="AW106" s="20" t="s">
        <v>158</v>
      </c>
      <c r="AX106" s="17">
        <v>45407</v>
      </c>
      <c r="AY106" s="20">
        <v>950000</v>
      </c>
      <c r="AZ106" s="18">
        <v>1062875</v>
      </c>
      <c r="BA106" s="20">
        <v>2000000</v>
      </c>
      <c r="BB106" s="20">
        <v>2400000</v>
      </c>
      <c r="BC106" s="9"/>
      <c r="BD106" s="9" t="s">
        <v>125</v>
      </c>
      <c r="BE106" s="9" t="s">
        <v>126</v>
      </c>
      <c r="BF106" s="9" t="s">
        <v>187</v>
      </c>
      <c r="BG106" s="9" t="s">
        <v>188</v>
      </c>
      <c r="BH106" s="9" t="s">
        <v>129</v>
      </c>
      <c r="BI106" s="9" t="s">
        <v>189</v>
      </c>
      <c r="BJ106" s="8" t="s">
        <v>256</v>
      </c>
      <c r="BK106" s="9" t="s">
        <v>132</v>
      </c>
      <c r="BL106" s="9" t="s">
        <v>133</v>
      </c>
      <c r="BM106" s="9" t="s">
        <v>133</v>
      </c>
      <c r="BN106" s="9" t="s">
        <v>133</v>
      </c>
      <c r="BO106" s="9" t="s">
        <v>1084</v>
      </c>
      <c r="BP106" s="9" t="s">
        <v>1143</v>
      </c>
      <c r="BQ106" s="8"/>
      <c r="BR106" s="9">
        <f t="shared" si="28"/>
        <v>47443</v>
      </c>
      <c r="BS106" s="8" t="s">
        <v>136</v>
      </c>
      <c r="BT106" s="19"/>
      <c r="BU106" s="9"/>
      <c r="BV106" s="26"/>
      <c r="BW106" s="9"/>
      <c r="BX106" s="9"/>
      <c r="BY106" s="9"/>
      <c r="BZ106" s="27"/>
      <c r="CA106" s="1"/>
      <c r="CB106" s="28" t="s">
        <v>504</v>
      </c>
      <c r="CC106" s="28" t="s">
        <v>504</v>
      </c>
      <c r="CD106" s="9">
        <v>1577000</v>
      </c>
      <c r="CE106" s="9">
        <v>48</v>
      </c>
      <c r="CF106" s="9">
        <f t="shared" si="30"/>
        <v>75696000</v>
      </c>
      <c r="CG106" s="9">
        <v>15220000</v>
      </c>
      <c r="CH106" s="9">
        <v>0</v>
      </c>
      <c r="CI106" s="9">
        <v>30440000</v>
      </c>
      <c r="CJ106" s="29">
        <v>0.03</v>
      </c>
      <c r="CK106" s="30">
        <v>0.06</v>
      </c>
      <c r="CL106" s="31" t="s">
        <v>591</v>
      </c>
      <c r="CM106" s="9"/>
      <c r="CN106" s="9"/>
      <c r="CO106" s="27">
        <v>0.03</v>
      </c>
      <c r="CP106" s="22"/>
      <c r="CQ106" s="32" t="s">
        <v>879</v>
      </c>
      <c r="CR106" s="32">
        <v>53300</v>
      </c>
      <c r="CS106" s="32" t="s">
        <v>1086</v>
      </c>
      <c r="CT106" s="32">
        <v>132000</v>
      </c>
      <c r="CU106" s="32" t="s">
        <v>1144</v>
      </c>
      <c r="CV106" s="32">
        <v>165000</v>
      </c>
      <c r="CW106" s="32"/>
      <c r="CX106" s="32"/>
      <c r="CY106" s="32"/>
      <c r="CZ106" s="32"/>
      <c r="DA106" s="32"/>
      <c r="DB106" s="32" t="s">
        <v>232</v>
      </c>
      <c r="DC106" s="32" t="s">
        <v>801</v>
      </c>
      <c r="DD106" s="32" t="s">
        <v>819</v>
      </c>
      <c r="DE106" s="32"/>
      <c r="DF106" s="32" t="s">
        <v>944</v>
      </c>
      <c r="DG106" s="32" t="s">
        <v>1145</v>
      </c>
      <c r="DH106" s="32" t="s">
        <v>592</v>
      </c>
      <c r="DI106" s="32" t="s">
        <v>589</v>
      </c>
      <c r="DJ106" s="22">
        <v>0.3</v>
      </c>
      <c r="DK106" s="22">
        <v>0.25</v>
      </c>
      <c r="DL106" s="32"/>
      <c r="DM106" s="20">
        <v>4333185</v>
      </c>
      <c r="DN106" s="22"/>
      <c r="DO106" s="22"/>
      <c r="DP106" s="71"/>
    </row>
    <row r="107" spans="1:120">
      <c r="A107" s="8">
        <v>104</v>
      </c>
      <c r="B107" s="8" t="s">
        <v>1146</v>
      </c>
      <c r="C107" s="34" t="s">
        <v>244</v>
      </c>
      <c r="D107" s="8" t="s">
        <v>1147</v>
      </c>
      <c r="E107" s="8" t="s">
        <v>1148</v>
      </c>
      <c r="F107" s="8" t="s">
        <v>1149</v>
      </c>
      <c r="G107" s="22" t="s">
        <v>152</v>
      </c>
      <c r="H107" s="20" t="s">
        <v>1150</v>
      </c>
      <c r="I107" s="13">
        <f>42560000+2750000</f>
        <v>45310000</v>
      </c>
      <c r="J107" s="8">
        <v>2024</v>
      </c>
      <c r="K107" s="22" t="s">
        <v>240</v>
      </c>
      <c r="L107" s="22" t="s">
        <v>116</v>
      </c>
      <c r="M107" s="22" t="s">
        <v>1151</v>
      </c>
      <c r="N107" s="8" t="s">
        <v>1152</v>
      </c>
      <c r="O107" s="8" t="s">
        <v>1153</v>
      </c>
      <c r="P107" s="11">
        <v>1598</v>
      </c>
      <c r="Q107" s="12">
        <v>45432</v>
      </c>
      <c r="R107" s="12">
        <v>45401</v>
      </c>
      <c r="S107" s="12">
        <v>45433</v>
      </c>
      <c r="T107" s="14" t="s">
        <v>120</v>
      </c>
      <c r="U107" s="12">
        <f t="shared" si="19"/>
        <v>47258</v>
      </c>
      <c r="V107" s="8">
        <f t="shared" ca="1" si="22"/>
        <v>33</v>
      </c>
      <c r="W107" s="9">
        <v>25000</v>
      </c>
      <c r="X107" s="22" t="s">
        <v>1154</v>
      </c>
      <c r="Y107" s="22" t="s">
        <v>1155</v>
      </c>
      <c r="Z107" s="22"/>
      <c r="AA107" s="12" t="s">
        <v>1156</v>
      </c>
      <c r="AB107" s="12">
        <v>45458</v>
      </c>
      <c r="AC107" s="8">
        <f t="shared" si="25"/>
        <v>1825</v>
      </c>
      <c r="AD107" s="8">
        <f t="shared" ca="1" si="26"/>
        <v>1032</v>
      </c>
      <c r="AE107" s="8" t="str">
        <f>VLOOKUP($B107, [1]렌트_계약서번호!$B$3:$E$501, 4, FALSE)</f>
        <v>24040100</v>
      </c>
      <c r="AF107" s="20">
        <f>42560000+2750000</f>
        <v>45310000</v>
      </c>
      <c r="AG107" s="9">
        <f>2292816+100000</f>
        <v>2392816</v>
      </c>
      <c r="AH107" s="9">
        <f t="shared" si="31"/>
        <v>43071184</v>
      </c>
      <c r="AI107" s="9">
        <v>154000</v>
      </c>
      <c r="AJ107" s="9">
        <v>1900</v>
      </c>
      <c r="AK107" s="20">
        <v>1566220</v>
      </c>
      <c r="AL107" s="20">
        <v>113028</v>
      </c>
      <c r="AM107" s="9">
        <v>2000</v>
      </c>
      <c r="AN107" s="9">
        <v>45000</v>
      </c>
      <c r="AO107" s="9">
        <v>50000</v>
      </c>
      <c r="AP107" s="20"/>
      <c r="AQ107" s="20">
        <v>0</v>
      </c>
      <c r="AR107" s="9" t="s">
        <v>145</v>
      </c>
      <c r="AS107" s="20">
        <v>198000</v>
      </c>
      <c r="AT107" s="9" t="s">
        <v>1130</v>
      </c>
      <c r="AU107" s="20"/>
      <c r="AV107" s="20"/>
      <c r="AW107" s="20" t="s">
        <v>158</v>
      </c>
      <c r="AX107" s="17">
        <v>45432</v>
      </c>
      <c r="AY107" s="20">
        <v>950000</v>
      </c>
      <c r="AZ107" s="20"/>
      <c r="BA107" s="20"/>
      <c r="BB107" s="20"/>
      <c r="BC107" s="9"/>
      <c r="BD107" s="9" t="s">
        <v>125</v>
      </c>
      <c r="BE107" s="9" t="s">
        <v>1157</v>
      </c>
      <c r="BF107" s="9" t="s">
        <v>1158</v>
      </c>
      <c r="BG107" s="9" t="s">
        <v>1159</v>
      </c>
      <c r="BH107" s="9" t="s">
        <v>129</v>
      </c>
      <c r="BI107" s="9" t="s">
        <v>130</v>
      </c>
      <c r="BJ107" s="8" t="s">
        <v>256</v>
      </c>
      <c r="BK107" s="9" t="s">
        <v>132</v>
      </c>
      <c r="BL107" s="9" t="s">
        <v>133</v>
      </c>
      <c r="BM107" s="9" t="s">
        <v>257</v>
      </c>
      <c r="BN107" s="9" t="s">
        <v>257</v>
      </c>
      <c r="BO107" s="9" t="s">
        <v>1160</v>
      </c>
      <c r="BP107" s="20" t="s">
        <v>1161</v>
      </c>
      <c r="BQ107" s="22"/>
      <c r="BR107" s="9">
        <f t="shared" si="28"/>
        <v>28764</v>
      </c>
      <c r="BS107" s="8" t="s">
        <v>136</v>
      </c>
      <c r="BT107" s="22"/>
      <c r="BU107" s="22"/>
      <c r="BV107" s="22"/>
      <c r="BW107" s="22"/>
      <c r="BX107" s="22"/>
      <c r="BY107" s="22"/>
      <c r="BZ107" s="22"/>
      <c r="CA107" s="28"/>
      <c r="CB107" s="28" t="s">
        <v>402</v>
      </c>
      <c r="CC107" s="28" t="s">
        <v>402</v>
      </c>
      <c r="CD107" s="20">
        <v>747000</v>
      </c>
      <c r="CE107" s="9">
        <v>60</v>
      </c>
      <c r="CF107" s="9">
        <f t="shared" si="30"/>
        <v>44820000</v>
      </c>
      <c r="CG107" s="9">
        <v>4388000</v>
      </c>
      <c r="CH107" s="9">
        <v>0</v>
      </c>
      <c r="CI107" s="20">
        <v>19622000</v>
      </c>
      <c r="CJ107" s="69">
        <v>-0.03</v>
      </c>
      <c r="CK107" s="30">
        <v>0.06</v>
      </c>
      <c r="CL107" s="31" t="s">
        <v>1162</v>
      </c>
      <c r="CM107" s="22"/>
      <c r="CN107" s="22"/>
      <c r="CO107" s="27">
        <v>0.03</v>
      </c>
      <c r="CP107" s="22"/>
      <c r="CQ107" s="32" t="s">
        <v>879</v>
      </c>
      <c r="CR107" s="32">
        <v>53300</v>
      </c>
      <c r="CS107" s="32" t="s">
        <v>943</v>
      </c>
      <c r="CT107" s="32">
        <f>40000*1.1</f>
        <v>44000</v>
      </c>
      <c r="CU107" s="22"/>
      <c r="CV107" s="22"/>
      <c r="CW107" s="22"/>
      <c r="CX107" s="22"/>
      <c r="CY107" s="22"/>
      <c r="CZ107" s="22"/>
      <c r="DA107" s="32"/>
      <c r="DB107" s="32" t="s">
        <v>1134</v>
      </c>
      <c r="DC107" s="32" t="s">
        <v>260</v>
      </c>
      <c r="DD107" s="32" t="s">
        <v>819</v>
      </c>
      <c r="DE107" s="22"/>
      <c r="DF107" s="22" t="s">
        <v>460</v>
      </c>
      <c r="DG107" s="22" t="s">
        <v>1163</v>
      </c>
      <c r="DH107" s="22" t="s">
        <v>1164</v>
      </c>
      <c r="DI107" s="22" t="s">
        <v>1156</v>
      </c>
      <c r="DJ107" s="71">
        <v>0.35</v>
      </c>
      <c r="DK107" s="22">
        <v>0.25</v>
      </c>
      <c r="DL107" s="22"/>
      <c r="DM107" s="20">
        <v>954415</v>
      </c>
      <c r="DN107" s="22"/>
      <c r="DO107" s="22"/>
      <c r="DP107" s="71"/>
    </row>
    <row r="108" spans="1:120">
      <c r="A108" s="8">
        <v>105</v>
      </c>
      <c r="B108" s="8" t="s">
        <v>1165</v>
      </c>
      <c r="C108" s="34" t="s">
        <v>244</v>
      </c>
      <c r="D108" s="8" t="s">
        <v>1147</v>
      </c>
      <c r="E108" s="8" t="s">
        <v>1148</v>
      </c>
      <c r="F108" s="8" t="s">
        <v>1149</v>
      </c>
      <c r="G108" s="22" t="s">
        <v>152</v>
      </c>
      <c r="H108" s="20" t="s">
        <v>1150</v>
      </c>
      <c r="I108" s="13">
        <f>42560000+2750000</f>
        <v>45310000</v>
      </c>
      <c r="J108" s="8">
        <v>2024</v>
      </c>
      <c r="K108" s="22" t="s">
        <v>240</v>
      </c>
      <c r="L108" s="22" t="s">
        <v>116</v>
      </c>
      <c r="M108" s="22" t="s">
        <v>1166</v>
      </c>
      <c r="N108" s="8" t="s">
        <v>1167</v>
      </c>
      <c r="O108" s="8" t="s">
        <v>1153</v>
      </c>
      <c r="P108" s="11">
        <v>1598</v>
      </c>
      <c r="Q108" s="12">
        <v>45442</v>
      </c>
      <c r="R108" s="12">
        <v>45401</v>
      </c>
      <c r="S108" s="12">
        <v>45443</v>
      </c>
      <c r="T108" s="14" t="s">
        <v>120</v>
      </c>
      <c r="U108" s="12">
        <f t="shared" si="19"/>
        <v>47268</v>
      </c>
      <c r="V108" s="8">
        <f t="shared" ca="1" si="22"/>
        <v>34</v>
      </c>
      <c r="W108" s="9">
        <v>20000</v>
      </c>
      <c r="X108" s="22" t="s">
        <v>1154</v>
      </c>
      <c r="Y108" s="22" t="s">
        <v>1155</v>
      </c>
      <c r="Z108" s="22"/>
      <c r="AA108" s="12" t="s">
        <v>1156</v>
      </c>
      <c r="AB108" s="12">
        <v>45458</v>
      </c>
      <c r="AC108" s="8">
        <f t="shared" si="25"/>
        <v>1825</v>
      </c>
      <c r="AD108" s="8">
        <f t="shared" ca="1" si="26"/>
        <v>1042</v>
      </c>
      <c r="AE108" s="8" t="str">
        <f>VLOOKUP($B108, [1]렌트_계약서번호!$B$3:$E$501, 4, FALSE)</f>
        <v>24040101</v>
      </c>
      <c r="AF108" s="20">
        <f>42560000+2750000</f>
        <v>45310000</v>
      </c>
      <c r="AG108" s="9">
        <f>2292816+100000</f>
        <v>2392816</v>
      </c>
      <c r="AH108" s="9">
        <f t="shared" si="31"/>
        <v>43071184</v>
      </c>
      <c r="AI108" s="9">
        <v>154000</v>
      </c>
      <c r="AJ108" s="9">
        <v>1900</v>
      </c>
      <c r="AK108" s="20">
        <v>1166220</v>
      </c>
      <c r="AL108" s="20">
        <v>0</v>
      </c>
      <c r="AM108" s="9">
        <v>2000</v>
      </c>
      <c r="AN108" s="9">
        <v>45000</v>
      </c>
      <c r="AO108" s="9">
        <v>50000</v>
      </c>
      <c r="AP108" s="20"/>
      <c r="AQ108" s="20">
        <v>0</v>
      </c>
      <c r="AR108" s="9" t="s">
        <v>145</v>
      </c>
      <c r="AS108" s="20">
        <v>198000</v>
      </c>
      <c r="AT108" s="9" t="s">
        <v>1130</v>
      </c>
      <c r="AU108" s="20"/>
      <c r="AV108" s="20"/>
      <c r="AW108" s="20" t="s">
        <v>158</v>
      </c>
      <c r="AX108" s="17">
        <v>45442</v>
      </c>
      <c r="AY108" s="20">
        <v>950000</v>
      </c>
      <c r="AZ108" s="20"/>
      <c r="BA108" s="20"/>
      <c r="BB108" s="20"/>
      <c r="BC108" s="9"/>
      <c r="BD108" s="9" t="s">
        <v>125</v>
      </c>
      <c r="BE108" s="9" t="s">
        <v>1157</v>
      </c>
      <c r="BF108" s="9" t="s">
        <v>1158</v>
      </c>
      <c r="BG108" s="9" t="s">
        <v>1159</v>
      </c>
      <c r="BH108" s="9" t="s">
        <v>129</v>
      </c>
      <c r="BI108" s="9" t="s">
        <v>130</v>
      </c>
      <c r="BJ108" s="8" t="s">
        <v>256</v>
      </c>
      <c r="BK108" s="9" t="s">
        <v>132</v>
      </c>
      <c r="BL108" s="9" t="s">
        <v>133</v>
      </c>
      <c r="BM108" s="9" t="s">
        <v>257</v>
      </c>
      <c r="BN108" s="9" t="s">
        <v>257</v>
      </c>
      <c r="BO108" s="9" t="s">
        <v>1160</v>
      </c>
      <c r="BP108" s="20" t="s">
        <v>1161</v>
      </c>
      <c r="BQ108" s="22"/>
      <c r="BR108" s="9">
        <f t="shared" si="28"/>
        <v>28764</v>
      </c>
      <c r="BS108" s="8" t="s">
        <v>136</v>
      </c>
      <c r="BT108" s="22"/>
      <c r="BU108" s="22"/>
      <c r="BV108" s="22"/>
      <c r="BW108" s="22"/>
      <c r="BX108" s="22"/>
      <c r="BY108" s="22"/>
      <c r="BZ108" s="22"/>
      <c r="CA108" s="28"/>
      <c r="CB108" s="28" t="s">
        <v>402</v>
      </c>
      <c r="CC108" s="28" t="s">
        <v>402</v>
      </c>
      <c r="CD108" s="20">
        <v>718000</v>
      </c>
      <c r="CE108" s="9">
        <v>60</v>
      </c>
      <c r="CF108" s="9">
        <f t="shared" si="30"/>
        <v>43080000</v>
      </c>
      <c r="CG108" s="9">
        <v>4388000</v>
      </c>
      <c r="CH108" s="9">
        <v>0</v>
      </c>
      <c r="CI108" s="20">
        <v>21374000</v>
      </c>
      <c r="CJ108" s="69">
        <v>-0.03</v>
      </c>
      <c r="CK108" s="30">
        <v>0.06</v>
      </c>
      <c r="CL108" s="31" t="s">
        <v>1162</v>
      </c>
      <c r="CM108" s="22"/>
      <c r="CN108" s="22"/>
      <c r="CO108" s="27">
        <v>0.03</v>
      </c>
      <c r="CP108" s="22"/>
      <c r="CQ108" s="32" t="s">
        <v>879</v>
      </c>
      <c r="CR108" s="32">
        <v>53300</v>
      </c>
      <c r="CS108" s="32" t="s">
        <v>943</v>
      </c>
      <c r="CT108" s="32">
        <f>40000*1.1</f>
        <v>44000</v>
      </c>
      <c r="CU108" s="22"/>
      <c r="CV108" s="22"/>
      <c r="CW108" s="22"/>
      <c r="CX108" s="22"/>
      <c r="CY108" s="22"/>
      <c r="CZ108" s="22"/>
      <c r="DA108" s="32"/>
      <c r="DB108" s="32" t="s">
        <v>1134</v>
      </c>
      <c r="DC108" s="32" t="s">
        <v>260</v>
      </c>
      <c r="DD108" s="32" t="s">
        <v>819</v>
      </c>
      <c r="DE108" s="22"/>
      <c r="DF108" s="22" t="s">
        <v>460</v>
      </c>
      <c r="DG108" s="22" t="s">
        <v>1163</v>
      </c>
      <c r="DH108" s="22" t="s">
        <v>1164</v>
      </c>
      <c r="DI108" s="22" t="s">
        <v>1156</v>
      </c>
      <c r="DJ108" s="71">
        <v>0.35</v>
      </c>
      <c r="DK108" s="22">
        <v>0.25</v>
      </c>
      <c r="DL108" s="22"/>
      <c r="DM108" s="20">
        <v>954415</v>
      </c>
      <c r="DN108" s="22"/>
      <c r="DO108" s="22"/>
      <c r="DP108" s="71"/>
    </row>
    <row r="109" spans="1:120">
      <c r="A109" s="8">
        <v>106</v>
      </c>
      <c r="B109" s="8" t="s">
        <v>1168</v>
      </c>
      <c r="C109" s="34" t="s">
        <v>244</v>
      </c>
      <c r="D109" s="8" t="s">
        <v>1111</v>
      </c>
      <c r="E109" s="8" t="s">
        <v>718</v>
      </c>
      <c r="F109" s="8" t="s">
        <v>712</v>
      </c>
      <c r="G109" s="22" t="s">
        <v>182</v>
      </c>
      <c r="H109" s="20" t="s">
        <v>1169</v>
      </c>
      <c r="I109" s="13">
        <v>86140000</v>
      </c>
      <c r="J109" s="8">
        <v>2024</v>
      </c>
      <c r="K109" s="20" t="s">
        <v>1170</v>
      </c>
      <c r="L109" s="22" t="s">
        <v>116</v>
      </c>
      <c r="M109" s="22" t="s">
        <v>1171</v>
      </c>
      <c r="N109" s="8" t="s">
        <v>1172</v>
      </c>
      <c r="O109" s="8" t="s">
        <v>119</v>
      </c>
      <c r="P109" s="11">
        <v>3470</v>
      </c>
      <c r="Q109" s="12">
        <v>45545</v>
      </c>
      <c r="R109" s="12">
        <v>45501</v>
      </c>
      <c r="S109" s="12">
        <v>45545</v>
      </c>
      <c r="T109" s="14" t="s">
        <v>120</v>
      </c>
      <c r="U109" s="12">
        <f t="shared" si="19"/>
        <v>47370</v>
      </c>
      <c r="V109" s="8">
        <f t="shared" ca="1" si="22"/>
        <v>37</v>
      </c>
      <c r="W109" s="9">
        <v>20000</v>
      </c>
      <c r="X109" s="8" t="s">
        <v>718</v>
      </c>
      <c r="Y109" s="8" t="s">
        <v>712</v>
      </c>
      <c r="Z109" s="22" t="s">
        <v>119</v>
      </c>
      <c r="AA109" s="13" t="s">
        <v>719</v>
      </c>
      <c r="AB109" s="12">
        <v>45560</v>
      </c>
      <c r="AC109" s="8">
        <f t="shared" si="25"/>
        <v>1825</v>
      </c>
      <c r="AD109" s="8">
        <f t="shared" ca="1" si="26"/>
        <v>1144</v>
      </c>
      <c r="AE109" s="8" t="str">
        <f>VLOOKUP($B109, [1]렌트_계약서번호!$B$3:$E$501, 4, FALSE)</f>
        <v>24070102</v>
      </c>
      <c r="AF109" s="20">
        <v>86140000</v>
      </c>
      <c r="AG109" s="9">
        <v>4358931</v>
      </c>
      <c r="AH109" s="9">
        <f t="shared" si="31"/>
        <v>82138069</v>
      </c>
      <c r="AI109" s="9">
        <v>357000</v>
      </c>
      <c r="AJ109" s="9">
        <v>1900</v>
      </c>
      <c r="AK109" s="20">
        <v>2986830</v>
      </c>
      <c r="AL109" s="20">
        <v>154784</v>
      </c>
      <c r="AM109" s="20">
        <v>2000</v>
      </c>
      <c r="AN109" s="20">
        <v>45000</v>
      </c>
      <c r="AO109" s="20">
        <v>50000</v>
      </c>
      <c r="AP109" s="20"/>
      <c r="AQ109" s="20"/>
      <c r="AR109" s="13" t="s">
        <v>145</v>
      </c>
      <c r="AS109" s="20">
        <v>308000</v>
      </c>
      <c r="AT109" s="13" t="s">
        <v>1173</v>
      </c>
      <c r="AU109" s="20"/>
      <c r="AV109" s="20"/>
      <c r="AW109" s="20" t="s">
        <v>158</v>
      </c>
      <c r="AX109" s="17">
        <v>45545</v>
      </c>
      <c r="AY109" s="20">
        <v>950000</v>
      </c>
      <c r="AZ109" s="20"/>
      <c r="BA109" s="20"/>
      <c r="BB109" s="20"/>
      <c r="BC109" s="9"/>
      <c r="BD109" s="9" t="s">
        <v>125</v>
      </c>
      <c r="BE109" s="9" t="s">
        <v>1157</v>
      </c>
      <c r="BF109" s="9" t="s">
        <v>187</v>
      </c>
      <c r="BG109" s="9" t="s">
        <v>188</v>
      </c>
      <c r="BH109" s="9" t="s">
        <v>129</v>
      </c>
      <c r="BI109" s="9" t="s">
        <v>189</v>
      </c>
      <c r="BJ109" s="8" t="s">
        <v>256</v>
      </c>
      <c r="BK109" s="9" t="s">
        <v>132</v>
      </c>
      <c r="BL109" s="9" t="s">
        <v>133</v>
      </c>
      <c r="BM109" s="9" t="s">
        <v>133</v>
      </c>
      <c r="BN109" s="9" t="s">
        <v>133</v>
      </c>
      <c r="BO109" s="9" t="s">
        <v>817</v>
      </c>
      <c r="BP109" s="20" t="s">
        <v>1117</v>
      </c>
      <c r="BQ109" s="22"/>
      <c r="BR109" s="13">
        <f>IF(P108&lt;=1600,P108*18,IF(P108&lt;=2500,P108*19,IF(P108&gt;2500,P108*24,20000)))</f>
        <v>28764</v>
      </c>
      <c r="BS109" s="8" t="s">
        <v>136</v>
      </c>
      <c r="BT109" s="22"/>
      <c r="BU109" s="22"/>
      <c r="BV109" s="22"/>
      <c r="BW109" s="22"/>
      <c r="BX109" s="22"/>
      <c r="BY109" s="22"/>
      <c r="BZ109" s="22"/>
      <c r="CA109" s="28"/>
      <c r="CB109" s="28" t="s">
        <v>385</v>
      </c>
      <c r="CC109" s="28" t="s">
        <v>385</v>
      </c>
      <c r="CD109" s="20">
        <v>1499000</v>
      </c>
      <c r="CE109" s="13">
        <v>60</v>
      </c>
      <c r="CF109" s="9">
        <f t="shared" si="30"/>
        <v>89940000</v>
      </c>
      <c r="CG109" s="9">
        <v>25842000</v>
      </c>
      <c r="CH109" s="9">
        <v>0</v>
      </c>
      <c r="CI109" s="20">
        <v>30149000</v>
      </c>
      <c r="CJ109" s="69">
        <v>0.03</v>
      </c>
      <c r="CK109" s="72">
        <v>0.06</v>
      </c>
      <c r="CL109" s="31" t="s">
        <v>722</v>
      </c>
      <c r="CM109" s="22"/>
      <c r="CN109" s="22"/>
      <c r="CO109" s="27">
        <v>0.03</v>
      </c>
      <c r="CP109" s="22"/>
      <c r="CQ109" s="74" t="s">
        <v>879</v>
      </c>
      <c r="CR109" s="74">
        <v>53300</v>
      </c>
      <c r="CS109" s="32" t="s">
        <v>1086</v>
      </c>
      <c r="CT109" s="74">
        <v>165000</v>
      </c>
      <c r="CU109" s="22"/>
      <c r="CV109" s="22"/>
      <c r="CW109" s="22"/>
      <c r="CX109" s="22"/>
      <c r="CY109" s="22"/>
      <c r="CZ109" s="22"/>
      <c r="DA109" s="32"/>
      <c r="DB109" s="32" t="s">
        <v>232</v>
      </c>
      <c r="DC109" s="32" t="s">
        <v>801</v>
      </c>
      <c r="DD109" s="32" t="s">
        <v>819</v>
      </c>
      <c r="DE109" s="22"/>
      <c r="DF109" s="22" t="s">
        <v>802</v>
      </c>
      <c r="DG109" s="22" t="s">
        <v>1006</v>
      </c>
      <c r="DH109" s="22" t="s">
        <v>1007</v>
      </c>
      <c r="DI109" s="22" t="s">
        <v>1008</v>
      </c>
      <c r="DJ109" s="71">
        <v>0.35</v>
      </c>
      <c r="DK109" s="22">
        <v>0.25</v>
      </c>
      <c r="DL109" s="22"/>
      <c r="DM109" s="20"/>
      <c r="DN109" s="22"/>
      <c r="DO109" s="22"/>
      <c r="DP109" s="71"/>
    </row>
    <row r="110" spans="1:120">
      <c r="A110" s="8">
        <v>107</v>
      </c>
      <c r="B110" s="8" t="s">
        <v>1174</v>
      </c>
      <c r="C110" s="8" t="s">
        <v>208</v>
      </c>
      <c r="D110" s="8" t="s">
        <v>390</v>
      </c>
      <c r="E110" s="9" t="s">
        <v>391</v>
      </c>
      <c r="F110" s="8" t="s">
        <v>392</v>
      </c>
      <c r="G110" s="8" t="s">
        <v>393</v>
      </c>
      <c r="H110" s="8" t="s">
        <v>200</v>
      </c>
      <c r="I110" s="9">
        <v>45114000</v>
      </c>
      <c r="J110" s="8">
        <v>2021</v>
      </c>
      <c r="K110" s="10" t="s">
        <v>394</v>
      </c>
      <c r="L110" s="10" t="s">
        <v>116</v>
      </c>
      <c r="M110" s="8" t="s">
        <v>395</v>
      </c>
      <c r="N110" s="8" t="s">
        <v>396</v>
      </c>
      <c r="O110" s="8" t="s">
        <v>119</v>
      </c>
      <c r="P110" s="11">
        <v>2999</v>
      </c>
      <c r="Q110" s="12">
        <v>44512</v>
      </c>
      <c r="R110" s="12">
        <v>45605</v>
      </c>
      <c r="S110" s="12">
        <v>45609</v>
      </c>
      <c r="T110" s="14" t="s">
        <v>1175</v>
      </c>
      <c r="U110" s="12">
        <f t="shared" si="19"/>
        <v>45974</v>
      </c>
      <c r="V110" s="8" t="str">
        <f t="shared" ca="1" si="22"/>
        <v>-</v>
      </c>
      <c r="W110" s="9">
        <v>20000</v>
      </c>
      <c r="X110" s="9" t="s">
        <v>391</v>
      </c>
      <c r="Y110" s="8" t="s">
        <v>392</v>
      </c>
      <c r="Z110" s="9"/>
      <c r="AA110" s="9" t="s">
        <v>398</v>
      </c>
      <c r="AB110" s="12">
        <v>45651</v>
      </c>
      <c r="AC110" s="8">
        <f t="shared" si="25"/>
        <v>365</v>
      </c>
      <c r="AD110" s="8">
        <f t="shared" ca="1" si="26"/>
        <v>-252</v>
      </c>
      <c r="AE110" s="8" t="e">
        <f>VLOOKUP($B110, [1]렌트_계약서번호!$B$3:$E$501, 4, FALSE)</f>
        <v>#N/A</v>
      </c>
      <c r="AF110" s="18">
        <v>113856000</v>
      </c>
      <c r="AG110" s="9">
        <f>AF110-AH110</f>
        <v>0</v>
      </c>
      <c r="AH110" s="9">
        <v>113856000</v>
      </c>
      <c r="AI110" s="9">
        <v>0</v>
      </c>
      <c r="AJ110" s="9">
        <v>0</v>
      </c>
      <c r="AK110" s="9">
        <v>4140210</v>
      </c>
      <c r="AL110" s="9">
        <v>201254</v>
      </c>
      <c r="AM110" s="9">
        <v>5000</v>
      </c>
      <c r="AN110" s="9">
        <v>21500</v>
      </c>
      <c r="AO110" s="9">
        <v>30000</v>
      </c>
      <c r="AP110" s="9">
        <v>0</v>
      </c>
      <c r="AQ110" s="9">
        <v>0</v>
      </c>
      <c r="AR110" s="9" t="s">
        <v>205</v>
      </c>
      <c r="AS110" s="9">
        <v>0</v>
      </c>
      <c r="AT110" s="9" t="s">
        <v>206</v>
      </c>
      <c r="AU110" s="18">
        <v>4397964</v>
      </c>
      <c r="AV110" s="13">
        <f>SUM(AI110,AJ110,AM110,AN110,AO110, AQ110,AS110+AK110+AL110)</f>
        <v>4397964</v>
      </c>
      <c r="AW110" s="13" t="s">
        <v>158</v>
      </c>
      <c r="AX110" s="17">
        <v>44512</v>
      </c>
      <c r="AY110" s="18">
        <f>4776960-702160</f>
        <v>4074800</v>
      </c>
      <c r="AZ110" s="25">
        <v>1134440</v>
      </c>
      <c r="BA110" s="9"/>
      <c r="BB110" s="9"/>
      <c r="BC110" s="9"/>
      <c r="BD110" s="9" t="s">
        <v>125</v>
      </c>
      <c r="BE110" s="9" t="s">
        <v>126</v>
      </c>
      <c r="BF110" s="9" t="s">
        <v>187</v>
      </c>
      <c r="BG110" s="9" t="s">
        <v>188</v>
      </c>
      <c r="BH110" s="9" t="s">
        <v>129</v>
      </c>
      <c r="BI110" s="9" t="s">
        <v>189</v>
      </c>
      <c r="BJ110" s="8" t="s">
        <v>256</v>
      </c>
      <c r="BK110" s="9" t="s">
        <v>132</v>
      </c>
      <c r="BL110" s="9" t="s">
        <v>133</v>
      </c>
      <c r="BM110" s="9" t="s">
        <v>257</v>
      </c>
      <c r="BN110" s="9" t="s">
        <v>134</v>
      </c>
      <c r="BO110" s="9" t="s">
        <v>134</v>
      </c>
      <c r="BP110" s="9" t="s">
        <v>399</v>
      </c>
      <c r="BQ110" s="8"/>
      <c r="BR110" s="9">
        <f t="shared" ref="BR110:BR139" si="32">IF(P110&lt;=1600,P110*18,IF(P110&lt;=2500,P110*19,IF(P110&gt;2500,P110*24,20000)))</f>
        <v>71976</v>
      </c>
      <c r="BS110" s="8" t="s">
        <v>400</v>
      </c>
      <c r="BT110" s="19">
        <v>44511</v>
      </c>
      <c r="BU110" s="9">
        <v>101571000</v>
      </c>
      <c r="BV110" s="26" t="s">
        <v>401</v>
      </c>
      <c r="BW110" s="9">
        <v>3067700</v>
      </c>
      <c r="BX110" s="9">
        <v>111382117</v>
      </c>
      <c r="BY110" s="9">
        <v>9811117</v>
      </c>
      <c r="BZ110" s="27">
        <v>3.0599999999999999E-2</v>
      </c>
      <c r="CA110" s="1"/>
      <c r="CB110" s="28" t="s">
        <v>385</v>
      </c>
      <c r="CC110" s="28" t="s">
        <v>385</v>
      </c>
      <c r="CD110" s="9">
        <v>2025000</v>
      </c>
      <c r="CE110" s="13">
        <f>T110*12</f>
        <v>12</v>
      </c>
      <c r="CF110" s="9">
        <f t="shared" si="30"/>
        <v>24300000</v>
      </c>
      <c r="CG110" s="9">
        <v>12360000</v>
      </c>
      <c r="CH110" s="9">
        <v>0</v>
      </c>
      <c r="CI110" s="9">
        <v>31579800</v>
      </c>
      <c r="CJ110" s="29">
        <v>0</v>
      </c>
      <c r="CK110" s="30">
        <v>0</v>
      </c>
      <c r="CL110" s="31" t="s">
        <v>403</v>
      </c>
      <c r="CM110" s="31" t="s">
        <v>404</v>
      </c>
      <c r="CN110" s="31"/>
      <c r="CO110" s="27">
        <v>0.03</v>
      </c>
      <c r="CP110" s="22"/>
      <c r="CQ110" s="32">
        <v>0</v>
      </c>
      <c r="CR110" s="32">
        <v>0</v>
      </c>
      <c r="CS110" s="32">
        <v>0</v>
      </c>
      <c r="CT110" s="32">
        <v>0</v>
      </c>
      <c r="CU110" s="32">
        <v>0</v>
      </c>
      <c r="CV110" s="32">
        <v>0</v>
      </c>
      <c r="CW110" s="32">
        <v>0</v>
      </c>
      <c r="CX110" s="32">
        <v>0</v>
      </c>
      <c r="CY110" s="32">
        <v>0</v>
      </c>
      <c r="CZ110" s="32">
        <v>0</v>
      </c>
      <c r="DA110" s="32">
        <v>0</v>
      </c>
      <c r="DB110" s="32" t="str">
        <f>IF(DC110="정수원 실장","기아", IF(DC110="박현식 부장", "현대", IF(DC110="김성진 팀장", "한성", IF(DC110="전석영 부장", "한성", IF(DC110= "박봉호 부장", "모토원",IF(DC110="정원철 부장", "한성"))))))</f>
        <v>한성</v>
      </c>
      <c r="DC110" s="32" t="s">
        <v>405</v>
      </c>
      <c r="DD110" s="32" t="e">
        <f>IF(DC110="정수원 실장","렌트베네핏", IF(DC110="박현식 부장", "렌트베네핏", IF(DC110="김성진 팀장", "청담", IF(DC110="전석영 부장", "방배", IF(DC110= "박봉호 부장", "일산",IF(#REF!="정원철 부장", "청담"))))))</f>
        <v>#REF!</v>
      </c>
      <c r="DE110" s="32"/>
      <c r="DF110" s="32" t="s">
        <v>734</v>
      </c>
      <c r="DG110" s="32" t="s">
        <v>1176</v>
      </c>
      <c r="DH110" s="32" t="s">
        <v>406</v>
      </c>
      <c r="DI110" s="19" t="s">
        <v>137</v>
      </c>
      <c r="DJ110" s="22">
        <v>0.35</v>
      </c>
      <c r="DK110" s="22">
        <v>0.25</v>
      </c>
      <c r="DL110" s="32"/>
      <c r="DM110" s="20"/>
      <c r="DN110" s="32"/>
      <c r="DO110" s="32"/>
      <c r="DP110" s="22"/>
    </row>
    <row r="111" spans="1:120">
      <c r="A111" s="8">
        <v>108</v>
      </c>
      <c r="B111" s="8" t="s">
        <v>1177</v>
      </c>
      <c r="C111" s="34" t="s">
        <v>244</v>
      </c>
      <c r="D111" s="8" t="s">
        <v>1178</v>
      </c>
      <c r="E111" s="8" t="s">
        <v>1179</v>
      </c>
      <c r="F111" s="8" t="s">
        <v>1180</v>
      </c>
      <c r="G111" s="22" t="s">
        <v>1181</v>
      </c>
      <c r="H111" s="20" t="s">
        <v>1182</v>
      </c>
      <c r="I111" s="13">
        <f>32150000+2670000</f>
        <v>34820000</v>
      </c>
      <c r="J111" s="8">
        <v>2025</v>
      </c>
      <c r="K111" s="20" t="s">
        <v>1183</v>
      </c>
      <c r="L111" s="10" t="s">
        <v>116</v>
      </c>
      <c r="M111" s="22" t="s">
        <v>1184</v>
      </c>
      <c r="N111" s="8" t="s">
        <v>1185</v>
      </c>
      <c r="O111" s="8" t="s">
        <v>1186</v>
      </c>
      <c r="P111" s="11">
        <v>1580</v>
      </c>
      <c r="Q111" s="12">
        <v>45672</v>
      </c>
      <c r="R111" s="12">
        <v>45644</v>
      </c>
      <c r="S111" s="12">
        <v>45672</v>
      </c>
      <c r="T111" s="14" t="s">
        <v>120</v>
      </c>
      <c r="U111" s="12">
        <f t="shared" si="19"/>
        <v>47497</v>
      </c>
      <c r="V111" s="8">
        <f t="shared" ca="1" si="22"/>
        <v>41</v>
      </c>
      <c r="W111" s="9">
        <v>20000</v>
      </c>
      <c r="X111" s="22" t="s">
        <v>1187</v>
      </c>
      <c r="Y111" s="22" t="s">
        <v>1188</v>
      </c>
      <c r="Z111" s="22"/>
      <c r="AA111" s="12" t="s">
        <v>1189</v>
      </c>
      <c r="AB111" s="12">
        <v>45682</v>
      </c>
      <c r="AC111" s="8">
        <f t="shared" si="25"/>
        <v>1825</v>
      </c>
      <c r="AD111" s="8">
        <f t="shared" ca="1" si="26"/>
        <v>1271</v>
      </c>
      <c r="AE111" s="8" t="str">
        <f>VLOOKUP($B111, [1]렌트_계약서번호!$B$3:$E$501, 4, FALSE)</f>
        <v>24120104</v>
      </c>
      <c r="AF111" s="20">
        <f>32150000+2670000</f>
        <v>34820000</v>
      </c>
      <c r="AG111" s="9">
        <v>1761992</v>
      </c>
      <c r="AH111" s="9">
        <f>AF111-AG111+AI111</f>
        <v>33208008</v>
      </c>
      <c r="AI111" s="9">
        <v>150000</v>
      </c>
      <c r="AJ111" s="9">
        <v>1900</v>
      </c>
      <c r="AK111" s="20">
        <v>1207650</v>
      </c>
      <c r="AL111" s="20">
        <v>0</v>
      </c>
      <c r="AM111" s="20">
        <v>2000</v>
      </c>
      <c r="AN111" s="20">
        <v>45000</v>
      </c>
      <c r="AO111" s="20">
        <v>50000</v>
      </c>
      <c r="AP111" s="20"/>
      <c r="AQ111" s="20"/>
      <c r="AR111" s="20" t="s">
        <v>145</v>
      </c>
      <c r="AS111" s="20">
        <v>198000</v>
      </c>
      <c r="AT111" s="13" t="s">
        <v>1130</v>
      </c>
      <c r="AU111" s="20"/>
      <c r="AV111" s="20"/>
      <c r="AW111" s="13" t="s">
        <v>158</v>
      </c>
      <c r="AX111" s="17">
        <v>45672</v>
      </c>
      <c r="AY111" s="20">
        <v>900000</v>
      </c>
      <c r="AZ111" s="20">
        <v>580333</v>
      </c>
      <c r="BA111" s="20">
        <v>400000</v>
      </c>
      <c r="BB111" s="20">
        <v>1800000</v>
      </c>
      <c r="BC111" s="9"/>
      <c r="BD111" s="9" t="s">
        <v>125</v>
      </c>
      <c r="BE111" s="9" t="s">
        <v>126</v>
      </c>
      <c r="BF111" s="9" t="s">
        <v>187</v>
      </c>
      <c r="BG111" s="9" t="s">
        <v>188</v>
      </c>
      <c r="BH111" s="9" t="s">
        <v>129</v>
      </c>
      <c r="BI111" s="9" t="s">
        <v>130</v>
      </c>
      <c r="BJ111" s="8" t="s">
        <v>256</v>
      </c>
      <c r="BK111" s="9" t="s">
        <v>132</v>
      </c>
      <c r="BL111" s="9" t="s">
        <v>133</v>
      </c>
      <c r="BM111" s="9" t="s">
        <v>133</v>
      </c>
      <c r="BN111" s="9" t="s">
        <v>133</v>
      </c>
      <c r="BO111" s="9" t="s">
        <v>817</v>
      </c>
      <c r="BP111" s="20" t="s">
        <v>1190</v>
      </c>
      <c r="BQ111" s="22"/>
      <c r="BR111" s="8">
        <f t="shared" si="32"/>
        <v>28440</v>
      </c>
      <c r="BS111" s="8" t="s">
        <v>136</v>
      </c>
      <c r="BT111" s="22"/>
      <c r="BU111" s="22"/>
      <c r="BV111" s="22"/>
      <c r="BW111" s="22"/>
      <c r="BX111" s="22"/>
      <c r="BY111" s="22"/>
      <c r="BZ111" s="22"/>
      <c r="CA111" s="28"/>
      <c r="CB111" s="28" t="s">
        <v>385</v>
      </c>
      <c r="CC111" s="28" t="s">
        <v>385</v>
      </c>
      <c r="CD111" s="20">
        <v>638000</v>
      </c>
      <c r="CE111" s="13">
        <v>60</v>
      </c>
      <c r="CF111" s="9">
        <f t="shared" si="30"/>
        <v>38280000</v>
      </c>
      <c r="CG111" s="9">
        <v>16017200</v>
      </c>
      <c r="CH111" s="9">
        <v>0</v>
      </c>
      <c r="CI111" s="13">
        <v>16017200</v>
      </c>
      <c r="CJ111" s="69">
        <v>0.03</v>
      </c>
      <c r="CK111" s="72">
        <v>0.06</v>
      </c>
      <c r="CL111" s="73" t="s">
        <v>1191</v>
      </c>
      <c r="CM111" s="22"/>
      <c r="CN111" s="22"/>
      <c r="CO111" s="27">
        <v>0.03</v>
      </c>
      <c r="CP111" s="22"/>
      <c r="CQ111" s="22" t="s">
        <v>1192</v>
      </c>
      <c r="CR111" s="20">
        <v>58500</v>
      </c>
      <c r="CS111" s="32" t="s">
        <v>1086</v>
      </c>
      <c r="CT111" s="74">
        <v>165000</v>
      </c>
      <c r="CU111" s="22"/>
      <c r="CV111" s="22"/>
      <c r="CW111" s="22"/>
      <c r="CX111" s="22"/>
      <c r="CY111" s="22"/>
      <c r="CZ111" s="22"/>
      <c r="DA111" s="32"/>
      <c r="DB111" s="32" t="s">
        <v>1134</v>
      </c>
      <c r="DC111" s="32" t="s">
        <v>260</v>
      </c>
      <c r="DD111" s="32" t="s">
        <v>819</v>
      </c>
      <c r="DE111" s="22"/>
      <c r="DF111" s="22" t="s">
        <v>705</v>
      </c>
      <c r="DG111" s="74" t="s">
        <v>1193</v>
      </c>
      <c r="DH111" s="74" t="s">
        <v>1194</v>
      </c>
      <c r="DI111" s="22" t="s">
        <v>1195</v>
      </c>
      <c r="DJ111" s="75">
        <v>0.35</v>
      </c>
      <c r="DK111" s="22">
        <v>0.25</v>
      </c>
      <c r="DL111" s="74"/>
      <c r="DM111" s="20">
        <v>216352</v>
      </c>
      <c r="DN111" s="22"/>
      <c r="DO111" s="22"/>
      <c r="DP111" s="71"/>
    </row>
    <row r="112" spans="1:120">
      <c r="A112" s="8">
        <v>109</v>
      </c>
      <c r="B112" s="8" t="s">
        <v>1196</v>
      </c>
      <c r="C112" s="8" t="s">
        <v>208</v>
      </c>
      <c r="D112" s="8" t="s">
        <v>597</v>
      </c>
      <c r="E112" s="8" t="s">
        <v>598</v>
      </c>
      <c r="F112" s="8" t="s">
        <v>599</v>
      </c>
      <c r="G112" s="8" t="s">
        <v>248</v>
      </c>
      <c r="H112" s="8" t="s">
        <v>114</v>
      </c>
      <c r="I112" s="9">
        <v>4065000</v>
      </c>
      <c r="J112" s="8">
        <v>2022</v>
      </c>
      <c r="K112" s="10" t="s">
        <v>115</v>
      </c>
      <c r="L112" s="10" t="s">
        <v>116</v>
      </c>
      <c r="M112" s="8" t="s">
        <v>600</v>
      </c>
      <c r="N112" s="55" t="s">
        <v>601</v>
      </c>
      <c r="O112" s="8" t="s">
        <v>119</v>
      </c>
      <c r="P112" s="11">
        <v>998</v>
      </c>
      <c r="Q112" s="12">
        <v>44503</v>
      </c>
      <c r="R112" s="12">
        <v>45677</v>
      </c>
      <c r="S112" s="12">
        <v>45677</v>
      </c>
      <c r="T112" s="14" t="s">
        <v>1175</v>
      </c>
      <c r="U112" s="12">
        <f t="shared" si="19"/>
        <v>46042</v>
      </c>
      <c r="V112" s="8" t="str">
        <f t="shared" ca="1" si="22"/>
        <v>-</v>
      </c>
      <c r="W112" s="9">
        <v>20000</v>
      </c>
      <c r="X112" s="9" t="s">
        <v>602</v>
      </c>
      <c r="Y112" s="8" t="s">
        <v>603</v>
      </c>
      <c r="Z112" s="9"/>
      <c r="AA112" s="9" t="s">
        <v>604</v>
      </c>
      <c r="AB112" s="12">
        <v>45682</v>
      </c>
      <c r="AC112" s="8">
        <f t="shared" si="25"/>
        <v>365</v>
      </c>
      <c r="AD112" s="8">
        <f t="shared" ca="1" si="26"/>
        <v>-184</v>
      </c>
      <c r="AE112" s="8" t="e">
        <f>VLOOKUP($B112, [1]렌트_계약서번호!$B$3:$E$501, 4, FALSE)</f>
        <v>#N/A</v>
      </c>
      <c r="AF112" s="18">
        <v>13209603</v>
      </c>
      <c r="AG112" s="9">
        <v>200000</v>
      </c>
      <c r="AH112" s="9">
        <v>12688000</v>
      </c>
      <c r="AI112" s="9">
        <v>0</v>
      </c>
      <c r="AJ112" s="9">
        <v>2000</v>
      </c>
      <c r="AK112" s="9">
        <v>461380</v>
      </c>
      <c r="AL112" s="9">
        <v>0</v>
      </c>
      <c r="AM112" s="9">
        <v>2000</v>
      </c>
      <c r="AN112" s="9">
        <v>27000</v>
      </c>
      <c r="AO112" s="9">
        <v>30000</v>
      </c>
      <c r="AP112" s="9">
        <v>430000</v>
      </c>
      <c r="AQ112" s="9">
        <v>0</v>
      </c>
      <c r="AR112" s="9" t="s">
        <v>122</v>
      </c>
      <c r="AS112" s="9">
        <v>0</v>
      </c>
      <c r="AT112" s="9" t="s">
        <v>123</v>
      </c>
      <c r="AU112" s="9"/>
      <c r="AV112" s="13">
        <f>SUM(AI112,AJ112,AM112,AN112,AO112, AQ112,AS112+AK112+AL112)</f>
        <v>522380</v>
      </c>
      <c r="AW112" s="13" t="s">
        <v>124</v>
      </c>
      <c r="AX112" s="17">
        <v>44503</v>
      </c>
      <c r="AY112" s="18">
        <v>1153090</v>
      </c>
      <c r="AZ112" s="18">
        <v>1035460</v>
      </c>
      <c r="BA112" s="9"/>
      <c r="BB112" s="9"/>
      <c r="BC112" s="9"/>
      <c r="BD112" s="9" t="s">
        <v>125</v>
      </c>
      <c r="BE112" s="9" t="s">
        <v>126</v>
      </c>
      <c r="BF112" s="9" t="s">
        <v>255</v>
      </c>
      <c r="BG112" s="9" t="s">
        <v>128</v>
      </c>
      <c r="BH112" s="9" t="s">
        <v>129</v>
      </c>
      <c r="BI112" s="9" t="s">
        <v>130</v>
      </c>
      <c r="BJ112" s="8" t="s">
        <v>256</v>
      </c>
      <c r="BK112" s="9" t="s">
        <v>132</v>
      </c>
      <c r="BL112" s="9" t="s">
        <v>133</v>
      </c>
      <c r="BM112" s="9" t="s">
        <v>257</v>
      </c>
      <c r="BN112" s="9" t="s">
        <v>134</v>
      </c>
      <c r="BO112" s="9" t="s">
        <v>134</v>
      </c>
      <c r="BP112" s="9" t="s">
        <v>590</v>
      </c>
      <c r="BQ112" s="8"/>
      <c r="BR112" s="9">
        <f t="shared" si="32"/>
        <v>17964</v>
      </c>
      <c r="BS112" s="8" t="s">
        <v>136</v>
      </c>
      <c r="BT112" s="19"/>
      <c r="BU112" s="9"/>
      <c r="BV112" s="26"/>
      <c r="BW112" s="9"/>
      <c r="BX112" s="9">
        <f>BW112*BV112</f>
        <v>0</v>
      </c>
      <c r="BY112" s="9">
        <f>BX112-BU112</f>
        <v>0</v>
      </c>
      <c r="BZ112" s="27">
        <v>0</v>
      </c>
      <c r="CA112" s="1"/>
      <c r="CB112" s="28" t="s">
        <v>385</v>
      </c>
      <c r="CC112" s="28" t="s">
        <v>385</v>
      </c>
      <c r="CD112" s="9">
        <v>230000</v>
      </c>
      <c r="CE112" s="13">
        <f>T112*12</f>
        <v>12</v>
      </c>
      <c r="CF112" s="9">
        <f t="shared" si="30"/>
        <v>2760000</v>
      </c>
      <c r="CG112" s="9">
        <v>0</v>
      </c>
      <c r="CH112" s="9"/>
      <c r="CI112" s="9">
        <v>3455250</v>
      </c>
      <c r="CJ112" s="29">
        <v>-0.02</v>
      </c>
      <c r="CK112" s="30">
        <v>0.04</v>
      </c>
      <c r="CL112" s="31" t="s">
        <v>605</v>
      </c>
      <c r="CM112" s="9"/>
      <c r="CN112" s="9"/>
      <c r="CO112" s="27">
        <v>0.03</v>
      </c>
      <c r="CP112" s="22"/>
      <c r="CQ112" s="32">
        <v>0</v>
      </c>
      <c r="CR112" s="32">
        <v>0</v>
      </c>
      <c r="CS112" s="32">
        <v>0</v>
      </c>
      <c r="CT112" s="32">
        <v>0</v>
      </c>
      <c r="CU112" s="32">
        <v>0</v>
      </c>
      <c r="CV112" s="32">
        <v>0</v>
      </c>
      <c r="CW112" s="32">
        <v>0</v>
      </c>
      <c r="CX112" s="32">
        <v>0</v>
      </c>
      <c r="CY112" s="32">
        <v>0</v>
      </c>
      <c r="CZ112" s="32">
        <v>0</v>
      </c>
      <c r="DA112" s="32">
        <v>0</v>
      </c>
      <c r="DB112" s="32" t="str">
        <f>IF(DC112="정수원 실장","기아", IF(DC112="박현식 부장", "현대", IF(DC112="김성진 팀장", "한성", IF(DC112="전석영 부장", "한성", IF(DC112= "박봉호 부장", "모토원",IF(DC112="정원철 부장", "한성"))))))</f>
        <v>기아</v>
      </c>
      <c r="DC112" s="32" t="s">
        <v>260</v>
      </c>
      <c r="DD112" s="32" t="s">
        <v>561</v>
      </c>
      <c r="DE112" s="32"/>
      <c r="DF112" s="32" t="s">
        <v>944</v>
      </c>
      <c r="DG112" s="32" t="s">
        <v>1197</v>
      </c>
      <c r="DH112" s="32" t="s">
        <v>606</v>
      </c>
      <c r="DI112" s="32" t="s">
        <v>1198</v>
      </c>
      <c r="DJ112" s="22">
        <v>0.3</v>
      </c>
      <c r="DK112" s="22">
        <v>0.25</v>
      </c>
      <c r="DL112" s="32"/>
      <c r="DM112" s="20"/>
      <c r="DN112" s="32"/>
      <c r="DO112" s="32"/>
      <c r="DP112" s="22"/>
    </row>
    <row r="113" spans="1:120">
      <c r="A113" s="8">
        <v>110</v>
      </c>
      <c r="B113" s="8" t="s">
        <v>1199</v>
      </c>
      <c r="C113" s="34" t="s">
        <v>244</v>
      </c>
      <c r="D113" s="8" t="s">
        <v>597</v>
      </c>
      <c r="E113" s="8" t="s">
        <v>598</v>
      </c>
      <c r="F113" s="8" t="s">
        <v>599</v>
      </c>
      <c r="G113" s="22" t="s">
        <v>1200</v>
      </c>
      <c r="H113" s="20" t="s">
        <v>1201</v>
      </c>
      <c r="I113" s="13">
        <v>61640000</v>
      </c>
      <c r="J113" s="8">
        <v>2025</v>
      </c>
      <c r="K113" s="22" t="s">
        <v>1202</v>
      </c>
      <c r="L113" s="10" t="s">
        <v>116</v>
      </c>
      <c r="M113" s="22" t="s">
        <v>1203</v>
      </c>
      <c r="N113" s="8" t="s">
        <v>1204</v>
      </c>
      <c r="O113" s="8" t="s">
        <v>1205</v>
      </c>
      <c r="P113" s="11">
        <v>2497</v>
      </c>
      <c r="Q113" s="12">
        <v>45706</v>
      </c>
      <c r="R113" s="12">
        <v>45706</v>
      </c>
      <c r="S113" s="12">
        <v>45706</v>
      </c>
      <c r="T113" s="14" t="s">
        <v>120</v>
      </c>
      <c r="U113" s="12">
        <f t="shared" si="19"/>
        <v>47531</v>
      </c>
      <c r="V113" s="8">
        <f t="shared" ca="1" si="22"/>
        <v>42</v>
      </c>
      <c r="W113" s="9">
        <v>20000</v>
      </c>
      <c r="X113" s="9" t="s">
        <v>602</v>
      </c>
      <c r="Y113" s="8" t="s">
        <v>603</v>
      </c>
      <c r="Z113" s="22"/>
      <c r="AA113" s="9" t="s">
        <v>604</v>
      </c>
      <c r="AB113" s="12">
        <v>45741</v>
      </c>
      <c r="AC113" s="8">
        <f t="shared" si="25"/>
        <v>1825</v>
      </c>
      <c r="AD113" s="8">
        <f t="shared" ca="1" si="26"/>
        <v>1305</v>
      </c>
      <c r="AE113" s="8" t="s">
        <v>1206</v>
      </c>
      <c r="AF113" s="20">
        <v>60340000</v>
      </c>
      <c r="AG113" s="9">
        <v>3154582</v>
      </c>
      <c r="AH113" s="9">
        <f t="shared" ref="AH113:AH118" si="33">AF113-AG113+AI113</f>
        <v>57517418</v>
      </c>
      <c r="AI113" s="9">
        <v>332000</v>
      </c>
      <c r="AJ113" s="9">
        <v>2500</v>
      </c>
      <c r="AK113" s="20">
        <v>2164260</v>
      </c>
      <c r="AL113" s="20">
        <v>9100</v>
      </c>
      <c r="AM113" s="20">
        <v>2000</v>
      </c>
      <c r="AN113" s="20">
        <v>40000</v>
      </c>
      <c r="AO113" s="20">
        <v>33000</v>
      </c>
      <c r="AP113" s="20"/>
      <c r="AQ113" s="20"/>
      <c r="AR113" s="20" t="s">
        <v>145</v>
      </c>
      <c r="AS113" s="20">
        <v>900000</v>
      </c>
      <c r="AT113" s="20" t="s">
        <v>1207</v>
      </c>
      <c r="AU113" s="20"/>
      <c r="AV113" s="20"/>
      <c r="AW113" s="13" t="s">
        <v>124</v>
      </c>
      <c r="AX113" s="17">
        <v>45706</v>
      </c>
      <c r="AY113" s="20"/>
      <c r="AZ113" s="20"/>
      <c r="BA113" s="20"/>
      <c r="BB113" s="20"/>
      <c r="BC113" s="9"/>
      <c r="BD113" s="9" t="s">
        <v>125</v>
      </c>
      <c r="BE113" s="9" t="s">
        <v>126</v>
      </c>
      <c r="BF113" s="9" t="s">
        <v>255</v>
      </c>
      <c r="BG113" s="9" t="s">
        <v>128</v>
      </c>
      <c r="BH113" s="9" t="s">
        <v>129</v>
      </c>
      <c r="BI113" s="9" t="s">
        <v>130</v>
      </c>
      <c r="BJ113" s="8" t="s">
        <v>256</v>
      </c>
      <c r="BK113" s="9" t="s">
        <v>132</v>
      </c>
      <c r="BL113" s="9" t="s">
        <v>133</v>
      </c>
      <c r="BM113" s="9" t="s">
        <v>257</v>
      </c>
      <c r="BN113" s="9" t="s">
        <v>134</v>
      </c>
      <c r="BO113" s="9" t="s">
        <v>134</v>
      </c>
      <c r="BP113" s="20" t="s">
        <v>1208</v>
      </c>
      <c r="BQ113" s="22"/>
      <c r="BR113" s="9">
        <f t="shared" si="32"/>
        <v>47443</v>
      </c>
      <c r="BS113" s="8" t="s">
        <v>136</v>
      </c>
      <c r="BT113" s="22"/>
      <c r="BU113" s="22"/>
      <c r="BV113" s="22"/>
      <c r="BW113" s="22"/>
      <c r="BX113" s="22"/>
      <c r="BY113" s="22"/>
      <c r="BZ113" s="22"/>
      <c r="CA113" s="28"/>
      <c r="CB113" s="28" t="s">
        <v>385</v>
      </c>
      <c r="CC113" s="28" t="s">
        <v>385</v>
      </c>
      <c r="CD113" s="20">
        <v>1054000</v>
      </c>
      <c r="CE113" s="13">
        <v>60</v>
      </c>
      <c r="CF113" s="9">
        <f t="shared" si="30"/>
        <v>63240000</v>
      </c>
      <c r="CG113" s="9">
        <v>18492000</v>
      </c>
      <c r="CH113" s="9">
        <v>0</v>
      </c>
      <c r="CI113" s="20">
        <v>20957600</v>
      </c>
      <c r="CJ113" s="69"/>
      <c r="CK113" s="72"/>
      <c r="CL113" s="73" t="s">
        <v>605</v>
      </c>
      <c r="CM113" s="22"/>
      <c r="CN113" s="22"/>
      <c r="CO113" s="27">
        <v>0.03</v>
      </c>
      <c r="CP113" s="22"/>
      <c r="CQ113" s="22" t="s">
        <v>145</v>
      </c>
      <c r="CR113" s="20">
        <v>700000</v>
      </c>
      <c r="CS113" s="32" t="s">
        <v>1209</v>
      </c>
      <c r="CT113" s="20">
        <v>100000</v>
      </c>
      <c r="CU113" s="22" t="s">
        <v>1210</v>
      </c>
      <c r="CV113" s="20">
        <v>100000</v>
      </c>
      <c r="CW113" s="22" t="s">
        <v>1211</v>
      </c>
      <c r="CX113" s="20">
        <v>100000</v>
      </c>
      <c r="CY113" s="22" t="s">
        <v>1212</v>
      </c>
      <c r="CZ113" s="20">
        <v>120000</v>
      </c>
      <c r="DA113" s="32"/>
      <c r="DB113" s="32" t="s">
        <v>232</v>
      </c>
      <c r="DC113" s="32" t="s">
        <v>801</v>
      </c>
      <c r="DD113" s="32" t="s">
        <v>819</v>
      </c>
      <c r="DE113" s="32"/>
      <c r="DF113" s="32" t="s">
        <v>944</v>
      </c>
      <c r="DG113" s="32" t="s">
        <v>1197</v>
      </c>
      <c r="DH113" s="32" t="s">
        <v>606</v>
      </c>
      <c r="DI113" s="32" t="s">
        <v>1198</v>
      </c>
      <c r="DJ113" s="22">
        <v>0.35</v>
      </c>
      <c r="DK113" s="22">
        <v>0.25</v>
      </c>
      <c r="DL113" s="32"/>
      <c r="DM113" s="20">
        <v>2018698</v>
      </c>
      <c r="DN113" s="22"/>
      <c r="DO113" s="22"/>
      <c r="DP113" s="71"/>
    </row>
    <row r="114" spans="1:120">
      <c r="A114" s="8">
        <v>111</v>
      </c>
      <c r="B114" s="8" t="s">
        <v>1213</v>
      </c>
      <c r="C114" s="34" t="s">
        <v>244</v>
      </c>
      <c r="D114" s="8" t="s">
        <v>1214</v>
      </c>
      <c r="E114" s="8" t="s">
        <v>1215</v>
      </c>
      <c r="F114" s="8" t="s">
        <v>1216</v>
      </c>
      <c r="G114" s="22" t="s">
        <v>174</v>
      </c>
      <c r="H114" s="20" t="s">
        <v>1217</v>
      </c>
      <c r="I114" s="13">
        <v>47760000</v>
      </c>
      <c r="J114" s="8">
        <v>2025</v>
      </c>
      <c r="K114" s="22" t="s">
        <v>1218</v>
      </c>
      <c r="L114" s="22" t="s">
        <v>116</v>
      </c>
      <c r="M114" s="22" t="s">
        <v>1219</v>
      </c>
      <c r="N114" s="8" t="s">
        <v>1220</v>
      </c>
      <c r="O114" s="8" t="s">
        <v>1221</v>
      </c>
      <c r="P114" s="11">
        <v>1598</v>
      </c>
      <c r="Q114" s="12">
        <v>45750</v>
      </c>
      <c r="R114" s="12">
        <v>45740</v>
      </c>
      <c r="S114" s="12">
        <v>45740</v>
      </c>
      <c r="T114" s="14" t="s">
        <v>556</v>
      </c>
      <c r="U114" s="12">
        <f t="shared" si="19"/>
        <v>47200</v>
      </c>
      <c r="V114" s="8">
        <f t="shared" ca="1" si="22"/>
        <v>32</v>
      </c>
      <c r="W114" s="9">
        <v>20000</v>
      </c>
      <c r="X114" s="22" t="s">
        <v>1222</v>
      </c>
      <c r="Y114" s="22" t="s">
        <v>1223</v>
      </c>
      <c r="Z114" s="22"/>
      <c r="AA114" s="12" t="s">
        <v>1224</v>
      </c>
      <c r="AB114" s="12">
        <v>45747</v>
      </c>
      <c r="AC114" s="8">
        <f t="shared" si="25"/>
        <v>1460</v>
      </c>
      <c r="AD114" s="8">
        <f t="shared" ca="1" si="26"/>
        <v>974</v>
      </c>
      <c r="AE114" s="8" t="str">
        <f>VLOOKUP($B114, [1]렌트_계약서번호!$B$3:$E$501, 4, FALSE)</f>
        <v>25030108</v>
      </c>
      <c r="AF114" s="20">
        <v>44340000</v>
      </c>
      <c r="AG114" s="9">
        <v>2416793</v>
      </c>
      <c r="AH114" s="9">
        <f t="shared" si="33"/>
        <v>42099207</v>
      </c>
      <c r="AI114" s="9">
        <v>176000</v>
      </c>
      <c r="AJ114" s="9">
        <v>1900</v>
      </c>
      <c r="AK114" s="20">
        <v>1655240</v>
      </c>
      <c r="AL114" s="20">
        <v>0</v>
      </c>
      <c r="AM114" s="20">
        <v>2000</v>
      </c>
      <c r="AN114" s="20">
        <v>45000</v>
      </c>
      <c r="AO114" s="20">
        <v>50000</v>
      </c>
      <c r="AP114" s="20"/>
      <c r="AQ114" s="20"/>
      <c r="AR114" s="20" t="s">
        <v>145</v>
      </c>
      <c r="AS114" s="20"/>
      <c r="AT114" s="20" t="s">
        <v>1225</v>
      </c>
      <c r="AU114" s="20"/>
      <c r="AV114" s="20"/>
      <c r="AW114" s="13" t="s">
        <v>124</v>
      </c>
      <c r="AX114" s="17"/>
      <c r="AY114" s="20"/>
      <c r="AZ114" s="20"/>
      <c r="BA114" s="20"/>
      <c r="BB114" s="20"/>
      <c r="BC114" s="9"/>
      <c r="BD114" s="9" t="s">
        <v>125</v>
      </c>
      <c r="BE114" s="9" t="s">
        <v>126</v>
      </c>
      <c r="BF114" s="9" t="s">
        <v>255</v>
      </c>
      <c r="BG114" s="9" t="s">
        <v>128</v>
      </c>
      <c r="BH114" s="9" t="s">
        <v>129</v>
      </c>
      <c r="BI114" s="9" t="s">
        <v>130</v>
      </c>
      <c r="BJ114" s="8" t="s">
        <v>1226</v>
      </c>
      <c r="BK114" s="9" t="s">
        <v>132</v>
      </c>
      <c r="BL114" s="9" t="s">
        <v>133</v>
      </c>
      <c r="BM114" s="9" t="s">
        <v>133</v>
      </c>
      <c r="BN114" s="9" t="s">
        <v>133</v>
      </c>
      <c r="BO114" s="9" t="s">
        <v>817</v>
      </c>
      <c r="BP114" s="20" t="s">
        <v>1227</v>
      </c>
      <c r="BQ114" s="22"/>
      <c r="BR114" s="9">
        <f t="shared" si="32"/>
        <v>28764</v>
      </c>
      <c r="BS114" s="8" t="s">
        <v>136</v>
      </c>
      <c r="BT114" s="22"/>
      <c r="BU114" s="22"/>
      <c r="BV114" s="22"/>
      <c r="BW114" s="22"/>
      <c r="BX114" s="22"/>
      <c r="BY114" s="22"/>
      <c r="BZ114" s="22"/>
      <c r="CA114" s="28"/>
      <c r="CB114" s="28" t="s">
        <v>504</v>
      </c>
      <c r="CC114" s="28" t="s">
        <v>504</v>
      </c>
      <c r="CD114" s="20">
        <v>846000</v>
      </c>
      <c r="CE114" s="13">
        <v>48</v>
      </c>
      <c r="CF114" s="9">
        <f t="shared" si="30"/>
        <v>40608000</v>
      </c>
      <c r="CG114" s="9">
        <v>10000000</v>
      </c>
      <c r="CH114" s="9">
        <v>0</v>
      </c>
      <c r="CI114" s="20">
        <v>23880000</v>
      </c>
      <c r="CJ114" s="69">
        <v>8.7999999999999995E-2</v>
      </c>
      <c r="CK114" s="72">
        <v>0.06</v>
      </c>
      <c r="CL114" s="31" t="s">
        <v>1228</v>
      </c>
      <c r="CM114" s="22"/>
      <c r="CN114" s="22"/>
      <c r="CO114" s="27">
        <v>0.03</v>
      </c>
      <c r="CP114" s="22"/>
      <c r="CQ114" s="22" t="s">
        <v>145</v>
      </c>
      <c r="CR114" s="20"/>
      <c r="CS114" s="32" t="s">
        <v>943</v>
      </c>
      <c r="CT114" s="20">
        <v>50000</v>
      </c>
      <c r="CU114" s="22"/>
      <c r="CV114" s="22"/>
      <c r="CW114" s="22"/>
      <c r="CX114" s="22"/>
      <c r="CY114" s="22"/>
      <c r="CZ114" s="22"/>
      <c r="DA114" s="32"/>
      <c r="DB114" s="32" t="s">
        <v>232</v>
      </c>
      <c r="DC114" s="32" t="s">
        <v>801</v>
      </c>
      <c r="DD114" s="32" t="s">
        <v>819</v>
      </c>
      <c r="DE114" s="32"/>
      <c r="DF114" s="32" t="s">
        <v>416</v>
      </c>
      <c r="DG114" s="32" t="s">
        <v>1229</v>
      </c>
      <c r="DH114" s="32" t="s">
        <v>1230</v>
      </c>
      <c r="DI114" s="22" t="s">
        <v>1224</v>
      </c>
      <c r="DJ114" s="22">
        <v>0.35</v>
      </c>
      <c r="DK114" s="22">
        <v>0.25</v>
      </c>
      <c r="DL114" s="32"/>
      <c r="DM114" s="20"/>
      <c r="DN114" s="22"/>
      <c r="DO114" s="22"/>
      <c r="DP114" s="71"/>
    </row>
    <row r="115" spans="1:120">
      <c r="A115" s="8">
        <v>112</v>
      </c>
      <c r="B115" s="8" t="s">
        <v>1231</v>
      </c>
      <c r="C115" s="34" t="s">
        <v>244</v>
      </c>
      <c r="D115" s="8" t="s">
        <v>1232</v>
      </c>
      <c r="E115" s="8" t="s">
        <v>1233</v>
      </c>
      <c r="F115" s="8" t="s">
        <v>1234</v>
      </c>
      <c r="G115" s="22" t="s">
        <v>1235</v>
      </c>
      <c r="H115" s="20" t="s">
        <v>1236</v>
      </c>
      <c r="I115" s="13">
        <v>56530000</v>
      </c>
      <c r="J115" s="8">
        <v>2025</v>
      </c>
      <c r="K115" s="22" t="s">
        <v>1237</v>
      </c>
      <c r="L115" s="22" t="s">
        <v>116</v>
      </c>
      <c r="M115" s="22" t="s">
        <v>1238</v>
      </c>
      <c r="N115" s="8" t="s">
        <v>1239</v>
      </c>
      <c r="O115" s="8" t="s">
        <v>1240</v>
      </c>
      <c r="P115" s="11">
        <v>2497</v>
      </c>
      <c r="Q115" s="12">
        <v>45756</v>
      </c>
      <c r="R115" s="12">
        <v>45756</v>
      </c>
      <c r="S115" s="12">
        <v>45756</v>
      </c>
      <c r="T115" s="14" t="s">
        <v>120</v>
      </c>
      <c r="U115" s="12">
        <f t="shared" si="19"/>
        <v>47581</v>
      </c>
      <c r="V115" s="8">
        <f t="shared" ca="1" si="22"/>
        <v>44</v>
      </c>
      <c r="W115" s="9">
        <v>20000</v>
      </c>
      <c r="X115" s="22" t="s">
        <v>1241</v>
      </c>
      <c r="Y115" s="22" t="s">
        <v>1242</v>
      </c>
      <c r="Z115" s="22"/>
      <c r="AA115" s="76" t="str">
        <f>DI115</f>
        <v>서울시 마포구 방울내로11길 37, 2층 2272호(망원동, 프리마빌딩)</v>
      </c>
      <c r="AB115" s="12">
        <v>45772</v>
      </c>
      <c r="AC115" s="8">
        <f t="shared" si="25"/>
        <v>1825</v>
      </c>
      <c r="AD115" s="8">
        <f t="shared" ca="1" si="26"/>
        <v>1355</v>
      </c>
      <c r="AE115" s="8" t="str">
        <f>VLOOKUP($B115, [1]렌트_계약서번호!$B$3:$E$501, 4, FALSE)</f>
        <v>25040109</v>
      </c>
      <c r="AF115" s="20">
        <v>56530000</v>
      </c>
      <c r="AG115" s="9">
        <f>1089907+2904604</f>
        <v>3994511</v>
      </c>
      <c r="AH115" s="9">
        <f t="shared" si="33"/>
        <v>52880489</v>
      </c>
      <c r="AI115" s="9">
        <v>345000</v>
      </c>
      <c r="AJ115" s="9">
        <v>1900</v>
      </c>
      <c r="AK115" s="20">
        <v>1954560</v>
      </c>
      <c r="AL115" s="20">
        <v>45051</v>
      </c>
      <c r="AM115" s="20">
        <v>2000</v>
      </c>
      <c r="AN115" s="20">
        <v>45000</v>
      </c>
      <c r="AO115" s="20">
        <v>50000</v>
      </c>
      <c r="AP115" s="20"/>
      <c r="AQ115" s="20">
        <f>190000*1.1</f>
        <v>209000.00000000003</v>
      </c>
      <c r="AR115" s="20" t="s">
        <v>165</v>
      </c>
      <c r="AS115" s="20"/>
      <c r="AT115" s="20" t="s">
        <v>1243</v>
      </c>
      <c r="AU115" s="20"/>
      <c r="AV115" s="20"/>
      <c r="AW115" s="13" t="s">
        <v>124</v>
      </c>
      <c r="AX115" s="17"/>
      <c r="AY115" s="20"/>
      <c r="AZ115" s="20"/>
      <c r="BA115" s="20"/>
      <c r="BB115" s="20"/>
      <c r="BC115" s="23"/>
      <c r="BD115" s="9" t="s">
        <v>125</v>
      </c>
      <c r="BE115" s="9" t="s">
        <v>126</v>
      </c>
      <c r="BF115" s="9" t="s">
        <v>255</v>
      </c>
      <c r="BG115" s="9" t="s">
        <v>128</v>
      </c>
      <c r="BH115" s="9" t="s">
        <v>129</v>
      </c>
      <c r="BI115" s="9" t="s">
        <v>130</v>
      </c>
      <c r="BJ115" s="8" t="s">
        <v>256</v>
      </c>
      <c r="BK115" s="9" t="s">
        <v>132</v>
      </c>
      <c r="BL115" s="9" t="s">
        <v>133</v>
      </c>
      <c r="BM115" s="9" t="s">
        <v>133</v>
      </c>
      <c r="BN115" s="9" t="s">
        <v>133</v>
      </c>
      <c r="BO115" s="9" t="s">
        <v>817</v>
      </c>
      <c r="BP115" s="20" t="s">
        <v>1244</v>
      </c>
      <c r="BQ115" s="22"/>
      <c r="BR115" s="9">
        <f t="shared" si="32"/>
        <v>47443</v>
      </c>
      <c r="BS115" s="8" t="s">
        <v>136</v>
      </c>
      <c r="BT115" s="22"/>
      <c r="BU115" s="22"/>
      <c r="BV115" s="22"/>
      <c r="BW115" s="22"/>
      <c r="BX115" s="22"/>
      <c r="BY115" s="22"/>
      <c r="BZ115" s="22"/>
      <c r="CA115" s="28"/>
      <c r="CB115" s="28" t="s">
        <v>385</v>
      </c>
      <c r="CC115" s="28" t="s">
        <v>385</v>
      </c>
      <c r="CD115" s="20">
        <v>873000</v>
      </c>
      <c r="CE115" s="13">
        <v>60</v>
      </c>
      <c r="CF115" s="9">
        <f t="shared" si="30"/>
        <v>52380000</v>
      </c>
      <c r="CG115" s="9">
        <v>16959000</v>
      </c>
      <c r="CH115" s="9">
        <v>0</v>
      </c>
      <c r="CI115" s="20">
        <v>28265000</v>
      </c>
      <c r="CJ115" s="69"/>
      <c r="CK115" s="72"/>
      <c r="CL115" s="31" t="s">
        <v>1245</v>
      </c>
      <c r="CM115" s="22"/>
      <c r="CN115" s="22"/>
      <c r="CO115" s="27">
        <v>0.03</v>
      </c>
      <c r="CP115" s="22"/>
      <c r="CQ115" s="22" t="s">
        <v>165</v>
      </c>
      <c r="CR115" s="20">
        <f>190000*1.1</f>
        <v>209000.00000000003</v>
      </c>
      <c r="CS115" s="32" t="s">
        <v>1086</v>
      </c>
      <c r="CT115" s="74">
        <v>165000</v>
      </c>
      <c r="CU115" s="22" t="s">
        <v>1210</v>
      </c>
      <c r="CV115" s="22"/>
      <c r="CW115" s="22"/>
      <c r="CX115" s="22"/>
      <c r="CY115" s="22"/>
      <c r="CZ115" s="22"/>
      <c r="DA115" s="32"/>
      <c r="DB115" s="32" t="s">
        <v>232</v>
      </c>
      <c r="DC115" s="32" t="s">
        <v>801</v>
      </c>
      <c r="DD115" s="32" t="s">
        <v>819</v>
      </c>
      <c r="DE115" s="22"/>
      <c r="DF115" s="22" t="s">
        <v>705</v>
      </c>
      <c r="DG115" s="22" t="s">
        <v>1246</v>
      </c>
      <c r="DH115" s="22" t="s">
        <v>1247</v>
      </c>
      <c r="DI115" s="22" t="s">
        <v>1248</v>
      </c>
      <c r="DJ115" s="71">
        <v>0.35</v>
      </c>
      <c r="DK115" s="22">
        <v>0.25</v>
      </c>
      <c r="DL115" s="22"/>
      <c r="DM115" s="20"/>
      <c r="DN115" s="22"/>
      <c r="DO115" s="22"/>
      <c r="DP115" s="71"/>
    </row>
    <row r="116" spans="1:120">
      <c r="A116" s="8">
        <v>113</v>
      </c>
      <c r="B116" s="8" t="s">
        <v>1249</v>
      </c>
      <c r="C116" s="34" t="s">
        <v>244</v>
      </c>
      <c r="D116" s="8" t="s">
        <v>1250</v>
      </c>
      <c r="E116" s="8" t="s">
        <v>1251</v>
      </c>
      <c r="F116" s="8" t="s">
        <v>1252</v>
      </c>
      <c r="G116" s="22" t="s">
        <v>182</v>
      </c>
      <c r="H116" s="20" t="s">
        <v>1253</v>
      </c>
      <c r="I116" s="13">
        <v>67250000</v>
      </c>
      <c r="J116" s="8">
        <v>2025</v>
      </c>
      <c r="K116" s="22" t="s">
        <v>1254</v>
      </c>
      <c r="L116" s="22" t="s">
        <v>116</v>
      </c>
      <c r="M116" s="22" t="s">
        <v>1255</v>
      </c>
      <c r="N116" s="8" t="s">
        <v>1256</v>
      </c>
      <c r="O116" s="8" t="s">
        <v>1257</v>
      </c>
      <c r="P116" s="11">
        <v>2497</v>
      </c>
      <c r="Q116" s="12">
        <v>45790</v>
      </c>
      <c r="R116" s="12">
        <v>45791</v>
      </c>
      <c r="S116" s="12">
        <v>45791</v>
      </c>
      <c r="T116" s="14" t="s">
        <v>556</v>
      </c>
      <c r="U116" s="12">
        <f t="shared" si="19"/>
        <v>47251</v>
      </c>
      <c r="V116" s="8">
        <f t="shared" ca="1" si="22"/>
        <v>33</v>
      </c>
      <c r="W116" s="9">
        <v>30000</v>
      </c>
      <c r="X116" s="22" t="s">
        <v>1258</v>
      </c>
      <c r="Y116" s="22" t="s">
        <v>1259</v>
      </c>
      <c r="Z116" s="22"/>
      <c r="AA116" s="76" t="s">
        <v>1260</v>
      </c>
      <c r="AB116" s="12">
        <v>45802</v>
      </c>
      <c r="AC116" s="8">
        <f t="shared" si="25"/>
        <v>1460</v>
      </c>
      <c r="AD116" s="8">
        <f t="shared" ca="1" si="26"/>
        <v>1025</v>
      </c>
      <c r="AE116" s="8" t="str">
        <f>VLOOKUP($B116, [1]렌트_계약서번호!$B$3:$E$501, 4, FALSE)</f>
        <v>25050107</v>
      </c>
      <c r="AF116" s="20">
        <v>67250000</v>
      </c>
      <c r="AG116" s="9">
        <v>5403043</v>
      </c>
      <c r="AH116" s="9">
        <f t="shared" si="33"/>
        <v>62195957</v>
      </c>
      <c r="AI116" s="9">
        <v>349000</v>
      </c>
      <c r="AJ116" s="9">
        <v>1900</v>
      </c>
      <c r="AK116" s="20">
        <v>2261790</v>
      </c>
      <c r="AL116" s="20">
        <v>69569</v>
      </c>
      <c r="AM116" s="20">
        <v>2000</v>
      </c>
      <c r="AN116" s="20">
        <v>45000</v>
      </c>
      <c r="AO116" s="20">
        <v>50000</v>
      </c>
      <c r="AP116" s="20"/>
      <c r="AQ116" s="20"/>
      <c r="AR116" s="20" t="s">
        <v>145</v>
      </c>
      <c r="AS116" s="20">
        <v>198000</v>
      </c>
      <c r="AT116" s="20" t="s">
        <v>1225</v>
      </c>
      <c r="AU116" s="20"/>
      <c r="AV116" s="20"/>
      <c r="AW116" s="13" t="s">
        <v>124</v>
      </c>
      <c r="AX116" s="17"/>
      <c r="AY116" s="20"/>
      <c r="AZ116" s="20"/>
      <c r="BA116" s="20"/>
      <c r="BB116" s="20"/>
      <c r="BC116" s="23"/>
      <c r="BD116" s="9" t="s">
        <v>125</v>
      </c>
      <c r="BE116" s="9" t="s">
        <v>126</v>
      </c>
      <c r="BF116" s="9" t="s">
        <v>187</v>
      </c>
      <c r="BG116" s="9" t="s">
        <v>188</v>
      </c>
      <c r="BH116" s="9" t="s">
        <v>129</v>
      </c>
      <c r="BI116" s="9" t="s">
        <v>189</v>
      </c>
      <c r="BJ116" s="8" t="s">
        <v>256</v>
      </c>
      <c r="BK116" s="9" t="s">
        <v>132</v>
      </c>
      <c r="BL116" s="9" t="s">
        <v>133</v>
      </c>
      <c r="BM116" s="9" t="s">
        <v>133</v>
      </c>
      <c r="BN116" s="9" t="s">
        <v>133</v>
      </c>
      <c r="BO116" s="9" t="s">
        <v>817</v>
      </c>
      <c r="BP116" s="20" t="s">
        <v>1261</v>
      </c>
      <c r="BQ116" s="22"/>
      <c r="BR116" s="9">
        <f t="shared" si="32"/>
        <v>47443</v>
      </c>
      <c r="BS116" s="8" t="s">
        <v>136</v>
      </c>
      <c r="BT116" s="22"/>
      <c r="BU116" s="22"/>
      <c r="BV116" s="22"/>
      <c r="BW116" s="22"/>
      <c r="BX116" s="22"/>
      <c r="BY116" s="22"/>
      <c r="BZ116" s="22"/>
      <c r="CA116" s="28"/>
      <c r="CB116" s="28" t="s">
        <v>385</v>
      </c>
      <c r="CC116" s="28" t="s">
        <v>385</v>
      </c>
      <c r="CD116" s="20">
        <v>1150500</v>
      </c>
      <c r="CE116" s="13">
        <v>48</v>
      </c>
      <c r="CF116" s="9">
        <f t="shared" si="30"/>
        <v>55224000</v>
      </c>
      <c r="CG116" s="9">
        <v>20175000</v>
      </c>
      <c r="CH116" s="9">
        <v>0</v>
      </c>
      <c r="CI116" s="20">
        <v>31607500</v>
      </c>
      <c r="CJ116" s="69">
        <v>0.03</v>
      </c>
      <c r="CK116" s="72">
        <v>0.06</v>
      </c>
      <c r="CL116" s="31" t="s">
        <v>1262</v>
      </c>
      <c r="CM116" s="22"/>
      <c r="CN116" s="22"/>
      <c r="CO116" s="27">
        <v>0.03</v>
      </c>
      <c r="CP116" s="22"/>
      <c r="CQ116" s="74" t="s">
        <v>879</v>
      </c>
      <c r="CR116" s="74">
        <v>53300</v>
      </c>
      <c r="CS116" s="32" t="s">
        <v>1086</v>
      </c>
      <c r="CT116" s="74">
        <v>165000</v>
      </c>
      <c r="CU116" s="22"/>
      <c r="CV116" s="22"/>
      <c r="CW116" s="22"/>
      <c r="CX116" s="22"/>
      <c r="CY116" s="22"/>
      <c r="CZ116" s="22"/>
      <c r="DA116" s="32"/>
      <c r="DB116" s="32" t="s">
        <v>232</v>
      </c>
      <c r="DC116" s="32" t="s">
        <v>801</v>
      </c>
      <c r="DD116" s="32" t="s">
        <v>819</v>
      </c>
      <c r="DE116" s="22"/>
      <c r="DF116" s="22" t="s">
        <v>705</v>
      </c>
      <c r="DG116" s="22" t="s">
        <v>1263</v>
      </c>
      <c r="DH116" s="22" t="s">
        <v>1264</v>
      </c>
      <c r="DI116" s="22" t="s">
        <v>1260</v>
      </c>
      <c r="DJ116" s="71">
        <v>0.35</v>
      </c>
      <c r="DK116" s="22">
        <v>0.25</v>
      </c>
      <c r="DL116" s="22" t="s">
        <v>1265</v>
      </c>
      <c r="DM116" s="20"/>
      <c r="DN116" s="22"/>
      <c r="DO116" s="22"/>
      <c r="DP116" s="71"/>
    </row>
    <row r="117" spans="1:120">
      <c r="A117" s="8">
        <v>114</v>
      </c>
      <c r="B117" s="8" t="s">
        <v>1266</v>
      </c>
      <c r="C117" s="34" t="s">
        <v>244</v>
      </c>
      <c r="D117" s="8" t="s">
        <v>1267</v>
      </c>
      <c r="E117" s="8" t="s">
        <v>1268</v>
      </c>
      <c r="F117" s="8" t="s">
        <v>1269</v>
      </c>
      <c r="G117" s="22" t="s">
        <v>1270</v>
      </c>
      <c r="H117" s="20" t="s">
        <v>119</v>
      </c>
      <c r="I117" s="13">
        <v>97430000</v>
      </c>
      <c r="J117" s="8">
        <v>2025</v>
      </c>
      <c r="K117" s="22" t="s">
        <v>1271</v>
      </c>
      <c r="L117" s="22" t="s">
        <v>116</v>
      </c>
      <c r="M117" s="22" t="s">
        <v>1272</v>
      </c>
      <c r="N117" s="8" t="s">
        <v>1273</v>
      </c>
      <c r="O117" s="8" t="s">
        <v>119</v>
      </c>
      <c r="P117" s="11">
        <v>2487</v>
      </c>
      <c r="Q117" s="12">
        <v>45796</v>
      </c>
      <c r="R117" s="12">
        <v>45796</v>
      </c>
      <c r="S117" s="12">
        <v>45796</v>
      </c>
      <c r="T117" s="14" t="s">
        <v>120</v>
      </c>
      <c r="U117" s="12">
        <f t="shared" si="19"/>
        <v>47621</v>
      </c>
      <c r="V117" s="16">
        <f t="shared" ca="1" si="22"/>
        <v>45</v>
      </c>
      <c r="W117" s="9">
        <v>20000</v>
      </c>
      <c r="X117" s="8" t="s">
        <v>1268</v>
      </c>
      <c r="Y117" s="8" t="s">
        <v>1269</v>
      </c>
      <c r="Z117" s="22"/>
      <c r="AA117" s="12" t="s">
        <v>1274</v>
      </c>
      <c r="AB117" s="12">
        <v>45823</v>
      </c>
      <c r="AC117" s="8">
        <f t="shared" si="25"/>
        <v>1825</v>
      </c>
      <c r="AD117" s="8">
        <f t="shared" ca="1" si="26"/>
        <v>1395</v>
      </c>
      <c r="AE117" s="8" t="str">
        <f>VLOOKUP($B117, [1]렌트_계약서번호!$B$3:$E$501, 4, FALSE)</f>
        <v>25050111</v>
      </c>
      <c r="AF117" s="20">
        <v>97430000</v>
      </c>
      <c r="AG117" s="9">
        <f>AF117-93100000</f>
        <v>4330000</v>
      </c>
      <c r="AH117" s="9">
        <f t="shared" si="33"/>
        <v>93100000</v>
      </c>
      <c r="AI117" s="9">
        <v>0</v>
      </c>
      <c r="AJ117" s="9"/>
      <c r="AK117" s="20">
        <v>3400000</v>
      </c>
      <c r="AL117" s="20">
        <v>12254</v>
      </c>
      <c r="AM117" s="20">
        <v>2000</v>
      </c>
      <c r="AN117" s="20">
        <v>45000</v>
      </c>
      <c r="AO117" s="20">
        <v>35000</v>
      </c>
      <c r="AP117" s="20"/>
      <c r="AQ117" s="20"/>
      <c r="AR117" s="20" t="s">
        <v>1275</v>
      </c>
      <c r="AS117" s="20">
        <v>0</v>
      </c>
      <c r="AT117" s="77" t="s">
        <v>1276</v>
      </c>
      <c r="AU117" s="20"/>
      <c r="AV117" s="20"/>
      <c r="AW117" s="13" t="s">
        <v>124</v>
      </c>
      <c r="AX117" s="17"/>
      <c r="AY117" s="20"/>
      <c r="AZ117" s="20"/>
      <c r="BA117" s="20"/>
      <c r="BB117" s="20"/>
      <c r="BC117" s="23"/>
      <c r="BD117" s="9" t="s">
        <v>125</v>
      </c>
      <c r="BE117" s="9" t="s">
        <v>126</v>
      </c>
      <c r="BF117" s="9" t="s">
        <v>187</v>
      </c>
      <c r="BG117" s="9" t="s">
        <v>188</v>
      </c>
      <c r="BH117" s="9" t="s">
        <v>129</v>
      </c>
      <c r="BI117" s="9" t="s">
        <v>189</v>
      </c>
      <c r="BJ117" s="8" t="s">
        <v>256</v>
      </c>
      <c r="BK117" s="9" t="s">
        <v>132</v>
      </c>
      <c r="BL117" s="9" t="s">
        <v>133</v>
      </c>
      <c r="BM117" s="9" t="s">
        <v>257</v>
      </c>
      <c r="BN117" s="9" t="s">
        <v>257</v>
      </c>
      <c r="BO117" s="9" t="s">
        <v>134</v>
      </c>
      <c r="BP117" s="8" t="s">
        <v>1277</v>
      </c>
      <c r="BQ117" s="23"/>
      <c r="BR117" s="9">
        <f t="shared" si="32"/>
        <v>47253</v>
      </c>
      <c r="BS117" s="8" t="s">
        <v>136</v>
      </c>
      <c r="BT117" s="23"/>
      <c r="BU117" s="23"/>
      <c r="BV117" s="8"/>
      <c r="BW117" s="23"/>
      <c r="BX117" s="23"/>
      <c r="BY117" s="23"/>
      <c r="BZ117" s="23"/>
      <c r="CA117" s="23"/>
      <c r="CB117" s="28" t="s">
        <v>402</v>
      </c>
      <c r="CC117" s="28" t="s">
        <v>402</v>
      </c>
      <c r="CD117" s="20">
        <v>1646000</v>
      </c>
      <c r="CE117" s="13">
        <v>60</v>
      </c>
      <c r="CF117" s="9">
        <f t="shared" si="30"/>
        <v>98760000</v>
      </c>
      <c r="CG117" s="9">
        <v>0</v>
      </c>
      <c r="CH117" s="9">
        <v>0</v>
      </c>
      <c r="CI117" s="20">
        <v>33050500</v>
      </c>
      <c r="CJ117" s="69">
        <v>0.03</v>
      </c>
      <c r="CK117" s="72">
        <v>0.06</v>
      </c>
      <c r="CL117" s="56" t="s">
        <v>1278</v>
      </c>
      <c r="CM117" s="8"/>
      <c r="CN117" s="8"/>
      <c r="CO117" s="27">
        <v>0.03</v>
      </c>
      <c r="CP117" s="23"/>
      <c r="CQ117" s="23"/>
      <c r="CR117" s="23"/>
      <c r="CS117" s="32" t="s">
        <v>1086</v>
      </c>
      <c r="CT117" s="23"/>
      <c r="CU117" s="23"/>
      <c r="CV117" s="23"/>
      <c r="CW117" s="23"/>
      <c r="CX117" s="23"/>
      <c r="CY117" s="23"/>
      <c r="CZ117" s="23"/>
      <c r="DA117" s="23"/>
      <c r="DB117" s="32" t="s">
        <v>1279</v>
      </c>
      <c r="DC117" s="32" t="s">
        <v>1280</v>
      </c>
      <c r="DD117" s="32" t="s">
        <v>819</v>
      </c>
      <c r="DE117" s="22"/>
      <c r="DF117" s="22" t="s">
        <v>705</v>
      </c>
      <c r="DG117" s="22" t="s">
        <v>1281</v>
      </c>
      <c r="DH117" s="22" t="s">
        <v>1282</v>
      </c>
      <c r="DI117" s="22" t="s">
        <v>1274</v>
      </c>
      <c r="DJ117" s="71">
        <v>0.35</v>
      </c>
      <c r="DK117" s="22">
        <v>0.25</v>
      </c>
      <c r="DL117" s="22"/>
      <c r="DM117" s="78"/>
      <c r="DN117" s="23"/>
      <c r="DO117" s="23"/>
      <c r="DP117" s="23"/>
    </row>
    <row r="118" spans="1:120">
      <c r="A118" s="8">
        <v>115</v>
      </c>
      <c r="B118" s="8" t="s">
        <v>1283</v>
      </c>
      <c r="C118" s="34" t="s">
        <v>244</v>
      </c>
      <c r="D118" s="8" t="s">
        <v>1250</v>
      </c>
      <c r="E118" s="8" t="s">
        <v>1251</v>
      </c>
      <c r="F118" s="8" t="s">
        <v>1252</v>
      </c>
      <c r="G118" s="22" t="s">
        <v>1284</v>
      </c>
      <c r="H118" s="20" t="s">
        <v>119</v>
      </c>
      <c r="I118" s="13">
        <v>100490000</v>
      </c>
      <c r="J118" s="8">
        <v>2025</v>
      </c>
      <c r="K118" s="22" t="s">
        <v>1285</v>
      </c>
      <c r="L118" s="22" t="s">
        <v>116</v>
      </c>
      <c r="M118" s="22" t="s">
        <v>1286</v>
      </c>
      <c r="N118" s="8" t="s">
        <v>1287</v>
      </c>
      <c r="O118" s="8" t="s">
        <v>119</v>
      </c>
      <c r="P118" s="11">
        <v>2487</v>
      </c>
      <c r="Q118" s="12">
        <v>45806</v>
      </c>
      <c r="R118" s="12">
        <v>45806</v>
      </c>
      <c r="S118" s="12">
        <v>45806</v>
      </c>
      <c r="T118" s="14" t="s">
        <v>397</v>
      </c>
      <c r="U118" s="12">
        <f t="shared" si="19"/>
        <v>46901</v>
      </c>
      <c r="V118" s="16">
        <f t="shared" ca="1" si="22"/>
        <v>22</v>
      </c>
      <c r="W118" s="9">
        <v>30000</v>
      </c>
      <c r="X118" s="22" t="s">
        <v>1258</v>
      </c>
      <c r="Y118" s="22" t="s">
        <v>1288</v>
      </c>
      <c r="Z118" s="22"/>
      <c r="AA118" s="76" t="s">
        <v>1260</v>
      </c>
      <c r="AB118" s="12">
        <v>45833</v>
      </c>
      <c r="AC118" s="8">
        <f t="shared" si="25"/>
        <v>1095</v>
      </c>
      <c r="AD118" s="8">
        <f t="shared" ca="1" si="26"/>
        <v>675</v>
      </c>
      <c r="AE118" s="8" t="str">
        <f>VLOOKUP($B118, [1]렌트_계약서번호!$B$3:$E$501, 4, FALSE)</f>
        <v>25050112</v>
      </c>
      <c r="AF118" s="20">
        <f>I118</f>
        <v>100490000</v>
      </c>
      <c r="AG118" s="9">
        <v>3215680</v>
      </c>
      <c r="AH118" s="9">
        <f t="shared" si="33"/>
        <v>97274320</v>
      </c>
      <c r="AI118" s="9">
        <v>0</v>
      </c>
      <c r="AJ118" s="9">
        <v>0</v>
      </c>
      <c r="AK118" s="20">
        <v>3543270</v>
      </c>
      <c r="AL118" s="20">
        <v>5569</v>
      </c>
      <c r="AM118" s="20">
        <v>5000</v>
      </c>
      <c r="AN118" s="20">
        <v>40000</v>
      </c>
      <c r="AO118" s="20">
        <v>50000</v>
      </c>
      <c r="AP118" s="20"/>
      <c r="AQ118" s="20"/>
      <c r="AR118" s="20" t="s">
        <v>1289</v>
      </c>
      <c r="AS118" s="20">
        <v>0</v>
      </c>
      <c r="AT118" s="77" t="s">
        <v>1290</v>
      </c>
      <c r="AU118" s="20"/>
      <c r="AV118" s="20"/>
      <c r="AW118" s="13" t="s">
        <v>124</v>
      </c>
      <c r="AX118" s="17"/>
      <c r="AY118" s="20"/>
      <c r="AZ118" s="20"/>
      <c r="BA118" s="20"/>
      <c r="BB118" s="20"/>
      <c r="BC118" s="23"/>
      <c r="BD118" s="9" t="s">
        <v>125</v>
      </c>
      <c r="BE118" s="9" t="s">
        <v>126</v>
      </c>
      <c r="BF118" s="9" t="s">
        <v>187</v>
      </c>
      <c r="BG118" s="9" t="s">
        <v>188</v>
      </c>
      <c r="BH118" s="9" t="s">
        <v>129</v>
      </c>
      <c r="BI118" s="9" t="s">
        <v>189</v>
      </c>
      <c r="BJ118" s="8" t="s">
        <v>256</v>
      </c>
      <c r="BK118" s="9" t="s">
        <v>132</v>
      </c>
      <c r="BL118" s="9" t="s">
        <v>133</v>
      </c>
      <c r="BM118" s="9" t="s">
        <v>257</v>
      </c>
      <c r="BN118" s="9" t="s">
        <v>257</v>
      </c>
      <c r="BO118" s="9" t="s">
        <v>134</v>
      </c>
      <c r="BP118" s="9" t="s">
        <v>1291</v>
      </c>
      <c r="BQ118" s="23"/>
      <c r="BR118" s="9">
        <f t="shared" si="32"/>
        <v>47253</v>
      </c>
      <c r="BS118" s="8" t="s">
        <v>136</v>
      </c>
      <c r="BT118" s="23"/>
      <c r="BU118" s="23"/>
      <c r="BV118" s="8"/>
      <c r="BW118" s="23"/>
      <c r="BX118" s="23"/>
      <c r="BY118" s="23"/>
      <c r="BZ118" s="23"/>
      <c r="CA118" s="23"/>
      <c r="CB118" s="28" t="s">
        <v>385</v>
      </c>
      <c r="CC118" s="28" t="s">
        <v>385</v>
      </c>
      <c r="CD118" s="20">
        <v>1735000</v>
      </c>
      <c r="CE118" s="13">
        <v>36</v>
      </c>
      <c r="CF118" s="9">
        <f t="shared" si="30"/>
        <v>62460000</v>
      </c>
      <c r="CG118" s="9">
        <v>30147000</v>
      </c>
      <c r="CH118" s="9">
        <v>0</v>
      </c>
      <c r="CI118" s="20">
        <v>60294000</v>
      </c>
      <c r="CJ118" s="69">
        <v>0.03</v>
      </c>
      <c r="CK118" s="72">
        <v>0.06</v>
      </c>
      <c r="CL118" s="31" t="s">
        <v>1262</v>
      </c>
      <c r="CM118" s="8"/>
      <c r="CN118" s="8"/>
      <c r="CO118" s="27">
        <v>0.03</v>
      </c>
      <c r="CP118" s="23"/>
      <c r="CQ118" s="23"/>
      <c r="CR118" s="23"/>
      <c r="CS118" s="32" t="s">
        <v>1086</v>
      </c>
      <c r="CT118" s="23"/>
      <c r="CU118" s="23"/>
      <c r="CV118" s="23"/>
      <c r="CW118" s="23"/>
      <c r="CX118" s="23"/>
      <c r="CY118" s="23"/>
      <c r="CZ118" s="23"/>
      <c r="DA118" s="23"/>
      <c r="DB118" s="32" t="s">
        <v>1292</v>
      </c>
      <c r="DC118" s="32" t="s">
        <v>1293</v>
      </c>
      <c r="DD118" s="32" t="s">
        <v>819</v>
      </c>
      <c r="DE118" s="22" t="s">
        <v>1294</v>
      </c>
      <c r="DF118" s="22" t="s">
        <v>705</v>
      </c>
      <c r="DG118" s="22" t="s">
        <v>1263</v>
      </c>
      <c r="DH118" s="22" t="s">
        <v>1264</v>
      </c>
      <c r="DI118" s="22" t="s">
        <v>1260</v>
      </c>
      <c r="DJ118" s="71">
        <v>0.35</v>
      </c>
      <c r="DK118" s="22">
        <v>0.25</v>
      </c>
      <c r="DL118" s="22" t="s">
        <v>1265</v>
      </c>
      <c r="DM118" s="78"/>
      <c r="DN118" s="23"/>
      <c r="DO118" s="23"/>
      <c r="DP118" s="23"/>
    </row>
    <row r="119" spans="1:120">
      <c r="A119" s="8">
        <v>116</v>
      </c>
      <c r="B119" s="8" t="s">
        <v>1295</v>
      </c>
      <c r="C119" s="34" t="s">
        <v>244</v>
      </c>
      <c r="D119" s="8" t="s">
        <v>1296</v>
      </c>
      <c r="E119" s="8" t="s">
        <v>1296</v>
      </c>
      <c r="F119" s="22" t="s">
        <v>1297</v>
      </c>
      <c r="G119" s="22" t="s">
        <v>1298</v>
      </c>
      <c r="H119" s="20" t="s">
        <v>1299</v>
      </c>
      <c r="I119" s="13">
        <f>44301173+2356827</f>
        <v>46658000</v>
      </c>
      <c r="J119" s="8">
        <v>2025</v>
      </c>
      <c r="K119" s="22" t="s">
        <v>1300</v>
      </c>
      <c r="L119" s="22" t="s">
        <v>116</v>
      </c>
      <c r="M119" s="22" t="s">
        <v>1301</v>
      </c>
      <c r="N119" s="8" t="s">
        <v>1302</v>
      </c>
      <c r="O119" s="8" t="s">
        <v>1303</v>
      </c>
      <c r="P119" s="11">
        <v>1499</v>
      </c>
      <c r="Q119" s="12">
        <v>45812</v>
      </c>
      <c r="R119" s="12">
        <v>45812</v>
      </c>
      <c r="S119" s="12">
        <v>45812</v>
      </c>
      <c r="T119" s="14" t="s">
        <v>556</v>
      </c>
      <c r="U119" s="12">
        <f t="shared" si="19"/>
        <v>47272</v>
      </c>
      <c r="V119" s="16">
        <f t="shared" ca="1" si="22"/>
        <v>34</v>
      </c>
      <c r="W119" s="9">
        <v>15000</v>
      </c>
      <c r="X119" s="22" t="s">
        <v>1296</v>
      </c>
      <c r="Y119" s="22" t="s">
        <v>1297</v>
      </c>
      <c r="Z119" s="22"/>
      <c r="AA119" s="12"/>
      <c r="AB119" s="12">
        <v>45833</v>
      </c>
      <c r="AC119" s="8">
        <f t="shared" si="25"/>
        <v>1460</v>
      </c>
      <c r="AD119" s="8">
        <f t="shared" ca="1" si="26"/>
        <v>1046</v>
      </c>
      <c r="AE119" s="8" t="str">
        <f>VLOOKUP($B119, [1]렌트_계약서번호!$B$3:$E$501, 4, FALSE)</f>
        <v>25060113</v>
      </c>
      <c r="AF119" s="20">
        <v>43200000</v>
      </c>
      <c r="AG119" s="9">
        <f>2356827+300000</f>
        <v>2656827</v>
      </c>
      <c r="AH119" s="9">
        <f>300000+2850000+225000</f>
        <v>3375000</v>
      </c>
      <c r="AI119" s="9">
        <v>383000</v>
      </c>
      <c r="AJ119" s="9">
        <v>1900</v>
      </c>
      <c r="AK119" s="20">
        <v>1610950</v>
      </c>
      <c r="AL119" s="20">
        <v>0</v>
      </c>
      <c r="AM119" s="20">
        <v>2000</v>
      </c>
      <c r="AN119" s="20">
        <v>45000</v>
      </c>
      <c r="AO119" s="20">
        <v>50000</v>
      </c>
      <c r="AP119" s="20"/>
      <c r="AQ119" s="20"/>
      <c r="AR119" s="20" t="s">
        <v>1304</v>
      </c>
      <c r="AS119" s="20">
        <v>219000</v>
      </c>
      <c r="AT119" s="20" t="s">
        <v>1225</v>
      </c>
      <c r="AU119" s="20"/>
      <c r="AV119" s="20"/>
      <c r="AW119" s="13" t="s">
        <v>124</v>
      </c>
      <c r="AX119" s="17"/>
      <c r="AY119" s="20"/>
      <c r="AZ119" s="20"/>
      <c r="BA119" s="20"/>
      <c r="BB119" s="20"/>
      <c r="BC119" s="23"/>
      <c r="BD119" s="9" t="s">
        <v>125</v>
      </c>
      <c r="BE119" s="9" t="s">
        <v>126</v>
      </c>
      <c r="BF119" s="9" t="s">
        <v>255</v>
      </c>
      <c r="BG119" s="9" t="s">
        <v>128</v>
      </c>
      <c r="BH119" s="9" t="s">
        <v>129</v>
      </c>
      <c r="BI119" s="9" t="s">
        <v>130</v>
      </c>
      <c r="BJ119" s="8" t="s">
        <v>256</v>
      </c>
      <c r="BK119" s="9" t="s">
        <v>132</v>
      </c>
      <c r="BL119" s="9" t="s">
        <v>133</v>
      </c>
      <c r="BM119" s="9" t="s">
        <v>257</v>
      </c>
      <c r="BN119" s="9" t="s">
        <v>134</v>
      </c>
      <c r="BO119" s="9" t="s">
        <v>134</v>
      </c>
      <c r="BP119" s="9"/>
      <c r="BQ119" s="23"/>
      <c r="BR119" s="9">
        <f t="shared" si="32"/>
        <v>26982</v>
      </c>
      <c r="BS119" s="8" t="s">
        <v>136</v>
      </c>
      <c r="BT119" s="23"/>
      <c r="BU119" s="23"/>
      <c r="BV119" s="8"/>
      <c r="BW119" s="23"/>
      <c r="BX119" s="23"/>
      <c r="BY119" s="23"/>
      <c r="BZ119" s="23"/>
      <c r="CA119" s="23"/>
      <c r="CB119" s="28" t="s">
        <v>385</v>
      </c>
      <c r="CC119" s="28" t="s">
        <v>385</v>
      </c>
      <c r="CD119" s="20">
        <v>500000</v>
      </c>
      <c r="CE119" s="13">
        <v>48</v>
      </c>
      <c r="CF119" s="9">
        <f t="shared" si="30"/>
        <v>24000000</v>
      </c>
      <c r="CG119" s="9">
        <v>0</v>
      </c>
      <c r="CH119" s="9">
        <v>5000000</v>
      </c>
      <c r="CI119" s="20">
        <v>26538200</v>
      </c>
      <c r="CJ119" s="23">
        <v>0</v>
      </c>
      <c r="CK119" s="23">
        <v>0</v>
      </c>
      <c r="CL119" s="8"/>
      <c r="CM119" s="8"/>
      <c r="CN119" s="8"/>
      <c r="CO119" s="27">
        <v>0</v>
      </c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8" t="s">
        <v>1305</v>
      </c>
      <c r="DC119" s="8" t="s">
        <v>1306</v>
      </c>
      <c r="DD119" s="32" t="s">
        <v>819</v>
      </c>
      <c r="DE119" s="8" t="s">
        <v>1307</v>
      </c>
      <c r="DF119" s="8"/>
      <c r="DG119" s="8"/>
      <c r="DH119" s="8"/>
      <c r="DI119" s="19" t="s">
        <v>137</v>
      </c>
      <c r="DJ119" s="71">
        <v>0.35</v>
      </c>
      <c r="DK119" s="22">
        <v>0.25</v>
      </c>
      <c r="DL119" s="8"/>
      <c r="DM119" s="78"/>
      <c r="DN119" s="23"/>
      <c r="DO119" s="23"/>
      <c r="DP119" s="23"/>
    </row>
    <row r="120" spans="1:120">
      <c r="A120" s="8">
        <v>117</v>
      </c>
      <c r="B120" s="8" t="s">
        <v>1308</v>
      </c>
      <c r="C120" s="34" t="s">
        <v>244</v>
      </c>
      <c r="D120" s="8" t="s">
        <v>1250</v>
      </c>
      <c r="E120" s="8" t="s">
        <v>1251</v>
      </c>
      <c r="F120" s="8" t="s">
        <v>1252</v>
      </c>
      <c r="G120" s="22" t="s">
        <v>1309</v>
      </c>
      <c r="H120" s="20" t="s">
        <v>1310</v>
      </c>
      <c r="I120" s="13">
        <v>39410000</v>
      </c>
      <c r="J120" s="8">
        <v>2026</v>
      </c>
      <c r="K120" s="22" t="s">
        <v>1311</v>
      </c>
      <c r="L120" s="22" t="s">
        <v>116</v>
      </c>
      <c r="M120" s="22" t="s">
        <v>1312</v>
      </c>
      <c r="N120" s="8" t="s">
        <v>1313</v>
      </c>
      <c r="O120" s="8" t="s">
        <v>1314</v>
      </c>
      <c r="P120" s="11">
        <v>2487</v>
      </c>
      <c r="Q120" s="12">
        <v>45842</v>
      </c>
      <c r="R120" s="12">
        <v>45852</v>
      </c>
      <c r="S120" s="12">
        <v>45852</v>
      </c>
      <c r="T120" s="14" t="s">
        <v>556</v>
      </c>
      <c r="U120" s="12">
        <f t="shared" si="19"/>
        <v>47312</v>
      </c>
      <c r="V120" s="16">
        <f t="shared" ca="1" si="22"/>
        <v>35</v>
      </c>
      <c r="W120" s="9">
        <v>30000</v>
      </c>
      <c r="X120" s="22" t="s">
        <v>1258</v>
      </c>
      <c r="Y120" s="22" t="s">
        <v>1288</v>
      </c>
      <c r="Z120" s="22"/>
      <c r="AA120" s="76" t="s">
        <v>1260</v>
      </c>
      <c r="AB120" s="12">
        <v>45863</v>
      </c>
      <c r="AC120" s="8">
        <f t="shared" si="25"/>
        <v>1460</v>
      </c>
      <c r="AD120" s="8">
        <f t="shared" ca="1" si="26"/>
        <v>1086</v>
      </c>
      <c r="AE120" s="8" t="str">
        <f>VLOOKUP($B120, [1]렌트_계약서번호!$B$3:$E$501, 4, FALSE)</f>
        <v>25070114</v>
      </c>
      <c r="AF120" s="20">
        <f>I120</f>
        <v>39410000</v>
      </c>
      <c r="AG120" s="9">
        <v>1994259</v>
      </c>
      <c r="AH120" s="9">
        <f>AF120-AG120+AI120</f>
        <v>37591741</v>
      </c>
      <c r="AI120" s="9">
        <v>176000</v>
      </c>
      <c r="AJ120" s="9">
        <v>1900</v>
      </c>
      <c r="AK120" s="20"/>
      <c r="AL120" s="20"/>
      <c r="AM120" s="20"/>
      <c r="AN120" s="20"/>
      <c r="AO120" s="20"/>
      <c r="AP120" s="20"/>
      <c r="AQ120" s="20"/>
      <c r="AR120" s="20" t="s">
        <v>1304</v>
      </c>
      <c r="AS120" s="20">
        <v>219000</v>
      </c>
      <c r="AT120" s="20" t="s">
        <v>1225</v>
      </c>
      <c r="AU120" s="20"/>
      <c r="AV120" s="20"/>
      <c r="AW120" s="13" t="s">
        <v>124</v>
      </c>
      <c r="AX120" s="17"/>
      <c r="AY120" s="20"/>
      <c r="AZ120" s="20"/>
      <c r="BA120" s="20"/>
      <c r="BB120" s="20"/>
      <c r="BC120" s="23"/>
      <c r="BD120" s="9" t="s">
        <v>125</v>
      </c>
      <c r="BE120" s="9" t="s">
        <v>126</v>
      </c>
      <c r="BF120" s="9" t="s">
        <v>1158</v>
      </c>
      <c r="BG120" s="9" t="s">
        <v>1159</v>
      </c>
      <c r="BH120" s="9" t="s">
        <v>129</v>
      </c>
      <c r="BI120" s="9" t="s">
        <v>130</v>
      </c>
      <c r="BJ120" s="8" t="s">
        <v>256</v>
      </c>
      <c r="BK120" s="9" t="s">
        <v>132</v>
      </c>
      <c r="BL120" s="9" t="s">
        <v>133</v>
      </c>
      <c r="BM120" s="9" t="s">
        <v>133</v>
      </c>
      <c r="BN120" s="9" t="s">
        <v>133</v>
      </c>
      <c r="BO120" s="9" t="s">
        <v>817</v>
      </c>
      <c r="BP120" s="20" t="s">
        <v>1315</v>
      </c>
      <c r="BQ120" s="23"/>
      <c r="BR120" s="9">
        <f t="shared" si="32"/>
        <v>47253</v>
      </c>
      <c r="BS120" s="8" t="s">
        <v>136</v>
      </c>
      <c r="BT120" s="23"/>
      <c r="BU120" s="23"/>
      <c r="BV120" s="8"/>
      <c r="BW120" s="23"/>
      <c r="BX120" s="23"/>
      <c r="BY120" s="23"/>
      <c r="BZ120" s="23"/>
      <c r="CA120" s="23"/>
      <c r="CB120" s="28" t="s">
        <v>385</v>
      </c>
      <c r="CC120" s="28" t="s">
        <v>385</v>
      </c>
      <c r="CD120" s="20">
        <v>700000</v>
      </c>
      <c r="CE120" s="13">
        <v>48</v>
      </c>
      <c r="CF120" s="9">
        <f t="shared" si="30"/>
        <v>33600000</v>
      </c>
      <c r="CG120" s="9">
        <v>11823000</v>
      </c>
      <c r="CH120" s="9">
        <v>0</v>
      </c>
      <c r="CI120" s="20">
        <v>20493200</v>
      </c>
      <c r="CJ120" s="69">
        <v>0.03</v>
      </c>
      <c r="CK120" s="72">
        <v>0.06</v>
      </c>
      <c r="CL120" s="31" t="s">
        <v>1262</v>
      </c>
      <c r="CM120" s="8"/>
      <c r="CN120" s="8"/>
      <c r="CO120" s="27">
        <v>0.03</v>
      </c>
      <c r="CP120" s="23"/>
      <c r="CQ120" s="23"/>
      <c r="CR120" s="23"/>
      <c r="CS120" s="32" t="s">
        <v>1086</v>
      </c>
      <c r="CT120" s="23"/>
      <c r="CU120" s="23"/>
      <c r="CV120" s="23"/>
      <c r="CW120" s="23"/>
      <c r="CX120" s="23"/>
      <c r="CY120" s="23"/>
      <c r="CZ120" s="23"/>
      <c r="DA120" s="23"/>
      <c r="DB120" s="32" t="s">
        <v>232</v>
      </c>
      <c r="DC120" s="32" t="s">
        <v>801</v>
      </c>
      <c r="DD120" s="32" t="s">
        <v>819</v>
      </c>
      <c r="DE120" s="22" t="s">
        <v>1294</v>
      </c>
      <c r="DF120" s="22" t="s">
        <v>705</v>
      </c>
      <c r="DG120" s="22" t="s">
        <v>1263</v>
      </c>
      <c r="DH120" s="22" t="s">
        <v>1264</v>
      </c>
      <c r="DI120" s="22" t="s">
        <v>1260</v>
      </c>
      <c r="DJ120" s="71">
        <v>0.35</v>
      </c>
      <c r="DK120" s="22">
        <v>0.25</v>
      </c>
      <c r="DL120" s="22" t="s">
        <v>1265</v>
      </c>
      <c r="DM120" s="78"/>
      <c r="DN120" s="23"/>
      <c r="DO120" s="23"/>
      <c r="DP120" s="23"/>
    </row>
    <row r="121" spans="1:120">
      <c r="A121" s="8">
        <v>118</v>
      </c>
      <c r="B121" s="8" t="s">
        <v>1316</v>
      </c>
      <c r="C121" s="34" t="s">
        <v>244</v>
      </c>
      <c r="D121" s="8" t="s">
        <v>1317</v>
      </c>
      <c r="E121" s="8" t="s">
        <v>1318</v>
      </c>
      <c r="F121" s="8" t="s">
        <v>1319</v>
      </c>
      <c r="G121" s="22" t="s">
        <v>1320</v>
      </c>
      <c r="H121" s="20" t="s">
        <v>1321</v>
      </c>
      <c r="I121" s="13">
        <v>39420000</v>
      </c>
      <c r="J121" s="8">
        <v>2025</v>
      </c>
      <c r="K121" s="22" t="s">
        <v>1322</v>
      </c>
      <c r="L121" s="22" t="s">
        <v>116</v>
      </c>
      <c r="M121" s="22" t="s">
        <v>1323</v>
      </c>
      <c r="N121" s="8" t="s">
        <v>1324</v>
      </c>
      <c r="O121" s="8" t="s">
        <v>1325</v>
      </c>
      <c r="P121" s="11">
        <v>3470</v>
      </c>
      <c r="Q121" s="12">
        <v>45848</v>
      </c>
      <c r="R121" s="12">
        <v>45846</v>
      </c>
      <c r="S121" s="12">
        <v>45853</v>
      </c>
      <c r="T121" s="14" t="s">
        <v>556</v>
      </c>
      <c r="U121" s="12">
        <f t="shared" si="19"/>
        <v>47313</v>
      </c>
      <c r="V121" s="16">
        <f t="shared" ca="1" si="22"/>
        <v>35</v>
      </c>
      <c r="W121" s="9">
        <v>30000</v>
      </c>
      <c r="X121" s="8" t="s">
        <v>1326</v>
      </c>
      <c r="Y121" s="8" t="s">
        <v>1319</v>
      </c>
      <c r="Z121" s="22"/>
      <c r="AA121" s="12" t="s">
        <v>1327</v>
      </c>
      <c r="AB121" s="12">
        <v>45869</v>
      </c>
      <c r="AC121" s="8">
        <f t="shared" si="25"/>
        <v>1460</v>
      </c>
      <c r="AD121" s="8">
        <f t="shared" ca="1" si="26"/>
        <v>1087</v>
      </c>
      <c r="AE121" s="8" t="str">
        <f>VLOOKUP($B121, [1]렌트_계약서번호!$B$3:$E$501, 4, FALSE)</f>
        <v>25070115</v>
      </c>
      <c r="AF121" s="13">
        <v>39420000</v>
      </c>
      <c r="AG121" s="9"/>
      <c r="AH121" s="9"/>
      <c r="AI121" s="9"/>
      <c r="AJ121" s="9"/>
      <c r="AK121" s="20"/>
      <c r="AL121" s="20"/>
      <c r="AM121" s="20"/>
      <c r="AN121" s="20"/>
      <c r="AO121" s="20"/>
      <c r="AP121" s="20"/>
      <c r="AQ121" s="20"/>
      <c r="AR121" s="20" t="s">
        <v>1304</v>
      </c>
      <c r="AS121" s="20">
        <f>190000*1.1</f>
        <v>209000.00000000003</v>
      </c>
      <c r="AT121" s="20" t="s">
        <v>1328</v>
      </c>
      <c r="AU121" s="20"/>
      <c r="AV121" s="20"/>
      <c r="AW121" s="13" t="s">
        <v>124</v>
      </c>
      <c r="AX121" s="17"/>
      <c r="AY121" s="20"/>
      <c r="AZ121" s="20"/>
      <c r="BA121" s="20"/>
      <c r="BB121" s="20"/>
      <c r="BC121" s="23"/>
      <c r="BD121" s="9" t="s">
        <v>125</v>
      </c>
      <c r="BE121" s="9" t="s">
        <v>126</v>
      </c>
      <c r="BF121" s="9" t="s">
        <v>1158</v>
      </c>
      <c r="BG121" s="9" t="s">
        <v>1159</v>
      </c>
      <c r="BH121" s="9" t="s">
        <v>129</v>
      </c>
      <c r="BI121" s="9" t="s">
        <v>130</v>
      </c>
      <c r="BJ121" s="8" t="s">
        <v>256</v>
      </c>
      <c r="BK121" s="9" t="s">
        <v>132</v>
      </c>
      <c r="BL121" s="9" t="s">
        <v>133</v>
      </c>
      <c r="BM121" s="9" t="s">
        <v>133</v>
      </c>
      <c r="BN121" s="9" t="s">
        <v>133</v>
      </c>
      <c r="BO121" s="9" t="s">
        <v>817</v>
      </c>
      <c r="BP121" s="8"/>
      <c r="BQ121" s="23"/>
      <c r="BR121" s="9">
        <f t="shared" si="32"/>
        <v>83280</v>
      </c>
      <c r="BS121" s="8" t="s">
        <v>136</v>
      </c>
      <c r="BT121" s="23"/>
      <c r="BU121" s="23"/>
      <c r="BV121" s="8"/>
      <c r="BW121" s="23"/>
      <c r="BX121" s="23"/>
      <c r="BY121" s="23"/>
      <c r="BZ121" s="23"/>
      <c r="CA121" s="23"/>
      <c r="CB121" s="8" t="s">
        <v>1329</v>
      </c>
      <c r="CC121" s="8" t="s">
        <v>1329</v>
      </c>
      <c r="CD121" s="78">
        <v>643000</v>
      </c>
      <c r="CE121" s="13">
        <v>48</v>
      </c>
      <c r="CF121" s="9">
        <f t="shared" si="30"/>
        <v>30864000</v>
      </c>
      <c r="CG121" s="9">
        <v>0</v>
      </c>
      <c r="CH121" s="78">
        <v>7884000</v>
      </c>
      <c r="CI121" s="78">
        <v>17739000</v>
      </c>
      <c r="CJ121" s="69">
        <v>0.03</v>
      </c>
      <c r="CK121" s="72">
        <v>0.06</v>
      </c>
      <c r="CL121" s="56" t="s">
        <v>1330</v>
      </c>
      <c r="CM121" s="56" t="s">
        <v>1331</v>
      </c>
      <c r="CN121" s="8"/>
      <c r="CO121" s="27">
        <v>0.03</v>
      </c>
      <c r="CP121" s="23"/>
      <c r="CQ121" s="23" t="s">
        <v>1086</v>
      </c>
      <c r="CR121" s="23">
        <f>120000*1.1</f>
        <v>132000</v>
      </c>
      <c r="CS121" s="23"/>
      <c r="CT121" s="23"/>
      <c r="CU121" s="23"/>
      <c r="CV121" s="23"/>
      <c r="CW121" s="23"/>
      <c r="CX121" s="23"/>
      <c r="CY121" s="23"/>
      <c r="CZ121" s="23"/>
      <c r="DA121" s="23"/>
      <c r="DB121" s="32" t="str">
        <f>IF(DC121="정수원 실장","기아", IF(DC121="박현식 부장", "현대", IF(DC121="김성진 팀장", "한성", IF(DC121="전석영 부장", "한성", IF(DC121= "박봉호 부장", "모토원",IF(DC121="정원철 부장", "한성"))))))</f>
        <v>기아</v>
      </c>
      <c r="DC121" s="32" t="s">
        <v>260</v>
      </c>
      <c r="DD121" s="32" t="s">
        <v>561</v>
      </c>
      <c r="DE121" s="8" t="s">
        <v>1317</v>
      </c>
      <c r="DF121" s="8" t="s">
        <v>1332</v>
      </c>
      <c r="DG121" s="8" t="s">
        <v>1333</v>
      </c>
      <c r="DH121" s="8" t="s">
        <v>1334</v>
      </c>
      <c r="DI121" s="8" t="s">
        <v>1335</v>
      </c>
      <c r="DJ121" s="71">
        <v>0.35</v>
      </c>
      <c r="DK121" s="22">
        <v>0.25</v>
      </c>
      <c r="DL121" s="8" t="s">
        <v>1336</v>
      </c>
      <c r="DM121" s="78"/>
      <c r="DN121" s="23"/>
      <c r="DO121" s="23"/>
      <c r="DP121" s="23"/>
    </row>
    <row r="122" spans="1:120">
      <c r="A122" s="8">
        <v>119</v>
      </c>
      <c r="B122" s="8" t="s">
        <v>1337</v>
      </c>
      <c r="C122" s="34" t="s">
        <v>244</v>
      </c>
      <c r="D122" s="8" t="s">
        <v>1338</v>
      </c>
      <c r="E122" s="8" t="s">
        <v>1338</v>
      </c>
      <c r="F122" s="8" t="s">
        <v>1339</v>
      </c>
      <c r="G122" s="22" t="s">
        <v>1340</v>
      </c>
      <c r="H122" s="20" t="s">
        <v>1341</v>
      </c>
      <c r="I122" s="13">
        <v>30300000</v>
      </c>
      <c r="J122" s="8">
        <v>2025</v>
      </c>
      <c r="K122" s="22" t="s">
        <v>1342</v>
      </c>
      <c r="L122" s="22" t="s">
        <v>1343</v>
      </c>
      <c r="M122" s="22" t="s">
        <v>1344</v>
      </c>
      <c r="N122" s="8" t="s">
        <v>1345</v>
      </c>
      <c r="O122" s="8" t="s">
        <v>1346</v>
      </c>
      <c r="P122" s="11">
        <v>1999</v>
      </c>
      <c r="Q122" s="12">
        <v>45856</v>
      </c>
      <c r="R122" s="12">
        <v>45859</v>
      </c>
      <c r="S122" s="12">
        <v>45859</v>
      </c>
      <c r="T122" s="14" t="s">
        <v>556</v>
      </c>
      <c r="U122" s="12">
        <f t="shared" si="19"/>
        <v>47319</v>
      </c>
      <c r="V122" s="16">
        <f t="shared" ca="1" si="22"/>
        <v>35</v>
      </c>
      <c r="W122" s="9">
        <v>20000</v>
      </c>
      <c r="X122" s="8" t="s">
        <v>1338</v>
      </c>
      <c r="Y122" s="8" t="s">
        <v>1339</v>
      </c>
      <c r="Z122" s="22"/>
      <c r="AA122" s="12" t="s">
        <v>1347</v>
      </c>
      <c r="AB122" s="12">
        <v>45863</v>
      </c>
      <c r="AC122" s="8">
        <f t="shared" si="25"/>
        <v>1460</v>
      </c>
      <c r="AD122" s="8">
        <f t="shared" ca="1" si="26"/>
        <v>1093</v>
      </c>
      <c r="AE122" s="8" t="str">
        <f>VLOOKUP($B122, [1]렌트_계약서번호!$B$3:$E$501, 4, FALSE)</f>
        <v>25070117</v>
      </c>
      <c r="AF122" s="13">
        <v>30300000</v>
      </c>
      <c r="AG122" s="9"/>
      <c r="AH122" s="9"/>
      <c r="AI122" s="9"/>
      <c r="AJ122" s="9"/>
      <c r="AK122" s="20">
        <v>1052130</v>
      </c>
      <c r="AL122" s="20">
        <v>40157</v>
      </c>
      <c r="AM122" s="20">
        <v>2000</v>
      </c>
      <c r="AN122" s="20">
        <v>45000</v>
      </c>
      <c r="AO122" s="20">
        <v>50000</v>
      </c>
      <c r="AP122" s="20"/>
      <c r="AQ122" s="20"/>
      <c r="AR122" s="20" t="s">
        <v>1304</v>
      </c>
      <c r="AS122" s="20">
        <v>198000</v>
      </c>
      <c r="AT122" s="20" t="s">
        <v>959</v>
      </c>
      <c r="AU122" s="20"/>
      <c r="AV122" s="20"/>
      <c r="AW122" s="13" t="s">
        <v>124</v>
      </c>
      <c r="AX122" s="17"/>
      <c r="AY122" s="20"/>
      <c r="AZ122" s="20"/>
      <c r="BA122" s="20"/>
      <c r="BB122" s="20"/>
      <c r="BC122" s="23"/>
      <c r="BD122" s="9" t="s">
        <v>125</v>
      </c>
      <c r="BE122" s="9" t="s">
        <v>126</v>
      </c>
      <c r="BF122" s="9" t="s">
        <v>1158</v>
      </c>
      <c r="BG122" s="9" t="s">
        <v>1159</v>
      </c>
      <c r="BH122" s="9" t="s">
        <v>129</v>
      </c>
      <c r="BI122" s="9" t="s">
        <v>130</v>
      </c>
      <c r="BJ122" s="8" t="s">
        <v>256</v>
      </c>
      <c r="BK122" s="9" t="s">
        <v>132</v>
      </c>
      <c r="BL122" s="9" t="s">
        <v>133</v>
      </c>
      <c r="BM122" s="9" t="s">
        <v>133</v>
      </c>
      <c r="BN122" s="9" t="s">
        <v>133</v>
      </c>
      <c r="BO122" s="9" t="s">
        <v>817</v>
      </c>
      <c r="BP122" s="8" t="s">
        <v>1348</v>
      </c>
      <c r="BQ122" s="23"/>
      <c r="BR122" s="9">
        <f t="shared" si="32"/>
        <v>37981</v>
      </c>
      <c r="BS122" s="8" t="s">
        <v>136</v>
      </c>
      <c r="BT122" s="23"/>
      <c r="BU122" s="23"/>
      <c r="BV122" s="8"/>
      <c r="BW122" s="23"/>
      <c r="BX122" s="23"/>
      <c r="BY122" s="23"/>
      <c r="BZ122" s="23"/>
      <c r="CA122" s="23"/>
      <c r="CB122" s="28" t="s">
        <v>385</v>
      </c>
      <c r="CC122" s="28" t="s">
        <v>385</v>
      </c>
      <c r="CD122" s="78">
        <v>554000</v>
      </c>
      <c r="CE122" s="13">
        <v>48</v>
      </c>
      <c r="CF122" s="9">
        <f t="shared" si="30"/>
        <v>26592000</v>
      </c>
      <c r="CG122" s="78">
        <v>9024000</v>
      </c>
      <c r="CH122" s="78">
        <v>0</v>
      </c>
      <c r="CI122" s="78">
        <v>15641600</v>
      </c>
      <c r="CJ122" s="69">
        <v>0.03</v>
      </c>
      <c r="CK122" s="72">
        <v>0.06</v>
      </c>
      <c r="CL122" s="56" t="s">
        <v>1349</v>
      </c>
      <c r="CM122" s="8"/>
      <c r="CN122" s="8"/>
      <c r="CO122" s="27">
        <v>0.03</v>
      </c>
      <c r="CP122" s="23"/>
      <c r="CQ122" s="23" t="s">
        <v>943</v>
      </c>
      <c r="CR122" s="23">
        <v>40000</v>
      </c>
      <c r="CS122" s="23"/>
      <c r="CT122" s="23"/>
      <c r="CU122" s="23"/>
      <c r="CV122" s="23"/>
      <c r="CW122" s="23"/>
      <c r="CX122" s="23"/>
      <c r="CY122" s="23"/>
      <c r="CZ122" s="23"/>
      <c r="DA122" s="23"/>
      <c r="DB122" s="32" t="s">
        <v>232</v>
      </c>
      <c r="DC122" s="32" t="s">
        <v>801</v>
      </c>
      <c r="DD122" s="32" t="s">
        <v>819</v>
      </c>
      <c r="DE122" s="8" t="s">
        <v>1350</v>
      </c>
      <c r="DF122" s="8" t="s">
        <v>734</v>
      </c>
      <c r="DG122" s="8" t="s">
        <v>1351</v>
      </c>
      <c r="DH122" s="8" t="s">
        <v>1352</v>
      </c>
      <c r="DI122" s="12" t="s">
        <v>1347</v>
      </c>
      <c r="DJ122" s="71">
        <v>0.35</v>
      </c>
      <c r="DK122" s="22">
        <v>0.25</v>
      </c>
      <c r="DL122" s="8"/>
      <c r="DM122" s="78"/>
      <c r="DN122" s="23"/>
      <c r="DO122" s="23"/>
      <c r="DP122" s="23"/>
    </row>
    <row r="123" spans="1:120">
      <c r="A123" s="8">
        <v>120</v>
      </c>
      <c r="B123" s="8" t="s">
        <v>1353</v>
      </c>
      <c r="C123" s="34" t="s">
        <v>244</v>
      </c>
      <c r="D123" s="8" t="s">
        <v>1354</v>
      </c>
      <c r="E123" s="8" t="s">
        <v>1355</v>
      </c>
      <c r="F123" s="8" t="s">
        <v>1356</v>
      </c>
      <c r="G123" s="22" t="s">
        <v>1357</v>
      </c>
      <c r="H123" s="20" t="s">
        <v>1358</v>
      </c>
      <c r="I123" s="13">
        <v>80500000</v>
      </c>
      <c r="J123" s="8">
        <v>2025</v>
      </c>
      <c r="K123" s="22" t="s">
        <v>1359</v>
      </c>
      <c r="L123" s="22" t="s">
        <v>116</v>
      </c>
      <c r="M123" s="22" t="s">
        <v>1360</v>
      </c>
      <c r="N123" s="8" t="s">
        <v>1361</v>
      </c>
      <c r="O123" s="8" t="s">
        <v>119</v>
      </c>
      <c r="P123" s="11">
        <v>1999</v>
      </c>
      <c r="Q123" s="12">
        <v>45852</v>
      </c>
      <c r="R123" s="12">
        <v>45845</v>
      </c>
      <c r="S123" s="12">
        <v>45862</v>
      </c>
      <c r="T123" s="14" t="s">
        <v>120</v>
      </c>
      <c r="U123" s="12">
        <f t="shared" si="19"/>
        <v>47687</v>
      </c>
      <c r="V123" s="16">
        <f t="shared" ca="1" si="22"/>
        <v>48</v>
      </c>
      <c r="W123" s="9">
        <v>20000</v>
      </c>
      <c r="X123" s="8" t="s">
        <v>1355</v>
      </c>
      <c r="Y123" s="8" t="s">
        <v>1356</v>
      </c>
      <c r="Z123" s="22"/>
      <c r="AA123" s="12" t="s">
        <v>1362</v>
      </c>
      <c r="AB123" s="12">
        <v>45884</v>
      </c>
      <c r="AC123" s="8">
        <f t="shared" si="25"/>
        <v>1825</v>
      </c>
      <c r="AD123" s="8">
        <f t="shared" ca="1" si="26"/>
        <v>1461</v>
      </c>
      <c r="AE123" s="8" t="str">
        <f>VLOOKUP($B123, [1]렌트_계약서번호!$B$3:$E$501, 4, FALSE)</f>
        <v>25070116</v>
      </c>
      <c r="AF123" s="20">
        <v>80500000</v>
      </c>
      <c r="AG123" s="9"/>
      <c r="AH123" s="9"/>
      <c r="AI123" s="9"/>
      <c r="AJ123" s="9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 t="s">
        <v>1363</v>
      </c>
      <c r="AU123" s="20"/>
      <c r="AV123" s="20"/>
      <c r="AW123" s="13" t="s">
        <v>124</v>
      </c>
      <c r="AX123" s="17"/>
      <c r="AY123" s="20"/>
      <c r="AZ123" s="20"/>
      <c r="BA123" s="20"/>
      <c r="BB123" s="20"/>
      <c r="BC123" s="23"/>
      <c r="BD123" s="9" t="s">
        <v>125</v>
      </c>
      <c r="BE123" s="9" t="s">
        <v>126</v>
      </c>
      <c r="BF123" s="9" t="s">
        <v>187</v>
      </c>
      <c r="BG123" s="9" t="s">
        <v>188</v>
      </c>
      <c r="BH123" s="9" t="s">
        <v>129</v>
      </c>
      <c r="BI123" s="9" t="s">
        <v>189</v>
      </c>
      <c r="BJ123" s="8" t="s">
        <v>1364</v>
      </c>
      <c r="BK123" s="9" t="s">
        <v>132</v>
      </c>
      <c r="BL123" s="9" t="s">
        <v>133</v>
      </c>
      <c r="BM123" s="9" t="s">
        <v>257</v>
      </c>
      <c r="BN123" s="9" t="s">
        <v>257</v>
      </c>
      <c r="BO123" s="9" t="s">
        <v>134</v>
      </c>
      <c r="BP123" s="8"/>
      <c r="BQ123" s="23"/>
      <c r="BR123" s="9">
        <f t="shared" si="32"/>
        <v>37981</v>
      </c>
      <c r="BS123" s="8" t="s">
        <v>136</v>
      </c>
      <c r="BT123" s="23"/>
      <c r="BU123" s="23"/>
      <c r="BV123" s="8"/>
      <c r="BW123" s="23"/>
      <c r="BX123" s="23"/>
      <c r="BY123" s="23"/>
      <c r="BZ123" s="23"/>
      <c r="CA123" s="23"/>
      <c r="CB123" s="28" t="s">
        <v>402</v>
      </c>
      <c r="CC123" s="28" t="s">
        <v>402</v>
      </c>
      <c r="CD123" s="78">
        <v>1416000</v>
      </c>
      <c r="CE123" s="13">
        <v>60</v>
      </c>
      <c r="CF123" s="9">
        <f t="shared" si="30"/>
        <v>84960000</v>
      </c>
      <c r="CG123" s="9">
        <v>8050000</v>
      </c>
      <c r="CH123" s="78">
        <v>0</v>
      </c>
      <c r="CI123" s="78">
        <v>24150000</v>
      </c>
      <c r="CJ123" s="69">
        <v>0.02</v>
      </c>
      <c r="CK123" s="72">
        <v>0.06</v>
      </c>
      <c r="CL123" s="56" t="s">
        <v>1365</v>
      </c>
      <c r="CM123" s="8"/>
      <c r="CN123" s="8"/>
      <c r="CO123" s="27">
        <v>0.03</v>
      </c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8" t="s">
        <v>982</v>
      </c>
      <c r="DC123" s="8" t="s">
        <v>1366</v>
      </c>
      <c r="DD123" s="8" t="s">
        <v>819</v>
      </c>
      <c r="DE123" s="8" t="s">
        <v>1367</v>
      </c>
      <c r="DF123" s="8" t="s">
        <v>734</v>
      </c>
      <c r="DG123" s="8" t="s">
        <v>1368</v>
      </c>
      <c r="DH123" s="8" t="s">
        <v>1369</v>
      </c>
      <c r="DI123" s="8" t="s">
        <v>1370</v>
      </c>
      <c r="DJ123" s="71">
        <v>0.35</v>
      </c>
      <c r="DK123" s="22">
        <v>0.25</v>
      </c>
      <c r="DL123" s="8" t="s">
        <v>119</v>
      </c>
      <c r="DM123" s="78"/>
      <c r="DN123" s="23"/>
      <c r="DO123" s="23"/>
      <c r="DP123" s="23"/>
    </row>
    <row r="124" spans="1:120">
      <c r="A124" s="8">
        <v>121</v>
      </c>
      <c r="B124" s="8" t="s">
        <v>1371</v>
      </c>
      <c r="C124" s="34" t="s">
        <v>244</v>
      </c>
      <c r="D124" s="8" t="s">
        <v>1372</v>
      </c>
      <c r="E124" s="8" t="s">
        <v>1373</v>
      </c>
      <c r="F124" s="8" t="s">
        <v>1374</v>
      </c>
      <c r="G124" s="22" t="s">
        <v>787</v>
      </c>
      <c r="H124" s="20" t="s">
        <v>1375</v>
      </c>
      <c r="I124" s="13">
        <v>126100000</v>
      </c>
      <c r="J124" s="8">
        <v>2025</v>
      </c>
      <c r="K124" s="22" t="s">
        <v>1376</v>
      </c>
      <c r="L124" s="22" t="s">
        <v>116</v>
      </c>
      <c r="M124" s="22" t="s">
        <v>1377</v>
      </c>
      <c r="N124" s="8" t="s">
        <v>1378</v>
      </c>
      <c r="O124" s="8" t="s">
        <v>1379</v>
      </c>
      <c r="P124" s="11">
        <v>3470</v>
      </c>
      <c r="Q124" s="12">
        <v>45894</v>
      </c>
      <c r="R124" s="12">
        <v>45888</v>
      </c>
      <c r="S124" s="12">
        <v>45895</v>
      </c>
      <c r="T124" s="14" t="s">
        <v>556</v>
      </c>
      <c r="U124" s="12">
        <f t="shared" si="19"/>
        <v>47355</v>
      </c>
      <c r="V124" s="16">
        <f t="shared" ca="1" si="22"/>
        <v>37</v>
      </c>
      <c r="W124" s="9">
        <v>20000</v>
      </c>
      <c r="X124" s="22" t="s">
        <v>1380</v>
      </c>
      <c r="Y124" s="22" t="s">
        <v>1381</v>
      </c>
      <c r="Z124" s="22"/>
      <c r="AA124" s="12" t="s">
        <v>1382</v>
      </c>
      <c r="AB124" s="12">
        <v>45930</v>
      </c>
      <c r="AC124" s="8">
        <f t="shared" si="25"/>
        <v>1460</v>
      </c>
      <c r="AD124" s="8">
        <f t="shared" ca="1" si="26"/>
        <v>1129</v>
      </c>
      <c r="AE124" s="8" t="str">
        <f>VLOOKUP($B124, [1]렌트_계약서번호!$B$3:$E$501, 4, FALSE)</f>
        <v>25080120</v>
      </c>
      <c r="AF124" s="20">
        <v>126100000</v>
      </c>
      <c r="AG124" s="9">
        <v>6381021</v>
      </c>
      <c r="AH124" s="9">
        <f t="shared" ref="AH124:AH132" si="34">AF124-AG124+AI124</f>
        <v>120083979</v>
      </c>
      <c r="AI124" s="9">
        <v>365000</v>
      </c>
      <c r="AJ124" s="9">
        <v>1900</v>
      </c>
      <c r="AK124" s="20">
        <v>4366690</v>
      </c>
      <c r="AL124" s="20">
        <v>155353</v>
      </c>
      <c r="AM124" s="20">
        <v>2000</v>
      </c>
      <c r="AN124" s="20">
        <v>45000</v>
      </c>
      <c r="AO124" s="20">
        <v>50000</v>
      </c>
      <c r="AP124" s="20"/>
      <c r="AQ124" s="20"/>
      <c r="AR124" s="20"/>
      <c r="AS124" s="20">
        <v>198000</v>
      </c>
      <c r="AT124" s="9" t="s">
        <v>1383</v>
      </c>
      <c r="AU124" s="20"/>
      <c r="AV124" s="20"/>
      <c r="AW124" s="13" t="s">
        <v>124</v>
      </c>
      <c r="AX124" s="17"/>
      <c r="AY124" s="20"/>
      <c r="AZ124" s="20"/>
      <c r="BA124" s="20"/>
      <c r="BB124" s="20"/>
      <c r="BC124" s="23"/>
      <c r="BD124" s="9" t="s">
        <v>125</v>
      </c>
      <c r="BE124" s="9" t="s">
        <v>126</v>
      </c>
      <c r="BF124" s="9" t="s">
        <v>187</v>
      </c>
      <c r="BG124" s="9" t="s">
        <v>188</v>
      </c>
      <c r="BH124" s="9" t="s">
        <v>129</v>
      </c>
      <c r="BI124" s="9" t="s">
        <v>189</v>
      </c>
      <c r="BJ124" s="8" t="s">
        <v>256</v>
      </c>
      <c r="BK124" s="9" t="s">
        <v>132</v>
      </c>
      <c r="BL124" s="9" t="s">
        <v>133</v>
      </c>
      <c r="BM124" s="9" t="s">
        <v>133</v>
      </c>
      <c r="BN124" s="9" t="s">
        <v>133</v>
      </c>
      <c r="BO124" s="9" t="s">
        <v>817</v>
      </c>
      <c r="BP124" s="8"/>
      <c r="BQ124" s="23"/>
      <c r="BR124" s="9">
        <f t="shared" si="32"/>
        <v>83280</v>
      </c>
      <c r="BS124" s="23"/>
      <c r="BT124" s="23"/>
      <c r="BU124" s="23"/>
      <c r="BV124" s="8"/>
      <c r="BW124" s="23"/>
      <c r="BX124" s="23"/>
      <c r="BY124" s="23"/>
      <c r="BZ124" s="23"/>
      <c r="CA124" s="23"/>
      <c r="CB124" s="8" t="s">
        <v>1329</v>
      </c>
      <c r="CC124" s="8" t="s">
        <v>1329</v>
      </c>
      <c r="CD124" s="78">
        <v>2160000</v>
      </c>
      <c r="CE124" s="13">
        <v>48</v>
      </c>
      <c r="CF124" s="9">
        <f t="shared" si="30"/>
        <v>103680000</v>
      </c>
      <c r="CG124" s="78">
        <v>37830000</v>
      </c>
      <c r="CH124" s="78">
        <v>0</v>
      </c>
      <c r="CI124" s="78">
        <v>54223000</v>
      </c>
      <c r="CJ124" s="69">
        <v>0.03</v>
      </c>
      <c r="CK124" s="72">
        <v>0.06</v>
      </c>
      <c r="CL124" s="56" t="s">
        <v>1384</v>
      </c>
      <c r="CM124" s="56" t="s">
        <v>1385</v>
      </c>
      <c r="CN124" s="8"/>
      <c r="CO124" s="27">
        <v>0.03</v>
      </c>
      <c r="CP124" s="23"/>
      <c r="CQ124" s="23" t="s">
        <v>1086</v>
      </c>
      <c r="CR124" s="23">
        <f>120000*1.1</f>
        <v>132000</v>
      </c>
      <c r="CS124" s="23"/>
      <c r="CT124" s="23"/>
      <c r="CU124" s="23"/>
      <c r="CV124" s="23"/>
      <c r="CW124" s="23"/>
      <c r="CX124" s="23"/>
      <c r="CY124" s="23"/>
      <c r="CZ124" s="23"/>
      <c r="DA124" s="23"/>
      <c r="DB124" s="32" t="s">
        <v>232</v>
      </c>
      <c r="DC124" s="32" t="s">
        <v>801</v>
      </c>
      <c r="DD124" s="32" t="s">
        <v>819</v>
      </c>
      <c r="DE124" s="8" t="s">
        <v>1386</v>
      </c>
      <c r="DF124" s="8" t="s">
        <v>416</v>
      </c>
      <c r="DG124" s="8" t="s">
        <v>1387</v>
      </c>
      <c r="DH124" s="8" t="s">
        <v>1388</v>
      </c>
      <c r="DI124" s="8" t="s">
        <v>1389</v>
      </c>
      <c r="DJ124" s="71">
        <v>0.35</v>
      </c>
      <c r="DK124" s="22">
        <v>0.25</v>
      </c>
      <c r="DL124" s="8" t="s">
        <v>1390</v>
      </c>
      <c r="DM124" s="78"/>
      <c r="DN124" s="23"/>
      <c r="DO124" s="23"/>
      <c r="DP124" s="23"/>
    </row>
    <row r="125" spans="1:120">
      <c r="A125" s="8">
        <v>122</v>
      </c>
      <c r="B125" s="8" t="s">
        <v>1391</v>
      </c>
      <c r="C125" s="34" t="s">
        <v>244</v>
      </c>
      <c r="D125" s="8" t="s">
        <v>1372</v>
      </c>
      <c r="E125" s="8" t="s">
        <v>1373</v>
      </c>
      <c r="F125" s="8" t="s">
        <v>1374</v>
      </c>
      <c r="G125" s="22" t="s">
        <v>787</v>
      </c>
      <c r="H125" s="20" t="s">
        <v>1392</v>
      </c>
      <c r="I125" s="13">
        <v>104400000</v>
      </c>
      <c r="J125" s="8">
        <v>2025</v>
      </c>
      <c r="K125" s="22" t="s">
        <v>1376</v>
      </c>
      <c r="L125" s="22" t="s">
        <v>116</v>
      </c>
      <c r="M125" s="22" t="s">
        <v>1393</v>
      </c>
      <c r="N125" s="8" t="s">
        <v>1394</v>
      </c>
      <c r="O125" s="8" t="s">
        <v>1395</v>
      </c>
      <c r="P125" s="11">
        <v>3470</v>
      </c>
      <c r="Q125" s="12">
        <v>45903</v>
      </c>
      <c r="R125" s="12">
        <v>45888</v>
      </c>
      <c r="S125" s="12">
        <v>45904</v>
      </c>
      <c r="T125" s="14" t="s">
        <v>556</v>
      </c>
      <c r="U125" s="12">
        <f t="shared" si="19"/>
        <v>47364</v>
      </c>
      <c r="V125" s="16">
        <f t="shared" ca="1" si="22"/>
        <v>37</v>
      </c>
      <c r="W125" s="9">
        <v>20000</v>
      </c>
      <c r="X125" s="22" t="s">
        <v>1380</v>
      </c>
      <c r="Y125" s="22" t="s">
        <v>1381</v>
      </c>
      <c r="Z125" s="22"/>
      <c r="AA125" s="12" t="s">
        <v>1382</v>
      </c>
      <c r="AB125" s="12">
        <v>45930</v>
      </c>
      <c r="AC125" s="8">
        <f t="shared" si="25"/>
        <v>1460</v>
      </c>
      <c r="AD125" s="8">
        <f t="shared" ca="1" si="26"/>
        <v>1138</v>
      </c>
      <c r="AE125" s="8" t="str">
        <f>VLOOKUP($B125, [1]렌트_계약서번호!$B$3:$E$501, 4, FALSE)</f>
        <v>25080121</v>
      </c>
      <c r="AF125" s="20">
        <v>104400000</v>
      </c>
      <c r="AG125" s="9">
        <v>5282939</v>
      </c>
      <c r="AH125" s="9">
        <f t="shared" si="34"/>
        <v>99504061</v>
      </c>
      <c r="AI125" s="9">
        <v>387000</v>
      </c>
      <c r="AJ125" s="9">
        <v>1900</v>
      </c>
      <c r="AK125" s="20">
        <v>3617380</v>
      </c>
      <c r="AL125" s="20">
        <v>127848</v>
      </c>
      <c r="AM125" s="20"/>
      <c r="AN125" s="20"/>
      <c r="AO125" s="20">
        <v>80000</v>
      </c>
      <c r="AP125" s="20"/>
      <c r="AQ125" s="20"/>
      <c r="AR125" s="20"/>
      <c r="AS125" s="20">
        <v>198000</v>
      </c>
      <c r="AT125" s="9" t="s">
        <v>1383</v>
      </c>
      <c r="AU125" s="20"/>
      <c r="AV125" s="20"/>
      <c r="AW125" s="20" t="s">
        <v>158</v>
      </c>
      <c r="AX125" s="17"/>
      <c r="AY125" s="20"/>
      <c r="AZ125" s="20"/>
      <c r="BA125" s="20"/>
      <c r="BB125" s="20"/>
      <c r="BC125" s="23"/>
      <c r="BD125" s="9" t="s">
        <v>125</v>
      </c>
      <c r="BE125" s="9" t="s">
        <v>126</v>
      </c>
      <c r="BF125" s="9" t="s">
        <v>187</v>
      </c>
      <c r="BG125" s="9" t="s">
        <v>188</v>
      </c>
      <c r="BH125" s="9" t="s">
        <v>129</v>
      </c>
      <c r="BI125" s="9" t="s">
        <v>189</v>
      </c>
      <c r="BJ125" s="8" t="s">
        <v>256</v>
      </c>
      <c r="BK125" s="9" t="s">
        <v>132</v>
      </c>
      <c r="BL125" s="9" t="s">
        <v>133</v>
      </c>
      <c r="BM125" s="9" t="s">
        <v>133</v>
      </c>
      <c r="BN125" s="9" t="s">
        <v>133</v>
      </c>
      <c r="BO125" s="9" t="s">
        <v>817</v>
      </c>
      <c r="BP125" s="8"/>
      <c r="BQ125" s="23"/>
      <c r="BR125" s="9">
        <f t="shared" si="32"/>
        <v>83280</v>
      </c>
      <c r="BS125" s="23"/>
      <c r="BT125" s="23"/>
      <c r="BU125" s="23"/>
      <c r="BV125" s="8"/>
      <c r="BW125" s="23"/>
      <c r="BX125" s="23"/>
      <c r="BY125" s="23"/>
      <c r="BZ125" s="23"/>
      <c r="CA125" s="23"/>
      <c r="CB125" s="8" t="s">
        <v>1329</v>
      </c>
      <c r="CC125" s="8" t="s">
        <v>1329</v>
      </c>
      <c r="CD125" s="78">
        <v>1818000</v>
      </c>
      <c r="CE125" s="13">
        <v>48</v>
      </c>
      <c r="CF125" s="9">
        <f t="shared" si="30"/>
        <v>87264000</v>
      </c>
      <c r="CG125" s="78">
        <v>31320000</v>
      </c>
      <c r="CH125" s="78">
        <v>0</v>
      </c>
      <c r="CI125" s="78">
        <v>46657000</v>
      </c>
      <c r="CJ125" s="69">
        <v>0.03</v>
      </c>
      <c r="CK125" s="72">
        <v>0.06</v>
      </c>
      <c r="CL125" s="56" t="s">
        <v>1384</v>
      </c>
      <c r="CM125" s="56" t="s">
        <v>1384</v>
      </c>
      <c r="CN125" s="8"/>
      <c r="CO125" s="27">
        <v>0.03</v>
      </c>
      <c r="CP125" s="23"/>
      <c r="CQ125" s="23" t="s">
        <v>1086</v>
      </c>
      <c r="CR125" s="23">
        <f>120000*1.1</f>
        <v>132000</v>
      </c>
      <c r="CS125" s="23"/>
      <c r="CT125" s="23"/>
      <c r="CU125" s="23"/>
      <c r="CV125" s="23"/>
      <c r="CW125" s="23"/>
      <c r="CX125" s="23"/>
      <c r="CY125" s="23"/>
      <c r="CZ125" s="23"/>
      <c r="DA125" s="23"/>
      <c r="DB125" s="32" t="s">
        <v>232</v>
      </c>
      <c r="DC125" s="32" t="s">
        <v>801</v>
      </c>
      <c r="DD125" s="32" t="s">
        <v>819</v>
      </c>
      <c r="DE125" s="8" t="s">
        <v>1386</v>
      </c>
      <c r="DF125" s="8" t="s">
        <v>416</v>
      </c>
      <c r="DG125" s="8" t="s">
        <v>1387</v>
      </c>
      <c r="DH125" s="8" t="s">
        <v>1388</v>
      </c>
      <c r="DI125" s="8" t="s">
        <v>1389</v>
      </c>
      <c r="DJ125" s="71">
        <v>0.35</v>
      </c>
      <c r="DK125" s="22">
        <v>0.25</v>
      </c>
      <c r="DL125" s="8" t="s">
        <v>1390</v>
      </c>
      <c r="DM125" s="78"/>
      <c r="DN125" s="23"/>
      <c r="DO125" s="23"/>
      <c r="DP125" s="23"/>
    </row>
    <row r="126" spans="1:120">
      <c r="A126" s="8">
        <v>123</v>
      </c>
      <c r="B126" s="8" t="s">
        <v>1396</v>
      </c>
      <c r="C126" s="34" t="s">
        <v>244</v>
      </c>
      <c r="D126" s="8" t="s">
        <v>1317</v>
      </c>
      <c r="E126" s="8" t="s">
        <v>1318</v>
      </c>
      <c r="F126" s="8" t="s">
        <v>1319</v>
      </c>
      <c r="G126" s="22" t="s">
        <v>191</v>
      </c>
      <c r="H126" s="20" t="s">
        <v>1397</v>
      </c>
      <c r="I126" s="13">
        <v>76700000</v>
      </c>
      <c r="J126" s="8">
        <v>2025</v>
      </c>
      <c r="K126" s="22" t="s">
        <v>1398</v>
      </c>
      <c r="L126" s="22" t="s">
        <v>116</v>
      </c>
      <c r="M126" s="22" t="s">
        <v>1399</v>
      </c>
      <c r="N126" s="8" t="s">
        <v>1400</v>
      </c>
      <c r="O126" s="8" t="s">
        <v>1401</v>
      </c>
      <c r="P126" s="11">
        <v>2487</v>
      </c>
      <c r="Q126" s="12">
        <v>45890</v>
      </c>
      <c r="R126" s="12">
        <v>45887</v>
      </c>
      <c r="S126" s="12">
        <v>45891</v>
      </c>
      <c r="T126" s="14" t="s">
        <v>556</v>
      </c>
      <c r="U126" s="12">
        <f t="shared" si="19"/>
        <v>47351</v>
      </c>
      <c r="V126" s="16">
        <f t="shared" ca="1" si="22"/>
        <v>36</v>
      </c>
      <c r="W126" s="9">
        <v>30000</v>
      </c>
      <c r="X126" s="8" t="s">
        <v>1402</v>
      </c>
      <c r="Y126" s="8" t="s">
        <v>1319</v>
      </c>
      <c r="Z126" s="22"/>
      <c r="AA126" s="12" t="s">
        <v>1327</v>
      </c>
      <c r="AB126" s="12">
        <v>45900</v>
      </c>
      <c r="AC126" s="8">
        <f t="shared" si="25"/>
        <v>1460</v>
      </c>
      <c r="AD126" s="8">
        <f t="shared" ca="1" si="26"/>
        <v>1125</v>
      </c>
      <c r="AE126" s="8" t="str">
        <f>VLOOKUP($B126, [1]렌트_계약서번호!$B$3:$E$501, 4, FALSE)</f>
        <v>25080122</v>
      </c>
      <c r="AF126" s="20">
        <v>76700000</v>
      </c>
      <c r="AG126" s="9">
        <v>3881240</v>
      </c>
      <c r="AH126" s="9">
        <f t="shared" si="34"/>
        <v>73178760</v>
      </c>
      <c r="AI126" s="9">
        <v>360000</v>
      </c>
      <c r="AJ126" s="9">
        <v>1900</v>
      </c>
      <c r="AK126" s="20">
        <v>2595970</v>
      </c>
      <c r="AL126" s="20">
        <v>60530</v>
      </c>
      <c r="AM126" s="20">
        <v>2000</v>
      </c>
      <c r="AN126" s="20">
        <v>45000</v>
      </c>
      <c r="AO126" s="20">
        <v>50000</v>
      </c>
      <c r="AP126" s="20"/>
      <c r="AQ126" s="20"/>
      <c r="AR126" s="20"/>
      <c r="AS126" s="20">
        <v>451000</v>
      </c>
      <c r="AT126" s="20" t="s">
        <v>1403</v>
      </c>
      <c r="AU126" s="20"/>
      <c r="AV126" s="20"/>
      <c r="AW126" s="20" t="s">
        <v>158</v>
      </c>
      <c r="AX126" s="17">
        <v>45889</v>
      </c>
      <c r="AY126" s="20">
        <v>840060</v>
      </c>
      <c r="AZ126" s="20"/>
      <c r="BA126" s="20"/>
      <c r="BB126" s="20"/>
      <c r="BC126" s="23"/>
      <c r="BD126" s="9" t="s">
        <v>125</v>
      </c>
      <c r="BE126" s="9" t="s">
        <v>126</v>
      </c>
      <c r="BF126" s="9" t="s">
        <v>187</v>
      </c>
      <c r="BG126" s="9" t="s">
        <v>188</v>
      </c>
      <c r="BH126" s="9" t="s">
        <v>129</v>
      </c>
      <c r="BI126" s="9" t="s">
        <v>189</v>
      </c>
      <c r="BJ126" s="8" t="s">
        <v>256</v>
      </c>
      <c r="BK126" s="9" t="s">
        <v>132</v>
      </c>
      <c r="BL126" s="9" t="s">
        <v>133</v>
      </c>
      <c r="BM126" s="9" t="s">
        <v>133</v>
      </c>
      <c r="BN126" s="9" t="s">
        <v>133</v>
      </c>
      <c r="BO126" s="9" t="s">
        <v>817</v>
      </c>
      <c r="BP126" s="8"/>
      <c r="BQ126" s="23"/>
      <c r="BR126" s="9">
        <f t="shared" si="32"/>
        <v>47253</v>
      </c>
      <c r="BS126" s="23"/>
      <c r="BT126" s="23"/>
      <c r="BU126" s="23"/>
      <c r="BV126" s="8"/>
      <c r="BW126" s="23"/>
      <c r="BX126" s="23"/>
      <c r="BY126" s="23"/>
      <c r="BZ126" s="23"/>
      <c r="CA126" s="23"/>
      <c r="CB126" s="8" t="s">
        <v>1329</v>
      </c>
      <c r="CC126" s="8" t="s">
        <v>1329</v>
      </c>
      <c r="CD126" s="78">
        <v>1071000</v>
      </c>
      <c r="CE126" s="13">
        <v>48</v>
      </c>
      <c r="CF126" s="9">
        <f t="shared" si="30"/>
        <v>51408000</v>
      </c>
      <c r="CG126" s="78">
        <v>0</v>
      </c>
      <c r="CH126" s="78">
        <v>15340000</v>
      </c>
      <c r="CI126" s="78">
        <v>41418000</v>
      </c>
      <c r="CJ126" s="69">
        <v>0.03</v>
      </c>
      <c r="CK126" s="72">
        <v>0.06</v>
      </c>
      <c r="CL126" s="56" t="s">
        <v>1330</v>
      </c>
      <c r="CM126" s="56" t="s">
        <v>1331</v>
      </c>
      <c r="CN126" s="8"/>
      <c r="CO126" s="27">
        <v>0.03</v>
      </c>
      <c r="CP126" s="23"/>
      <c r="CQ126" s="23" t="s">
        <v>1086</v>
      </c>
      <c r="CR126" s="23">
        <f>100000*1.1</f>
        <v>110000.00000000001</v>
      </c>
      <c r="CS126" s="23"/>
      <c r="CT126" s="23"/>
      <c r="CU126" s="23"/>
      <c r="CV126" s="23"/>
      <c r="CW126" s="23"/>
      <c r="CX126" s="23"/>
      <c r="CY126" s="23"/>
      <c r="CZ126" s="23"/>
      <c r="DA126" s="23"/>
      <c r="DB126" s="32" t="s">
        <v>232</v>
      </c>
      <c r="DC126" s="32" t="s">
        <v>801</v>
      </c>
      <c r="DD126" s="32" t="s">
        <v>819</v>
      </c>
      <c r="DE126" s="8" t="s">
        <v>1317</v>
      </c>
      <c r="DF126" s="8" t="s">
        <v>1332</v>
      </c>
      <c r="DG126" s="8" t="s">
        <v>1333</v>
      </c>
      <c r="DH126" s="8" t="s">
        <v>1334</v>
      </c>
      <c r="DI126" s="8" t="s">
        <v>1335</v>
      </c>
      <c r="DJ126" s="71">
        <v>0.35</v>
      </c>
      <c r="DK126" s="22">
        <v>0.25</v>
      </c>
      <c r="DL126" s="8" t="s">
        <v>1336</v>
      </c>
      <c r="DM126" s="78"/>
      <c r="DN126" s="23"/>
      <c r="DO126" s="23"/>
      <c r="DP126" s="23"/>
    </row>
    <row r="127" spans="1:120">
      <c r="A127" s="8">
        <v>124</v>
      </c>
      <c r="B127" s="8" t="s">
        <v>1404</v>
      </c>
      <c r="C127" s="34" t="s">
        <v>244</v>
      </c>
      <c r="D127" s="8" t="s">
        <v>1405</v>
      </c>
      <c r="E127" s="8" t="s">
        <v>1405</v>
      </c>
      <c r="F127" s="1" t="s">
        <v>1406</v>
      </c>
      <c r="G127" s="22" t="s">
        <v>787</v>
      </c>
      <c r="H127" s="20" t="s">
        <v>1407</v>
      </c>
      <c r="I127" s="13">
        <v>127000000</v>
      </c>
      <c r="J127" s="8">
        <v>2025</v>
      </c>
      <c r="K127" s="22" t="s">
        <v>1408</v>
      </c>
      <c r="L127" s="22" t="s">
        <v>116</v>
      </c>
      <c r="M127" s="22" t="s">
        <v>1409</v>
      </c>
      <c r="N127" s="8" t="s">
        <v>1410</v>
      </c>
      <c r="O127" s="8" t="s">
        <v>1411</v>
      </c>
      <c r="P127" s="11">
        <v>3470</v>
      </c>
      <c r="Q127" s="12">
        <v>45896</v>
      </c>
      <c r="R127" s="12">
        <v>45865</v>
      </c>
      <c r="S127" s="12">
        <v>45898</v>
      </c>
      <c r="T127" s="14" t="s">
        <v>120</v>
      </c>
      <c r="U127" s="12">
        <f t="shared" si="19"/>
        <v>47723</v>
      </c>
      <c r="V127" s="16">
        <f t="shared" ca="1" si="22"/>
        <v>49</v>
      </c>
      <c r="W127" s="9">
        <v>20000</v>
      </c>
      <c r="X127" s="8" t="s">
        <v>1405</v>
      </c>
      <c r="Y127" s="1" t="s">
        <v>1406</v>
      </c>
      <c r="Z127" s="22"/>
      <c r="AA127" s="12" t="s">
        <v>1412</v>
      </c>
      <c r="AB127" s="12">
        <v>45930</v>
      </c>
      <c r="AC127" s="8">
        <f t="shared" si="25"/>
        <v>1825</v>
      </c>
      <c r="AD127" s="8">
        <f t="shared" ca="1" si="26"/>
        <v>1497</v>
      </c>
      <c r="AE127" s="8" t="str">
        <f>VLOOKUP($B127, [1]렌트_계약서번호!$B$3:$E$501, 4, FALSE)</f>
        <v>25070119</v>
      </c>
      <c r="AF127" s="20">
        <v>127000000</v>
      </c>
      <c r="AG127" s="9">
        <v>6426565</v>
      </c>
      <c r="AH127" s="9">
        <f t="shared" si="34"/>
        <v>120934435</v>
      </c>
      <c r="AI127" s="9">
        <v>361000</v>
      </c>
      <c r="AJ127" s="9">
        <v>1900</v>
      </c>
      <c r="AK127" s="20">
        <v>4397610</v>
      </c>
      <c r="AL127" s="20">
        <v>151416</v>
      </c>
      <c r="AM127" s="20"/>
      <c r="AN127" s="20"/>
      <c r="AO127" s="20">
        <v>67000</v>
      </c>
      <c r="AP127" s="20"/>
      <c r="AQ127" s="20"/>
      <c r="AR127" s="20"/>
      <c r="AS127" s="20">
        <v>198000</v>
      </c>
      <c r="AT127" s="9" t="s">
        <v>1383</v>
      </c>
      <c r="AU127" s="20">
        <v>4616026</v>
      </c>
      <c r="AV127" s="20"/>
      <c r="AW127" s="20" t="s">
        <v>158</v>
      </c>
      <c r="AX127" s="17">
        <v>45890</v>
      </c>
      <c r="AY127" s="20">
        <v>845850</v>
      </c>
      <c r="AZ127" s="20"/>
      <c r="BA127" s="20"/>
      <c r="BB127" s="20"/>
      <c r="BC127" s="23"/>
      <c r="BD127" s="9" t="s">
        <v>125</v>
      </c>
      <c r="BE127" s="9" t="s">
        <v>126</v>
      </c>
      <c r="BF127" s="9" t="s">
        <v>187</v>
      </c>
      <c r="BG127" s="9" t="s">
        <v>188</v>
      </c>
      <c r="BH127" s="9" t="s">
        <v>129</v>
      </c>
      <c r="BI127" s="9" t="s">
        <v>189</v>
      </c>
      <c r="BJ127" s="8" t="s">
        <v>256</v>
      </c>
      <c r="BK127" s="9" t="s">
        <v>132</v>
      </c>
      <c r="BL127" s="9" t="s">
        <v>133</v>
      </c>
      <c r="BM127" s="9" t="s">
        <v>133</v>
      </c>
      <c r="BN127" s="9" t="s">
        <v>133</v>
      </c>
      <c r="BO127" s="9" t="s">
        <v>817</v>
      </c>
      <c r="BP127" s="8"/>
      <c r="BQ127" s="23"/>
      <c r="BR127" s="9">
        <f t="shared" si="32"/>
        <v>83280</v>
      </c>
      <c r="BS127" s="23"/>
      <c r="BT127" s="23"/>
      <c r="BU127" s="23"/>
      <c r="BV127" s="8"/>
      <c r="BW127" s="23"/>
      <c r="BX127" s="23"/>
      <c r="BY127" s="23"/>
      <c r="BZ127" s="23"/>
      <c r="CA127" s="23"/>
      <c r="CB127" s="8" t="s">
        <v>1329</v>
      </c>
      <c r="CC127" s="8" t="s">
        <v>1329</v>
      </c>
      <c r="CD127" s="78">
        <v>1473000</v>
      </c>
      <c r="CE127" s="13">
        <v>60</v>
      </c>
      <c r="CF127" s="9">
        <f t="shared" si="30"/>
        <v>88380000</v>
      </c>
      <c r="CG127" s="78">
        <v>38100000</v>
      </c>
      <c r="CH127" s="78">
        <v>38100000</v>
      </c>
      <c r="CI127" s="78">
        <v>38100000</v>
      </c>
      <c r="CJ127" s="69">
        <v>0.03</v>
      </c>
      <c r="CK127" s="72">
        <v>0.06</v>
      </c>
      <c r="CL127" s="8"/>
      <c r="CM127" s="8"/>
      <c r="CN127" s="8"/>
      <c r="CO127" s="27">
        <v>0.03</v>
      </c>
      <c r="CP127" s="23"/>
      <c r="CQ127" s="23" t="s">
        <v>1086</v>
      </c>
      <c r="CR127" s="23">
        <f>120000*1.1</f>
        <v>132000</v>
      </c>
      <c r="CS127" s="23"/>
      <c r="CT127" s="23"/>
      <c r="CU127" s="23"/>
      <c r="CV127" s="23"/>
      <c r="CW127" s="23"/>
      <c r="CX127" s="23"/>
      <c r="CY127" s="23"/>
      <c r="CZ127" s="23"/>
      <c r="DA127" s="23"/>
      <c r="DB127" s="32" t="s">
        <v>232</v>
      </c>
      <c r="DC127" s="32" t="s">
        <v>801</v>
      </c>
      <c r="DD127" s="32" t="s">
        <v>561</v>
      </c>
      <c r="DE127" s="8"/>
      <c r="DF127" s="8"/>
      <c r="DG127" s="8"/>
      <c r="DH127" s="8" t="s">
        <v>1413</v>
      </c>
      <c r="DI127" s="8" t="s">
        <v>1414</v>
      </c>
      <c r="DJ127" s="71">
        <v>0.35</v>
      </c>
      <c r="DK127" s="22">
        <v>0.25</v>
      </c>
      <c r="DL127" s="8"/>
      <c r="DM127" s="78"/>
      <c r="DN127" s="23"/>
      <c r="DO127" s="23"/>
      <c r="DP127" s="23"/>
    </row>
    <row r="128" spans="1:120">
      <c r="A128" s="8">
        <v>125</v>
      </c>
      <c r="B128" s="8" t="s">
        <v>1415</v>
      </c>
      <c r="C128" s="34" t="s">
        <v>244</v>
      </c>
      <c r="D128" s="8" t="s">
        <v>1416</v>
      </c>
      <c r="E128" s="8" t="s">
        <v>1417</v>
      </c>
      <c r="F128" s="8" t="s">
        <v>1418</v>
      </c>
      <c r="G128" s="22" t="s">
        <v>1419</v>
      </c>
      <c r="H128" s="20" t="s">
        <v>1420</v>
      </c>
      <c r="I128" s="13">
        <v>34770000</v>
      </c>
      <c r="J128" s="8">
        <v>2025</v>
      </c>
      <c r="K128" s="22" t="s">
        <v>1421</v>
      </c>
      <c r="L128" s="22" t="s">
        <v>116</v>
      </c>
      <c r="M128" s="22" t="s">
        <v>1422</v>
      </c>
      <c r="N128" s="8" t="s">
        <v>1423</v>
      </c>
      <c r="O128" s="8" t="s">
        <v>1424</v>
      </c>
      <c r="P128" s="11">
        <v>1580</v>
      </c>
      <c r="Q128" s="12">
        <v>45902</v>
      </c>
      <c r="R128" s="12">
        <v>45879</v>
      </c>
      <c r="S128" s="12">
        <v>45902</v>
      </c>
      <c r="T128" s="14" t="s">
        <v>120</v>
      </c>
      <c r="U128" s="12">
        <f t="shared" si="19"/>
        <v>47727</v>
      </c>
      <c r="V128" s="16">
        <f t="shared" ca="1" si="22"/>
        <v>49</v>
      </c>
      <c r="W128" s="9">
        <v>20000</v>
      </c>
      <c r="X128" s="8" t="s">
        <v>1417</v>
      </c>
      <c r="Y128" s="8" t="s">
        <v>1418</v>
      </c>
      <c r="Z128" s="22"/>
      <c r="AA128" s="12" t="s">
        <v>1425</v>
      </c>
      <c r="AB128" s="12">
        <v>45925</v>
      </c>
      <c r="AC128" s="8">
        <f t="shared" si="25"/>
        <v>1825</v>
      </c>
      <c r="AD128" s="8">
        <f t="shared" ca="1" si="26"/>
        <v>1501</v>
      </c>
      <c r="AE128" s="8" t="str">
        <f>VLOOKUP($B128, [1]렌트_계약서번호!$B$3:$E$501, 4, FALSE)</f>
        <v>25080123</v>
      </c>
      <c r="AF128" s="20">
        <v>30680000</v>
      </c>
      <c r="AG128" s="9">
        <v>465750</v>
      </c>
      <c r="AH128" s="9">
        <f t="shared" si="34"/>
        <v>30680000</v>
      </c>
      <c r="AI128" s="9">
        <v>465750</v>
      </c>
      <c r="AJ128" s="9">
        <v>1900</v>
      </c>
      <c r="AK128" s="20">
        <v>1212780</v>
      </c>
      <c r="AL128" s="20"/>
      <c r="AM128" s="20"/>
      <c r="AN128" s="20"/>
      <c r="AO128" s="20">
        <v>80000</v>
      </c>
      <c r="AP128" s="20"/>
      <c r="AQ128" s="20"/>
      <c r="AR128" s="20"/>
      <c r="AS128" s="20">
        <v>198000</v>
      </c>
      <c r="AT128" s="9" t="s">
        <v>1383</v>
      </c>
      <c r="AU128" s="20"/>
      <c r="AV128" s="20"/>
      <c r="AW128" s="13" t="s">
        <v>124</v>
      </c>
      <c r="AX128" s="17"/>
      <c r="AY128" s="20"/>
      <c r="AZ128" s="20"/>
      <c r="BA128" s="20"/>
      <c r="BB128" s="20"/>
      <c r="BC128" s="23"/>
      <c r="BD128" s="9" t="s">
        <v>125</v>
      </c>
      <c r="BE128" s="9" t="s">
        <v>126</v>
      </c>
      <c r="BF128" s="9" t="s">
        <v>1158</v>
      </c>
      <c r="BG128" s="9" t="s">
        <v>1159</v>
      </c>
      <c r="BH128" s="9" t="s">
        <v>129</v>
      </c>
      <c r="BI128" s="9" t="s">
        <v>130</v>
      </c>
      <c r="BJ128" s="8" t="s">
        <v>256</v>
      </c>
      <c r="BK128" s="9" t="s">
        <v>132</v>
      </c>
      <c r="BL128" s="9" t="s">
        <v>133</v>
      </c>
      <c r="BM128" s="9" t="s">
        <v>133</v>
      </c>
      <c r="BN128" s="9" t="s">
        <v>133</v>
      </c>
      <c r="BO128" s="9" t="s">
        <v>817</v>
      </c>
      <c r="BP128" s="8"/>
      <c r="BQ128" s="23"/>
      <c r="BR128" s="9">
        <f t="shared" si="32"/>
        <v>28440</v>
      </c>
      <c r="BS128" s="23"/>
      <c r="BT128" s="23"/>
      <c r="BU128" s="23"/>
      <c r="BV128" s="8"/>
      <c r="BW128" s="23"/>
      <c r="BX128" s="23"/>
      <c r="BY128" s="23"/>
      <c r="BZ128" s="23"/>
      <c r="CA128" s="23"/>
      <c r="CB128" s="8" t="s">
        <v>1426</v>
      </c>
      <c r="CC128" s="8" t="s">
        <v>1426</v>
      </c>
      <c r="CD128" s="78">
        <v>622000</v>
      </c>
      <c r="CE128" s="13">
        <v>60</v>
      </c>
      <c r="CF128" s="9">
        <f t="shared" si="30"/>
        <v>37320000</v>
      </c>
      <c r="CG128" s="78">
        <v>0</v>
      </c>
      <c r="CH128" s="78">
        <v>0</v>
      </c>
      <c r="CI128" s="78">
        <v>18428100</v>
      </c>
      <c r="CJ128" s="69">
        <v>0.03</v>
      </c>
      <c r="CK128" s="72">
        <v>0.06</v>
      </c>
      <c r="CL128" s="56" t="s">
        <v>1427</v>
      </c>
      <c r="CM128" s="8"/>
      <c r="CN128" s="8"/>
      <c r="CO128" s="27">
        <v>0.03</v>
      </c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32" t="s">
        <v>232</v>
      </c>
      <c r="DC128" s="32" t="s">
        <v>801</v>
      </c>
      <c r="DD128" s="32" t="s">
        <v>561</v>
      </c>
      <c r="DE128" s="8" t="s">
        <v>1428</v>
      </c>
      <c r="DF128" s="8" t="s">
        <v>416</v>
      </c>
      <c r="DG128" s="8" t="s">
        <v>1429</v>
      </c>
      <c r="DH128" s="8" t="s">
        <v>1430</v>
      </c>
      <c r="DI128" s="8" t="s">
        <v>1431</v>
      </c>
      <c r="DJ128" s="71">
        <v>0.35</v>
      </c>
      <c r="DK128" s="22">
        <v>0.25</v>
      </c>
      <c r="DL128" s="8" t="s">
        <v>119</v>
      </c>
      <c r="DM128" s="78"/>
      <c r="DN128" s="23"/>
      <c r="DO128" s="23"/>
      <c r="DP128" s="23"/>
    </row>
    <row r="129" spans="1:120">
      <c r="A129" s="8">
        <v>126</v>
      </c>
      <c r="B129" s="8" t="s">
        <v>1432</v>
      </c>
      <c r="C129" s="34" t="s">
        <v>244</v>
      </c>
      <c r="D129" s="8" t="s">
        <v>1250</v>
      </c>
      <c r="E129" s="8" t="s">
        <v>1251</v>
      </c>
      <c r="F129" s="8" t="s">
        <v>1252</v>
      </c>
      <c r="G129" s="22" t="s">
        <v>1309</v>
      </c>
      <c r="H129" s="20" t="s">
        <v>1310</v>
      </c>
      <c r="I129" s="13">
        <v>39410000</v>
      </c>
      <c r="J129" s="8">
        <v>2026</v>
      </c>
      <c r="K129" s="22" t="s">
        <v>1433</v>
      </c>
      <c r="L129" s="22" t="s">
        <v>116</v>
      </c>
      <c r="M129" s="22" t="s">
        <v>1434</v>
      </c>
      <c r="N129" s="8" t="s">
        <v>1435</v>
      </c>
      <c r="O129" s="8" t="s">
        <v>1436</v>
      </c>
      <c r="P129" s="11">
        <v>2487</v>
      </c>
      <c r="Q129" s="12">
        <v>45898</v>
      </c>
      <c r="R129" s="12">
        <v>45879</v>
      </c>
      <c r="S129" s="12">
        <v>45916</v>
      </c>
      <c r="T129" s="14" t="s">
        <v>556</v>
      </c>
      <c r="U129" s="12">
        <f t="shared" si="19"/>
        <v>47376</v>
      </c>
      <c r="V129" s="16">
        <f t="shared" ca="1" si="22"/>
        <v>37</v>
      </c>
      <c r="W129" s="9">
        <v>30000</v>
      </c>
      <c r="X129" s="22" t="s">
        <v>1258</v>
      </c>
      <c r="Y129" s="22" t="s">
        <v>1288</v>
      </c>
      <c r="Z129" s="22"/>
      <c r="AA129" s="76" t="s">
        <v>1260</v>
      </c>
      <c r="AB129" s="12">
        <v>45925</v>
      </c>
      <c r="AC129" s="8">
        <f t="shared" si="25"/>
        <v>1460</v>
      </c>
      <c r="AD129" s="8">
        <f t="shared" ca="1" si="26"/>
        <v>1150</v>
      </c>
      <c r="AE129" s="8" t="str">
        <f>VLOOKUP($B129, [1]렌트_계약서번호!$B$3:$E$501, 4, FALSE)</f>
        <v>25080124</v>
      </c>
      <c r="AF129" s="20">
        <v>39410000</v>
      </c>
      <c r="AG129" s="9">
        <v>1994259</v>
      </c>
      <c r="AH129" s="9">
        <f t="shared" si="34"/>
        <v>37591741</v>
      </c>
      <c r="AI129" s="9">
        <v>176000</v>
      </c>
      <c r="AJ129" s="9">
        <v>1900</v>
      </c>
      <c r="AK129" s="20">
        <v>1366970</v>
      </c>
      <c r="AL129" s="20">
        <v>45368</v>
      </c>
      <c r="AM129" s="20"/>
      <c r="AN129" s="20"/>
      <c r="AO129" s="20">
        <v>80000</v>
      </c>
      <c r="AP129" s="20"/>
      <c r="AQ129" s="20">
        <v>220000</v>
      </c>
      <c r="AR129" s="20" t="s">
        <v>1437</v>
      </c>
      <c r="AS129" s="20">
        <v>198000</v>
      </c>
      <c r="AT129" s="20" t="s">
        <v>1225</v>
      </c>
      <c r="AU129" s="20"/>
      <c r="AV129" s="20"/>
      <c r="AW129" s="13" t="s">
        <v>124</v>
      </c>
      <c r="AX129" s="17"/>
      <c r="AY129" s="20"/>
      <c r="AZ129" s="20"/>
      <c r="BA129" s="20"/>
      <c r="BB129" s="20"/>
      <c r="BC129" s="23"/>
      <c r="BD129" s="9" t="s">
        <v>125</v>
      </c>
      <c r="BE129" s="9" t="s">
        <v>126</v>
      </c>
      <c r="BF129" s="9" t="s">
        <v>1158</v>
      </c>
      <c r="BG129" s="9" t="s">
        <v>1159</v>
      </c>
      <c r="BH129" s="9" t="s">
        <v>129</v>
      </c>
      <c r="BI129" s="9" t="s">
        <v>130</v>
      </c>
      <c r="BJ129" s="8" t="s">
        <v>256</v>
      </c>
      <c r="BK129" s="9" t="s">
        <v>132</v>
      </c>
      <c r="BL129" s="9" t="s">
        <v>133</v>
      </c>
      <c r="BM129" s="9" t="s">
        <v>133</v>
      </c>
      <c r="BN129" s="9" t="s">
        <v>133</v>
      </c>
      <c r="BO129" s="9" t="s">
        <v>817</v>
      </c>
      <c r="BP129" s="20" t="s">
        <v>1315</v>
      </c>
      <c r="BQ129" s="23"/>
      <c r="BR129" s="9">
        <f t="shared" si="32"/>
        <v>47253</v>
      </c>
      <c r="BS129" s="8" t="s">
        <v>136</v>
      </c>
      <c r="BT129" s="23"/>
      <c r="BU129" s="23"/>
      <c r="BV129" s="8"/>
      <c r="BW129" s="23"/>
      <c r="BX129" s="23"/>
      <c r="BY129" s="23"/>
      <c r="BZ129" s="23"/>
      <c r="CA129" s="23"/>
      <c r="CB129" s="28" t="s">
        <v>385</v>
      </c>
      <c r="CC129" s="28" t="s">
        <v>385</v>
      </c>
      <c r="CD129" s="20">
        <v>700000</v>
      </c>
      <c r="CE129" s="13">
        <v>48</v>
      </c>
      <c r="CF129" s="9">
        <f t="shared" si="30"/>
        <v>33600000</v>
      </c>
      <c r="CG129" s="9">
        <v>11823000</v>
      </c>
      <c r="CH129" s="9">
        <v>0</v>
      </c>
      <c r="CI129" s="20">
        <v>20493200</v>
      </c>
      <c r="CJ129" s="69">
        <v>0.03</v>
      </c>
      <c r="CK129" s="72">
        <v>0.06</v>
      </c>
      <c r="CL129" s="31" t="s">
        <v>1262</v>
      </c>
      <c r="CM129" s="8"/>
      <c r="CN129" s="8"/>
      <c r="CO129" s="27">
        <v>0.03</v>
      </c>
      <c r="CP129" s="23"/>
      <c r="CQ129" s="23"/>
      <c r="CR129" s="23"/>
      <c r="CS129" s="32" t="s">
        <v>1086</v>
      </c>
      <c r="CT129" s="23"/>
      <c r="CU129" s="23"/>
      <c r="CV129" s="23"/>
      <c r="CW129" s="23"/>
      <c r="CX129" s="23"/>
      <c r="CY129" s="23"/>
      <c r="CZ129" s="23"/>
      <c r="DA129" s="23"/>
      <c r="DB129" s="32" t="s">
        <v>232</v>
      </c>
      <c r="DC129" s="32" t="s">
        <v>801</v>
      </c>
      <c r="DD129" s="32" t="s">
        <v>819</v>
      </c>
      <c r="DE129" s="22" t="s">
        <v>1294</v>
      </c>
      <c r="DF129" s="22" t="s">
        <v>705</v>
      </c>
      <c r="DG129" s="22" t="s">
        <v>1263</v>
      </c>
      <c r="DH129" s="22" t="s">
        <v>1264</v>
      </c>
      <c r="DI129" s="22" t="s">
        <v>1260</v>
      </c>
      <c r="DJ129" s="71">
        <v>0.35</v>
      </c>
      <c r="DK129" s="22">
        <v>0.25</v>
      </c>
      <c r="DL129" s="22" t="s">
        <v>1265</v>
      </c>
      <c r="DM129" s="78"/>
      <c r="DN129" s="23"/>
      <c r="DO129" s="23"/>
      <c r="DP129" s="23"/>
    </row>
    <row r="130" spans="1:120">
      <c r="A130" s="8">
        <v>127</v>
      </c>
      <c r="B130" s="8" t="s">
        <v>1438</v>
      </c>
      <c r="C130" s="34" t="s">
        <v>244</v>
      </c>
      <c r="D130" s="8" t="s">
        <v>1439</v>
      </c>
      <c r="E130" s="8" t="s">
        <v>1440</v>
      </c>
      <c r="F130" s="8" t="s">
        <v>1441</v>
      </c>
      <c r="G130" s="22" t="s">
        <v>234</v>
      </c>
      <c r="H130" s="20" t="s">
        <v>200</v>
      </c>
      <c r="I130" s="13">
        <v>209100000</v>
      </c>
      <c r="J130" s="8">
        <v>2025</v>
      </c>
      <c r="K130" s="22" t="s">
        <v>1442</v>
      </c>
      <c r="L130" s="22" t="s">
        <v>116</v>
      </c>
      <c r="M130" s="22" t="s">
        <v>1443</v>
      </c>
      <c r="N130" s="8" t="s">
        <v>1444</v>
      </c>
      <c r="O130" s="8" t="s">
        <v>119</v>
      </c>
      <c r="P130" s="11">
        <v>2999</v>
      </c>
      <c r="Q130" s="12">
        <v>45903</v>
      </c>
      <c r="R130" s="12">
        <v>45898</v>
      </c>
      <c r="S130" s="12">
        <v>45908</v>
      </c>
      <c r="T130" s="14" t="s">
        <v>120</v>
      </c>
      <c r="U130" s="12">
        <f t="shared" ref="U130:U148" si="35">IFERROR(S130+AC130, "-")</f>
        <v>47733</v>
      </c>
      <c r="V130" s="16">
        <f t="shared" ca="1" si="22"/>
        <v>49</v>
      </c>
      <c r="W130" s="9">
        <v>20000</v>
      </c>
      <c r="X130" s="22" t="s">
        <v>1440</v>
      </c>
      <c r="Y130" s="22" t="s">
        <v>1441</v>
      </c>
      <c r="Z130" s="22"/>
      <c r="AA130" s="12" t="s">
        <v>1445</v>
      </c>
      <c r="AB130" s="12">
        <v>45930</v>
      </c>
      <c r="AC130" s="8">
        <f t="shared" si="25"/>
        <v>1825</v>
      </c>
      <c r="AD130" s="8">
        <f t="shared" ca="1" si="26"/>
        <v>1507</v>
      </c>
      <c r="AE130" s="8" t="str">
        <f>VLOOKUP($B130, [1]렌트_계약서번호!$B$3:$E$501, 4, FALSE)</f>
        <v>25080125</v>
      </c>
      <c r="AF130" s="20">
        <v>209100000</v>
      </c>
      <c r="AG130" s="9">
        <v>25092000</v>
      </c>
      <c r="AH130" s="9">
        <f t="shared" si="34"/>
        <v>184008000</v>
      </c>
      <c r="AI130" s="9">
        <v>0</v>
      </c>
      <c r="AJ130" s="9">
        <v>0</v>
      </c>
      <c r="AK130" s="20">
        <v>6691200</v>
      </c>
      <c r="AL130" s="20">
        <v>237801</v>
      </c>
      <c r="AM130" s="20">
        <v>5000</v>
      </c>
      <c r="AN130" s="20">
        <v>40000</v>
      </c>
      <c r="AO130" s="20">
        <v>50000</v>
      </c>
      <c r="AP130" s="20"/>
      <c r="AQ130" s="20"/>
      <c r="AR130" s="20"/>
      <c r="AS130" s="20">
        <v>200000</v>
      </c>
      <c r="AT130" s="20" t="s">
        <v>1363</v>
      </c>
      <c r="AU130" s="20"/>
      <c r="AV130" s="20"/>
      <c r="AW130" s="13" t="s">
        <v>124</v>
      </c>
      <c r="AX130" s="17"/>
      <c r="AY130" s="20"/>
      <c r="AZ130" s="20"/>
      <c r="BA130" s="20"/>
      <c r="BB130" s="20"/>
      <c r="BC130" s="23"/>
      <c r="BD130" s="9" t="s">
        <v>125</v>
      </c>
      <c r="BE130" s="9" t="s">
        <v>126</v>
      </c>
      <c r="BF130" s="9" t="s">
        <v>187</v>
      </c>
      <c r="BG130" s="9" t="s">
        <v>188</v>
      </c>
      <c r="BH130" s="9" t="s">
        <v>129</v>
      </c>
      <c r="BI130" s="9" t="s">
        <v>189</v>
      </c>
      <c r="BJ130" s="8" t="s">
        <v>1364</v>
      </c>
      <c r="BK130" s="9" t="s">
        <v>132</v>
      </c>
      <c r="BL130" s="9" t="s">
        <v>133</v>
      </c>
      <c r="BM130" s="9" t="s">
        <v>257</v>
      </c>
      <c r="BN130" s="9" t="s">
        <v>257</v>
      </c>
      <c r="BO130" s="9" t="s">
        <v>134</v>
      </c>
      <c r="BP130" s="8"/>
      <c r="BQ130" s="23"/>
      <c r="BR130" s="9">
        <f t="shared" si="32"/>
        <v>71976</v>
      </c>
      <c r="BS130" s="23"/>
      <c r="BT130" s="23"/>
      <c r="BU130" s="23"/>
      <c r="BV130" s="8"/>
      <c r="BW130" s="23"/>
      <c r="BX130" s="23"/>
      <c r="BY130" s="23"/>
      <c r="BZ130" s="23"/>
      <c r="CA130" s="23"/>
      <c r="CB130" s="8" t="s">
        <v>1329</v>
      </c>
      <c r="CC130" s="8" t="s">
        <v>1329</v>
      </c>
      <c r="CD130" s="78">
        <v>3014000</v>
      </c>
      <c r="CE130" s="13">
        <v>60</v>
      </c>
      <c r="CF130" s="78">
        <f t="shared" si="30"/>
        <v>180840000</v>
      </c>
      <c r="CG130" s="78">
        <v>62730000</v>
      </c>
      <c r="CH130" s="78"/>
      <c r="CI130" s="78">
        <v>62730000</v>
      </c>
      <c r="CJ130" s="69">
        <v>0.03</v>
      </c>
      <c r="CK130" s="72">
        <v>0.06</v>
      </c>
      <c r="CL130" s="56" t="s">
        <v>1446</v>
      </c>
      <c r="CM130" s="8"/>
      <c r="CN130" s="8"/>
      <c r="CO130" s="27">
        <v>0.03</v>
      </c>
      <c r="CP130" s="23"/>
      <c r="CQ130" s="23" t="s">
        <v>1086</v>
      </c>
      <c r="CR130" s="23">
        <v>100000</v>
      </c>
      <c r="CS130" s="23" t="s">
        <v>978</v>
      </c>
      <c r="CT130" s="23">
        <v>300000</v>
      </c>
      <c r="CU130" s="23"/>
      <c r="CV130" s="23"/>
      <c r="CW130" s="23"/>
      <c r="CX130" s="23"/>
      <c r="CY130" s="23"/>
      <c r="CZ130" s="23"/>
      <c r="DA130" s="23"/>
      <c r="DB130" s="8" t="s">
        <v>928</v>
      </c>
      <c r="DC130" s="8" t="s">
        <v>1447</v>
      </c>
      <c r="DD130" s="32" t="s">
        <v>819</v>
      </c>
      <c r="DE130" s="8" t="s">
        <v>1448</v>
      </c>
      <c r="DF130" s="8" t="s">
        <v>705</v>
      </c>
      <c r="DG130" s="8" t="s">
        <v>1449</v>
      </c>
      <c r="DH130" s="8" t="s">
        <v>1450</v>
      </c>
      <c r="DI130" s="8" t="s">
        <v>1451</v>
      </c>
      <c r="DJ130" s="71">
        <v>0.35</v>
      </c>
      <c r="DK130" s="22">
        <v>0.25</v>
      </c>
      <c r="DL130" s="8" t="s">
        <v>119</v>
      </c>
      <c r="DM130" s="78"/>
      <c r="DN130" s="23"/>
      <c r="DO130" s="23"/>
      <c r="DP130" s="23"/>
    </row>
    <row r="131" spans="1:120">
      <c r="A131" s="8">
        <v>128</v>
      </c>
      <c r="B131" s="8" t="s">
        <v>1452</v>
      </c>
      <c r="C131" s="34" t="s">
        <v>244</v>
      </c>
      <c r="D131" s="8" t="s">
        <v>1372</v>
      </c>
      <c r="E131" s="8" t="s">
        <v>1373</v>
      </c>
      <c r="F131" s="8" t="s">
        <v>1374</v>
      </c>
      <c r="G131" s="22" t="s">
        <v>1453</v>
      </c>
      <c r="H131" s="20" t="s">
        <v>1454</v>
      </c>
      <c r="I131" s="13">
        <v>51150000</v>
      </c>
      <c r="J131" s="8">
        <v>2026</v>
      </c>
      <c r="K131" s="22" t="s">
        <v>1342</v>
      </c>
      <c r="L131" s="22" t="s">
        <v>1039</v>
      </c>
      <c r="M131" s="22" t="s">
        <v>1455</v>
      </c>
      <c r="N131" s="8" t="s">
        <v>1456</v>
      </c>
      <c r="O131" s="8" t="s">
        <v>119</v>
      </c>
      <c r="P131" s="11"/>
      <c r="Q131" s="12">
        <v>45931</v>
      </c>
      <c r="R131" s="12">
        <v>45915</v>
      </c>
      <c r="S131" s="12">
        <v>45945</v>
      </c>
      <c r="T131" s="14" t="s">
        <v>556</v>
      </c>
      <c r="U131" s="12">
        <f t="shared" si="35"/>
        <v>47405</v>
      </c>
      <c r="V131" s="16">
        <f t="shared" ca="1" si="22"/>
        <v>38</v>
      </c>
      <c r="W131" s="9">
        <v>20000</v>
      </c>
      <c r="X131" s="22" t="s">
        <v>1457</v>
      </c>
      <c r="Y131" s="79" t="s">
        <v>1458</v>
      </c>
      <c r="Z131" s="22"/>
      <c r="AA131" s="12" t="s">
        <v>1459</v>
      </c>
      <c r="AB131" s="12">
        <v>45961</v>
      </c>
      <c r="AC131" s="8">
        <f t="shared" si="25"/>
        <v>1460</v>
      </c>
      <c r="AD131" s="8">
        <f t="shared" ca="1" si="26"/>
        <v>1179</v>
      </c>
      <c r="AE131" s="8" t="str">
        <f>VLOOKUP($B131, [1]렌트_계약서번호!$B$3:$E$501, 4, FALSE)</f>
        <v>25090126</v>
      </c>
      <c r="AF131" s="20">
        <v>51230000</v>
      </c>
      <c r="AG131" s="9">
        <v>2592385</v>
      </c>
      <c r="AH131" s="9">
        <f t="shared" si="34"/>
        <v>48824615</v>
      </c>
      <c r="AI131" s="9">
        <v>187000</v>
      </c>
      <c r="AJ131" s="9">
        <v>1900</v>
      </c>
      <c r="AK131" s="20"/>
      <c r="AL131" s="20"/>
      <c r="AM131" s="20"/>
      <c r="AN131" s="20"/>
      <c r="AO131" s="20"/>
      <c r="AP131" s="20"/>
      <c r="AQ131" s="20">
        <v>220000</v>
      </c>
      <c r="AR131" s="20" t="s">
        <v>1437</v>
      </c>
      <c r="AS131" s="20">
        <v>198000</v>
      </c>
      <c r="AT131" s="9" t="s">
        <v>1383</v>
      </c>
      <c r="AU131" s="20"/>
      <c r="AV131" s="20"/>
      <c r="AW131" s="13" t="s">
        <v>124</v>
      </c>
      <c r="AX131" s="17"/>
      <c r="AY131" s="20"/>
      <c r="AZ131" s="20"/>
      <c r="BA131" s="20"/>
      <c r="BB131" s="20"/>
      <c r="BC131" s="23"/>
      <c r="BD131" s="9" t="s">
        <v>125</v>
      </c>
      <c r="BE131" s="9" t="s">
        <v>126</v>
      </c>
      <c r="BF131" s="9" t="s">
        <v>1158</v>
      </c>
      <c r="BG131" s="9" t="s">
        <v>1159</v>
      </c>
      <c r="BH131" s="9" t="s">
        <v>129</v>
      </c>
      <c r="BI131" s="9" t="s">
        <v>130</v>
      </c>
      <c r="BJ131" s="8" t="s">
        <v>256</v>
      </c>
      <c r="BK131" s="9" t="s">
        <v>132</v>
      </c>
      <c r="BL131" s="9" t="s">
        <v>133</v>
      </c>
      <c r="BM131" s="9" t="s">
        <v>133</v>
      </c>
      <c r="BN131" s="9" t="s">
        <v>133</v>
      </c>
      <c r="BO131" s="9" t="s">
        <v>817</v>
      </c>
      <c r="BP131" s="8"/>
      <c r="BQ131" s="23"/>
      <c r="BR131" s="9">
        <f t="shared" si="32"/>
        <v>0</v>
      </c>
      <c r="BS131" s="23"/>
      <c r="BT131" s="23"/>
      <c r="BU131" s="23"/>
      <c r="BV131" s="8"/>
      <c r="BW131" s="23"/>
      <c r="BX131" s="23"/>
      <c r="BY131" s="23"/>
      <c r="BZ131" s="23"/>
      <c r="CA131" s="23"/>
      <c r="CB131" s="8" t="s">
        <v>1329</v>
      </c>
      <c r="CC131" s="8" t="s">
        <v>1329</v>
      </c>
      <c r="CD131" s="78">
        <v>785000</v>
      </c>
      <c r="CE131" s="13">
        <v>48</v>
      </c>
      <c r="CF131" s="78">
        <f t="shared" si="30"/>
        <v>37680000</v>
      </c>
      <c r="CG131" s="78">
        <v>15369000</v>
      </c>
      <c r="CH131" s="78"/>
      <c r="CI131" s="78">
        <v>20492000</v>
      </c>
      <c r="CJ131" s="69">
        <v>0.04</v>
      </c>
      <c r="CK131" s="72">
        <v>0.06</v>
      </c>
      <c r="CL131" s="56" t="s">
        <v>1384</v>
      </c>
      <c r="CM131" s="8"/>
      <c r="CN131" s="8"/>
      <c r="CO131" s="27">
        <v>0.03</v>
      </c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32" t="s">
        <v>232</v>
      </c>
      <c r="DC131" s="32" t="s">
        <v>801</v>
      </c>
      <c r="DD131" s="32" t="s">
        <v>561</v>
      </c>
      <c r="DE131" s="8" t="s">
        <v>1386</v>
      </c>
      <c r="DF131" s="8" t="s">
        <v>416</v>
      </c>
      <c r="DG131" s="8" t="s">
        <v>1387</v>
      </c>
      <c r="DH131" s="8" t="s">
        <v>1388</v>
      </c>
      <c r="DI131" s="8" t="s">
        <v>1389</v>
      </c>
      <c r="DJ131" s="71">
        <v>0.35</v>
      </c>
      <c r="DK131" s="22">
        <v>0.25</v>
      </c>
      <c r="DL131" s="8" t="s">
        <v>1390</v>
      </c>
      <c r="DM131" s="78"/>
      <c r="DN131" s="23"/>
      <c r="DO131" s="23"/>
      <c r="DP131" s="23"/>
    </row>
    <row r="132" spans="1:120">
      <c r="A132" s="8">
        <v>129</v>
      </c>
      <c r="B132" s="8" t="s">
        <v>1460</v>
      </c>
      <c r="C132" s="34" t="s">
        <v>244</v>
      </c>
      <c r="D132" s="8" t="s">
        <v>1372</v>
      </c>
      <c r="E132" s="8" t="s">
        <v>1373</v>
      </c>
      <c r="F132" s="8" t="s">
        <v>1374</v>
      </c>
      <c r="G132" s="22" t="s">
        <v>1453</v>
      </c>
      <c r="H132" s="20" t="s">
        <v>1454</v>
      </c>
      <c r="I132" s="13">
        <v>51150000</v>
      </c>
      <c r="J132" s="8">
        <v>2026</v>
      </c>
      <c r="K132" s="22" t="s">
        <v>1342</v>
      </c>
      <c r="L132" s="22" t="s">
        <v>1039</v>
      </c>
      <c r="M132" s="22" t="s">
        <v>1461</v>
      </c>
      <c r="N132" s="8" t="s">
        <v>1462</v>
      </c>
      <c r="O132" s="8" t="s">
        <v>119</v>
      </c>
      <c r="P132" s="11"/>
      <c r="Q132" s="12">
        <v>45931</v>
      </c>
      <c r="R132" s="12">
        <v>45915</v>
      </c>
      <c r="S132" s="12">
        <v>45931</v>
      </c>
      <c r="T132" s="14" t="s">
        <v>556</v>
      </c>
      <c r="U132" s="12">
        <f t="shared" si="35"/>
        <v>47391</v>
      </c>
      <c r="V132" s="16">
        <f t="shared" ca="1" si="22"/>
        <v>38</v>
      </c>
      <c r="W132" s="9">
        <v>20000</v>
      </c>
      <c r="X132" s="22" t="s">
        <v>1457</v>
      </c>
      <c r="Y132" s="79" t="s">
        <v>1458</v>
      </c>
      <c r="Z132" s="22"/>
      <c r="AA132" s="12" t="s">
        <v>1463</v>
      </c>
      <c r="AB132" s="12">
        <v>45961</v>
      </c>
      <c r="AC132" s="8">
        <f t="shared" si="25"/>
        <v>1460</v>
      </c>
      <c r="AD132" s="8">
        <f t="shared" ca="1" si="26"/>
        <v>1165</v>
      </c>
      <c r="AE132" s="8" t="str">
        <f>VLOOKUP($B132, [1]렌트_계약서번호!$B$3:$E$501, 4, FALSE)</f>
        <v>25090127</v>
      </c>
      <c r="AF132" s="20">
        <v>51230000</v>
      </c>
      <c r="AG132" s="9">
        <v>2592385</v>
      </c>
      <c r="AH132" s="9">
        <f t="shared" si="34"/>
        <v>48824615</v>
      </c>
      <c r="AI132" s="9">
        <v>187000</v>
      </c>
      <c r="AJ132" s="9">
        <v>1900</v>
      </c>
      <c r="AK132" s="20"/>
      <c r="AL132" s="20"/>
      <c r="AM132" s="20"/>
      <c r="AN132" s="20"/>
      <c r="AO132" s="20"/>
      <c r="AP132" s="20"/>
      <c r="AQ132" s="20">
        <v>220000</v>
      </c>
      <c r="AR132" s="20" t="s">
        <v>1437</v>
      </c>
      <c r="AS132" s="20">
        <v>198000</v>
      </c>
      <c r="AT132" s="9" t="s">
        <v>1383</v>
      </c>
      <c r="AU132" s="20"/>
      <c r="AV132" s="20"/>
      <c r="AW132" s="13" t="s">
        <v>124</v>
      </c>
      <c r="AX132" s="17"/>
      <c r="AY132" s="20"/>
      <c r="AZ132" s="20"/>
      <c r="BA132" s="20"/>
      <c r="BB132" s="20"/>
      <c r="BC132" s="23"/>
      <c r="BD132" s="9" t="s">
        <v>125</v>
      </c>
      <c r="BE132" s="9" t="s">
        <v>126</v>
      </c>
      <c r="BF132" s="9" t="s">
        <v>1158</v>
      </c>
      <c r="BG132" s="9" t="s">
        <v>1159</v>
      </c>
      <c r="BH132" s="9" t="s">
        <v>129</v>
      </c>
      <c r="BI132" s="9" t="s">
        <v>130</v>
      </c>
      <c r="BJ132" s="8" t="s">
        <v>256</v>
      </c>
      <c r="BK132" s="9" t="s">
        <v>132</v>
      </c>
      <c r="BL132" s="9" t="s">
        <v>133</v>
      </c>
      <c r="BM132" s="9" t="s">
        <v>133</v>
      </c>
      <c r="BN132" s="9" t="s">
        <v>133</v>
      </c>
      <c r="BO132" s="9" t="s">
        <v>817</v>
      </c>
      <c r="BP132" s="8"/>
      <c r="BQ132" s="23"/>
      <c r="BR132" s="9">
        <f t="shared" si="32"/>
        <v>0</v>
      </c>
      <c r="BS132" s="23"/>
      <c r="BT132" s="23"/>
      <c r="BU132" s="23"/>
      <c r="BV132" s="8"/>
      <c r="BW132" s="23"/>
      <c r="BX132" s="23"/>
      <c r="BY132" s="23"/>
      <c r="BZ132" s="23"/>
      <c r="CA132" s="23"/>
      <c r="CB132" s="8" t="s">
        <v>1329</v>
      </c>
      <c r="CC132" s="8" t="s">
        <v>1329</v>
      </c>
      <c r="CD132" s="78">
        <v>785000</v>
      </c>
      <c r="CE132" s="13">
        <v>48</v>
      </c>
      <c r="CF132" s="78">
        <f t="shared" si="30"/>
        <v>37680000</v>
      </c>
      <c r="CG132" s="78">
        <v>15369000</v>
      </c>
      <c r="CH132" s="78"/>
      <c r="CI132" s="78">
        <v>20492000</v>
      </c>
      <c r="CJ132" s="69">
        <v>0.04</v>
      </c>
      <c r="CK132" s="72">
        <v>0.06</v>
      </c>
      <c r="CL132" s="56" t="s">
        <v>1384</v>
      </c>
      <c r="CM132" s="8"/>
      <c r="CN132" s="8"/>
      <c r="CO132" s="27">
        <v>0.03</v>
      </c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32" t="s">
        <v>232</v>
      </c>
      <c r="DC132" s="32" t="s">
        <v>801</v>
      </c>
      <c r="DD132" s="32" t="s">
        <v>561</v>
      </c>
      <c r="DE132" s="8" t="s">
        <v>1386</v>
      </c>
      <c r="DF132" s="8" t="s">
        <v>416</v>
      </c>
      <c r="DG132" s="8" t="s">
        <v>1387</v>
      </c>
      <c r="DH132" s="8" t="s">
        <v>1388</v>
      </c>
      <c r="DI132" s="8" t="s">
        <v>1389</v>
      </c>
      <c r="DJ132" s="71">
        <v>0.35</v>
      </c>
      <c r="DK132" s="22">
        <v>0.25</v>
      </c>
      <c r="DL132" s="8" t="s">
        <v>1390</v>
      </c>
      <c r="DM132" s="78"/>
      <c r="DN132" s="23"/>
      <c r="DO132" s="23"/>
      <c r="DP132" s="23"/>
    </row>
    <row r="133" spans="1:120">
      <c r="A133" s="8">
        <v>130</v>
      </c>
      <c r="B133" s="8" t="s">
        <v>1464</v>
      </c>
      <c r="C133" s="34" t="s">
        <v>244</v>
      </c>
      <c r="D133" s="8" t="s">
        <v>390</v>
      </c>
      <c r="E133" s="9" t="s">
        <v>1465</v>
      </c>
      <c r="F133" s="8" t="s">
        <v>119</v>
      </c>
      <c r="G133" s="8" t="s">
        <v>393</v>
      </c>
      <c r="H133" s="8" t="s">
        <v>200</v>
      </c>
      <c r="I133" s="9">
        <v>31579800</v>
      </c>
      <c r="J133" s="8">
        <v>2021</v>
      </c>
      <c r="K133" s="10" t="s">
        <v>394</v>
      </c>
      <c r="L133" s="10" t="s">
        <v>116</v>
      </c>
      <c r="M133" s="8" t="s">
        <v>395</v>
      </c>
      <c r="N133" s="8" t="s">
        <v>396</v>
      </c>
      <c r="O133" s="8" t="s">
        <v>119</v>
      </c>
      <c r="P133" s="11">
        <v>2999</v>
      </c>
      <c r="Q133" s="12">
        <v>44512</v>
      </c>
      <c r="R133" s="12">
        <v>45966</v>
      </c>
      <c r="S133" s="12">
        <v>45974</v>
      </c>
      <c r="T133" s="14" t="s">
        <v>1175</v>
      </c>
      <c r="U133" s="12">
        <f t="shared" si="35"/>
        <v>46339</v>
      </c>
      <c r="V133" s="8">
        <f t="shared" ca="1" si="22"/>
        <v>3</v>
      </c>
      <c r="W133" s="9">
        <v>20000</v>
      </c>
      <c r="X133" s="9" t="s">
        <v>1466</v>
      </c>
      <c r="Y133" s="8" t="s">
        <v>1467</v>
      </c>
      <c r="Z133" s="9"/>
      <c r="AA133" s="9" t="s">
        <v>398</v>
      </c>
      <c r="AB133" s="12">
        <v>46016</v>
      </c>
      <c r="AC133" s="8">
        <f t="shared" si="25"/>
        <v>365</v>
      </c>
      <c r="AD133" s="8">
        <f t="shared" ca="1" si="26"/>
        <v>113</v>
      </c>
      <c r="AE133" s="8">
        <f>VLOOKUP($B133, [1]렌트_계약서번호!$B$3:$E$501, 4, FALSE)</f>
        <v>24110003</v>
      </c>
      <c r="AF133" s="18">
        <v>113856000</v>
      </c>
      <c r="AG133" s="9">
        <f>AF133-AH133</f>
        <v>0</v>
      </c>
      <c r="AH133" s="9">
        <v>113856000</v>
      </c>
      <c r="AI133" s="9">
        <v>0</v>
      </c>
      <c r="AJ133" s="9">
        <v>0</v>
      </c>
      <c r="AK133" s="9">
        <v>4140210</v>
      </c>
      <c r="AL133" s="9">
        <v>201254</v>
      </c>
      <c r="AM133" s="9">
        <v>5000</v>
      </c>
      <c r="AN133" s="9">
        <v>21500</v>
      </c>
      <c r="AO133" s="9">
        <v>30000</v>
      </c>
      <c r="AP133" s="9">
        <v>0</v>
      </c>
      <c r="AQ133" s="9">
        <v>0</v>
      </c>
      <c r="AR133" s="9" t="s">
        <v>205</v>
      </c>
      <c r="AS133" s="9">
        <v>0</v>
      </c>
      <c r="AT133" s="9" t="s">
        <v>206</v>
      </c>
      <c r="AU133" s="18">
        <v>4397964</v>
      </c>
      <c r="AV133" s="13">
        <f>SUM(AI133,AJ133,AM133,AN133,AO133, AQ133,AS133+AK133+AL133)</f>
        <v>4397964</v>
      </c>
      <c r="AW133" s="13" t="s">
        <v>158</v>
      </c>
      <c r="AX133" s="17">
        <v>44512</v>
      </c>
      <c r="AY133" s="18">
        <f>4776960-702160</f>
        <v>4074800</v>
      </c>
      <c r="AZ133" s="25">
        <v>1134440</v>
      </c>
      <c r="BA133" s="9"/>
      <c r="BB133" s="9"/>
      <c r="BC133" s="9"/>
      <c r="BD133" s="9" t="s">
        <v>125</v>
      </c>
      <c r="BE133" s="9" t="s">
        <v>126</v>
      </c>
      <c r="BF133" s="9" t="s">
        <v>187</v>
      </c>
      <c r="BG133" s="9" t="s">
        <v>188</v>
      </c>
      <c r="BH133" s="9" t="s">
        <v>129</v>
      </c>
      <c r="BI133" s="9" t="s">
        <v>189</v>
      </c>
      <c r="BJ133" s="8" t="s">
        <v>256</v>
      </c>
      <c r="BK133" s="9" t="s">
        <v>132</v>
      </c>
      <c r="BL133" s="9" t="s">
        <v>133</v>
      </c>
      <c r="BM133" s="9" t="s">
        <v>257</v>
      </c>
      <c r="BN133" s="9" t="s">
        <v>134</v>
      </c>
      <c r="BO133" s="9" t="s">
        <v>134</v>
      </c>
      <c r="BP133" s="9" t="s">
        <v>399</v>
      </c>
      <c r="BQ133" s="8"/>
      <c r="BR133" s="9">
        <f t="shared" si="32"/>
        <v>71976</v>
      </c>
      <c r="BS133" s="8" t="s">
        <v>400</v>
      </c>
      <c r="BT133" s="19">
        <v>44511</v>
      </c>
      <c r="BU133" s="9">
        <v>101571000</v>
      </c>
      <c r="BV133" s="26" t="s">
        <v>401</v>
      </c>
      <c r="BW133" s="9">
        <v>3067700</v>
      </c>
      <c r="BX133" s="9">
        <v>111382117</v>
      </c>
      <c r="BY133" s="9">
        <v>9811117</v>
      </c>
      <c r="BZ133" s="27">
        <v>3.0599999999999999E-2</v>
      </c>
      <c r="CA133" s="1"/>
      <c r="CB133" s="28" t="s">
        <v>385</v>
      </c>
      <c r="CC133" s="28" t="s">
        <v>385</v>
      </c>
      <c r="CD133" s="9">
        <v>1357000</v>
      </c>
      <c r="CE133" s="13">
        <f t="shared" ref="CE133:CE138" si="36">T133*12</f>
        <v>12</v>
      </c>
      <c r="CF133" s="9">
        <f t="shared" si="30"/>
        <v>16284000</v>
      </c>
      <c r="CG133" s="9">
        <v>12360000</v>
      </c>
      <c r="CH133" s="9">
        <v>0</v>
      </c>
      <c r="CI133" s="9">
        <v>22105860</v>
      </c>
      <c r="CJ133" s="29">
        <v>0</v>
      </c>
      <c r="CK133" s="30">
        <v>0</v>
      </c>
      <c r="CL133" s="80" t="s">
        <v>1468</v>
      </c>
      <c r="CM133" s="31" t="s">
        <v>404</v>
      </c>
      <c r="CN133" s="31"/>
      <c r="CO133" s="27">
        <v>0.03</v>
      </c>
      <c r="CP133" s="22"/>
      <c r="CQ133" s="32">
        <v>0</v>
      </c>
      <c r="CR133" s="32">
        <v>0</v>
      </c>
      <c r="CS133" s="32">
        <v>0</v>
      </c>
      <c r="CT133" s="32">
        <v>0</v>
      </c>
      <c r="CU133" s="32">
        <v>0</v>
      </c>
      <c r="CV133" s="32">
        <v>0</v>
      </c>
      <c r="CW133" s="32">
        <v>0</v>
      </c>
      <c r="CX133" s="32">
        <v>0</v>
      </c>
      <c r="CY133" s="32">
        <v>0</v>
      </c>
      <c r="CZ133" s="32">
        <v>0</v>
      </c>
      <c r="DA133" s="32">
        <v>0</v>
      </c>
      <c r="DB133" s="32" t="str">
        <f>IF(DC133="정수원 실장","기아", IF(DC133="박현식 부장", "현대", IF(DC133="김성진 팀장", "한성", IF(DC133="전석영 부장", "한성", IF(DC133= "박봉호 부장", "모토원",IF(DC133="정원철 부장", "한성"))))))</f>
        <v>한성</v>
      </c>
      <c r="DC133" s="32" t="s">
        <v>405</v>
      </c>
      <c r="DD133" s="32" t="s">
        <v>1469</v>
      </c>
      <c r="DE133" s="32" t="s">
        <v>390</v>
      </c>
      <c r="DF133" s="32" t="s">
        <v>734</v>
      </c>
      <c r="DG133" s="32" t="s">
        <v>1176</v>
      </c>
      <c r="DH133" s="32" t="s">
        <v>406</v>
      </c>
      <c r="DI133" s="32" t="s">
        <v>1470</v>
      </c>
      <c r="DJ133" s="22">
        <v>0.35</v>
      </c>
      <c r="DK133" s="22">
        <v>0.25</v>
      </c>
      <c r="DL133" s="32" t="s">
        <v>1471</v>
      </c>
      <c r="DM133" s="20"/>
      <c r="DN133" s="32"/>
      <c r="DO133" s="32"/>
      <c r="DP133" s="22"/>
    </row>
    <row r="134" spans="1:120">
      <c r="A134" s="8">
        <v>131</v>
      </c>
      <c r="B134" s="8" t="s">
        <v>1472</v>
      </c>
      <c r="C134" s="34" t="s">
        <v>244</v>
      </c>
      <c r="D134" s="8" t="s">
        <v>932</v>
      </c>
      <c r="E134" s="8" t="s">
        <v>933</v>
      </c>
      <c r="F134" s="8" t="s">
        <v>934</v>
      </c>
      <c r="G134" s="8" t="s">
        <v>182</v>
      </c>
      <c r="H134" s="8" t="s">
        <v>935</v>
      </c>
      <c r="I134" s="9">
        <v>65250000</v>
      </c>
      <c r="J134" s="8">
        <v>2025</v>
      </c>
      <c r="K134" s="10" t="s">
        <v>1473</v>
      </c>
      <c r="L134" s="10" t="s">
        <v>116</v>
      </c>
      <c r="M134" s="8" t="s">
        <v>1474</v>
      </c>
      <c r="N134" s="8" t="s">
        <v>1475</v>
      </c>
      <c r="O134" s="8" t="s">
        <v>1476</v>
      </c>
      <c r="P134" s="11">
        <v>2497</v>
      </c>
      <c r="Q134" s="12">
        <v>45985</v>
      </c>
      <c r="R134" s="12">
        <v>45979</v>
      </c>
      <c r="S134" s="12">
        <v>45987</v>
      </c>
      <c r="T134" s="14" t="s">
        <v>556</v>
      </c>
      <c r="U134" s="12">
        <f t="shared" si="35"/>
        <v>47447</v>
      </c>
      <c r="V134" s="8">
        <f t="shared" ca="1" si="22"/>
        <v>40</v>
      </c>
      <c r="W134" s="9">
        <v>20000</v>
      </c>
      <c r="X134" s="8" t="s">
        <v>1477</v>
      </c>
      <c r="Y134" s="8" t="s">
        <v>1478</v>
      </c>
      <c r="Z134" s="9"/>
      <c r="AA134" s="9" t="s">
        <v>938</v>
      </c>
      <c r="AB134" s="12">
        <v>46016</v>
      </c>
      <c r="AC134" s="8">
        <f t="shared" si="25"/>
        <v>1460</v>
      </c>
      <c r="AD134" s="8">
        <f t="shared" ca="1" si="26"/>
        <v>1221</v>
      </c>
      <c r="AE134" s="8" t="str">
        <f>VLOOKUP($B134, [1]렌트_계약서번호!$B$3:$E$501, 4, FALSE)</f>
        <v>25110129</v>
      </c>
      <c r="AF134" s="9">
        <v>59925897</v>
      </c>
      <c r="AG134" s="9">
        <v>3906103</v>
      </c>
      <c r="AH134" s="9">
        <f>AF134-AG134</f>
        <v>56019794</v>
      </c>
      <c r="AI134" s="9">
        <v>332000</v>
      </c>
      <c r="AJ134" s="9">
        <v>2000</v>
      </c>
      <c r="AK134" s="9">
        <v>2197300</v>
      </c>
      <c r="AL134" s="9">
        <v>348768</v>
      </c>
      <c r="AM134" s="9">
        <v>2000</v>
      </c>
      <c r="AN134" s="9">
        <v>45000</v>
      </c>
      <c r="AO134" s="9">
        <v>50000</v>
      </c>
      <c r="AP134" s="9"/>
      <c r="AQ134" s="9"/>
      <c r="AR134" s="9"/>
      <c r="AS134" s="9">
        <v>198000</v>
      </c>
      <c r="AT134" s="9" t="s">
        <v>940</v>
      </c>
      <c r="AU134" s="9"/>
      <c r="AV134" s="57"/>
      <c r="AW134" s="8" t="s">
        <v>124</v>
      </c>
      <c r="AX134" s="17"/>
      <c r="AY134" s="9"/>
      <c r="AZ134" s="9"/>
      <c r="BA134" s="9"/>
      <c r="BB134" s="9"/>
      <c r="BC134" s="9"/>
      <c r="BD134" s="9" t="s">
        <v>125</v>
      </c>
      <c r="BE134" s="9" t="s">
        <v>126</v>
      </c>
      <c r="BF134" s="9" t="s">
        <v>187</v>
      </c>
      <c r="BG134" s="9" t="s">
        <v>188</v>
      </c>
      <c r="BH134" s="9" t="s">
        <v>129</v>
      </c>
      <c r="BI134" s="9" t="s">
        <v>189</v>
      </c>
      <c r="BJ134" s="8" t="s">
        <v>256</v>
      </c>
      <c r="BK134" s="9" t="s">
        <v>132</v>
      </c>
      <c r="BL134" s="9" t="s">
        <v>133</v>
      </c>
      <c r="BM134" s="9" t="s">
        <v>133</v>
      </c>
      <c r="BN134" s="9" t="s">
        <v>134</v>
      </c>
      <c r="BO134" s="9" t="s">
        <v>134</v>
      </c>
      <c r="BP134" s="9"/>
      <c r="BQ134" s="8"/>
      <c r="BR134" s="9">
        <f t="shared" si="32"/>
        <v>47443</v>
      </c>
      <c r="BS134" s="8" t="s">
        <v>136</v>
      </c>
      <c r="BT134" s="19"/>
      <c r="BU134" s="9"/>
      <c r="BV134" s="26"/>
      <c r="BW134" s="9"/>
      <c r="BX134" s="9"/>
      <c r="BY134" s="9"/>
      <c r="BZ134" s="27">
        <v>0</v>
      </c>
      <c r="CA134" s="1"/>
      <c r="CB134" s="28" t="s">
        <v>385</v>
      </c>
      <c r="CC134" s="28" t="s">
        <v>385</v>
      </c>
      <c r="CD134" s="9">
        <v>1135000</v>
      </c>
      <c r="CE134" s="9">
        <f t="shared" si="36"/>
        <v>48</v>
      </c>
      <c r="CF134" s="9">
        <f t="shared" si="30"/>
        <v>54480000</v>
      </c>
      <c r="CG134" s="9">
        <v>19575000</v>
      </c>
      <c r="CH134" s="9">
        <v>0</v>
      </c>
      <c r="CI134" s="9">
        <v>36540000</v>
      </c>
      <c r="CJ134" s="29">
        <v>0.03</v>
      </c>
      <c r="CK134" s="30">
        <v>0.06</v>
      </c>
      <c r="CL134" s="31" t="s">
        <v>941</v>
      </c>
      <c r="CM134" s="9"/>
      <c r="CN134" s="9" t="s">
        <v>1479</v>
      </c>
      <c r="CO134" s="27">
        <v>0.03</v>
      </c>
      <c r="CP134" s="22"/>
      <c r="CQ134" s="32" t="s">
        <v>879</v>
      </c>
      <c r="CR134" s="32">
        <v>52800</v>
      </c>
      <c r="CS134" s="32" t="s">
        <v>943</v>
      </c>
      <c r="CT134" s="32">
        <v>40000</v>
      </c>
      <c r="CU134" s="32">
        <v>0</v>
      </c>
      <c r="CV134" s="32">
        <v>0</v>
      </c>
      <c r="CW134" s="32">
        <v>0</v>
      </c>
      <c r="CX134" s="32">
        <v>0</v>
      </c>
      <c r="CY134" s="32">
        <v>0</v>
      </c>
      <c r="CZ134" s="32">
        <v>0</v>
      </c>
      <c r="DA134" s="32">
        <v>0</v>
      </c>
      <c r="DB134" s="32" t="s">
        <v>232</v>
      </c>
      <c r="DC134" s="32" t="s">
        <v>801</v>
      </c>
      <c r="DD134" s="32" t="s">
        <v>819</v>
      </c>
      <c r="DE134" s="32" t="s">
        <v>1480</v>
      </c>
      <c r="DF134" s="32" t="s">
        <v>944</v>
      </c>
      <c r="DG134" s="32" t="s">
        <v>945</v>
      </c>
      <c r="DH134" s="32" t="s">
        <v>946</v>
      </c>
      <c r="DI134" s="32" t="s">
        <v>1481</v>
      </c>
      <c r="DJ134" s="22">
        <v>0.35</v>
      </c>
      <c r="DK134" s="22">
        <v>0.25</v>
      </c>
      <c r="DL134" s="32" t="s">
        <v>1482</v>
      </c>
      <c r="DM134" s="20">
        <v>3301837</v>
      </c>
      <c r="DN134" s="32"/>
      <c r="DO134" s="32"/>
      <c r="DP134" s="22"/>
    </row>
    <row r="135" spans="1:120">
      <c r="A135" s="8">
        <v>132</v>
      </c>
      <c r="B135" s="8" t="s">
        <v>1483</v>
      </c>
      <c r="C135" s="34" t="s">
        <v>244</v>
      </c>
      <c r="D135" s="8" t="s">
        <v>652</v>
      </c>
      <c r="E135" s="8" t="s">
        <v>653</v>
      </c>
      <c r="F135" s="8" t="s">
        <v>654</v>
      </c>
      <c r="G135" s="8" t="s">
        <v>234</v>
      </c>
      <c r="H135" s="8" t="s">
        <v>655</v>
      </c>
      <c r="I135" s="9">
        <v>193600000</v>
      </c>
      <c r="J135" s="8">
        <v>2021</v>
      </c>
      <c r="K135" s="10" t="s">
        <v>656</v>
      </c>
      <c r="L135" s="10" t="s">
        <v>116</v>
      </c>
      <c r="M135" s="8" t="s">
        <v>657</v>
      </c>
      <c r="N135" s="55" t="s">
        <v>658</v>
      </c>
      <c r="O135" s="8" t="s">
        <v>119</v>
      </c>
      <c r="P135" s="11">
        <v>2999</v>
      </c>
      <c r="Q135" s="12">
        <v>44503</v>
      </c>
      <c r="R135" s="12">
        <v>44607</v>
      </c>
      <c r="S135" s="12">
        <v>44610</v>
      </c>
      <c r="T135" s="14" t="s">
        <v>120</v>
      </c>
      <c r="U135" s="12">
        <f t="shared" si="35"/>
        <v>46435</v>
      </c>
      <c r="V135" s="8">
        <f t="shared" ca="1" si="22"/>
        <v>6</v>
      </c>
      <c r="W135" s="16">
        <v>20000</v>
      </c>
      <c r="X135" s="9" t="s">
        <v>659</v>
      </c>
      <c r="Y135" s="8" t="s">
        <v>660</v>
      </c>
      <c r="Z135" s="9"/>
      <c r="AA135" s="9" t="s">
        <v>661</v>
      </c>
      <c r="AB135" s="12">
        <v>44617</v>
      </c>
      <c r="AC135" s="8">
        <f t="shared" si="25"/>
        <v>1825</v>
      </c>
      <c r="AD135" s="8">
        <f t="shared" ca="1" si="26"/>
        <v>209</v>
      </c>
      <c r="AE135" s="8">
        <f>VLOOKUP($B135, [1]렌트_계약서번호!$B$3:$E$501, 4, FALSE)</f>
        <v>22020015</v>
      </c>
      <c r="AF135" s="9">
        <v>186816000</v>
      </c>
      <c r="AG135" s="9">
        <f>AF135-AH135</f>
        <v>0</v>
      </c>
      <c r="AH135" s="9">
        <v>186816000</v>
      </c>
      <c r="AI135" s="9">
        <v>0</v>
      </c>
      <c r="AJ135" s="9">
        <v>0</v>
      </c>
      <c r="AK135" s="9">
        <v>6793300</v>
      </c>
      <c r="AL135" s="9">
        <v>548437</v>
      </c>
      <c r="AM135" s="9">
        <v>5000</v>
      </c>
      <c r="AN135" s="9">
        <v>21500</v>
      </c>
      <c r="AO135" s="9">
        <v>30000</v>
      </c>
      <c r="AP135" s="9">
        <v>0</v>
      </c>
      <c r="AQ135" s="9">
        <v>0</v>
      </c>
      <c r="AR135" s="9" t="s">
        <v>205</v>
      </c>
      <c r="AS135" s="9">
        <v>240000</v>
      </c>
      <c r="AT135" s="9" t="s">
        <v>206</v>
      </c>
      <c r="AU135" s="9">
        <f>7398237</f>
        <v>7398237</v>
      </c>
      <c r="AV135" s="57">
        <f>SUM(AI135,AJ135,AM135,AN135,AO135, AQ135,AS135+AK135+AL135)</f>
        <v>7638237</v>
      </c>
      <c r="AW135" s="8" t="s">
        <v>124</v>
      </c>
      <c r="AX135" s="17">
        <v>44503</v>
      </c>
      <c r="AY135" s="9">
        <f>6911210-1172880</f>
        <v>5738330</v>
      </c>
      <c r="AZ135" s="9">
        <f>1142540</f>
        <v>1142540</v>
      </c>
      <c r="BA135" s="9"/>
      <c r="BB135" s="9"/>
      <c r="BC135" s="9"/>
      <c r="BD135" s="9" t="s">
        <v>125</v>
      </c>
      <c r="BE135" s="9" t="s">
        <v>126</v>
      </c>
      <c r="BF135" s="9" t="s">
        <v>187</v>
      </c>
      <c r="BG135" s="9" t="s">
        <v>188</v>
      </c>
      <c r="BH135" s="9" t="s">
        <v>662</v>
      </c>
      <c r="BI135" s="9" t="s">
        <v>189</v>
      </c>
      <c r="BJ135" s="8" t="s">
        <v>256</v>
      </c>
      <c r="BK135" s="9" t="s">
        <v>132</v>
      </c>
      <c r="BL135" s="9" t="s">
        <v>133</v>
      </c>
      <c r="BM135" s="9" t="s">
        <v>257</v>
      </c>
      <c r="BN135" s="9" t="s">
        <v>134</v>
      </c>
      <c r="BO135" s="9" t="s">
        <v>134</v>
      </c>
      <c r="BP135" s="9"/>
      <c r="BQ135" s="8"/>
      <c r="BR135" s="9">
        <f t="shared" si="32"/>
        <v>71976</v>
      </c>
      <c r="BS135" s="8" t="s">
        <v>136</v>
      </c>
      <c r="BT135" s="19"/>
      <c r="BU135" s="9"/>
      <c r="BV135" s="26"/>
      <c r="BW135" s="9"/>
      <c r="BX135" s="9"/>
      <c r="BY135" s="9"/>
      <c r="BZ135" s="27">
        <v>0</v>
      </c>
      <c r="CA135" s="1"/>
      <c r="CB135" s="28" t="s">
        <v>663</v>
      </c>
      <c r="CC135" s="28" t="s">
        <v>663</v>
      </c>
      <c r="CD135" s="9">
        <v>3383160</v>
      </c>
      <c r="CE135" s="9">
        <f t="shared" si="36"/>
        <v>60</v>
      </c>
      <c r="CF135" s="9">
        <f t="shared" si="30"/>
        <v>202989600</v>
      </c>
      <c r="CG135" s="9">
        <v>54494000</v>
      </c>
      <c r="CH135" s="9"/>
      <c r="CI135" s="9">
        <v>54494000</v>
      </c>
      <c r="CJ135" s="29">
        <v>3.0000000000000001E-3</v>
      </c>
      <c r="CK135" s="30">
        <v>0.06</v>
      </c>
      <c r="CL135" s="59" t="s">
        <v>664</v>
      </c>
      <c r="CM135" s="9"/>
      <c r="CN135" s="9"/>
      <c r="CO135" s="27">
        <v>0.03</v>
      </c>
      <c r="CP135" s="22"/>
      <c r="CQ135" s="32">
        <v>0</v>
      </c>
      <c r="CR135" s="32">
        <v>0</v>
      </c>
      <c r="CS135" s="32">
        <v>0</v>
      </c>
      <c r="CT135" s="32">
        <v>0</v>
      </c>
      <c r="CU135" s="32">
        <v>0</v>
      </c>
      <c r="CV135" s="32">
        <v>0</v>
      </c>
      <c r="CW135" s="32">
        <v>0</v>
      </c>
      <c r="CX135" s="32">
        <v>0</v>
      </c>
      <c r="CY135" s="32">
        <v>0</v>
      </c>
      <c r="CZ135" s="32">
        <v>0</v>
      </c>
      <c r="DA135" s="32">
        <v>0</v>
      </c>
      <c r="DB135" s="32" t="str">
        <f>IF(DC135="정수원 실장","기아", IF(DC135="박현식 부장", "현대", IF(DC135="김성진 팀장", "한성", IF(DC135="전석영 부장", "한성", IF(DC135= "박봉호 부장", "모토원",IF(DC135="정원철 부장", "한성"))))))</f>
        <v>한성</v>
      </c>
      <c r="DC135" s="32" t="s">
        <v>578</v>
      </c>
      <c r="DD135" s="32" t="str">
        <f>IF(DC135="정수원 실장","렌트베네핏", IF(DC135="박현식 부장", "렌트베네핏", IF(DC135="김성진 팀장", "청담", IF(DC135="전석영 부장", "방배", IF(DC135= "박봉호 부장", "일산",IF(#REF!="정원철 부장", "청담"))))))</f>
        <v>청담</v>
      </c>
      <c r="DE135" s="32"/>
      <c r="DF135" s="32"/>
      <c r="DG135" s="32"/>
      <c r="DH135" s="32" t="s">
        <v>665</v>
      </c>
      <c r="DI135" s="19" t="s">
        <v>137</v>
      </c>
      <c r="DJ135" s="22">
        <v>0.3</v>
      </c>
      <c r="DK135" s="51">
        <v>0.2</v>
      </c>
      <c r="DL135" s="32"/>
      <c r="DM135" s="20"/>
      <c r="DN135" s="32"/>
      <c r="DO135" s="32"/>
      <c r="DP135" s="22"/>
    </row>
    <row r="136" spans="1:120">
      <c r="A136" s="8">
        <v>133</v>
      </c>
      <c r="B136" s="8" t="s">
        <v>1484</v>
      </c>
      <c r="C136" s="34" t="s">
        <v>244</v>
      </c>
      <c r="D136" s="8" t="s">
        <v>1485</v>
      </c>
      <c r="E136" s="8" t="s">
        <v>1486</v>
      </c>
      <c r="F136" s="8" t="s">
        <v>1487</v>
      </c>
      <c r="G136" s="8" t="s">
        <v>182</v>
      </c>
      <c r="H136" s="8" t="s">
        <v>899</v>
      </c>
      <c r="I136" s="9">
        <v>62000000</v>
      </c>
      <c r="J136" s="8">
        <v>2022</v>
      </c>
      <c r="K136" s="10" t="s">
        <v>900</v>
      </c>
      <c r="L136" s="10" t="s">
        <v>116</v>
      </c>
      <c r="M136" s="8" t="s">
        <v>901</v>
      </c>
      <c r="N136" s="8" t="s">
        <v>902</v>
      </c>
      <c r="O136" s="8" t="s">
        <v>119</v>
      </c>
      <c r="P136" s="11">
        <v>2497</v>
      </c>
      <c r="Q136" s="12">
        <v>44777</v>
      </c>
      <c r="R136" s="12">
        <v>44767</v>
      </c>
      <c r="S136" s="12">
        <v>45986</v>
      </c>
      <c r="T136" s="14">
        <v>0.75</v>
      </c>
      <c r="U136" s="12">
        <f t="shared" si="35"/>
        <v>46259.75</v>
      </c>
      <c r="V136" s="8">
        <f t="shared" ca="1" si="22"/>
        <v>1</v>
      </c>
      <c r="W136" s="16">
        <v>20000</v>
      </c>
      <c r="X136" s="8" t="s">
        <v>1486</v>
      </c>
      <c r="Y136" s="8" t="s">
        <v>1487</v>
      </c>
      <c r="Z136" s="9"/>
      <c r="AA136" s="9" t="s">
        <v>1488</v>
      </c>
      <c r="AB136" s="12">
        <v>46016</v>
      </c>
      <c r="AC136" s="8">
        <f t="shared" si="25"/>
        <v>273.75</v>
      </c>
      <c r="AD136" s="8">
        <f t="shared" ca="1" si="26"/>
        <v>33.75</v>
      </c>
      <c r="AE136" s="8">
        <f>VLOOKUP($B136, [1]렌트_계약서번호!$B$3:$E$501, 4, FALSE)</f>
        <v>22070030</v>
      </c>
      <c r="AF136" s="9">
        <v>58547962</v>
      </c>
      <c r="AG136" s="9">
        <v>3784038</v>
      </c>
      <c r="AH136" s="9">
        <f>AF136-AG136+AI136</f>
        <v>55095924</v>
      </c>
      <c r="AI136" s="9">
        <v>332000</v>
      </c>
      <c r="AJ136" s="9">
        <v>2000</v>
      </c>
      <c r="AK136" s="9">
        <v>2129010</v>
      </c>
      <c r="AL136" s="9">
        <v>250318</v>
      </c>
      <c r="AM136" s="9">
        <v>2000</v>
      </c>
      <c r="AN136" s="9">
        <v>45000</v>
      </c>
      <c r="AO136" s="9">
        <v>50000</v>
      </c>
      <c r="AP136" s="9"/>
      <c r="AQ136" s="9">
        <v>154000</v>
      </c>
      <c r="AR136" s="9" t="s">
        <v>904</v>
      </c>
      <c r="AS136" s="9">
        <v>198000</v>
      </c>
      <c r="AT136" s="9" t="s">
        <v>905</v>
      </c>
      <c r="AU136" s="9">
        <f>2479328</f>
        <v>2479328</v>
      </c>
      <c r="AV136" s="57">
        <f>SUM(AI136,AJ136,AM136,AN136,AO136, AQ136,AS136+AK136+AL136)</f>
        <v>3162328</v>
      </c>
      <c r="AW136" s="8" t="s">
        <v>124</v>
      </c>
      <c r="AX136" s="17">
        <v>44777</v>
      </c>
      <c r="AY136" s="9">
        <v>1299680</v>
      </c>
      <c r="AZ136" s="9"/>
      <c r="BA136" s="9"/>
      <c r="BB136" s="9"/>
      <c r="BC136" s="9"/>
      <c r="BD136" s="9" t="s">
        <v>125</v>
      </c>
      <c r="BE136" s="9" t="s">
        <v>126</v>
      </c>
      <c r="BF136" s="9" t="s">
        <v>187</v>
      </c>
      <c r="BG136" s="9" t="s">
        <v>188</v>
      </c>
      <c r="BH136" s="9" t="s">
        <v>129</v>
      </c>
      <c r="BI136" s="9" t="s">
        <v>189</v>
      </c>
      <c r="BJ136" s="8" t="s">
        <v>256</v>
      </c>
      <c r="BK136" s="9" t="s">
        <v>132</v>
      </c>
      <c r="BL136" s="9" t="s">
        <v>133</v>
      </c>
      <c r="BM136" s="9" t="s">
        <v>257</v>
      </c>
      <c r="BN136" s="9" t="s">
        <v>134</v>
      </c>
      <c r="BO136" s="9" t="s">
        <v>134</v>
      </c>
      <c r="BP136" s="9"/>
      <c r="BQ136" s="8"/>
      <c r="BR136" s="9">
        <f t="shared" si="32"/>
        <v>47443</v>
      </c>
      <c r="BS136" s="8" t="s">
        <v>136</v>
      </c>
      <c r="BT136" s="19"/>
      <c r="BU136" s="9"/>
      <c r="BV136" s="26"/>
      <c r="BW136" s="9"/>
      <c r="BX136" s="9"/>
      <c r="BY136" s="9"/>
      <c r="BZ136" s="27">
        <v>0</v>
      </c>
      <c r="CA136" s="1"/>
      <c r="CB136" s="28" t="s">
        <v>385</v>
      </c>
      <c r="CC136" s="28" t="s">
        <v>385</v>
      </c>
      <c r="CD136" s="9">
        <v>1285000</v>
      </c>
      <c r="CE136" s="9">
        <f t="shared" si="36"/>
        <v>9</v>
      </c>
      <c r="CF136" s="9">
        <f t="shared" si="30"/>
        <v>11565000</v>
      </c>
      <c r="CG136" s="9">
        <v>18600000</v>
      </c>
      <c r="CH136" s="9">
        <v>0</v>
      </c>
      <c r="CI136" s="9">
        <v>18600000</v>
      </c>
      <c r="CJ136" s="29">
        <v>0</v>
      </c>
      <c r="CK136" s="30">
        <v>0.06</v>
      </c>
      <c r="CL136" s="31" t="s">
        <v>906</v>
      </c>
      <c r="CM136" s="9"/>
      <c r="CN136" s="9"/>
      <c r="CO136" s="27">
        <v>0.03</v>
      </c>
      <c r="CP136" s="22"/>
      <c r="CQ136" s="32" t="s">
        <v>879</v>
      </c>
      <c r="CR136" s="32">
        <v>52800</v>
      </c>
      <c r="CS136" s="32" t="s">
        <v>907</v>
      </c>
      <c r="CT136" s="32">
        <v>15000</v>
      </c>
      <c r="CU136" s="32">
        <v>0</v>
      </c>
      <c r="CV136" s="32">
        <v>0</v>
      </c>
      <c r="CW136" s="32">
        <v>0</v>
      </c>
      <c r="CX136" s="32">
        <v>0</v>
      </c>
      <c r="CY136" s="32">
        <v>0</v>
      </c>
      <c r="CZ136" s="32">
        <v>0</v>
      </c>
      <c r="DA136" s="32">
        <v>0</v>
      </c>
      <c r="DB136" s="32" t="s">
        <v>232</v>
      </c>
      <c r="DC136" s="32" t="s">
        <v>801</v>
      </c>
      <c r="DD136" s="32" t="s">
        <v>819</v>
      </c>
      <c r="DE136" s="32" t="s">
        <v>1485</v>
      </c>
      <c r="DF136" s="32" t="s">
        <v>416</v>
      </c>
      <c r="DG136" s="32" t="s">
        <v>1489</v>
      </c>
      <c r="DH136" s="32" t="s">
        <v>1490</v>
      </c>
      <c r="DI136" s="32" t="s">
        <v>1488</v>
      </c>
      <c r="DJ136" s="22">
        <v>0.3</v>
      </c>
      <c r="DK136" s="51">
        <v>0.2</v>
      </c>
      <c r="DL136" s="32"/>
      <c r="DM136" s="20"/>
      <c r="DN136" s="32"/>
      <c r="DO136" s="32"/>
      <c r="DP136" s="22"/>
    </row>
    <row r="137" spans="1:120">
      <c r="A137" s="8">
        <v>134</v>
      </c>
      <c r="B137" s="8" t="s">
        <v>1491</v>
      </c>
      <c r="C137" s="34" t="s">
        <v>244</v>
      </c>
      <c r="D137" s="8" t="s">
        <v>1492</v>
      </c>
      <c r="E137" s="8" t="s">
        <v>1493</v>
      </c>
      <c r="F137" s="8" t="s">
        <v>1494</v>
      </c>
      <c r="G137" s="22" t="s">
        <v>1495</v>
      </c>
      <c r="H137" s="20" t="s">
        <v>1496</v>
      </c>
      <c r="I137" s="13">
        <f>19030000+1000000</f>
        <v>20030000</v>
      </c>
      <c r="J137" s="8">
        <v>2026</v>
      </c>
      <c r="K137" s="22" t="s">
        <v>1497</v>
      </c>
      <c r="L137" s="22" t="s">
        <v>116</v>
      </c>
      <c r="M137" s="22" t="s">
        <v>1498</v>
      </c>
      <c r="N137" s="8" t="s">
        <v>1499</v>
      </c>
      <c r="O137" s="8" t="s">
        <v>1500</v>
      </c>
      <c r="P137" s="11">
        <v>998</v>
      </c>
      <c r="Q137" s="12">
        <v>46020</v>
      </c>
      <c r="R137" s="12">
        <v>45991</v>
      </c>
      <c r="S137" s="12">
        <v>46021</v>
      </c>
      <c r="T137" s="14" t="s">
        <v>1175</v>
      </c>
      <c r="U137" s="12">
        <f t="shared" si="35"/>
        <v>46386</v>
      </c>
      <c r="V137" s="8">
        <f t="shared" ca="1" si="22"/>
        <v>5</v>
      </c>
      <c r="W137" s="16">
        <v>20000</v>
      </c>
      <c r="X137" s="8" t="s">
        <v>1493</v>
      </c>
      <c r="Y137" s="8" t="s">
        <v>1494</v>
      </c>
      <c r="Z137" s="22"/>
      <c r="AA137" s="12" t="s">
        <v>1501</v>
      </c>
      <c r="AB137" s="12">
        <v>46047</v>
      </c>
      <c r="AC137" s="8">
        <f t="shared" si="25"/>
        <v>365</v>
      </c>
      <c r="AD137" s="8">
        <f t="shared" ca="1" si="26"/>
        <v>160</v>
      </c>
      <c r="AE137" s="8" t="str">
        <f>VLOOKUP($B137, [1]렌트_계약서번호!$B$3:$E$501, 4, FALSE)</f>
        <v>25110133</v>
      </c>
      <c r="AF137" s="20">
        <f>19030000+1000000</f>
        <v>20030000</v>
      </c>
      <c r="AG137" s="9">
        <v>0</v>
      </c>
      <c r="AH137" s="9">
        <f>AF137-AG137+AI137</f>
        <v>20030000</v>
      </c>
      <c r="AI137" s="9"/>
      <c r="AJ137" s="9"/>
      <c r="AK137" s="20"/>
      <c r="AL137" s="20"/>
      <c r="AM137" s="20"/>
      <c r="AN137" s="20"/>
      <c r="AO137" s="20"/>
      <c r="AP137" s="20"/>
      <c r="AQ137" s="20"/>
      <c r="AR137" s="20" t="s">
        <v>165</v>
      </c>
      <c r="AS137" s="9">
        <v>198000</v>
      </c>
      <c r="AT137" s="9" t="s">
        <v>940</v>
      </c>
      <c r="AU137" s="20"/>
      <c r="AV137" s="20"/>
      <c r="AW137" s="8" t="s">
        <v>124</v>
      </c>
      <c r="AX137" s="17"/>
      <c r="AY137" s="20"/>
      <c r="AZ137" s="20"/>
      <c r="BA137" s="20"/>
      <c r="BB137" s="20"/>
      <c r="BC137" s="23"/>
      <c r="BD137" s="9" t="s">
        <v>125</v>
      </c>
      <c r="BE137" s="9" t="s">
        <v>126</v>
      </c>
      <c r="BF137" s="9" t="s">
        <v>1158</v>
      </c>
      <c r="BG137" s="9" t="s">
        <v>1159</v>
      </c>
      <c r="BH137" s="9" t="s">
        <v>129</v>
      </c>
      <c r="BI137" s="9" t="s">
        <v>130</v>
      </c>
      <c r="BJ137" s="8" t="s">
        <v>256</v>
      </c>
      <c r="BK137" s="9" t="s">
        <v>132</v>
      </c>
      <c r="BL137" s="9" t="s">
        <v>257</v>
      </c>
      <c r="BM137" s="9" t="s">
        <v>257</v>
      </c>
      <c r="BN137" s="9" t="s">
        <v>257</v>
      </c>
      <c r="BO137" s="9" t="s">
        <v>134</v>
      </c>
      <c r="BP137" s="8"/>
      <c r="BQ137" s="23"/>
      <c r="BR137" s="23">
        <f t="shared" si="32"/>
        <v>17964</v>
      </c>
      <c r="BS137" s="23"/>
      <c r="BT137" s="23"/>
      <c r="BU137" s="23"/>
      <c r="BV137" s="8"/>
      <c r="BW137" s="23"/>
      <c r="BX137" s="23"/>
      <c r="BY137" s="23"/>
      <c r="BZ137" s="23"/>
      <c r="CA137" s="23"/>
      <c r="CB137" s="28" t="s">
        <v>385</v>
      </c>
      <c r="CC137" s="28" t="s">
        <v>385</v>
      </c>
      <c r="CD137" s="78">
        <v>509000</v>
      </c>
      <c r="CE137" s="9">
        <f t="shared" si="36"/>
        <v>12</v>
      </c>
      <c r="CF137" s="9">
        <f t="shared" si="30"/>
        <v>6108000</v>
      </c>
      <c r="CG137" s="78">
        <v>8000000</v>
      </c>
      <c r="CH137" s="78">
        <v>2000000</v>
      </c>
      <c r="CI137" s="78">
        <v>16024000</v>
      </c>
      <c r="CJ137" s="29">
        <v>0.03</v>
      </c>
      <c r="CK137" s="30">
        <v>0.06</v>
      </c>
      <c r="CL137" s="56" t="s">
        <v>1502</v>
      </c>
      <c r="CM137" s="8"/>
      <c r="CN137" s="8"/>
      <c r="CO137" s="27">
        <v>0.03</v>
      </c>
      <c r="CP137" s="23"/>
      <c r="CQ137" s="32" t="s">
        <v>1503</v>
      </c>
      <c r="CR137" s="32">
        <v>209000</v>
      </c>
      <c r="CS137" s="32" t="s">
        <v>879</v>
      </c>
      <c r="CT137" s="32">
        <v>52800</v>
      </c>
      <c r="CU137" s="32" t="s">
        <v>907</v>
      </c>
      <c r="CV137" s="32">
        <v>15000</v>
      </c>
      <c r="CW137" s="23"/>
      <c r="CX137" s="23"/>
      <c r="CY137" s="23"/>
      <c r="CZ137" s="23"/>
      <c r="DA137" s="23"/>
      <c r="DB137" s="32" t="str">
        <f>IF(DC137="정수원 실장","기아", IF(DC137="박현식 부장", "현대", IF(DC137="김성진 팀장", "한성", IF(DC137="전석영 부장", "한성", IF(DC137= "박봉호 부장", "모토원",IF(DC137="정원철 부장", "한성"))))))</f>
        <v>기아</v>
      </c>
      <c r="DC137" s="32" t="s">
        <v>260</v>
      </c>
      <c r="DD137" s="32" t="s">
        <v>561</v>
      </c>
      <c r="DE137" s="8" t="s">
        <v>1492</v>
      </c>
      <c r="DF137" s="8" t="s">
        <v>416</v>
      </c>
      <c r="DG137" s="8" t="s">
        <v>1504</v>
      </c>
      <c r="DH137" s="8" t="s">
        <v>1505</v>
      </c>
      <c r="DI137" s="8" t="s">
        <v>1506</v>
      </c>
      <c r="DJ137" s="22">
        <v>0.35</v>
      </c>
      <c r="DK137" s="22">
        <v>0.25</v>
      </c>
      <c r="DL137" s="8"/>
      <c r="DM137" s="78"/>
      <c r="DN137" s="23"/>
      <c r="DO137" s="23"/>
      <c r="DP137" s="23"/>
    </row>
    <row r="138" spans="1:120">
      <c r="A138" s="8">
        <v>135</v>
      </c>
      <c r="B138" s="8" t="s">
        <v>1507</v>
      </c>
      <c r="C138" s="34" t="s">
        <v>244</v>
      </c>
      <c r="D138" s="8" t="s">
        <v>1508</v>
      </c>
      <c r="E138" s="8" t="s">
        <v>933</v>
      </c>
      <c r="F138" s="8" t="s">
        <v>934</v>
      </c>
      <c r="G138" s="8" t="s">
        <v>182</v>
      </c>
      <c r="H138" s="8" t="s">
        <v>935</v>
      </c>
      <c r="I138" s="9">
        <v>64000000</v>
      </c>
      <c r="J138" s="8">
        <v>2023</v>
      </c>
      <c r="K138" s="10" t="s">
        <v>789</v>
      </c>
      <c r="L138" s="10" t="s">
        <v>116</v>
      </c>
      <c r="M138" s="8" t="s">
        <v>936</v>
      </c>
      <c r="N138" s="8" t="s">
        <v>937</v>
      </c>
      <c r="O138" s="8" t="s">
        <v>119</v>
      </c>
      <c r="P138" s="11">
        <v>2497</v>
      </c>
      <c r="Q138" s="12">
        <v>44881</v>
      </c>
      <c r="R138" s="12">
        <v>46024</v>
      </c>
      <c r="S138" s="12">
        <v>46023</v>
      </c>
      <c r="T138" s="16">
        <f>11/12</f>
        <v>0.91666666666666663</v>
      </c>
      <c r="U138" s="12">
        <f t="shared" si="35"/>
        <v>46357.583333333336</v>
      </c>
      <c r="V138" s="8">
        <f t="shared" ca="1" si="22"/>
        <v>4</v>
      </c>
      <c r="W138" s="16">
        <v>30000</v>
      </c>
      <c r="X138" s="8" t="s">
        <v>1509</v>
      </c>
      <c r="Y138" s="8" t="s">
        <v>1510</v>
      </c>
      <c r="Z138" s="9"/>
      <c r="AA138" s="9" t="s">
        <v>1511</v>
      </c>
      <c r="AB138" s="12">
        <v>46047</v>
      </c>
      <c r="AC138" s="8">
        <f t="shared" si="25"/>
        <v>334.58333333333331</v>
      </c>
      <c r="AD138" s="13">
        <f t="shared" ca="1" si="26"/>
        <v>131.58333333333576</v>
      </c>
      <c r="AE138" s="8">
        <f>VLOOKUP($B138, [1]렌트_계약서번호!$B$3:$E$501, 4, FALSE)</f>
        <v>22100034</v>
      </c>
      <c r="AF138" s="9">
        <v>59925897</v>
      </c>
      <c r="AG138" s="9">
        <v>3906103</v>
      </c>
      <c r="AH138" s="9">
        <f>AF138-AG138</f>
        <v>56019794</v>
      </c>
      <c r="AI138" s="9">
        <v>332000</v>
      </c>
      <c r="AJ138" s="9">
        <v>2000</v>
      </c>
      <c r="AK138" s="9">
        <v>2197300</v>
      </c>
      <c r="AL138" s="9">
        <v>348768</v>
      </c>
      <c r="AM138" s="9">
        <v>2000</v>
      </c>
      <c r="AN138" s="9">
        <v>45000</v>
      </c>
      <c r="AO138" s="9">
        <v>50000</v>
      </c>
      <c r="AP138" s="9"/>
      <c r="AQ138" s="9">
        <v>154000</v>
      </c>
      <c r="AR138" s="9" t="s">
        <v>939</v>
      </c>
      <c r="AS138" s="9">
        <v>198000</v>
      </c>
      <c r="AT138" s="9" t="s">
        <v>940</v>
      </c>
      <c r="AU138" s="9">
        <v>2633068</v>
      </c>
      <c r="AV138" s="57">
        <f>SUM(AI138,AJ138,AM138,AN138,AO138, AQ138,AS138+AK138+AL138)</f>
        <v>3329068</v>
      </c>
      <c r="AW138" s="8" t="s">
        <v>124</v>
      </c>
      <c r="AX138" s="17">
        <v>44881</v>
      </c>
      <c r="AY138" s="9">
        <v>1053080</v>
      </c>
      <c r="AZ138" s="9"/>
      <c r="BA138" s="9"/>
      <c r="BB138" s="9"/>
      <c r="BC138" s="9"/>
      <c r="BD138" s="9" t="s">
        <v>125</v>
      </c>
      <c r="BE138" s="9" t="s">
        <v>126</v>
      </c>
      <c r="BF138" s="9" t="s">
        <v>187</v>
      </c>
      <c r="BG138" s="9" t="s">
        <v>188</v>
      </c>
      <c r="BH138" s="9" t="s">
        <v>129</v>
      </c>
      <c r="BI138" s="9" t="s">
        <v>189</v>
      </c>
      <c r="BJ138" s="8" t="s">
        <v>256</v>
      </c>
      <c r="BK138" s="9" t="s">
        <v>132</v>
      </c>
      <c r="BL138" s="9" t="s">
        <v>133</v>
      </c>
      <c r="BM138" s="9" t="s">
        <v>257</v>
      </c>
      <c r="BN138" s="9" t="s">
        <v>134</v>
      </c>
      <c r="BO138" s="9" t="s">
        <v>134</v>
      </c>
      <c r="BP138" s="9"/>
      <c r="BQ138" s="8"/>
      <c r="BR138" s="9">
        <f t="shared" si="32"/>
        <v>47443</v>
      </c>
      <c r="BS138" s="8" t="s">
        <v>136</v>
      </c>
      <c r="BT138" s="19"/>
      <c r="BU138" s="9"/>
      <c r="BV138" s="26"/>
      <c r="BW138" s="9"/>
      <c r="BX138" s="9"/>
      <c r="BY138" s="9"/>
      <c r="BZ138" s="27">
        <v>0</v>
      </c>
      <c r="CA138" s="1"/>
      <c r="CB138" s="28" t="s">
        <v>385</v>
      </c>
      <c r="CC138" s="28" t="s">
        <v>385</v>
      </c>
      <c r="CD138" s="9">
        <v>1208000</v>
      </c>
      <c r="CE138" s="9">
        <f t="shared" si="36"/>
        <v>11</v>
      </c>
      <c r="CF138" s="9">
        <f t="shared" si="30"/>
        <v>13288000</v>
      </c>
      <c r="CG138" s="9">
        <v>27389000</v>
      </c>
      <c r="CH138" s="9">
        <v>0</v>
      </c>
      <c r="CI138" s="9">
        <v>27389000</v>
      </c>
      <c r="CJ138" s="29">
        <v>7.6999999999999999E-2</v>
      </c>
      <c r="CK138" s="30">
        <v>0.06</v>
      </c>
      <c r="CL138" s="31" t="s">
        <v>1512</v>
      </c>
      <c r="CM138" s="9"/>
      <c r="CN138" s="9" t="s">
        <v>1513</v>
      </c>
      <c r="CO138" s="27">
        <v>0.03</v>
      </c>
      <c r="CP138" s="22"/>
      <c r="CQ138" s="32" t="s">
        <v>879</v>
      </c>
      <c r="CR138" s="32">
        <v>52800</v>
      </c>
      <c r="CS138" s="32" t="s">
        <v>943</v>
      </c>
      <c r="CT138" s="32">
        <v>40000</v>
      </c>
      <c r="CU138" s="32">
        <v>0</v>
      </c>
      <c r="CV138" s="32">
        <v>0</v>
      </c>
      <c r="CW138" s="32">
        <v>0</v>
      </c>
      <c r="CX138" s="32">
        <v>0</v>
      </c>
      <c r="CY138" s="32">
        <v>0</v>
      </c>
      <c r="CZ138" s="32">
        <v>0</v>
      </c>
      <c r="DA138" s="32">
        <v>0</v>
      </c>
      <c r="DB138" s="32" t="s">
        <v>232</v>
      </c>
      <c r="DC138" s="32" t="s">
        <v>801</v>
      </c>
      <c r="DD138" s="32" t="s">
        <v>819</v>
      </c>
      <c r="DE138" s="32" t="s">
        <v>1508</v>
      </c>
      <c r="DF138" s="32" t="s">
        <v>944</v>
      </c>
      <c r="DG138" s="32" t="s">
        <v>1514</v>
      </c>
      <c r="DH138" s="32" t="s">
        <v>1515</v>
      </c>
      <c r="DI138" s="32" t="s">
        <v>1511</v>
      </c>
      <c r="DJ138" s="22">
        <v>0.35</v>
      </c>
      <c r="DK138" s="51">
        <v>0.2</v>
      </c>
      <c r="DL138" s="32" t="s">
        <v>1516</v>
      </c>
      <c r="DM138" s="20"/>
      <c r="DN138" s="32"/>
      <c r="DO138" s="32"/>
      <c r="DP138" s="22"/>
    </row>
    <row r="139" spans="1:120">
      <c r="A139" s="8">
        <v>136</v>
      </c>
      <c r="B139" s="8" t="s">
        <v>1517</v>
      </c>
      <c r="C139" s="34" t="s">
        <v>244</v>
      </c>
      <c r="D139" s="8" t="s">
        <v>597</v>
      </c>
      <c r="E139" s="8" t="s">
        <v>598</v>
      </c>
      <c r="F139" s="8" t="s">
        <v>599</v>
      </c>
      <c r="G139" s="22" t="s">
        <v>1518</v>
      </c>
      <c r="H139" s="20" t="s">
        <v>1519</v>
      </c>
      <c r="I139" s="13">
        <v>25980000</v>
      </c>
      <c r="J139" s="8">
        <v>2026</v>
      </c>
      <c r="K139" s="22" t="s">
        <v>1520</v>
      </c>
      <c r="L139" s="10" t="s">
        <v>116</v>
      </c>
      <c r="M139" s="22" t="s">
        <v>1521</v>
      </c>
      <c r="N139" s="8" t="s">
        <v>1522</v>
      </c>
      <c r="O139" s="8" t="s">
        <v>1523</v>
      </c>
      <c r="P139" s="11">
        <v>1580</v>
      </c>
      <c r="Q139" s="12">
        <v>46035</v>
      </c>
      <c r="R139" s="12">
        <v>46031</v>
      </c>
      <c r="S139" s="12">
        <v>46036</v>
      </c>
      <c r="T139" s="14" t="s">
        <v>556</v>
      </c>
      <c r="U139" s="12">
        <f t="shared" si="35"/>
        <v>47496</v>
      </c>
      <c r="V139" s="8">
        <f t="shared" ca="1" si="22"/>
        <v>41</v>
      </c>
      <c r="W139" s="81">
        <v>20000</v>
      </c>
      <c r="X139" s="13" t="s">
        <v>602</v>
      </c>
      <c r="Y139" s="8" t="s">
        <v>603</v>
      </c>
      <c r="Z139" s="22"/>
      <c r="AA139" s="13" t="s">
        <v>604</v>
      </c>
      <c r="AB139" s="12">
        <v>46058</v>
      </c>
      <c r="AC139" s="8">
        <f t="shared" si="25"/>
        <v>1460</v>
      </c>
      <c r="AD139" s="20">
        <f t="shared" ca="1" si="26"/>
        <v>1270</v>
      </c>
      <c r="AE139" s="8" t="str">
        <f>VLOOKUP($B139, [1]렌트_계약서번호!$B$3:$E$501, 4, FALSE)</f>
        <v>26010135</v>
      </c>
      <c r="AF139" s="20">
        <f>23910000+1980000</f>
        <v>25890000</v>
      </c>
      <c r="AG139" s="9">
        <v>0</v>
      </c>
      <c r="AH139" s="9">
        <f>AF139-AG139</f>
        <v>25890000</v>
      </c>
      <c r="AI139" s="9">
        <v>300000</v>
      </c>
      <c r="AJ139" s="9">
        <v>2000</v>
      </c>
      <c r="AK139" s="20"/>
      <c r="AL139" s="20"/>
      <c r="AM139" s="20"/>
      <c r="AN139" s="20"/>
      <c r="AO139" s="20"/>
      <c r="AP139" s="20"/>
      <c r="AQ139" s="20"/>
      <c r="AR139" s="20"/>
      <c r="AS139" s="20"/>
      <c r="AT139" s="13" t="s">
        <v>940</v>
      </c>
      <c r="AU139" s="20"/>
      <c r="AV139" s="20"/>
      <c r="AW139" s="8" t="s">
        <v>124</v>
      </c>
      <c r="AX139" s="17"/>
      <c r="AY139" s="20"/>
      <c r="AZ139" s="20"/>
      <c r="BA139" s="20"/>
      <c r="BB139" s="20"/>
      <c r="BC139" s="23"/>
      <c r="BD139" s="13" t="s">
        <v>125</v>
      </c>
      <c r="BE139" s="13" t="s">
        <v>126</v>
      </c>
      <c r="BF139" s="13" t="s">
        <v>1158</v>
      </c>
      <c r="BG139" s="13" t="s">
        <v>1159</v>
      </c>
      <c r="BH139" s="13" t="s">
        <v>129</v>
      </c>
      <c r="BI139" s="13" t="s">
        <v>130</v>
      </c>
      <c r="BJ139" s="8" t="s">
        <v>256</v>
      </c>
      <c r="BK139" s="13" t="s">
        <v>132</v>
      </c>
      <c r="BL139" s="13" t="s">
        <v>257</v>
      </c>
      <c r="BM139" s="13" t="s">
        <v>257</v>
      </c>
      <c r="BN139" s="13" t="s">
        <v>1524</v>
      </c>
      <c r="BO139" s="13" t="s">
        <v>134</v>
      </c>
      <c r="BP139" s="8"/>
      <c r="BQ139" s="23"/>
      <c r="BR139" s="13">
        <f t="shared" si="32"/>
        <v>28440</v>
      </c>
      <c r="BS139" s="8" t="s">
        <v>136</v>
      </c>
      <c r="BT139" s="23"/>
      <c r="BU139" s="23"/>
      <c r="BV139" s="8"/>
      <c r="BW139" s="23"/>
      <c r="BX139" s="23"/>
      <c r="BY139" s="23"/>
      <c r="BZ139" s="27"/>
      <c r="CA139" s="23"/>
      <c r="CB139" s="28" t="s">
        <v>120</v>
      </c>
      <c r="CC139" s="28" t="s">
        <v>120</v>
      </c>
      <c r="CD139" s="78">
        <v>317400</v>
      </c>
      <c r="CE139" s="13">
        <v>48</v>
      </c>
      <c r="CF139" s="13">
        <f t="shared" si="30"/>
        <v>15235200</v>
      </c>
      <c r="CG139" s="78">
        <v>0</v>
      </c>
      <c r="CH139" s="78">
        <v>7767000</v>
      </c>
      <c r="CI139" s="78">
        <v>15471000</v>
      </c>
      <c r="CJ139" s="30">
        <v>0.03</v>
      </c>
      <c r="CK139" s="30">
        <v>0.06</v>
      </c>
      <c r="CL139" s="82" t="s">
        <v>605</v>
      </c>
      <c r="CM139" s="8"/>
      <c r="CN139" s="8"/>
      <c r="CO139" s="71">
        <v>0.03</v>
      </c>
      <c r="CP139" s="23"/>
      <c r="CQ139" s="74" t="s">
        <v>879</v>
      </c>
      <c r="CR139" s="74">
        <v>52800</v>
      </c>
      <c r="CS139" s="74" t="s">
        <v>943</v>
      </c>
      <c r="CT139" s="74">
        <v>40000</v>
      </c>
      <c r="CU139" s="23"/>
      <c r="CV139" s="23"/>
      <c r="CW139" s="23"/>
      <c r="CX139" s="23"/>
      <c r="CY139" s="23"/>
      <c r="CZ139" s="23"/>
      <c r="DA139" s="23"/>
      <c r="DB139" s="74" t="s">
        <v>232</v>
      </c>
      <c r="DC139" s="74" t="s">
        <v>801</v>
      </c>
      <c r="DD139" s="74" t="s">
        <v>819</v>
      </c>
      <c r="DE139" s="8" t="s">
        <v>1525</v>
      </c>
      <c r="DF139" s="74" t="s">
        <v>944</v>
      </c>
      <c r="DG139" s="74" t="s">
        <v>1197</v>
      </c>
      <c r="DH139" s="74" t="s">
        <v>606</v>
      </c>
      <c r="DI139" s="74" t="s">
        <v>1198</v>
      </c>
      <c r="DJ139" s="75">
        <v>0.35</v>
      </c>
      <c r="DK139" s="22">
        <v>0.25</v>
      </c>
      <c r="DL139" s="8" t="s">
        <v>1526</v>
      </c>
      <c r="DM139" s="78">
        <v>1310108</v>
      </c>
      <c r="DN139" s="23"/>
      <c r="DO139" s="23"/>
      <c r="DP139" s="23"/>
    </row>
    <row r="140" spans="1:120">
      <c r="A140" s="8">
        <v>137</v>
      </c>
      <c r="B140" s="8" t="s">
        <v>1527</v>
      </c>
      <c r="C140" s="34" t="s">
        <v>244</v>
      </c>
      <c r="D140" s="8" t="s">
        <v>1528</v>
      </c>
      <c r="E140" s="8" t="s">
        <v>1528</v>
      </c>
      <c r="F140" s="8" t="s">
        <v>1529</v>
      </c>
      <c r="G140" s="22" t="s">
        <v>1530</v>
      </c>
      <c r="H140" s="20" t="s">
        <v>867</v>
      </c>
      <c r="I140" s="13">
        <v>22980000</v>
      </c>
      <c r="J140" s="8">
        <v>2022</v>
      </c>
      <c r="K140" s="22" t="s">
        <v>1531</v>
      </c>
      <c r="L140" s="22" t="s">
        <v>1532</v>
      </c>
      <c r="M140" s="22" t="s">
        <v>1533</v>
      </c>
      <c r="N140" s="8" t="s">
        <v>1534</v>
      </c>
      <c r="O140" s="8" t="s">
        <v>1535</v>
      </c>
      <c r="P140" s="11">
        <v>1597</v>
      </c>
      <c r="Q140" s="12">
        <v>44866</v>
      </c>
      <c r="R140" s="12">
        <v>45992</v>
      </c>
      <c r="S140" s="12">
        <v>45994</v>
      </c>
      <c r="T140" s="14" t="s">
        <v>1536</v>
      </c>
      <c r="U140" s="12">
        <f t="shared" si="35"/>
        <v>47089</v>
      </c>
      <c r="V140" s="8">
        <f t="shared" ca="1" si="22"/>
        <v>28</v>
      </c>
      <c r="W140" s="9">
        <v>20000</v>
      </c>
      <c r="X140" s="22" t="s">
        <v>1528</v>
      </c>
      <c r="Y140" s="22" t="s">
        <v>1529</v>
      </c>
      <c r="Z140" s="22"/>
      <c r="AA140" s="12"/>
      <c r="AB140" s="12">
        <v>46016</v>
      </c>
      <c r="AC140" s="8">
        <f t="shared" si="25"/>
        <v>1095</v>
      </c>
      <c r="AD140" s="20">
        <f t="shared" ca="1" si="26"/>
        <v>863</v>
      </c>
      <c r="AE140" s="8">
        <f>VLOOKUP($B140, [1]렌트_계약서번호!$B$3:$E$501, 4, FALSE)</f>
        <v>22030011</v>
      </c>
      <c r="AF140" s="20"/>
      <c r="AG140" s="9"/>
      <c r="AH140" s="9"/>
      <c r="AI140" s="9"/>
      <c r="AJ140" s="9"/>
      <c r="AK140" s="20"/>
      <c r="AL140" s="20"/>
      <c r="AM140" s="20"/>
      <c r="AN140" s="20"/>
      <c r="AO140" s="20"/>
      <c r="AP140" s="20"/>
      <c r="AQ140" s="9">
        <v>154000</v>
      </c>
      <c r="AR140" s="9" t="s">
        <v>875</v>
      </c>
      <c r="AS140" s="9">
        <v>66000</v>
      </c>
      <c r="AT140" s="9" t="s">
        <v>876</v>
      </c>
      <c r="AU140" s="20">
        <v>1033404</v>
      </c>
      <c r="AV140" s="20"/>
      <c r="AW140" s="20" t="s">
        <v>124</v>
      </c>
      <c r="AX140" s="17"/>
      <c r="AY140" s="20">
        <v>1189980</v>
      </c>
      <c r="AZ140" s="20"/>
      <c r="BA140" s="20"/>
      <c r="BB140" s="20"/>
      <c r="BC140" s="23"/>
      <c r="BD140" s="8" t="s">
        <v>1537</v>
      </c>
      <c r="BE140" s="8" t="s">
        <v>1538</v>
      </c>
      <c r="BF140" s="8" t="s">
        <v>1539</v>
      </c>
      <c r="BG140" s="8" t="s">
        <v>1540</v>
      </c>
      <c r="BH140" s="8" t="s">
        <v>662</v>
      </c>
      <c r="BI140" s="8" t="s">
        <v>1541</v>
      </c>
      <c r="BJ140" s="8" t="s">
        <v>1542</v>
      </c>
      <c r="BK140" s="8" t="s">
        <v>1543</v>
      </c>
      <c r="BL140" s="8" t="s">
        <v>1544</v>
      </c>
      <c r="BM140" s="8" t="s">
        <v>1544</v>
      </c>
      <c r="BN140" s="8" t="s">
        <v>1545</v>
      </c>
      <c r="BO140" s="8" t="s">
        <v>1545</v>
      </c>
      <c r="BP140" s="8"/>
      <c r="BQ140" s="23"/>
      <c r="BR140" s="23">
        <v>28746</v>
      </c>
      <c r="BS140" s="8" t="s">
        <v>1546</v>
      </c>
      <c r="BT140" s="23"/>
      <c r="BU140" s="23"/>
      <c r="BV140" s="8"/>
      <c r="BW140" s="23"/>
      <c r="BX140" s="23"/>
      <c r="BY140" s="23"/>
      <c r="BZ140" s="27">
        <v>0</v>
      </c>
      <c r="CA140" s="23"/>
      <c r="CB140" s="28" t="s">
        <v>385</v>
      </c>
      <c r="CC140" s="28" t="s">
        <v>385</v>
      </c>
      <c r="CD140" s="78">
        <v>270000</v>
      </c>
      <c r="CE140" s="13">
        <v>36</v>
      </c>
      <c r="CF140" s="78">
        <v>9720000</v>
      </c>
      <c r="CG140" s="78">
        <v>0</v>
      </c>
      <c r="CH140" s="78">
        <v>6960000</v>
      </c>
      <c r="CI140" s="78">
        <v>9570000</v>
      </c>
      <c r="CJ140" s="30">
        <v>0.03</v>
      </c>
      <c r="CK140" s="30">
        <v>0.06</v>
      </c>
      <c r="CL140" s="8" t="s">
        <v>1547</v>
      </c>
      <c r="CM140" s="8"/>
      <c r="CN140" s="8"/>
      <c r="CO140" s="71">
        <v>0.03</v>
      </c>
      <c r="CP140" s="23"/>
      <c r="CQ140" s="23" t="s">
        <v>704</v>
      </c>
      <c r="CR140" s="23">
        <v>47300</v>
      </c>
      <c r="CS140" s="23">
        <v>0</v>
      </c>
      <c r="CT140" s="23">
        <v>0</v>
      </c>
      <c r="CU140" s="23">
        <v>0</v>
      </c>
      <c r="CV140" s="23">
        <v>0</v>
      </c>
      <c r="CW140" s="23">
        <v>0</v>
      </c>
      <c r="CX140" s="23">
        <v>0</v>
      </c>
      <c r="CY140" s="23">
        <v>0</v>
      </c>
      <c r="CZ140" s="23">
        <v>0</v>
      </c>
      <c r="DA140" s="23">
        <v>0</v>
      </c>
      <c r="DB140" s="23" t="s">
        <v>1548</v>
      </c>
      <c r="DC140" s="23" t="s">
        <v>1549</v>
      </c>
      <c r="DD140" s="23" t="s">
        <v>561</v>
      </c>
      <c r="DE140" s="8" t="s">
        <v>1550</v>
      </c>
      <c r="DF140" s="8" t="s">
        <v>1551</v>
      </c>
      <c r="DG140" s="8" t="s">
        <v>1552</v>
      </c>
      <c r="DH140" s="8" t="s">
        <v>1553</v>
      </c>
      <c r="DI140" s="8" t="s">
        <v>1554</v>
      </c>
      <c r="DJ140" s="75">
        <v>0.35</v>
      </c>
      <c r="DK140" s="71">
        <v>0.26</v>
      </c>
      <c r="DL140" s="8"/>
      <c r="DM140" s="78"/>
      <c r="DN140" s="23"/>
      <c r="DO140" s="23"/>
      <c r="DP140" s="23"/>
    </row>
    <row r="141" spans="1:120">
      <c r="A141" s="8">
        <v>138</v>
      </c>
      <c r="B141" s="8" t="s">
        <v>1555</v>
      </c>
      <c r="C141" s="8" t="s">
        <v>110</v>
      </c>
      <c r="D141" s="8" t="s">
        <v>1556</v>
      </c>
      <c r="E141" s="8" t="s">
        <v>209</v>
      </c>
      <c r="F141" s="8" t="s">
        <v>210</v>
      </c>
      <c r="G141" s="8" t="s">
        <v>191</v>
      </c>
      <c r="H141" s="8" t="s">
        <v>211</v>
      </c>
      <c r="I141" s="9">
        <v>97440000</v>
      </c>
      <c r="J141" s="8">
        <v>2025</v>
      </c>
      <c r="K141" s="10" t="s">
        <v>212</v>
      </c>
      <c r="L141" s="10" t="s">
        <v>116</v>
      </c>
      <c r="M141" s="8" t="s">
        <v>213</v>
      </c>
      <c r="N141" s="8" t="s">
        <v>214</v>
      </c>
      <c r="O141" s="8" t="s">
        <v>215</v>
      </c>
      <c r="P141" s="11">
        <v>3470</v>
      </c>
      <c r="Q141" s="12">
        <v>45827</v>
      </c>
      <c r="R141" s="12">
        <v>45810</v>
      </c>
      <c r="S141" s="12">
        <v>45828</v>
      </c>
      <c r="T141" s="14" t="s">
        <v>397</v>
      </c>
      <c r="U141" s="12">
        <f t="shared" si="35"/>
        <v>46923</v>
      </c>
      <c r="V141" s="8">
        <f t="shared" ca="1" si="22"/>
        <v>22</v>
      </c>
      <c r="W141" s="16">
        <v>30000</v>
      </c>
      <c r="X141" s="8" t="s">
        <v>216</v>
      </c>
      <c r="Y141" s="8" t="s">
        <v>217</v>
      </c>
      <c r="Z141" s="22"/>
      <c r="AA141" s="12"/>
      <c r="AB141" s="12">
        <v>45838</v>
      </c>
      <c r="AC141" s="8">
        <f t="shared" si="25"/>
        <v>1095</v>
      </c>
      <c r="AD141" s="20">
        <f t="shared" ca="1" si="26"/>
        <v>697</v>
      </c>
      <c r="AE141" s="8" t="e">
        <f>VLOOKUP($B141, [1]렌트_계약서번호!$B$3:$E$501, 4, FALSE)</f>
        <v>#N/A</v>
      </c>
      <c r="AF141" s="20"/>
      <c r="AG141" s="9"/>
      <c r="AH141" s="9"/>
      <c r="AI141" s="9"/>
      <c r="AJ141" s="9"/>
      <c r="AK141" s="20"/>
      <c r="AL141" s="20"/>
      <c r="AM141" s="20"/>
      <c r="AN141" s="20"/>
      <c r="AO141" s="20"/>
      <c r="AP141" s="20"/>
      <c r="AQ141" s="9"/>
      <c r="AR141" s="9" t="s">
        <v>145</v>
      </c>
      <c r="AS141" s="9">
        <v>190000</v>
      </c>
      <c r="AT141" s="20" t="s">
        <v>146</v>
      </c>
      <c r="AU141" s="18"/>
      <c r="AV141" s="13"/>
      <c r="AW141" s="13" t="s">
        <v>158</v>
      </c>
      <c r="AX141" s="17"/>
      <c r="AY141" s="18"/>
      <c r="AZ141" s="9"/>
      <c r="BA141" s="9"/>
      <c r="BB141" s="9"/>
      <c r="BC141" s="9"/>
      <c r="BD141" s="9" t="s">
        <v>125</v>
      </c>
      <c r="BE141" s="9" t="s">
        <v>126</v>
      </c>
      <c r="BF141" s="9" t="s">
        <v>187</v>
      </c>
      <c r="BG141" s="9" t="s">
        <v>188</v>
      </c>
      <c r="BH141" s="9" t="s">
        <v>129</v>
      </c>
      <c r="BI141" s="9" t="s">
        <v>189</v>
      </c>
      <c r="BJ141" s="8" t="s">
        <v>131</v>
      </c>
      <c r="BK141" s="9" t="s">
        <v>132</v>
      </c>
      <c r="BL141" s="9" t="s">
        <v>133</v>
      </c>
      <c r="BM141" s="9" t="s">
        <v>133</v>
      </c>
      <c r="BN141" s="9" t="s">
        <v>134</v>
      </c>
      <c r="BO141" s="9" t="s">
        <v>134</v>
      </c>
      <c r="BP141" s="9"/>
      <c r="BQ141" s="8"/>
      <c r="BR141" s="9">
        <f>IF(T141&lt;=1600,T141*18,IF(T141&lt;=2500,T141*19,IF(T141&gt;2500,T141*24,20000)))</f>
        <v>72</v>
      </c>
      <c r="BS141" s="8" t="s">
        <v>136</v>
      </c>
      <c r="BT141" s="19"/>
      <c r="BU141" s="9"/>
      <c r="BV141" s="26"/>
      <c r="BW141" s="9"/>
      <c r="BX141" s="9"/>
      <c r="BY141" s="9"/>
      <c r="BZ141" s="27"/>
      <c r="CA141" s="8"/>
      <c r="CB141" s="28" t="s">
        <v>504</v>
      </c>
      <c r="CC141" s="28" t="s">
        <v>504</v>
      </c>
      <c r="CD141" s="9">
        <v>2560000</v>
      </c>
      <c r="CE141" s="9">
        <v>11</v>
      </c>
      <c r="CF141" s="9">
        <f t="shared" ref="CF141:CF148" si="37">CE141*CD141</f>
        <v>28160000</v>
      </c>
      <c r="CG141" s="9">
        <v>8100000</v>
      </c>
      <c r="CH141" s="9">
        <v>0</v>
      </c>
      <c r="CI141" s="9" t="s">
        <v>799</v>
      </c>
      <c r="CJ141" s="29">
        <v>0.03</v>
      </c>
      <c r="CK141" s="30">
        <v>0.06</v>
      </c>
      <c r="CL141" s="31" t="s">
        <v>1557</v>
      </c>
      <c r="CM141" s="31" t="s">
        <v>1558</v>
      </c>
      <c r="CN141" s="9"/>
      <c r="CO141" s="27">
        <v>0.03</v>
      </c>
      <c r="CP141" s="2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 t="s">
        <v>232</v>
      </c>
      <c r="DC141" s="32" t="s">
        <v>801</v>
      </c>
      <c r="DD141" s="32" t="s">
        <v>819</v>
      </c>
      <c r="DE141" s="32" t="s">
        <v>1556</v>
      </c>
      <c r="DF141" s="32" t="s">
        <v>460</v>
      </c>
      <c r="DG141" s="32" t="s">
        <v>1559</v>
      </c>
      <c r="DH141" s="32" t="s">
        <v>1560</v>
      </c>
      <c r="DI141" s="32" t="s">
        <v>1561</v>
      </c>
      <c r="DJ141" s="22">
        <v>0.35</v>
      </c>
      <c r="DK141" s="22">
        <v>0.25</v>
      </c>
      <c r="DL141" s="32" t="s">
        <v>1562</v>
      </c>
      <c r="DM141" s="20"/>
      <c r="DN141" s="32"/>
      <c r="DO141" s="32"/>
      <c r="DP141" s="22"/>
    </row>
    <row r="142" spans="1:120">
      <c r="A142" s="8">
        <v>139</v>
      </c>
      <c r="B142" s="8" t="s">
        <v>1563</v>
      </c>
      <c r="C142" s="34" t="s">
        <v>244</v>
      </c>
      <c r="D142" s="8" t="s">
        <v>582</v>
      </c>
      <c r="E142" s="8" t="s">
        <v>583</v>
      </c>
      <c r="F142" s="8" t="s">
        <v>1564</v>
      </c>
      <c r="G142" s="8" t="s">
        <v>113</v>
      </c>
      <c r="H142" s="8" t="s">
        <v>114</v>
      </c>
      <c r="I142" s="9">
        <v>16650000</v>
      </c>
      <c r="J142" s="8">
        <v>2026</v>
      </c>
      <c r="K142" s="10" t="s">
        <v>115</v>
      </c>
      <c r="L142" s="10" t="s">
        <v>116</v>
      </c>
      <c r="M142" s="8" t="s">
        <v>1565</v>
      </c>
      <c r="N142" s="55" t="s">
        <v>1566</v>
      </c>
      <c r="O142" s="8" t="s">
        <v>1567</v>
      </c>
      <c r="P142" s="11">
        <v>998</v>
      </c>
      <c r="Q142" s="12">
        <v>46055</v>
      </c>
      <c r="R142" s="12">
        <v>46052</v>
      </c>
      <c r="S142" s="12">
        <v>46056</v>
      </c>
      <c r="T142" s="14" t="s">
        <v>120</v>
      </c>
      <c r="U142" s="12">
        <f t="shared" si="35"/>
        <v>47881</v>
      </c>
      <c r="V142" s="8">
        <f t="shared" ca="1" si="22"/>
        <v>54</v>
      </c>
      <c r="W142" s="16">
        <v>20000</v>
      </c>
      <c r="X142" s="9" t="s">
        <v>1568</v>
      </c>
      <c r="Y142" s="8" t="s">
        <v>1564</v>
      </c>
      <c r="Z142" s="9"/>
      <c r="AA142" s="9" t="s">
        <v>589</v>
      </c>
      <c r="AB142" s="12">
        <v>46081</v>
      </c>
      <c r="AC142" s="8">
        <f t="shared" si="25"/>
        <v>1825</v>
      </c>
      <c r="AD142" s="8">
        <f t="shared" ca="1" si="26"/>
        <v>1655</v>
      </c>
      <c r="AE142" s="8" t="str">
        <f>VLOOKUP($B142, [1]렌트_계약서번호!$B$3:$E$501, 4, FALSE)</f>
        <v>26010136</v>
      </c>
      <c r="AF142" s="18">
        <f>14900000+1750000</f>
        <v>16650000</v>
      </c>
      <c r="AG142" s="9">
        <v>0</v>
      </c>
      <c r="AH142" s="9">
        <f>AF142-AG142</f>
        <v>16650000</v>
      </c>
      <c r="AI142" s="9">
        <v>197000</v>
      </c>
      <c r="AJ142" s="9">
        <v>2000</v>
      </c>
      <c r="AK142" s="9">
        <v>612610</v>
      </c>
      <c r="AL142" s="9">
        <v>0</v>
      </c>
      <c r="AM142" s="9">
        <v>2000</v>
      </c>
      <c r="AN142" s="9">
        <v>28000</v>
      </c>
      <c r="AO142" s="9">
        <v>35000</v>
      </c>
      <c r="AP142" s="9">
        <v>430000</v>
      </c>
      <c r="AQ142" s="9">
        <v>0</v>
      </c>
      <c r="AR142" s="9" t="s">
        <v>122</v>
      </c>
      <c r="AS142" s="9">
        <v>200000</v>
      </c>
      <c r="AT142" s="20" t="s">
        <v>146</v>
      </c>
      <c r="AU142" s="9"/>
      <c r="AV142" s="13">
        <f>SUM(AI142,AJ142,AM142,AN142,AO142, AQ142,AS142+AK142+AL142)</f>
        <v>1076610</v>
      </c>
      <c r="AW142" s="13" t="s">
        <v>124</v>
      </c>
      <c r="AX142" s="17"/>
      <c r="AY142" s="18"/>
      <c r="AZ142" s="18"/>
      <c r="BA142" s="9"/>
      <c r="BB142" s="9"/>
      <c r="BC142" s="9"/>
      <c r="BD142" s="9" t="s">
        <v>125</v>
      </c>
      <c r="BE142" s="9" t="s">
        <v>126</v>
      </c>
      <c r="BF142" s="9" t="s">
        <v>255</v>
      </c>
      <c r="BG142" s="9" t="s">
        <v>128</v>
      </c>
      <c r="BH142" s="9" t="s">
        <v>129</v>
      </c>
      <c r="BI142" s="9" t="s">
        <v>130</v>
      </c>
      <c r="BJ142" s="8" t="s">
        <v>256</v>
      </c>
      <c r="BK142" s="9" t="s">
        <v>132</v>
      </c>
      <c r="BL142" s="9" t="s">
        <v>133</v>
      </c>
      <c r="BM142" s="9" t="s">
        <v>133</v>
      </c>
      <c r="BN142" s="9" t="s">
        <v>133</v>
      </c>
      <c r="BO142" s="9" t="s">
        <v>817</v>
      </c>
      <c r="BP142" s="9" t="s">
        <v>590</v>
      </c>
      <c r="BQ142" s="8"/>
      <c r="BR142" s="9">
        <f t="shared" ref="BR142:BR148" si="38">IF(P142&lt;=1600,P142*18,IF(P142&lt;=2500,P142*19,IF(P142&gt;2500,P142*24,20000)))</f>
        <v>17964</v>
      </c>
      <c r="BS142" s="8" t="s">
        <v>136</v>
      </c>
      <c r="BT142" s="19"/>
      <c r="BU142" s="9"/>
      <c r="BV142" s="26"/>
      <c r="BW142" s="9"/>
      <c r="BX142" s="9">
        <f>BW142*BV142</f>
        <v>0</v>
      </c>
      <c r="BY142" s="9">
        <f>BX142-BU142</f>
        <v>0</v>
      </c>
      <c r="BZ142" s="27">
        <v>0</v>
      </c>
      <c r="CA142" s="1"/>
      <c r="CB142" s="28" t="s">
        <v>504</v>
      </c>
      <c r="CC142" s="28" t="s">
        <v>504</v>
      </c>
      <c r="CD142" s="9">
        <v>375200</v>
      </c>
      <c r="CE142" s="9">
        <f>T142*12</f>
        <v>60</v>
      </c>
      <c r="CF142" s="9">
        <f t="shared" si="37"/>
        <v>22512000</v>
      </c>
      <c r="CG142" s="9">
        <v>4995000</v>
      </c>
      <c r="CH142" s="9">
        <v>0</v>
      </c>
      <c r="CI142" s="9">
        <v>6993000</v>
      </c>
      <c r="CJ142" s="29">
        <v>0.03</v>
      </c>
      <c r="CK142" s="30">
        <v>0.06</v>
      </c>
      <c r="CL142" s="31" t="s">
        <v>591</v>
      </c>
      <c r="CM142" s="9"/>
      <c r="CN142" s="9" t="s">
        <v>1564</v>
      </c>
      <c r="CO142" s="27">
        <v>0.03</v>
      </c>
      <c r="CP142" s="22"/>
      <c r="CQ142" s="32">
        <v>0</v>
      </c>
      <c r="CR142" s="32">
        <v>0</v>
      </c>
      <c r="CS142" s="74" t="s">
        <v>943</v>
      </c>
      <c r="CT142" s="74">
        <v>40000</v>
      </c>
      <c r="CU142" s="32">
        <v>0</v>
      </c>
      <c r="CV142" s="32">
        <v>0</v>
      </c>
      <c r="CW142" s="32">
        <v>0</v>
      </c>
      <c r="CX142" s="32">
        <v>0</v>
      </c>
      <c r="CY142" s="32">
        <v>0</v>
      </c>
      <c r="CZ142" s="32">
        <v>0</v>
      </c>
      <c r="DA142" s="32">
        <v>0</v>
      </c>
      <c r="DB142" s="32" t="str">
        <f>IF(DC142="정수원 실장","기아", IF(DC142="박현식 부장", "현대", IF(DC142="김성진 팀장", "한성", IF(DC142="전석영 부장", "한성", IF(DC142= "박봉호 부장", "모토원",IF(DC142="정원철 부장", "한성"))))))</f>
        <v>기아</v>
      </c>
      <c r="DC142" s="32" t="s">
        <v>260</v>
      </c>
      <c r="DD142" s="32" t="s">
        <v>561</v>
      </c>
      <c r="DE142" s="32" t="s">
        <v>1569</v>
      </c>
      <c r="DF142" s="74" t="s">
        <v>944</v>
      </c>
      <c r="DG142" s="32" t="s">
        <v>1570</v>
      </c>
      <c r="DH142" s="32" t="s">
        <v>1571</v>
      </c>
      <c r="DI142" s="32" t="s">
        <v>589</v>
      </c>
      <c r="DJ142" s="22">
        <v>0.35</v>
      </c>
      <c r="DK142" s="22">
        <v>0.25</v>
      </c>
      <c r="DL142" s="32" t="s">
        <v>1572</v>
      </c>
      <c r="DM142" s="20">
        <v>0</v>
      </c>
      <c r="DN142" s="32"/>
      <c r="DO142" s="32"/>
      <c r="DP142" s="22"/>
    </row>
    <row r="143" spans="1:120">
      <c r="A143" s="8">
        <v>140</v>
      </c>
      <c r="B143" s="8" t="s">
        <v>1573</v>
      </c>
      <c r="C143" s="34" t="s">
        <v>244</v>
      </c>
      <c r="D143" s="8" t="s">
        <v>1574</v>
      </c>
      <c r="E143" s="8" t="s">
        <v>1575</v>
      </c>
      <c r="F143" s="8" t="s">
        <v>1576</v>
      </c>
      <c r="G143" s="22" t="s">
        <v>174</v>
      </c>
      <c r="H143" s="20" t="s">
        <v>1577</v>
      </c>
      <c r="I143" s="13">
        <v>47600000</v>
      </c>
      <c r="J143" s="8">
        <v>2026</v>
      </c>
      <c r="K143" s="22" t="s">
        <v>176</v>
      </c>
      <c r="L143" s="22" t="s">
        <v>116</v>
      </c>
      <c r="M143" s="22" t="s">
        <v>1578</v>
      </c>
      <c r="N143" s="8" t="s">
        <v>1579</v>
      </c>
      <c r="O143" s="8" t="s">
        <v>1580</v>
      </c>
      <c r="P143" s="11">
        <v>1597</v>
      </c>
      <c r="Q143" s="12">
        <v>46073</v>
      </c>
      <c r="R143" s="12">
        <v>46056</v>
      </c>
      <c r="S143" s="12">
        <v>46078</v>
      </c>
      <c r="T143" s="14" t="s">
        <v>120</v>
      </c>
      <c r="U143" s="12">
        <f t="shared" si="35"/>
        <v>47903</v>
      </c>
      <c r="V143" s="8">
        <f t="shared" ref="V143:V148" ca="1" si="39">IFERROR(DATEDIF(TODAY(), U143, "m"), "-")</f>
        <v>55</v>
      </c>
      <c r="W143" s="16">
        <v>20000</v>
      </c>
      <c r="X143" s="8" t="s">
        <v>1575</v>
      </c>
      <c r="Y143" s="8" t="s">
        <v>1576</v>
      </c>
      <c r="Z143" s="22"/>
      <c r="AA143" s="12"/>
      <c r="AB143" s="12">
        <v>46106</v>
      </c>
      <c r="AC143" s="8">
        <f t="shared" si="25"/>
        <v>1825</v>
      </c>
      <c r="AD143" s="8">
        <f t="shared" ca="1" si="26"/>
        <v>1677</v>
      </c>
      <c r="AE143" s="8" t="str">
        <f>VLOOKUP($B143, [1]렌트_계약서번호!$B$3:$E$501, 4, FALSE)</f>
        <v>26020137</v>
      </c>
      <c r="AF143" s="20">
        <f>45230000+2270000+100000</f>
        <v>47600000</v>
      </c>
      <c r="AG143" s="9">
        <v>1000000</v>
      </c>
      <c r="AH143" s="9">
        <f>AF143-AG143</f>
        <v>46600000</v>
      </c>
      <c r="AI143" s="9">
        <v>192000</v>
      </c>
      <c r="AJ143" s="9">
        <v>1900</v>
      </c>
      <c r="AK143" s="20">
        <v>1613930</v>
      </c>
      <c r="AL143" s="20">
        <v>0</v>
      </c>
      <c r="AM143" s="20">
        <v>2000</v>
      </c>
      <c r="AN143" s="20">
        <v>40000</v>
      </c>
      <c r="AO143" s="20">
        <v>33000</v>
      </c>
      <c r="AP143" s="20"/>
      <c r="AQ143" s="20"/>
      <c r="AR143" s="20" t="s">
        <v>165</v>
      </c>
      <c r="AS143" s="20">
        <v>190000</v>
      </c>
      <c r="AT143" s="20" t="s">
        <v>180</v>
      </c>
      <c r="AU143" s="20"/>
      <c r="AV143" s="20"/>
      <c r="AW143" s="13" t="s">
        <v>124</v>
      </c>
      <c r="AX143" s="17"/>
      <c r="AY143" s="20"/>
      <c r="AZ143" s="20"/>
      <c r="BA143" s="20"/>
      <c r="BB143" s="20"/>
      <c r="BC143" s="23"/>
      <c r="BD143" s="9" t="s">
        <v>125</v>
      </c>
      <c r="BE143" s="9" t="s">
        <v>126</v>
      </c>
      <c r="BF143" s="9" t="s">
        <v>255</v>
      </c>
      <c r="BG143" s="9" t="s">
        <v>128</v>
      </c>
      <c r="BH143" s="9" t="s">
        <v>129</v>
      </c>
      <c r="BI143" s="9" t="s">
        <v>130</v>
      </c>
      <c r="BJ143" s="8" t="s">
        <v>256</v>
      </c>
      <c r="BK143" s="9" t="s">
        <v>132</v>
      </c>
      <c r="BL143" s="9" t="s">
        <v>133</v>
      </c>
      <c r="BM143" s="9" t="s">
        <v>133</v>
      </c>
      <c r="BN143" s="9" t="s">
        <v>133</v>
      </c>
      <c r="BO143" s="9" t="s">
        <v>817</v>
      </c>
      <c r="BP143" s="8"/>
      <c r="BQ143" s="23"/>
      <c r="BR143" s="9">
        <f t="shared" si="38"/>
        <v>28746</v>
      </c>
      <c r="BS143" s="8" t="s">
        <v>136</v>
      </c>
      <c r="BT143" s="23"/>
      <c r="BU143" s="23"/>
      <c r="BV143" s="8"/>
      <c r="BW143" s="23"/>
      <c r="BX143" s="23"/>
      <c r="BY143" s="23"/>
      <c r="BZ143" s="23"/>
      <c r="CA143" s="23"/>
      <c r="CB143" s="28" t="s">
        <v>385</v>
      </c>
      <c r="CC143" s="28" t="s">
        <v>385</v>
      </c>
      <c r="CD143" s="78">
        <v>640000</v>
      </c>
      <c r="CE143" s="13">
        <v>60</v>
      </c>
      <c r="CF143" s="9">
        <f t="shared" si="37"/>
        <v>38400000</v>
      </c>
      <c r="CG143" s="78">
        <v>7140000</v>
      </c>
      <c r="CH143" s="78">
        <v>7140000</v>
      </c>
      <c r="CI143" s="78">
        <v>22848000</v>
      </c>
      <c r="CJ143" s="29">
        <v>0.03</v>
      </c>
      <c r="CK143" s="30">
        <v>0.06</v>
      </c>
      <c r="CL143" s="56" t="s">
        <v>1581</v>
      </c>
      <c r="CM143" s="8"/>
      <c r="CN143" s="8"/>
      <c r="CO143" s="27">
        <v>0.03</v>
      </c>
      <c r="CP143" s="23"/>
      <c r="CQ143" s="23" t="s">
        <v>1582</v>
      </c>
      <c r="CR143" s="23"/>
      <c r="CS143" s="23" t="s">
        <v>1583</v>
      </c>
      <c r="CT143" s="23">
        <v>150000</v>
      </c>
      <c r="CU143" s="23"/>
      <c r="CV143" s="23"/>
      <c r="CW143" s="23"/>
      <c r="CX143" s="23"/>
      <c r="CY143" s="23"/>
      <c r="CZ143" s="23"/>
      <c r="DA143" s="23"/>
      <c r="DB143" s="32" t="s">
        <v>232</v>
      </c>
      <c r="DC143" s="32" t="s">
        <v>801</v>
      </c>
      <c r="DD143" s="32" t="s">
        <v>819</v>
      </c>
      <c r="DE143" s="8" t="s">
        <v>1584</v>
      </c>
      <c r="DF143" s="8" t="s">
        <v>705</v>
      </c>
      <c r="DG143" s="8" t="s">
        <v>1585</v>
      </c>
      <c r="DH143" s="8" t="s">
        <v>1586</v>
      </c>
      <c r="DI143" s="8" t="s">
        <v>1587</v>
      </c>
      <c r="DJ143" s="22">
        <v>0.35</v>
      </c>
      <c r="DK143" s="22">
        <v>0.25</v>
      </c>
      <c r="DL143" s="8" t="s">
        <v>1588</v>
      </c>
      <c r="DM143" s="78">
        <v>2408697</v>
      </c>
      <c r="DN143" s="23"/>
      <c r="DO143" s="23"/>
      <c r="DP143" s="23"/>
    </row>
    <row r="144" spans="1:120">
      <c r="A144" s="8">
        <v>141</v>
      </c>
      <c r="B144" s="8" t="s">
        <v>1589</v>
      </c>
      <c r="C144" s="34" t="s">
        <v>244</v>
      </c>
      <c r="D144" s="8" t="s">
        <v>1590</v>
      </c>
      <c r="E144" s="8" t="s">
        <v>1591</v>
      </c>
      <c r="F144" s="8" t="s">
        <v>1592</v>
      </c>
      <c r="G144" s="22" t="s">
        <v>174</v>
      </c>
      <c r="H144" s="20" t="s">
        <v>1577</v>
      </c>
      <c r="I144" s="13">
        <v>48890000</v>
      </c>
      <c r="J144" s="8">
        <v>2026</v>
      </c>
      <c r="K144" s="22" t="s">
        <v>176</v>
      </c>
      <c r="L144" s="22" t="s">
        <v>116</v>
      </c>
      <c r="M144" s="22" t="s">
        <v>1593</v>
      </c>
      <c r="N144" s="8" t="s">
        <v>1594</v>
      </c>
      <c r="O144" s="8" t="s">
        <v>1595</v>
      </c>
      <c r="P144" s="11">
        <v>1597</v>
      </c>
      <c r="Q144" s="12">
        <v>46084</v>
      </c>
      <c r="R144" s="12">
        <v>46056</v>
      </c>
      <c r="S144" s="12">
        <v>46084</v>
      </c>
      <c r="T144" s="14" t="s">
        <v>120</v>
      </c>
      <c r="U144" s="12">
        <f t="shared" si="35"/>
        <v>47909</v>
      </c>
      <c r="V144" s="8">
        <f t="shared" ca="1" si="39"/>
        <v>55</v>
      </c>
      <c r="W144" s="16">
        <v>20000</v>
      </c>
      <c r="X144" s="8" t="s">
        <v>1596</v>
      </c>
      <c r="Y144" s="8" t="s">
        <v>1592</v>
      </c>
      <c r="Z144" s="22"/>
      <c r="AA144" s="12" t="s">
        <v>1597</v>
      </c>
      <c r="AB144" s="12">
        <v>46112</v>
      </c>
      <c r="AC144" s="8">
        <f t="shared" si="25"/>
        <v>1825</v>
      </c>
      <c r="AD144" s="8">
        <f t="shared" ca="1" si="26"/>
        <v>1683</v>
      </c>
      <c r="AE144" s="8" t="str">
        <f>VLOOKUP($B144, [1]렌트_계약서번호!$B$3:$E$501, 4, FALSE)</f>
        <v>26020138</v>
      </c>
      <c r="AF144" s="20">
        <f>45230000+3560000+100000</f>
        <v>48890000</v>
      </c>
      <c r="AG144" s="9">
        <v>1000000</v>
      </c>
      <c r="AH144" s="9">
        <f>AF144-AG144</f>
        <v>47890000</v>
      </c>
      <c r="AI144" s="9">
        <v>192000</v>
      </c>
      <c r="AJ144" s="9">
        <v>1900</v>
      </c>
      <c r="AK144" s="20"/>
      <c r="AL144" s="20">
        <v>0</v>
      </c>
      <c r="AM144" s="20">
        <v>2000</v>
      </c>
      <c r="AN144" s="20">
        <v>40000</v>
      </c>
      <c r="AO144" s="20">
        <v>33000</v>
      </c>
      <c r="AP144" s="20"/>
      <c r="AQ144" s="20"/>
      <c r="AR144" s="9" t="s">
        <v>145</v>
      </c>
      <c r="AS144" s="9">
        <v>190000</v>
      </c>
      <c r="AT144" s="20" t="s">
        <v>180</v>
      </c>
      <c r="AU144" s="20"/>
      <c r="AV144" s="20"/>
      <c r="AW144" s="13" t="s">
        <v>124</v>
      </c>
      <c r="AX144" s="17"/>
      <c r="AY144" s="20"/>
      <c r="AZ144" s="20"/>
      <c r="BA144" s="20"/>
      <c r="BB144" s="20"/>
      <c r="BC144" s="23"/>
      <c r="BD144" s="9" t="s">
        <v>125</v>
      </c>
      <c r="BE144" s="9" t="s">
        <v>126</v>
      </c>
      <c r="BF144" s="9" t="s">
        <v>255</v>
      </c>
      <c r="BG144" s="9" t="s">
        <v>128</v>
      </c>
      <c r="BH144" s="9" t="s">
        <v>129</v>
      </c>
      <c r="BI144" s="9" t="s">
        <v>130</v>
      </c>
      <c r="BJ144" s="8" t="s">
        <v>256</v>
      </c>
      <c r="BK144" s="9" t="s">
        <v>132</v>
      </c>
      <c r="BL144" s="9" t="s">
        <v>133</v>
      </c>
      <c r="BM144" s="9" t="s">
        <v>133</v>
      </c>
      <c r="BN144" s="9" t="s">
        <v>133</v>
      </c>
      <c r="BO144" s="9" t="s">
        <v>817</v>
      </c>
      <c r="BP144" s="8"/>
      <c r="BQ144" s="23"/>
      <c r="BR144" s="9">
        <f t="shared" si="38"/>
        <v>28746</v>
      </c>
      <c r="BS144" s="8" t="s">
        <v>136</v>
      </c>
      <c r="BT144" s="23"/>
      <c r="BU144" s="23"/>
      <c r="BV144" s="8"/>
      <c r="BW144" s="23"/>
      <c r="BX144" s="23"/>
      <c r="BY144" s="23"/>
      <c r="BZ144" s="23"/>
      <c r="CA144" s="23"/>
      <c r="CB144" s="28" t="s">
        <v>504</v>
      </c>
      <c r="CC144" s="28" t="s">
        <v>504</v>
      </c>
      <c r="CD144" s="78">
        <v>953000</v>
      </c>
      <c r="CE144" s="13">
        <v>60</v>
      </c>
      <c r="CF144" s="9">
        <f t="shared" si="37"/>
        <v>57180000</v>
      </c>
      <c r="CG144" s="78">
        <v>14667000</v>
      </c>
      <c r="CH144" s="78">
        <v>0</v>
      </c>
      <c r="CI144" s="78">
        <v>14667000</v>
      </c>
      <c r="CJ144" s="29">
        <v>0.03</v>
      </c>
      <c r="CK144" s="30">
        <v>0.06</v>
      </c>
      <c r="CL144" s="56" t="s">
        <v>1598</v>
      </c>
      <c r="CM144" s="8"/>
      <c r="CN144" s="8"/>
      <c r="CO144" s="27">
        <v>0.03</v>
      </c>
      <c r="CP144" s="23"/>
      <c r="CQ144" s="23"/>
      <c r="CR144" s="23"/>
      <c r="CS144" s="23" t="s">
        <v>1583</v>
      </c>
      <c r="CT144" s="23">
        <v>150000</v>
      </c>
      <c r="CU144" s="23"/>
      <c r="CV144" s="23"/>
      <c r="CW144" s="23"/>
      <c r="CX144" s="23"/>
      <c r="CY144" s="23"/>
      <c r="CZ144" s="23"/>
      <c r="DA144" s="23"/>
      <c r="DB144" s="32" t="s">
        <v>232</v>
      </c>
      <c r="DC144" s="32" t="s">
        <v>801</v>
      </c>
      <c r="DD144" s="32" t="s">
        <v>819</v>
      </c>
      <c r="DE144" s="8" t="s">
        <v>1590</v>
      </c>
      <c r="DF144" s="8" t="s">
        <v>1332</v>
      </c>
      <c r="DG144" s="8" t="s">
        <v>1599</v>
      </c>
      <c r="DH144" s="8" t="s">
        <v>1600</v>
      </c>
      <c r="DI144" s="8" t="s">
        <v>1601</v>
      </c>
      <c r="DJ144" s="22">
        <v>0.35</v>
      </c>
      <c r="DK144" s="22">
        <v>0.25</v>
      </c>
      <c r="DL144" s="8" t="s">
        <v>119</v>
      </c>
      <c r="DM144" s="78">
        <v>2473974</v>
      </c>
      <c r="DN144" s="23"/>
      <c r="DO144" s="23"/>
      <c r="DP144" s="23"/>
    </row>
    <row r="145" spans="1:120">
      <c r="A145" s="8">
        <v>142</v>
      </c>
      <c r="B145" s="8" t="s">
        <v>1602</v>
      </c>
      <c r="C145" s="34" t="s">
        <v>244</v>
      </c>
      <c r="D145" s="8" t="s">
        <v>1603</v>
      </c>
      <c r="E145" s="8" t="s">
        <v>1604</v>
      </c>
      <c r="F145" s="8" t="s">
        <v>1605</v>
      </c>
      <c r="G145" s="22" t="s">
        <v>1309</v>
      </c>
      <c r="H145" s="20" t="s">
        <v>1606</v>
      </c>
      <c r="I145" s="13">
        <v>50870000</v>
      </c>
      <c r="J145" s="8">
        <v>2026</v>
      </c>
      <c r="K145" s="22" t="s">
        <v>1607</v>
      </c>
      <c r="L145" s="22" t="s">
        <v>116</v>
      </c>
      <c r="M145" s="22" t="s">
        <v>1608</v>
      </c>
      <c r="N145" s="8" t="s">
        <v>1609</v>
      </c>
      <c r="O145" s="8" t="s">
        <v>1610</v>
      </c>
      <c r="P145" s="11">
        <v>3470</v>
      </c>
      <c r="Q145" s="12">
        <v>46086</v>
      </c>
      <c r="R145" s="12">
        <v>46073</v>
      </c>
      <c r="S145" s="12">
        <v>46087</v>
      </c>
      <c r="T145" s="14" t="s">
        <v>120</v>
      </c>
      <c r="U145" s="12">
        <f t="shared" si="35"/>
        <v>47912</v>
      </c>
      <c r="V145" s="8">
        <f t="shared" ca="1" si="39"/>
        <v>55</v>
      </c>
      <c r="W145" s="16">
        <v>30000</v>
      </c>
      <c r="X145" s="22" t="s">
        <v>1611</v>
      </c>
      <c r="Y145" s="22" t="s">
        <v>1605</v>
      </c>
      <c r="Z145" s="22"/>
      <c r="AA145" s="12" t="s">
        <v>1612</v>
      </c>
      <c r="AB145" s="12">
        <v>46106</v>
      </c>
      <c r="AC145" s="8">
        <f t="shared" si="25"/>
        <v>1825</v>
      </c>
      <c r="AD145" s="8">
        <f t="shared" ca="1" si="26"/>
        <v>1686</v>
      </c>
      <c r="AE145" s="8" t="str">
        <f>VLOOKUP($B145, [1]렌트_계약서번호!$B$3:$E$501, 4, FALSE)</f>
        <v>26020139</v>
      </c>
      <c r="AF145" s="20">
        <v>50870000</v>
      </c>
      <c r="AG145" s="9"/>
      <c r="AH145" s="9"/>
      <c r="AI145" s="9"/>
      <c r="AJ145" s="9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 t="s">
        <v>180</v>
      </c>
      <c r="AU145" s="20"/>
      <c r="AV145" s="20"/>
      <c r="AW145" s="13" t="s">
        <v>124</v>
      </c>
      <c r="AX145" s="17"/>
      <c r="AY145" s="20"/>
      <c r="AZ145" s="20"/>
      <c r="BA145" s="20"/>
      <c r="BB145" s="20"/>
      <c r="BC145" s="23"/>
      <c r="BD145" s="9" t="s">
        <v>125</v>
      </c>
      <c r="BE145" s="9" t="s">
        <v>126</v>
      </c>
      <c r="BF145" s="9" t="s">
        <v>255</v>
      </c>
      <c r="BG145" s="9" t="s">
        <v>128</v>
      </c>
      <c r="BH145" s="9" t="s">
        <v>129</v>
      </c>
      <c r="BI145" s="9" t="s">
        <v>130</v>
      </c>
      <c r="BJ145" s="8" t="s">
        <v>256</v>
      </c>
      <c r="BK145" s="9" t="s">
        <v>132</v>
      </c>
      <c r="BL145" s="9" t="s">
        <v>257</v>
      </c>
      <c r="BM145" s="9" t="s">
        <v>257</v>
      </c>
      <c r="BN145" s="9" t="s">
        <v>257</v>
      </c>
      <c r="BO145" s="9" t="s">
        <v>134</v>
      </c>
      <c r="BP145" s="8"/>
      <c r="BQ145" s="23"/>
      <c r="BR145" s="9">
        <f t="shared" si="38"/>
        <v>83280</v>
      </c>
      <c r="BS145" s="8" t="s">
        <v>136</v>
      </c>
      <c r="BT145" s="23"/>
      <c r="BU145" s="23"/>
      <c r="BV145" s="8"/>
      <c r="BW145" s="23"/>
      <c r="BX145" s="23"/>
      <c r="BY145" s="23"/>
      <c r="BZ145" s="23"/>
      <c r="CA145" s="23"/>
      <c r="CB145" s="28" t="s">
        <v>385</v>
      </c>
      <c r="CC145" s="28" t="s">
        <v>385</v>
      </c>
      <c r="CD145" s="78">
        <v>942000</v>
      </c>
      <c r="CE145" s="13">
        <v>36</v>
      </c>
      <c r="CF145" s="9">
        <f t="shared" si="37"/>
        <v>33912000</v>
      </c>
      <c r="CG145" s="78">
        <v>20348000</v>
      </c>
      <c r="CH145" s="78">
        <v>0</v>
      </c>
      <c r="CI145" s="78">
        <v>29504600</v>
      </c>
      <c r="CJ145" s="29">
        <v>0.03</v>
      </c>
      <c r="CK145" s="30">
        <v>0.06</v>
      </c>
      <c r="CL145" s="56" t="s">
        <v>1613</v>
      </c>
      <c r="CM145" s="8"/>
      <c r="CN145" s="8" t="s">
        <v>1605</v>
      </c>
      <c r="CO145" s="27">
        <v>0.03</v>
      </c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32" t="s">
        <v>232</v>
      </c>
      <c r="DC145" s="32" t="s">
        <v>801</v>
      </c>
      <c r="DD145" s="32" t="s">
        <v>819</v>
      </c>
      <c r="DE145" s="8" t="s">
        <v>1603</v>
      </c>
      <c r="DF145" s="8" t="s">
        <v>416</v>
      </c>
      <c r="DG145" s="8" t="s">
        <v>1614</v>
      </c>
      <c r="DH145" s="8" t="s">
        <v>1615</v>
      </c>
      <c r="DI145" s="8" t="s">
        <v>1612</v>
      </c>
      <c r="DJ145" s="22">
        <v>0.35</v>
      </c>
      <c r="DK145" s="22">
        <v>0.25</v>
      </c>
      <c r="DL145" s="8" t="s">
        <v>1616</v>
      </c>
      <c r="DM145" s="78">
        <v>2574168</v>
      </c>
      <c r="DN145" s="23"/>
      <c r="DO145" s="23"/>
      <c r="DP145" s="23"/>
    </row>
    <row r="146" spans="1:120">
      <c r="A146" s="8">
        <v>143</v>
      </c>
      <c r="B146" s="8" t="s">
        <v>1617</v>
      </c>
      <c r="C146" s="34" t="s">
        <v>244</v>
      </c>
      <c r="D146" s="8" t="s">
        <v>1618</v>
      </c>
      <c r="E146" s="8" t="s">
        <v>1619</v>
      </c>
      <c r="F146" s="8" t="s">
        <v>1620</v>
      </c>
      <c r="G146" s="22" t="s">
        <v>182</v>
      </c>
      <c r="H146" s="20" t="s">
        <v>1621</v>
      </c>
      <c r="I146" s="13">
        <v>65250000</v>
      </c>
      <c r="J146" s="8">
        <v>2025</v>
      </c>
      <c r="K146" s="22" t="s">
        <v>1622</v>
      </c>
      <c r="L146" s="22" t="s">
        <v>116</v>
      </c>
      <c r="M146" s="22" t="s">
        <v>1623</v>
      </c>
      <c r="N146" s="8" t="s">
        <v>1624</v>
      </c>
      <c r="O146" s="8" t="s">
        <v>1625</v>
      </c>
      <c r="P146" s="11">
        <v>2489</v>
      </c>
      <c r="Q146" s="12">
        <v>46063</v>
      </c>
      <c r="R146" s="12">
        <v>46056</v>
      </c>
      <c r="S146" s="12">
        <v>46064</v>
      </c>
      <c r="T146" s="14" t="s">
        <v>120</v>
      </c>
      <c r="U146" s="12">
        <f t="shared" si="35"/>
        <v>47889</v>
      </c>
      <c r="V146" s="8">
        <f t="shared" ca="1" si="39"/>
        <v>54</v>
      </c>
      <c r="W146" s="9">
        <v>20000</v>
      </c>
      <c r="X146" s="22" t="s">
        <v>1626</v>
      </c>
      <c r="Y146" s="22" t="s">
        <v>1620</v>
      </c>
      <c r="Z146" s="22"/>
      <c r="AA146" s="12" t="s">
        <v>1627</v>
      </c>
      <c r="AB146" s="12">
        <v>46078</v>
      </c>
      <c r="AC146" s="8">
        <f t="shared" si="25"/>
        <v>1825</v>
      </c>
      <c r="AD146" s="8">
        <f t="shared" ca="1" si="26"/>
        <v>1663</v>
      </c>
      <c r="AE146" s="8" t="str">
        <f>VLOOKUP($B146, [1]렌트_계약서번호!$B$3:$E$501, 4, FALSE)</f>
        <v>26020140</v>
      </c>
      <c r="AF146" s="20">
        <f>62700000+2550000</f>
        <v>65250000</v>
      </c>
      <c r="AG146" s="9">
        <v>2610000</v>
      </c>
      <c r="AH146" s="9">
        <f>AF146-AG146</f>
        <v>62640000</v>
      </c>
      <c r="AI146" s="9">
        <v>380000</v>
      </c>
      <c r="AJ146" s="9">
        <v>1900</v>
      </c>
      <c r="AK146" s="20">
        <v>2171560</v>
      </c>
      <c r="AL146" s="20">
        <v>211900</v>
      </c>
      <c r="AM146" s="20">
        <v>2000</v>
      </c>
      <c r="AN146" s="20">
        <v>40000</v>
      </c>
      <c r="AO146" s="20">
        <v>33000</v>
      </c>
      <c r="AP146" s="20"/>
      <c r="AQ146" s="20">
        <v>0</v>
      </c>
      <c r="AR146" s="20" t="s">
        <v>1628</v>
      </c>
      <c r="AS146" s="9">
        <v>200000</v>
      </c>
      <c r="AT146" s="20" t="s">
        <v>146</v>
      </c>
      <c r="AU146" s="20"/>
      <c r="AV146" s="20"/>
      <c r="AW146" s="13" t="s">
        <v>124</v>
      </c>
      <c r="AX146" s="17"/>
      <c r="AY146" s="20"/>
      <c r="AZ146" s="20"/>
      <c r="BA146" s="20"/>
      <c r="BB146" s="20"/>
      <c r="BC146" s="23"/>
      <c r="BD146" s="9" t="s">
        <v>125</v>
      </c>
      <c r="BE146" s="9" t="s">
        <v>126</v>
      </c>
      <c r="BF146" s="9" t="s">
        <v>187</v>
      </c>
      <c r="BG146" s="9" t="s">
        <v>188</v>
      </c>
      <c r="BH146" s="9" t="s">
        <v>129</v>
      </c>
      <c r="BI146" s="9" t="s">
        <v>189</v>
      </c>
      <c r="BJ146" s="8" t="s">
        <v>256</v>
      </c>
      <c r="BK146" s="9" t="s">
        <v>132</v>
      </c>
      <c r="BL146" s="9" t="s">
        <v>257</v>
      </c>
      <c r="BM146" s="9" t="s">
        <v>257</v>
      </c>
      <c r="BN146" s="9" t="s">
        <v>257</v>
      </c>
      <c r="BO146" s="9" t="s">
        <v>134</v>
      </c>
      <c r="BP146" s="8"/>
      <c r="BQ146" s="23"/>
      <c r="BR146" s="9">
        <f t="shared" si="38"/>
        <v>47291</v>
      </c>
      <c r="BS146" s="8" t="s">
        <v>136</v>
      </c>
      <c r="BT146" s="23"/>
      <c r="BU146" s="23"/>
      <c r="BV146" s="8"/>
      <c r="BW146" s="23"/>
      <c r="BX146" s="23"/>
      <c r="BY146" s="23"/>
      <c r="BZ146" s="23"/>
      <c r="CA146" s="23"/>
      <c r="CB146" s="28" t="s">
        <v>385</v>
      </c>
      <c r="CC146" s="28" t="s">
        <v>385</v>
      </c>
      <c r="CD146" s="78">
        <v>979000</v>
      </c>
      <c r="CE146" s="13">
        <v>60</v>
      </c>
      <c r="CF146" s="78">
        <f t="shared" si="37"/>
        <v>58740000</v>
      </c>
      <c r="CG146" s="78">
        <v>19575000</v>
      </c>
      <c r="CH146" s="78">
        <v>0</v>
      </c>
      <c r="CI146" s="78">
        <v>31581000</v>
      </c>
      <c r="CJ146" s="29">
        <v>0.03</v>
      </c>
      <c r="CK146" s="30">
        <v>0.06</v>
      </c>
      <c r="CL146" s="56" t="s">
        <v>1629</v>
      </c>
      <c r="CM146" s="8"/>
      <c r="CN146" s="8"/>
      <c r="CO146" s="27">
        <v>0.03</v>
      </c>
      <c r="CP146" s="23"/>
      <c r="CQ146" s="23" t="s">
        <v>1582</v>
      </c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32" t="s">
        <v>232</v>
      </c>
      <c r="DC146" s="32" t="s">
        <v>801</v>
      </c>
      <c r="DD146" s="32" t="s">
        <v>819</v>
      </c>
      <c r="DE146" s="8" t="s">
        <v>1630</v>
      </c>
      <c r="DF146" s="74" t="s">
        <v>944</v>
      </c>
      <c r="DG146" s="8" t="s">
        <v>1631</v>
      </c>
      <c r="DH146" s="8" t="s">
        <v>1632</v>
      </c>
      <c r="DI146" s="8" t="s">
        <v>1633</v>
      </c>
      <c r="DJ146" s="22">
        <v>0.35</v>
      </c>
      <c r="DK146" s="22">
        <v>0.25</v>
      </c>
      <c r="DL146" s="8" t="s">
        <v>1634</v>
      </c>
      <c r="DM146" s="78">
        <v>3301837</v>
      </c>
      <c r="DN146" s="23"/>
      <c r="DO146" s="23"/>
      <c r="DP146" s="23"/>
    </row>
    <row r="147" spans="1:120">
      <c r="A147" s="8">
        <v>144</v>
      </c>
      <c r="B147" s="8" t="s">
        <v>1635</v>
      </c>
      <c r="C147" s="34" t="s">
        <v>244</v>
      </c>
      <c r="D147" s="8" t="s">
        <v>1636</v>
      </c>
      <c r="E147" s="8" t="s">
        <v>409</v>
      </c>
      <c r="F147" s="8" t="s">
        <v>119</v>
      </c>
      <c r="G147" s="22" t="s">
        <v>1637</v>
      </c>
      <c r="H147" s="20" t="s">
        <v>1638</v>
      </c>
      <c r="I147" s="13">
        <v>37410000</v>
      </c>
      <c r="J147" s="8">
        <v>2026</v>
      </c>
      <c r="K147" s="22" t="s">
        <v>1639</v>
      </c>
      <c r="L147" s="22" t="s">
        <v>116</v>
      </c>
      <c r="M147" s="22" t="s">
        <v>1640</v>
      </c>
      <c r="N147" s="8" t="s">
        <v>1641</v>
      </c>
      <c r="O147" s="8" t="s">
        <v>1642</v>
      </c>
      <c r="P147" s="11">
        <v>1580</v>
      </c>
      <c r="Q147" s="12">
        <v>46090</v>
      </c>
      <c r="R147" s="12">
        <v>46072</v>
      </c>
      <c r="S147" s="12">
        <v>46091</v>
      </c>
      <c r="T147" s="14" t="s">
        <v>120</v>
      </c>
      <c r="U147" s="12">
        <f t="shared" si="35"/>
        <v>47916</v>
      </c>
      <c r="V147" s="8">
        <f t="shared" ca="1" si="39"/>
        <v>55</v>
      </c>
      <c r="W147" s="9">
        <v>20000</v>
      </c>
      <c r="X147" s="22" t="s">
        <v>413</v>
      </c>
      <c r="Y147" s="22" t="s">
        <v>1643</v>
      </c>
      <c r="Z147" s="22"/>
      <c r="AA147" s="12" t="s">
        <v>1644</v>
      </c>
      <c r="AB147" s="12">
        <v>46127</v>
      </c>
      <c r="AC147" s="8">
        <f t="shared" ref="AC147:AC148" si="40">365*T147</f>
        <v>1825</v>
      </c>
      <c r="AD147" s="8">
        <f t="shared" ref="AD147:AD148" ca="1" si="41">U147-TODAY()</f>
        <v>1690</v>
      </c>
      <c r="AE147" s="8" t="e">
        <f>VLOOKUP($B147, [1]렌트_계약서번호!$B$3:$E$501, 4, FALSE)</f>
        <v>#N/A</v>
      </c>
      <c r="AF147" s="20">
        <v>37410000</v>
      </c>
      <c r="AG147" s="9">
        <v>0</v>
      </c>
      <c r="AH147" s="9">
        <f>AF147-AG147</f>
        <v>37410000</v>
      </c>
      <c r="AI147" s="9">
        <v>380000</v>
      </c>
      <c r="AJ147" s="9">
        <v>1900</v>
      </c>
      <c r="AK147" s="20"/>
      <c r="AL147" s="20"/>
      <c r="AM147" s="20"/>
      <c r="AN147" s="20"/>
      <c r="AO147" s="20"/>
      <c r="AP147" s="20"/>
      <c r="AQ147" s="20"/>
      <c r="AR147" s="20" t="s">
        <v>1628</v>
      </c>
      <c r="AS147" s="9">
        <v>200000</v>
      </c>
      <c r="AT147" s="20" t="s">
        <v>180</v>
      </c>
      <c r="AU147" s="20"/>
      <c r="AV147" s="20"/>
      <c r="AW147" s="13" t="s">
        <v>124</v>
      </c>
      <c r="AX147" s="17"/>
      <c r="AY147" s="20"/>
      <c r="AZ147" s="20"/>
      <c r="BA147" s="20"/>
      <c r="BB147" s="20"/>
      <c r="BC147" s="23"/>
      <c r="BD147" s="9" t="s">
        <v>125</v>
      </c>
      <c r="BE147" s="9" t="s">
        <v>126</v>
      </c>
      <c r="BF147" s="9" t="s">
        <v>255</v>
      </c>
      <c r="BG147" s="9" t="s">
        <v>128</v>
      </c>
      <c r="BH147" s="9" t="s">
        <v>129</v>
      </c>
      <c r="BI147" s="9" t="s">
        <v>130</v>
      </c>
      <c r="BJ147" s="8" t="s">
        <v>256</v>
      </c>
      <c r="BK147" s="9" t="s">
        <v>132</v>
      </c>
      <c r="BL147" s="9" t="s">
        <v>257</v>
      </c>
      <c r="BM147" s="9" t="s">
        <v>257</v>
      </c>
      <c r="BN147" s="9" t="s">
        <v>257</v>
      </c>
      <c r="BO147" s="9" t="s">
        <v>134</v>
      </c>
      <c r="BP147" s="8"/>
      <c r="BQ147" s="23"/>
      <c r="BR147" s="9">
        <f t="shared" si="38"/>
        <v>28440</v>
      </c>
      <c r="BS147" s="8" t="s">
        <v>136</v>
      </c>
      <c r="BT147" s="23"/>
      <c r="BU147" s="23"/>
      <c r="BV147" s="8"/>
      <c r="BW147" s="23"/>
      <c r="BX147" s="23"/>
      <c r="BY147" s="23"/>
      <c r="BZ147" s="23"/>
      <c r="CA147" s="23"/>
      <c r="CB147" s="28" t="s">
        <v>402</v>
      </c>
      <c r="CC147" s="28" t="s">
        <v>402</v>
      </c>
      <c r="CD147" s="78">
        <v>640000</v>
      </c>
      <c r="CE147" s="13">
        <v>60</v>
      </c>
      <c r="CF147" s="78">
        <f t="shared" si="37"/>
        <v>38400000</v>
      </c>
      <c r="CG147" s="78">
        <v>11223000</v>
      </c>
      <c r="CH147" s="78">
        <v>0</v>
      </c>
      <c r="CI147" s="78">
        <v>16834500</v>
      </c>
      <c r="CJ147" s="29">
        <v>0.03</v>
      </c>
      <c r="CK147" s="30">
        <v>0.06</v>
      </c>
      <c r="CL147" s="31" t="s">
        <v>415</v>
      </c>
      <c r="CM147" s="8"/>
      <c r="CN147" s="8"/>
      <c r="CO147" s="27">
        <v>0.03</v>
      </c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32" t="s">
        <v>232</v>
      </c>
      <c r="DC147" s="32" t="s">
        <v>801</v>
      </c>
      <c r="DD147" s="32" t="s">
        <v>819</v>
      </c>
      <c r="DE147" s="8" t="s">
        <v>1645</v>
      </c>
      <c r="DF147" s="8" t="s">
        <v>416</v>
      </c>
      <c r="DG147" s="8" t="s">
        <v>417</v>
      </c>
      <c r="DH147" s="8" t="s">
        <v>418</v>
      </c>
      <c r="DI147" s="8" t="s">
        <v>1646</v>
      </c>
      <c r="DJ147" s="22">
        <v>0.35</v>
      </c>
      <c r="DK147" s="22">
        <v>0.25</v>
      </c>
      <c r="DL147" s="8" t="s">
        <v>1647</v>
      </c>
      <c r="DM147" s="78">
        <v>1893054</v>
      </c>
      <c r="DN147" s="23"/>
      <c r="DO147" s="23"/>
      <c r="DP147" s="23"/>
    </row>
    <row r="148" spans="1:120">
      <c r="A148" s="8">
        <v>145</v>
      </c>
      <c r="B148" s="8" t="s">
        <v>1648</v>
      </c>
      <c r="C148" s="34" t="s">
        <v>244</v>
      </c>
      <c r="D148" s="8" t="s">
        <v>1649</v>
      </c>
      <c r="E148" s="8" t="s">
        <v>1650</v>
      </c>
      <c r="F148" s="8" t="s">
        <v>1651</v>
      </c>
      <c r="G148" s="22" t="s">
        <v>1652</v>
      </c>
      <c r="H148" s="20" t="s">
        <v>1653</v>
      </c>
      <c r="I148" s="13">
        <v>145215000</v>
      </c>
      <c r="J148" s="8">
        <v>2026</v>
      </c>
      <c r="K148" s="22" t="s">
        <v>1654</v>
      </c>
      <c r="L148" s="22" t="s">
        <v>1039</v>
      </c>
      <c r="M148" s="22" t="s">
        <v>1655</v>
      </c>
      <c r="N148" s="8" t="s">
        <v>1656</v>
      </c>
      <c r="O148" s="8" t="s">
        <v>1657</v>
      </c>
      <c r="P148" s="11"/>
      <c r="Q148" s="12">
        <v>46181</v>
      </c>
      <c r="R148" s="12">
        <v>46174</v>
      </c>
      <c r="S148" s="12">
        <v>46202</v>
      </c>
      <c r="T148" s="14" t="s">
        <v>120</v>
      </c>
      <c r="U148" s="12">
        <f t="shared" si="35"/>
        <v>48027</v>
      </c>
      <c r="V148" s="8">
        <f t="shared" ca="1" si="39"/>
        <v>59</v>
      </c>
      <c r="W148" s="9">
        <v>20000</v>
      </c>
      <c r="X148" s="8" t="s">
        <v>1650</v>
      </c>
      <c r="Y148" s="8" t="s">
        <v>1651</v>
      </c>
      <c r="Z148" s="22"/>
      <c r="AA148" s="12" t="s">
        <v>1658</v>
      </c>
      <c r="AB148" s="12">
        <v>46213</v>
      </c>
      <c r="AC148" s="8">
        <f t="shared" si="40"/>
        <v>1825</v>
      </c>
      <c r="AD148" s="8">
        <f t="shared" ca="1" si="41"/>
        <v>1801</v>
      </c>
      <c r="AE148" s="8" t="e">
        <f>VLOOKUP($B148, [1]렌트_계약서번호!$B$3:$E$501, 4, FALSE)</f>
        <v>#N/A</v>
      </c>
      <c r="AF148" s="20">
        <v>145215000</v>
      </c>
      <c r="AG148" s="9">
        <v>0</v>
      </c>
      <c r="AH148" s="9">
        <f>AF148-AG148</f>
        <v>145215000</v>
      </c>
      <c r="AI148" s="9">
        <v>0</v>
      </c>
      <c r="AJ148" s="9"/>
      <c r="AK148" s="20"/>
      <c r="AL148" s="20"/>
      <c r="AM148" s="20"/>
      <c r="AN148" s="20"/>
      <c r="AO148" s="20"/>
      <c r="AP148" s="20"/>
      <c r="AQ148" s="20"/>
      <c r="AR148" s="20" t="s">
        <v>1659</v>
      </c>
      <c r="AS148" s="20">
        <v>700000</v>
      </c>
      <c r="AT148" s="20" t="s">
        <v>1660</v>
      </c>
      <c r="AU148" s="20"/>
      <c r="AV148" s="20"/>
      <c r="AW148" s="13" t="s">
        <v>124</v>
      </c>
      <c r="AX148" s="17"/>
      <c r="AY148" s="20"/>
      <c r="AZ148" s="20"/>
      <c r="BA148" s="20"/>
      <c r="BB148" s="20"/>
      <c r="BC148" s="23"/>
      <c r="BD148" s="9" t="s">
        <v>125</v>
      </c>
      <c r="BE148" s="9" t="s">
        <v>126</v>
      </c>
      <c r="BF148" s="9" t="s">
        <v>187</v>
      </c>
      <c r="BG148" s="9" t="s">
        <v>188</v>
      </c>
      <c r="BH148" s="9" t="s">
        <v>129</v>
      </c>
      <c r="BI148" s="9" t="s">
        <v>189</v>
      </c>
      <c r="BJ148" s="8" t="s">
        <v>256</v>
      </c>
      <c r="BK148" s="9" t="s">
        <v>132</v>
      </c>
      <c r="BL148" s="9" t="s">
        <v>257</v>
      </c>
      <c r="BM148" s="9" t="s">
        <v>257</v>
      </c>
      <c r="BN148" s="9" t="s">
        <v>257</v>
      </c>
      <c r="BO148" s="9" t="s">
        <v>134</v>
      </c>
      <c r="BP148" s="8"/>
      <c r="BQ148" s="23"/>
      <c r="BR148" s="9">
        <f t="shared" si="38"/>
        <v>0</v>
      </c>
      <c r="BS148" s="8" t="s">
        <v>136</v>
      </c>
      <c r="BT148" s="23"/>
      <c r="BU148" s="23"/>
      <c r="BV148" s="8"/>
      <c r="BW148" s="23"/>
      <c r="BX148" s="23"/>
      <c r="BY148" s="23"/>
      <c r="BZ148" s="23"/>
      <c r="CA148" s="23"/>
      <c r="CB148" s="28" t="s">
        <v>575</v>
      </c>
      <c r="CC148" s="28" t="s">
        <v>575</v>
      </c>
      <c r="CD148" s="78">
        <v>2265000</v>
      </c>
      <c r="CE148" s="13">
        <v>60</v>
      </c>
      <c r="CF148" s="78">
        <f t="shared" si="37"/>
        <v>135900000</v>
      </c>
      <c r="CG148" s="78">
        <v>43993500</v>
      </c>
      <c r="CH148" s="78">
        <v>0</v>
      </c>
      <c r="CI148" s="78">
        <v>58658000</v>
      </c>
      <c r="CJ148" s="29">
        <v>0.03</v>
      </c>
      <c r="CK148" s="30">
        <v>0.06</v>
      </c>
      <c r="CL148" s="56" t="s">
        <v>1661</v>
      </c>
      <c r="CM148" s="8"/>
      <c r="CN148" s="8"/>
      <c r="CO148" s="27">
        <v>0.03</v>
      </c>
      <c r="CP148" s="23"/>
      <c r="CQ148" s="23" t="s">
        <v>1582</v>
      </c>
      <c r="CR148" s="23"/>
      <c r="CS148" s="23" t="s">
        <v>1583</v>
      </c>
      <c r="CT148" s="23">
        <v>120000</v>
      </c>
      <c r="CU148" s="23"/>
      <c r="CV148" s="23"/>
      <c r="CW148" s="23"/>
      <c r="CX148" s="23"/>
      <c r="CY148" s="23"/>
      <c r="CZ148" s="23"/>
      <c r="DA148" s="23"/>
      <c r="DB148" s="23" t="s">
        <v>1662</v>
      </c>
      <c r="DC148" s="23" t="s">
        <v>1663</v>
      </c>
      <c r="DD148" s="32" t="s">
        <v>819</v>
      </c>
      <c r="DE148" s="8" t="s">
        <v>1649</v>
      </c>
      <c r="DF148" s="74" t="s">
        <v>944</v>
      </c>
      <c r="DG148" s="8" t="s">
        <v>1664</v>
      </c>
      <c r="DH148" s="8" t="s">
        <v>1665</v>
      </c>
      <c r="DI148" s="19" t="s">
        <v>1666</v>
      </c>
      <c r="DJ148" s="22">
        <v>0.35</v>
      </c>
      <c r="DK148" s="22">
        <v>0.25</v>
      </c>
      <c r="DL148" s="8" t="s">
        <v>1667</v>
      </c>
      <c r="DM148" s="78">
        <v>0</v>
      </c>
      <c r="DN148" s="23"/>
      <c r="DO148" s="23"/>
      <c r="DP148" s="23"/>
    </row>
    <row r="149" spans="1:120">
      <c r="A149" s="8">
        <v>146</v>
      </c>
      <c r="B149" s="8" t="s">
        <v>1668</v>
      </c>
      <c r="C149" s="34" t="s">
        <v>244</v>
      </c>
      <c r="D149" s="8" t="s">
        <v>710</v>
      </c>
      <c r="E149" s="8" t="s">
        <v>711</v>
      </c>
      <c r="F149" s="8" t="s">
        <v>712</v>
      </c>
      <c r="G149" s="8" t="s">
        <v>713</v>
      </c>
      <c r="H149" s="8" t="s">
        <v>714</v>
      </c>
      <c r="I149" s="9">
        <v>39150000</v>
      </c>
      <c r="J149" s="8">
        <v>2022</v>
      </c>
      <c r="K149" s="10" t="s">
        <v>715</v>
      </c>
      <c r="L149" s="10" t="s">
        <v>116</v>
      </c>
      <c r="M149" s="8" t="s">
        <v>716</v>
      </c>
      <c r="N149" s="8" t="s">
        <v>717</v>
      </c>
      <c r="O149" s="8" t="s">
        <v>119</v>
      </c>
      <c r="P149" s="11">
        <v>3342</v>
      </c>
      <c r="Q149" s="12">
        <v>44652</v>
      </c>
      <c r="R149" s="12">
        <v>46098</v>
      </c>
      <c r="S149" s="12">
        <v>46112</v>
      </c>
      <c r="T149" s="14" t="s">
        <v>1175</v>
      </c>
      <c r="U149" s="12">
        <f>IFERROR(S149+AC149, "-")</f>
        <v>46477</v>
      </c>
      <c r="V149" s="8">
        <f ca="1">IFERROR(DATEDIF(TODAY(), U149, "m"), "-")</f>
        <v>8</v>
      </c>
      <c r="W149" s="16">
        <v>20000</v>
      </c>
      <c r="X149" s="8" t="s">
        <v>1669</v>
      </c>
      <c r="Y149" s="8" t="s">
        <v>1670</v>
      </c>
      <c r="Z149" s="9"/>
      <c r="AA149" s="9" t="s">
        <v>719</v>
      </c>
      <c r="AB149" s="12">
        <v>46137</v>
      </c>
      <c r="AC149" s="8">
        <f>365*T149</f>
        <v>365</v>
      </c>
      <c r="AD149" s="8">
        <f ca="1">U149-TODAY()</f>
        <v>251</v>
      </c>
      <c r="AE149" s="8">
        <f>VLOOKUP($B149, [1]렌트_계약서번호!$B$3:$E$501, 4, FALSE)</f>
        <v>22030013</v>
      </c>
      <c r="AF149" s="9">
        <v>81586141</v>
      </c>
      <c r="AG149" s="9">
        <v>5509859</v>
      </c>
      <c r="AH149" s="9">
        <f>AF149-AG149</f>
        <v>76076282</v>
      </c>
      <c r="AI149" s="9">
        <v>94000</v>
      </c>
      <c r="AJ149" s="9">
        <v>2000</v>
      </c>
      <c r="AK149" s="9">
        <v>2966690</v>
      </c>
      <c r="AL149" s="9">
        <v>311500</v>
      </c>
      <c r="AM149" s="9">
        <v>2000</v>
      </c>
      <c r="AN149" s="9">
        <v>47000</v>
      </c>
      <c r="AO149" s="9">
        <v>50000</v>
      </c>
      <c r="AP149" s="9">
        <v>2235000</v>
      </c>
      <c r="AQ149" s="9">
        <v>132000</v>
      </c>
      <c r="AR149" s="9" t="s">
        <v>487</v>
      </c>
      <c r="AS149" s="9">
        <v>220000</v>
      </c>
      <c r="AT149" s="9" t="s">
        <v>206</v>
      </c>
      <c r="AU149" s="9">
        <f>3381140</f>
        <v>3381140</v>
      </c>
      <c r="AV149" s="57">
        <f>SUM(AI149,AJ149,AM149,AN149,AO149, AQ149,AS149+AK149+AL149)</f>
        <v>3825190</v>
      </c>
      <c r="AW149" s="8" t="s">
        <v>124</v>
      </c>
      <c r="AX149" s="17">
        <v>44652</v>
      </c>
      <c r="AY149" s="9">
        <f>3716280-1705650</f>
        <v>2010630</v>
      </c>
      <c r="AZ149" s="9"/>
      <c r="BA149" s="9"/>
      <c r="BB149" s="9"/>
      <c r="BC149" s="9"/>
      <c r="BD149" s="9" t="s">
        <v>125</v>
      </c>
      <c r="BE149" s="9" t="s">
        <v>126</v>
      </c>
      <c r="BF149" s="9" t="s">
        <v>187</v>
      </c>
      <c r="BG149" s="9" t="s">
        <v>188</v>
      </c>
      <c r="BH149" s="9" t="s">
        <v>129</v>
      </c>
      <c r="BI149" s="9" t="s">
        <v>189</v>
      </c>
      <c r="BJ149" s="8" t="s">
        <v>720</v>
      </c>
      <c r="BK149" s="9" t="s">
        <v>132</v>
      </c>
      <c r="BL149" s="9" t="s">
        <v>133</v>
      </c>
      <c r="BM149" s="9" t="s">
        <v>133</v>
      </c>
      <c r="BN149" s="9" t="s">
        <v>133</v>
      </c>
      <c r="BO149" s="9" t="s">
        <v>133</v>
      </c>
      <c r="BP149" s="9" t="s">
        <v>721</v>
      </c>
      <c r="BQ149" s="8"/>
      <c r="BR149" s="9">
        <f>IF(P149&lt;=1600,P149*18,IF(P149&lt;=2500,P149*19,IF(P149&gt;2500,P149*24,20000)))</f>
        <v>80208</v>
      </c>
      <c r="BS149" s="8" t="s">
        <v>136</v>
      </c>
      <c r="BT149" s="19"/>
      <c r="BU149" s="9"/>
      <c r="BV149" s="26"/>
      <c r="BW149" s="9"/>
      <c r="BX149" s="9"/>
      <c r="BY149" s="9"/>
      <c r="BZ149" s="27">
        <v>0</v>
      </c>
      <c r="CA149" s="1"/>
      <c r="CB149" s="28" t="s">
        <v>385</v>
      </c>
      <c r="CC149" s="28" t="s">
        <v>385</v>
      </c>
      <c r="CD149" s="9">
        <v>1600000</v>
      </c>
      <c r="CE149" s="9">
        <f>T149*12</f>
        <v>12</v>
      </c>
      <c r="CF149" s="9">
        <f>CE149*CD149</f>
        <v>19200000</v>
      </c>
      <c r="CG149" s="9">
        <v>0</v>
      </c>
      <c r="CH149" s="9">
        <v>0</v>
      </c>
      <c r="CI149" s="9" t="s">
        <v>1671</v>
      </c>
      <c r="CJ149" s="29">
        <v>0</v>
      </c>
      <c r="CK149" s="30">
        <v>0.06</v>
      </c>
      <c r="CL149" s="31" t="s">
        <v>722</v>
      </c>
      <c r="CM149" s="9"/>
      <c r="CN149" s="9"/>
      <c r="CO149" s="27">
        <v>0.03</v>
      </c>
      <c r="CP149" s="22"/>
      <c r="CQ149" s="32">
        <v>0</v>
      </c>
      <c r="CR149" s="32">
        <v>0</v>
      </c>
      <c r="CS149" s="32">
        <v>0</v>
      </c>
      <c r="CT149" s="32">
        <v>0</v>
      </c>
      <c r="CU149" s="32">
        <v>0</v>
      </c>
      <c r="CV149" s="32">
        <v>0</v>
      </c>
      <c r="CW149" s="32">
        <v>0</v>
      </c>
      <c r="CX149" s="32">
        <v>0</v>
      </c>
      <c r="CY149" s="32">
        <v>0</v>
      </c>
      <c r="CZ149" s="32">
        <v>0</v>
      </c>
      <c r="DA149" s="32">
        <v>220000</v>
      </c>
      <c r="DB149" s="32" t="str">
        <f>IF(DC149="정수원 실장","기아", IF(DC149="박현식 부장", "현대", IF(DC149="김성진 팀장", "한성", IF(DC149="전석영 부장", "한성", IF(DC149= "박봉호 부장", "모토원",IF(DC149="정원철 부장", "한성"))))))</f>
        <v>기아</v>
      </c>
      <c r="DC149" s="32" t="s">
        <v>260</v>
      </c>
      <c r="DD149" s="32" t="str">
        <f>IF(DC149="정수원 실장","렌트베네핏", IF(DC149="박현식 부장", "렌트베네핏", IF(DC149="김성진 팀장", "청담", IF(DC149="전석영 부장", "방배", IF(DC149= "박봉호 부장", "일산",IF(#REF!="정원철 부장", "청담"))))))</f>
        <v>렌트베네핏</v>
      </c>
      <c r="DE149" s="32" t="s">
        <v>710</v>
      </c>
      <c r="DF149" s="8" t="s">
        <v>1332</v>
      </c>
      <c r="DG149" s="32" t="s">
        <v>1006</v>
      </c>
      <c r="DH149" s="32" t="s">
        <v>1007</v>
      </c>
      <c r="DI149" s="32" t="s">
        <v>1672</v>
      </c>
      <c r="DJ149" s="22">
        <v>0.3</v>
      </c>
      <c r="DK149" s="51">
        <v>0.2</v>
      </c>
      <c r="DL149" s="32" t="s">
        <v>1673</v>
      </c>
      <c r="DM149" s="20"/>
      <c r="DN149" s="32"/>
      <c r="DO149" s="32"/>
      <c r="DP149" s="22"/>
    </row>
    <row r="150" spans="1:120">
      <c r="A150" s="8">
        <v>147</v>
      </c>
      <c r="B150" s="8" t="s">
        <v>1674</v>
      </c>
      <c r="C150" s="34" t="s">
        <v>244</v>
      </c>
      <c r="D150" s="8" t="s">
        <v>1250</v>
      </c>
      <c r="E150" s="8" t="s">
        <v>1251</v>
      </c>
      <c r="F150" s="8" t="s">
        <v>1252</v>
      </c>
      <c r="G150" s="22" t="s">
        <v>1309</v>
      </c>
      <c r="H150" s="20" t="s">
        <v>1310</v>
      </c>
      <c r="I150" s="13">
        <v>39410000</v>
      </c>
      <c r="J150" s="8">
        <v>2026</v>
      </c>
      <c r="K150" s="22" t="s">
        <v>1675</v>
      </c>
      <c r="L150" s="22" t="s">
        <v>116</v>
      </c>
      <c r="M150" s="22" t="s">
        <v>1676</v>
      </c>
      <c r="N150" s="8" t="s">
        <v>1677</v>
      </c>
      <c r="O150" s="8" t="s">
        <v>1436</v>
      </c>
      <c r="P150" s="11">
        <v>2487</v>
      </c>
      <c r="Q150" s="12">
        <v>46106</v>
      </c>
      <c r="R150" s="12">
        <v>46100</v>
      </c>
      <c r="S150" s="12">
        <v>46107</v>
      </c>
      <c r="T150" s="14" t="s">
        <v>556</v>
      </c>
      <c r="U150" s="12">
        <f t="shared" ref="U150:U151" si="42">IFERROR(S150+AC150, "-")</f>
        <v>47567</v>
      </c>
      <c r="V150" s="16">
        <f t="shared" ref="V150:V151" ca="1" si="43">IFERROR(DATEDIF(TODAY(), U150, "m"), "-")</f>
        <v>44</v>
      </c>
      <c r="W150" s="9">
        <v>30000</v>
      </c>
      <c r="X150" s="22" t="s">
        <v>1258</v>
      </c>
      <c r="Y150" s="22" t="s">
        <v>1288</v>
      </c>
      <c r="Z150" s="22"/>
      <c r="AA150" s="76" t="s">
        <v>1260</v>
      </c>
      <c r="AB150" s="12">
        <v>46137</v>
      </c>
      <c r="AC150" s="8">
        <f t="shared" ref="AC150:AC151" si="44">365*T150</f>
        <v>1460</v>
      </c>
      <c r="AD150" s="8">
        <f t="shared" ref="AD150" ca="1" si="45">U150-TODAY()</f>
        <v>1341</v>
      </c>
      <c r="AE150" s="8" t="e">
        <f>VLOOKUP($B150, [1]렌트_계약서번호!$B$3:$E$501, 4, FALSE)</f>
        <v>#N/A</v>
      </c>
      <c r="AF150" s="20">
        <v>39410000</v>
      </c>
      <c r="AG150" s="9">
        <v>1994259</v>
      </c>
      <c r="AH150" s="9">
        <f t="shared" ref="AH150:AH160" si="46">AF150-AG150+AI150</f>
        <v>37591741</v>
      </c>
      <c r="AI150" s="9">
        <v>176000</v>
      </c>
      <c r="AJ150" s="9">
        <v>1900</v>
      </c>
      <c r="AK150" s="20">
        <v>1366970</v>
      </c>
      <c r="AL150" s="20">
        <v>45368</v>
      </c>
      <c r="AM150" s="20"/>
      <c r="AN150" s="20"/>
      <c r="AO150" s="20">
        <v>80000</v>
      </c>
      <c r="AP150" s="20"/>
      <c r="AQ150" s="20">
        <v>220000</v>
      </c>
      <c r="AR150" s="20" t="s">
        <v>1437</v>
      </c>
      <c r="AS150" s="20">
        <v>198000</v>
      </c>
      <c r="AT150" s="20" t="s">
        <v>1225</v>
      </c>
      <c r="AU150" s="20"/>
      <c r="AV150" s="20"/>
      <c r="AW150" s="13" t="s">
        <v>124</v>
      </c>
      <c r="AX150" s="17"/>
      <c r="AY150" s="20"/>
      <c r="AZ150" s="20"/>
      <c r="BA150" s="20"/>
      <c r="BB150" s="20"/>
      <c r="BC150" s="23"/>
      <c r="BD150" s="9" t="s">
        <v>125</v>
      </c>
      <c r="BE150" s="9" t="s">
        <v>126</v>
      </c>
      <c r="BF150" s="9" t="s">
        <v>187</v>
      </c>
      <c r="BG150" s="9" t="s">
        <v>188</v>
      </c>
      <c r="BH150" s="9" t="s">
        <v>129</v>
      </c>
      <c r="BI150" s="9" t="s">
        <v>130</v>
      </c>
      <c r="BJ150" s="8" t="s">
        <v>256</v>
      </c>
      <c r="BK150" s="9" t="s">
        <v>132</v>
      </c>
      <c r="BL150" s="9" t="s">
        <v>133</v>
      </c>
      <c r="BM150" s="9" t="s">
        <v>133</v>
      </c>
      <c r="BN150" s="9" t="s">
        <v>133</v>
      </c>
      <c r="BO150" s="9" t="s">
        <v>817</v>
      </c>
      <c r="BP150" s="20" t="s">
        <v>1315</v>
      </c>
      <c r="BQ150" s="23"/>
      <c r="BR150" s="9">
        <f t="shared" ref="BR150" si="47">IF(P150&lt;=1600,P150*18,IF(P150&lt;=2500,P150*19,IF(P150&gt;2500,P150*24,20000)))</f>
        <v>47253</v>
      </c>
      <c r="BS150" s="8" t="s">
        <v>136</v>
      </c>
      <c r="BT150" s="23"/>
      <c r="BU150" s="23"/>
      <c r="BV150" s="8"/>
      <c r="BW150" s="23"/>
      <c r="BX150" s="23"/>
      <c r="BY150" s="23"/>
      <c r="BZ150" s="23"/>
      <c r="CA150" s="23"/>
      <c r="CB150" s="28" t="s">
        <v>385</v>
      </c>
      <c r="CC150" s="28" t="s">
        <v>385</v>
      </c>
      <c r="CD150" s="20">
        <v>734000</v>
      </c>
      <c r="CE150" s="13">
        <v>48</v>
      </c>
      <c r="CF150" s="9">
        <f t="shared" ref="CF150:CF151" si="48">CE150*CD150</f>
        <v>35232000</v>
      </c>
      <c r="CG150" s="9">
        <v>11823000</v>
      </c>
      <c r="CH150" s="9">
        <v>0</v>
      </c>
      <c r="CI150" s="20">
        <v>20493200</v>
      </c>
      <c r="CJ150" s="69">
        <v>0.03</v>
      </c>
      <c r="CK150" s="72">
        <v>0.06</v>
      </c>
      <c r="CL150" s="31" t="s">
        <v>1262</v>
      </c>
      <c r="CM150" s="8"/>
      <c r="CN150" s="8"/>
      <c r="CO150" s="27">
        <v>0.03</v>
      </c>
      <c r="CP150" s="23"/>
      <c r="CQ150" s="23"/>
      <c r="CR150" s="23"/>
      <c r="CS150" s="32" t="s">
        <v>1086</v>
      </c>
      <c r="CT150" s="23"/>
      <c r="CU150" s="23"/>
      <c r="CV150" s="23"/>
      <c r="CW150" s="23"/>
      <c r="CX150" s="23"/>
      <c r="CY150" s="23"/>
      <c r="CZ150" s="23"/>
      <c r="DA150" s="23"/>
      <c r="DB150" s="32" t="s">
        <v>232</v>
      </c>
      <c r="DC150" s="32" t="s">
        <v>801</v>
      </c>
      <c r="DD150" s="32" t="s">
        <v>819</v>
      </c>
      <c r="DE150" s="22" t="s">
        <v>1294</v>
      </c>
      <c r="DF150" s="22" t="s">
        <v>705</v>
      </c>
      <c r="DG150" s="22" t="s">
        <v>1263</v>
      </c>
      <c r="DH150" s="22" t="s">
        <v>1264</v>
      </c>
      <c r="DI150" s="22" t="s">
        <v>1260</v>
      </c>
      <c r="DJ150" s="71">
        <v>0.35</v>
      </c>
      <c r="DK150" s="22">
        <v>0.25</v>
      </c>
      <c r="DL150" s="22" t="s">
        <v>1265</v>
      </c>
      <c r="DM150" s="78"/>
      <c r="DN150" s="23"/>
      <c r="DO150" s="23"/>
      <c r="DP150" s="23"/>
    </row>
    <row r="151" spans="1:120">
      <c r="A151" s="8">
        <v>148</v>
      </c>
      <c r="B151" s="8" t="s">
        <v>1678</v>
      </c>
      <c r="C151" s="34" t="s">
        <v>244</v>
      </c>
      <c r="D151" s="8" t="s">
        <v>1679</v>
      </c>
      <c r="E151" s="8" t="s">
        <v>1679</v>
      </c>
      <c r="F151" s="8" t="s">
        <v>1680</v>
      </c>
      <c r="G151" s="8" t="s">
        <v>1235</v>
      </c>
      <c r="H151" s="8" t="s">
        <v>1236</v>
      </c>
      <c r="I151" s="13">
        <v>63600000</v>
      </c>
      <c r="J151" s="8">
        <v>2026</v>
      </c>
      <c r="K151" s="8" t="s">
        <v>1681</v>
      </c>
      <c r="L151" s="8" t="s">
        <v>116</v>
      </c>
      <c r="M151" s="8" t="s">
        <v>1682</v>
      </c>
      <c r="N151" s="8" t="s">
        <v>1683</v>
      </c>
      <c r="O151" s="8" t="s">
        <v>1684</v>
      </c>
      <c r="P151" s="11">
        <v>2497</v>
      </c>
      <c r="Q151" s="12">
        <v>46118</v>
      </c>
      <c r="R151" s="12">
        <v>46106</v>
      </c>
      <c r="S151" s="12">
        <v>46119</v>
      </c>
      <c r="T151" s="14" t="s">
        <v>397</v>
      </c>
      <c r="U151" s="12">
        <f t="shared" si="42"/>
        <v>47214</v>
      </c>
      <c r="V151" s="8">
        <f t="shared" ca="1" si="43"/>
        <v>32</v>
      </c>
      <c r="W151" s="8">
        <v>20000</v>
      </c>
      <c r="X151" s="8" t="s">
        <v>1685</v>
      </c>
      <c r="Y151" s="8" t="s">
        <v>1686</v>
      </c>
      <c r="Z151" s="8"/>
      <c r="AA151" s="9" t="s">
        <v>1687</v>
      </c>
      <c r="AB151" s="12">
        <v>46142</v>
      </c>
      <c r="AC151" s="8">
        <f t="shared" si="44"/>
        <v>1095</v>
      </c>
      <c r="AD151" s="8">
        <f ca="1">U151-TODAY()</f>
        <v>988</v>
      </c>
      <c r="AE151" s="8" t="e">
        <f>VLOOKUP($B151, [1]렌트_계약서번호!$B$3:$E$501, 4, FALSE)</f>
        <v>#N/A</v>
      </c>
      <c r="AF151" s="8">
        <v>57000000</v>
      </c>
      <c r="AG151" s="8">
        <v>3218342</v>
      </c>
      <c r="AH151" s="9">
        <f t="shared" si="46"/>
        <v>54083658</v>
      </c>
      <c r="AI151" s="8">
        <v>302000</v>
      </c>
      <c r="AJ151" s="8">
        <v>1900</v>
      </c>
      <c r="AK151" s="9">
        <v>2206670</v>
      </c>
      <c r="AL151" s="8">
        <v>154700</v>
      </c>
      <c r="AM151" s="8">
        <v>2000</v>
      </c>
      <c r="AN151" s="8">
        <v>40000</v>
      </c>
      <c r="AO151" s="8">
        <v>80000</v>
      </c>
      <c r="AP151" s="8"/>
      <c r="AQ151" s="8"/>
      <c r="AR151" s="8"/>
      <c r="AS151" s="8">
        <v>170000</v>
      </c>
      <c r="AT151" s="8" t="s">
        <v>1688</v>
      </c>
      <c r="AU151" s="8"/>
      <c r="AV151" s="8"/>
      <c r="AW151" s="13" t="s">
        <v>124</v>
      </c>
      <c r="AX151" s="8"/>
      <c r="AY151" s="8"/>
      <c r="AZ151" s="8"/>
      <c r="BA151" s="8"/>
      <c r="BB151" s="8"/>
      <c r="BC151" s="8"/>
      <c r="BD151" s="9" t="s">
        <v>125</v>
      </c>
      <c r="BE151" s="9" t="s">
        <v>126</v>
      </c>
      <c r="BF151" s="9" t="s">
        <v>187</v>
      </c>
      <c r="BG151" s="9" t="s">
        <v>188</v>
      </c>
      <c r="BH151" s="9" t="s">
        <v>129</v>
      </c>
      <c r="BI151" s="9" t="s">
        <v>189</v>
      </c>
      <c r="BJ151" s="8" t="s">
        <v>256</v>
      </c>
      <c r="BK151" s="9" t="s">
        <v>132</v>
      </c>
      <c r="BL151" s="9" t="s">
        <v>257</v>
      </c>
      <c r="BM151" s="9" t="s">
        <v>257</v>
      </c>
      <c r="BN151" s="9" t="s">
        <v>257</v>
      </c>
      <c r="BO151" s="9" t="s">
        <v>134</v>
      </c>
      <c r="BP151" s="8" t="s">
        <v>1689</v>
      </c>
      <c r="BQ151" s="8"/>
      <c r="BR151" s="9">
        <f>IF(P151&lt;=1600,P151*18,IF(P151&lt;=2500,P151*19,IF(P151&gt;2500,P151*24,20000)))</f>
        <v>47443</v>
      </c>
      <c r="BS151" s="8" t="s">
        <v>136</v>
      </c>
      <c r="BT151" s="8"/>
      <c r="BU151" s="8"/>
      <c r="BV151" s="8"/>
      <c r="BW151" s="8"/>
      <c r="BX151" s="8"/>
      <c r="BY151" s="8"/>
      <c r="BZ151" s="8"/>
      <c r="CA151" s="8"/>
      <c r="CB151" s="8" t="s">
        <v>504</v>
      </c>
      <c r="CC151" s="8" t="s">
        <v>504</v>
      </c>
      <c r="CD151" s="78">
        <v>1196000</v>
      </c>
      <c r="CE151" s="13">
        <v>36</v>
      </c>
      <c r="CF151" s="9">
        <f t="shared" si="48"/>
        <v>43056000</v>
      </c>
      <c r="CG151" s="78">
        <v>19080000</v>
      </c>
      <c r="CH151" s="8">
        <v>0</v>
      </c>
      <c r="CI151" s="78">
        <v>38160000</v>
      </c>
      <c r="CJ151" s="69">
        <v>0.03</v>
      </c>
      <c r="CK151" s="72">
        <v>0.06</v>
      </c>
      <c r="CL151" s="31" t="s">
        <v>1690</v>
      </c>
      <c r="CM151" s="8"/>
      <c r="CN151" s="9"/>
      <c r="CO151" s="27">
        <v>0.03</v>
      </c>
      <c r="CP151" s="8"/>
      <c r="CQ151" s="8"/>
      <c r="CR151" s="8"/>
      <c r="CS151" s="32" t="s">
        <v>1086</v>
      </c>
      <c r="CT151" s="8"/>
      <c r="CU151" s="8"/>
      <c r="CV151" s="8"/>
      <c r="CW151" s="8"/>
      <c r="CX151" s="8"/>
      <c r="CY151" s="8"/>
      <c r="CZ151" s="8"/>
      <c r="DA151" s="8"/>
      <c r="DB151" s="32" t="s">
        <v>232</v>
      </c>
      <c r="DC151" s="32" t="s">
        <v>801</v>
      </c>
      <c r="DD151" s="32" t="s">
        <v>819</v>
      </c>
      <c r="DE151" s="32" t="s">
        <v>1691</v>
      </c>
      <c r="DF151" s="74" t="s">
        <v>734</v>
      </c>
      <c r="DG151" s="32" t="s">
        <v>1692</v>
      </c>
      <c r="DH151" s="32" t="s">
        <v>1693</v>
      </c>
      <c r="DI151" s="13" t="s">
        <v>1694</v>
      </c>
      <c r="DJ151" s="71">
        <v>0.35</v>
      </c>
      <c r="DK151" s="22">
        <v>0.25</v>
      </c>
      <c r="DL151" s="32"/>
      <c r="DM151" s="20">
        <v>3218342</v>
      </c>
    </row>
    <row r="152" spans="1:120">
      <c r="A152" s="8">
        <v>149</v>
      </c>
      <c r="B152" s="8" t="s">
        <v>1695</v>
      </c>
      <c r="C152" s="8" t="s">
        <v>110</v>
      </c>
      <c r="D152" s="8" t="s">
        <v>111</v>
      </c>
      <c r="E152" s="8" t="s">
        <v>110</v>
      </c>
      <c r="F152" s="8" t="s">
        <v>112</v>
      </c>
      <c r="G152" s="22" t="s">
        <v>1696</v>
      </c>
      <c r="H152" s="20" t="s">
        <v>227</v>
      </c>
      <c r="I152" s="13">
        <v>137600000</v>
      </c>
      <c r="J152" s="8">
        <v>2025</v>
      </c>
      <c r="K152" s="22" t="s">
        <v>1697</v>
      </c>
      <c r="L152" s="22" t="s">
        <v>116</v>
      </c>
      <c r="M152" s="22" t="s">
        <v>1698</v>
      </c>
      <c r="N152" s="8" t="s">
        <v>1699</v>
      </c>
      <c r="O152" s="8" t="s">
        <v>119</v>
      </c>
      <c r="P152" s="11">
        <v>3000</v>
      </c>
      <c r="Q152" s="12">
        <v>45826</v>
      </c>
      <c r="R152" s="12" t="s">
        <v>119</v>
      </c>
      <c r="S152" s="12" t="s">
        <v>119</v>
      </c>
      <c r="T152" s="14"/>
      <c r="U152" s="12"/>
      <c r="V152" s="16"/>
      <c r="W152" s="9"/>
      <c r="X152" s="22"/>
      <c r="Y152" s="22"/>
      <c r="Z152" s="22"/>
      <c r="AA152" s="12"/>
      <c r="AB152" s="12"/>
      <c r="AC152" s="8"/>
      <c r="AD152" s="22"/>
      <c r="AE152" s="8"/>
      <c r="AF152" s="20">
        <f>137600000+420000</f>
        <v>138020000</v>
      </c>
      <c r="AG152" s="9">
        <v>17161400</v>
      </c>
      <c r="AH152" s="9">
        <f t="shared" si="46"/>
        <v>120858600</v>
      </c>
      <c r="AI152" s="9"/>
      <c r="AJ152" s="9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17"/>
      <c r="AY152" s="20"/>
      <c r="AZ152" s="20"/>
      <c r="BA152" s="20"/>
      <c r="BB152" s="20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8"/>
      <c r="BQ152" s="23"/>
      <c r="BR152" s="23"/>
      <c r="BS152" s="23"/>
      <c r="BT152" s="23"/>
      <c r="BU152" s="23"/>
      <c r="BV152" s="8"/>
      <c r="BW152" s="23"/>
      <c r="BX152" s="23"/>
      <c r="BY152" s="23"/>
      <c r="BZ152" s="23"/>
      <c r="CA152" s="23"/>
      <c r="CB152" s="8"/>
      <c r="CC152" s="8"/>
      <c r="CD152" s="78"/>
      <c r="CE152" s="13"/>
      <c r="CF152" s="78"/>
      <c r="CG152" s="78"/>
      <c r="CH152" s="78"/>
      <c r="CI152" s="78"/>
      <c r="CJ152" s="23"/>
      <c r="CK152" s="23"/>
      <c r="CL152" s="8"/>
      <c r="CM152" s="8"/>
      <c r="CN152" s="8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8"/>
      <c r="DF152" s="8"/>
      <c r="DG152" s="8"/>
      <c r="DH152" s="8"/>
      <c r="DI152" s="8"/>
      <c r="DJ152" s="23"/>
      <c r="DK152" s="23"/>
      <c r="DL152" s="8"/>
      <c r="DM152" s="78"/>
      <c r="DN152" s="23"/>
      <c r="DO152" s="23"/>
      <c r="DP152" s="23"/>
    </row>
    <row r="153" spans="1:120">
      <c r="A153" s="8">
        <v>150</v>
      </c>
      <c r="B153" s="8" t="s">
        <v>1700</v>
      </c>
      <c r="C153" s="34" t="s">
        <v>244</v>
      </c>
      <c r="D153" s="8" t="s">
        <v>1250</v>
      </c>
      <c r="E153" s="8" t="s">
        <v>1251</v>
      </c>
      <c r="F153" s="8" t="s">
        <v>1252</v>
      </c>
      <c r="G153" s="22" t="s">
        <v>1701</v>
      </c>
      <c r="H153" s="20" t="s">
        <v>1702</v>
      </c>
      <c r="I153" s="13">
        <v>28470000</v>
      </c>
      <c r="J153" s="8">
        <v>2026</v>
      </c>
      <c r="K153" s="22" t="s">
        <v>1703</v>
      </c>
      <c r="L153" s="22" t="s">
        <v>116</v>
      </c>
      <c r="M153" s="22"/>
      <c r="N153" s="8"/>
      <c r="O153" s="8" t="s">
        <v>1704</v>
      </c>
      <c r="P153" s="11">
        <v>1597</v>
      </c>
      <c r="Q153" s="12"/>
      <c r="R153" s="12"/>
      <c r="S153" s="12"/>
      <c r="T153" s="14" t="s">
        <v>556</v>
      </c>
      <c r="U153" s="12">
        <f t="shared" ref="U153:U164" si="49">IFERROR(S153+AC153, "-")</f>
        <v>1460</v>
      </c>
      <c r="V153" s="8" t="str">
        <f t="shared" ref="V153:V164" ca="1" si="50">IFERROR(DATEDIF(TODAY(), U153, "m"), "-")</f>
        <v>-</v>
      </c>
      <c r="W153" s="9">
        <v>30000</v>
      </c>
      <c r="X153" s="22" t="s">
        <v>1258</v>
      </c>
      <c r="Y153" s="22" t="s">
        <v>1259</v>
      </c>
      <c r="Z153" s="22"/>
      <c r="AA153" s="76" t="s">
        <v>1260</v>
      </c>
      <c r="AB153" s="12"/>
      <c r="AC153" s="8">
        <f t="shared" ref="AC153:AC164" si="51">365*T153</f>
        <v>1460</v>
      </c>
      <c r="AD153" s="8">
        <f t="shared" ref="AD153:AD158" ca="1" si="52">U153-TODAY()</f>
        <v>-44766</v>
      </c>
      <c r="AE153" s="8" t="e">
        <f>VLOOKUP($B153, [1]렌트_계약서번호!$B$3:$E$501, 4, FALSE)</f>
        <v>#N/A</v>
      </c>
      <c r="AF153" s="20">
        <v>28470000</v>
      </c>
      <c r="AG153" s="9"/>
      <c r="AH153" s="9">
        <f t="shared" si="46"/>
        <v>28819000</v>
      </c>
      <c r="AI153" s="9">
        <v>349000</v>
      </c>
      <c r="AJ153" s="9">
        <v>1900</v>
      </c>
      <c r="AK153" s="20">
        <v>2261790</v>
      </c>
      <c r="AL153" s="20">
        <v>69569</v>
      </c>
      <c r="AM153" s="20">
        <v>2000</v>
      </c>
      <c r="AN153" s="20">
        <v>45000</v>
      </c>
      <c r="AO153" s="20">
        <v>50000</v>
      </c>
      <c r="AP153" s="20"/>
      <c r="AQ153" s="20"/>
      <c r="AR153" s="20"/>
      <c r="AS153" s="20"/>
      <c r="AT153" s="20" t="s">
        <v>1225</v>
      </c>
      <c r="AU153" s="20"/>
      <c r="AV153" s="20"/>
      <c r="AW153" s="13" t="s">
        <v>124</v>
      </c>
      <c r="AX153" s="17"/>
      <c r="AY153" s="20"/>
      <c r="AZ153" s="20"/>
      <c r="BA153" s="20"/>
      <c r="BB153" s="20"/>
      <c r="BC153" s="23"/>
      <c r="BD153" s="9" t="s">
        <v>125</v>
      </c>
      <c r="BE153" s="9" t="s">
        <v>126</v>
      </c>
      <c r="BF153" s="9" t="s">
        <v>187</v>
      </c>
      <c r="BG153" s="9" t="s">
        <v>188</v>
      </c>
      <c r="BH153" s="9" t="s">
        <v>129</v>
      </c>
      <c r="BI153" s="9" t="s">
        <v>130</v>
      </c>
      <c r="BJ153" s="8" t="s">
        <v>256</v>
      </c>
      <c r="BK153" s="9" t="s">
        <v>132</v>
      </c>
      <c r="BL153" s="9" t="s">
        <v>133</v>
      </c>
      <c r="BM153" s="9" t="s">
        <v>133</v>
      </c>
      <c r="BN153" s="9" t="s">
        <v>133</v>
      </c>
      <c r="BO153" s="9" t="s">
        <v>817</v>
      </c>
      <c r="BP153" s="20"/>
      <c r="BQ153" s="22"/>
      <c r="BR153" s="9">
        <f t="shared" ref="BR153:BR157" si="53">IF(P153&lt;=1600,P153*18,IF(P153&lt;=2500,P153*19,IF(P153&gt;2500,P153*24,20000)))</f>
        <v>28746</v>
      </c>
      <c r="BS153" s="8" t="s">
        <v>136</v>
      </c>
      <c r="BT153" s="22"/>
      <c r="BU153" s="22"/>
      <c r="BV153" s="22"/>
      <c r="BW153" s="22"/>
      <c r="BX153" s="22"/>
      <c r="BY153" s="22"/>
      <c r="BZ153" s="22"/>
      <c r="CA153" s="28"/>
      <c r="CB153" s="28" t="s">
        <v>385</v>
      </c>
      <c r="CC153" s="28" t="s">
        <v>385</v>
      </c>
      <c r="CD153" s="20">
        <v>491000</v>
      </c>
      <c r="CE153" s="13">
        <v>48</v>
      </c>
      <c r="CF153" s="9">
        <f t="shared" ref="CF153:CF164" si="54">CE153*CD153</f>
        <v>23568000</v>
      </c>
      <c r="CG153" s="9">
        <v>8541000</v>
      </c>
      <c r="CH153" s="9">
        <v>0</v>
      </c>
      <c r="CI153" s="20">
        <v>16637900</v>
      </c>
      <c r="CJ153" s="69">
        <v>-0.04</v>
      </c>
      <c r="CK153" s="72">
        <v>0.06</v>
      </c>
      <c r="CL153" s="31" t="s">
        <v>1262</v>
      </c>
      <c r="CM153" s="22"/>
      <c r="CN153" s="22"/>
      <c r="CO153" s="27">
        <v>0.03</v>
      </c>
      <c r="CP153" s="22"/>
      <c r="CQ153" s="74" t="s">
        <v>879</v>
      </c>
      <c r="CR153" s="74"/>
      <c r="CS153" s="32" t="s">
        <v>1086</v>
      </c>
      <c r="CT153" s="74"/>
      <c r="CU153" s="22"/>
      <c r="CV153" s="22"/>
      <c r="CW153" s="22"/>
      <c r="CX153" s="22"/>
      <c r="CY153" s="22"/>
      <c r="CZ153" s="22"/>
      <c r="DA153" s="32"/>
      <c r="DB153" s="32" t="str">
        <f>IF(DC153="정수원 실장","기아", IF(DC153="박현식 부장", "현대", IF(DC153="김성진 팀장", "한성", IF(DC153="전석영 부장", "한성", IF(DC153= "박봉호 부장", "모토원",IF(DC153="정원철 부장", "한성"))))))</f>
        <v>기아</v>
      </c>
      <c r="DC153" s="32" t="s">
        <v>260</v>
      </c>
      <c r="DD153" s="32" t="s">
        <v>819</v>
      </c>
      <c r="DE153" s="22"/>
      <c r="DF153" s="22" t="s">
        <v>705</v>
      </c>
      <c r="DG153" s="22" t="s">
        <v>1263</v>
      </c>
      <c r="DH153" s="22" t="s">
        <v>1264</v>
      </c>
      <c r="DI153" s="22" t="s">
        <v>1260</v>
      </c>
      <c r="DJ153" s="71">
        <v>0.35</v>
      </c>
      <c r="DK153" s="22">
        <v>0.25</v>
      </c>
      <c r="DL153" s="22" t="s">
        <v>1265</v>
      </c>
      <c r="DM153" s="20">
        <v>1440664</v>
      </c>
      <c r="DN153" s="22"/>
      <c r="DO153" s="22"/>
      <c r="DP153" s="71"/>
    </row>
    <row r="154" spans="1:120">
      <c r="A154" s="8">
        <v>151</v>
      </c>
      <c r="B154" s="8" t="s">
        <v>1705</v>
      </c>
      <c r="C154" s="34" t="s">
        <v>244</v>
      </c>
      <c r="D154" s="8" t="s">
        <v>1250</v>
      </c>
      <c r="E154" s="8" t="s">
        <v>1251</v>
      </c>
      <c r="F154" s="8" t="s">
        <v>1252</v>
      </c>
      <c r="G154" s="22" t="s">
        <v>1701</v>
      </c>
      <c r="H154" s="20" t="s">
        <v>1702</v>
      </c>
      <c r="I154" s="13">
        <v>28470000</v>
      </c>
      <c r="J154" s="8">
        <v>2026</v>
      </c>
      <c r="K154" s="22" t="s">
        <v>1703</v>
      </c>
      <c r="L154" s="22" t="s">
        <v>116</v>
      </c>
      <c r="M154" s="22"/>
      <c r="N154" s="8"/>
      <c r="O154" s="8" t="s">
        <v>1704</v>
      </c>
      <c r="P154" s="11">
        <v>1597</v>
      </c>
      <c r="Q154" s="12"/>
      <c r="R154" s="12"/>
      <c r="S154" s="12"/>
      <c r="T154" s="14" t="s">
        <v>556</v>
      </c>
      <c r="U154" s="12">
        <f t="shared" si="49"/>
        <v>1460</v>
      </c>
      <c r="V154" s="8" t="str">
        <f t="shared" ca="1" si="50"/>
        <v>-</v>
      </c>
      <c r="W154" s="9">
        <v>30000</v>
      </c>
      <c r="X154" s="22" t="s">
        <v>1258</v>
      </c>
      <c r="Y154" s="22" t="s">
        <v>1259</v>
      </c>
      <c r="Z154" s="22"/>
      <c r="AA154" s="76" t="s">
        <v>1260</v>
      </c>
      <c r="AB154" s="12"/>
      <c r="AC154" s="8">
        <f t="shared" si="51"/>
        <v>1460</v>
      </c>
      <c r="AD154" s="8">
        <f t="shared" ca="1" si="52"/>
        <v>-44766</v>
      </c>
      <c r="AE154" s="8" t="str">
        <f>VLOOKUP($B154, [1]렌트_계약서번호!$B$3:$E$501, 4, FALSE)</f>
        <v>00010141</v>
      </c>
      <c r="AF154" s="20">
        <v>28470000</v>
      </c>
      <c r="AG154" s="9"/>
      <c r="AH154" s="9">
        <f t="shared" si="46"/>
        <v>28819000</v>
      </c>
      <c r="AI154" s="9">
        <v>349000</v>
      </c>
      <c r="AJ154" s="9">
        <v>1900</v>
      </c>
      <c r="AK154" s="20">
        <v>2261790</v>
      </c>
      <c r="AL154" s="20">
        <v>69569</v>
      </c>
      <c r="AM154" s="20">
        <v>2000</v>
      </c>
      <c r="AN154" s="20">
        <v>45000</v>
      </c>
      <c r="AO154" s="20">
        <v>50000</v>
      </c>
      <c r="AP154" s="20"/>
      <c r="AQ154" s="20"/>
      <c r="AR154" s="20"/>
      <c r="AS154" s="20"/>
      <c r="AT154" s="20" t="s">
        <v>1225</v>
      </c>
      <c r="AU154" s="20"/>
      <c r="AV154" s="20"/>
      <c r="AW154" s="13" t="s">
        <v>124</v>
      </c>
      <c r="AX154" s="17"/>
      <c r="AY154" s="20"/>
      <c r="AZ154" s="20"/>
      <c r="BA154" s="20"/>
      <c r="BB154" s="20"/>
      <c r="BC154" s="23"/>
      <c r="BD154" s="9" t="s">
        <v>125</v>
      </c>
      <c r="BE154" s="9" t="s">
        <v>126</v>
      </c>
      <c r="BF154" s="9" t="s">
        <v>187</v>
      </c>
      <c r="BG154" s="9" t="s">
        <v>188</v>
      </c>
      <c r="BH154" s="9" t="s">
        <v>129</v>
      </c>
      <c r="BI154" s="9" t="s">
        <v>130</v>
      </c>
      <c r="BJ154" s="8" t="s">
        <v>256</v>
      </c>
      <c r="BK154" s="9" t="s">
        <v>132</v>
      </c>
      <c r="BL154" s="9" t="s">
        <v>133</v>
      </c>
      <c r="BM154" s="9" t="s">
        <v>133</v>
      </c>
      <c r="BN154" s="9" t="s">
        <v>133</v>
      </c>
      <c r="BO154" s="9" t="s">
        <v>817</v>
      </c>
      <c r="BP154" s="20"/>
      <c r="BQ154" s="22"/>
      <c r="BR154" s="9">
        <f t="shared" si="53"/>
        <v>28746</v>
      </c>
      <c r="BS154" s="8" t="s">
        <v>136</v>
      </c>
      <c r="BT154" s="22"/>
      <c r="BU154" s="22"/>
      <c r="BV154" s="22"/>
      <c r="BW154" s="22"/>
      <c r="BX154" s="22"/>
      <c r="BY154" s="22"/>
      <c r="BZ154" s="22"/>
      <c r="CA154" s="28"/>
      <c r="CB154" s="28" t="s">
        <v>385</v>
      </c>
      <c r="CC154" s="28" t="s">
        <v>385</v>
      </c>
      <c r="CD154" s="20">
        <v>491000</v>
      </c>
      <c r="CE154" s="13">
        <v>48</v>
      </c>
      <c r="CF154" s="9">
        <f t="shared" si="54"/>
        <v>23568000</v>
      </c>
      <c r="CG154" s="9">
        <v>8541000</v>
      </c>
      <c r="CH154" s="9">
        <v>0</v>
      </c>
      <c r="CI154" s="20">
        <v>16637900</v>
      </c>
      <c r="CJ154" s="69">
        <v>-0.04</v>
      </c>
      <c r="CK154" s="72">
        <v>0.06</v>
      </c>
      <c r="CL154" s="31" t="s">
        <v>1262</v>
      </c>
      <c r="CM154" s="22"/>
      <c r="CN154" s="22"/>
      <c r="CO154" s="27">
        <v>0.03</v>
      </c>
      <c r="CP154" s="22"/>
      <c r="CQ154" s="74" t="s">
        <v>879</v>
      </c>
      <c r="CR154" s="74"/>
      <c r="CS154" s="32" t="s">
        <v>1086</v>
      </c>
      <c r="CT154" s="74"/>
      <c r="CU154" s="22"/>
      <c r="CV154" s="22"/>
      <c r="CW154" s="22"/>
      <c r="CX154" s="22"/>
      <c r="CY154" s="22"/>
      <c r="CZ154" s="22"/>
      <c r="DA154" s="32"/>
      <c r="DB154" s="32" t="str">
        <f>IF(DC154="정수원 실장","기아", IF(DC154="박현식 부장", "현대", IF(DC154="김성진 팀장", "한성", IF(DC154="전석영 부장", "한성", IF(DC154= "박봉호 부장", "모토원",IF(DC154="정원철 부장", "한성"))))))</f>
        <v>기아</v>
      </c>
      <c r="DC154" s="32" t="s">
        <v>260</v>
      </c>
      <c r="DD154" s="32" t="s">
        <v>819</v>
      </c>
      <c r="DE154" s="22"/>
      <c r="DF154" s="22" t="s">
        <v>705</v>
      </c>
      <c r="DG154" s="22" t="s">
        <v>1263</v>
      </c>
      <c r="DH154" s="22" t="s">
        <v>1264</v>
      </c>
      <c r="DI154" s="22" t="s">
        <v>1260</v>
      </c>
      <c r="DJ154" s="71">
        <v>0.35</v>
      </c>
      <c r="DK154" s="22">
        <v>0.25</v>
      </c>
      <c r="DL154" s="22" t="s">
        <v>1265</v>
      </c>
      <c r="DM154" s="20">
        <v>1440664</v>
      </c>
      <c r="DN154" s="22"/>
      <c r="DO154" s="22"/>
      <c r="DP154" s="71"/>
    </row>
    <row r="155" spans="1:120">
      <c r="A155" s="8">
        <v>152</v>
      </c>
      <c r="B155" s="8" t="s">
        <v>1706</v>
      </c>
      <c r="C155" s="34" t="s">
        <v>244</v>
      </c>
      <c r="D155" s="8" t="s">
        <v>1250</v>
      </c>
      <c r="E155" s="8" t="s">
        <v>1251</v>
      </c>
      <c r="F155" s="8" t="s">
        <v>1252</v>
      </c>
      <c r="G155" s="22" t="s">
        <v>1701</v>
      </c>
      <c r="H155" s="20" t="s">
        <v>1702</v>
      </c>
      <c r="I155" s="13">
        <v>28470000</v>
      </c>
      <c r="J155" s="8">
        <v>2026</v>
      </c>
      <c r="K155" s="22" t="s">
        <v>1703</v>
      </c>
      <c r="L155" s="22" t="s">
        <v>116</v>
      </c>
      <c r="M155" s="22"/>
      <c r="N155" s="8"/>
      <c r="O155" s="8" t="s">
        <v>1704</v>
      </c>
      <c r="P155" s="11">
        <v>1597</v>
      </c>
      <c r="Q155" s="12"/>
      <c r="R155" s="12"/>
      <c r="S155" s="12"/>
      <c r="T155" s="14" t="s">
        <v>556</v>
      </c>
      <c r="U155" s="12">
        <f t="shared" si="49"/>
        <v>1460</v>
      </c>
      <c r="V155" s="8" t="str">
        <f t="shared" ca="1" si="50"/>
        <v>-</v>
      </c>
      <c r="W155" s="9">
        <v>30000</v>
      </c>
      <c r="X155" s="22" t="s">
        <v>1258</v>
      </c>
      <c r="Y155" s="22" t="s">
        <v>1259</v>
      </c>
      <c r="Z155" s="22"/>
      <c r="AA155" s="76" t="s">
        <v>1260</v>
      </c>
      <c r="AB155" s="12"/>
      <c r="AC155" s="8">
        <f t="shared" si="51"/>
        <v>1460</v>
      </c>
      <c r="AD155" s="8">
        <f t="shared" ca="1" si="52"/>
        <v>-44766</v>
      </c>
      <c r="AE155" s="8" t="str">
        <f>VLOOKUP($B155, [1]렌트_계약서번호!$B$3:$E$501, 4, FALSE)</f>
        <v>00010142</v>
      </c>
      <c r="AF155" s="20">
        <v>28470000</v>
      </c>
      <c r="AG155" s="9"/>
      <c r="AH155" s="9">
        <f t="shared" si="46"/>
        <v>28819000</v>
      </c>
      <c r="AI155" s="9">
        <v>349000</v>
      </c>
      <c r="AJ155" s="9">
        <v>1900</v>
      </c>
      <c r="AK155" s="20">
        <v>2261790</v>
      </c>
      <c r="AL155" s="20">
        <v>69569</v>
      </c>
      <c r="AM155" s="20">
        <v>2000</v>
      </c>
      <c r="AN155" s="20">
        <v>45000</v>
      </c>
      <c r="AO155" s="20">
        <v>50000</v>
      </c>
      <c r="AP155" s="20"/>
      <c r="AQ155" s="20"/>
      <c r="AR155" s="20"/>
      <c r="AS155" s="20"/>
      <c r="AT155" s="20" t="s">
        <v>1225</v>
      </c>
      <c r="AU155" s="20"/>
      <c r="AV155" s="20"/>
      <c r="AW155" s="13" t="s">
        <v>124</v>
      </c>
      <c r="AX155" s="17"/>
      <c r="AY155" s="20"/>
      <c r="AZ155" s="20"/>
      <c r="BA155" s="20"/>
      <c r="BB155" s="20"/>
      <c r="BC155" s="23"/>
      <c r="BD155" s="9" t="s">
        <v>125</v>
      </c>
      <c r="BE155" s="9" t="s">
        <v>126</v>
      </c>
      <c r="BF155" s="9" t="s">
        <v>187</v>
      </c>
      <c r="BG155" s="9" t="s">
        <v>188</v>
      </c>
      <c r="BH155" s="9" t="s">
        <v>129</v>
      </c>
      <c r="BI155" s="9" t="s">
        <v>130</v>
      </c>
      <c r="BJ155" s="8" t="s">
        <v>256</v>
      </c>
      <c r="BK155" s="9" t="s">
        <v>132</v>
      </c>
      <c r="BL155" s="9" t="s">
        <v>133</v>
      </c>
      <c r="BM155" s="9" t="s">
        <v>133</v>
      </c>
      <c r="BN155" s="9" t="s">
        <v>133</v>
      </c>
      <c r="BO155" s="9" t="s">
        <v>817</v>
      </c>
      <c r="BP155" s="20"/>
      <c r="BQ155" s="22"/>
      <c r="BR155" s="9">
        <f t="shared" si="53"/>
        <v>28746</v>
      </c>
      <c r="BS155" s="8" t="s">
        <v>136</v>
      </c>
      <c r="BT155" s="22"/>
      <c r="BU155" s="22"/>
      <c r="BV155" s="22"/>
      <c r="BW155" s="22"/>
      <c r="BX155" s="22"/>
      <c r="BY155" s="22"/>
      <c r="BZ155" s="22"/>
      <c r="CA155" s="28"/>
      <c r="CB155" s="28" t="s">
        <v>385</v>
      </c>
      <c r="CC155" s="28" t="s">
        <v>385</v>
      </c>
      <c r="CD155" s="20">
        <v>491000</v>
      </c>
      <c r="CE155" s="13">
        <v>48</v>
      </c>
      <c r="CF155" s="9">
        <f t="shared" si="54"/>
        <v>23568000</v>
      </c>
      <c r="CG155" s="9">
        <v>8541000</v>
      </c>
      <c r="CH155" s="9">
        <v>0</v>
      </c>
      <c r="CI155" s="20">
        <v>16637900</v>
      </c>
      <c r="CJ155" s="69">
        <v>-0.04</v>
      </c>
      <c r="CK155" s="72">
        <v>0.06</v>
      </c>
      <c r="CL155" s="31" t="s">
        <v>1262</v>
      </c>
      <c r="CM155" s="22"/>
      <c r="CN155" s="22"/>
      <c r="CO155" s="27">
        <v>0.03</v>
      </c>
      <c r="CP155" s="22"/>
      <c r="CQ155" s="74" t="s">
        <v>879</v>
      </c>
      <c r="CR155" s="74"/>
      <c r="CS155" s="32" t="s">
        <v>1086</v>
      </c>
      <c r="CT155" s="74"/>
      <c r="CU155" s="22"/>
      <c r="CV155" s="22"/>
      <c r="CW155" s="22"/>
      <c r="CX155" s="22"/>
      <c r="CY155" s="22"/>
      <c r="CZ155" s="22"/>
      <c r="DA155" s="32"/>
      <c r="DB155" s="32" t="str">
        <f>IF(DC155="정수원 실장","기아", IF(DC155="박현식 부장", "현대", IF(DC155="김성진 팀장", "한성", IF(DC155="전석영 부장", "한성", IF(DC155= "박봉호 부장", "모토원",IF(DC155="정원철 부장", "한성"))))))</f>
        <v>기아</v>
      </c>
      <c r="DC155" s="32" t="s">
        <v>260</v>
      </c>
      <c r="DD155" s="32" t="s">
        <v>819</v>
      </c>
      <c r="DE155" s="22"/>
      <c r="DF155" s="22" t="s">
        <v>705</v>
      </c>
      <c r="DG155" s="22" t="s">
        <v>1263</v>
      </c>
      <c r="DH155" s="22" t="s">
        <v>1264</v>
      </c>
      <c r="DI155" s="22" t="s">
        <v>1260</v>
      </c>
      <c r="DJ155" s="71">
        <v>0.35</v>
      </c>
      <c r="DK155" s="22">
        <v>0.25</v>
      </c>
      <c r="DL155" s="22" t="s">
        <v>1265</v>
      </c>
      <c r="DM155" s="20">
        <v>1440664</v>
      </c>
      <c r="DN155" s="22"/>
      <c r="DO155" s="22"/>
      <c r="DP155" s="71"/>
    </row>
    <row r="156" spans="1:120">
      <c r="A156" s="8">
        <v>153</v>
      </c>
      <c r="B156" s="8" t="s">
        <v>1707</v>
      </c>
      <c r="C156" s="34" t="s">
        <v>244</v>
      </c>
      <c r="D156" s="8" t="s">
        <v>1250</v>
      </c>
      <c r="E156" s="8" t="s">
        <v>1251</v>
      </c>
      <c r="F156" s="8" t="s">
        <v>1252</v>
      </c>
      <c r="G156" s="22" t="s">
        <v>1701</v>
      </c>
      <c r="H156" s="20" t="s">
        <v>1702</v>
      </c>
      <c r="I156" s="13">
        <v>28470000</v>
      </c>
      <c r="J156" s="8">
        <v>2026</v>
      </c>
      <c r="K156" s="22" t="s">
        <v>1703</v>
      </c>
      <c r="L156" s="22" t="s">
        <v>116</v>
      </c>
      <c r="M156" s="22"/>
      <c r="N156" s="8"/>
      <c r="O156" s="8" t="s">
        <v>1704</v>
      </c>
      <c r="P156" s="11">
        <v>1597</v>
      </c>
      <c r="Q156" s="12"/>
      <c r="R156" s="12"/>
      <c r="S156" s="12"/>
      <c r="T156" s="14" t="s">
        <v>556</v>
      </c>
      <c r="U156" s="12">
        <f t="shared" si="49"/>
        <v>1460</v>
      </c>
      <c r="V156" s="8" t="str">
        <f t="shared" ca="1" si="50"/>
        <v>-</v>
      </c>
      <c r="W156" s="9">
        <v>30000</v>
      </c>
      <c r="X156" s="22" t="s">
        <v>1258</v>
      </c>
      <c r="Y156" s="22" t="s">
        <v>1259</v>
      </c>
      <c r="Z156" s="22"/>
      <c r="AA156" s="76" t="s">
        <v>1260</v>
      </c>
      <c r="AB156" s="12"/>
      <c r="AC156" s="8">
        <f t="shared" si="51"/>
        <v>1460</v>
      </c>
      <c r="AD156" s="8">
        <f t="shared" ca="1" si="52"/>
        <v>-44766</v>
      </c>
      <c r="AE156" s="8" t="str">
        <f>VLOOKUP($B156, [1]렌트_계약서번호!$B$3:$E$501, 4, FALSE)</f>
        <v>00010143</v>
      </c>
      <c r="AF156" s="20">
        <v>28470000</v>
      </c>
      <c r="AG156" s="9"/>
      <c r="AH156" s="9">
        <f t="shared" si="46"/>
        <v>28819000</v>
      </c>
      <c r="AI156" s="9">
        <v>349000</v>
      </c>
      <c r="AJ156" s="9">
        <v>1900</v>
      </c>
      <c r="AK156" s="20">
        <v>2261790</v>
      </c>
      <c r="AL156" s="20">
        <v>69569</v>
      </c>
      <c r="AM156" s="20">
        <v>2000</v>
      </c>
      <c r="AN156" s="20">
        <v>45000</v>
      </c>
      <c r="AO156" s="20">
        <v>50000</v>
      </c>
      <c r="AP156" s="20"/>
      <c r="AQ156" s="20"/>
      <c r="AR156" s="20"/>
      <c r="AS156" s="20"/>
      <c r="AT156" s="20" t="s">
        <v>1225</v>
      </c>
      <c r="AU156" s="20"/>
      <c r="AV156" s="20"/>
      <c r="AW156" s="13" t="s">
        <v>124</v>
      </c>
      <c r="AX156" s="17"/>
      <c r="AY156" s="20"/>
      <c r="AZ156" s="20"/>
      <c r="BA156" s="20"/>
      <c r="BB156" s="20"/>
      <c r="BC156" s="23"/>
      <c r="BD156" s="9" t="s">
        <v>125</v>
      </c>
      <c r="BE156" s="9" t="s">
        <v>126</v>
      </c>
      <c r="BF156" s="9" t="s">
        <v>187</v>
      </c>
      <c r="BG156" s="9" t="s">
        <v>188</v>
      </c>
      <c r="BH156" s="9" t="s">
        <v>129</v>
      </c>
      <c r="BI156" s="9" t="s">
        <v>130</v>
      </c>
      <c r="BJ156" s="8" t="s">
        <v>256</v>
      </c>
      <c r="BK156" s="9" t="s">
        <v>132</v>
      </c>
      <c r="BL156" s="9" t="s">
        <v>133</v>
      </c>
      <c r="BM156" s="9" t="s">
        <v>133</v>
      </c>
      <c r="BN156" s="9" t="s">
        <v>133</v>
      </c>
      <c r="BO156" s="9" t="s">
        <v>817</v>
      </c>
      <c r="BP156" s="20"/>
      <c r="BQ156" s="22"/>
      <c r="BR156" s="9">
        <f t="shared" si="53"/>
        <v>28746</v>
      </c>
      <c r="BS156" s="8" t="s">
        <v>136</v>
      </c>
      <c r="BT156" s="22"/>
      <c r="BU156" s="22"/>
      <c r="BV156" s="22"/>
      <c r="BW156" s="22"/>
      <c r="BX156" s="22"/>
      <c r="BY156" s="22"/>
      <c r="BZ156" s="22"/>
      <c r="CA156" s="28"/>
      <c r="CB156" s="28" t="s">
        <v>385</v>
      </c>
      <c r="CC156" s="28" t="s">
        <v>385</v>
      </c>
      <c r="CD156" s="20">
        <v>491000</v>
      </c>
      <c r="CE156" s="13">
        <v>48</v>
      </c>
      <c r="CF156" s="9">
        <f t="shared" si="54"/>
        <v>23568000</v>
      </c>
      <c r="CG156" s="9">
        <v>8541000</v>
      </c>
      <c r="CH156" s="9">
        <v>0</v>
      </c>
      <c r="CI156" s="20">
        <v>16637900</v>
      </c>
      <c r="CJ156" s="69">
        <v>-0.04</v>
      </c>
      <c r="CK156" s="72">
        <v>0.06</v>
      </c>
      <c r="CL156" s="31" t="s">
        <v>1262</v>
      </c>
      <c r="CM156" s="22"/>
      <c r="CN156" s="22"/>
      <c r="CO156" s="27">
        <v>0.03</v>
      </c>
      <c r="CP156" s="22"/>
      <c r="CQ156" s="74" t="s">
        <v>879</v>
      </c>
      <c r="CR156" s="74"/>
      <c r="CS156" s="32" t="s">
        <v>1086</v>
      </c>
      <c r="CT156" s="74"/>
      <c r="CU156" s="22"/>
      <c r="CV156" s="22"/>
      <c r="CW156" s="22"/>
      <c r="CX156" s="22"/>
      <c r="CY156" s="22"/>
      <c r="CZ156" s="22"/>
      <c r="DA156" s="32"/>
      <c r="DB156" s="32" t="str">
        <f>IF(DC156="정수원 실장","기아", IF(DC156="박현식 부장", "현대", IF(DC156="김성진 팀장", "한성", IF(DC156="전석영 부장", "한성", IF(DC156= "박봉호 부장", "모토원",IF(DC156="정원철 부장", "한성"))))))</f>
        <v>기아</v>
      </c>
      <c r="DC156" s="32" t="s">
        <v>260</v>
      </c>
      <c r="DD156" s="32" t="s">
        <v>819</v>
      </c>
      <c r="DE156" s="22"/>
      <c r="DF156" s="22" t="s">
        <v>705</v>
      </c>
      <c r="DG156" s="22" t="s">
        <v>1263</v>
      </c>
      <c r="DH156" s="22" t="s">
        <v>1264</v>
      </c>
      <c r="DI156" s="22" t="s">
        <v>1260</v>
      </c>
      <c r="DJ156" s="71">
        <v>0.35</v>
      </c>
      <c r="DK156" s="22">
        <v>0.25</v>
      </c>
      <c r="DL156" s="22" t="s">
        <v>1265</v>
      </c>
      <c r="DM156" s="20">
        <v>1440664</v>
      </c>
      <c r="DN156" s="22"/>
      <c r="DO156" s="22"/>
      <c r="DP156" s="71"/>
    </row>
    <row r="157" spans="1:120">
      <c r="A157" s="8">
        <v>154</v>
      </c>
      <c r="B157" s="8" t="s">
        <v>1708</v>
      </c>
      <c r="C157" s="34" t="s">
        <v>244</v>
      </c>
      <c r="D157" s="8" t="s">
        <v>1250</v>
      </c>
      <c r="E157" s="8" t="s">
        <v>1251</v>
      </c>
      <c r="F157" s="8" t="s">
        <v>1252</v>
      </c>
      <c r="G157" s="22" t="s">
        <v>1701</v>
      </c>
      <c r="H157" s="20" t="s">
        <v>1702</v>
      </c>
      <c r="I157" s="13">
        <v>28470000</v>
      </c>
      <c r="J157" s="8">
        <v>2026</v>
      </c>
      <c r="K157" s="22" t="s">
        <v>1703</v>
      </c>
      <c r="L157" s="22" t="s">
        <v>116</v>
      </c>
      <c r="M157" s="22"/>
      <c r="N157" s="8"/>
      <c r="O157" s="8" t="s">
        <v>1704</v>
      </c>
      <c r="P157" s="11">
        <v>1597</v>
      </c>
      <c r="Q157" s="12"/>
      <c r="R157" s="12"/>
      <c r="S157" s="12"/>
      <c r="T157" s="14" t="s">
        <v>556</v>
      </c>
      <c r="U157" s="12">
        <f t="shared" si="49"/>
        <v>1460</v>
      </c>
      <c r="V157" s="8" t="str">
        <f t="shared" ca="1" si="50"/>
        <v>-</v>
      </c>
      <c r="W157" s="9">
        <v>30000</v>
      </c>
      <c r="X157" s="22" t="s">
        <v>1258</v>
      </c>
      <c r="Y157" s="22" t="s">
        <v>1259</v>
      </c>
      <c r="Z157" s="22"/>
      <c r="AA157" s="76" t="s">
        <v>1260</v>
      </c>
      <c r="AB157" s="12"/>
      <c r="AC157" s="8">
        <f t="shared" si="51"/>
        <v>1460</v>
      </c>
      <c r="AD157" s="8">
        <f t="shared" ca="1" si="52"/>
        <v>-44766</v>
      </c>
      <c r="AE157" s="8" t="str">
        <f>VLOOKUP($B157, [1]렌트_계약서번호!$B$3:$E$501, 4, FALSE)</f>
        <v>00010144</v>
      </c>
      <c r="AF157" s="20">
        <v>28470000</v>
      </c>
      <c r="AG157" s="9"/>
      <c r="AH157" s="9">
        <f t="shared" si="46"/>
        <v>28819000</v>
      </c>
      <c r="AI157" s="9">
        <v>349000</v>
      </c>
      <c r="AJ157" s="9">
        <v>1900</v>
      </c>
      <c r="AK157" s="20">
        <v>2261790</v>
      </c>
      <c r="AL157" s="20">
        <v>69569</v>
      </c>
      <c r="AM157" s="20">
        <v>2000</v>
      </c>
      <c r="AN157" s="20">
        <v>45000</v>
      </c>
      <c r="AO157" s="20">
        <v>50000</v>
      </c>
      <c r="AP157" s="20"/>
      <c r="AQ157" s="20"/>
      <c r="AR157" s="20"/>
      <c r="AS157" s="20"/>
      <c r="AT157" s="20" t="s">
        <v>1225</v>
      </c>
      <c r="AU157" s="20"/>
      <c r="AV157" s="20"/>
      <c r="AW157" s="13" t="s">
        <v>124</v>
      </c>
      <c r="AX157" s="17"/>
      <c r="AY157" s="20"/>
      <c r="AZ157" s="20"/>
      <c r="BA157" s="20"/>
      <c r="BB157" s="20"/>
      <c r="BC157" s="23"/>
      <c r="BD157" s="9" t="s">
        <v>125</v>
      </c>
      <c r="BE157" s="9" t="s">
        <v>126</v>
      </c>
      <c r="BF157" s="9" t="s">
        <v>187</v>
      </c>
      <c r="BG157" s="9" t="s">
        <v>188</v>
      </c>
      <c r="BH157" s="9" t="s">
        <v>129</v>
      </c>
      <c r="BI157" s="9" t="s">
        <v>130</v>
      </c>
      <c r="BJ157" s="8" t="s">
        <v>256</v>
      </c>
      <c r="BK157" s="9" t="s">
        <v>132</v>
      </c>
      <c r="BL157" s="9" t="s">
        <v>133</v>
      </c>
      <c r="BM157" s="9" t="s">
        <v>133</v>
      </c>
      <c r="BN157" s="9" t="s">
        <v>133</v>
      </c>
      <c r="BO157" s="9" t="s">
        <v>817</v>
      </c>
      <c r="BP157" s="20"/>
      <c r="BQ157" s="22"/>
      <c r="BR157" s="9">
        <f t="shared" si="53"/>
        <v>28746</v>
      </c>
      <c r="BS157" s="8" t="s">
        <v>136</v>
      </c>
      <c r="BT157" s="22"/>
      <c r="BU157" s="22"/>
      <c r="BV157" s="22"/>
      <c r="BW157" s="22"/>
      <c r="BX157" s="22"/>
      <c r="BY157" s="22"/>
      <c r="BZ157" s="22"/>
      <c r="CA157" s="28"/>
      <c r="CB157" s="28" t="s">
        <v>385</v>
      </c>
      <c r="CC157" s="28" t="s">
        <v>385</v>
      </c>
      <c r="CD157" s="20">
        <v>491000</v>
      </c>
      <c r="CE157" s="13">
        <v>48</v>
      </c>
      <c r="CF157" s="9">
        <f t="shared" si="54"/>
        <v>23568000</v>
      </c>
      <c r="CG157" s="9">
        <v>8541000</v>
      </c>
      <c r="CH157" s="9">
        <v>0</v>
      </c>
      <c r="CI157" s="20">
        <v>16637900</v>
      </c>
      <c r="CJ157" s="69">
        <v>-0.04</v>
      </c>
      <c r="CK157" s="72">
        <v>0.06</v>
      </c>
      <c r="CL157" s="31" t="s">
        <v>1262</v>
      </c>
      <c r="CM157" s="22"/>
      <c r="CN157" s="22"/>
      <c r="CO157" s="27">
        <v>0.03</v>
      </c>
      <c r="CP157" s="22"/>
      <c r="CQ157" s="74" t="s">
        <v>879</v>
      </c>
      <c r="CR157" s="74"/>
      <c r="CS157" s="32" t="s">
        <v>1086</v>
      </c>
      <c r="CT157" s="74"/>
      <c r="CU157" s="22"/>
      <c r="CV157" s="22"/>
      <c r="CW157" s="22"/>
      <c r="CX157" s="22"/>
      <c r="CY157" s="22"/>
      <c r="CZ157" s="22"/>
      <c r="DA157" s="32"/>
      <c r="DB157" s="32" t="str">
        <f>IF(DC157="정수원 실장","기아", IF(DC157="박현식 부장", "현대", IF(DC157="김성진 팀장", "한성", IF(DC157="전석영 부장", "한성", IF(DC157= "박봉호 부장", "모토원",IF(DC157="정원철 부장", "한성"))))))</f>
        <v>기아</v>
      </c>
      <c r="DC157" s="32" t="s">
        <v>260</v>
      </c>
      <c r="DD157" s="32" t="s">
        <v>819</v>
      </c>
      <c r="DE157" s="22"/>
      <c r="DF157" s="22" t="s">
        <v>705</v>
      </c>
      <c r="DG157" s="22" t="s">
        <v>1263</v>
      </c>
      <c r="DH157" s="22" t="s">
        <v>1264</v>
      </c>
      <c r="DI157" s="22" t="s">
        <v>1260</v>
      </c>
      <c r="DJ157" s="71">
        <v>0.35</v>
      </c>
      <c r="DK157" s="22">
        <v>0.25</v>
      </c>
      <c r="DL157" s="22" t="s">
        <v>1265</v>
      </c>
      <c r="DM157" s="20">
        <v>1440664</v>
      </c>
      <c r="DN157" s="22"/>
      <c r="DO157" s="22"/>
      <c r="DP157" s="71"/>
    </row>
    <row r="158" spans="1:120">
      <c r="A158" s="8">
        <v>155</v>
      </c>
      <c r="B158" s="8" t="s">
        <v>1709</v>
      </c>
      <c r="C158" s="34" t="s">
        <v>244</v>
      </c>
      <c r="D158" s="8" t="s">
        <v>1556</v>
      </c>
      <c r="E158" s="8" t="s">
        <v>209</v>
      </c>
      <c r="F158" s="8" t="s">
        <v>210</v>
      </c>
      <c r="G158" s="8" t="s">
        <v>191</v>
      </c>
      <c r="H158" s="8" t="s">
        <v>1710</v>
      </c>
      <c r="I158" s="9">
        <v>97340000</v>
      </c>
      <c r="J158" s="8">
        <v>2026</v>
      </c>
      <c r="K158" s="10" t="s">
        <v>212</v>
      </c>
      <c r="L158" s="10" t="s">
        <v>116</v>
      </c>
      <c r="M158" s="8" t="s">
        <v>1711</v>
      </c>
      <c r="N158" s="8" t="s">
        <v>1712</v>
      </c>
      <c r="O158" s="8" t="s">
        <v>1713</v>
      </c>
      <c r="P158" s="11">
        <v>3470</v>
      </c>
      <c r="Q158" s="12">
        <v>46191</v>
      </c>
      <c r="R158" s="12">
        <v>46178</v>
      </c>
      <c r="S158" s="12">
        <v>46193</v>
      </c>
      <c r="T158" s="14" t="s">
        <v>1175</v>
      </c>
      <c r="U158" s="12">
        <f t="shared" si="49"/>
        <v>46558</v>
      </c>
      <c r="V158" s="8">
        <f t="shared" ca="1" si="50"/>
        <v>10</v>
      </c>
      <c r="W158" s="16">
        <v>30000</v>
      </c>
      <c r="X158" s="8" t="s">
        <v>1714</v>
      </c>
      <c r="Y158" s="8" t="s">
        <v>1715</v>
      </c>
      <c r="Z158" s="22"/>
      <c r="AA158" s="12" t="s">
        <v>1561</v>
      </c>
      <c r="AB158" s="12">
        <v>46203</v>
      </c>
      <c r="AC158" s="8">
        <f t="shared" si="51"/>
        <v>365</v>
      </c>
      <c r="AD158" s="20">
        <f t="shared" ca="1" si="52"/>
        <v>332</v>
      </c>
      <c r="AE158" s="8" t="str">
        <f>VLOOKUP($B158, [1]렌트_계약서번호!$B$3:$E$501, 4, FALSE)</f>
        <v>26060145</v>
      </c>
      <c r="AF158" s="20">
        <v>97340000</v>
      </c>
      <c r="AG158" s="9">
        <v>0</v>
      </c>
      <c r="AH158" s="9">
        <f t="shared" si="46"/>
        <v>97727000</v>
      </c>
      <c r="AI158" s="9">
        <v>387000</v>
      </c>
      <c r="AJ158" s="9">
        <v>1900</v>
      </c>
      <c r="AK158" s="20">
        <v>3374590</v>
      </c>
      <c r="AL158" s="20">
        <v>278025</v>
      </c>
      <c r="AM158" s="20">
        <v>2000</v>
      </c>
      <c r="AN158" s="20">
        <v>45000</v>
      </c>
      <c r="AO158" s="20">
        <v>50000</v>
      </c>
      <c r="AP158" s="20"/>
      <c r="AQ158" s="9"/>
      <c r="AR158" s="9" t="s">
        <v>145</v>
      </c>
      <c r="AS158" s="9">
        <v>190000</v>
      </c>
      <c r="AT158" s="20" t="s">
        <v>1716</v>
      </c>
      <c r="AU158" s="18"/>
      <c r="AV158" s="13"/>
      <c r="AW158" s="13" t="s">
        <v>158</v>
      </c>
      <c r="AX158" s="17"/>
      <c r="AY158" s="18"/>
      <c r="AZ158" s="9"/>
      <c r="BA158" s="9"/>
      <c r="BB158" s="9"/>
      <c r="BC158" s="9"/>
      <c r="BD158" s="9" t="s">
        <v>125</v>
      </c>
      <c r="BE158" s="9" t="s">
        <v>126</v>
      </c>
      <c r="BF158" s="9" t="s">
        <v>187</v>
      </c>
      <c r="BG158" s="9" t="s">
        <v>188</v>
      </c>
      <c r="BH158" s="9" t="s">
        <v>129</v>
      </c>
      <c r="BI158" s="9" t="s">
        <v>189</v>
      </c>
      <c r="BJ158" s="8" t="s">
        <v>256</v>
      </c>
      <c r="BK158" s="9" t="s">
        <v>132</v>
      </c>
      <c r="BL158" s="9" t="s">
        <v>133</v>
      </c>
      <c r="BM158" s="9" t="s">
        <v>133</v>
      </c>
      <c r="BN158" s="9" t="s">
        <v>134</v>
      </c>
      <c r="BO158" s="9" t="s">
        <v>134</v>
      </c>
      <c r="BP158" s="9"/>
      <c r="BQ158" s="8"/>
      <c r="BR158" s="9">
        <f>IF(T158&lt;=1600,T158*18,IF(T158&lt;=2500,T158*19,IF(T158&gt;2500,T158*24,20000)))</f>
        <v>24</v>
      </c>
      <c r="BS158" s="8" t="s">
        <v>136</v>
      </c>
      <c r="BT158" s="19"/>
      <c r="BU158" s="9"/>
      <c r="BV158" s="26"/>
      <c r="BW158" s="9"/>
      <c r="BX158" s="9"/>
      <c r="BY158" s="9"/>
      <c r="BZ158" s="27"/>
      <c r="CA158" s="8"/>
      <c r="CB158" s="28" t="s">
        <v>504</v>
      </c>
      <c r="CC158" s="28" t="s">
        <v>504</v>
      </c>
      <c r="CD158" s="9">
        <v>2560000</v>
      </c>
      <c r="CE158" s="9">
        <v>11</v>
      </c>
      <c r="CF158" s="9">
        <f t="shared" si="54"/>
        <v>28160000</v>
      </c>
      <c r="CG158" s="9">
        <v>8100000</v>
      </c>
      <c r="CH158" s="9">
        <v>0</v>
      </c>
      <c r="CI158" s="9" t="s">
        <v>799</v>
      </c>
      <c r="CJ158" s="29">
        <v>0.03</v>
      </c>
      <c r="CK158" s="30">
        <v>0.06</v>
      </c>
      <c r="CL158" s="31" t="s">
        <v>1557</v>
      </c>
      <c r="CM158" s="31" t="s">
        <v>1558</v>
      </c>
      <c r="CN158" s="9"/>
      <c r="CO158" s="27">
        <v>0.03</v>
      </c>
      <c r="CP158" s="2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 t="s">
        <v>232</v>
      </c>
      <c r="DC158" s="32" t="s">
        <v>801</v>
      </c>
      <c r="DD158" s="32" t="s">
        <v>819</v>
      </c>
      <c r="DE158" s="32" t="s">
        <v>1556</v>
      </c>
      <c r="DF158" s="32" t="s">
        <v>460</v>
      </c>
      <c r="DG158" s="32" t="s">
        <v>1559</v>
      </c>
      <c r="DH158" s="32" t="s">
        <v>1560</v>
      </c>
      <c r="DI158" s="32" t="s">
        <v>1561</v>
      </c>
      <c r="DJ158" s="22">
        <v>0.35</v>
      </c>
      <c r="DK158" s="22">
        <v>0.25</v>
      </c>
      <c r="DL158" s="32" t="s">
        <v>1562</v>
      </c>
      <c r="DM158" s="20">
        <v>4925683</v>
      </c>
      <c r="DN158" s="32"/>
      <c r="DO158" s="32"/>
      <c r="DP158" s="22"/>
    </row>
    <row r="159" spans="1:120">
      <c r="A159" s="8">
        <v>156</v>
      </c>
      <c r="B159" s="8" t="s">
        <v>1717</v>
      </c>
      <c r="C159" s="34" t="s">
        <v>244</v>
      </c>
      <c r="D159" s="8" t="s">
        <v>1718</v>
      </c>
      <c r="E159" s="8" t="s">
        <v>1719</v>
      </c>
      <c r="F159" s="8" t="s">
        <v>1720</v>
      </c>
      <c r="G159" s="22" t="s">
        <v>1721</v>
      </c>
      <c r="H159" s="20" t="s">
        <v>1722</v>
      </c>
      <c r="I159" s="13">
        <v>49990000</v>
      </c>
      <c r="J159" s="8">
        <v>2026</v>
      </c>
      <c r="K159" s="22" t="s">
        <v>1723</v>
      </c>
      <c r="L159" s="22" t="s">
        <v>1039</v>
      </c>
      <c r="M159" s="22"/>
      <c r="N159" s="8"/>
      <c r="O159" s="8" t="s">
        <v>1724</v>
      </c>
      <c r="P159" s="11"/>
      <c r="Q159" s="12"/>
      <c r="R159" s="12">
        <v>46195</v>
      </c>
      <c r="S159" s="12" t="s">
        <v>119</v>
      </c>
      <c r="T159" s="14" t="s">
        <v>120</v>
      </c>
      <c r="U159" s="12" t="str">
        <f t="shared" si="49"/>
        <v>-</v>
      </c>
      <c r="V159" s="8" t="str">
        <f t="shared" ca="1" si="50"/>
        <v>-</v>
      </c>
      <c r="W159" s="16">
        <v>20000</v>
      </c>
      <c r="X159" s="8" t="s">
        <v>1719</v>
      </c>
      <c r="Y159" s="8" t="s">
        <v>1720</v>
      </c>
      <c r="Z159" s="22"/>
      <c r="AA159" s="12"/>
      <c r="AB159" s="12"/>
      <c r="AC159" s="8">
        <f t="shared" si="51"/>
        <v>1825</v>
      </c>
      <c r="AD159" s="22"/>
      <c r="AE159" s="8" t="str">
        <f>VLOOKUP($B159, [1]렌트_계약서번호!$B$3:$E$501, 4, FALSE)</f>
        <v>26060146</v>
      </c>
      <c r="AF159" s="20">
        <v>49990000</v>
      </c>
      <c r="AG159" s="9"/>
      <c r="AH159" s="9">
        <f t="shared" si="46"/>
        <v>49990000</v>
      </c>
      <c r="AI159" s="9"/>
      <c r="AJ159" s="9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13" t="s">
        <v>158</v>
      </c>
      <c r="AX159" s="17"/>
      <c r="AY159" s="20"/>
      <c r="AZ159" s="20"/>
      <c r="BA159" s="20"/>
      <c r="BB159" s="20"/>
      <c r="BC159" s="23"/>
      <c r="BD159" s="9" t="s">
        <v>125</v>
      </c>
      <c r="BE159" s="9" t="s">
        <v>126</v>
      </c>
      <c r="BF159" s="9" t="s">
        <v>255</v>
      </c>
      <c r="BG159" s="9" t="s">
        <v>128</v>
      </c>
      <c r="BH159" s="9" t="s">
        <v>129</v>
      </c>
      <c r="BI159" s="9" t="s">
        <v>130</v>
      </c>
      <c r="BJ159" s="8" t="s">
        <v>256</v>
      </c>
      <c r="BK159" s="9" t="s">
        <v>132</v>
      </c>
      <c r="BL159" s="9" t="s">
        <v>257</v>
      </c>
      <c r="BM159" s="9" t="s">
        <v>257</v>
      </c>
      <c r="BN159" s="9" t="s">
        <v>257</v>
      </c>
      <c r="BO159" s="9" t="s">
        <v>134</v>
      </c>
      <c r="BP159" s="8"/>
      <c r="BQ159" s="23"/>
      <c r="BR159" s="23">
        <f>IF(T159&lt;=1600,T159*18,IF(T159&lt;=2500,T159*19,IF(T159&gt;2500,T159*24,20000)))</f>
        <v>120</v>
      </c>
      <c r="BS159" s="8" t="s">
        <v>136</v>
      </c>
      <c r="BT159" s="23"/>
      <c r="BU159" s="23"/>
      <c r="BV159" s="8"/>
      <c r="BW159" s="23"/>
      <c r="BX159" s="23"/>
      <c r="BY159" s="23"/>
      <c r="BZ159" s="23"/>
      <c r="CA159" s="23"/>
      <c r="CB159" s="8"/>
      <c r="CC159" s="8"/>
      <c r="CD159" s="78">
        <v>435000</v>
      </c>
      <c r="CE159" s="13">
        <v>60</v>
      </c>
      <c r="CF159" s="78">
        <f t="shared" si="54"/>
        <v>26100000</v>
      </c>
      <c r="CG159" s="78">
        <v>0</v>
      </c>
      <c r="CH159" s="78">
        <v>14331000</v>
      </c>
      <c r="CI159" s="78">
        <v>26273500</v>
      </c>
      <c r="CJ159" s="29">
        <v>1.4999999999999999E-2</v>
      </c>
      <c r="CK159" s="30">
        <v>0.06</v>
      </c>
      <c r="CL159" s="8"/>
      <c r="CM159" s="8"/>
      <c r="CN159" s="8"/>
      <c r="CO159" s="27">
        <v>0.03</v>
      </c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 t="s">
        <v>1662</v>
      </c>
      <c r="DC159" s="23" t="s">
        <v>1663</v>
      </c>
      <c r="DD159" s="23" t="s">
        <v>819</v>
      </c>
      <c r="DE159" s="8" t="s">
        <v>1725</v>
      </c>
      <c r="DF159" s="8" t="s">
        <v>416</v>
      </c>
      <c r="DG159" s="8" t="s">
        <v>1726</v>
      </c>
      <c r="DH159" s="8" t="s">
        <v>1727</v>
      </c>
      <c r="DI159" s="8" t="s">
        <v>1728</v>
      </c>
      <c r="DJ159" s="22">
        <v>0.35</v>
      </c>
      <c r="DK159" s="22">
        <v>0.25</v>
      </c>
      <c r="DL159" s="8"/>
      <c r="DM159" s="78"/>
      <c r="DN159" s="23"/>
      <c r="DO159" s="23"/>
      <c r="DP159" s="23"/>
    </row>
    <row r="160" spans="1:120">
      <c r="A160" s="8">
        <v>157</v>
      </c>
      <c r="B160" s="8" t="s">
        <v>1729</v>
      </c>
      <c r="C160" s="34" t="s">
        <v>244</v>
      </c>
      <c r="D160" s="8" t="s">
        <v>1372</v>
      </c>
      <c r="E160" s="8" t="s">
        <v>1373</v>
      </c>
      <c r="F160" s="8" t="s">
        <v>1374</v>
      </c>
      <c r="G160" s="22" t="s">
        <v>191</v>
      </c>
      <c r="H160" s="20" t="s">
        <v>1730</v>
      </c>
      <c r="I160" s="13">
        <v>84350000</v>
      </c>
      <c r="J160" s="8">
        <v>2026</v>
      </c>
      <c r="K160" s="22" t="s">
        <v>1731</v>
      </c>
      <c r="L160" s="22" t="s">
        <v>116</v>
      </c>
      <c r="M160" s="22" t="s">
        <v>1732</v>
      </c>
      <c r="N160" s="8" t="s">
        <v>1733</v>
      </c>
      <c r="O160" s="8" t="s">
        <v>1734</v>
      </c>
      <c r="P160" s="11">
        <v>2489</v>
      </c>
      <c r="Q160" s="12">
        <v>46210</v>
      </c>
      <c r="R160" s="12">
        <v>46195</v>
      </c>
      <c r="S160" s="12">
        <v>46211</v>
      </c>
      <c r="T160" s="14" t="s">
        <v>556</v>
      </c>
      <c r="U160" s="12">
        <f t="shared" si="49"/>
        <v>47671</v>
      </c>
      <c r="V160" s="16">
        <f t="shared" ca="1" si="50"/>
        <v>47</v>
      </c>
      <c r="W160" s="9">
        <v>30000</v>
      </c>
      <c r="X160" s="22" t="s">
        <v>1735</v>
      </c>
      <c r="Y160" s="79" t="s">
        <v>1736</v>
      </c>
      <c r="Z160" s="22"/>
      <c r="AA160" s="12" t="s">
        <v>1463</v>
      </c>
      <c r="AB160" s="12">
        <v>46234</v>
      </c>
      <c r="AC160" s="8">
        <f t="shared" si="51"/>
        <v>1460</v>
      </c>
      <c r="AD160" s="8">
        <f t="shared" ref="AD160:AD164" ca="1" si="55">U160-TODAY()</f>
        <v>1445</v>
      </c>
      <c r="AE160" s="8" t="str">
        <f>VLOOKUP($B160, [1]렌트_계약서번호!$B$3:$E$501, 4, FALSE)</f>
        <v>26060147</v>
      </c>
      <c r="AF160" s="20">
        <v>84350000</v>
      </c>
      <c r="AG160" s="9"/>
      <c r="AH160" s="9">
        <f t="shared" si="46"/>
        <v>84742000</v>
      </c>
      <c r="AI160" s="9">
        <v>392000</v>
      </c>
      <c r="AJ160" s="9">
        <v>1900</v>
      </c>
      <c r="AK160" s="20"/>
      <c r="AL160" s="20"/>
      <c r="AM160" s="20"/>
      <c r="AN160" s="20"/>
      <c r="AO160" s="20"/>
      <c r="AP160" s="20"/>
      <c r="AQ160" s="20"/>
      <c r="AR160" s="20" t="s">
        <v>1628</v>
      </c>
      <c r="AS160" s="20">
        <v>198000</v>
      </c>
      <c r="AT160" s="9"/>
      <c r="AU160" s="20"/>
      <c r="AV160" s="20"/>
      <c r="AW160" s="13" t="s">
        <v>124</v>
      </c>
      <c r="AX160" s="17"/>
      <c r="AY160" s="20"/>
      <c r="AZ160" s="20"/>
      <c r="BA160" s="20"/>
      <c r="BB160" s="20"/>
      <c r="BC160" s="23"/>
      <c r="BD160" s="9" t="s">
        <v>125</v>
      </c>
      <c r="BE160" s="9" t="s">
        <v>126</v>
      </c>
      <c r="BF160" s="9" t="s">
        <v>187</v>
      </c>
      <c r="BG160" s="9" t="s">
        <v>188</v>
      </c>
      <c r="BH160" s="9" t="s">
        <v>129</v>
      </c>
      <c r="BI160" s="9" t="s">
        <v>189</v>
      </c>
      <c r="BJ160" s="8" t="s">
        <v>256</v>
      </c>
      <c r="BK160" s="9" t="s">
        <v>132</v>
      </c>
      <c r="BL160" s="9" t="s">
        <v>133</v>
      </c>
      <c r="BM160" s="9" t="s">
        <v>133</v>
      </c>
      <c r="BN160" s="9" t="s">
        <v>133</v>
      </c>
      <c r="BO160" s="9" t="s">
        <v>817</v>
      </c>
      <c r="BP160" s="8"/>
      <c r="BQ160" s="23"/>
      <c r="BR160" s="9">
        <f t="shared" ref="BR160:BR164" si="56">IF(P160&lt;=1600,P160*18,IF(P160&lt;=2500,P160*19,IF(P160&gt;2500,P160*24,20000)))</f>
        <v>47291</v>
      </c>
      <c r="BS160" s="8" t="s">
        <v>136</v>
      </c>
      <c r="BT160" s="23"/>
      <c r="BU160" s="23"/>
      <c r="BV160" s="8"/>
      <c r="BW160" s="23"/>
      <c r="BX160" s="23"/>
      <c r="BY160" s="23"/>
      <c r="BZ160" s="23"/>
      <c r="CA160" s="23"/>
      <c r="CB160" s="28" t="s">
        <v>504</v>
      </c>
      <c r="CC160" s="28" t="s">
        <v>504</v>
      </c>
      <c r="CD160" s="78">
        <v>1353900</v>
      </c>
      <c r="CE160" s="13">
        <v>48</v>
      </c>
      <c r="CF160" s="78">
        <f t="shared" si="54"/>
        <v>64987200</v>
      </c>
      <c r="CG160" s="78">
        <v>25305000</v>
      </c>
      <c r="CH160" s="78"/>
      <c r="CI160" s="78">
        <v>46139349</v>
      </c>
      <c r="CJ160" s="69">
        <v>0.03</v>
      </c>
      <c r="CK160" s="72">
        <v>0.06</v>
      </c>
      <c r="CL160" s="56" t="s">
        <v>1384</v>
      </c>
      <c r="CM160" s="8"/>
      <c r="CN160" s="8"/>
      <c r="CO160" s="27">
        <v>0.03</v>
      </c>
      <c r="CP160" s="23"/>
      <c r="CQ160" s="23"/>
      <c r="CR160" s="23"/>
      <c r="CS160" s="32" t="s">
        <v>1086</v>
      </c>
      <c r="CT160" s="23" t="s">
        <v>1737</v>
      </c>
      <c r="CU160" s="23"/>
      <c r="CV160" s="23"/>
      <c r="CW160" s="23"/>
      <c r="CX160" s="23"/>
      <c r="CY160" s="23"/>
      <c r="CZ160" s="23"/>
      <c r="DA160" s="23"/>
      <c r="DB160" s="32" t="s">
        <v>232</v>
      </c>
      <c r="DC160" s="32" t="s">
        <v>801</v>
      </c>
      <c r="DD160" s="32" t="s">
        <v>561</v>
      </c>
      <c r="DE160" s="8" t="s">
        <v>1386</v>
      </c>
      <c r="DF160" s="8" t="s">
        <v>416</v>
      </c>
      <c r="DG160" s="8" t="s">
        <v>1387</v>
      </c>
      <c r="DH160" s="8" t="s">
        <v>1388</v>
      </c>
      <c r="DI160" s="8" t="s">
        <v>1389</v>
      </c>
      <c r="DJ160" s="71">
        <v>0.35</v>
      </c>
      <c r="DK160" s="22">
        <v>0.25</v>
      </c>
      <c r="DL160" s="8" t="s">
        <v>1390</v>
      </c>
      <c r="DM160" s="78">
        <v>4268352</v>
      </c>
      <c r="DN160" s="23"/>
      <c r="DO160" s="23"/>
      <c r="DP160" s="23"/>
    </row>
    <row r="161" spans="1:120">
      <c r="A161" s="8">
        <v>158</v>
      </c>
      <c r="B161" s="8" t="s">
        <v>1738</v>
      </c>
      <c r="C161" s="34" t="s">
        <v>244</v>
      </c>
      <c r="D161" s="8" t="s">
        <v>851</v>
      </c>
      <c r="E161" s="8" t="s">
        <v>1739</v>
      </c>
      <c r="F161" s="8" t="s">
        <v>853</v>
      </c>
      <c r="G161" s="8" t="s">
        <v>152</v>
      </c>
      <c r="H161" s="8" t="s">
        <v>153</v>
      </c>
      <c r="I161" s="9">
        <v>19269900</v>
      </c>
      <c r="J161" s="8">
        <v>2022</v>
      </c>
      <c r="K161" s="10" t="s">
        <v>695</v>
      </c>
      <c r="L161" s="10" t="s">
        <v>116</v>
      </c>
      <c r="M161" s="8" t="s">
        <v>854</v>
      </c>
      <c r="N161" s="8" t="s">
        <v>855</v>
      </c>
      <c r="O161" s="8" t="s">
        <v>119</v>
      </c>
      <c r="P161" s="11">
        <v>2497</v>
      </c>
      <c r="Q161" s="12">
        <v>44742</v>
      </c>
      <c r="R161" s="12">
        <v>46197</v>
      </c>
      <c r="S161" s="12">
        <v>46204</v>
      </c>
      <c r="T161" s="14" t="s">
        <v>1175</v>
      </c>
      <c r="U161" s="12">
        <f t="shared" si="49"/>
        <v>46569</v>
      </c>
      <c r="V161" s="8">
        <f t="shared" ca="1" si="50"/>
        <v>11</v>
      </c>
      <c r="W161" s="16">
        <v>20000</v>
      </c>
      <c r="X161" s="9" t="s">
        <v>856</v>
      </c>
      <c r="Y161" s="9" t="s">
        <v>857</v>
      </c>
      <c r="Z161" s="9"/>
      <c r="AA161" s="9" t="s">
        <v>858</v>
      </c>
      <c r="AB161" s="12">
        <v>46208</v>
      </c>
      <c r="AC161" s="8">
        <f t="shared" si="51"/>
        <v>365</v>
      </c>
      <c r="AD161" s="8">
        <f t="shared" ca="1" si="55"/>
        <v>343</v>
      </c>
      <c r="AE161" s="8" t="str">
        <f>VLOOKUP($B161, [1]렌트_계약서번호!$B$3:$E$501, 4, FALSE)</f>
        <v>26060148</v>
      </c>
      <c r="AF161" s="9">
        <v>34310404</v>
      </c>
      <c r="AG161" s="9">
        <f>AF161*6%</f>
        <v>2058624.24</v>
      </c>
      <c r="AH161" s="9">
        <f t="shared" ref="AH161:AH162" si="57">AF161-AG161</f>
        <v>32251779.760000002</v>
      </c>
      <c r="AI161" s="9"/>
      <c r="AJ161" s="9"/>
      <c r="AK161" s="9">
        <v>1310370</v>
      </c>
      <c r="AL161" s="9">
        <v>123060</v>
      </c>
      <c r="AM161" s="9">
        <v>2000</v>
      </c>
      <c r="AN161" s="9">
        <v>4500</v>
      </c>
      <c r="AO161" s="9">
        <v>50000</v>
      </c>
      <c r="AP161" s="9">
        <v>1087000</v>
      </c>
      <c r="AQ161" s="9">
        <v>154000</v>
      </c>
      <c r="AR161" s="9" t="s">
        <v>859</v>
      </c>
      <c r="AS161" s="9">
        <v>198000</v>
      </c>
      <c r="AT161" s="9" t="s">
        <v>701</v>
      </c>
      <c r="AU161" s="9">
        <f>1510350</f>
        <v>1510350</v>
      </c>
      <c r="AV161" s="57">
        <f t="shared" ref="AV161" si="58">SUM(AI161,AJ161,AM161,AN161,AO161, AQ161,AS161+AK161+AL161)</f>
        <v>1841930</v>
      </c>
      <c r="AW161" s="8" t="s">
        <v>124</v>
      </c>
      <c r="AX161" s="17">
        <v>44742</v>
      </c>
      <c r="AY161" s="9">
        <v>1182390</v>
      </c>
      <c r="AZ161" s="9"/>
      <c r="BA161" s="9"/>
      <c r="BB161" s="9"/>
      <c r="BC161" s="9"/>
      <c r="BD161" s="9" t="s">
        <v>125</v>
      </c>
      <c r="BE161" s="9" t="s">
        <v>126</v>
      </c>
      <c r="BF161" s="9" t="s">
        <v>255</v>
      </c>
      <c r="BG161" s="9" t="s">
        <v>128</v>
      </c>
      <c r="BH161" s="9" t="s">
        <v>129</v>
      </c>
      <c r="BI161" s="9" t="s">
        <v>130</v>
      </c>
      <c r="BJ161" s="8" t="s">
        <v>256</v>
      </c>
      <c r="BK161" s="9" t="s">
        <v>132</v>
      </c>
      <c r="BL161" s="9" t="s">
        <v>133</v>
      </c>
      <c r="BM161" s="9" t="s">
        <v>257</v>
      </c>
      <c r="BN161" s="9" t="s">
        <v>134</v>
      </c>
      <c r="BO161" s="9" t="s">
        <v>134</v>
      </c>
      <c r="BP161" s="9"/>
      <c r="BQ161" s="8"/>
      <c r="BR161" s="9">
        <f t="shared" si="56"/>
        <v>47443</v>
      </c>
      <c r="BS161" s="8" t="s">
        <v>136</v>
      </c>
      <c r="BT161" s="19"/>
      <c r="BU161" s="9"/>
      <c r="BV161" s="26"/>
      <c r="BW161" s="9"/>
      <c r="BX161" s="9"/>
      <c r="BY161" s="9"/>
      <c r="BZ161" s="27">
        <v>0</v>
      </c>
      <c r="CA161" s="1"/>
      <c r="CB161" s="28" t="s">
        <v>120</v>
      </c>
      <c r="CC161" s="28" t="s">
        <v>120</v>
      </c>
      <c r="CD161" s="9">
        <v>523000</v>
      </c>
      <c r="CE161" s="9">
        <f t="shared" ref="CE161" si="59">T161*12</f>
        <v>12</v>
      </c>
      <c r="CF161" s="9">
        <f t="shared" si="54"/>
        <v>6276000</v>
      </c>
      <c r="CG161" s="9">
        <v>7020000</v>
      </c>
      <c r="CH161" s="9">
        <v>0</v>
      </c>
      <c r="CI161" s="9">
        <v>16500000</v>
      </c>
      <c r="CJ161" s="29">
        <v>0.03</v>
      </c>
      <c r="CK161" s="30">
        <v>0.06</v>
      </c>
      <c r="CL161" s="31" t="s">
        <v>860</v>
      </c>
      <c r="CM161" s="9"/>
      <c r="CN161" s="9"/>
      <c r="CO161" s="27">
        <v>0.03</v>
      </c>
      <c r="CP161" s="22"/>
      <c r="CQ161" s="32">
        <v>0</v>
      </c>
      <c r="CR161" s="32">
        <v>0</v>
      </c>
      <c r="CS161" s="32">
        <v>0</v>
      </c>
      <c r="CT161" s="32">
        <v>0</v>
      </c>
      <c r="CU161" s="32">
        <v>0</v>
      </c>
      <c r="CV161" s="32">
        <v>0</v>
      </c>
      <c r="CW161" s="32">
        <v>0</v>
      </c>
      <c r="CX161" s="32">
        <v>0</v>
      </c>
      <c r="CY161" s="32">
        <v>0</v>
      </c>
      <c r="CZ161" s="32">
        <v>0</v>
      </c>
      <c r="DA161" s="32">
        <v>0</v>
      </c>
      <c r="DB161" s="32" t="str">
        <f t="shared" ref="DB161" si="60">IF(DC161="정수원 실장","기아", IF(DC161="박현식 부장", "현대", IF(DC161="김성진 팀장", "한성", IF(DC161="전석영 부장", "한성", IF(DC161= "박봉호 부장", "모토원",IF(DC161="정원철 부장", "한성"))))))</f>
        <v>기아</v>
      </c>
      <c r="DC161" s="32" t="s">
        <v>260</v>
      </c>
      <c r="DD161" s="32" t="str">
        <f>IF(DC161="정수원 실장","렌트베네핏", IF(DC161="박현식 부장", "렌트베네핏", IF(DC161="김성진 팀장", "청담", IF(DC161="전석영 부장", "방배", IF(DC161= "박봉호 부장", "일산",IF(#REF!="정원철 부장", "청담"))))))</f>
        <v>렌트베네핏</v>
      </c>
      <c r="DE161" s="32"/>
      <c r="DF161" s="32" t="s">
        <v>1332</v>
      </c>
      <c r="DG161" s="32" t="s">
        <v>1740</v>
      </c>
      <c r="DH161" s="32" t="s">
        <v>861</v>
      </c>
      <c r="DI161" s="9" t="s">
        <v>858</v>
      </c>
      <c r="DJ161" s="22">
        <v>0.3</v>
      </c>
      <c r="DK161" s="51">
        <v>0.2</v>
      </c>
      <c r="DL161" s="32" t="s">
        <v>1741</v>
      </c>
      <c r="DM161" s="20"/>
      <c r="DN161" s="32"/>
      <c r="DO161" s="32"/>
      <c r="DP161" s="22"/>
    </row>
    <row r="162" spans="1:120">
      <c r="A162" s="8">
        <v>159</v>
      </c>
      <c r="B162" s="8" t="s">
        <v>1742</v>
      </c>
      <c r="C162" s="34" t="s">
        <v>244</v>
      </c>
      <c r="D162" s="8" t="s">
        <v>1743</v>
      </c>
      <c r="E162" s="8" t="s">
        <v>1744</v>
      </c>
      <c r="F162" s="8" t="s">
        <v>1745</v>
      </c>
      <c r="G162" s="22" t="s">
        <v>1309</v>
      </c>
      <c r="H162" s="20" t="s">
        <v>1746</v>
      </c>
      <c r="I162" s="13">
        <v>53180000</v>
      </c>
      <c r="J162" s="8">
        <v>2026</v>
      </c>
      <c r="K162" s="22" t="s">
        <v>1747</v>
      </c>
      <c r="L162" s="10" t="s">
        <v>116</v>
      </c>
      <c r="M162" s="22" t="s">
        <v>1748</v>
      </c>
      <c r="N162" s="8" t="s">
        <v>1749</v>
      </c>
      <c r="O162" s="8" t="s">
        <v>1750</v>
      </c>
      <c r="P162" s="11">
        <v>1597</v>
      </c>
      <c r="Q162" s="12">
        <v>46226</v>
      </c>
      <c r="R162" s="12">
        <v>46218</v>
      </c>
      <c r="S162" s="12">
        <v>46228</v>
      </c>
      <c r="T162" s="14" t="s">
        <v>120</v>
      </c>
      <c r="U162" s="12">
        <f t="shared" si="49"/>
        <v>48053</v>
      </c>
      <c r="V162" s="8">
        <f t="shared" ca="1" si="50"/>
        <v>60</v>
      </c>
      <c r="W162" s="9">
        <v>50000</v>
      </c>
      <c r="X162" s="22" t="s">
        <v>1751</v>
      </c>
      <c r="Y162" s="22" t="s">
        <v>1752</v>
      </c>
      <c r="Z162" s="22"/>
      <c r="AA162" s="12" t="s">
        <v>1753</v>
      </c>
      <c r="AB162" s="12"/>
      <c r="AC162" s="8">
        <f t="shared" si="51"/>
        <v>1825</v>
      </c>
      <c r="AD162" s="8">
        <f t="shared" ca="1" si="55"/>
        <v>1827</v>
      </c>
      <c r="AE162" s="8" t="str">
        <f>VLOOKUP($B162, [1]렌트_계약서번호!$B$3:$E$501, 4, FALSE)</f>
        <v>26070149</v>
      </c>
      <c r="AF162" s="20">
        <v>53180000</v>
      </c>
      <c r="AG162" s="9">
        <v>0</v>
      </c>
      <c r="AH162" s="9">
        <f t="shared" si="57"/>
        <v>53180000</v>
      </c>
      <c r="AI162" s="9">
        <v>200000</v>
      </c>
      <c r="AJ162" s="9">
        <v>1900</v>
      </c>
      <c r="AK162" s="20">
        <v>1841860</v>
      </c>
      <c r="AL162" s="20">
        <v>0</v>
      </c>
      <c r="AM162" s="20">
        <v>2000</v>
      </c>
      <c r="AN162" s="20">
        <v>40000</v>
      </c>
      <c r="AO162" s="20">
        <v>33000</v>
      </c>
      <c r="AP162" s="20"/>
      <c r="AQ162" s="20"/>
      <c r="AR162" s="20"/>
      <c r="AS162" s="9">
        <v>198000</v>
      </c>
      <c r="AT162" s="20" t="s">
        <v>1225</v>
      </c>
      <c r="AU162" s="20"/>
      <c r="AV162" s="20"/>
      <c r="AW162" s="8" t="s">
        <v>124</v>
      </c>
      <c r="AX162" s="17"/>
      <c r="AY162" s="20"/>
      <c r="AZ162" s="20"/>
      <c r="BA162" s="20"/>
      <c r="BB162" s="20"/>
      <c r="BC162" s="23"/>
      <c r="BD162" s="9" t="s">
        <v>125</v>
      </c>
      <c r="BE162" s="9" t="s">
        <v>126</v>
      </c>
      <c r="BF162" s="9" t="s">
        <v>187</v>
      </c>
      <c r="BG162" s="9" t="s">
        <v>188</v>
      </c>
      <c r="BH162" s="9" t="s">
        <v>129</v>
      </c>
      <c r="BI162" s="9" t="s">
        <v>130</v>
      </c>
      <c r="BJ162" s="8" t="s">
        <v>256</v>
      </c>
      <c r="BK162" s="9" t="s">
        <v>132</v>
      </c>
      <c r="BL162" s="9" t="s">
        <v>133</v>
      </c>
      <c r="BM162" s="9" t="s">
        <v>133</v>
      </c>
      <c r="BN162" s="9" t="s">
        <v>133</v>
      </c>
      <c r="BO162" s="9" t="s">
        <v>817</v>
      </c>
      <c r="BP162" s="8"/>
      <c r="BQ162" s="23"/>
      <c r="BR162" s="9">
        <f t="shared" si="56"/>
        <v>28746</v>
      </c>
      <c r="BS162" s="8" t="s">
        <v>136</v>
      </c>
      <c r="BT162" s="23"/>
      <c r="BU162" s="23"/>
      <c r="BV162" s="8"/>
      <c r="BW162" s="23"/>
      <c r="BX162" s="23"/>
      <c r="BY162" s="23"/>
      <c r="BZ162" s="23"/>
      <c r="CA162" s="23"/>
      <c r="CB162" s="28" t="s">
        <v>402</v>
      </c>
      <c r="CC162" s="28" t="s">
        <v>402</v>
      </c>
      <c r="CD162" s="78">
        <v>913000</v>
      </c>
      <c r="CE162" s="13">
        <v>60</v>
      </c>
      <c r="CF162" s="9">
        <f t="shared" si="54"/>
        <v>54780000</v>
      </c>
      <c r="CG162" s="78">
        <v>0</v>
      </c>
      <c r="CH162" s="78">
        <v>0</v>
      </c>
      <c r="CI162" s="78">
        <v>23399200</v>
      </c>
      <c r="CJ162" s="29">
        <v>1.4999999999999999E-2</v>
      </c>
      <c r="CK162" s="30">
        <v>0.06</v>
      </c>
      <c r="CL162" s="56" t="s">
        <v>1754</v>
      </c>
      <c r="CM162" s="8"/>
      <c r="CN162" s="8"/>
      <c r="CO162" s="27">
        <v>0.03</v>
      </c>
      <c r="CP162" s="23"/>
      <c r="CQ162" s="23"/>
      <c r="CR162" s="23"/>
      <c r="CS162" s="32" t="s">
        <v>943</v>
      </c>
      <c r="CT162" s="23" t="s">
        <v>1755</v>
      </c>
      <c r="CU162" s="23"/>
      <c r="CV162" s="23"/>
      <c r="CW162" s="23"/>
      <c r="CX162" s="23"/>
      <c r="CY162" s="23"/>
      <c r="CZ162" s="23"/>
      <c r="DA162" s="23"/>
      <c r="DB162" s="32" t="s">
        <v>232</v>
      </c>
      <c r="DC162" s="32" t="s">
        <v>801</v>
      </c>
      <c r="DD162" s="32" t="s">
        <v>561</v>
      </c>
      <c r="DE162" s="8" t="s">
        <v>1743</v>
      </c>
      <c r="DF162" s="8" t="s">
        <v>1332</v>
      </c>
      <c r="DG162" s="8" t="s">
        <v>1756</v>
      </c>
      <c r="DH162" s="8" t="s">
        <v>1757</v>
      </c>
      <c r="DI162" s="8" t="s">
        <v>1758</v>
      </c>
      <c r="DJ162" s="71">
        <v>0.35</v>
      </c>
      <c r="DK162" s="22">
        <v>0.25</v>
      </c>
      <c r="DL162" s="8" t="s">
        <v>1759</v>
      </c>
      <c r="DM162" s="78">
        <v>2628669</v>
      </c>
      <c r="DN162" s="23"/>
      <c r="DO162" s="23"/>
      <c r="DP162" s="23"/>
    </row>
    <row r="163" spans="1:120">
      <c r="A163" s="8">
        <v>160</v>
      </c>
      <c r="B163" s="8" t="s">
        <v>1760</v>
      </c>
      <c r="C163" s="34" t="s">
        <v>244</v>
      </c>
      <c r="D163" s="8" t="s">
        <v>1372</v>
      </c>
      <c r="E163" s="8" t="s">
        <v>1373</v>
      </c>
      <c r="F163" s="8" t="s">
        <v>1374</v>
      </c>
      <c r="G163" s="22" t="s">
        <v>1761</v>
      </c>
      <c r="H163" s="20" t="s">
        <v>1762</v>
      </c>
      <c r="I163" s="13">
        <v>56770000</v>
      </c>
      <c r="J163" s="8">
        <v>2026</v>
      </c>
      <c r="K163" s="22" t="s">
        <v>1763</v>
      </c>
      <c r="L163" s="22" t="s">
        <v>116</v>
      </c>
      <c r="M163" s="22"/>
      <c r="N163" s="8"/>
      <c r="O163" s="8" t="s">
        <v>1764</v>
      </c>
      <c r="P163" s="11">
        <v>2489</v>
      </c>
      <c r="Q163" s="12"/>
      <c r="R163" s="12">
        <v>46219</v>
      </c>
      <c r="S163" s="12"/>
      <c r="T163" s="14" t="s">
        <v>556</v>
      </c>
      <c r="U163" s="12">
        <f t="shared" si="49"/>
        <v>1460</v>
      </c>
      <c r="V163" s="16" t="str">
        <f t="shared" ca="1" si="50"/>
        <v>-</v>
      </c>
      <c r="W163" s="9">
        <v>30000</v>
      </c>
      <c r="X163" s="22" t="s">
        <v>1735</v>
      </c>
      <c r="Y163" s="79" t="s">
        <v>1736</v>
      </c>
      <c r="Z163" s="22"/>
      <c r="AA163" s="12" t="s">
        <v>1463</v>
      </c>
      <c r="AB163" s="12">
        <v>46234</v>
      </c>
      <c r="AC163" s="8">
        <f t="shared" si="51"/>
        <v>1460</v>
      </c>
      <c r="AD163" s="8">
        <f t="shared" ca="1" si="55"/>
        <v>-44766</v>
      </c>
      <c r="AE163" s="8" t="str">
        <f>VLOOKUP($B163, [1]렌트_계약서번호!$B$3:$E$501, 4, FALSE)</f>
        <v>26070150</v>
      </c>
      <c r="AF163" s="20">
        <v>84350000</v>
      </c>
      <c r="AG163" s="9"/>
      <c r="AH163" s="9">
        <f t="shared" ref="AH163:AH164" si="61">AF163-AG163+AI163</f>
        <v>84742000</v>
      </c>
      <c r="AI163" s="9">
        <v>392000</v>
      </c>
      <c r="AJ163" s="9">
        <v>1900</v>
      </c>
      <c r="AK163" s="20"/>
      <c r="AL163" s="20"/>
      <c r="AM163" s="20"/>
      <c r="AN163" s="20"/>
      <c r="AO163" s="20"/>
      <c r="AP163" s="20"/>
      <c r="AQ163" s="20"/>
      <c r="AR163" s="20" t="s">
        <v>1628</v>
      </c>
      <c r="AS163" s="20">
        <v>198000</v>
      </c>
      <c r="AT163" s="20" t="s">
        <v>1716</v>
      </c>
      <c r="AU163" s="20"/>
      <c r="AV163" s="20"/>
      <c r="AW163" s="13" t="s">
        <v>124</v>
      </c>
      <c r="AX163" s="17"/>
      <c r="AY163" s="20"/>
      <c r="AZ163" s="20"/>
      <c r="BA163" s="20"/>
      <c r="BB163" s="20"/>
      <c r="BC163" s="23"/>
      <c r="BD163" s="9" t="s">
        <v>125</v>
      </c>
      <c r="BE163" s="9" t="s">
        <v>126</v>
      </c>
      <c r="BF163" s="9" t="s">
        <v>255</v>
      </c>
      <c r="BG163" s="9" t="s">
        <v>128</v>
      </c>
      <c r="BH163" s="9" t="s">
        <v>129</v>
      </c>
      <c r="BI163" s="9" t="s">
        <v>130</v>
      </c>
      <c r="BJ163" s="8" t="s">
        <v>256</v>
      </c>
      <c r="BK163" s="9" t="s">
        <v>132</v>
      </c>
      <c r="BL163" s="9" t="s">
        <v>133</v>
      </c>
      <c r="BM163" s="9" t="s">
        <v>133</v>
      </c>
      <c r="BN163" s="9" t="s">
        <v>133</v>
      </c>
      <c r="BO163" s="9" t="s">
        <v>817</v>
      </c>
      <c r="BP163" s="8"/>
      <c r="BQ163" s="23"/>
      <c r="BR163" s="9">
        <f t="shared" si="56"/>
        <v>47291</v>
      </c>
      <c r="BS163" s="8" t="s">
        <v>136</v>
      </c>
      <c r="BT163" s="23"/>
      <c r="BU163" s="23"/>
      <c r="BV163" s="8"/>
      <c r="BW163" s="23"/>
      <c r="BX163" s="23"/>
      <c r="BY163" s="23"/>
      <c r="BZ163" s="23"/>
      <c r="CA163" s="23"/>
      <c r="CB163" s="28" t="s">
        <v>504</v>
      </c>
      <c r="CC163" s="28" t="s">
        <v>504</v>
      </c>
      <c r="CD163" s="78">
        <v>996000</v>
      </c>
      <c r="CE163" s="13">
        <v>48</v>
      </c>
      <c r="CF163" s="78">
        <f t="shared" si="54"/>
        <v>47808000</v>
      </c>
      <c r="CG163" s="78">
        <v>17004000</v>
      </c>
      <c r="CH163" s="78"/>
      <c r="CI163" s="78">
        <v>31174000</v>
      </c>
      <c r="CJ163" s="69">
        <v>0.03</v>
      </c>
      <c r="CK163" s="72">
        <v>0.06</v>
      </c>
      <c r="CL163" s="56" t="s">
        <v>1384</v>
      </c>
      <c r="CM163" s="8"/>
      <c r="CN163" s="8"/>
      <c r="CO163" s="27">
        <v>0.03</v>
      </c>
      <c r="CP163" s="23"/>
      <c r="CQ163" s="23"/>
      <c r="CR163" s="23"/>
      <c r="CS163" s="32" t="s">
        <v>1086</v>
      </c>
      <c r="CT163" s="23" t="s">
        <v>1737</v>
      </c>
      <c r="CU163" s="23"/>
      <c r="CV163" s="23"/>
      <c r="CW163" s="23"/>
      <c r="CX163" s="23"/>
      <c r="CY163" s="23"/>
      <c r="CZ163" s="23"/>
      <c r="DA163" s="23"/>
      <c r="DB163" s="32" t="s">
        <v>232</v>
      </c>
      <c r="DC163" s="32" t="s">
        <v>801</v>
      </c>
      <c r="DD163" s="32" t="s">
        <v>561</v>
      </c>
      <c r="DE163" s="8" t="s">
        <v>1386</v>
      </c>
      <c r="DF163" s="8" t="s">
        <v>416</v>
      </c>
      <c r="DG163" s="8" t="s">
        <v>1387</v>
      </c>
      <c r="DH163" s="8" t="s">
        <v>1388</v>
      </c>
      <c r="DI163" s="8" t="s">
        <v>1389</v>
      </c>
      <c r="DJ163" s="71">
        <v>0.35</v>
      </c>
      <c r="DK163" s="22">
        <v>0.25</v>
      </c>
      <c r="DL163" s="8" t="s">
        <v>1390</v>
      </c>
      <c r="DM163" s="78"/>
      <c r="DN163" s="23"/>
      <c r="DO163" s="23"/>
      <c r="DP163" s="23"/>
    </row>
    <row r="164" spans="1:120">
      <c r="A164" s="8">
        <v>161</v>
      </c>
      <c r="B164" s="8" t="s">
        <v>1765</v>
      </c>
      <c r="C164" s="34" t="s">
        <v>244</v>
      </c>
      <c r="D164" s="8" t="s">
        <v>1766</v>
      </c>
      <c r="E164" s="8" t="s">
        <v>1767</v>
      </c>
      <c r="F164" s="8" t="s">
        <v>1768</v>
      </c>
      <c r="G164" s="22" t="s">
        <v>1769</v>
      </c>
      <c r="H164" s="20" t="s">
        <v>119</v>
      </c>
      <c r="I164" s="13">
        <v>71880000</v>
      </c>
      <c r="J164" s="8">
        <v>2026</v>
      </c>
      <c r="K164" s="22" t="s">
        <v>1770</v>
      </c>
      <c r="L164" s="22" t="s">
        <v>116</v>
      </c>
      <c r="M164" s="22"/>
      <c r="N164" s="8"/>
      <c r="O164" s="8" t="s">
        <v>119</v>
      </c>
      <c r="P164" s="11">
        <v>2489</v>
      </c>
      <c r="Q164" s="12"/>
      <c r="R164" s="12"/>
      <c r="S164" s="12" t="s">
        <v>119</v>
      </c>
      <c r="T164" s="14" t="s">
        <v>556</v>
      </c>
      <c r="U164" s="12" t="str">
        <f t="shared" si="49"/>
        <v>-</v>
      </c>
      <c r="V164" s="16" t="str">
        <f t="shared" ca="1" si="50"/>
        <v>-</v>
      </c>
      <c r="W164" s="9">
        <v>30000</v>
      </c>
      <c r="X164" s="22" t="s">
        <v>1771</v>
      </c>
      <c r="Y164" s="22" t="s">
        <v>1772</v>
      </c>
      <c r="Z164" s="22"/>
      <c r="AA164" s="12" t="s">
        <v>1773</v>
      </c>
      <c r="AB164" s="12"/>
      <c r="AC164" s="8">
        <f t="shared" si="51"/>
        <v>1460</v>
      </c>
      <c r="AD164" s="8" t="e">
        <f t="shared" ca="1" si="55"/>
        <v>#VALUE!</v>
      </c>
      <c r="AE164" s="8" t="str">
        <f>VLOOKUP($B164, [1]렌트_계약서번호!$B$3:$E$501, 4, FALSE)</f>
        <v>00010151</v>
      </c>
      <c r="AF164" s="20">
        <v>71880000</v>
      </c>
      <c r="AG164" s="9">
        <v>2000000</v>
      </c>
      <c r="AH164" s="9">
        <f t="shared" si="61"/>
        <v>69880000</v>
      </c>
      <c r="AI164" s="9"/>
      <c r="AJ164" s="9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13" t="s">
        <v>124</v>
      </c>
      <c r="AX164" s="17"/>
      <c r="AY164" s="20"/>
      <c r="AZ164" s="20"/>
      <c r="BA164" s="20"/>
      <c r="BB164" s="20"/>
      <c r="BC164" s="23"/>
      <c r="BD164" s="9" t="s">
        <v>125</v>
      </c>
      <c r="BE164" s="9" t="s">
        <v>126</v>
      </c>
      <c r="BF164" s="9" t="s">
        <v>187</v>
      </c>
      <c r="BG164" s="9" t="s">
        <v>188</v>
      </c>
      <c r="BH164" s="9" t="s">
        <v>129</v>
      </c>
      <c r="BI164" s="9" t="s">
        <v>189</v>
      </c>
      <c r="BJ164" s="8" t="s">
        <v>256</v>
      </c>
      <c r="BK164" s="9" t="s">
        <v>132</v>
      </c>
      <c r="BL164" s="9" t="s">
        <v>257</v>
      </c>
      <c r="BM164" s="9" t="s">
        <v>257</v>
      </c>
      <c r="BN164" s="9" t="s">
        <v>257</v>
      </c>
      <c r="BO164" s="9" t="s">
        <v>134</v>
      </c>
      <c r="BP164" s="8"/>
      <c r="BQ164" s="23"/>
      <c r="BR164" s="9">
        <f t="shared" si="56"/>
        <v>47291</v>
      </c>
      <c r="BS164" s="8" t="s">
        <v>136</v>
      </c>
      <c r="BT164" s="23"/>
      <c r="BU164" s="23"/>
      <c r="BV164" s="8"/>
      <c r="BW164" s="23"/>
      <c r="BX164" s="23"/>
      <c r="BY164" s="23"/>
      <c r="BZ164" s="23"/>
      <c r="CA164" s="23"/>
      <c r="CB164" s="8"/>
      <c r="CC164" s="8"/>
      <c r="CD164" s="78">
        <v>1405000</v>
      </c>
      <c r="CE164" s="13">
        <v>48</v>
      </c>
      <c r="CF164" s="78">
        <f t="shared" si="54"/>
        <v>67440000</v>
      </c>
      <c r="CG164" s="78">
        <v>20964000</v>
      </c>
      <c r="CH164" s="78">
        <v>0</v>
      </c>
      <c r="CI164" s="78">
        <v>24458000</v>
      </c>
      <c r="CJ164" s="69">
        <v>0.03</v>
      </c>
      <c r="CK164" s="72">
        <v>0.06</v>
      </c>
      <c r="CL164" s="56" t="s">
        <v>1774</v>
      </c>
      <c r="CM164" s="8"/>
      <c r="CN164" s="8"/>
      <c r="CO164" s="27">
        <v>0.03</v>
      </c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32" t="s">
        <v>1279</v>
      </c>
      <c r="DC164" s="32" t="s">
        <v>1280</v>
      </c>
      <c r="DD164" s="32" t="s">
        <v>819</v>
      </c>
      <c r="DE164" s="8"/>
      <c r="DF164" s="8"/>
      <c r="DG164" s="8"/>
      <c r="DH164" s="8"/>
      <c r="DI164" s="8" t="s">
        <v>1775</v>
      </c>
      <c r="DJ164" s="71">
        <v>0.35</v>
      </c>
      <c r="DK164" s="22">
        <v>0.25</v>
      </c>
      <c r="DL164" s="8" t="s">
        <v>1776</v>
      </c>
      <c r="DM164" s="78"/>
      <c r="DN164" s="23"/>
      <c r="DO164" s="23"/>
      <c r="DP164" s="23"/>
    </row>
  </sheetData>
  <phoneticPr fontId="4" type="noConversion"/>
  <conditionalFormatting sqref="A3:A164">
    <cfRule type="expression" dxfId="172" priority="52">
      <formula>MOD(ROW(),2)=0</formula>
    </cfRule>
  </conditionalFormatting>
  <conditionalFormatting sqref="W39:AE90 AY40:BC53 AF47:AV53 BK54:CN63 AF54:BJ77 DG78:DJ78 DE78:DF85 BD78:BJ89 AG78:AV90 AF78:AF94 CP78:CP95 CQ78:DD96 AW78:BC108">
    <cfRule type="expression" dxfId="171" priority="165">
      <formula>MOD(ROW(),2)=0</formula>
    </cfRule>
  </conditionalFormatting>
  <conditionalFormatting sqref="B152:B157">
    <cfRule type="expression" dxfId="170" priority="33">
      <formula>MOD(ROW(),2)=0</formula>
    </cfRule>
  </conditionalFormatting>
  <conditionalFormatting sqref="B159:B160">
    <cfRule type="expression" dxfId="169" priority="12">
      <formula>MOD(ROW(),2)=0</formula>
    </cfRule>
  </conditionalFormatting>
  <conditionalFormatting sqref="B162:B164">
    <cfRule type="expression" dxfId="168" priority="6">
      <formula>MOD(ROW(),2)=0</formula>
    </cfRule>
  </conditionalFormatting>
  <conditionalFormatting sqref="B74:I77">
    <cfRule type="expression" dxfId="167" priority="40">
      <formula>MOD(ROW(),2)=0</formula>
    </cfRule>
  </conditionalFormatting>
  <conditionalFormatting sqref="B121:I125">
    <cfRule type="expression" dxfId="166" priority="82">
      <formula>MOD(ROW(),2)=0</formula>
    </cfRule>
  </conditionalFormatting>
  <conditionalFormatting sqref="B128:I132">
    <cfRule type="expression" dxfId="165" priority="81">
      <formula>MOD(ROW(),2)=0</formula>
    </cfRule>
  </conditionalFormatting>
  <conditionalFormatting sqref="B19:N69 DJ19:DL19 W19:AV38 AY19:BC38 AW19:AX53 BD19:CN53 O19:O77 U2:V95 P19:T95 DM19:DP118 CO19:CO122 BL54:BL139">
    <cfRule type="expression" dxfId="164" priority="83">
      <formula>MOD(ROW(),2)=0</formula>
    </cfRule>
  </conditionalFormatting>
  <conditionalFormatting sqref="B78:O105 B106:AV108 P105:AV105">
    <cfRule type="expression" dxfId="163" priority="158">
      <formula>MOD(ROW(),2)=0</formula>
    </cfRule>
  </conditionalFormatting>
  <conditionalFormatting sqref="B109:O110">
    <cfRule type="expression" dxfId="162" priority="113">
      <formula>MOD(ROW(),2)=0</formula>
    </cfRule>
  </conditionalFormatting>
  <conditionalFormatting sqref="B148:T148 B149:DP149">
    <cfRule type="expression" dxfId="161" priority="65">
      <formula>MOD(ROW(),2)=0</formula>
    </cfRule>
  </conditionalFormatting>
  <conditionalFormatting sqref="B117:V118">
    <cfRule type="expression" dxfId="160" priority="118">
      <formula>MOD(ROW(),2)=0</formula>
    </cfRule>
  </conditionalFormatting>
  <conditionalFormatting sqref="B143:V147">
    <cfRule type="expression" dxfId="159" priority="69">
      <formula>MOD(ROW(),2)=0</formula>
    </cfRule>
  </conditionalFormatting>
  <conditionalFormatting sqref="B137:AD137">
    <cfRule type="expression" dxfId="158" priority="78">
      <formula>MOD(ROW(),2)=0</formula>
    </cfRule>
  </conditionalFormatting>
  <conditionalFormatting sqref="B139:AD141">
    <cfRule type="expression" dxfId="157" priority="73">
      <formula>MOD(ROW(),2)=0</formula>
    </cfRule>
  </conditionalFormatting>
  <conditionalFormatting sqref="B158:AD158">
    <cfRule type="expression" dxfId="156" priority="17">
      <formula>MOD(ROW(),2)=0</formula>
    </cfRule>
  </conditionalFormatting>
  <conditionalFormatting sqref="B142:BY142">
    <cfRule type="expression" dxfId="155" priority="71">
      <formula>MOD(ROW(),2)=0</formula>
    </cfRule>
  </conditionalFormatting>
  <conditionalFormatting sqref="B111:CD113 B114:AD114 B115:CD116 AF114:CD114">
    <cfRule type="expression" dxfId="154" priority="114">
      <formula>MOD(ROW(),2)=0</formula>
    </cfRule>
  </conditionalFormatting>
  <conditionalFormatting sqref="B119:CD120">
    <cfRule type="expression" dxfId="153" priority="110">
      <formula>MOD(ROW(),2)=0</formula>
    </cfRule>
  </conditionalFormatting>
  <conditionalFormatting sqref="B133:CK133">
    <cfRule type="expression" dxfId="152" priority="43">
      <formula>MOD(ROW(),2)=0</formula>
    </cfRule>
  </conditionalFormatting>
  <conditionalFormatting sqref="B134:DJ134 B135:DH135 B136:DP136 DL119:DP134 CM133:DJ133">
    <cfRule type="expression" dxfId="151" priority="79">
      <formula>MOD(ROW(),2)=0</formula>
    </cfRule>
  </conditionalFormatting>
  <conditionalFormatting sqref="B150:DK151">
    <cfRule type="expression" dxfId="150" priority="37">
      <formula>MOD(ROW(),2)=0</formula>
    </cfRule>
  </conditionalFormatting>
  <conditionalFormatting sqref="B138:DP138">
    <cfRule type="expression" dxfId="149" priority="76">
      <formula>MOD(ROW(),2)=0</formula>
    </cfRule>
  </conditionalFormatting>
  <conditionalFormatting sqref="B161:DP161">
    <cfRule type="expression" dxfId="148" priority="11">
      <formula>MOD(ROW(),2)=0</formula>
    </cfRule>
  </conditionalFormatting>
  <conditionalFormatting sqref="C2:C164">
    <cfRule type="expression" dxfId="147" priority="4">
      <formula>MOD(ROW(),2)=0</formula>
    </cfRule>
  </conditionalFormatting>
  <conditionalFormatting sqref="C160:U160">
    <cfRule type="expression" dxfId="146" priority="15">
      <formula>MOD(ROW(),2)=0</formula>
    </cfRule>
  </conditionalFormatting>
  <conditionalFormatting sqref="C163:DP163">
    <cfRule type="expression" dxfId="145" priority="5">
      <formula>MOD(ROW(),2)=0</formula>
    </cfRule>
  </conditionalFormatting>
  <conditionalFormatting sqref="D4:D7">
    <cfRule type="expression" dxfId="144" priority="48">
      <formula>MOD(ROW(),2)=0</formula>
    </cfRule>
  </conditionalFormatting>
  <conditionalFormatting sqref="D13:D14">
    <cfRule type="expression" dxfId="143" priority="57">
      <formula>MOD(ROW(),2)=0</formula>
    </cfRule>
  </conditionalFormatting>
  <conditionalFormatting sqref="D152:F156">
    <cfRule type="expression" dxfId="142" priority="23">
      <formula>MOD(ROW(),2)=0</formula>
    </cfRule>
  </conditionalFormatting>
  <conditionalFormatting sqref="D16:I16">
    <cfRule type="expression" dxfId="141" priority="25">
      <formula>MOD(ROW(),2)=0</formula>
    </cfRule>
  </conditionalFormatting>
  <conditionalFormatting sqref="D162:L162">
    <cfRule type="expression" dxfId="140" priority="9">
      <formula>MOD(ROW(),2)=0</formula>
    </cfRule>
  </conditionalFormatting>
  <conditionalFormatting sqref="D164:L164">
    <cfRule type="expression" dxfId="139" priority="3">
      <formula>MOD(ROW(),2)=0</formula>
    </cfRule>
  </conditionalFormatting>
  <conditionalFormatting sqref="D2:R2 D3:Q5 D7:N7 D8:Q15 A2:B2 T2:AB2 B3:B18 T3:T18 U16:AL17 AM2:AS17 AT3:DH17 B126:F126">
    <cfRule type="expression" dxfId="138" priority="103">
      <formula>MOD(ROW(),2)=0</formula>
    </cfRule>
  </conditionalFormatting>
  <conditionalFormatting sqref="E6:Q6">
    <cfRule type="expression" dxfId="137" priority="50">
      <formula>MOD(ROW(),2)=0</formula>
    </cfRule>
  </conditionalFormatting>
  <conditionalFormatting sqref="G152:AG152 D159:T159 M162:T162 M164:O164 X159:AD159">
    <cfRule type="expression" dxfId="136" priority="80">
      <formula>MOD(ROW(),2)=0</formula>
    </cfRule>
  </conditionalFormatting>
  <conditionalFormatting sqref="G153:CD153 G154:N156 O154:CD157 C157:N157">
    <cfRule type="expression" dxfId="135" priority="24">
      <formula>MOD(ROW(),2)=0</formula>
    </cfRule>
  </conditionalFormatting>
  <conditionalFormatting sqref="J124:K125">
    <cfRule type="expression" dxfId="134" priority="102">
      <formula>MOD(ROW(),2)=0</formula>
    </cfRule>
  </conditionalFormatting>
  <conditionalFormatting sqref="J75:N77">
    <cfRule type="expression" dxfId="133" priority="171">
      <formula>MOD(ROW(),2)=0</formula>
    </cfRule>
  </conditionalFormatting>
  <conditionalFormatting sqref="J16:S16 D17:S18">
    <cfRule type="expression" dxfId="132" priority="49">
      <formula>MOD(ROW(),2)=0</formula>
    </cfRule>
  </conditionalFormatting>
  <conditionalFormatting sqref="J128:T128 AX124:BQ124 Z127:AB127">
    <cfRule type="expression" dxfId="131" priority="101">
      <formula>MOD(ROW(),2)=0</formula>
    </cfRule>
  </conditionalFormatting>
  <conditionalFormatting sqref="J129:U132">
    <cfRule type="expression" dxfId="130" priority="88">
      <formula>MOD(ROW(),2)=0</formula>
    </cfRule>
  </conditionalFormatting>
  <conditionalFormatting sqref="J121:V122">
    <cfRule type="expression" dxfId="129" priority="112">
      <formula>MOD(ROW(),2)=0</formula>
    </cfRule>
  </conditionalFormatting>
  <conditionalFormatting sqref="J123:AV123">
    <cfRule type="expression" dxfId="128" priority="108">
      <formula>MOD(ROW(),2)=0</formula>
    </cfRule>
  </conditionalFormatting>
  <conditionalFormatting sqref="L70:N74">
    <cfRule type="expression" dxfId="127" priority="172">
      <formula>MOD(ROW(),2)=0</formula>
    </cfRule>
  </conditionalFormatting>
  <conditionalFormatting sqref="L124:T127 X127">
    <cfRule type="expression" dxfId="126" priority="100">
      <formula>MOD(ROW(),2)=0</formula>
    </cfRule>
  </conditionalFormatting>
  <conditionalFormatting sqref="N1:N1048576">
    <cfRule type="duplicateValues" dxfId="125" priority="42"/>
  </conditionalFormatting>
  <conditionalFormatting sqref="O4:O7">
    <cfRule type="expression" dxfId="124" priority="63">
      <formula>MOD(ROW(),2)=0</formula>
    </cfRule>
  </conditionalFormatting>
  <conditionalFormatting sqref="P7:Q7">
    <cfRule type="expression" dxfId="123" priority="64">
      <formula>MOD(ROW(),2)=0</formula>
    </cfRule>
  </conditionalFormatting>
  <conditionalFormatting sqref="P99:AC104">
    <cfRule type="expression" dxfId="122" priority="159">
      <formula>MOD(ROW(),2)=0</formula>
    </cfRule>
  </conditionalFormatting>
  <conditionalFormatting sqref="P95:AV97 P98:AQ98">
    <cfRule type="expression" dxfId="121" priority="168">
      <formula>MOD(ROW(),2)=0</formula>
    </cfRule>
  </conditionalFormatting>
  <conditionalFormatting sqref="P110:CD110">
    <cfRule type="expression" dxfId="120" priority="126">
      <formula>MOD(ROW(),2)=0</formula>
    </cfRule>
  </conditionalFormatting>
  <conditionalFormatting sqref="P164:DP164">
    <cfRule type="expression" dxfId="119" priority="2">
      <formula>MOD(ROW(),2)=0</formula>
    </cfRule>
  </conditionalFormatting>
  <conditionalFormatting sqref="S2:S15">
    <cfRule type="expression" dxfId="118" priority="47">
      <formula>MOD(ROW(),2)=0</formula>
    </cfRule>
  </conditionalFormatting>
  <conditionalFormatting sqref="U18">
    <cfRule type="expression" dxfId="117" priority="51">
      <formula>MOD(ROW(),2)=0</formula>
    </cfRule>
  </conditionalFormatting>
  <conditionalFormatting sqref="U124:U128">
    <cfRule type="expression" dxfId="116" priority="99">
      <formula>MOD(ROW(),2)=0</formula>
    </cfRule>
  </conditionalFormatting>
  <conditionalFormatting sqref="U159">
    <cfRule type="expression" dxfId="115" priority="16">
      <formula>MOD(ROW(),2)=0</formula>
    </cfRule>
  </conditionalFormatting>
  <conditionalFormatting sqref="U145:AB147">
    <cfRule type="expression" dxfId="114" priority="67">
      <formula>MOD(ROW(),2)=0</formula>
    </cfRule>
  </conditionalFormatting>
  <conditionalFormatting sqref="U148:AD148">
    <cfRule type="expression" dxfId="113" priority="19">
      <formula>MOD(ROW(),2)=0</formula>
    </cfRule>
  </conditionalFormatting>
  <conditionalFormatting sqref="U162:AD162">
    <cfRule type="expression" dxfId="112" priority="8">
      <formula>MOD(ROW(),2)=0</formula>
    </cfRule>
  </conditionalFormatting>
  <conditionalFormatting sqref="V2:V20">
    <cfRule type="expression" dxfId="111" priority="46">
      <formula>MOD(ROW(),2)=0</formula>
    </cfRule>
  </conditionalFormatting>
  <conditionalFormatting sqref="V124:V132">
    <cfRule type="expression" dxfId="110" priority="98">
      <formula>MOD(ROW(),2)=0</formula>
    </cfRule>
  </conditionalFormatting>
  <conditionalFormatting sqref="V159:W160">
    <cfRule type="expression" dxfId="109" priority="14">
      <formula>MOD(ROW(),2)=0</formula>
    </cfRule>
  </conditionalFormatting>
  <conditionalFormatting sqref="W4:W14 W15:Y15">
    <cfRule type="expression" dxfId="108" priority="62">
      <formula>MOD(ROW(),2)=0</formula>
    </cfRule>
  </conditionalFormatting>
  <conditionalFormatting sqref="W102:W118">
    <cfRule type="expression" dxfId="107" priority="121">
      <formula>MOD(ROW(),2)=0</formula>
    </cfRule>
  </conditionalFormatting>
  <conditionalFormatting sqref="W124:W128">
    <cfRule type="expression" dxfId="106" priority="97">
      <formula>MOD(ROW(),2)=0</formula>
    </cfRule>
  </conditionalFormatting>
  <conditionalFormatting sqref="W153:W157">
    <cfRule type="expression" dxfId="105" priority="22">
      <formula>MOD(ROW(),2)=0</formula>
    </cfRule>
  </conditionalFormatting>
  <conditionalFormatting sqref="W8:Y13">
    <cfRule type="expression" dxfId="104" priority="56">
      <formula>MOD(ROW(),2)=0</formula>
    </cfRule>
  </conditionalFormatting>
  <conditionalFormatting sqref="W143:AB144">
    <cfRule type="expression" dxfId="103" priority="66">
      <formula>MOD(ROW(),2)=0</formula>
    </cfRule>
  </conditionalFormatting>
  <conditionalFormatting sqref="W122:AD122">
    <cfRule type="expression" dxfId="102" priority="105">
      <formula>MOD(ROW(),2)=0</formula>
    </cfRule>
  </conditionalFormatting>
  <conditionalFormatting sqref="W91:AV95">
    <cfRule type="expression" dxfId="101" priority="164">
      <formula>MOD(ROW(),2)=0</formula>
    </cfRule>
  </conditionalFormatting>
  <conditionalFormatting sqref="W130:BK132">
    <cfRule type="expression" dxfId="100" priority="86">
      <formula>MOD(ROW(),2)=0</formula>
    </cfRule>
  </conditionalFormatting>
  <conditionalFormatting sqref="W121:CN121">
    <cfRule type="expression" dxfId="99" priority="85">
      <formula>MOD(ROW(),2)=0</formula>
    </cfRule>
  </conditionalFormatting>
  <conditionalFormatting sqref="W129:DJ129">
    <cfRule type="expression" dxfId="98" priority="89">
      <formula>MOD(ROW(),2)=0</formula>
    </cfRule>
  </conditionalFormatting>
  <conditionalFormatting sqref="X7:Y7">
    <cfRule type="expression" dxfId="97" priority="58">
      <formula>MOD(ROW(),2)=0</formula>
    </cfRule>
  </conditionalFormatting>
  <conditionalFormatting sqref="X14:Y14">
    <cfRule type="expression" dxfId="96" priority="61">
      <formula>MOD(ROW(),2)=0</formula>
    </cfRule>
  </conditionalFormatting>
  <conditionalFormatting sqref="X95:Y95">
    <cfRule type="expression" dxfId="95" priority="169">
      <formula>MOD(ROW(),2)=0</formula>
    </cfRule>
  </conditionalFormatting>
  <conditionalFormatting sqref="X126:AB126">
    <cfRule type="expression" dxfId="94" priority="93">
      <formula>MOD(ROW(),2)=0</formula>
    </cfRule>
  </conditionalFormatting>
  <conditionalFormatting sqref="X124:AG125">
    <cfRule type="expression" dxfId="93" priority="96">
      <formula>MOD(ROW(),2)=0</formula>
    </cfRule>
  </conditionalFormatting>
  <conditionalFormatting sqref="X128:AG128">
    <cfRule type="expression" dxfId="92" priority="91">
      <formula>MOD(ROW(),2)=0</formula>
    </cfRule>
  </conditionalFormatting>
  <conditionalFormatting sqref="X117:CD118">
    <cfRule type="expression" dxfId="91" priority="116">
      <formula>MOD(ROW(),2)=0</formula>
    </cfRule>
  </conditionalFormatting>
  <conditionalFormatting sqref="X160:DP160">
    <cfRule type="expression" dxfId="90" priority="10">
      <formula>MOD(ROW(),2)=0</formula>
    </cfRule>
  </conditionalFormatting>
  <conditionalFormatting sqref="AC143:AD147">
    <cfRule type="expression" dxfId="89" priority="68">
      <formula>MOD(ROW(),2)=0</formula>
    </cfRule>
  </conditionalFormatting>
  <conditionalFormatting sqref="AC126:AG127">
    <cfRule type="expression" dxfId="88" priority="92">
      <formula>MOD(ROW(),2)=0</formula>
    </cfRule>
  </conditionalFormatting>
  <conditionalFormatting sqref="AC2:AM15">
    <cfRule type="expression" dxfId="87" priority="45">
      <formula>MOD(ROW(),2)=0</formula>
    </cfRule>
  </conditionalFormatting>
  <conditionalFormatting sqref="AD4:AD15">
    <cfRule type="expression" dxfId="86" priority="53">
      <formula>MOD(ROW(),2)=0</formula>
    </cfRule>
  </conditionalFormatting>
  <conditionalFormatting sqref="AD96:AD104">
    <cfRule type="expression" dxfId="85" priority="167">
      <formula>MOD(ROW(),2)=0</formula>
    </cfRule>
  </conditionalFormatting>
  <conditionalFormatting sqref="AE19:AE148">
    <cfRule type="expression" dxfId="84" priority="27">
      <formula>MOD(ROW(),2)=0</formula>
    </cfRule>
  </conditionalFormatting>
  <conditionalFormatting sqref="AE153:AE164">
    <cfRule type="expression" dxfId="83" priority="7">
      <formula>MOD(ROW(),2)=0</formula>
    </cfRule>
  </conditionalFormatting>
  <conditionalFormatting sqref="AE99:AQ99">
    <cfRule type="expression" dxfId="82" priority="166">
      <formula>MOD(ROW(),2)=0</formula>
    </cfRule>
  </conditionalFormatting>
  <conditionalFormatting sqref="AE100:AV104">
    <cfRule type="expression" dxfId="81" priority="161">
      <formula>MOD(ROW(),2)=0</formula>
    </cfRule>
  </conditionalFormatting>
  <conditionalFormatting sqref="AF122:AV122">
    <cfRule type="expression" dxfId="80" priority="104">
      <formula>MOD(ROW(),2)=0</formula>
    </cfRule>
  </conditionalFormatting>
  <conditionalFormatting sqref="AF137:BK137">
    <cfRule type="expression" dxfId="79" priority="77">
      <formula>MOD(ROW(),2)=0</formula>
    </cfRule>
  </conditionalFormatting>
  <conditionalFormatting sqref="AF139:BK139">
    <cfRule type="expression" dxfId="78" priority="75">
      <formula>MOD(ROW(),2)=0</formula>
    </cfRule>
  </conditionalFormatting>
  <conditionalFormatting sqref="AF140:BY141">
    <cfRule type="expression" dxfId="77" priority="72">
      <formula>MOD(ROW(),2)=0</formula>
    </cfRule>
  </conditionalFormatting>
  <conditionalFormatting sqref="AF143:DP148">
    <cfRule type="expression" dxfId="76" priority="18">
      <formula>MOD(ROW(),2)=0</formula>
    </cfRule>
  </conditionalFormatting>
  <conditionalFormatting sqref="AF158:DP159">
    <cfRule type="expression" dxfId="75" priority="13">
      <formula>MOD(ROW(),2)=0</formula>
    </cfRule>
  </conditionalFormatting>
  <conditionalFormatting sqref="AF162:DP162">
    <cfRule type="expression" dxfId="74" priority="1">
      <formula>MOD(ROW(),2)=0</formula>
    </cfRule>
  </conditionalFormatting>
  <conditionalFormatting sqref="AG39:AQ39 AF40:AQ46 B70:K73 J74:K74 W93:AE94 G126:K127 B127:E127">
    <cfRule type="expression" dxfId="73" priority="173">
      <formula>MOD(ROW(),2)=0</formula>
    </cfRule>
  </conditionalFormatting>
  <conditionalFormatting sqref="AG94:AV94">
    <cfRule type="expression" dxfId="72" priority="170">
      <formula>MOD(ROW(),2)=0</formula>
    </cfRule>
  </conditionalFormatting>
  <conditionalFormatting sqref="AH124:AH128">
    <cfRule type="expression" dxfId="71" priority="95">
      <formula>MOD(ROW(),2)=0</formula>
    </cfRule>
  </conditionalFormatting>
  <conditionalFormatting sqref="AH152:DP152">
    <cfRule type="expression" dxfId="70" priority="26">
      <formula>MOD(ROW(),2)=0</formula>
    </cfRule>
  </conditionalFormatting>
  <conditionalFormatting sqref="AI124:AV124">
    <cfRule type="expression" dxfId="69" priority="94">
      <formula>MOD(ROW(),2)=0</formula>
    </cfRule>
  </conditionalFormatting>
  <conditionalFormatting sqref="AI125:BQ128">
    <cfRule type="expression" dxfId="68" priority="90">
      <formula>MOD(ROW(),2)=0</formula>
    </cfRule>
  </conditionalFormatting>
  <conditionalFormatting sqref="AR95">
    <cfRule type="expression" dxfId="67" priority="162">
      <formula>MOD(ROW(),2)=0</formula>
    </cfRule>
  </conditionalFormatting>
  <conditionalFormatting sqref="AR39:AV46">
    <cfRule type="expression" dxfId="66" priority="128">
      <formula>MOD(ROW(),2)=0</formula>
    </cfRule>
  </conditionalFormatting>
  <conditionalFormatting sqref="AR98:AV99">
    <cfRule type="expression" dxfId="65" priority="163">
      <formula>MOD(ROW(),2)=0</formula>
    </cfRule>
  </conditionalFormatting>
  <conditionalFormatting sqref="AT2:DP2 CH3:DG3 DH3:DH4 V3:Y6 R3:R15 U3:U15 Z3:AB15 DI3:DI37">
    <cfRule type="expression" dxfId="64" priority="60">
      <formula>MOD(ROW(),2)=0</formula>
    </cfRule>
  </conditionalFormatting>
  <conditionalFormatting sqref="AW122:AW124">
    <cfRule type="expression" dxfId="63" priority="107">
      <formula>MOD(ROW(),2)=0</formula>
    </cfRule>
  </conditionalFormatting>
  <conditionalFormatting sqref="AX122:CN122">
    <cfRule type="expression" dxfId="62" priority="106">
      <formula>MOD(ROW(),2)=0</formula>
    </cfRule>
  </conditionalFormatting>
  <conditionalFormatting sqref="AX123:DJ123">
    <cfRule type="expression" dxfId="61" priority="109">
      <formula>MOD(ROW(),2)=0</formula>
    </cfRule>
  </conditionalFormatting>
  <conditionalFormatting sqref="BA39:BC39 P109:BC109">
    <cfRule type="expression" dxfId="60" priority="160">
      <formula>MOD(ROW(),2)=0</formula>
    </cfRule>
  </conditionalFormatting>
  <conditionalFormatting sqref="BD95:BD97">
    <cfRule type="expression" dxfId="59" priority="147">
      <formula>MOD(ROW(),2)=0</formula>
    </cfRule>
  </conditionalFormatting>
  <conditionalFormatting sqref="BD94:BE95 BG94:CN95">
    <cfRule type="expression" dxfId="58" priority="141">
      <formula>MOD(ROW(),2)=0</formula>
    </cfRule>
  </conditionalFormatting>
  <conditionalFormatting sqref="BD97:BE98 BG97:BQ98">
    <cfRule type="expression" dxfId="57" priority="140">
      <formula>MOD(ROW(),2)=0</formula>
    </cfRule>
  </conditionalFormatting>
  <conditionalFormatting sqref="BD79:BI79">
    <cfRule type="expression" dxfId="56" priority="123">
      <formula>MOD(ROW(),2)=0</formula>
    </cfRule>
  </conditionalFormatting>
  <conditionalFormatting sqref="BD90:BO91">
    <cfRule type="expression" dxfId="55" priority="152">
      <formula>MOD(ROW(),2)=0</formula>
    </cfRule>
  </conditionalFormatting>
  <conditionalFormatting sqref="BD99:BQ109">
    <cfRule type="expression" dxfId="54" priority="129">
      <formula>MOD(ROW(),2)=0</formula>
    </cfRule>
  </conditionalFormatting>
  <conditionalFormatting sqref="BD92:CN93">
    <cfRule type="expression" dxfId="53" priority="134">
      <formula>MOD(ROW(),2)=0</formula>
    </cfRule>
  </conditionalFormatting>
  <conditionalFormatting sqref="BF94:BF98">
    <cfRule type="expression" dxfId="52" priority="133">
      <formula>MOD(ROW(),2)=0</formula>
    </cfRule>
  </conditionalFormatting>
  <conditionalFormatting sqref="BJ96:BQ97">
    <cfRule type="expression" dxfId="51" priority="148">
      <formula>MOD(ROW(),2)=0</formula>
    </cfRule>
  </conditionalFormatting>
  <conditionalFormatting sqref="BJ95:BR96">
    <cfRule type="expression" dxfId="50" priority="149">
      <formula>MOD(ROW(),2)=0</formula>
    </cfRule>
  </conditionalFormatting>
  <conditionalFormatting sqref="BK89:BO89">
    <cfRule type="expression" dxfId="49" priority="124">
      <formula>MOD(ROW(),2)=0</formula>
    </cfRule>
  </conditionalFormatting>
  <conditionalFormatting sqref="BK86:BP88 BE88:BI91 BE94:BE97 BG94:BI97">
    <cfRule type="expression" dxfId="48" priority="146">
      <formula>MOD(ROW(),2)=0</formula>
    </cfRule>
  </conditionalFormatting>
  <conditionalFormatting sqref="BK64:CL77 BK78:CN85">
    <cfRule type="expression" dxfId="47" priority="122">
      <formula>MOD(ROW(),2)=0</formula>
    </cfRule>
  </conditionalFormatting>
  <conditionalFormatting sqref="BL153:BL157">
    <cfRule type="expression" dxfId="46" priority="21">
      <formula>MOD(ROW(),2)=0</formula>
    </cfRule>
  </conditionalFormatting>
  <conditionalFormatting sqref="BM130:DJ132">
    <cfRule type="expression" dxfId="45" priority="87">
      <formula>MOD(ROW(),2)=0</formula>
    </cfRule>
  </conditionalFormatting>
  <conditionalFormatting sqref="BM137:DP137">
    <cfRule type="expression" dxfId="44" priority="35">
      <formula>MOD(ROW(),2)=0</formula>
    </cfRule>
  </conditionalFormatting>
  <conditionalFormatting sqref="BM139:DP139">
    <cfRule type="expression" dxfId="43" priority="36">
      <formula>MOD(ROW(),2)=0</formula>
    </cfRule>
  </conditionalFormatting>
  <conditionalFormatting sqref="BP89:CL90">
    <cfRule type="expression" dxfId="42" priority="138">
      <formula>MOD(ROW(),2)=0</formula>
    </cfRule>
  </conditionalFormatting>
  <conditionalFormatting sqref="BQ86:CN87">
    <cfRule type="expression" dxfId="41" priority="139">
      <formula>MOD(ROW(),2)=0</formula>
    </cfRule>
  </conditionalFormatting>
  <conditionalFormatting sqref="BR92:BR109">
    <cfRule type="expression" dxfId="40" priority="145">
      <formula>MOD(ROW(),2)=0</formula>
    </cfRule>
  </conditionalFormatting>
  <conditionalFormatting sqref="BR124:DJ128">
    <cfRule type="expression" dxfId="39" priority="84">
      <formula>MOD(ROW(),2)=0</formula>
    </cfRule>
  </conditionalFormatting>
  <conditionalFormatting sqref="BS76:BS77 CM76:CN77 BQ88:CL88 BD88:BD90 CM88:CN90 BP91:CN91">
    <cfRule type="expression" dxfId="38" priority="157">
      <formula>MOD(ROW(),2)=0</formula>
    </cfRule>
  </conditionalFormatting>
  <conditionalFormatting sqref="BS93:BS97">
    <cfRule type="expression" dxfId="37" priority="151">
      <formula>MOD(ROW(),2)=0</formula>
    </cfRule>
  </conditionalFormatting>
  <conditionalFormatting sqref="BS97:CN109">
    <cfRule type="expression" dxfId="36" priority="130">
      <formula>MOD(ROW(),2)=0</formula>
    </cfRule>
  </conditionalFormatting>
  <conditionalFormatting sqref="BT95:CN97">
    <cfRule type="expression" dxfId="35" priority="150">
      <formula>MOD(ROW(),2)=0</formula>
    </cfRule>
  </conditionalFormatting>
  <conditionalFormatting sqref="BZ140:DP142">
    <cfRule type="expression" dxfId="34" priority="70">
      <formula>MOD(ROW(),2)=0</formula>
    </cfRule>
  </conditionalFormatting>
  <conditionalFormatting sqref="CB139:CC140">
    <cfRule type="expression" dxfId="33" priority="74">
      <formula>MOD(ROW(),2)=0</formula>
    </cfRule>
  </conditionalFormatting>
  <conditionalFormatting sqref="CE110:CN120">
    <cfRule type="expression" dxfId="32" priority="115">
      <formula>MOD(ROW(),2)=0</formula>
    </cfRule>
  </conditionalFormatting>
  <conditionalFormatting sqref="CE153:DP157">
    <cfRule type="expression" dxfId="31" priority="20">
      <formula>MOD(ROW(),2)=0</formula>
    </cfRule>
  </conditionalFormatting>
  <conditionalFormatting sqref="CH4:CM15">
    <cfRule type="expression" dxfId="30" priority="59">
      <formula>MOD(ROW(),2)=0</formula>
    </cfRule>
  </conditionalFormatting>
  <conditionalFormatting sqref="CK96">
    <cfRule type="expression" dxfId="29" priority="137">
      <formula>MOD(ROW(),2)=0</formula>
    </cfRule>
  </conditionalFormatting>
  <conditionalFormatting sqref="CK98:CK101">
    <cfRule type="expression" dxfId="28" priority="136">
      <formula>MOD(ROW(),2)=0</formula>
    </cfRule>
  </conditionalFormatting>
  <conditionalFormatting sqref="CK103">
    <cfRule type="expression" dxfId="27" priority="135">
      <formula>MOD(ROW(),2)=0</formula>
    </cfRule>
  </conditionalFormatting>
  <conditionalFormatting sqref="CL104">
    <cfRule type="expression" dxfId="26" priority="131">
      <formula>MOD(ROW(),2)=0</formula>
    </cfRule>
  </conditionalFormatting>
  <conditionalFormatting sqref="CM64:CM65">
    <cfRule type="expression" dxfId="25" priority="155">
      <formula>MOD(ROW(),2)=0</formula>
    </cfRule>
  </conditionalFormatting>
  <conditionalFormatting sqref="CM67:CM70">
    <cfRule type="expression" dxfId="24" priority="156">
      <formula>MOD(ROW(),2)=0</formula>
    </cfRule>
  </conditionalFormatting>
  <conditionalFormatting sqref="CM72:CM75">
    <cfRule type="expression" dxfId="23" priority="153">
      <formula>MOD(ROW(),2)=0</formula>
    </cfRule>
  </conditionalFormatting>
  <conditionalFormatting sqref="CN64:CN75">
    <cfRule type="expression" dxfId="22" priority="154">
      <formula>MOD(ROW(),2)=0</formula>
    </cfRule>
  </conditionalFormatting>
  <conditionalFormatting sqref="CN4:DG4">
    <cfRule type="expression" dxfId="21" priority="55">
      <formula>MOD(ROW(),2)=0</formula>
    </cfRule>
  </conditionalFormatting>
  <conditionalFormatting sqref="CP19:DH37 DJ20:DJ37">
    <cfRule type="expression" dxfId="20" priority="39">
      <formula>MOD(ROW(),2)=0</formula>
    </cfRule>
  </conditionalFormatting>
  <conditionalFormatting sqref="CP38:DJ77">
    <cfRule type="expression" dxfId="19" priority="32">
      <formula>MOD(ROW(),2)=0</formula>
    </cfRule>
  </conditionalFormatting>
  <conditionalFormatting sqref="CP95:DJ122">
    <cfRule type="expression" dxfId="18" priority="29">
      <formula>MOD(ROW(),2)=0</formula>
    </cfRule>
  </conditionalFormatting>
  <conditionalFormatting sqref="CQ94">
    <cfRule type="expression" dxfId="17" priority="144">
      <formula>MOD(ROW(),2)=0</formula>
    </cfRule>
  </conditionalFormatting>
  <conditionalFormatting sqref="CS94:CT94">
    <cfRule type="expression" dxfId="16" priority="143">
      <formula>MOD(ROW(),2)=0</formula>
    </cfRule>
  </conditionalFormatting>
  <conditionalFormatting sqref="DB94:DD94">
    <cfRule type="expression" dxfId="15" priority="142">
      <formula>MOD(ROW(),2)=0</formula>
    </cfRule>
  </conditionalFormatting>
  <conditionalFormatting sqref="DE86:DE95">
    <cfRule type="expression" dxfId="14" priority="120">
      <formula>MOD(ROW(),2)=0</formula>
    </cfRule>
  </conditionalFormatting>
  <conditionalFormatting sqref="DE104:DJ104">
    <cfRule type="expression" dxfId="13" priority="132">
      <formula>MOD(ROW(),2)=0</formula>
    </cfRule>
  </conditionalFormatting>
  <conditionalFormatting sqref="DF86:DH88">
    <cfRule type="expression" dxfId="12" priority="125">
      <formula>MOD(ROW(),2)=0</formula>
    </cfRule>
  </conditionalFormatting>
  <conditionalFormatting sqref="DF89:DJ95">
    <cfRule type="expression" dxfId="11" priority="30">
      <formula>MOD(ROW(),2)=0</formula>
    </cfRule>
  </conditionalFormatting>
  <conditionalFormatting sqref="DG79:DH85">
    <cfRule type="expression" dxfId="10" priority="127">
      <formula>MOD(ROW(),2)=0</formula>
    </cfRule>
  </conditionalFormatting>
  <conditionalFormatting sqref="DI79:DJ88">
    <cfRule type="expression" dxfId="9" priority="31">
      <formula>MOD(ROW(),2)=0</formula>
    </cfRule>
  </conditionalFormatting>
  <conditionalFormatting sqref="DI135:DP135">
    <cfRule type="expression" dxfId="8" priority="28">
      <formula>MOD(ROW(),2)=0</formula>
    </cfRule>
  </conditionalFormatting>
  <conditionalFormatting sqref="DJ2:DN15 CN5:DH15">
    <cfRule type="expression" dxfId="7" priority="54">
      <formula>MOD(ROW(),2)=0</formula>
    </cfRule>
  </conditionalFormatting>
  <conditionalFormatting sqref="DJ3:DP18 W18:DH18">
    <cfRule type="expression" dxfId="6" priority="44">
      <formula>MOD(ROW(),2)=0</formula>
    </cfRule>
  </conditionalFormatting>
  <conditionalFormatting sqref="DK20:DK134">
    <cfRule type="expression" dxfId="5" priority="34">
      <formula>MOD(ROW(),2)=0</formula>
    </cfRule>
  </conditionalFormatting>
  <conditionalFormatting sqref="DL20:DL114">
    <cfRule type="expression" dxfId="4" priority="111">
      <formula>MOD(ROW(),2)=0</formula>
    </cfRule>
  </conditionalFormatting>
  <conditionalFormatting sqref="DL116:DL118">
    <cfRule type="expression" dxfId="3" priority="117">
      <formula>MOD(ROW(),2)=0</formula>
    </cfRule>
  </conditionalFormatting>
  <conditionalFormatting sqref="DL151:DM151">
    <cfRule type="expression" dxfId="2" priority="38">
      <formula>MOD(ROW(),2)=0</formula>
    </cfRule>
  </conditionalFormatting>
  <conditionalFormatting sqref="DL115:DP115">
    <cfRule type="expression" dxfId="1" priority="119">
      <formula>MOD(ROW(),2)=0</formula>
    </cfRule>
  </conditionalFormatting>
  <conditionalFormatting sqref="DL150:DP150">
    <cfRule type="expression" dxfId="0" priority="41">
      <formula>MOD(ROW(),2)=0</formula>
    </cfRule>
  </conditionalFormatting>
  <hyperlinks>
    <hyperlink ref="CL19:CL38" r:id="rId1" display="kumho3780@naver.com" xr:uid="{FB7CE106-AF89-49C4-895B-39F09E4BA2F5}"/>
    <hyperlink ref="CL40" r:id="rId2" xr:uid="{DCC8F3B7-C122-45E0-8CA5-764B5FA3F8F0}"/>
    <hyperlink ref="CL41" r:id="rId3" xr:uid="{16CD8BC2-4ECB-4821-9C9A-59AD1F863C4F}"/>
    <hyperlink ref="CL42" r:id="rId4" xr:uid="{11F63ADA-4A4E-4F93-B04D-B167DB9B443D}"/>
    <hyperlink ref="CL43" r:id="rId5" xr:uid="{BEFEA25A-893C-4AE3-971C-DF5B047AD6C0}"/>
    <hyperlink ref="CL44" r:id="rId6" xr:uid="{D251621C-AA18-48B4-99A0-9F9820E38545}"/>
    <hyperlink ref="CL46" r:id="rId7" xr:uid="{D003F889-FE47-411E-BDB9-1C469EB43946}"/>
    <hyperlink ref="CL48" r:id="rId8" xr:uid="{C3CF0E73-FA40-46AC-AA09-1CB56B79C3A9}"/>
    <hyperlink ref="CL47" r:id="rId9" display="kumho3780@naver.com" xr:uid="{8F990898-6512-478E-8AA3-2AD521A1DC2D}"/>
    <hyperlink ref="CL53" r:id="rId10" xr:uid="{468E4CA7-EF3D-4739-8A78-C805F0D63A2E}"/>
    <hyperlink ref="CM47" r:id="rId11" xr:uid="{6A06475F-F1DB-420D-9D95-800DDAAB6C5F}"/>
    <hyperlink ref="CL50" r:id="rId12" xr:uid="{AE63B077-85E4-4959-B70A-A7E0638CE984}"/>
    <hyperlink ref="CL52" r:id="rId13" xr:uid="{E350DD1D-69EA-46A8-8E9F-0F68BC2ADE7F}"/>
    <hyperlink ref="CL55" r:id="rId14" xr:uid="{2AE99E21-CC56-46CD-9E1D-5120628EE63D}"/>
    <hyperlink ref="CL56" r:id="rId15" xr:uid="{0149E5C3-F875-4EB2-B2D0-F103E4A2CDDE}"/>
    <hyperlink ref="CM53" r:id="rId16" xr:uid="{E1199A75-94C3-4A86-B8D2-42A5007A39E2}"/>
    <hyperlink ref="CL68" r:id="rId17" xr:uid="{57E09DCC-6712-41E0-8CEE-827898EF3C6A}"/>
    <hyperlink ref="CL54" r:id="rId18" xr:uid="{CAB0E81C-5AF2-41C6-8976-C50FE81A5150}"/>
    <hyperlink ref="CL57" r:id="rId19" display="kumho3780@naver.com" xr:uid="{7ED741E5-ED32-4BD6-B2C0-E2CE76E21D8C}"/>
    <hyperlink ref="CL56:CL57" r:id="rId20" display="kumho3780@naver.com" xr:uid="{9059AC28-0EEA-47AD-8FAB-EC64A9EC2E0C}"/>
    <hyperlink ref="CL60" r:id="rId21" display="kumho3780@naver.com" xr:uid="{876B5104-9111-486F-B115-7CE7CE434383}"/>
    <hyperlink ref="CL65" r:id="rId22" display="kumho3780@naver.com" xr:uid="{3A798806-D5CC-4035-AEDE-47AD55FC3227}"/>
    <hyperlink ref="CL66" r:id="rId23" display="kumho3780@naver.com" xr:uid="{9837F14A-83C5-474D-A3A4-30DD69A769BB}"/>
    <hyperlink ref="CL62" r:id="rId24" xr:uid="{A08BCB75-65D0-4D47-8234-542146982BBD}"/>
    <hyperlink ref="CL64" r:id="rId25" xr:uid="{18391280-7197-4A6C-8C17-82631FC5555D}"/>
    <hyperlink ref="CL39" r:id="rId26" xr:uid="{731A0626-DCC7-45AF-9186-748B6D4246BA}"/>
    <hyperlink ref="CM39" r:id="rId27" xr:uid="{FA4786E2-EF6D-4F27-85B0-450B43865513}"/>
    <hyperlink ref="CL67" r:id="rId28" xr:uid="{97D99898-2289-4FF7-8761-65A9E142FB92}"/>
    <hyperlink ref="CL85" r:id="rId29" xr:uid="{F75AB68D-F61A-4444-8B25-12568B49B8EE}"/>
    <hyperlink ref="CL69" r:id="rId30" xr:uid="{AC5BB271-9295-4DAC-9C5C-DE2CCF987260}"/>
    <hyperlink ref="CL71" r:id="rId31" display="kumho3780@naver.com" xr:uid="{08012D78-B8BF-43D1-B144-BA4153957AC8}"/>
    <hyperlink ref="CL61" r:id="rId32" display="kumho3780@naver.com" xr:uid="{4F68E160-7B29-4B67-B1C9-8D82003F362A}"/>
    <hyperlink ref="CL63" r:id="rId33" display="kumho3780@naver.com" xr:uid="{894AD185-9BCE-463C-ACEF-4F6075C37542}"/>
    <hyperlink ref="CL81:CL85" r:id="rId34" display="kumho3780@naver.com" xr:uid="{3116D810-DA74-4BCD-9A5D-3D4D71F9F757}"/>
    <hyperlink ref="CL87" r:id="rId35" xr:uid="{70BCE8D5-6B00-4438-87E8-C6B9EB1448D5}"/>
    <hyperlink ref="CL75" r:id="rId36" xr:uid="{5EF4BBBA-CE91-40DA-BF38-87721FD671C0}"/>
    <hyperlink ref="CL76" r:id="rId37" xr:uid="{F465C3DC-EA0F-4E60-B394-B2C998B35492}"/>
    <hyperlink ref="CL78" r:id="rId38" display="serim@serimbng.co.kr" xr:uid="{476F5471-E5B6-4945-8221-7DA03667466B}"/>
    <hyperlink ref="CL79" r:id="rId39" xr:uid="{29C44B73-7BC2-4079-B5F0-D8F829198170}"/>
    <hyperlink ref="CL88" r:id="rId40" xr:uid="{83BA2167-0D78-4056-929D-2D466DC3E7F3}"/>
    <hyperlink ref="CL90" r:id="rId41" xr:uid="{C8BA8C1D-3F76-481A-8F02-B34115221907}"/>
    <hyperlink ref="CL89" r:id="rId42" xr:uid="{87E45BA6-9060-408F-8E6A-CF039AF896EB}"/>
    <hyperlink ref="CM74" r:id="rId43" xr:uid="{12431416-04CA-43C1-9340-64471794ACC6}"/>
    <hyperlink ref="CL74" r:id="rId44" xr:uid="{43FD0895-AA98-4F88-8EC2-3F57178FCF59}"/>
    <hyperlink ref="CL49" r:id="rId45" xr:uid="{3C451883-94A8-4ADC-98D3-4E8708A32CEA}"/>
    <hyperlink ref="CL91" r:id="rId46" xr:uid="{1A863C15-911D-41B2-901C-59D2D498B518}"/>
    <hyperlink ref="CL93" r:id="rId47" display="shtel124@shtel.co.kr" xr:uid="{CCEEF1C4-F306-428B-829D-F05F3DC88E00}"/>
    <hyperlink ref="CL99" r:id="rId48" xr:uid="{C413E39D-C900-44A8-9F48-F05A8CB4A9CB}"/>
    <hyperlink ref="CL100" r:id="rId49" xr:uid="{7D2C1A83-A631-443F-97A8-B6466DB0DF4A}"/>
    <hyperlink ref="CL45" r:id="rId50" xr:uid="{47A14380-B94C-4343-A3DA-9BB300E0D8AD}"/>
    <hyperlink ref="CL101" r:id="rId51" xr:uid="{25795A16-BDE7-492F-A5B5-4981BA597CE2}"/>
    <hyperlink ref="CL103" r:id="rId52" xr:uid="{D370AA4B-72F1-45BB-A673-0FFC588CA929}"/>
    <hyperlink ref="CL102" r:id="rId53" xr:uid="{90DC4DFF-C6DB-4DCC-B842-7DD66069261E}"/>
    <hyperlink ref="CL105" r:id="rId54" xr:uid="{6EDFFF25-5615-498B-B3FF-1E15416C99FA}"/>
    <hyperlink ref="CL106" r:id="rId55" xr:uid="{7A503295-DEFF-4AF6-B63E-89F2EEB0A6B8}"/>
    <hyperlink ref="CL38" r:id="rId56" xr:uid="{E8A0275B-4AC8-4A9C-BEF3-6221F20CAB4A}"/>
    <hyperlink ref="CM38" r:id="rId57" xr:uid="{57641CAF-A1DF-449A-BFDD-4F918A2B74C0}"/>
    <hyperlink ref="CM86" r:id="rId58" xr:uid="{DEA15624-7DB2-4F18-8A1F-929D8FD0C13A}"/>
    <hyperlink ref="CL86" r:id="rId59" xr:uid="{00755811-07D9-4D76-9C72-F5B40953DDC8}"/>
    <hyperlink ref="CL107" r:id="rId60" xr:uid="{6ADFF5DF-D7E9-4551-BD70-D9F96CB9A9A0}"/>
    <hyperlink ref="CL108" r:id="rId61" xr:uid="{3D895870-6989-479D-B112-81990DD10565}"/>
    <hyperlink ref="CM110" r:id="rId62" xr:uid="{17792898-0F82-4087-B98D-1891C1D9D47D}"/>
    <hyperlink ref="CL111" r:id="rId63" xr:uid="{6D031D09-463E-4388-8835-7D09D4001DD3}"/>
    <hyperlink ref="CL112" r:id="rId64" display="kumho3780@naver.com" xr:uid="{8344A292-87DA-4DA1-80B6-DB7A77154A4F}"/>
    <hyperlink ref="CL113" r:id="rId65" xr:uid="{7A4C2613-F743-4D9F-B01C-AF2EA96B9B75}"/>
    <hyperlink ref="CL115" r:id="rId66" xr:uid="{C9C18FBA-185B-4606-A813-118BBB9DEDAA}"/>
    <hyperlink ref="CL114" r:id="rId67" xr:uid="{F60C59B8-15BC-4B7C-8F07-001E85ACDA03}"/>
    <hyperlink ref="CL116" r:id="rId68" xr:uid="{CC8D1668-FC8C-40F1-A46E-ADE9BDEC3E72}"/>
    <hyperlink ref="CL117" r:id="rId69" xr:uid="{D932574A-9A75-4D08-9108-2AFCC79423A3}"/>
    <hyperlink ref="CL118" r:id="rId70" xr:uid="{4E3B6AC6-B672-40A0-ABA7-5D699F395215}"/>
    <hyperlink ref="CL98" r:id="rId71" xr:uid="{BA4C9445-A095-4438-A6EF-9DEA3273FBDD}"/>
    <hyperlink ref="CL120" r:id="rId72" xr:uid="{46B393B4-2BFF-437A-972D-1900BB0F2D92}"/>
    <hyperlink ref="CL121" r:id="rId73" xr:uid="{A2334B87-40FA-47E1-97AD-5FF2FCFDB905}"/>
    <hyperlink ref="CL123" r:id="rId74" xr:uid="{A91A15D7-42ED-413E-B957-E9DBFBC6B35C}"/>
    <hyperlink ref="CL122" r:id="rId75" xr:uid="{DC30CD96-D881-411B-AEC5-DD57E4EF7DFD}"/>
    <hyperlink ref="CL129" r:id="rId76" xr:uid="{810CF466-44FC-44AA-B2AC-321767E24C72}"/>
    <hyperlink ref="CL124" r:id="rId77" display="ametech1@wehago.com" xr:uid="{02FA3EEE-0C81-4D56-90B3-EB9060CBD430}"/>
    <hyperlink ref="CL125" r:id="rId78" display="ametech1@wehago.com" xr:uid="{368A132B-4AAD-4D6F-90E1-25FA92F14152}"/>
    <hyperlink ref="CL128" r:id="rId79" xr:uid="{E968EB47-C850-4310-9486-0CFCD2D921ED}"/>
    <hyperlink ref="CL130" r:id="rId80" xr:uid="{DCD3BA27-479C-4D97-8EDC-01DF7AB5DD0B}"/>
    <hyperlink ref="CL131" r:id="rId81" display="ametech1@wehago.com" xr:uid="{88E3DB53-D8FF-4F8F-8AE9-5E8239438A2A}"/>
    <hyperlink ref="CL132" r:id="rId82" display="ametech1@wehago.com" xr:uid="{538DA00D-F0AA-4A0A-B828-DEEF63527B3F}"/>
    <hyperlink ref="CM126" r:id="rId83" xr:uid="{DB26059A-70AC-48B3-B948-AA00C948C6D8}"/>
    <hyperlink ref="CM121" r:id="rId84" xr:uid="{A9A491DF-2919-4E61-88FA-489081A52324}"/>
    <hyperlink ref="CL126" r:id="rId85" xr:uid="{64FEF0E8-548C-4760-8242-89701B40A2F7}"/>
    <hyperlink ref="CM133" r:id="rId86" xr:uid="{CB26784D-CA86-4A4C-BEB7-F8229A7BF301}"/>
    <hyperlink ref="CL134" r:id="rId87" xr:uid="{D0878A9A-7211-4F58-AC1B-25B9A60FCA9B}"/>
    <hyperlink ref="CL135" r:id="rId88" xr:uid="{57D11845-2823-4051-A308-8BB1C84C8A2F}"/>
    <hyperlink ref="CL136" r:id="rId89" xr:uid="{97F1CE83-C663-4206-AF1E-BB9FAECB4A99}"/>
    <hyperlink ref="CL137" r:id="rId90" xr:uid="{04B1BE2B-A171-4914-A53A-116AA9F37873}"/>
    <hyperlink ref="CL138" r:id="rId91" xr:uid="{8E11C1C7-B44A-4C5E-A972-BF007847C139}"/>
    <hyperlink ref="CL139" r:id="rId92" xr:uid="{4E011D06-DF8A-4DFF-8924-BCE14A73180E}"/>
    <hyperlink ref="CM141" r:id="rId93" xr:uid="{45DA0768-7EFB-48FD-A87F-1E2B0505C496}"/>
    <hyperlink ref="CL141" r:id="rId94" xr:uid="{BF35A7D0-0C3F-4675-9969-4A10E5E345F8}"/>
    <hyperlink ref="CL142" r:id="rId95" xr:uid="{B71E3962-E30D-4169-919A-0C352C00F796}"/>
    <hyperlink ref="CL143" r:id="rId96" xr:uid="{5E570F69-934B-41F4-88CE-878A0EF8F4AE}"/>
    <hyperlink ref="CL146" r:id="rId97" xr:uid="{E37FA897-81F3-4289-8C61-CEF9C5AF2D78}"/>
    <hyperlink ref="CL147" r:id="rId98" xr:uid="{7CC5833F-948C-4055-A119-05083C2AD3D0}"/>
    <hyperlink ref="CL145" r:id="rId99" xr:uid="{809F0EDC-6087-41FA-BF0D-39F95BC969AF}"/>
    <hyperlink ref="CL144" r:id="rId100" xr:uid="{A86C7BB1-8B1C-4103-B20B-FF88614BE49D}"/>
    <hyperlink ref="CL110" r:id="rId101" xr:uid="{6570414E-7721-426D-8A66-0879682FAF53}"/>
    <hyperlink ref="CL133" r:id="rId102" display="mailto:bdlee@hwawoo.com" xr:uid="{FED80660-BB54-47FC-A9F0-614E634BAE8C}"/>
    <hyperlink ref="CL149" r:id="rId103" xr:uid="{41BDF9B5-1E27-4FE9-8430-AD5016EB59CE}"/>
    <hyperlink ref="CL77" r:id="rId104" display="serim@serimbng.co.kr" xr:uid="{58901505-9BA3-4960-826C-A8455D8A87D3}"/>
    <hyperlink ref="CL150" r:id="rId105" xr:uid="{E1B8BA88-AEB0-4589-ADBB-D3F9A11B6E17}"/>
    <hyperlink ref="CL151" r:id="rId106" xr:uid="{22042FA2-F7DF-4E9D-B891-E4CE3BCD4CAF}"/>
    <hyperlink ref="CL157" r:id="rId107" xr:uid="{DB676792-ED67-492C-966F-E5B19BA69A2E}"/>
    <hyperlink ref="CL153" r:id="rId108" xr:uid="{84EC059F-FCB9-48BE-87AA-E0DFADB7CC9C}"/>
    <hyperlink ref="CL154" r:id="rId109" xr:uid="{8C534B5A-3418-4E54-B08E-BB2AAC87219E}"/>
    <hyperlink ref="CL155" r:id="rId110" xr:uid="{792FBBC8-2755-4F1F-B844-EF82F01C4A3A}"/>
    <hyperlink ref="CL156" r:id="rId111" xr:uid="{80D323F5-CFF4-4A64-B023-1EF4A1348D37}"/>
    <hyperlink ref="CL148" r:id="rId112" xr:uid="{DF214F2C-1AF9-4063-8837-B328A53FC562}"/>
    <hyperlink ref="CM124" r:id="rId113" xr:uid="{CC42F644-2BC7-4094-9641-3D5E0AEA1BCE}"/>
    <hyperlink ref="CM125" r:id="rId114" display="ametech1@wehago.com" xr:uid="{CBDD0F23-4A1E-4527-AD65-175321979990}"/>
    <hyperlink ref="CM158" r:id="rId115" xr:uid="{E6DE06D1-3A97-4647-8E46-7CC654BACDB2}"/>
    <hyperlink ref="CL158" r:id="rId116" xr:uid="{1D9853F6-F021-4CD1-A47D-7EDBB3A05F0C}"/>
    <hyperlink ref="CL160" r:id="rId117" display="ametech1@wehago.com" xr:uid="{BCACACE0-0B0A-46C9-8630-6B1BA36DB944}"/>
    <hyperlink ref="CL161" r:id="rId118" display="kumho3780@naver.com" xr:uid="{E0626554-7AC5-4106-B8CD-D101C38F45E3}"/>
    <hyperlink ref="CL51" r:id="rId119" xr:uid="{B535BE90-C93A-4337-9738-64988774EF19}"/>
    <hyperlink ref="CM51" r:id="rId120" xr:uid="{F61F4BA3-46A5-4123-9B68-4E1C2E49AEB8}"/>
    <hyperlink ref="CL163" r:id="rId121" display="ametech1@wehago.com" xr:uid="{382AC6A8-28B4-455E-BC9D-5375F18D75BB}"/>
    <hyperlink ref="CL162" r:id="rId122" xr:uid="{5E304364-729C-4ED1-83CB-CBD0D79F23F9}"/>
    <hyperlink ref="CL164" r:id="rId123" xr:uid="{B1E027C6-B86F-4040-B390-2005E3E29043}"/>
  </hyperlinks>
  <printOptions horizontalCentered="1" verticalCentered="1"/>
  <pageMargins left="0.25" right="0.25" top="0.75" bottom="0.75" header="0.3" footer="0.3"/>
  <pageSetup paperSize="9" scale="10" orientation="landscape" r:id="rId1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DB_렌트_차량관리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 Benefit</dc:creator>
  <cp:lastModifiedBy>Rent Benefit</cp:lastModifiedBy>
  <dcterms:created xsi:type="dcterms:W3CDTF">2026-07-23T07:47:28Z</dcterms:created>
  <dcterms:modified xsi:type="dcterms:W3CDTF">2026-07-23T07:49:51Z</dcterms:modified>
</cp:coreProperties>
</file>