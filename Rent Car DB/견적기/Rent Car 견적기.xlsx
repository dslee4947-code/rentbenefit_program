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dibenefit-my.sharepoint.com/personal/rent_sdibenefit_com/Documents/rentbenefit/rentbenefit_program/Rent Car DB/견적기/"/>
    </mc:Choice>
  </mc:AlternateContent>
  <xr:revisionPtr revIDLastSave="0" documentId="8_{432E06F1-7E8C-4066-A3E7-DF1DA5EDF384}" xr6:coauthVersionLast="47" xr6:coauthVersionMax="47" xr10:uidLastSave="{00000000-0000-0000-0000-000000000000}"/>
  <bookViews>
    <workbookView xWindow="-98" yWindow="-98" windowWidth="21795" windowHeight="12975" xr2:uid="{92E937B7-5105-4FB5-9E85-B3F683C4B290}"/>
  </bookViews>
  <sheets>
    <sheet name="견적서 보고용" sheetId="1" r:id="rId1"/>
  </sheets>
  <externalReferences>
    <externalReference r:id="rId2"/>
  </externalReferences>
  <definedNames>
    <definedName name="법개">[1]목록상자!$D$2:$D$3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2" i="1" l="1"/>
  <c r="T32" i="1"/>
  <c r="O32" i="1"/>
  <c r="O42" i="1" s="1"/>
  <c r="J32" i="1"/>
  <c r="J42" i="1" s="1"/>
  <c r="E32" i="1"/>
  <c r="T25" i="1"/>
  <c r="O25" i="1"/>
  <c r="J25" i="1"/>
  <c r="E25" i="1"/>
  <c r="AD24" i="1"/>
  <c r="AT21" i="1"/>
  <c r="AP21" i="1"/>
  <c r="AL21" i="1"/>
  <c r="AH21" i="1"/>
  <c r="AD21" i="1"/>
  <c r="AS16" i="1"/>
  <c r="AN16" i="1"/>
  <c r="AI16" i="1"/>
  <c r="AD16" i="1"/>
  <c r="T14" i="1"/>
  <c r="O14" i="1"/>
  <c r="J14" i="1"/>
  <c r="E14" i="1"/>
  <c r="AS13" i="1"/>
  <c r="AN13" i="1"/>
  <c r="AI13" i="1"/>
  <c r="AD13" i="1"/>
  <c r="T9" i="1"/>
  <c r="O9" i="1"/>
  <c r="T7" i="1"/>
  <c r="T38" i="1" s="1"/>
  <c r="O7" i="1"/>
  <c r="O38" i="1" s="1"/>
  <c r="J7" i="1"/>
  <c r="J38" i="1" s="1"/>
  <c r="E7" i="1"/>
  <c r="E38" i="1" s="1"/>
  <c r="U4" i="1"/>
  <c r="AS2" i="1"/>
  <c r="AS31" i="1" s="1"/>
  <c r="AN2" i="1"/>
  <c r="AI2" i="1"/>
  <c r="AD2" i="1"/>
  <c r="E40" i="1" l="1"/>
  <c r="E16" i="1" s="1"/>
  <c r="J40" i="1"/>
  <c r="J16" i="1" s="1"/>
  <c r="T11" i="1"/>
  <c r="O24" i="1"/>
  <c r="J28" i="1"/>
  <c r="O36" i="1"/>
  <c r="O43" i="1" s="1"/>
  <c r="O40" i="1"/>
  <c r="O16" i="1" s="1"/>
  <c r="E11" i="1"/>
  <c r="O11" i="1"/>
  <c r="J24" i="1"/>
  <c r="E28" i="1"/>
  <c r="J36" i="1"/>
  <c r="J43" i="1" s="1"/>
  <c r="E9" i="1"/>
  <c r="T24" i="1"/>
  <c r="T28" i="1"/>
  <c r="T36" i="1"/>
  <c r="T40" i="1"/>
  <c r="T16" i="1" s="1"/>
  <c r="E24" i="1"/>
  <c r="E36" i="1"/>
  <c r="E43" i="1" s="1"/>
  <c r="J9" i="1"/>
  <c r="J11" i="1" s="1"/>
  <c r="J21" i="1" l="1"/>
  <c r="AI6" i="1"/>
  <c r="J22" i="1"/>
  <c r="J13" i="1" s="1"/>
  <c r="O22" i="1"/>
  <c r="AN6" i="1"/>
  <c r="O21" i="1"/>
  <c r="O13" i="1" s="1"/>
  <c r="E22" i="1"/>
  <c r="E21" i="1"/>
  <c r="E13" i="1" s="1"/>
  <c r="AD6" i="1"/>
  <c r="AS6" i="1"/>
  <c r="T21" i="1"/>
  <c r="T22" i="1"/>
  <c r="T13" i="1" s="1"/>
  <c r="E12" i="1" l="1"/>
  <c r="E15" i="1"/>
  <c r="E19" i="1" s="1"/>
  <c r="E30" i="1" s="1"/>
  <c r="E44" i="1" s="1"/>
  <c r="AD31" i="1" s="1"/>
  <c r="O12" i="1"/>
  <c r="O15" i="1"/>
  <c r="O19" i="1" s="1"/>
  <c r="O30" i="1" s="1"/>
  <c r="O44" i="1" s="1"/>
  <c r="AN31" i="1" s="1"/>
  <c r="T12" i="1"/>
  <c r="T18" i="1"/>
  <c r="T17" i="1" s="1"/>
  <c r="T15" i="1"/>
  <c r="T19" i="1" s="1"/>
  <c r="T30" i="1" s="1"/>
  <c r="T43" i="1" s="1"/>
  <c r="T42" i="1" s="1"/>
  <c r="T41" i="1" s="1"/>
  <c r="J12" i="1"/>
  <c r="J15" i="1"/>
  <c r="J19" i="1" s="1"/>
  <c r="J30" i="1" s="1"/>
  <c r="J44" i="1" s="1"/>
  <c r="AI31" i="1" s="1"/>
  <c r="O18" i="1" l="1"/>
  <c r="O17" i="1" s="1"/>
  <c r="J18" i="1"/>
  <c r="J17" i="1" s="1"/>
  <c r="E18" i="1"/>
  <c r="E17" i="1" s="1"/>
</calcChain>
</file>

<file path=xl/sharedStrings.xml><?xml version="1.0" encoding="utf-8"?>
<sst xmlns="http://schemas.openxmlformats.org/spreadsheetml/2006/main" count="90" uniqueCount="86">
  <si>
    <t>■ 차량정보</t>
    <phoneticPr fontId="4" type="noConversion"/>
  </si>
  <si>
    <t>이희웅 대표님</t>
  </si>
  <si>
    <t>■ 렌트베네핏 수수료</t>
    <phoneticPr fontId="4" type="noConversion"/>
  </si>
  <si>
    <t>모델명</t>
    <phoneticPr fontId="3" type="noConversion"/>
  </si>
  <si>
    <t xml:space="preserve"> 팰리세이드 (H) 2.5 2WD 프레스티지 9인승</t>
  </si>
  <si>
    <t>옵션</t>
    <phoneticPr fontId="3" type="noConversion"/>
  </si>
  <si>
    <t>-</t>
    <phoneticPr fontId="3" type="noConversion"/>
  </si>
  <si>
    <t>차량가격</t>
  </si>
  <si>
    <t>연료</t>
    <phoneticPr fontId="4" type="noConversion"/>
  </si>
  <si>
    <t>배기량</t>
    <phoneticPr fontId="4" type="noConversion"/>
  </si>
  <si>
    <t>cc</t>
    <phoneticPr fontId="4" type="noConversion"/>
  </si>
  <si>
    <t>P</t>
    <phoneticPr fontId="4" type="noConversion"/>
  </si>
  <si>
    <t>옵션가격</t>
    <phoneticPr fontId="4" type="noConversion"/>
  </si>
  <si>
    <t>총 차량가격</t>
    <phoneticPr fontId="4" type="noConversion"/>
  </si>
  <si>
    <t>■ 캐피탈</t>
    <phoneticPr fontId="4" type="noConversion"/>
  </si>
  <si>
    <t>■ 딜러 수수료</t>
    <phoneticPr fontId="4" type="noConversion"/>
  </si>
  <si>
    <t>SK견적</t>
    <phoneticPr fontId="4" type="noConversion"/>
  </si>
  <si>
    <t>2안</t>
    <phoneticPr fontId="4" type="noConversion"/>
  </si>
  <si>
    <t>3안</t>
    <phoneticPr fontId="4" type="noConversion"/>
  </si>
  <si>
    <t>기본 계산식</t>
    <phoneticPr fontId="3" type="noConversion"/>
  </si>
  <si>
    <t>딜러 인센</t>
    <phoneticPr fontId="4" type="noConversion"/>
  </si>
  <si>
    <t>할인/면세율</t>
    <phoneticPr fontId="4" type="noConversion"/>
  </si>
  <si>
    <t>할인/면세</t>
    <phoneticPr fontId="4" type="noConversion"/>
  </si>
  <si>
    <t>탁송료</t>
    <phoneticPr fontId="4" type="noConversion"/>
  </si>
  <si>
    <t>■ 타이어</t>
    <phoneticPr fontId="4" type="noConversion"/>
  </si>
  <si>
    <t>차량가격</t>
    <phoneticPr fontId="4" type="noConversion"/>
  </si>
  <si>
    <t xml:space="preserve">타이어교체 </t>
    <phoneticPr fontId="4" type="noConversion"/>
  </si>
  <si>
    <t>조달원금율</t>
    <phoneticPr fontId="4" type="noConversion"/>
  </si>
  <si>
    <t>타이어 비용</t>
    <phoneticPr fontId="4" type="noConversion"/>
  </si>
  <si>
    <t>조달원금</t>
    <phoneticPr fontId="4" type="noConversion"/>
  </si>
  <si>
    <t>타이어교체 비용</t>
    <phoneticPr fontId="4" type="noConversion"/>
  </si>
  <si>
    <t>이자부담율</t>
    <phoneticPr fontId="4" type="noConversion"/>
  </si>
  <si>
    <t>조달이자</t>
    <phoneticPr fontId="4" type="noConversion"/>
  </si>
  <si>
    <t>■ 차량 정비(정기점검)</t>
    <phoneticPr fontId="4" type="noConversion"/>
  </si>
  <si>
    <t>선수금분이자</t>
    <phoneticPr fontId="4" type="noConversion"/>
  </si>
  <si>
    <t>월할부금</t>
    <phoneticPr fontId="4" type="noConversion"/>
  </si>
  <si>
    <t>정기점검 비용</t>
    <phoneticPr fontId="4" type="noConversion"/>
  </si>
  <si>
    <t>월할부금계</t>
    <phoneticPr fontId="4" type="noConversion"/>
  </si>
  <si>
    <t>할부 시 총구입가</t>
    <phoneticPr fontId="4" type="noConversion"/>
  </si>
  <si>
    <t>■ 이자율</t>
    <phoneticPr fontId="4" type="noConversion"/>
  </si>
  <si>
    <t>■ 등록비용</t>
    <phoneticPr fontId="4" type="noConversion"/>
  </si>
  <si>
    <t>1년</t>
    <phoneticPr fontId="3" type="noConversion"/>
  </si>
  <si>
    <t>2년</t>
    <phoneticPr fontId="3" type="noConversion"/>
  </si>
  <si>
    <t>3년</t>
    <phoneticPr fontId="3" type="noConversion"/>
  </si>
  <si>
    <t>4년</t>
    <phoneticPr fontId="3" type="noConversion"/>
  </si>
  <si>
    <t>5년</t>
    <phoneticPr fontId="3" type="noConversion"/>
  </si>
  <si>
    <t>취득세</t>
    <phoneticPr fontId="4" type="noConversion"/>
  </si>
  <si>
    <t>정기점검</t>
    <phoneticPr fontId="4" type="noConversion"/>
  </si>
  <si>
    <t>공채</t>
    <phoneticPr fontId="4" type="noConversion"/>
  </si>
  <si>
    <t>보험</t>
    <phoneticPr fontId="4" type="noConversion"/>
  </si>
  <si>
    <t>■ 선수금 이자율 할인</t>
    <phoneticPr fontId="4" type="noConversion"/>
  </si>
  <si>
    <t>보험(자차 보험비)</t>
    <phoneticPr fontId="4" type="noConversion"/>
  </si>
  <si>
    <t>납기</t>
    <phoneticPr fontId="3" type="noConversion"/>
  </si>
  <si>
    <t>외장</t>
    <phoneticPr fontId="3" type="noConversion"/>
  </si>
  <si>
    <t>내장</t>
    <phoneticPr fontId="3" type="noConversion"/>
  </si>
  <si>
    <t>자동차세</t>
    <phoneticPr fontId="4" type="noConversion"/>
  </si>
  <si>
    <t>1개월</t>
  </si>
  <si>
    <t>화이트</t>
    <phoneticPr fontId="3" type="noConversion"/>
  </si>
  <si>
    <t>블랙</t>
    <phoneticPr fontId="3" type="noConversion"/>
  </si>
  <si>
    <t>등록비용</t>
    <phoneticPr fontId="4" type="noConversion"/>
  </si>
  <si>
    <t>■ 옵션표</t>
    <phoneticPr fontId="4" type="noConversion"/>
  </si>
  <si>
    <t>■ 렌트베네핏 총구입가</t>
    <phoneticPr fontId="4" type="noConversion"/>
  </si>
  <si>
    <t>빌트인캠2, 원격스마트 주차보조</t>
  </si>
  <si>
    <t>판관비/노무비</t>
    <phoneticPr fontId="3" type="noConversion"/>
  </si>
  <si>
    <t>정비</t>
    <phoneticPr fontId="3" type="noConversion"/>
  </si>
  <si>
    <t>가입</t>
    <phoneticPr fontId="3" type="noConversion"/>
  </si>
  <si>
    <t>총구입가</t>
    <phoneticPr fontId="3" type="noConversion"/>
  </si>
  <si>
    <t>1안</t>
    <phoneticPr fontId="3" type="noConversion"/>
  </si>
  <si>
    <t>2안</t>
    <phoneticPr fontId="3" type="noConversion"/>
  </si>
  <si>
    <t>3안</t>
    <phoneticPr fontId="3" type="noConversion"/>
  </si>
  <si>
    <t>4안</t>
    <phoneticPr fontId="3" type="noConversion"/>
  </si>
  <si>
    <t>■ 이용정보</t>
    <phoneticPr fontId="4" type="noConversion"/>
  </si>
  <si>
    <t>P 기준</t>
    <phoneticPr fontId="4" type="noConversion"/>
  </si>
  <si>
    <t>렌트기간</t>
    <phoneticPr fontId="4" type="noConversion"/>
  </si>
  <si>
    <t>렌트년수</t>
    <phoneticPr fontId="4" type="noConversion"/>
  </si>
  <si>
    <t>약정거리</t>
    <phoneticPr fontId="4" type="noConversion"/>
  </si>
  <si>
    <t>인수가율</t>
    <phoneticPr fontId="4" type="noConversion"/>
  </si>
  <si>
    <t>인수가</t>
    <phoneticPr fontId="4" type="noConversion"/>
  </si>
  <si>
    <t>보증금율</t>
    <phoneticPr fontId="4" type="noConversion"/>
  </si>
  <si>
    <t>보증금</t>
    <phoneticPr fontId="4" type="noConversion"/>
  </si>
  <si>
    <t>선수금율</t>
    <phoneticPr fontId="4" type="noConversion"/>
  </si>
  <si>
    <t>선수금</t>
    <phoneticPr fontId="4" type="noConversion"/>
  </si>
  <si>
    <t>월 렌트료</t>
    <phoneticPr fontId="4" type="noConversion"/>
  </si>
  <si>
    <t>월 렌트료 계</t>
    <phoneticPr fontId="4" type="noConversion"/>
  </si>
  <si>
    <t>총구입가</t>
    <phoneticPr fontId="4" type="noConversion"/>
  </si>
  <si>
    <t>영업이익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</si>
</sst>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₩&quot;* #,##0.00_-;\-&quot;₩&quot;* #,##0.00_-;_-&quot;₩&quot;* &quot;-&quot;??_-;_-@_-"/>
    <numFmt numFmtId="176" formatCode="#,##0_ "/>
    <numFmt numFmtId="177" formatCode="_(* #,##0_);_(* \(#,##0\);_(* &quot;-&quot;_);_(@_)"/>
    <numFmt numFmtId="178" formatCode="_(* #,##0.00_);_(* \(#,##0.00\);_(* &quot;-&quot;_);_(@_)"/>
    <numFmt numFmtId="179" formatCode="0.0%"/>
    <numFmt numFmtId="180" formatCode="0.000%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신한세빛 L"/>
      <family val="2"/>
      <charset val="129"/>
    </font>
    <font>
      <sz val="8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 tint="0.34998626667073579"/>
      <name val="맑은 고딕"/>
      <family val="3"/>
      <charset val="129"/>
      <scheme val="major"/>
    </font>
    <font>
      <b/>
      <sz val="10"/>
      <color theme="0" tint="-0.499984740745262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medium">
        <color rgb="FF002060"/>
      </top>
      <bottom style="hair">
        <color rgb="FF002060"/>
      </bottom>
      <diagonal/>
    </border>
    <border>
      <left/>
      <right/>
      <top style="medium">
        <color rgb="FF002060"/>
      </top>
      <bottom style="dotted">
        <color theme="4" tint="0.39994506668294322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dotted">
        <color theme="4" tint="0.39994506668294322"/>
      </top>
      <bottom style="dotted">
        <color theme="4" tint="0.39994506668294322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medium">
        <color rgb="FF002060"/>
      </top>
      <bottom style="dotted">
        <color theme="8" tint="0.39994506668294322"/>
      </bottom>
      <diagonal/>
    </border>
    <border>
      <left/>
      <right/>
      <top/>
      <bottom style="dotted">
        <color theme="4" tint="0.39994506668294322"/>
      </bottom>
      <diagonal/>
    </border>
    <border>
      <left/>
      <right/>
      <top style="dotted">
        <color theme="4" tint="0.39994506668294322"/>
      </top>
      <bottom/>
      <diagonal/>
    </border>
    <border>
      <left/>
      <right/>
      <top style="dotted">
        <color theme="4" tint="0.39994506668294322"/>
      </top>
      <bottom style="thin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7" fillId="0" borderId="2" xfId="0" applyFont="1" applyBorder="1">
      <alignment vertical="center"/>
    </xf>
    <xf numFmtId="0" fontId="9" fillId="2" borderId="3" xfId="0" applyFont="1" applyFill="1" applyBorder="1" applyAlignment="1">
      <alignment horizontal="left" vertical="center" shrinkToFit="1"/>
    </xf>
    <xf numFmtId="0" fontId="9" fillId="0" borderId="3" xfId="0" applyFont="1" applyBorder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0" fontId="2" fillId="0" borderId="4" xfId="0" applyFont="1" applyBorder="1">
      <alignment vertical="center"/>
    </xf>
    <xf numFmtId="176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7" fillId="0" borderId="5" xfId="0" applyFont="1" applyBorder="1">
      <alignment vertical="center"/>
    </xf>
    <xf numFmtId="177" fontId="9" fillId="2" borderId="6" xfId="1" applyFont="1" applyFill="1" applyBorder="1" applyAlignment="1" applyProtection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177" fontId="9" fillId="0" borderId="6" xfId="1" applyFont="1" applyBorder="1" applyAlignment="1" applyProtection="1">
      <alignment horizontal="center" vertical="center"/>
    </xf>
    <xf numFmtId="177" fontId="9" fillId="0" borderId="0" xfId="1" applyFont="1" applyFill="1" applyBorder="1" applyAlignment="1" applyProtection="1">
      <alignment horizontal="center" vertical="center"/>
    </xf>
    <xf numFmtId="0" fontId="7" fillId="0" borderId="7" xfId="0" applyFont="1" applyBorder="1">
      <alignment vertical="center"/>
    </xf>
    <xf numFmtId="10" fontId="7" fillId="2" borderId="7" xfId="0" applyNumberFormat="1" applyFont="1" applyFill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177" fontId="9" fillId="2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177" fontId="9" fillId="0" borderId="8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2" fillId="4" borderId="4" xfId="0" applyFont="1" applyFill="1" applyBorder="1">
      <alignment vertical="center"/>
    </xf>
    <xf numFmtId="0" fontId="7" fillId="4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8" fillId="0" borderId="0" xfId="0" applyNumberFormat="1" applyFont="1">
      <alignment vertical="center"/>
    </xf>
    <xf numFmtId="176" fontId="7" fillId="0" borderId="7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10" fontId="7" fillId="2" borderId="7" xfId="2" applyNumberFormat="1" applyFont="1" applyFill="1" applyBorder="1" applyAlignment="1">
      <alignment horizontal="right" vertical="center" indent="1"/>
    </xf>
    <xf numFmtId="10" fontId="7" fillId="0" borderId="0" xfId="2" applyNumberFormat="1" applyFont="1" applyFill="1" applyBorder="1" applyAlignment="1">
      <alignment horizontal="right" vertical="center" indent="1"/>
    </xf>
    <xf numFmtId="176" fontId="7" fillId="2" borderId="7" xfId="0" applyNumberFormat="1" applyFont="1" applyFill="1" applyBorder="1" applyAlignment="1">
      <alignment horizontal="right" vertical="center"/>
    </xf>
    <xf numFmtId="178" fontId="7" fillId="0" borderId="9" xfId="1" applyNumberFormat="1" applyFont="1" applyFill="1" applyBorder="1" applyAlignment="1">
      <alignment horizontal="right" vertical="center"/>
    </xf>
    <xf numFmtId="10" fontId="7" fillId="0" borderId="7" xfId="2" applyNumberFormat="1" applyFont="1" applyFill="1" applyBorder="1" applyAlignment="1">
      <alignment horizontal="right" vertical="center" indent="1"/>
    </xf>
    <xf numFmtId="176" fontId="7" fillId="0" borderId="0" xfId="2" applyNumberFormat="1" applyFont="1" applyFill="1" applyBorder="1" applyAlignment="1">
      <alignment horizontal="right" vertical="center"/>
    </xf>
    <xf numFmtId="177" fontId="7" fillId="2" borderId="10" xfId="1" applyFont="1" applyFill="1" applyBorder="1" applyAlignment="1">
      <alignment horizontal="right" vertical="center"/>
    </xf>
    <xf numFmtId="176" fontId="7" fillId="0" borderId="7" xfId="2" applyNumberFormat="1" applyFont="1" applyFill="1" applyBorder="1" applyAlignment="1">
      <alignment horizontal="right" vertical="center"/>
    </xf>
    <xf numFmtId="176" fontId="7" fillId="0" borderId="10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7" fillId="0" borderId="7" xfId="0" applyFont="1" applyBorder="1">
      <alignment vertical="center"/>
    </xf>
    <xf numFmtId="10" fontId="7" fillId="0" borderId="7" xfId="1" applyNumberFormat="1" applyFont="1" applyFill="1" applyBorder="1" applyAlignment="1">
      <alignment horizontal="right" vertical="center" indent="1"/>
    </xf>
    <xf numFmtId="177" fontId="7" fillId="0" borderId="4" xfId="1" applyFont="1" applyBorder="1" applyAlignment="1">
      <alignment horizontal="right" vertical="center"/>
    </xf>
    <xf numFmtId="177" fontId="7" fillId="2" borderId="7" xfId="1" applyFont="1" applyFill="1" applyBorder="1" applyAlignment="1">
      <alignment horizontal="right" vertical="center"/>
    </xf>
    <xf numFmtId="0" fontId="5" fillId="0" borderId="11" xfId="0" applyFont="1" applyBorder="1">
      <alignment vertical="center"/>
    </xf>
    <xf numFmtId="0" fontId="7" fillId="0" borderId="12" xfId="0" applyFont="1" applyBorder="1">
      <alignment vertical="center"/>
    </xf>
    <xf numFmtId="176" fontId="7" fillId="0" borderId="12" xfId="0" applyNumberFormat="1" applyFont="1" applyBorder="1" applyAlignment="1">
      <alignment horizontal="right" vertical="center"/>
    </xf>
    <xf numFmtId="179" fontId="11" fillId="2" borderId="1" xfId="2" applyNumberFormat="1" applyFont="1" applyFill="1" applyBorder="1" applyAlignment="1">
      <alignment horizontal="center" vertical="center"/>
    </xf>
    <xf numFmtId="176" fontId="7" fillId="0" borderId="7" xfId="0" applyNumberFormat="1" applyFont="1" applyBorder="1">
      <alignment vertical="center"/>
    </xf>
    <xf numFmtId="176" fontId="7" fillId="0" borderId="0" xfId="0" applyNumberFormat="1" applyFont="1">
      <alignment vertical="center"/>
    </xf>
    <xf numFmtId="10" fontId="7" fillId="2" borderId="7" xfId="2" applyNumberFormat="1" applyFont="1" applyFill="1" applyBorder="1" applyAlignment="1">
      <alignment horizontal="right" vertical="center"/>
    </xf>
    <xf numFmtId="0" fontId="5" fillId="0" borderId="7" xfId="0" applyFont="1" applyBorder="1">
      <alignment vertical="center"/>
    </xf>
    <xf numFmtId="176" fontId="7" fillId="2" borderId="7" xfId="0" applyNumberFormat="1" applyFont="1" applyFill="1" applyBorder="1">
      <alignment vertical="center"/>
    </xf>
    <xf numFmtId="10" fontId="7" fillId="0" borderId="4" xfId="2" applyNumberFormat="1" applyFont="1" applyBorder="1" applyAlignment="1">
      <alignment horizontal="right" vertical="center"/>
    </xf>
    <xf numFmtId="176" fontId="7" fillId="0" borderId="12" xfId="0" applyNumberFormat="1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0" xfId="0" applyFont="1">
      <alignment vertical="center"/>
    </xf>
    <xf numFmtId="0" fontId="2" fillId="0" borderId="18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0" xfId="0" applyFont="1" applyBorder="1">
      <alignment vertical="center"/>
    </xf>
    <xf numFmtId="176" fontId="7" fillId="0" borderId="0" xfId="0" applyNumberFormat="1" applyFont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7" fillId="2" borderId="7" xfId="0" applyNumberFormat="1" applyFont="1" applyFill="1" applyBorder="1" applyAlignment="1">
      <alignment horizontal="center" vertical="center"/>
    </xf>
    <xf numFmtId="177" fontId="7" fillId="0" borderId="0" xfId="1" applyFont="1" applyFill="1" applyBorder="1" applyAlignment="1">
      <alignment horizontal="right" vertical="center"/>
    </xf>
    <xf numFmtId="177" fontId="5" fillId="0" borderId="11" xfId="1" applyFont="1" applyBorder="1">
      <alignment vertical="center"/>
    </xf>
    <xf numFmtId="9" fontId="5" fillId="0" borderId="11" xfId="2" applyFont="1" applyBorder="1">
      <alignment vertical="center"/>
    </xf>
    <xf numFmtId="10" fontId="7" fillId="0" borderId="0" xfId="2" applyNumberFormat="1" applyFont="1" applyFill="1" applyBorder="1" applyAlignment="1">
      <alignment horizontal="right" vertical="center"/>
    </xf>
    <xf numFmtId="177" fontId="5" fillId="0" borderId="11" xfId="0" applyNumberFormat="1" applyFont="1" applyBorder="1">
      <alignment vertical="center"/>
    </xf>
    <xf numFmtId="176" fontId="5" fillId="0" borderId="11" xfId="0" applyNumberFormat="1" applyFont="1" applyBorder="1">
      <alignment vertical="center"/>
    </xf>
    <xf numFmtId="10" fontId="7" fillId="0" borderId="0" xfId="0" applyNumberFormat="1" applyFont="1" applyAlignment="1">
      <alignment horizontal="right" vertical="center"/>
    </xf>
    <xf numFmtId="10" fontId="5" fillId="0" borderId="11" xfId="2" applyNumberFormat="1" applyFont="1" applyBorder="1">
      <alignment vertical="center"/>
    </xf>
    <xf numFmtId="180" fontId="5" fillId="0" borderId="11" xfId="2" applyNumberFormat="1" applyFont="1" applyBorder="1">
      <alignment vertical="center"/>
    </xf>
    <xf numFmtId="0" fontId="5" fillId="0" borderId="11" xfId="0" applyFont="1" applyBorder="1">
      <alignment vertical="center"/>
    </xf>
    <xf numFmtId="180" fontId="5" fillId="0" borderId="11" xfId="2" applyNumberFormat="1" applyFont="1" applyBorder="1">
      <alignment vertical="center"/>
    </xf>
    <xf numFmtId="176" fontId="7" fillId="2" borderId="12" xfId="0" applyNumberFormat="1" applyFont="1" applyFill="1" applyBorder="1" applyAlignment="1">
      <alignment horizontal="right" vertical="center"/>
    </xf>
    <xf numFmtId="176" fontId="5" fillId="0" borderId="21" xfId="0" applyNumberFormat="1" applyFont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user\DOCUME~1\&#52852;&#52852;&#50724;~1\&#51109;&#44592;&#47116;&#53552;&#52852;%2520&#44204;&#51201;&#49436;%2520&#50577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"/>
      <sheetName val="Sheet1"/>
      <sheetName val="목록상자"/>
    </sheetNames>
    <sheetDataSet>
      <sheetData sheetId="0"/>
      <sheetData sheetId="1"/>
      <sheetData sheetId="2">
        <row r="2">
          <cell r="D2" t="str">
            <v>개인</v>
          </cell>
        </row>
        <row r="3">
          <cell r="D3" t="str">
            <v>법인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D358-9C23-40C8-AC33-0CF6EE06FBB3}">
  <dimension ref="A1:AY478"/>
  <sheetViews>
    <sheetView showGridLines="0" tabSelected="1" view="pageLayout" topLeftCell="C21" zoomScaleNormal="70" workbookViewId="0">
      <selection activeCell="O8" sqref="O8:S8"/>
    </sheetView>
  </sheetViews>
  <sheetFormatPr defaultColWidth="8.5625" defaultRowHeight="13.15"/>
  <cols>
    <col min="1" max="49" width="3.1875" style="16" customWidth="1"/>
    <col min="50" max="50" width="3.3125" style="16" customWidth="1"/>
    <col min="51" max="51" width="11.5" style="16" bestFit="1" customWidth="1"/>
    <col min="52" max="16384" width="8.5625" style="16"/>
  </cols>
  <sheetData>
    <row r="1" spans="1:51" s="7" customFormat="1" ht="28.9" thickBot="1">
      <c r="A1" s="1" t="s">
        <v>0</v>
      </c>
      <c r="B1" s="1"/>
      <c r="C1" s="1"/>
      <c r="D1" s="1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4" t="s">
        <v>1</v>
      </c>
      <c r="S1" s="4"/>
      <c r="T1" s="4"/>
      <c r="U1" s="4"/>
      <c r="V1" s="4"/>
      <c r="W1" s="4"/>
      <c r="X1" s="4"/>
      <c r="Y1" s="5"/>
      <c r="Z1" s="1" t="s">
        <v>2</v>
      </c>
      <c r="AA1" s="1"/>
      <c r="AB1" s="1"/>
      <c r="AC1" s="1"/>
      <c r="AD1" s="1"/>
      <c r="AE1" s="1"/>
      <c r="AF1" s="6"/>
      <c r="AG1" s="6"/>
      <c r="AH1" s="6"/>
      <c r="AI1" s="6"/>
      <c r="AJ1" s="6"/>
      <c r="AK1" s="6"/>
      <c r="AL1" s="6"/>
      <c r="AM1" s="2"/>
      <c r="AN1" s="6"/>
      <c r="AO1" s="6"/>
      <c r="AP1" s="6"/>
      <c r="AQ1" s="6"/>
      <c r="AR1" s="6"/>
      <c r="AS1" s="6"/>
      <c r="AT1" s="6"/>
      <c r="AU1" s="6"/>
      <c r="AV1" s="6"/>
      <c r="AW1" s="6"/>
      <c r="AY1" s="8"/>
    </row>
    <row r="2" spans="1:51" ht="26.25" customHeight="1">
      <c r="A2" s="9" t="s">
        <v>3</v>
      </c>
      <c r="B2" s="9"/>
      <c r="C2" s="9"/>
      <c r="D2" s="10" t="s">
        <v>4</v>
      </c>
      <c r="E2" s="10"/>
      <c r="F2" s="10"/>
      <c r="G2" s="10"/>
      <c r="H2" s="10"/>
      <c r="I2" s="10"/>
      <c r="J2" s="10"/>
      <c r="K2" s="10"/>
      <c r="L2" s="11" t="s">
        <v>5</v>
      </c>
      <c r="M2" s="11"/>
      <c r="N2" s="10" t="s">
        <v>6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2"/>
      <c r="Z2" s="13"/>
      <c r="AA2" s="13"/>
      <c r="AB2" s="13"/>
      <c r="AC2" s="13"/>
      <c r="AD2" s="14">
        <f>E7*AD3</f>
        <v>1700400</v>
      </c>
      <c r="AE2" s="15"/>
      <c r="AF2" s="15"/>
      <c r="AG2" s="15"/>
      <c r="AH2" s="15"/>
      <c r="AI2" s="14">
        <f>J7*AI3</f>
        <v>1700400</v>
      </c>
      <c r="AJ2" s="15"/>
      <c r="AK2" s="15"/>
      <c r="AL2" s="15"/>
      <c r="AM2" s="15"/>
      <c r="AN2" s="14">
        <f>O7*AN3</f>
        <v>1700400</v>
      </c>
      <c r="AO2" s="15"/>
      <c r="AP2" s="15"/>
      <c r="AQ2" s="15"/>
      <c r="AR2" s="15"/>
      <c r="AS2" s="14">
        <f>T7*AS3</f>
        <v>1700400</v>
      </c>
      <c r="AT2" s="15"/>
      <c r="AU2" s="15"/>
      <c r="AV2" s="15"/>
      <c r="AW2" s="15"/>
      <c r="AY2" s="17"/>
    </row>
    <row r="3" spans="1:51" ht="13.5" customHeight="1">
      <c r="A3" s="18" t="s">
        <v>7</v>
      </c>
      <c r="B3" s="18"/>
      <c r="C3" s="18"/>
      <c r="D3" s="19">
        <v>56680000</v>
      </c>
      <c r="E3" s="19"/>
      <c r="F3" s="19"/>
      <c r="G3" s="19"/>
      <c r="H3" s="19"/>
      <c r="I3" s="20"/>
      <c r="J3" s="21" t="s">
        <v>8</v>
      </c>
      <c r="K3" s="21"/>
      <c r="L3" s="22"/>
      <c r="M3" s="22"/>
      <c r="N3" s="22"/>
      <c r="O3" s="22"/>
      <c r="P3" s="22"/>
      <c r="Q3" s="20"/>
      <c r="R3" s="21" t="s">
        <v>9</v>
      </c>
      <c r="S3" s="21"/>
      <c r="T3" s="21"/>
      <c r="U3" s="19">
        <v>2500</v>
      </c>
      <c r="V3" s="19"/>
      <c r="W3" s="19"/>
      <c r="X3" s="23" t="s">
        <v>10</v>
      </c>
      <c r="Y3" s="24"/>
      <c r="Z3" s="25" t="s">
        <v>11</v>
      </c>
      <c r="AA3" s="25"/>
      <c r="AB3" s="25"/>
      <c r="AC3" s="25"/>
      <c r="AD3" s="26">
        <v>0.03</v>
      </c>
      <c r="AE3" s="26"/>
      <c r="AF3" s="26"/>
      <c r="AG3" s="26"/>
      <c r="AH3" s="26"/>
      <c r="AI3" s="26">
        <v>0.03</v>
      </c>
      <c r="AJ3" s="26"/>
      <c r="AK3" s="26"/>
      <c r="AL3" s="26"/>
      <c r="AM3" s="26"/>
      <c r="AN3" s="26">
        <v>0.03</v>
      </c>
      <c r="AO3" s="26"/>
      <c r="AP3" s="26"/>
      <c r="AQ3" s="26"/>
      <c r="AR3" s="26"/>
      <c r="AS3" s="26">
        <v>0.03</v>
      </c>
      <c r="AT3" s="26"/>
      <c r="AU3" s="26"/>
      <c r="AV3" s="26"/>
      <c r="AW3" s="26"/>
      <c r="AY3" s="17"/>
    </row>
    <row r="4" spans="1:51" ht="17.100000000000001" customHeight="1">
      <c r="A4" s="27" t="s">
        <v>12</v>
      </c>
      <c r="B4" s="27"/>
      <c r="C4" s="27"/>
      <c r="D4" s="28">
        <v>0</v>
      </c>
      <c r="E4" s="28"/>
      <c r="F4" s="28"/>
      <c r="G4" s="28"/>
      <c r="H4" s="28"/>
      <c r="I4" s="29"/>
      <c r="J4" s="27"/>
      <c r="K4" s="27"/>
      <c r="L4" s="27"/>
      <c r="M4" s="30"/>
      <c r="N4" s="30"/>
      <c r="O4" s="30"/>
      <c r="P4" s="30"/>
      <c r="Q4" s="29"/>
      <c r="R4" s="27" t="s">
        <v>13</v>
      </c>
      <c r="S4" s="27"/>
      <c r="T4" s="27"/>
      <c r="U4" s="31">
        <f>D3+D4</f>
        <v>56680000</v>
      </c>
      <c r="V4" s="31"/>
      <c r="W4" s="31"/>
      <c r="X4" s="31"/>
      <c r="Y4" s="32"/>
      <c r="AC4" s="33"/>
      <c r="AY4" s="17"/>
    </row>
    <row r="5" spans="1:51" ht="17.100000000000001" customHeight="1" thickBot="1">
      <c r="A5" s="1" t="s">
        <v>14</v>
      </c>
      <c r="B5" s="1"/>
      <c r="C5" s="1"/>
      <c r="D5" s="1"/>
      <c r="E5" s="6"/>
      <c r="F5" s="6"/>
      <c r="G5" s="6"/>
      <c r="H5" s="6"/>
      <c r="I5" s="6"/>
      <c r="J5" s="6"/>
      <c r="K5" s="6"/>
      <c r="L5" s="6"/>
      <c r="M5" s="6"/>
      <c r="N5" s="2"/>
      <c r="O5" s="6"/>
      <c r="P5" s="6"/>
      <c r="Q5" s="6"/>
      <c r="R5" s="6"/>
      <c r="S5" s="6"/>
      <c r="T5" s="6"/>
      <c r="U5" s="6"/>
      <c r="V5" s="6"/>
      <c r="W5" s="6"/>
      <c r="X5" s="6"/>
      <c r="Y5" s="34"/>
      <c r="Z5" s="1" t="s">
        <v>15</v>
      </c>
      <c r="AA5" s="1"/>
      <c r="AB5" s="1"/>
      <c r="AC5" s="1"/>
      <c r="AD5" s="1"/>
      <c r="AE5" s="1"/>
      <c r="AF5" s="6"/>
      <c r="AG5" s="6"/>
      <c r="AH5" s="6"/>
      <c r="AI5" s="6"/>
      <c r="AJ5" s="6"/>
      <c r="AK5" s="6"/>
      <c r="AL5" s="6"/>
      <c r="AM5" s="2"/>
      <c r="AN5" s="6"/>
      <c r="AO5" s="6"/>
      <c r="AP5" s="6"/>
      <c r="AQ5" s="6"/>
      <c r="AR5" s="6"/>
      <c r="AS5" s="6"/>
      <c r="AT5" s="6"/>
      <c r="AU5" s="6"/>
      <c r="AV5" s="6"/>
      <c r="AW5" s="6"/>
      <c r="AY5" s="17"/>
    </row>
    <row r="6" spans="1:51" ht="17.100000000000001" customHeight="1">
      <c r="A6" s="35"/>
      <c r="B6" s="35"/>
      <c r="C6" s="35"/>
      <c r="D6" s="35"/>
      <c r="E6" s="36" t="s">
        <v>16</v>
      </c>
      <c r="F6" s="36"/>
      <c r="G6" s="36"/>
      <c r="H6" s="36"/>
      <c r="I6" s="36"/>
      <c r="J6" s="36" t="s">
        <v>17</v>
      </c>
      <c r="K6" s="36"/>
      <c r="L6" s="36"/>
      <c r="M6" s="36"/>
      <c r="N6" s="36"/>
      <c r="O6" s="36" t="s">
        <v>18</v>
      </c>
      <c r="P6" s="36"/>
      <c r="Q6" s="36"/>
      <c r="R6" s="36"/>
      <c r="S6" s="36"/>
      <c r="T6" s="36" t="s">
        <v>19</v>
      </c>
      <c r="U6" s="36"/>
      <c r="V6" s="36"/>
      <c r="W6" s="36"/>
      <c r="X6" s="36"/>
      <c r="Y6" s="37"/>
      <c r="Z6" s="13"/>
      <c r="AA6" s="13"/>
      <c r="AB6" s="13"/>
      <c r="AC6" s="13"/>
      <c r="AD6" s="14">
        <f>E11*AD7</f>
        <v>0</v>
      </c>
      <c r="AE6" s="15"/>
      <c r="AF6" s="15"/>
      <c r="AG6" s="15"/>
      <c r="AH6" s="15"/>
      <c r="AI6" s="14">
        <f>J11*AI7</f>
        <v>0</v>
      </c>
      <c r="AJ6" s="15"/>
      <c r="AK6" s="15"/>
      <c r="AL6" s="15"/>
      <c r="AM6" s="15"/>
      <c r="AN6" s="14">
        <f>O11*AN7</f>
        <v>0</v>
      </c>
      <c r="AO6" s="15"/>
      <c r="AP6" s="15"/>
      <c r="AQ6" s="15"/>
      <c r="AR6" s="15"/>
      <c r="AS6" s="14">
        <f>T11*AS7</f>
        <v>0</v>
      </c>
      <c r="AT6" s="15"/>
      <c r="AU6" s="15"/>
      <c r="AV6" s="15"/>
      <c r="AW6" s="15"/>
      <c r="AY6" s="38"/>
    </row>
    <row r="7" spans="1:51" ht="17.100000000000001" customHeight="1">
      <c r="A7" s="25" t="s">
        <v>13</v>
      </c>
      <c r="B7" s="25"/>
      <c r="C7" s="25"/>
      <c r="D7" s="25"/>
      <c r="E7" s="39">
        <f>$D$3</f>
        <v>56680000</v>
      </c>
      <c r="F7" s="39"/>
      <c r="G7" s="39"/>
      <c r="H7" s="39"/>
      <c r="I7" s="39"/>
      <c r="J7" s="39">
        <f>$D$3</f>
        <v>56680000</v>
      </c>
      <c r="K7" s="39"/>
      <c r="L7" s="39"/>
      <c r="M7" s="39"/>
      <c r="N7" s="39"/>
      <c r="O7" s="39">
        <f>$D$3</f>
        <v>56680000</v>
      </c>
      <c r="P7" s="39"/>
      <c r="Q7" s="39"/>
      <c r="R7" s="39"/>
      <c r="S7" s="39"/>
      <c r="T7" s="39">
        <f>$D$3</f>
        <v>56680000</v>
      </c>
      <c r="U7" s="39"/>
      <c r="V7" s="39"/>
      <c r="W7" s="39"/>
      <c r="X7" s="39"/>
      <c r="Y7" s="40"/>
      <c r="Z7" s="25" t="s">
        <v>20</v>
      </c>
      <c r="AA7" s="25"/>
      <c r="AB7" s="25"/>
      <c r="AC7" s="25"/>
      <c r="AD7" s="26">
        <v>0</v>
      </c>
      <c r="AE7" s="26"/>
      <c r="AF7" s="26"/>
      <c r="AG7" s="26"/>
      <c r="AH7" s="26"/>
      <c r="AI7" s="26">
        <v>0</v>
      </c>
      <c r="AJ7" s="26"/>
      <c r="AK7" s="26"/>
      <c r="AL7" s="26"/>
      <c r="AM7" s="26"/>
      <c r="AN7" s="26">
        <v>0</v>
      </c>
      <c r="AO7" s="26"/>
      <c r="AP7" s="26"/>
      <c r="AQ7" s="26"/>
      <c r="AR7" s="26"/>
      <c r="AS7" s="26">
        <v>0</v>
      </c>
      <c r="AT7" s="26"/>
      <c r="AU7" s="26"/>
      <c r="AV7" s="26"/>
      <c r="AW7" s="26"/>
      <c r="AY7" s="38"/>
    </row>
    <row r="8" spans="1:51" ht="17.100000000000001" customHeight="1">
      <c r="A8" s="25" t="s">
        <v>21</v>
      </c>
      <c r="B8" s="25"/>
      <c r="C8" s="25"/>
      <c r="D8" s="25"/>
      <c r="E8" s="41"/>
      <c r="F8" s="41"/>
      <c r="G8" s="41"/>
      <c r="H8" s="41"/>
      <c r="I8" s="41"/>
      <c r="J8" s="41">
        <v>0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2"/>
      <c r="AY8" s="38"/>
    </row>
    <row r="9" spans="1:51" ht="17.100000000000001" customHeight="1">
      <c r="A9" s="25" t="s">
        <v>22</v>
      </c>
      <c r="B9" s="25"/>
      <c r="C9" s="25"/>
      <c r="D9" s="25"/>
      <c r="E9" s="39">
        <f>E7*E8</f>
        <v>0</v>
      </c>
      <c r="F9" s="39"/>
      <c r="G9" s="39"/>
      <c r="H9" s="39"/>
      <c r="I9" s="39"/>
      <c r="J9" s="39">
        <f t="shared" ref="J9" si="0">J7*J8</f>
        <v>0</v>
      </c>
      <c r="K9" s="39"/>
      <c r="L9" s="39"/>
      <c r="M9" s="39"/>
      <c r="N9" s="39"/>
      <c r="O9" s="39">
        <f t="shared" ref="O9" si="1">O7*O8</f>
        <v>0</v>
      </c>
      <c r="P9" s="39"/>
      <c r="Q9" s="39"/>
      <c r="R9" s="39"/>
      <c r="S9" s="39"/>
      <c r="T9" s="39">
        <f t="shared" ref="T9" si="2">T7*T8</f>
        <v>0</v>
      </c>
      <c r="U9" s="39"/>
      <c r="V9" s="39"/>
      <c r="W9" s="39"/>
      <c r="X9" s="39"/>
      <c r="Y9" s="40"/>
      <c r="AY9" s="38"/>
    </row>
    <row r="10" spans="1:51" ht="17.100000000000001" customHeight="1" thickBot="1">
      <c r="A10" s="25" t="s">
        <v>23</v>
      </c>
      <c r="B10" s="25"/>
      <c r="C10" s="25"/>
      <c r="D10" s="25"/>
      <c r="E10" s="43">
        <v>360000</v>
      </c>
      <c r="F10" s="43"/>
      <c r="G10" s="43"/>
      <c r="H10" s="43"/>
      <c r="I10" s="43"/>
      <c r="J10" s="43">
        <v>360000</v>
      </c>
      <c r="K10" s="43"/>
      <c r="L10" s="43"/>
      <c r="M10" s="43"/>
      <c r="N10" s="43"/>
      <c r="O10" s="43">
        <v>360000</v>
      </c>
      <c r="P10" s="43"/>
      <c r="Q10" s="43"/>
      <c r="R10" s="43"/>
      <c r="S10" s="43"/>
      <c r="T10" s="43">
        <v>360000</v>
      </c>
      <c r="U10" s="43"/>
      <c r="V10" s="43"/>
      <c r="W10" s="43"/>
      <c r="X10" s="43"/>
      <c r="Y10" s="40"/>
      <c r="Z10" s="1" t="s">
        <v>24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Y10" s="38"/>
    </row>
    <row r="11" spans="1:51" ht="17.100000000000001" customHeight="1">
      <c r="A11" s="25" t="s">
        <v>25</v>
      </c>
      <c r="B11" s="25"/>
      <c r="C11" s="25"/>
      <c r="D11" s="25"/>
      <c r="E11" s="39">
        <f>E7-E9+E10</f>
        <v>57040000</v>
      </c>
      <c r="F11" s="39"/>
      <c r="G11" s="39"/>
      <c r="H11" s="39"/>
      <c r="I11" s="39"/>
      <c r="J11" s="39">
        <f>J7-J9+J10</f>
        <v>57040000</v>
      </c>
      <c r="K11" s="39"/>
      <c r="L11" s="39"/>
      <c r="M11" s="39"/>
      <c r="N11" s="39"/>
      <c r="O11" s="39">
        <f>O7-O9+O10</f>
        <v>57040000</v>
      </c>
      <c r="P11" s="39"/>
      <c r="Q11" s="39"/>
      <c r="R11" s="39"/>
      <c r="S11" s="39"/>
      <c r="T11" s="39">
        <f>T7-T9+T10</f>
        <v>57040000</v>
      </c>
      <c r="U11" s="39"/>
      <c r="V11" s="39"/>
      <c r="W11" s="39"/>
      <c r="X11" s="39"/>
      <c r="Y11" s="42"/>
      <c r="Z11" s="25" t="s">
        <v>26</v>
      </c>
      <c r="AA11" s="25"/>
      <c r="AB11" s="25"/>
      <c r="AC11" s="25"/>
      <c r="AD11" s="44">
        <v>4</v>
      </c>
      <c r="AE11" s="44"/>
      <c r="AF11" s="44"/>
      <c r="AG11" s="44"/>
      <c r="AH11" s="44"/>
      <c r="AI11" s="44">
        <v>4</v>
      </c>
      <c r="AJ11" s="44"/>
      <c r="AK11" s="44"/>
      <c r="AL11" s="44"/>
      <c r="AM11" s="44"/>
      <c r="AN11" s="44">
        <v>4</v>
      </c>
      <c r="AO11" s="44"/>
      <c r="AP11" s="44"/>
      <c r="AQ11" s="44"/>
      <c r="AR11" s="44"/>
      <c r="AS11" s="44">
        <v>4</v>
      </c>
      <c r="AT11" s="44"/>
      <c r="AU11" s="44"/>
      <c r="AV11" s="44"/>
      <c r="AW11" s="44"/>
      <c r="AY11" s="38"/>
    </row>
    <row r="12" spans="1:51" ht="17.100000000000001" customHeight="1">
      <c r="A12" s="25" t="s">
        <v>27</v>
      </c>
      <c r="B12" s="25"/>
      <c r="C12" s="25"/>
      <c r="D12" s="25"/>
      <c r="E12" s="45">
        <f>E13/E11</f>
        <v>0.77352596101554227</v>
      </c>
      <c r="F12" s="45"/>
      <c r="G12" s="45"/>
      <c r="H12" s="45"/>
      <c r="I12" s="45"/>
      <c r="J12" s="45">
        <f t="shared" ref="J12" si="3">J13/J11</f>
        <v>1.0716325528808999</v>
      </c>
      <c r="K12" s="45"/>
      <c r="L12" s="45"/>
      <c r="M12" s="45"/>
      <c r="N12" s="45"/>
      <c r="O12" s="45">
        <f t="shared" ref="O12" si="4">O13/O11</f>
        <v>0.77352596101554227</v>
      </c>
      <c r="P12" s="45"/>
      <c r="Q12" s="45"/>
      <c r="R12" s="45"/>
      <c r="S12" s="45"/>
      <c r="T12" s="45">
        <f t="shared" ref="T12" si="5">T13/T11</f>
        <v>0.77352596101554227</v>
      </c>
      <c r="U12" s="45"/>
      <c r="V12" s="45"/>
      <c r="W12" s="45"/>
      <c r="X12" s="45"/>
      <c r="Y12" s="46"/>
      <c r="Z12" s="25" t="s">
        <v>28</v>
      </c>
      <c r="AA12" s="25"/>
      <c r="AB12" s="25"/>
      <c r="AC12" s="25"/>
      <c r="AD12" s="47">
        <v>160000</v>
      </c>
      <c r="AE12" s="47"/>
      <c r="AF12" s="47"/>
      <c r="AG12" s="47"/>
      <c r="AH12" s="47"/>
      <c r="AI12" s="47">
        <v>240000</v>
      </c>
      <c r="AJ12" s="47"/>
      <c r="AK12" s="47"/>
      <c r="AL12" s="47"/>
      <c r="AM12" s="47"/>
      <c r="AN12" s="47">
        <v>240000</v>
      </c>
      <c r="AO12" s="47"/>
      <c r="AP12" s="47"/>
      <c r="AQ12" s="47"/>
      <c r="AR12" s="47"/>
      <c r="AS12" s="47">
        <v>160000</v>
      </c>
      <c r="AT12" s="47"/>
      <c r="AU12" s="47"/>
      <c r="AV12" s="47"/>
      <c r="AW12" s="47"/>
      <c r="AY12" s="38"/>
    </row>
    <row r="13" spans="1:51" ht="17.100000000000001" customHeight="1">
      <c r="A13" s="25" t="s">
        <v>29</v>
      </c>
      <c r="B13" s="25"/>
      <c r="C13" s="25"/>
      <c r="D13" s="25"/>
      <c r="E13" s="48">
        <f>E11-E38-E40+E21+E22+E23+E24</f>
        <v>44121920.816326529</v>
      </c>
      <c r="F13" s="48"/>
      <c r="G13" s="48"/>
      <c r="H13" s="48"/>
      <c r="I13" s="48"/>
      <c r="J13" s="48">
        <f>J11-J38-J40+J21+J22+J23+J24</f>
        <v>61125920.816326529</v>
      </c>
      <c r="K13" s="48"/>
      <c r="L13" s="48"/>
      <c r="M13" s="48"/>
      <c r="N13" s="48"/>
      <c r="O13" s="48">
        <f>O11-O38-O40+O21+O22+O23+O24</f>
        <v>44121920.816326529</v>
      </c>
      <c r="P13" s="48"/>
      <c r="Q13" s="48"/>
      <c r="R13" s="48"/>
      <c r="S13" s="48"/>
      <c r="T13" s="48">
        <f>T11-T38-T40+T21+T22+T23+T24</f>
        <v>44121920.816326529</v>
      </c>
      <c r="U13" s="48"/>
      <c r="V13" s="48"/>
      <c r="W13" s="48"/>
      <c r="X13" s="48"/>
      <c r="Y13" s="42"/>
      <c r="Z13" s="25" t="s">
        <v>30</v>
      </c>
      <c r="AA13" s="25"/>
      <c r="AB13" s="25"/>
      <c r="AC13" s="25"/>
      <c r="AD13" s="49">
        <f>AD11*AD12</f>
        <v>640000</v>
      </c>
      <c r="AE13" s="50"/>
      <c r="AF13" s="50"/>
      <c r="AG13" s="50"/>
      <c r="AH13" s="50"/>
      <c r="AI13" s="49">
        <f t="shared" ref="AI13" si="6">AI11*AI12</f>
        <v>960000</v>
      </c>
      <c r="AJ13" s="50"/>
      <c r="AK13" s="50"/>
      <c r="AL13" s="50"/>
      <c r="AM13" s="50"/>
      <c r="AN13" s="49">
        <f t="shared" ref="AN13" si="7">AN11*AN12</f>
        <v>960000</v>
      </c>
      <c r="AO13" s="50"/>
      <c r="AP13" s="50"/>
      <c r="AQ13" s="50"/>
      <c r="AR13" s="50"/>
      <c r="AS13" s="49">
        <f t="shared" ref="AS13" si="8">AS11*AS12</f>
        <v>640000</v>
      </c>
      <c r="AT13" s="50"/>
      <c r="AU13" s="50"/>
      <c r="AV13" s="50"/>
      <c r="AW13" s="50"/>
      <c r="AY13" s="38"/>
    </row>
    <row r="14" spans="1:51" ht="17.100000000000001" customHeight="1">
      <c r="A14" s="51" t="s">
        <v>31</v>
      </c>
      <c r="B14" s="51"/>
      <c r="C14" s="51"/>
      <c r="D14" s="51"/>
      <c r="E14" s="52">
        <f>IF(E33=5,$AT$21,IF(E33=4,$AP$21,IF(E33=3,$AL$21,IF(E33=2,$AH$21, IF(E33=1, $AD$21)))))</f>
        <v>6.1399999999999996E-2</v>
      </c>
      <c r="F14" s="52"/>
      <c r="G14" s="52"/>
      <c r="H14" s="52"/>
      <c r="I14" s="52"/>
      <c r="J14" s="52">
        <f>IF(J33=5,$AT$21,IF(J33=4,$AP$21,IF(J33=3,$AL$21,IF(J33=2,$AH$21, IF(J33=1, $AD$21)))))</f>
        <v>6.1399999999999996E-2</v>
      </c>
      <c r="K14" s="52"/>
      <c r="L14" s="52"/>
      <c r="M14" s="52"/>
      <c r="N14" s="52"/>
      <c r="O14" s="52">
        <f>IF(O33=5,$AT$21,IF(O33=4,$AP$21,IF(O33=3,$AL$21,IF(O33=2,$AH$21, IF(O33=1, $AD$21)))))</f>
        <v>6.1399999999999996E-2</v>
      </c>
      <c r="P14" s="52"/>
      <c r="Q14" s="52"/>
      <c r="R14" s="52"/>
      <c r="S14" s="52"/>
      <c r="T14" s="52">
        <f>IF(T33=5,$AT$21,IF(T33=4,$AP$21,IF(T33=3,$AL$21,IF(T33=2,$AH$21, IF(T33=1, $AD$21)))))</f>
        <v>6.1399999999999996E-2</v>
      </c>
      <c r="U14" s="52"/>
      <c r="V14" s="52"/>
      <c r="W14" s="52"/>
      <c r="X14" s="52"/>
      <c r="Y14" s="40"/>
      <c r="AY14" s="38"/>
    </row>
    <row r="15" spans="1:51" ht="17.100000000000001" customHeight="1" thickBot="1">
      <c r="A15" s="51" t="s">
        <v>32</v>
      </c>
      <c r="B15" s="51"/>
      <c r="C15" s="51"/>
      <c r="D15" s="51"/>
      <c r="E15" s="39">
        <f>PMT(E14/12, E32, -E13)*E32-E13</f>
        <v>5751951.8611268401</v>
      </c>
      <c r="F15" s="39"/>
      <c r="G15" s="39"/>
      <c r="H15" s="39"/>
      <c r="I15" s="39"/>
      <c r="J15" s="39">
        <f>PMT(J14/12, J32, -J13)*J32-J13</f>
        <v>7968677.4169736505</v>
      </c>
      <c r="K15" s="39"/>
      <c r="L15" s="39"/>
      <c r="M15" s="39"/>
      <c r="N15" s="39"/>
      <c r="O15" s="39">
        <f>PMT(O14/12, O32, -O13)*O32-O13</f>
        <v>5751951.8611268401</v>
      </c>
      <c r="P15" s="39"/>
      <c r="Q15" s="39"/>
      <c r="R15" s="39"/>
      <c r="S15" s="39"/>
      <c r="T15" s="39">
        <f>PMT(T14/12, T32, -T13)*T32-T13</f>
        <v>5751951.8611268401</v>
      </c>
      <c r="U15" s="39"/>
      <c r="V15" s="39"/>
      <c r="W15" s="39"/>
      <c r="X15" s="39"/>
      <c r="Y15" s="40"/>
      <c r="Z15" s="1" t="s">
        <v>33</v>
      </c>
      <c r="AA15" s="1"/>
      <c r="AB15" s="1"/>
      <c r="AC15" s="1"/>
      <c r="AD15" s="1"/>
      <c r="AE15" s="1"/>
      <c r="AF15" s="6"/>
      <c r="AG15" s="6"/>
      <c r="AH15" s="6"/>
      <c r="AI15" s="6"/>
      <c r="AJ15" s="6"/>
      <c r="AK15" s="6"/>
      <c r="AL15" s="6"/>
      <c r="AM15" s="2"/>
      <c r="AN15" s="6"/>
      <c r="AO15" s="6"/>
      <c r="AP15" s="6"/>
      <c r="AQ15" s="6"/>
      <c r="AR15" s="6"/>
      <c r="AS15" s="6"/>
      <c r="AT15" s="6"/>
      <c r="AU15" s="6"/>
      <c r="AV15" s="6"/>
      <c r="AW15" s="6"/>
      <c r="AY15" s="38"/>
    </row>
    <row r="16" spans="1:51" ht="17.100000000000001" customHeight="1">
      <c r="A16" s="51" t="s">
        <v>34</v>
      </c>
      <c r="B16" s="51"/>
      <c r="C16" s="51"/>
      <c r="D16" s="51"/>
      <c r="E16" s="39">
        <f>E40*3%*E33</f>
        <v>0</v>
      </c>
      <c r="F16" s="39"/>
      <c r="G16" s="39"/>
      <c r="H16" s="39"/>
      <c r="I16" s="39"/>
      <c r="J16" s="39">
        <f>J40*3%*J33</f>
        <v>0</v>
      </c>
      <c r="K16" s="39"/>
      <c r="L16" s="39"/>
      <c r="M16" s="39"/>
      <c r="N16" s="39"/>
      <c r="O16" s="39">
        <f>O40*3%*O33</f>
        <v>0</v>
      </c>
      <c r="P16" s="39"/>
      <c r="Q16" s="39"/>
      <c r="R16" s="39"/>
      <c r="S16" s="39"/>
      <c r="T16" s="39">
        <f>T40*3%*T33</f>
        <v>0</v>
      </c>
      <c r="U16" s="39"/>
      <c r="V16" s="39"/>
      <c r="W16" s="39"/>
      <c r="X16" s="39"/>
      <c r="Y16" s="40"/>
      <c r="Z16" s="13"/>
      <c r="AA16" s="13"/>
      <c r="AB16" s="13"/>
      <c r="AC16" s="13"/>
      <c r="AD16" s="53">
        <f>AD17*E32</f>
        <v>2400000</v>
      </c>
      <c r="AE16" s="53"/>
      <c r="AF16" s="53"/>
      <c r="AG16" s="53"/>
      <c r="AH16" s="53"/>
      <c r="AI16" s="53">
        <f>AI17*J32</f>
        <v>2400000</v>
      </c>
      <c r="AJ16" s="53"/>
      <c r="AK16" s="53"/>
      <c r="AL16" s="53"/>
      <c r="AM16" s="53"/>
      <c r="AN16" s="53">
        <f>AN17*O32</f>
        <v>2400000</v>
      </c>
      <c r="AO16" s="53"/>
      <c r="AP16" s="53"/>
      <c r="AQ16" s="53"/>
      <c r="AR16" s="53"/>
      <c r="AS16" s="53">
        <f>AS17*T32</f>
        <v>2400000</v>
      </c>
      <c r="AT16" s="53"/>
      <c r="AU16" s="53"/>
      <c r="AV16" s="53"/>
      <c r="AW16" s="53"/>
      <c r="AY16" s="38"/>
    </row>
    <row r="17" spans="1:51" ht="17.100000000000001" customHeight="1">
      <c r="A17" s="51" t="s">
        <v>35</v>
      </c>
      <c r="B17" s="51"/>
      <c r="C17" s="51"/>
      <c r="D17" s="51"/>
      <c r="E17" s="39">
        <f>E18/E32</f>
        <v>1039039.0141136119</v>
      </c>
      <c r="F17" s="39"/>
      <c r="G17" s="39"/>
      <c r="H17" s="39"/>
      <c r="I17" s="39"/>
      <c r="J17" s="39">
        <f>J18/J32</f>
        <v>1439470.796527087</v>
      </c>
      <c r="K17" s="39"/>
      <c r="L17" s="39"/>
      <c r="M17" s="39"/>
      <c r="N17" s="39"/>
      <c r="O17" s="39">
        <f>O18/O32</f>
        <v>1039039.0141136119</v>
      </c>
      <c r="P17" s="39"/>
      <c r="Q17" s="39"/>
      <c r="R17" s="39"/>
      <c r="S17" s="39"/>
      <c r="T17" s="39">
        <f>T18/T32</f>
        <v>1039039.0141136119</v>
      </c>
      <c r="U17" s="39"/>
      <c r="V17" s="39"/>
      <c r="W17" s="39"/>
      <c r="X17" s="39"/>
      <c r="Y17" s="40"/>
      <c r="Z17" s="25" t="s">
        <v>36</v>
      </c>
      <c r="AA17" s="25"/>
      <c r="AB17" s="25"/>
      <c r="AC17" s="25"/>
      <c r="AD17" s="54">
        <v>50000</v>
      </c>
      <c r="AE17" s="54"/>
      <c r="AF17" s="54"/>
      <c r="AG17" s="54"/>
      <c r="AH17" s="54"/>
      <c r="AI17" s="54">
        <v>50000</v>
      </c>
      <c r="AJ17" s="54"/>
      <c r="AK17" s="54"/>
      <c r="AL17" s="54"/>
      <c r="AM17" s="54"/>
      <c r="AN17" s="54">
        <v>50000</v>
      </c>
      <c r="AO17" s="54"/>
      <c r="AP17" s="54"/>
      <c r="AQ17" s="54"/>
      <c r="AR17" s="54"/>
      <c r="AS17" s="54">
        <v>50000</v>
      </c>
      <c r="AT17" s="54"/>
      <c r="AU17" s="54"/>
      <c r="AV17" s="54"/>
      <c r="AW17" s="54"/>
      <c r="AY17" s="38"/>
    </row>
    <row r="18" spans="1:51" ht="17.100000000000001" customHeight="1">
      <c r="A18" s="25" t="s">
        <v>37</v>
      </c>
      <c r="B18" s="25"/>
      <c r="C18" s="25"/>
      <c r="D18" s="25"/>
      <c r="E18" s="39">
        <f>E13+E15-E16</f>
        <v>49873872.677453369</v>
      </c>
      <c r="F18" s="39"/>
      <c r="G18" s="39"/>
      <c r="H18" s="39"/>
      <c r="I18" s="39"/>
      <c r="J18" s="39">
        <f>J13+J15-J16</f>
        <v>69094598.233300179</v>
      </c>
      <c r="K18" s="39"/>
      <c r="L18" s="39"/>
      <c r="M18" s="39"/>
      <c r="N18" s="39"/>
      <c r="O18" s="39">
        <f>O13+O15-O16</f>
        <v>49873872.677453369</v>
      </c>
      <c r="P18" s="39"/>
      <c r="Q18" s="39"/>
      <c r="R18" s="39"/>
      <c r="S18" s="39"/>
      <c r="T18" s="39">
        <f>T13+T15-T16</f>
        <v>49873872.677453369</v>
      </c>
      <c r="U18" s="39"/>
      <c r="V18" s="39"/>
      <c r="W18" s="39"/>
      <c r="X18" s="39"/>
      <c r="Y18" s="40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Y18" s="38"/>
    </row>
    <row r="19" spans="1:51" ht="17.100000000000001" customHeight="1" thickBot="1">
      <c r="A19" s="56" t="s">
        <v>38</v>
      </c>
      <c r="B19" s="56"/>
      <c r="C19" s="56"/>
      <c r="D19" s="56"/>
      <c r="E19" s="57">
        <f>E11+E15+E16</f>
        <v>62791951.86112684</v>
      </c>
      <c r="F19" s="57"/>
      <c r="G19" s="57"/>
      <c r="H19" s="57"/>
      <c r="I19" s="57"/>
      <c r="J19" s="57">
        <f>J11+J15+J16</f>
        <v>65008677.41697365</v>
      </c>
      <c r="K19" s="57"/>
      <c r="L19" s="57"/>
      <c r="M19" s="57"/>
      <c r="N19" s="57"/>
      <c r="O19" s="57">
        <f>O11+O15+O16</f>
        <v>62791951.86112684</v>
      </c>
      <c r="P19" s="57"/>
      <c r="Q19" s="57"/>
      <c r="R19" s="57"/>
      <c r="S19" s="57"/>
      <c r="T19" s="57">
        <f>T11+T15+T16</f>
        <v>62791951.86112684</v>
      </c>
      <c r="U19" s="57"/>
      <c r="V19" s="57"/>
      <c r="W19" s="57"/>
      <c r="X19" s="57"/>
      <c r="Y19" s="34"/>
      <c r="Z19" s="1" t="s">
        <v>39</v>
      </c>
      <c r="AA19" s="1"/>
      <c r="AB19" s="1"/>
      <c r="AC19" s="1"/>
      <c r="AD19" s="1"/>
      <c r="AE19" s="1"/>
      <c r="AF19" s="58">
        <v>0.06</v>
      </c>
      <c r="AG19" s="58"/>
      <c r="AH19" s="58"/>
      <c r="AI19" s="6"/>
      <c r="AJ19" s="6"/>
      <c r="AK19" s="6"/>
      <c r="AL19" s="6"/>
      <c r="AM19" s="2"/>
      <c r="AN19" s="6"/>
      <c r="AO19" s="6"/>
      <c r="AP19" s="6"/>
      <c r="AQ19" s="6"/>
      <c r="AR19" s="6"/>
      <c r="AS19" s="6"/>
      <c r="AT19" s="6"/>
      <c r="AU19" s="6"/>
      <c r="AV19" s="6"/>
      <c r="AW19" s="6"/>
      <c r="AY19" s="38"/>
    </row>
    <row r="20" spans="1:51" ht="17.100000000000001" customHeight="1" thickBot="1">
      <c r="A20" s="1" t="s">
        <v>40</v>
      </c>
      <c r="B20" s="1"/>
      <c r="C20" s="1"/>
      <c r="D20" s="1"/>
      <c r="E20" s="6"/>
      <c r="F20" s="6"/>
      <c r="G20" s="6"/>
      <c r="H20" s="6"/>
      <c r="I20" s="6"/>
      <c r="J20" s="6"/>
      <c r="K20" s="6"/>
      <c r="L20" s="6"/>
      <c r="M20" s="6"/>
      <c r="N20" s="2"/>
      <c r="O20" s="6"/>
      <c r="P20" s="6"/>
      <c r="Q20" s="6"/>
      <c r="R20" s="6"/>
      <c r="S20" s="6"/>
      <c r="T20" s="6"/>
      <c r="U20" s="6"/>
      <c r="V20" s="6"/>
      <c r="W20" s="6"/>
      <c r="X20" s="6"/>
      <c r="Y20" s="37"/>
      <c r="Z20" s="13"/>
      <c r="AA20" s="13"/>
      <c r="AB20" s="13"/>
      <c r="AC20" s="13"/>
      <c r="AD20" s="14" t="s">
        <v>41</v>
      </c>
      <c r="AE20" s="14"/>
      <c r="AF20" s="14"/>
      <c r="AG20" s="14"/>
      <c r="AH20" s="14" t="s">
        <v>42</v>
      </c>
      <c r="AI20" s="14"/>
      <c r="AJ20" s="14"/>
      <c r="AK20" s="14"/>
      <c r="AL20" s="14" t="s">
        <v>43</v>
      </c>
      <c r="AM20" s="14"/>
      <c r="AN20" s="14"/>
      <c r="AO20" s="14"/>
      <c r="AP20" s="14" t="s">
        <v>44</v>
      </c>
      <c r="AQ20" s="14"/>
      <c r="AR20" s="14"/>
      <c r="AS20" s="14"/>
      <c r="AT20" s="14" t="s">
        <v>45</v>
      </c>
      <c r="AU20" s="14"/>
      <c r="AV20" s="14"/>
      <c r="AW20" s="14"/>
      <c r="AY20" s="38"/>
    </row>
    <row r="21" spans="1:51" ht="17.100000000000001" customHeight="1">
      <c r="A21" s="25" t="s">
        <v>46</v>
      </c>
      <c r="B21" s="25"/>
      <c r="C21" s="25"/>
      <c r="D21" s="25"/>
      <c r="E21" s="59">
        <f>ROUNDDOWN(E11/1.1*0.04, -1)</f>
        <v>2074180</v>
      </c>
      <c r="F21" s="59"/>
      <c r="G21" s="59"/>
      <c r="H21" s="59"/>
      <c r="I21" s="59"/>
      <c r="J21" s="59">
        <f>ROUNDDOWN(J11/1.1*0.04, -1)</f>
        <v>2074180</v>
      </c>
      <c r="K21" s="59"/>
      <c r="L21" s="59"/>
      <c r="M21" s="59"/>
      <c r="N21" s="59"/>
      <c r="O21" s="59">
        <f>ROUNDDOWN(O11/1.1*0.04, -1)</f>
        <v>2074180</v>
      </c>
      <c r="P21" s="59"/>
      <c r="Q21" s="59"/>
      <c r="R21" s="59"/>
      <c r="S21" s="59"/>
      <c r="T21" s="59">
        <f>ROUNDDOWN(T11/1.1*0.04, -1)</f>
        <v>2074180</v>
      </c>
      <c r="U21" s="59"/>
      <c r="V21" s="59"/>
      <c r="W21" s="59"/>
      <c r="X21" s="59"/>
      <c r="Y21" s="60"/>
      <c r="Z21" s="25" t="s">
        <v>47</v>
      </c>
      <c r="AA21" s="25"/>
      <c r="AB21" s="25"/>
      <c r="AC21" s="25"/>
      <c r="AD21" s="61">
        <f>AF19+0.31%</f>
        <v>6.3100000000000003E-2</v>
      </c>
      <c r="AE21" s="61"/>
      <c r="AF21" s="61"/>
      <c r="AG21" s="61"/>
      <c r="AH21" s="61">
        <f>AF19+0.25%</f>
        <v>6.25E-2</v>
      </c>
      <c r="AI21" s="61"/>
      <c r="AJ21" s="61"/>
      <c r="AK21" s="61"/>
      <c r="AL21" s="61">
        <f>AF19+0.19%</f>
        <v>6.1899999999999997E-2</v>
      </c>
      <c r="AM21" s="61"/>
      <c r="AN21" s="61"/>
      <c r="AO21" s="61"/>
      <c r="AP21" s="61">
        <f>AF19+0.14%</f>
        <v>6.1399999999999996E-2</v>
      </c>
      <c r="AQ21" s="61"/>
      <c r="AR21" s="61"/>
      <c r="AS21" s="61"/>
      <c r="AT21" s="61">
        <f>AF19+0.1%</f>
        <v>6.0999999999999999E-2</v>
      </c>
      <c r="AU21" s="61"/>
      <c r="AV21" s="61"/>
      <c r="AW21" s="61"/>
      <c r="AY21" s="38"/>
    </row>
    <row r="22" spans="1:51" ht="17.100000000000001" customHeight="1">
      <c r="A22" s="25" t="s">
        <v>48</v>
      </c>
      <c r="B22" s="25"/>
      <c r="C22" s="25"/>
      <c r="D22" s="25"/>
      <c r="E22" s="59">
        <f>ROUNDDOWN(E11/1.1*3%*16%,-1)</f>
        <v>248900</v>
      </c>
      <c r="F22" s="59"/>
      <c r="G22" s="59"/>
      <c r="H22" s="59"/>
      <c r="I22" s="59"/>
      <c r="J22" s="59">
        <f>ROUNDDOWN(J11/1.1*3%*16%,-1)</f>
        <v>248900</v>
      </c>
      <c r="K22" s="59"/>
      <c r="L22" s="59"/>
      <c r="M22" s="59"/>
      <c r="N22" s="59"/>
      <c r="O22" s="59">
        <f>ROUNDDOWN(O11/1.1*3%*16%,-1)</f>
        <v>248900</v>
      </c>
      <c r="P22" s="59"/>
      <c r="Q22" s="59"/>
      <c r="R22" s="59"/>
      <c r="S22" s="59"/>
      <c r="T22" s="59">
        <f>ROUNDDOWN(T11/1.1*3%*16%,-1)</f>
        <v>248900</v>
      </c>
      <c r="U22" s="59"/>
      <c r="V22" s="59"/>
      <c r="W22" s="59"/>
      <c r="X22" s="59"/>
      <c r="Y22" s="60"/>
      <c r="Z22" s="55"/>
      <c r="AA22" s="55"/>
      <c r="AB22" s="55"/>
      <c r="AC22" s="55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Y22" s="38"/>
    </row>
    <row r="23" spans="1:51" ht="17.100000000000001" customHeight="1" thickBot="1">
      <c r="A23" s="25" t="s">
        <v>49</v>
      </c>
      <c r="B23" s="25"/>
      <c r="C23" s="25"/>
      <c r="D23" s="25"/>
      <c r="E23" s="63">
        <v>800000</v>
      </c>
      <c r="F23" s="63"/>
      <c r="G23" s="63"/>
      <c r="H23" s="63"/>
      <c r="I23" s="63"/>
      <c r="J23" s="63">
        <v>800000</v>
      </c>
      <c r="K23" s="63"/>
      <c r="L23" s="63"/>
      <c r="M23" s="63"/>
      <c r="N23" s="63"/>
      <c r="O23" s="63">
        <v>800000</v>
      </c>
      <c r="P23" s="63"/>
      <c r="Q23" s="63"/>
      <c r="R23" s="63"/>
      <c r="S23" s="63"/>
      <c r="T23" s="63">
        <v>800000</v>
      </c>
      <c r="U23" s="63"/>
      <c r="V23" s="63"/>
      <c r="W23" s="63"/>
      <c r="X23" s="63"/>
      <c r="Y23" s="60"/>
      <c r="Z23" s="1" t="s">
        <v>50</v>
      </c>
      <c r="AA23" s="1"/>
      <c r="AB23" s="1"/>
      <c r="AC23" s="1"/>
      <c r="AD23" s="1"/>
      <c r="AE23" s="1"/>
      <c r="AF23" s="6"/>
      <c r="AG23" s="6"/>
      <c r="AH23" s="6"/>
      <c r="AI23" s="6"/>
      <c r="AJ23" s="6"/>
      <c r="AK23" s="6"/>
      <c r="AL23" s="6"/>
      <c r="AM23" s="2"/>
      <c r="AN23" s="6"/>
      <c r="AO23" s="6"/>
      <c r="AP23" s="6"/>
      <c r="AQ23" s="6"/>
      <c r="AR23" s="6"/>
      <c r="AS23" s="6"/>
      <c r="AT23" s="6"/>
      <c r="AU23" s="6"/>
      <c r="AV23" s="6"/>
      <c r="AW23" s="6"/>
      <c r="AY23" s="38"/>
    </row>
    <row r="24" spans="1:51" ht="17.100000000000001" customHeight="1">
      <c r="A24" s="25" t="s">
        <v>51</v>
      </c>
      <c r="B24" s="25"/>
      <c r="C24" s="25"/>
      <c r="D24" s="25"/>
      <c r="E24" s="59">
        <f>CEILING(E7, 10000000) *
 IF(E7&lt;=10000000, 0.022,
    IF(E7&gt;=500000000, 0.012,
       0.017 - (E7-10000000)*(0.01/(500000000-10000000))
    )
 )</f>
        <v>962840.81632653077</v>
      </c>
      <c r="F24" s="59"/>
      <c r="G24" s="59"/>
      <c r="H24" s="59"/>
      <c r="I24" s="59"/>
      <c r="J24" s="59">
        <f>CEILING(J7, 10000000) *
 IF(J7&lt;=10000000, 0.022,
    IF(J7&gt;=500000000, 0.012,
       0.017 - (J7-10000000)*(0.01/(500000000-10000000))
    )
 )</f>
        <v>962840.81632653077</v>
      </c>
      <c r="K24" s="59"/>
      <c r="L24" s="59"/>
      <c r="M24" s="59"/>
      <c r="N24" s="59"/>
      <c r="O24" s="59">
        <f>CEILING(O7, 10000000) *
 IF(O7&lt;=10000000, 0.022,
    IF(O7&gt;=500000000, 0.012,
       0.017 - (O7-10000000)*(0.01/(500000000-10000000))
    )
 )</f>
        <v>962840.81632653077</v>
      </c>
      <c r="P24" s="59"/>
      <c r="Q24" s="59"/>
      <c r="R24" s="59"/>
      <c r="S24" s="59"/>
      <c r="T24" s="59">
        <f>CEILING(T7, 10000000) *
 IF(T7&lt;=10000000, 0.022,
    IF(T7&gt;=500000000, 0.012,
       0.017 - (T7-10000000)*(0.01/(500000000-10000000))
    )
 )</f>
        <v>962840.81632653077</v>
      </c>
      <c r="U24" s="59"/>
      <c r="V24" s="59"/>
      <c r="W24" s="59"/>
      <c r="X24" s="59"/>
      <c r="Y24" s="60"/>
      <c r="Z24" s="13"/>
      <c r="AA24" s="13"/>
      <c r="AB24" s="13"/>
      <c r="AC24" s="13"/>
      <c r="AD24" s="64">
        <f>100%-AD25</f>
        <v>1</v>
      </c>
      <c r="AE24" s="64"/>
      <c r="AF24" s="64"/>
      <c r="AG24" s="64"/>
      <c r="AH24" s="14" t="s">
        <v>52</v>
      </c>
      <c r="AI24" s="14"/>
      <c r="AJ24" s="14"/>
      <c r="AK24" s="14"/>
      <c r="AL24" s="14" t="s">
        <v>53</v>
      </c>
      <c r="AM24" s="14"/>
      <c r="AN24" s="14"/>
      <c r="AO24" s="14"/>
      <c r="AP24" s="14" t="s">
        <v>54</v>
      </c>
      <c r="AQ24" s="14"/>
      <c r="AR24" s="14"/>
      <c r="AS24" s="14"/>
      <c r="AT24" s="14"/>
      <c r="AU24" s="14"/>
      <c r="AV24" s="14"/>
      <c r="AW24" s="14"/>
      <c r="AY24" s="38"/>
    </row>
    <row r="25" spans="1:51" ht="17.100000000000001" customHeight="1">
      <c r="A25" s="25" t="s">
        <v>55</v>
      </c>
      <c r="B25" s="25"/>
      <c r="C25" s="25"/>
      <c r="D25" s="25"/>
      <c r="E25" s="59">
        <f>IF($U$3&lt;=1600,$U$3*18,IF($U$3&lt;=2500,$U$3*19,IF($U$3&gt;2500,$U$3*24,20000)))</f>
        <v>47500</v>
      </c>
      <c r="F25" s="59"/>
      <c r="G25" s="59"/>
      <c r="H25" s="59"/>
      <c r="I25" s="59"/>
      <c r="J25" s="59">
        <f t="shared" ref="J25" si="9">IF($U$3&lt;=1600,$U$3*18,IF($U$3&lt;=2500,$U$3*19,IF($U$3&gt;2500,$U$3*24,20000)))</f>
        <v>47500</v>
      </c>
      <c r="K25" s="59"/>
      <c r="L25" s="59"/>
      <c r="M25" s="59"/>
      <c r="N25" s="59"/>
      <c r="O25" s="59">
        <f t="shared" ref="O25" si="10">IF($U$3&lt;=1600,$U$3*18,IF($U$3&lt;=2500,$U$3*19,IF($U$3&gt;2500,$U$3*24,20000)))</f>
        <v>47500</v>
      </c>
      <c r="P25" s="59"/>
      <c r="Q25" s="59"/>
      <c r="R25" s="59"/>
      <c r="S25" s="59"/>
      <c r="T25" s="59">
        <f t="shared" ref="T25" si="11">IF($U$3&lt;=1600,$U$3*18,IF($U$3&lt;=2500,$U$3*19,IF($U$3&gt;2500,$U$3*24,20000)))</f>
        <v>47500</v>
      </c>
      <c r="U25" s="59"/>
      <c r="V25" s="59"/>
      <c r="W25" s="59"/>
      <c r="X25" s="59"/>
      <c r="Y25" s="60"/>
      <c r="Z25" s="25"/>
      <c r="AA25" s="25"/>
      <c r="AB25" s="25"/>
      <c r="AC25" s="25"/>
      <c r="AD25" s="61">
        <v>0</v>
      </c>
      <c r="AE25" s="61"/>
      <c r="AF25" s="61"/>
      <c r="AG25" s="61"/>
      <c r="AH25" s="54" t="s">
        <v>56</v>
      </c>
      <c r="AI25" s="54"/>
      <c r="AJ25" s="54"/>
      <c r="AK25" s="54"/>
      <c r="AL25" s="61" t="s">
        <v>57</v>
      </c>
      <c r="AM25" s="61"/>
      <c r="AN25" s="61"/>
      <c r="AO25" s="61"/>
      <c r="AP25" s="61" t="s">
        <v>58</v>
      </c>
      <c r="AQ25" s="61"/>
      <c r="AR25" s="61"/>
      <c r="AS25" s="61"/>
      <c r="AT25" s="61"/>
      <c r="AU25" s="61"/>
      <c r="AV25" s="61"/>
      <c r="AW25" s="61"/>
      <c r="AY25" s="38"/>
    </row>
    <row r="26" spans="1:51" ht="17.100000000000001" customHeight="1" thickBot="1">
      <c r="A26" s="56" t="s">
        <v>59</v>
      </c>
      <c r="B26" s="56"/>
      <c r="C26" s="56"/>
      <c r="D26" s="56"/>
      <c r="E26" s="65">
        <v>100000</v>
      </c>
      <c r="F26" s="65"/>
      <c r="G26" s="65"/>
      <c r="H26" s="65"/>
      <c r="I26" s="65"/>
      <c r="J26" s="65">
        <v>100000</v>
      </c>
      <c r="K26" s="65"/>
      <c r="L26" s="65"/>
      <c r="M26" s="65"/>
      <c r="N26" s="65"/>
      <c r="O26" s="65">
        <v>100000</v>
      </c>
      <c r="P26" s="65"/>
      <c r="Q26" s="65"/>
      <c r="R26" s="65"/>
      <c r="S26" s="65"/>
      <c r="T26" s="65">
        <v>100000</v>
      </c>
      <c r="U26" s="65"/>
      <c r="V26" s="65"/>
      <c r="W26" s="65"/>
      <c r="X26" s="65"/>
      <c r="Y26" s="34"/>
      <c r="Z26" s="1" t="s">
        <v>60</v>
      </c>
      <c r="AA26" s="1"/>
      <c r="AB26" s="1"/>
      <c r="AC26" s="1"/>
      <c r="AD26" s="1"/>
      <c r="AE26" s="1"/>
      <c r="AF26" s="6"/>
      <c r="AG26" s="6"/>
      <c r="AH26" s="6"/>
      <c r="AI26" s="6"/>
      <c r="AJ26" s="6"/>
      <c r="AK26" s="6"/>
      <c r="AL26" s="6"/>
      <c r="AM26" s="2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51" ht="17.100000000000001" customHeight="1" thickBot="1">
      <c r="A27" s="66" t="s">
        <v>61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2"/>
      <c r="O27" s="6"/>
      <c r="P27" s="6"/>
      <c r="Q27" s="6"/>
      <c r="R27" s="6"/>
      <c r="S27" s="6"/>
      <c r="T27" s="6"/>
      <c r="U27" s="6"/>
      <c r="V27" s="6"/>
      <c r="W27" s="6"/>
      <c r="X27" s="6"/>
      <c r="Y27" s="5"/>
      <c r="Z27" s="67" t="s">
        <v>62</v>
      </c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9"/>
    </row>
    <row r="28" spans="1:51" ht="17.100000000000001" customHeight="1">
      <c r="A28" s="13" t="s">
        <v>63</v>
      </c>
      <c r="B28" s="13"/>
      <c r="C28" s="13"/>
      <c r="D28" s="13"/>
      <c r="E28" s="14">
        <f>E7*3%</f>
        <v>1700400</v>
      </c>
      <c r="F28" s="15"/>
      <c r="G28" s="15"/>
      <c r="H28" s="15"/>
      <c r="I28" s="15"/>
      <c r="J28" s="14">
        <f>J7*3%</f>
        <v>1700400</v>
      </c>
      <c r="K28" s="15"/>
      <c r="L28" s="15"/>
      <c r="M28" s="15"/>
      <c r="N28" s="15"/>
      <c r="O28" s="14">
        <v>0</v>
      </c>
      <c r="P28" s="15"/>
      <c r="Q28" s="15"/>
      <c r="R28" s="15"/>
      <c r="S28" s="15"/>
      <c r="T28" s="14">
        <f>T7*3%</f>
        <v>1700400</v>
      </c>
      <c r="U28" s="15"/>
      <c r="V28" s="15"/>
      <c r="W28" s="15"/>
      <c r="X28" s="15"/>
      <c r="Y28" s="40"/>
      <c r="Z28" s="70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2"/>
    </row>
    <row r="29" spans="1:51" ht="17.100000000000001" customHeight="1" thickBot="1">
      <c r="A29" s="73" t="s">
        <v>64</v>
      </c>
      <c r="B29" s="73"/>
      <c r="C29" s="73"/>
      <c r="D29" s="73"/>
      <c r="E29" s="43" t="s">
        <v>65</v>
      </c>
      <c r="F29" s="43"/>
      <c r="G29" s="43"/>
      <c r="H29" s="43"/>
      <c r="I29" s="43"/>
      <c r="J29" s="43" t="s">
        <v>65</v>
      </c>
      <c r="K29" s="43"/>
      <c r="L29" s="43"/>
      <c r="M29" s="43"/>
      <c r="N29" s="43"/>
      <c r="O29" s="43" t="s">
        <v>65</v>
      </c>
      <c r="P29" s="43"/>
      <c r="Q29" s="43"/>
      <c r="R29" s="43"/>
      <c r="S29" s="43"/>
      <c r="T29" s="43" t="s">
        <v>65</v>
      </c>
      <c r="U29" s="43"/>
      <c r="V29" s="43"/>
      <c r="W29" s="43"/>
      <c r="X29" s="43"/>
      <c r="Y29" s="40"/>
      <c r="Z29" s="74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6"/>
    </row>
    <row r="30" spans="1:51" ht="17.100000000000001" customHeight="1">
      <c r="A30" s="56" t="s">
        <v>66</v>
      </c>
      <c r="B30" s="56"/>
      <c r="C30" s="56"/>
      <c r="D30" s="56"/>
      <c r="E30" s="57">
        <f>IF(E29="가입",((E23+E24)*E33)+(E25*E33)+E19+E26+E22+E21+AD2+E28+AD6+AD16+AD13,((E23+E24)*E33)+(E25*E33)+E19+E26+E22+E21+AD2+E28+AD6)</f>
        <v>78897195.126432955</v>
      </c>
      <c r="F30" s="57"/>
      <c r="G30" s="57"/>
      <c r="H30" s="57"/>
      <c r="I30" s="57"/>
      <c r="J30" s="57">
        <f>IF(J29="가입",((J23+J24)*J33)+(J25*J33)+J19+J26+J22+J21+AI2+J28+AI6+AI16+AI13,((J23+J24)*J33)+(J25*J33)+J19+J26+J22+J21+AI2+J28+AI6)</f>
        <v>81433920.682279766</v>
      </c>
      <c r="K30" s="57"/>
      <c r="L30" s="57"/>
      <c r="M30" s="57"/>
      <c r="N30" s="57"/>
      <c r="O30" s="57">
        <f>IF(O29="가입",((O23+O24)*O33)+(O25*O33)+O19+O26+O22+O21+AN2+O28+AN6+AN16+AN13,((O23+O24)*O33)+(O25*O33)+O19+O26+O22+O21+AN2+O28+AN6)</f>
        <v>77516795.126432955</v>
      </c>
      <c r="P30" s="57"/>
      <c r="Q30" s="57"/>
      <c r="R30" s="57"/>
      <c r="S30" s="57"/>
      <c r="T30" s="57">
        <f>IF(T29="가입",((T23+T24)*T33)+(T25*T33)+T19+T26+T22+T21+AS2+T28+AS6+AS16+AS13,((T23+T24)*T33)+(T25*T33)+T19+T26+T22+T21+AS2+T28+AS6)</f>
        <v>78897195.126432955</v>
      </c>
      <c r="U30" s="57"/>
      <c r="V30" s="57"/>
      <c r="W30" s="57"/>
      <c r="X30" s="57"/>
      <c r="Y30" s="34"/>
      <c r="Z30" s="13"/>
      <c r="AA30" s="13"/>
      <c r="AB30" s="13"/>
      <c r="AC30" s="13"/>
      <c r="AD30" s="53" t="s">
        <v>67</v>
      </c>
      <c r="AE30" s="53"/>
      <c r="AF30" s="53"/>
      <c r="AG30" s="53"/>
      <c r="AH30" s="53"/>
      <c r="AI30" s="53" t="s">
        <v>68</v>
      </c>
      <c r="AJ30" s="53"/>
      <c r="AK30" s="53"/>
      <c r="AL30" s="53"/>
      <c r="AM30" s="53"/>
      <c r="AN30" s="53" t="s">
        <v>69</v>
      </c>
      <c r="AO30" s="53"/>
      <c r="AP30" s="53"/>
      <c r="AQ30" s="53"/>
      <c r="AR30" s="53"/>
      <c r="AS30" s="53" t="s">
        <v>70</v>
      </c>
      <c r="AT30" s="53"/>
      <c r="AU30" s="53"/>
      <c r="AV30" s="53"/>
      <c r="AW30" s="53"/>
    </row>
    <row r="31" spans="1:51" ht="17.100000000000001" customHeight="1" thickBot="1">
      <c r="A31" s="1" t="s">
        <v>71</v>
      </c>
      <c r="B31" s="1"/>
      <c r="C31" s="1"/>
      <c r="D31" s="1"/>
      <c r="E31" s="6"/>
      <c r="F31" s="6"/>
      <c r="G31" s="6"/>
      <c r="H31" s="6"/>
      <c r="I31" s="6"/>
      <c r="J31" s="6"/>
      <c r="K31" s="6"/>
      <c r="L31" s="6"/>
      <c r="M31" s="6"/>
      <c r="N31" s="2"/>
      <c r="O31" s="6"/>
      <c r="P31" s="6"/>
      <c r="Q31" s="6"/>
      <c r="R31" s="6"/>
      <c r="S31" s="6"/>
      <c r="T31" s="6"/>
      <c r="U31" s="6"/>
      <c r="V31" s="6"/>
      <c r="W31" s="6"/>
      <c r="X31" s="6"/>
      <c r="Y31" s="77"/>
      <c r="Z31" s="25" t="s">
        <v>72</v>
      </c>
      <c r="AA31" s="25"/>
      <c r="AB31" s="25"/>
      <c r="AC31" s="25"/>
      <c r="AD31" s="61">
        <f>(E44+AD2)/E7</f>
        <v>3.1496204544231556E-2</v>
      </c>
      <c r="AE31" s="61"/>
      <c r="AF31" s="61"/>
      <c r="AG31" s="61"/>
      <c r="AH31" s="61"/>
      <c r="AI31" s="61">
        <f>(J44+AI2)/J7</f>
        <v>-1.4067311341263191</v>
      </c>
      <c r="AJ31" s="61"/>
      <c r="AK31" s="61"/>
      <c r="AL31" s="61"/>
      <c r="AM31" s="61"/>
      <c r="AN31" s="61">
        <f>(O44+AN2)/O7</f>
        <v>5.7156049286645111E-2</v>
      </c>
      <c r="AO31" s="61"/>
      <c r="AP31" s="61"/>
      <c r="AQ31" s="61"/>
      <c r="AR31" s="61"/>
      <c r="AS31" s="61">
        <f>(T44+AS2)/T7</f>
        <v>0.03</v>
      </c>
      <c r="AT31" s="61"/>
      <c r="AU31" s="61"/>
      <c r="AV31" s="61"/>
      <c r="AW31" s="61"/>
    </row>
    <row r="32" spans="1:51" ht="17.100000000000001" customHeight="1">
      <c r="A32" s="25" t="s">
        <v>73</v>
      </c>
      <c r="B32" s="25"/>
      <c r="C32" s="25"/>
      <c r="D32" s="25"/>
      <c r="E32" s="78">
        <f>E33*12</f>
        <v>48</v>
      </c>
      <c r="F32" s="78"/>
      <c r="G32" s="78"/>
      <c r="H32" s="78"/>
      <c r="I32" s="78"/>
      <c r="J32" s="78">
        <f t="shared" ref="J32" si="12">J33*12</f>
        <v>48</v>
      </c>
      <c r="K32" s="78"/>
      <c r="L32" s="78"/>
      <c r="M32" s="78"/>
      <c r="N32" s="78"/>
      <c r="O32" s="78">
        <f t="shared" ref="O32" si="13">O33*12</f>
        <v>48</v>
      </c>
      <c r="P32" s="78"/>
      <c r="Q32" s="78"/>
      <c r="R32" s="78"/>
      <c r="S32" s="78"/>
      <c r="T32" s="78">
        <f t="shared" ref="T32" si="14">T33*12</f>
        <v>48</v>
      </c>
      <c r="U32" s="78"/>
      <c r="V32" s="78"/>
      <c r="W32" s="78"/>
      <c r="X32" s="78"/>
      <c r="Y32" s="77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</row>
    <row r="33" spans="1:49" ht="17.100000000000001" customHeight="1">
      <c r="A33" s="25" t="s">
        <v>74</v>
      </c>
      <c r="B33" s="25"/>
      <c r="C33" s="25"/>
      <c r="D33" s="25"/>
      <c r="E33" s="79">
        <v>4</v>
      </c>
      <c r="F33" s="79"/>
      <c r="G33" s="79"/>
      <c r="H33" s="79"/>
      <c r="I33" s="79"/>
      <c r="J33" s="79">
        <v>4</v>
      </c>
      <c r="K33" s="79"/>
      <c r="L33" s="79"/>
      <c r="M33" s="79"/>
      <c r="N33" s="79"/>
      <c r="O33" s="79">
        <v>4</v>
      </c>
      <c r="P33" s="79"/>
      <c r="Q33" s="79"/>
      <c r="R33" s="79"/>
      <c r="S33" s="79"/>
      <c r="T33" s="79">
        <v>4</v>
      </c>
      <c r="U33" s="79"/>
      <c r="V33" s="79"/>
      <c r="W33" s="79"/>
      <c r="X33" s="79"/>
      <c r="Y33" s="80"/>
      <c r="Z33" s="55"/>
      <c r="AA33" s="55"/>
      <c r="AB33" s="55"/>
      <c r="AC33" s="55"/>
      <c r="AD33" s="55"/>
      <c r="AE33" s="55"/>
      <c r="AF33" s="55"/>
      <c r="AG33" s="55"/>
      <c r="AH33" s="55"/>
      <c r="AI33" s="81"/>
      <c r="AJ33" s="81"/>
      <c r="AK33" s="81"/>
      <c r="AL33" s="81"/>
      <c r="AM33" s="81"/>
      <c r="AN33" s="82"/>
      <c r="AO33" s="82"/>
      <c r="AP33" s="82"/>
      <c r="AQ33" s="82"/>
      <c r="AR33" s="82"/>
      <c r="AS33" s="55"/>
      <c r="AT33" s="55"/>
      <c r="AU33" s="55"/>
      <c r="AV33" s="55"/>
      <c r="AW33" s="55"/>
    </row>
    <row r="34" spans="1:49" ht="17.100000000000001" customHeight="1">
      <c r="A34" s="25" t="s">
        <v>75</v>
      </c>
      <c r="B34" s="25"/>
      <c r="C34" s="25"/>
      <c r="D34" s="25"/>
      <c r="E34" s="54">
        <v>30000</v>
      </c>
      <c r="F34" s="54"/>
      <c r="G34" s="54"/>
      <c r="H34" s="54"/>
      <c r="I34" s="54"/>
      <c r="J34" s="54">
        <v>20000</v>
      </c>
      <c r="K34" s="54"/>
      <c r="L34" s="54"/>
      <c r="M34" s="54"/>
      <c r="N34" s="54"/>
      <c r="O34" s="54">
        <v>20000</v>
      </c>
      <c r="P34" s="54"/>
      <c r="Q34" s="54"/>
      <c r="R34" s="54"/>
      <c r="S34" s="54"/>
      <c r="T34" s="54">
        <v>20000</v>
      </c>
      <c r="U34" s="54"/>
      <c r="V34" s="54"/>
      <c r="W34" s="54"/>
      <c r="X34" s="54"/>
      <c r="Y34" s="83"/>
      <c r="Z34" s="55"/>
      <c r="AA34" s="55"/>
      <c r="AB34" s="55"/>
      <c r="AC34" s="55"/>
      <c r="AD34" s="55"/>
      <c r="AE34" s="55"/>
      <c r="AF34" s="55"/>
      <c r="AG34" s="55"/>
      <c r="AH34" s="55"/>
      <c r="AI34" s="84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</row>
    <row r="35" spans="1:49" ht="17.100000000000001" customHeight="1">
      <c r="A35" s="25" t="s">
        <v>76</v>
      </c>
      <c r="B35" s="25"/>
      <c r="C35" s="25"/>
      <c r="D35" s="25"/>
      <c r="E35" s="61">
        <v>0.55000000000000004</v>
      </c>
      <c r="F35" s="61"/>
      <c r="G35" s="61"/>
      <c r="H35" s="61"/>
      <c r="I35" s="61"/>
      <c r="J35" s="61">
        <v>0</v>
      </c>
      <c r="K35" s="61"/>
      <c r="L35" s="61"/>
      <c r="M35" s="61"/>
      <c r="N35" s="61"/>
      <c r="O35" s="61">
        <v>0.6</v>
      </c>
      <c r="P35" s="61"/>
      <c r="Q35" s="61"/>
      <c r="R35" s="61"/>
      <c r="S35" s="61"/>
      <c r="T35" s="61">
        <v>0.55000000000000004</v>
      </c>
      <c r="U35" s="61"/>
      <c r="V35" s="61"/>
      <c r="W35" s="61"/>
      <c r="X35" s="61"/>
      <c r="Y35" s="40"/>
      <c r="Z35" s="55"/>
      <c r="AA35" s="55"/>
      <c r="AB35" s="55"/>
      <c r="AC35" s="55"/>
      <c r="AD35" s="85"/>
      <c r="AE35" s="55"/>
      <c r="AF35" s="55"/>
      <c r="AG35" s="55"/>
      <c r="AH35" s="55"/>
      <c r="AI35" s="81"/>
      <c r="AJ35" s="81"/>
      <c r="AK35" s="81"/>
      <c r="AL35" s="81"/>
      <c r="AM35" s="81"/>
      <c r="AN35" s="55"/>
      <c r="AO35" s="55"/>
      <c r="AP35" s="55"/>
      <c r="AQ35" s="55"/>
      <c r="AR35" s="55"/>
      <c r="AS35" s="55"/>
      <c r="AT35" s="55"/>
      <c r="AU35" s="55"/>
      <c r="AV35" s="55"/>
      <c r="AW35" s="55"/>
    </row>
    <row r="36" spans="1:49" ht="17.100000000000001" customHeight="1">
      <c r="A36" s="25" t="s">
        <v>77</v>
      </c>
      <c r="B36" s="25"/>
      <c r="C36" s="25"/>
      <c r="D36" s="25"/>
      <c r="E36" s="39">
        <f>E35*E7</f>
        <v>31174000.000000004</v>
      </c>
      <c r="F36" s="39"/>
      <c r="G36" s="39"/>
      <c r="H36" s="39"/>
      <c r="I36" s="39"/>
      <c r="J36" s="39">
        <f>J35*J7</f>
        <v>0</v>
      </c>
      <c r="K36" s="39"/>
      <c r="L36" s="39"/>
      <c r="M36" s="39"/>
      <c r="N36" s="39"/>
      <c r="O36" s="39">
        <f>O35*O7</f>
        <v>34008000</v>
      </c>
      <c r="P36" s="39"/>
      <c r="Q36" s="39"/>
      <c r="R36" s="39"/>
      <c r="S36" s="39"/>
      <c r="T36" s="39">
        <f>T35*T7</f>
        <v>31174000.000000004</v>
      </c>
      <c r="U36" s="39"/>
      <c r="V36" s="39"/>
      <c r="W36" s="39"/>
      <c r="X36" s="39"/>
      <c r="Y36" s="86"/>
      <c r="Z36" s="55"/>
      <c r="AA36" s="55"/>
      <c r="AB36" s="55"/>
      <c r="AC36" s="55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55"/>
      <c r="AT36" s="55"/>
      <c r="AU36" s="55"/>
      <c r="AV36" s="55"/>
      <c r="AW36" s="55"/>
    </row>
    <row r="37" spans="1:49" ht="17.100000000000001" customHeight="1">
      <c r="A37" s="25" t="s">
        <v>78</v>
      </c>
      <c r="B37" s="25"/>
      <c r="C37" s="25"/>
      <c r="D37" s="25"/>
      <c r="E37" s="61">
        <v>0.3</v>
      </c>
      <c r="F37" s="61"/>
      <c r="G37" s="61"/>
      <c r="H37" s="61"/>
      <c r="I37" s="61"/>
      <c r="J37" s="61">
        <v>0</v>
      </c>
      <c r="K37" s="61"/>
      <c r="L37" s="61"/>
      <c r="M37" s="61"/>
      <c r="N37" s="61"/>
      <c r="O37" s="61">
        <v>0.3</v>
      </c>
      <c r="P37" s="61"/>
      <c r="Q37" s="61"/>
      <c r="R37" s="61"/>
      <c r="S37" s="61"/>
      <c r="T37" s="61">
        <v>0.3</v>
      </c>
      <c r="U37" s="61"/>
      <c r="V37" s="61"/>
      <c r="W37" s="61"/>
      <c r="X37" s="61"/>
      <c r="Y37" s="40"/>
      <c r="Z37" s="55"/>
      <c r="AA37" s="55"/>
      <c r="AB37" s="55"/>
      <c r="AC37" s="55"/>
      <c r="AD37" s="55"/>
      <c r="AE37" s="55"/>
      <c r="AF37" s="55"/>
      <c r="AG37" s="55"/>
      <c r="AH37" s="55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55"/>
      <c r="AT37" s="55"/>
      <c r="AU37" s="55"/>
      <c r="AV37" s="55"/>
      <c r="AW37" s="55"/>
    </row>
    <row r="38" spans="1:49" ht="17.100000000000001" customHeight="1">
      <c r="A38" s="25" t="s">
        <v>79</v>
      </c>
      <c r="B38" s="25"/>
      <c r="C38" s="25"/>
      <c r="D38" s="25"/>
      <c r="E38" s="39">
        <f>E37*E7</f>
        <v>17004000</v>
      </c>
      <c r="F38" s="39"/>
      <c r="G38" s="39"/>
      <c r="H38" s="39"/>
      <c r="I38" s="39"/>
      <c r="J38" s="39">
        <f>J37*J7</f>
        <v>0</v>
      </c>
      <c r="K38" s="39"/>
      <c r="L38" s="39"/>
      <c r="M38" s="39"/>
      <c r="N38" s="39"/>
      <c r="O38" s="39">
        <f>O37*O7</f>
        <v>17004000</v>
      </c>
      <c r="P38" s="39"/>
      <c r="Q38" s="39"/>
      <c r="R38" s="39"/>
      <c r="S38" s="39"/>
      <c r="T38" s="39">
        <f>T37*T7</f>
        <v>17004000</v>
      </c>
      <c r="U38" s="39"/>
      <c r="V38" s="39"/>
      <c r="W38" s="39"/>
      <c r="X38" s="39"/>
      <c r="Y38" s="86"/>
      <c r="Z38" s="55"/>
      <c r="AA38" s="55"/>
      <c r="AB38" s="55"/>
      <c r="AC38" s="55"/>
      <c r="AD38" s="84"/>
      <c r="AE38" s="55"/>
      <c r="AF38" s="55"/>
      <c r="AG38" s="55"/>
      <c r="AH38" s="55"/>
      <c r="AI38" s="81"/>
      <c r="AJ38" s="81"/>
      <c r="AK38" s="81"/>
      <c r="AL38" s="81"/>
      <c r="AM38" s="81"/>
      <c r="AN38" s="87"/>
      <c r="AO38" s="87"/>
      <c r="AP38" s="87"/>
      <c r="AQ38" s="87"/>
      <c r="AR38" s="87"/>
      <c r="AS38" s="55"/>
      <c r="AT38" s="55"/>
      <c r="AU38" s="55"/>
      <c r="AV38" s="55"/>
      <c r="AW38" s="55"/>
    </row>
    <row r="39" spans="1:49" ht="17.100000000000001" customHeight="1">
      <c r="A39" s="25" t="s">
        <v>80</v>
      </c>
      <c r="B39" s="25"/>
      <c r="C39" s="25"/>
      <c r="D39" s="25"/>
      <c r="E39" s="61">
        <v>0</v>
      </c>
      <c r="F39" s="61"/>
      <c r="G39" s="61"/>
      <c r="H39" s="61"/>
      <c r="I39" s="61"/>
      <c r="J39" s="61">
        <v>0</v>
      </c>
      <c r="K39" s="61"/>
      <c r="L39" s="61"/>
      <c r="M39" s="61"/>
      <c r="N39" s="61"/>
      <c r="O39" s="61">
        <v>0</v>
      </c>
      <c r="P39" s="61"/>
      <c r="Q39" s="61"/>
      <c r="R39" s="61"/>
      <c r="S39" s="61"/>
      <c r="T39" s="61">
        <v>0</v>
      </c>
      <c r="U39" s="61"/>
      <c r="V39" s="61"/>
      <c r="W39" s="61"/>
      <c r="X39" s="61"/>
      <c r="Y39" s="40"/>
      <c r="Z39" s="55"/>
      <c r="AA39" s="55"/>
      <c r="AB39" s="55"/>
      <c r="AC39" s="55"/>
      <c r="AD39" s="85"/>
      <c r="AE39" s="55"/>
      <c r="AF39" s="55"/>
      <c r="AG39" s="55"/>
      <c r="AH39" s="55"/>
      <c r="AI39" s="85"/>
      <c r="AJ39" s="55"/>
      <c r="AK39" s="55"/>
      <c r="AL39" s="55"/>
      <c r="AM39" s="55"/>
      <c r="AN39" s="81"/>
      <c r="AO39" s="81"/>
      <c r="AP39" s="81"/>
      <c r="AQ39" s="81"/>
      <c r="AR39" s="81"/>
      <c r="AS39" s="55"/>
      <c r="AT39" s="55"/>
      <c r="AU39" s="55"/>
      <c r="AV39" s="55"/>
      <c r="AW39" s="55"/>
    </row>
    <row r="40" spans="1:49" ht="17.100000000000001" customHeight="1">
      <c r="A40" s="25" t="s">
        <v>81</v>
      </c>
      <c r="B40" s="25"/>
      <c r="C40" s="25"/>
      <c r="D40" s="25"/>
      <c r="E40" s="39">
        <f>E39*E7</f>
        <v>0</v>
      </c>
      <c r="F40" s="39"/>
      <c r="G40" s="39"/>
      <c r="H40" s="39"/>
      <c r="I40" s="39"/>
      <c r="J40" s="39">
        <f>J39*J7</f>
        <v>0</v>
      </c>
      <c r="K40" s="39"/>
      <c r="L40" s="39"/>
      <c r="M40" s="39"/>
      <c r="N40" s="39"/>
      <c r="O40" s="39">
        <f>O39*O7</f>
        <v>0</v>
      </c>
      <c r="P40" s="39"/>
      <c r="Q40" s="39"/>
      <c r="R40" s="39"/>
      <c r="S40" s="39"/>
      <c r="T40" s="39">
        <f>T39*T7</f>
        <v>0</v>
      </c>
      <c r="U40" s="39"/>
      <c r="V40" s="39"/>
      <c r="W40" s="39"/>
      <c r="X40" s="39"/>
      <c r="Y40" s="40"/>
      <c r="Z40" s="55"/>
      <c r="AA40" s="55"/>
      <c r="AB40" s="55"/>
      <c r="AC40" s="55"/>
      <c r="AD40" s="82"/>
      <c r="AE40" s="82"/>
      <c r="AF40" s="82"/>
      <c r="AG40" s="82"/>
      <c r="AH40" s="82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55"/>
      <c r="AT40" s="55"/>
      <c r="AU40" s="55"/>
      <c r="AV40" s="55"/>
      <c r="AW40" s="55"/>
    </row>
    <row r="41" spans="1:49" ht="17.100000000000001" customHeight="1">
      <c r="A41" s="25" t="s">
        <v>82</v>
      </c>
      <c r="B41" s="25"/>
      <c r="C41" s="25"/>
      <c r="D41" s="25"/>
      <c r="E41" s="43">
        <v>996000</v>
      </c>
      <c r="F41" s="43"/>
      <c r="G41" s="43"/>
      <c r="H41" s="43"/>
      <c r="I41" s="43"/>
      <c r="J41" s="43">
        <v>0</v>
      </c>
      <c r="K41" s="43"/>
      <c r="L41" s="43"/>
      <c r="M41" s="43"/>
      <c r="N41" s="43"/>
      <c r="O41" s="43">
        <v>938500</v>
      </c>
      <c r="P41" s="43"/>
      <c r="Q41" s="43"/>
      <c r="R41" s="43"/>
      <c r="S41" s="43"/>
      <c r="T41" s="39">
        <f>ROUNDDOWN(T42/T32, -3)</f>
        <v>994000</v>
      </c>
      <c r="U41" s="39"/>
      <c r="V41" s="39"/>
      <c r="W41" s="39"/>
      <c r="X41" s="39"/>
      <c r="Y41" s="40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90"/>
      <c r="AO41" s="90"/>
      <c r="AP41" s="90"/>
      <c r="AQ41" s="90"/>
      <c r="AR41" s="90"/>
      <c r="AS41" s="89"/>
      <c r="AT41" s="89"/>
      <c r="AU41" s="89"/>
      <c r="AV41" s="89"/>
      <c r="AW41" s="89"/>
    </row>
    <row r="42" spans="1:49" ht="17.100000000000001" customHeight="1">
      <c r="A42" s="25" t="s">
        <v>83</v>
      </c>
      <c r="B42" s="25"/>
      <c r="C42" s="25"/>
      <c r="D42" s="25"/>
      <c r="E42" s="39">
        <f>E41*E32</f>
        <v>47808000</v>
      </c>
      <c r="F42" s="39"/>
      <c r="G42" s="39"/>
      <c r="H42" s="39"/>
      <c r="I42" s="39"/>
      <c r="J42" s="39">
        <f t="shared" ref="J42" si="15">J41*J32</f>
        <v>0</v>
      </c>
      <c r="K42" s="39"/>
      <c r="L42" s="39"/>
      <c r="M42" s="39"/>
      <c r="N42" s="39"/>
      <c r="O42" s="39">
        <f t="shared" ref="O42" si="16">O41*O32</f>
        <v>45048000</v>
      </c>
      <c r="P42" s="39"/>
      <c r="Q42" s="39"/>
      <c r="R42" s="39"/>
      <c r="S42" s="39"/>
      <c r="T42" s="39">
        <f>T43-T36-T40</f>
        <v>47723195.126432955</v>
      </c>
      <c r="U42" s="39"/>
      <c r="V42" s="39"/>
      <c r="W42" s="39"/>
      <c r="X42" s="39"/>
      <c r="Y42" s="40"/>
    </row>
    <row r="43" spans="1:49" ht="17.100000000000001" customHeight="1">
      <c r="A43" s="25" t="s">
        <v>84</v>
      </c>
      <c r="B43" s="25"/>
      <c r="C43" s="25"/>
      <c r="D43" s="25"/>
      <c r="E43" s="39">
        <f>E42+E36+E40</f>
        <v>78982000</v>
      </c>
      <c r="F43" s="39"/>
      <c r="G43" s="39"/>
      <c r="H43" s="39"/>
      <c r="I43" s="39"/>
      <c r="J43" s="39">
        <f>J42+J36+J40</f>
        <v>0</v>
      </c>
      <c r="K43" s="39"/>
      <c r="L43" s="39"/>
      <c r="M43" s="39"/>
      <c r="N43" s="39"/>
      <c r="O43" s="39">
        <f>O42+O36+O40</f>
        <v>79056000</v>
      </c>
      <c r="P43" s="39"/>
      <c r="Q43" s="39"/>
      <c r="R43" s="39"/>
      <c r="S43" s="39"/>
      <c r="T43" s="39">
        <f>T30+T44</f>
        <v>78897195.126432955</v>
      </c>
      <c r="U43" s="39"/>
      <c r="V43" s="39"/>
      <c r="W43" s="39"/>
      <c r="X43" s="39"/>
      <c r="Y43" s="40"/>
    </row>
    <row r="44" spans="1:49" ht="17.100000000000001" customHeight="1">
      <c r="A44" s="56" t="s">
        <v>85</v>
      </c>
      <c r="B44" s="56"/>
      <c r="C44" s="56"/>
      <c r="D44" s="56"/>
      <c r="E44" s="57">
        <f>E43-E30</f>
        <v>84804.873567044735</v>
      </c>
      <c r="F44" s="57"/>
      <c r="G44" s="57"/>
      <c r="H44" s="57"/>
      <c r="I44" s="57"/>
      <c r="J44" s="57">
        <f>J43-J30</f>
        <v>-81433920.682279766</v>
      </c>
      <c r="K44" s="57"/>
      <c r="L44" s="57"/>
      <c r="M44" s="57"/>
      <c r="N44" s="57"/>
      <c r="O44" s="57">
        <f>O43-O30</f>
        <v>1539204.8735670447</v>
      </c>
      <c r="P44" s="57"/>
      <c r="Q44" s="57"/>
      <c r="R44" s="57"/>
      <c r="S44" s="57"/>
      <c r="T44" s="91">
        <v>0</v>
      </c>
      <c r="U44" s="91"/>
      <c r="V44" s="91"/>
      <c r="W44" s="91"/>
      <c r="X44" s="91"/>
      <c r="Y44" s="33"/>
    </row>
    <row r="45" spans="1:49" ht="17.100000000000001" customHeight="1"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</row>
    <row r="46" spans="1:49" ht="17.100000000000001" customHeight="1"/>
    <row r="47" spans="1:49" ht="17.100000000000001" customHeight="1"/>
    <row r="48" spans="1:49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4.45" customHeight="1"/>
    <row r="364" ht="14.45" customHeight="1"/>
    <row r="365" ht="14.45" customHeight="1"/>
    <row r="366" ht="14.45" customHeight="1"/>
    <row r="367" ht="14.45" customHeight="1"/>
    <row r="368" ht="14.45" customHeight="1"/>
    <row r="369" ht="14.45" customHeight="1"/>
    <row r="370" ht="14.45" customHeight="1"/>
    <row r="371" ht="14.45" customHeight="1"/>
    <row r="372" ht="14.45" customHeight="1"/>
    <row r="373" ht="14.45" customHeight="1"/>
    <row r="374" ht="14.45" customHeight="1"/>
    <row r="375" ht="14.45" customHeight="1"/>
    <row r="376" ht="14.45" customHeight="1"/>
    <row r="377" ht="14.45" customHeight="1"/>
    <row r="378" ht="14.45" customHeight="1"/>
    <row r="379" ht="14.45" customHeight="1"/>
    <row r="380" ht="14.45" customHeight="1"/>
    <row r="381" ht="14.45" customHeight="1"/>
    <row r="382" ht="14.45" customHeight="1"/>
    <row r="383" ht="14.45" customHeight="1"/>
    <row r="384" ht="14.45" customHeight="1"/>
    <row r="385" ht="14.45" customHeight="1"/>
    <row r="386" ht="14.45" customHeight="1"/>
    <row r="387" ht="14.45" customHeight="1"/>
    <row r="388" ht="14.45" customHeight="1"/>
    <row r="389" ht="14.45" customHeight="1"/>
    <row r="390" ht="14.45" customHeight="1"/>
    <row r="391" ht="14.45" customHeight="1"/>
    <row r="392" ht="14.45" customHeight="1"/>
    <row r="393" ht="14.45" customHeight="1"/>
    <row r="394" ht="14.45" customHeight="1"/>
    <row r="395" ht="14.45" customHeight="1"/>
    <row r="396" ht="14.45" customHeight="1"/>
    <row r="397" ht="14.45" customHeight="1"/>
    <row r="398" ht="14.45" customHeight="1"/>
    <row r="399" ht="14.45" customHeight="1"/>
    <row r="400" ht="14.45" customHeight="1"/>
    <row r="401" ht="14.45" customHeight="1"/>
    <row r="402" ht="14.45" customHeight="1"/>
    <row r="403" ht="14.45" customHeight="1"/>
    <row r="404" ht="14.45" customHeight="1"/>
    <row r="405" ht="14.45" customHeight="1"/>
    <row r="406" ht="14.45" customHeight="1"/>
    <row r="407" ht="14.45" customHeight="1"/>
    <row r="408" ht="14.45" customHeight="1"/>
    <row r="409" ht="14.45" customHeight="1"/>
    <row r="410" ht="14.45" customHeight="1"/>
    <row r="411" ht="14.45" customHeight="1"/>
    <row r="412" ht="14.45" customHeight="1"/>
    <row r="413" ht="14.45" customHeight="1"/>
    <row r="414" ht="14.45" customHeight="1"/>
    <row r="415" ht="14.45" customHeight="1"/>
    <row r="416" ht="14.45" customHeight="1"/>
    <row r="417" ht="14.45" customHeight="1"/>
    <row r="418" ht="14.45" customHeight="1"/>
    <row r="419" ht="14.45" customHeight="1"/>
    <row r="420" ht="14.45" customHeight="1"/>
    <row r="421" ht="14.45" customHeight="1"/>
    <row r="422" ht="14.45" customHeight="1"/>
    <row r="423" ht="14.45" customHeight="1"/>
    <row r="424" ht="14.45" customHeight="1"/>
    <row r="425" ht="14.45" customHeight="1"/>
    <row r="426" ht="14.45" customHeight="1"/>
    <row r="427" ht="14.45" customHeight="1"/>
    <row r="428" ht="14.45" customHeight="1"/>
    <row r="429" ht="14.45" customHeight="1"/>
    <row r="430" ht="14.45" customHeight="1"/>
    <row r="431" ht="14.45" customHeight="1"/>
    <row r="432" ht="14.45" customHeight="1"/>
    <row r="433" ht="14.45" customHeight="1"/>
    <row r="434" ht="14.45" customHeight="1"/>
    <row r="435" ht="14.45" customHeight="1"/>
    <row r="436" ht="14.45" customHeight="1"/>
    <row r="437" ht="14.45" customHeight="1"/>
    <row r="438" ht="14.45" customHeight="1"/>
    <row r="439" ht="14.45" customHeight="1"/>
    <row r="440" ht="14.45" customHeight="1"/>
    <row r="441" ht="14.45" customHeight="1"/>
    <row r="442" ht="14.45" customHeight="1"/>
    <row r="443" ht="14.45" customHeight="1"/>
    <row r="444" ht="14.45" customHeight="1"/>
    <row r="445" ht="14.45" customHeight="1"/>
    <row r="446" ht="14.45" customHeight="1"/>
    <row r="447" ht="14.45" customHeight="1"/>
    <row r="448" ht="14.45" customHeight="1"/>
    <row r="449" ht="14.45" customHeight="1"/>
    <row r="450" ht="14.45" customHeight="1"/>
    <row r="451" ht="14.45" customHeight="1"/>
    <row r="452" ht="14.45" customHeight="1"/>
    <row r="453" ht="14.45" customHeight="1"/>
    <row r="454" ht="14.45" customHeight="1"/>
    <row r="455" ht="14.45" customHeight="1"/>
    <row r="456" ht="14.45" customHeight="1"/>
    <row r="457" ht="14.45" customHeight="1"/>
    <row r="458" ht="14.45" customHeight="1"/>
    <row r="459" ht="14.45" customHeight="1"/>
    <row r="460" ht="14.45" customHeight="1"/>
    <row r="461" ht="14.45" customHeight="1"/>
    <row r="462" ht="14.45" customHeight="1"/>
    <row r="463" ht="14.45" customHeight="1"/>
    <row r="464" ht="14.45" customHeight="1"/>
    <row r="465" ht="14.45" customHeight="1"/>
    <row r="466" ht="14.45" customHeight="1"/>
    <row r="467" ht="14.45" customHeight="1"/>
    <row r="468" ht="14.45" customHeight="1"/>
    <row r="469" ht="14.45" customHeight="1"/>
    <row r="470" ht="14.45" customHeight="1"/>
    <row r="471" ht="14.45" customHeight="1"/>
    <row r="472" ht="14.45" customHeight="1"/>
    <row r="473" ht="14.45" customHeight="1"/>
    <row r="474" ht="14.45" customHeight="1"/>
    <row r="475" ht="14.45" customHeight="1"/>
    <row r="476" ht="14.45" customHeight="1"/>
    <row r="477" ht="14.45" customHeight="1"/>
    <row r="478" ht="14.45" customHeight="1"/>
  </sheetData>
  <mergeCells count="345">
    <mergeCell ref="A44:D44"/>
    <mergeCell ref="E44:I44"/>
    <mergeCell ref="J44:N44"/>
    <mergeCell ref="O44:S44"/>
    <mergeCell ref="T44:X44"/>
    <mergeCell ref="J45:N45"/>
    <mergeCell ref="O45:S45"/>
    <mergeCell ref="T45:X45"/>
    <mergeCell ref="A42:D42"/>
    <mergeCell ref="E42:I42"/>
    <mergeCell ref="J42:N42"/>
    <mergeCell ref="O42:S42"/>
    <mergeCell ref="T42:X42"/>
    <mergeCell ref="A43:D43"/>
    <mergeCell ref="E43:I43"/>
    <mergeCell ref="J43:N43"/>
    <mergeCell ref="O43:S43"/>
    <mergeCell ref="T43:X43"/>
    <mergeCell ref="AS40:AW40"/>
    <mergeCell ref="A41:D41"/>
    <mergeCell ref="E41:I41"/>
    <mergeCell ref="J41:N41"/>
    <mergeCell ref="O41:S41"/>
    <mergeCell ref="T41:X41"/>
    <mergeCell ref="AS39:AW39"/>
    <mergeCell ref="A40:D40"/>
    <mergeCell ref="E40:I40"/>
    <mergeCell ref="J40:N40"/>
    <mergeCell ref="O40:S40"/>
    <mergeCell ref="T40:X40"/>
    <mergeCell ref="Z40:AC40"/>
    <mergeCell ref="AD40:AH40"/>
    <mergeCell ref="AI40:AM40"/>
    <mergeCell ref="AN40:AR40"/>
    <mergeCell ref="AS38:AW38"/>
    <mergeCell ref="A39:D39"/>
    <mergeCell ref="E39:I39"/>
    <mergeCell ref="J39:N39"/>
    <mergeCell ref="O39:S39"/>
    <mergeCell ref="T39:X39"/>
    <mergeCell ref="Z39:AC39"/>
    <mergeCell ref="AD39:AH39"/>
    <mergeCell ref="AI39:AM39"/>
    <mergeCell ref="AN39:AR39"/>
    <mergeCell ref="AS37:AW37"/>
    <mergeCell ref="A38:D38"/>
    <mergeCell ref="E38:I38"/>
    <mergeCell ref="J38:N38"/>
    <mergeCell ref="O38:S38"/>
    <mergeCell ref="T38:X38"/>
    <mergeCell ref="Z38:AC38"/>
    <mergeCell ref="AD38:AH38"/>
    <mergeCell ref="AI38:AM38"/>
    <mergeCell ref="AN38:AR38"/>
    <mergeCell ref="AS36:AW36"/>
    <mergeCell ref="A37:D37"/>
    <mergeCell ref="E37:I37"/>
    <mergeCell ref="J37:N37"/>
    <mergeCell ref="O37:S37"/>
    <mergeCell ref="T37:X37"/>
    <mergeCell ref="Z37:AC37"/>
    <mergeCell ref="AD37:AH37"/>
    <mergeCell ref="AI37:AM37"/>
    <mergeCell ref="AN37:AR37"/>
    <mergeCell ref="AS35:AW35"/>
    <mergeCell ref="A36:D36"/>
    <mergeCell ref="E36:I36"/>
    <mergeCell ref="J36:N36"/>
    <mergeCell ref="O36:S36"/>
    <mergeCell ref="T36:X36"/>
    <mergeCell ref="Z36:AC36"/>
    <mergeCell ref="AD36:AH36"/>
    <mergeCell ref="AI36:AM36"/>
    <mergeCell ref="AN36:AR36"/>
    <mergeCell ref="AS34:AW34"/>
    <mergeCell ref="A35:D35"/>
    <mergeCell ref="E35:I35"/>
    <mergeCell ref="J35:N35"/>
    <mergeCell ref="O35:S35"/>
    <mergeCell ref="T35:X35"/>
    <mergeCell ref="Z35:AC35"/>
    <mergeCell ref="AD35:AH35"/>
    <mergeCell ref="AI35:AM35"/>
    <mergeCell ref="AN35:AR35"/>
    <mergeCell ref="AS33:AW33"/>
    <mergeCell ref="A34:D34"/>
    <mergeCell ref="E34:I34"/>
    <mergeCell ref="J34:N34"/>
    <mergeCell ref="O34:S34"/>
    <mergeCell ref="T34:X34"/>
    <mergeCell ref="Z34:AC34"/>
    <mergeCell ref="AD34:AH34"/>
    <mergeCell ref="AI34:AM34"/>
    <mergeCell ref="AN34:AR34"/>
    <mergeCell ref="AS32:AW32"/>
    <mergeCell ref="A33:D33"/>
    <mergeCell ref="E33:I33"/>
    <mergeCell ref="J33:N33"/>
    <mergeCell ref="O33:S33"/>
    <mergeCell ref="T33:X33"/>
    <mergeCell ref="Z33:AC33"/>
    <mergeCell ref="AD33:AH33"/>
    <mergeCell ref="AI33:AM33"/>
    <mergeCell ref="AN33:AR33"/>
    <mergeCell ref="AS31:AW31"/>
    <mergeCell ref="A32:D32"/>
    <mergeCell ref="E32:I32"/>
    <mergeCell ref="J32:N32"/>
    <mergeCell ref="O32:S32"/>
    <mergeCell ref="T32:X32"/>
    <mergeCell ref="Z32:AC32"/>
    <mergeCell ref="AD32:AH32"/>
    <mergeCell ref="AI32:AM32"/>
    <mergeCell ref="AN32:AR32"/>
    <mergeCell ref="Z30:AC30"/>
    <mergeCell ref="AD30:AH30"/>
    <mergeCell ref="AI30:AM30"/>
    <mergeCell ref="AN30:AR30"/>
    <mergeCell ref="AS30:AW30"/>
    <mergeCell ref="A31:D31"/>
    <mergeCell ref="Z31:AC31"/>
    <mergeCell ref="AD31:AH31"/>
    <mergeCell ref="AI31:AM31"/>
    <mergeCell ref="AN31:AR31"/>
    <mergeCell ref="O29:S29"/>
    <mergeCell ref="T29:X29"/>
    <mergeCell ref="A30:D30"/>
    <mergeCell ref="E30:I30"/>
    <mergeCell ref="J30:N30"/>
    <mergeCell ref="O30:S30"/>
    <mergeCell ref="T30:X30"/>
    <mergeCell ref="A27:M27"/>
    <mergeCell ref="Z27:AW29"/>
    <mergeCell ref="A28:D28"/>
    <mergeCell ref="E28:I28"/>
    <mergeCell ref="J28:N28"/>
    <mergeCell ref="O28:S28"/>
    <mergeCell ref="T28:X28"/>
    <mergeCell ref="A29:D29"/>
    <mergeCell ref="E29:I29"/>
    <mergeCell ref="J29:N29"/>
    <mergeCell ref="A26:D26"/>
    <mergeCell ref="E26:I26"/>
    <mergeCell ref="J26:N26"/>
    <mergeCell ref="O26:S26"/>
    <mergeCell ref="T26:X26"/>
    <mergeCell ref="Z26:AE26"/>
    <mergeCell ref="Z25:AC25"/>
    <mergeCell ref="AD25:AG25"/>
    <mergeCell ref="AH25:AK25"/>
    <mergeCell ref="AL25:AO25"/>
    <mergeCell ref="AP25:AS25"/>
    <mergeCell ref="AT25:AW25"/>
    <mergeCell ref="AD24:AG24"/>
    <mergeCell ref="AH24:AK24"/>
    <mergeCell ref="AL24:AO24"/>
    <mergeCell ref="AP24:AS24"/>
    <mergeCell ref="AT24:AW24"/>
    <mergeCell ref="A25:D25"/>
    <mergeCell ref="E25:I25"/>
    <mergeCell ref="J25:N25"/>
    <mergeCell ref="O25:S25"/>
    <mergeCell ref="T25:X25"/>
    <mergeCell ref="A24:D24"/>
    <mergeCell ref="E24:I24"/>
    <mergeCell ref="J24:N24"/>
    <mergeCell ref="O24:S24"/>
    <mergeCell ref="T24:X24"/>
    <mergeCell ref="Z24:AC24"/>
    <mergeCell ref="AL22:AO22"/>
    <mergeCell ref="AP22:AS22"/>
    <mergeCell ref="AT22:AW22"/>
    <mergeCell ref="A23:D23"/>
    <mergeCell ref="E23:I23"/>
    <mergeCell ref="J23:N23"/>
    <mergeCell ref="O23:S23"/>
    <mergeCell ref="T23:X23"/>
    <mergeCell ref="Z23:AE23"/>
    <mergeCell ref="AP21:AS21"/>
    <mergeCell ref="AT21:AW21"/>
    <mergeCell ref="A22:D22"/>
    <mergeCell ref="E22:I22"/>
    <mergeCell ref="J22:N22"/>
    <mergeCell ref="O22:S22"/>
    <mergeCell ref="T22:X22"/>
    <mergeCell ref="Z22:AC22"/>
    <mergeCell ref="AD22:AG22"/>
    <mergeCell ref="AH22:AK22"/>
    <mergeCell ref="AT20:AW20"/>
    <mergeCell ref="A21:D21"/>
    <mergeCell ref="E21:I21"/>
    <mergeCell ref="J21:N21"/>
    <mergeCell ref="O21:S21"/>
    <mergeCell ref="T21:X21"/>
    <mergeCell ref="Z21:AC21"/>
    <mergeCell ref="AD21:AG21"/>
    <mergeCell ref="AH21:AK21"/>
    <mergeCell ref="AL21:AO21"/>
    <mergeCell ref="A20:D20"/>
    <mergeCell ref="Z20:AC20"/>
    <mergeCell ref="AD20:AG20"/>
    <mergeCell ref="AH20:AK20"/>
    <mergeCell ref="AL20:AO20"/>
    <mergeCell ref="AP20:AS20"/>
    <mergeCell ref="AN18:AR18"/>
    <mergeCell ref="AS18:AW18"/>
    <mergeCell ref="A19:D19"/>
    <mergeCell ref="E19:I19"/>
    <mergeCell ref="J19:N19"/>
    <mergeCell ref="O19:S19"/>
    <mergeCell ref="T19:X19"/>
    <mergeCell ref="Z19:AE19"/>
    <mergeCell ref="AF19:AH19"/>
    <mergeCell ref="AN17:AR17"/>
    <mergeCell ref="AS17:AW17"/>
    <mergeCell ref="A18:D18"/>
    <mergeCell ref="E18:I18"/>
    <mergeCell ref="J18:N18"/>
    <mergeCell ref="O18:S18"/>
    <mergeCell ref="T18:X18"/>
    <mergeCell ref="Z18:AC18"/>
    <mergeCell ref="AD18:AH18"/>
    <mergeCell ref="AI18:AM18"/>
    <mergeCell ref="AI16:AM16"/>
    <mergeCell ref="AN16:AR16"/>
    <mergeCell ref="AS16:AW16"/>
    <mergeCell ref="E17:I17"/>
    <mergeCell ref="J17:N17"/>
    <mergeCell ref="O17:S17"/>
    <mergeCell ref="T17:X17"/>
    <mergeCell ref="Z17:AC17"/>
    <mergeCell ref="AD17:AH17"/>
    <mergeCell ref="AI17:AM17"/>
    <mergeCell ref="E16:I16"/>
    <mergeCell ref="J16:N16"/>
    <mergeCell ref="O16:S16"/>
    <mergeCell ref="T16:X16"/>
    <mergeCell ref="Z16:AC16"/>
    <mergeCell ref="AD16:AH16"/>
    <mergeCell ref="AS13:AW13"/>
    <mergeCell ref="E14:I14"/>
    <mergeCell ref="J14:N14"/>
    <mergeCell ref="O14:S14"/>
    <mergeCell ref="T14:X14"/>
    <mergeCell ref="E15:I15"/>
    <mergeCell ref="J15:N15"/>
    <mergeCell ref="O15:S15"/>
    <mergeCell ref="T15:X15"/>
    <mergeCell ref="Z15:AE15"/>
    <mergeCell ref="AS12:AW12"/>
    <mergeCell ref="A13:D13"/>
    <mergeCell ref="E13:I13"/>
    <mergeCell ref="J13:N13"/>
    <mergeCell ref="O13:S13"/>
    <mergeCell ref="T13:X13"/>
    <mergeCell ref="Z13:AC13"/>
    <mergeCell ref="AD13:AH13"/>
    <mergeCell ref="AI13:AM13"/>
    <mergeCell ref="AN13:AR13"/>
    <mergeCell ref="AS11:AW11"/>
    <mergeCell ref="A12:D12"/>
    <mergeCell ref="E12:I12"/>
    <mergeCell ref="J12:N12"/>
    <mergeCell ref="O12:S12"/>
    <mergeCell ref="T12:X12"/>
    <mergeCell ref="Z12:AC12"/>
    <mergeCell ref="AD12:AH12"/>
    <mergeCell ref="AI12:AM12"/>
    <mergeCell ref="AN12:AR12"/>
    <mergeCell ref="Z10:AW10"/>
    <mergeCell ref="A11:D11"/>
    <mergeCell ref="E11:I11"/>
    <mergeCell ref="J11:N11"/>
    <mergeCell ref="O11:S11"/>
    <mergeCell ref="T11:X11"/>
    <mergeCell ref="Z11:AC11"/>
    <mergeCell ref="AD11:AH11"/>
    <mergeCell ref="AI11:AM11"/>
    <mergeCell ref="AN11:AR11"/>
    <mergeCell ref="A9:D9"/>
    <mergeCell ref="E9:I9"/>
    <mergeCell ref="J9:N9"/>
    <mergeCell ref="O9:S9"/>
    <mergeCell ref="T9:X9"/>
    <mergeCell ref="A10:D10"/>
    <mergeCell ref="E10:I10"/>
    <mergeCell ref="J10:N10"/>
    <mergeCell ref="O10:S10"/>
    <mergeCell ref="T10:X10"/>
    <mergeCell ref="AI7:AM7"/>
    <mergeCell ref="AN7:AR7"/>
    <mergeCell ref="AS7:AW7"/>
    <mergeCell ref="A8:D8"/>
    <mergeCell ref="E8:I8"/>
    <mergeCell ref="J8:N8"/>
    <mergeCell ref="O8:S8"/>
    <mergeCell ref="T8:X8"/>
    <mergeCell ref="AI6:AM6"/>
    <mergeCell ref="AN6:AR6"/>
    <mergeCell ref="AS6:AW6"/>
    <mergeCell ref="A7:D7"/>
    <mergeCell ref="E7:I7"/>
    <mergeCell ref="J7:N7"/>
    <mergeCell ref="O7:S7"/>
    <mergeCell ref="T7:X7"/>
    <mergeCell ref="Z7:AC7"/>
    <mergeCell ref="AD7:AH7"/>
    <mergeCell ref="A5:D5"/>
    <mergeCell ref="Z5:AE5"/>
    <mergeCell ref="A6:D6"/>
    <mergeCell ref="E6:I6"/>
    <mergeCell ref="J6:N6"/>
    <mergeCell ref="O6:S6"/>
    <mergeCell ref="T6:X6"/>
    <mergeCell ref="Z6:AC6"/>
    <mergeCell ref="AD6:AH6"/>
    <mergeCell ref="AD3:AH3"/>
    <mergeCell ref="AI3:AM3"/>
    <mergeCell ref="AN3:AR3"/>
    <mergeCell ref="AS3:AW3"/>
    <mergeCell ref="A4:C4"/>
    <mergeCell ref="D4:H4"/>
    <mergeCell ref="J4:L4"/>
    <mergeCell ref="M4:P4"/>
    <mergeCell ref="R4:T4"/>
    <mergeCell ref="U4:X4"/>
    <mergeCell ref="AI2:AM2"/>
    <mergeCell ref="AN2:AR2"/>
    <mergeCell ref="AS2:AW2"/>
    <mergeCell ref="A3:C3"/>
    <mergeCell ref="D3:H3"/>
    <mergeCell ref="J3:K3"/>
    <mergeCell ref="L3:P3"/>
    <mergeCell ref="R3:T3"/>
    <mergeCell ref="U3:W3"/>
    <mergeCell ref="Z3:AC3"/>
    <mergeCell ref="A1:D1"/>
    <mergeCell ref="R1:X1"/>
    <mergeCell ref="Z1:AE1"/>
    <mergeCell ref="A2:C2"/>
    <mergeCell ref="D2:K2"/>
    <mergeCell ref="L2:M2"/>
    <mergeCell ref="N2:X2"/>
    <mergeCell ref="Z2:AC2"/>
    <mergeCell ref="AD2:AH2"/>
  </mergeCells>
  <phoneticPr fontId="3" type="noConversion"/>
  <conditionalFormatting sqref="D2">
    <cfRule type="containsText" dxfId="1" priority="1" operator="containsText" text="렌터카 취급 불가 모델.">
      <formula>NOT(ISERROR(SEARCH("렌터카 취급 불가 모델.",D2)))</formula>
    </cfRule>
    <cfRule type="containsText" dxfId="0" priority="2" operator="containsText" text="렌터카 모델 여부 확인 바람">
      <formula>NOT(ISERROR(SEARCH("렌터카 모델 여부 확인 바람",D2)))</formula>
    </cfRule>
  </conditionalFormatting>
  <printOptions horizontalCentered="1" verticalCentered="1"/>
  <pageMargins left="0.55118110236220474" right="0.55118110236220474" top="0.15748031496062992" bottom="0.19685039370078741" header="0.31496062992125984" footer="0.31496062992125984"/>
  <pageSetup paperSize="9" orientation="portrait" r:id="rId1"/>
  <headerFooter>
    <oddHeader xml:space="preserve">&amp;C
&amp;G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 보고용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CEO</cp:lastModifiedBy>
  <dcterms:created xsi:type="dcterms:W3CDTF">2026-07-26T08:38:49Z</dcterms:created>
  <dcterms:modified xsi:type="dcterms:W3CDTF">2026-07-26T08:39:39Z</dcterms:modified>
</cp:coreProperties>
</file>