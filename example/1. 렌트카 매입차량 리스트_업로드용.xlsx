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sdibenefit-my.sharepoint.com/personal/rent_sdibenefit_com/Documents/rentbenefit/rentbenefit_program/example/"/>
    </mc:Choice>
  </mc:AlternateContent>
  <xr:revisionPtr revIDLastSave="5197" documentId="13_ncr:1_{A0E47F31-E62B-44D7-837A-78A75ADE21D3}" xr6:coauthVersionLast="47" xr6:coauthVersionMax="47" xr10:uidLastSave="{9F1C09E7-9D90-4F92-9212-E9E469CC5B1C}"/>
  <bookViews>
    <workbookView xWindow="-120" yWindow="-120" windowWidth="29040" windowHeight="15840" xr2:uid="{C73B1A19-6B6D-4758-85E0-89D26AA3A3E4}"/>
  </bookViews>
  <sheets>
    <sheet name="DB_렌트_차량관리" sheetId="35" r:id="rId1"/>
  </sheets>
  <definedNames>
    <definedName name="_xlnm._FilterDatabase" localSheetId="0" hidden="1">DB_렌트_차량관리!$A$3:$DQ$3</definedName>
    <definedName name="법개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CF168" i="35" l="1"/>
  <c r="CG168" i="35" s="1"/>
  <c r="BS168" i="35"/>
  <c r="AW168" i="35"/>
  <c r="AV168" i="35"/>
  <c r="AH168" i="35"/>
  <c r="AI168" i="35" s="1"/>
  <c r="AF168" i="35"/>
  <c r="AD168" i="35"/>
  <c r="V168" i="35" s="1"/>
  <c r="DE167" i="35"/>
  <c r="DC167" i="35"/>
  <c r="CG167" i="35"/>
  <c r="BS167" i="35"/>
  <c r="V167" i="35"/>
  <c r="W167" i="35" s="1"/>
  <c r="CG166" i="35"/>
  <c r="BS166" i="35"/>
  <c r="AI166" i="35"/>
  <c r="AD166" i="35"/>
  <c r="V166" i="35" s="1"/>
  <c r="CG165" i="35"/>
  <c r="BS165" i="35"/>
  <c r="AI165" i="35"/>
  <c r="AD165" i="35"/>
  <c r="V165" i="35" s="1"/>
  <c r="CG164" i="35"/>
  <c r="BS164" i="35"/>
  <c r="AI164" i="35"/>
  <c r="AD164" i="35"/>
  <c r="V164" i="35" s="1"/>
  <c r="DE163" i="35"/>
  <c r="DC163" i="35"/>
  <c r="CF163" i="35"/>
  <c r="CG163" i="35" s="1"/>
  <c r="BS163" i="35"/>
  <c r="AW163" i="35"/>
  <c r="AV163" i="35"/>
  <c r="AH163" i="35"/>
  <c r="AI163" i="35" s="1"/>
  <c r="AD163" i="35"/>
  <c r="V163" i="35" s="1"/>
  <c r="AI162" i="35"/>
  <c r="AI161" i="35"/>
  <c r="CG162" i="35"/>
  <c r="BS162" i="35"/>
  <c r="AD162" i="35"/>
  <c r="V162" i="35" s="1"/>
  <c r="AE168" i="35" l="1"/>
  <c r="W168" i="35"/>
  <c r="AE166" i="35"/>
  <c r="W166" i="35"/>
  <c r="AE165" i="35"/>
  <c r="W165" i="35"/>
  <c r="AE164" i="35"/>
  <c r="W164" i="35"/>
  <c r="AE163" i="35"/>
  <c r="W163" i="35"/>
  <c r="AE162" i="35"/>
  <c r="W162" i="35"/>
  <c r="CG161" i="35"/>
  <c r="AD161" i="35"/>
  <c r="V161" i="35" s="1"/>
  <c r="W161" i="35" s="1"/>
  <c r="BS161" i="35"/>
  <c r="CE1" i="35" l="1"/>
  <c r="CM1" i="35"/>
  <c r="AI160" i="35"/>
  <c r="CG160" i="35" l="1"/>
  <c r="BS160" i="35"/>
  <c r="AD160" i="35"/>
  <c r="V160" i="35" s="1"/>
  <c r="CG150" i="35"/>
  <c r="BS150" i="35"/>
  <c r="AI150" i="35"/>
  <c r="AD150" i="35"/>
  <c r="V150" i="35" s="1"/>
  <c r="W150" i="35" l="1"/>
  <c r="AE150" i="35"/>
  <c r="AE160" i="35"/>
  <c r="W160" i="35"/>
  <c r="DC158" i="35"/>
  <c r="CG158" i="35"/>
  <c r="BS158" i="35"/>
  <c r="AI158" i="35"/>
  <c r="AD158" i="35"/>
  <c r="V158" i="35" s="1"/>
  <c r="DC157" i="35"/>
  <c r="CG157" i="35"/>
  <c r="BS157" i="35"/>
  <c r="AI157" i="35"/>
  <c r="AD157" i="35"/>
  <c r="V157" i="35" s="1"/>
  <c r="DC156" i="35"/>
  <c r="CG156" i="35"/>
  <c r="BS156" i="35"/>
  <c r="AI156" i="35"/>
  <c r="AD156" i="35"/>
  <c r="V156" i="35" s="1"/>
  <c r="DC155" i="35"/>
  <c r="CG155" i="35"/>
  <c r="BS155" i="35"/>
  <c r="AI155" i="35"/>
  <c r="AD155" i="35"/>
  <c r="V155" i="35" s="1"/>
  <c r="DC159" i="35"/>
  <c r="W158" i="35" l="1"/>
  <c r="AE158" i="35"/>
  <c r="AE157" i="35"/>
  <c r="W157" i="35"/>
  <c r="AE156" i="35"/>
  <c r="W156" i="35"/>
  <c r="AE155" i="35"/>
  <c r="W155" i="35"/>
  <c r="CG159" i="35" l="1"/>
  <c r="BS159" i="35"/>
  <c r="AI159" i="35"/>
  <c r="AD159" i="35"/>
  <c r="V159" i="35" s="1"/>
  <c r="J18" i="35"/>
  <c r="AI154" i="35"/>
  <c r="AG154" i="35"/>
  <c r="CG153" i="35"/>
  <c r="BS153" i="35"/>
  <c r="AI153" i="35"/>
  <c r="AD153" i="35"/>
  <c r="V153" i="35" s="1"/>
  <c r="AE159" i="35" l="1"/>
  <c r="W159" i="35"/>
  <c r="AE153" i="35"/>
  <c r="W153" i="35"/>
  <c r="CG152" i="35"/>
  <c r="BS152" i="35"/>
  <c r="AI152" i="35"/>
  <c r="AD152" i="35"/>
  <c r="V152" i="35" s="1"/>
  <c r="AE152" i="35" s="1"/>
  <c r="W152" i="35" l="1"/>
  <c r="AD17" i="35"/>
  <c r="AD16" i="35"/>
  <c r="AD15" i="35"/>
  <c r="AD14" i="35"/>
  <c r="AD13" i="35"/>
  <c r="AD12" i="35"/>
  <c r="AD11" i="35"/>
  <c r="AD10" i="35"/>
  <c r="AD9" i="35"/>
  <c r="AD8" i="35"/>
  <c r="AD7" i="35"/>
  <c r="AD6" i="35"/>
  <c r="AD5" i="35"/>
  <c r="AD4" i="35"/>
  <c r="V19" i="35"/>
  <c r="W19" i="35" s="1"/>
  <c r="V18" i="35"/>
  <c r="W18" i="35" s="1"/>
  <c r="DE80" i="35"/>
  <c r="DC80" i="35"/>
  <c r="CF80" i="35"/>
  <c r="CG80" i="35" s="1"/>
  <c r="BS80" i="35"/>
  <c r="AZ80" i="35"/>
  <c r="AW80" i="35"/>
  <c r="AH80" i="35"/>
  <c r="AI80" i="35" s="1"/>
  <c r="AF80" i="35"/>
  <c r="AD80" i="35"/>
  <c r="BS16" i="35"/>
  <c r="BS15" i="35"/>
  <c r="BS14" i="35"/>
  <c r="BS13" i="35"/>
  <c r="AZ13" i="35"/>
  <c r="BS12" i="35"/>
  <c r="J12" i="35"/>
  <c r="BS11" i="35"/>
  <c r="BS10" i="35"/>
  <c r="BS9" i="35"/>
  <c r="J9" i="35"/>
  <c r="BS8" i="35"/>
  <c r="AZ8" i="35"/>
  <c r="J8" i="35"/>
  <c r="BS7" i="35"/>
  <c r="AZ7" i="35"/>
  <c r="J7" i="35"/>
  <c r="BS6" i="35"/>
  <c r="J6" i="35"/>
  <c r="BS5" i="35"/>
  <c r="J5" i="35"/>
  <c r="BS4" i="35"/>
  <c r="V80" i="35" l="1"/>
  <c r="W80" i="35" l="1"/>
  <c r="AE80" i="35"/>
  <c r="DE151" i="35" l="1"/>
  <c r="DC151" i="35"/>
  <c r="CF151" i="35"/>
  <c r="BS151" i="35"/>
  <c r="AZ151" i="35"/>
  <c r="AW151" i="35"/>
  <c r="AV151" i="35"/>
  <c r="AI151" i="35"/>
  <c r="AD151" i="35"/>
  <c r="CG149" i="35"/>
  <c r="BS149" i="35"/>
  <c r="AI149" i="35"/>
  <c r="AD149" i="35"/>
  <c r="CG148" i="35"/>
  <c r="BS148" i="35"/>
  <c r="AG148" i="35"/>
  <c r="AD148" i="35"/>
  <c r="CG147" i="35"/>
  <c r="BS147" i="35"/>
  <c r="AD147" i="35"/>
  <c r="CG146" i="35"/>
  <c r="BS146" i="35"/>
  <c r="AG146" i="35"/>
  <c r="AD146" i="35"/>
  <c r="CG145" i="35"/>
  <c r="BS145" i="35"/>
  <c r="AG145" i="35"/>
  <c r="AD145" i="35"/>
  <c r="DC144" i="35"/>
  <c r="CF144" i="35"/>
  <c r="BY144" i="35"/>
  <c r="BS144" i="35"/>
  <c r="AW144" i="35"/>
  <c r="AG144" i="35"/>
  <c r="AD144" i="35"/>
  <c r="CG143" i="35"/>
  <c r="BS143" i="35"/>
  <c r="AD143" i="35"/>
  <c r="V143" i="35" s="1"/>
  <c r="AF142" i="35"/>
  <c r="AD142" i="35"/>
  <c r="CG141" i="35"/>
  <c r="BS141" i="35"/>
  <c r="AG141" i="35"/>
  <c r="AD141" i="35"/>
  <c r="BS140" i="35"/>
  <c r="AW140" i="35"/>
  <c r="AI140" i="35"/>
  <c r="U140" i="35"/>
  <c r="DC139" i="35"/>
  <c r="CF139" i="35"/>
  <c r="BS139" i="35"/>
  <c r="AG139" i="35"/>
  <c r="AD139" i="35"/>
  <c r="J139" i="35"/>
  <c r="CF138" i="35"/>
  <c r="BS138" i="35"/>
  <c r="AW138" i="35"/>
  <c r="AV138" i="35"/>
  <c r="AI138" i="35"/>
  <c r="AD138" i="35"/>
  <c r="DE137" i="35"/>
  <c r="DC137" i="35"/>
  <c r="CF137" i="35"/>
  <c r="BS137" i="35"/>
  <c r="BA137" i="35"/>
  <c r="AZ137" i="35"/>
  <c r="AW137" i="35"/>
  <c r="AV137" i="35"/>
  <c r="AH137" i="35"/>
  <c r="AD137" i="35"/>
  <c r="CF136" i="35"/>
  <c r="BS136" i="35"/>
  <c r="AI136" i="35"/>
  <c r="AD136" i="35"/>
  <c r="DC135" i="35"/>
  <c r="CF135" i="35"/>
  <c r="BS135" i="35"/>
  <c r="AZ135" i="35"/>
  <c r="AW135" i="35"/>
  <c r="AH135" i="35"/>
  <c r="AD135" i="35"/>
  <c r="CG134" i="35"/>
  <c r="BS134" i="35"/>
  <c r="AI134" i="35"/>
  <c r="AD134" i="35"/>
  <c r="CG133" i="35"/>
  <c r="BS133" i="35"/>
  <c r="AI133" i="35"/>
  <c r="AD133" i="35"/>
  <c r="CG132" i="35"/>
  <c r="BS132" i="35"/>
  <c r="AI132" i="35"/>
  <c r="AD132" i="35"/>
  <c r="CG131" i="35"/>
  <c r="BS131" i="35"/>
  <c r="AI131" i="35"/>
  <c r="AD131" i="35"/>
  <c r="CG130" i="35"/>
  <c r="BS130" i="35"/>
  <c r="AI130" i="35"/>
  <c r="AD130" i="35"/>
  <c r="CS129" i="35"/>
  <c r="CG129" i="35"/>
  <c r="BS129" i="35"/>
  <c r="AI129" i="35"/>
  <c r="AD129" i="35"/>
  <c r="CS128" i="35"/>
  <c r="CG128" i="35"/>
  <c r="BS128" i="35"/>
  <c r="AI128" i="35"/>
  <c r="AD128" i="35"/>
  <c r="CS127" i="35"/>
  <c r="CG127" i="35"/>
  <c r="BS127" i="35"/>
  <c r="AI127" i="35"/>
  <c r="AD127" i="35"/>
  <c r="CS126" i="35"/>
  <c r="CG126" i="35"/>
  <c r="BS126" i="35"/>
  <c r="AI126" i="35"/>
  <c r="AD126" i="35"/>
  <c r="CG125" i="35"/>
  <c r="BS125" i="35"/>
  <c r="AD125" i="35"/>
  <c r="CG124" i="35"/>
  <c r="BS124" i="35"/>
  <c r="AD124" i="35"/>
  <c r="DC123" i="35"/>
  <c r="CS123" i="35"/>
  <c r="CG123" i="35"/>
  <c r="BS123" i="35"/>
  <c r="AT123" i="35"/>
  <c r="AD123" i="35"/>
  <c r="CG122" i="35"/>
  <c r="BS122" i="35"/>
  <c r="AG122" i="35"/>
  <c r="AD122" i="35"/>
  <c r="CG121" i="35"/>
  <c r="BS121" i="35"/>
  <c r="AI121" i="35"/>
  <c r="AH121" i="35"/>
  <c r="AD121" i="35"/>
  <c r="J121" i="35"/>
  <c r="CG120" i="35"/>
  <c r="BS120" i="35"/>
  <c r="AG120" i="35"/>
  <c r="AD120" i="35"/>
  <c r="CG119" i="35"/>
  <c r="BS119" i="35"/>
  <c r="AH119" i="35"/>
  <c r="AD119" i="35"/>
  <c r="CG118" i="35"/>
  <c r="BS118" i="35"/>
  <c r="AI118" i="35"/>
  <c r="AD118" i="35"/>
  <c r="CS117" i="35"/>
  <c r="CG117" i="35"/>
  <c r="BS117" i="35"/>
  <c r="AR117" i="35"/>
  <c r="AH117" i="35"/>
  <c r="AD117" i="35"/>
  <c r="AB117" i="35"/>
  <c r="CG116" i="35"/>
  <c r="BS116" i="35"/>
  <c r="AI116" i="35"/>
  <c r="AD116" i="35"/>
  <c r="CG115" i="35"/>
  <c r="BS115" i="35"/>
  <c r="AI115" i="35"/>
  <c r="AD115" i="35"/>
  <c r="DC114" i="35"/>
  <c r="CF114" i="35"/>
  <c r="CG114" i="35" s="1"/>
  <c r="BY114" i="35"/>
  <c r="BZ114" i="35" s="1"/>
  <c r="BS114" i="35"/>
  <c r="AW114" i="35"/>
  <c r="AD114" i="35"/>
  <c r="V114" i="35" s="1"/>
  <c r="AE114" i="35" s="1"/>
  <c r="CG113" i="35"/>
  <c r="BS113" i="35"/>
  <c r="AG113" i="35"/>
  <c r="AD113" i="35"/>
  <c r="J113" i="35"/>
  <c r="DE112" i="35"/>
  <c r="DC112" i="35"/>
  <c r="CF112" i="35"/>
  <c r="CG112" i="35" s="1"/>
  <c r="BS112" i="35"/>
  <c r="AZ112" i="35"/>
  <c r="AW112" i="35"/>
  <c r="AH112" i="35"/>
  <c r="AD112" i="35"/>
  <c r="V112" i="35" s="1"/>
  <c r="CG111" i="35"/>
  <c r="BS111" i="35"/>
  <c r="AI111" i="35"/>
  <c r="AD111" i="35"/>
  <c r="CU110" i="35"/>
  <c r="CG110" i="35"/>
  <c r="BS110" i="35"/>
  <c r="AH110" i="35"/>
  <c r="AG110" i="35"/>
  <c r="AD110" i="35"/>
  <c r="J110" i="35"/>
  <c r="CU109" i="35"/>
  <c r="CG109" i="35"/>
  <c r="BS109" i="35"/>
  <c r="AH109" i="35"/>
  <c r="AG109" i="35"/>
  <c r="AD109" i="35"/>
  <c r="J109" i="35"/>
  <c r="CG108" i="35"/>
  <c r="BS108" i="35"/>
  <c r="AG108" i="35"/>
  <c r="AD108" i="35"/>
  <c r="J108" i="35"/>
  <c r="CU107" i="35"/>
  <c r="CG107" i="35"/>
  <c r="BS107" i="35"/>
  <c r="AJ107" i="35"/>
  <c r="AH107" i="35"/>
  <c r="AD107" i="35"/>
  <c r="J107" i="35"/>
  <c r="CU106" i="35"/>
  <c r="CG106" i="35"/>
  <c r="BS106" i="35"/>
  <c r="AI106" i="35"/>
  <c r="AD106" i="35"/>
  <c r="CG105" i="35"/>
  <c r="BS105" i="35"/>
  <c r="AI105" i="35"/>
  <c r="AF105" i="35"/>
  <c r="AD105" i="35"/>
  <c r="CG104" i="35"/>
  <c r="BS104" i="35"/>
  <c r="AG104" i="35"/>
  <c r="AF104" i="35"/>
  <c r="AD104" i="35"/>
  <c r="CG103" i="35"/>
  <c r="BS103" i="35"/>
  <c r="AI103" i="35"/>
  <c r="AF103" i="35"/>
  <c r="AD103" i="35"/>
  <c r="CU102" i="35"/>
  <c r="CG102" i="35"/>
  <c r="BS102" i="35"/>
  <c r="AI102" i="35"/>
  <c r="AF102" i="35"/>
  <c r="AD102" i="35"/>
  <c r="CG101" i="35"/>
  <c r="BS101" i="35"/>
  <c r="AI101" i="35"/>
  <c r="AD101" i="35"/>
  <c r="CG100" i="35"/>
  <c r="BS100" i="35"/>
  <c r="AH100" i="35"/>
  <c r="AG100" i="35"/>
  <c r="AF100" i="35"/>
  <c r="AD100" i="35"/>
  <c r="J100" i="35"/>
  <c r="CG99" i="35"/>
  <c r="BS99" i="35"/>
  <c r="AW99" i="35"/>
  <c r="AI99" i="35"/>
  <c r="AF99" i="35"/>
  <c r="AD99" i="35"/>
  <c r="DE98" i="35"/>
  <c r="DC98" i="35"/>
  <c r="CU98" i="35"/>
  <c r="CG98" i="35"/>
  <c r="BS98" i="35"/>
  <c r="AI98" i="35"/>
  <c r="AF98" i="35"/>
  <c r="AD98" i="35"/>
  <c r="DE97" i="35"/>
  <c r="DC97" i="35"/>
  <c r="CU97" i="35"/>
  <c r="CG97" i="35"/>
  <c r="BS97" i="35"/>
  <c r="AT97" i="35"/>
  <c r="AR97" i="35"/>
  <c r="AI97" i="35"/>
  <c r="AF97" i="35"/>
  <c r="AD97" i="35"/>
  <c r="DE96" i="35"/>
  <c r="DC96" i="35"/>
  <c r="CU96" i="35"/>
  <c r="CG96" i="35"/>
  <c r="BS96" i="35"/>
  <c r="AF96" i="35"/>
  <c r="AD96" i="35"/>
  <c r="S96" i="35"/>
  <c r="CG95" i="35"/>
  <c r="BS95" i="35"/>
  <c r="AF95" i="35"/>
  <c r="AD95" i="35"/>
  <c r="DE94" i="35"/>
  <c r="CF94" i="35"/>
  <c r="BS94" i="35"/>
  <c r="AZ94" i="35"/>
  <c r="AV94" i="35"/>
  <c r="AI94" i="35"/>
  <c r="AF94" i="35"/>
  <c r="AD94" i="35"/>
  <c r="CF93" i="35"/>
  <c r="CG93" i="35" s="1"/>
  <c r="BS93" i="35"/>
  <c r="AW93" i="35"/>
  <c r="AI93" i="35"/>
  <c r="AD93" i="35"/>
  <c r="V93" i="35" s="1"/>
  <c r="CF92" i="35"/>
  <c r="BS92" i="35"/>
  <c r="AW92" i="35"/>
  <c r="AV92" i="35"/>
  <c r="AF92" i="35"/>
  <c r="AD92" i="35"/>
  <c r="CF91" i="35"/>
  <c r="BS91" i="35"/>
  <c r="AW91" i="35"/>
  <c r="AV91" i="35"/>
  <c r="AH91" i="35"/>
  <c r="AF91" i="35"/>
  <c r="AD91" i="35"/>
  <c r="CF90" i="35"/>
  <c r="CG90" i="35" s="1"/>
  <c r="BS90" i="35"/>
  <c r="AW90" i="35"/>
  <c r="AV90" i="35"/>
  <c r="AI90" i="35"/>
  <c r="AD90" i="35"/>
  <c r="V90" i="35" s="1"/>
  <c r="DE89" i="35"/>
  <c r="DC89" i="35"/>
  <c r="CF89" i="35"/>
  <c r="BS89" i="35"/>
  <c r="AV89" i="35"/>
  <c r="AH89" i="35"/>
  <c r="AF89" i="35"/>
  <c r="AD89" i="35"/>
  <c r="DE88" i="35"/>
  <c r="DC88" i="35"/>
  <c r="CF88" i="35"/>
  <c r="BS88" i="35"/>
  <c r="AV88" i="35"/>
  <c r="AH88" i="35"/>
  <c r="AF88" i="35"/>
  <c r="AD88" i="35"/>
  <c r="DE87" i="35"/>
  <c r="DC87" i="35"/>
  <c r="CF87" i="35"/>
  <c r="BS87" i="35"/>
  <c r="AW87" i="35"/>
  <c r="AV87" i="35"/>
  <c r="AH87" i="35"/>
  <c r="AF87" i="35"/>
  <c r="AD87" i="35"/>
  <c r="DE86" i="35"/>
  <c r="DC86" i="35"/>
  <c r="CF86" i="35"/>
  <c r="BS86" i="35"/>
  <c r="AV86" i="35"/>
  <c r="AI86" i="35"/>
  <c r="AF86" i="35"/>
  <c r="AD86" i="35"/>
  <c r="DE85" i="35"/>
  <c r="DC85" i="35"/>
  <c r="CF85" i="35"/>
  <c r="BS85" i="35"/>
  <c r="AV85" i="35"/>
  <c r="AI85" i="35"/>
  <c r="AF85" i="35"/>
  <c r="AD85" i="35"/>
  <c r="DE84" i="35"/>
  <c r="DC84" i="35"/>
  <c r="CF84" i="35"/>
  <c r="BS84" i="35"/>
  <c r="AV84" i="35"/>
  <c r="AI84" i="35"/>
  <c r="AF84" i="35"/>
  <c r="AD84" i="35"/>
  <c r="DE83" i="35"/>
  <c r="DC83" i="35"/>
  <c r="CF83" i="35"/>
  <c r="BS83" i="35"/>
  <c r="AV83" i="35"/>
  <c r="AI83" i="35"/>
  <c r="AF83" i="35"/>
  <c r="AD83" i="35"/>
  <c r="DE82" i="35"/>
  <c r="DC82" i="35"/>
  <c r="CF82" i="35"/>
  <c r="BS82" i="35"/>
  <c r="AV82" i="35"/>
  <c r="AI82" i="35"/>
  <c r="AF82" i="35"/>
  <c r="AD82" i="35"/>
  <c r="CF81" i="35"/>
  <c r="BS81" i="35"/>
  <c r="AZ81" i="35"/>
  <c r="AW81" i="35"/>
  <c r="AH81" i="35"/>
  <c r="AF81" i="35"/>
  <c r="AD81" i="35"/>
  <c r="DE79" i="35"/>
  <c r="DC79" i="35"/>
  <c r="CF79" i="35"/>
  <c r="CG79" i="35" s="1"/>
  <c r="BS79" i="35"/>
  <c r="AZ79" i="35"/>
  <c r="AW79" i="35"/>
  <c r="AH79" i="35"/>
  <c r="AI79" i="35" s="1"/>
  <c r="AF79" i="35"/>
  <c r="AD79" i="35"/>
  <c r="V79" i="35" s="1"/>
  <c r="AE79" i="35" s="1"/>
  <c r="DE78" i="35"/>
  <c r="DC78" i="35"/>
  <c r="CF78" i="35"/>
  <c r="BS78" i="35"/>
  <c r="AZ78" i="35"/>
  <c r="AW78" i="35"/>
  <c r="AV78" i="35"/>
  <c r="AH78" i="35"/>
  <c r="AF78" i="35"/>
  <c r="AD78" i="35"/>
  <c r="DE77" i="35"/>
  <c r="DC77" i="35"/>
  <c r="CF77" i="35"/>
  <c r="BS77" i="35"/>
  <c r="AZ77" i="35"/>
  <c r="AV77" i="35"/>
  <c r="AI77" i="35"/>
  <c r="AF77" i="35"/>
  <c r="AD77" i="35"/>
  <c r="DE76" i="35"/>
  <c r="DC76" i="35"/>
  <c r="CF76" i="35"/>
  <c r="BS76" i="35"/>
  <c r="AZ76" i="35"/>
  <c r="AV76" i="35"/>
  <c r="AI76" i="35"/>
  <c r="AF76" i="35"/>
  <c r="AD76" i="35"/>
  <c r="DE75" i="35"/>
  <c r="DC75" i="35"/>
  <c r="CF75" i="35"/>
  <c r="BY75" i="35"/>
  <c r="BS75" i="35"/>
  <c r="BA75" i="35"/>
  <c r="AW75" i="35"/>
  <c r="AF75" i="35"/>
  <c r="AD75" i="35"/>
  <c r="DE74" i="35"/>
  <c r="DC74" i="35"/>
  <c r="CF74" i="35"/>
  <c r="BY74" i="35"/>
  <c r="BS74" i="35"/>
  <c r="BA74" i="35"/>
  <c r="AW74" i="35"/>
  <c r="AF74" i="35"/>
  <c r="AD74" i="35"/>
  <c r="DE73" i="35"/>
  <c r="DC73" i="35"/>
  <c r="CF73" i="35"/>
  <c r="BY73" i="35"/>
  <c r="BS73" i="35"/>
  <c r="BA73" i="35"/>
  <c r="AW73" i="35"/>
  <c r="AF73" i="35"/>
  <c r="AD73" i="35"/>
  <c r="DE72" i="35"/>
  <c r="DC72" i="35"/>
  <c r="CF72" i="35"/>
  <c r="BS72" i="35"/>
  <c r="AZ72" i="35"/>
  <c r="AW72" i="35"/>
  <c r="AV72" i="35"/>
  <c r="AI72" i="35"/>
  <c r="AF72" i="35"/>
  <c r="AD72" i="35"/>
  <c r="DE71" i="35"/>
  <c r="DC71" i="35"/>
  <c r="CF71" i="35"/>
  <c r="CG71" i="35" s="1"/>
  <c r="BS71" i="35"/>
  <c r="AZ71" i="35"/>
  <c r="AW71" i="35"/>
  <c r="AV71" i="35"/>
  <c r="AI71" i="35"/>
  <c r="AF71" i="35"/>
  <c r="AD71" i="35"/>
  <c r="V71" i="35" s="1"/>
  <c r="DE70" i="35"/>
  <c r="DC70" i="35"/>
  <c r="CF70" i="35"/>
  <c r="BS70" i="35"/>
  <c r="AZ70" i="35"/>
  <c r="AW70" i="35"/>
  <c r="AV70" i="35"/>
  <c r="AI70" i="35"/>
  <c r="AF70" i="35"/>
  <c r="AD70" i="35"/>
  <c r="DE69" i="35"/>
  <c r="DC69" i="35"/>
  <c r="CF69" i="35"/>
  <c r="BS69" i="35"/>
  <c r="BA69" i="35"/>
  <c r="AZ69" i="35"/>
  <c r="AW69" i="35"/>
  <c r="AV69" i="35"/>
  <c r="AH69" i="35"/>
  <c r="AF69" i="35"/>
  <c r="AD69" i="35"/>
  <c r="DE68" i="35"/>
  <c r="DC68" i="35"/>
  <c r="CF68" i="35"/>
  <c r="BY68" i="35"/>
  <c r="BS68" i="35"/>
  <c r="BA68" i="35"/>
  <c r="AW68" i="35"/>
  <c r="AF68" i="35"/>
  <c r="AD68" i="35"/>
  <c r="DE67" i="35"/>
  <c r="DC67" i="35"/>
  <c r="CF67" i="35"/>
  <c r="BY67" i="35"/>
  <c r="BS67" i="35"/>
  <c r="BA67" i="35"/>
  <c r="AW67" i="35"/>
  <c r="AF67" i="35"/>
  <c r="AD67" i="35"/>
  <c r="DE66" i="35"/>
  <c r="DC66" i="35"/>
  <c r="CF66" i="35"/>
  <c r="CG66" i="35" s="1"/>
  <c r="BS66" i="35"/>
  <c r="BA66" i="35"/>
  <c r="AZ66" i="35"/>
  <c r="AW66" i="35"/>
  <c r="AV66" i="35"/>
  <c r="AH66" i="35"/>
  <c r="AD66" i="35"/>
  <c r="V66" i="35" s="1"/>
  <c r="DE65" i="35"/>
  <c r="DC65" i="35"/>
  <c r="CF65" i="35"/>
  <c r="BY65" i="35"/>
  <c r="BS65" i="35"/>
  <c r="BA65" i="35"/>
  <c r="AW65" i="35"/>
  <c r="AF65" i="35"/>
  <c r="AD65" i="35"/>
  <c r="DE64" i="35"/>
  <c r="DC64" i="35"/>
  <c r="CF64" i="35"/>
  <c r="BY64" i="35"/>
  <c r="BS64" i="35"/>
  <c r="BA64" i="35"/>
  <c r="AW64" i="35"/>
  <c r="AF64" i="35"/>
  <c r="AD64" i="35"/>
  <c r="DE63" i="35"/>
  <c r="DC63" i="35"/>
  <c r="CF63" i="35"/>
  <c r="BY63" i="35"/>
  <c r="BS63" i="35"/>
  <c r="BA63" i="35"/>
  <c r="AW63" i="35"/>
  <c r="AF63" i="35"/>
  <c r="AD63" i="35"/>
  <c r="DE62" i="35"/>
  <c r="DC62" i="35"/>
  <c r="CF62" i="35"/>
  <c r="BY62" i="35"/>
  <c r="BS62" i="35"/>
  <c r="BA62" i="35"/>
  <c r="AW62" i="35"/>
  <c r="AF62" i="35"/>
  <c r="AD62" i="35"/>
  <c r="DC61" i="35"/>
  <c r="CF61" i="35"/>
  <c r="BY61" i="35"/>
  <c r="BS61" i="35"/>
  <c r="AW61" i="35"/>
  <c r="AF61" i="35"/>
  <c r="AD61" i="35"/>
  <c r="DC60" i="35"/>
  <c r="CF60" i="35"/>
  <c r="BY60" i="35"/>
  <c r="BS60" i="35"/>
  <c r="BA60" i="35"/>
  <c r="AW60" i="35"/>
  <c r="AF60" i="35"/>
  <c r="AD60" i="35"/>
  <c r="DC59" i="35"/>
  <c r="CF59" i="35"/>
  <c r="BY59" i="35"/>
  <c r="BS59" i="35"/>
  <c r="AW59" i="35"/>
  <c r="AF59" i="35"/>
  <c r="AD59" i="35"/>
  <c r="DC58" i="35"/>
  <c r="CF58" i="35"/>
  <c r="CG58" i="35" s="1"/>
  <c r="BY58" i="35"/>
  <c r="BZ58" i="35" s="1"/>
  <c r="BS58" i="35"/>
  <c r="AW58" i="35"/>
  <c r="AF58" i="35"/>
  <c r="AD58" i="35"/>
  <c r="V58" i="35" s="1"/>
  <c r="DC57" i="35"/>
  <c r="CF57" i="35"/>
  <c r="BY57" i="35"/>
  <c r="BS57" i="35"/>
  <c r="AW57" i="35"/>
  <c r="AF57" i="35"/>
  <c r="AD57" i="35"/>
  <c r="DC56" i="35"/>
  <c r="CF56" i="35"/>
  <c r="BY56" i="35"/>
  <c r="BS56" i="35"/>
  <c r="AW56" i="35"/>
  <c r="AF56" i="35"/>
  <c r="AD56" i="35"/>
  <c r="DC55" i="35"/>
  <c r="CF55" i="35"/>
  <c r="BS55" i="35"/>
  <c r="AZ55" i="35"/>
  <c r="AW55" i="35"/>
  <c r="AF55" i="35"/>
  <c r="AD55" i="35"/>
  <c r="DC54" i="35"/>
  <c r="CF54" i="35"/>
  <c r="BY54" i="35"/>
  <c r="BS54" i="35"/>
  <c r="AW54" i="35"/>
  <c r="AF54" i="35"/>
  <c r="AD54" i="35"/>
  <c r="DE53" i="35"/>
  <c r="DC53" i="35"/>
  <c r="CF53" i="35"/>
  <c r="BS53" i="35"/>
  <c r="AZ53" i="35"/>
  <c r="AW53" i="35"/>
  <c r="AF53" i="35"/>
  <c r="AD53" i="35"/>
  <c r="DE52" i="35"/>
  <c r="DC52" i="35"/>
  <c r="CF52" i="35"/>
  <c r="BY52" i="35"/>
  <c r="BS52" i="35"/>
  <c r="AW52" i="35"/>
  <c r="AF52" i="35"/>
  <c r="AD52" i="35"/>
  <c r="DE51" i="35"/>
  <c r="DC51" i="35"/>
  <c r="CF51" i="35"/>
  <c r="BS51" i="35"/>
  <c r="AW51" i="35"/>
  <c r="AF51" i="35"/>
  <c r="AD51" i="35"/>
  <c r="DE50" i="35"/>
  <c r="DC50" i="35"/>
  <c r="CF50" i="35"/>
  <c r="BY50" i="35"/>
  <c r="BS50" i="35"/>
  <c r="AW50" i="35"/>
  <c r="AF50" i="35"/>
  <c r="AD50" i="35"/>
  <c r="DE49" i="35"/>
  <c r="DC49" i="35"/>
  <c r="CF49" i="35"/>
  <c r="BY49" i="35"/>
  <c r="BS49" i="35"/>
  <c r="AW49" i="35"/>
  <c r="AF49" i="35"/>
  <c r="AD49" i="35"/>
  <c r="DE48" i="35"/>
  <c r="DC48" i="35"/>
  <c r="CF48" i="35"/>
  <c r="BY48" i="35"/>
  <c r="BS48" i="35"/>
  <c r="AW48" i="35"/>
  <c r="AF48" i="35"/>
  <c r="AD48" i="35"/>
  <c r="DE47" i="35"/>
  <c r="DC47" i="35"/>
  <c r="CF47" i="35"/>
  <c r="BY47" i="35"/>
  <c r="BS47" i="35"/>
  <c r="AW47" i="35"/>
  <c r="AF47" i="35"/>
  <c r="AD47" i="35"/>
  <c r="DE46" i="35"/>
  <c r="DC46" i="35"/>
  <c r="CF46" i="35"/>
  <c r="BY46" i="35"/>
  <c r="BS46" i="35"/>
  <c r="AW46" i="35"/>
  <c r="AF46" i="35"/>
  <c r="AD46" i="35"/>
  <c r="DE45" i="35"/>
  <c r="DC45" i="35"/>
  <c r="CF45" i="35"/>
  <c r="BY45" i="35"/>
  <c r="BS45" i="35"/>
  <c r="AW45" i="35"/>
  <c r="AF45" i="35"/>
  <c r="AD45" i="35"/>
  <c r="DE44" i="35"/>
  <c r="DC44" i="35"/>
  <c r="CF44" i="35"/>
  <c r="BY44" i="35"/>
  <c r="BS44" i="35"/>
  <c r="AW44" i="35"/>
  <c r="AF44" i="35"/>
  <c r="AD44" i="35"/>
  <c r="DE43" i="35"/>
  <c r="DC43" i="35"/>
  <c r="CF43" i="35"/>
  <c r="BY43" i="35"/>
  <c r="BS43" i="35"/>
  <c r="AW43" i="35"/>
  <c r="AF43" i="35"/>
  <c r="AD43" i="35"/>
  <c r="DE42" i="35"/>
  <c r="DC42" i="35"/>
  <c r="CF42" i="35"/>
  <c r="BY42" i="35"/>
  <c r="BS42" i="35"/>
  <c r="AW42" i="35"/>
  <c r="AF42" i="35"/>
  <c r="AD42" i="35"/>
  <c r="DE41" i="35"/>
  <c r="DC41" i="35"/>
  <c r="CF41" i="35"/>
  <c r="CG41" i="35" s="1"/>
  <c r="BS41" i="35"/>
  <c r="AZ41" i="35"/>
  <c r="AW41" i="35"/>
  <c r="AH41" i="35"/>
  <c r="AF41" i="35"/>
  <c r="AD41" i="35"/>
  <c r="V41" i="35" s="1"/>
  <c r="DE40" i="35"/>
  <c r="DC40" i="35"/>
  <c r="CF40" i="35"/>
  <c r="BY40" i="35"/>
  <c r="BS40" i="35"/>
  <c r="AW40" i="35"/>
  <c r="AF40" i="35"/>
  <c r="AD40" i="35"/>
  <c r="DE39" i="35"/>
  <c r="DC39" i="35"/>
  <c r="CF39" i="35"/>
  <c r="BY39" i="35"/>
  <c r="BS39" i="35"/>
  <c r="AW39" i="35"/>
  <c r="AF39" i="35"/>
  <c r="AD39" i="35"/>
  <c r="DE38" i="35"/>
  <c r="DC38" i="35"/>
  <c r="CF38" i="35"/>
  <c r="BY38" i="35"/>
  <c r="BS38" i="35"/>
  <c r="AW38" i="35"/>
  <c r="AF38" i="35"/>
  <c r="AD38" i="35"/>
  <c r="DE37" i="35"/>
  <c r="DC37" i="35"/>
  <c r="CF37" i="35"/>
  <c r="BY37" i="35"/>
  <c r="BS37" i="35"/>
  <c r="AW37" i="35"/>
  <c r="AF37" i="35"/>
  <c r="AD37" i="35"/>
  <c r="DE36" i="35"/>
  <c r="DC36" i="35"/>
  <c r="CF36" i="35"/>
  <c r="BY36" i="35"/>
  <c r="BS36" i="35"/>
  <c r="AW36" i="35"/>
  <c r="AF36" i="35"/>
  <c r="AD36" i="35"/>
  <c r="DE35" i="35"/>
  <c r="DC35" i="35"/>
  <c r="CF35" i="35"/>
  <c r="BY35" i="35"/>
  <c r="BS35" i="35"/>
  <c r="AW35" i="35"/>
  <c r="AF35" i="35"/>
  <c r="AD35" i="35"/>
  <c r="DE34" i="35"/>
  <c r="DC34" i="35"/>
  <c r="CF34" i="35"/>
  <c r="BY34" i="35"/>
  <c r="BS34" i="35"/>
  <c r="AW34" i="35"/>
  <c r="AF34" i="35"/>
  <c r="AD34" i="35"/>
  <c r="DE33" i="35"/>
  <c r="DC33" i="35"/>
  <c r="CF33" i="35"/>
  <c r="BY33" i="35"/>
  <c r="BS33" i="35"/>
  <c r="AW33" i="35"/>
  <c r="AF33" i="35"/>
  <c r="AD33" i="35"/>
  <c r="DE32" i="35"/>
  <c r="DC32" i="35"/>
  <c r="CF32" i="35"/>
  <c r="BY32" i="35"/>
  <c r="BS32" i="35"/>
  <c r="AW32" i="35"/>
  <c r="AF32" i="35"/>
  <c r="AD32" i="35"/>
  <c r="DE31" i="35"/>
  <c r="DC31" i="35"/>
  <c r="CF31" i="35"/>
  <c r="BY31" i="35"/>
  <c r="BS31" i="35"/>
  <c r="AW31" i="35"/>
  <c r="AF31" i="35"/>
  <c r="AD31" i="35"/>
  <c r="DE30" i="35"/>
  <c r="DC30" i="35"/>
  <c r="CF30" i="35"/>
  <c r="BY30" i="35"/>
  <c r="BS30" i="35"/>
  <c r="AW30" i="35"/>
  <c r="AF30" i="35"/>
  <c r="AD30" i="35"/>
  <c r="DE29" i="35"/>
  <c r="DC29" i="35"/>
  <c r="CF29" i="35"/>
  <c r="BY29" i="35"/>
  <c r="BS29" i="35"/>
  <c r="AW29" i="35"/>
  <c r="AF29" i="35"/>
  <c r="AD29" i="35"/>
  <c r="DE28" i="35"/>
  <c r="DC28" i="35"/>
  <c r="CF28" i="35"/>
  <c r="BY28" i="35"/>
  <c r="BS28" i="35"/>
  <c r="AW28" i="35"/>
  <c r="AF28" i="35"/>
  <c r="AD28" i="35"/>
  <c r="DE27" i="35"/>
  <c r="DC27" i="35"/>
  <c r="CF27" i="35"/>
  <c r="BY27" i="35"/>
  <c r="BS27" i="35"/>
  <c r="AW27" i="35"/>
  <c r="AF27" i="35"/>
  <c r="AD27" i="35"/>
  <c r="DE26" i="35"/>
  <c r="DC26" i="35"/>
  <c r="CF26" i="35"/>
  <c r="BY26" i="35"/>
  <c r="BS26" i="35"/>
  <c r="AW26" i="35"/>
  <c r="AF26" i="35"/>
  <c r="AD26" i="35"/>
  <c r="DE25" i="35"/>
  <c r="DC25" i="35"/>
  <c r="CF25" i="35"/>
  <c r="BY25" i="35"/>
  <c r="BS25" i="35"/>
  <c r="AW25" i="35"/>
  <c r="AF25" i="35"/>
  <c r="AD25" i="35"/>
  <c r="DE24" i="35"/>
  <c r="DC24" i="35"/>
  <c r="CF24" i="35"/>
  <c r="BY24" i="35"/>
  <c r="BS24" i="35"/>
  <c r="AW24" i="35"/>
  <c r="AF24" i="35"/>
  <c r="AD24" i="35"/>
  <c r="DE23" i="35"/>
  <c r="DC23" i="35"/>
  <c r="CF23" i="35"/>
  <c r="BY23" i="35"/>
  <c r="BS23" i="35"/>
  <c r="AW23" i="35"/>
  <c r="AF23" i="35"/>
  <c r="AD23" i="35"/>
  <c r="DE22" i="35"/>
  <c r="DC22" i="35"/>
  <c r="CF22" i="35"/>
  <c r="BY22" i="35"/>
  <c r="BS22" i="35"/>
  <c r="AW22" i="35"/>
  <c r="AF22" i="35"/>
  <c r="AD22" i="35"/>
  <c r="DE21" i="35"/>
  <c r="DC21" i="35"/>
  <c r="CF21" i="35"/>
  <c r="BY21" i="35"/>
  <c r="BS21" i="35"/>
  <c r="AW21" i="35"/>
  <c r="AF21" i="35"/>
  <c r="AD21" i="35"/>
  <c r="DE20" i="35"/>
  <c r="DC20" i="35"/>
  <c r="CF20" i="35"/>
  <c r="BY20" i="35"/>
  <c r="BS20" i="35"/>
  <c r="AW20" i="35"/>
  <c r="AF20" i="35"/>
  <c r="AD20" i="35"/>
  <c r="AI104" i="35" l="1"/>
  <c r="AI117" i="35"/>
  <c r="CF140" i="35"/>
  <c r="AI148" i="35"/>
  <c r="AI146" i="35"/>
  <c r="AI139" i="35"/>
  <c r="AI113" i="35"/>
  <c r="AI141" i="35"/>
  <c r="AI145" i="35"/>
  <c r="AI108" i="35"/>
  <c r="AI144" i="35"/>
  <c r="CG42" i="35"/>
  <c r="CG43" i="35"/>
  <c r="CG44" i="35"/>
  <c r="CG45" i="35"/>
  <c r="CG46" i="35"/>
  <c r="CG47" i="35"/>
  <c r="CG48" i="35"/>
  <c r="CG49" i="35"/>
  <c r="CG50" i="35"/>
  <c r="V56" i="35"/>
  <c r="BZ61" i="35"/>
  <c r="BZ62" i="35"/>
  <c r="CG68" i="35"/>
  <c r="V77" i="35"/>
  <c r="CG78" i="35"/>
  <c r="CG82" i="35"/>
  <c r="CG83" i="35"/>
  <c r="CG84" i="35"/>
  <c r="CG85" i="35"/>
  <c r="CG86" i="35"/>
  <c r="CG91" i="35"/>
  <c r="V97" i="35"/>
  <c r="V106" i="35"/>
  <c r="W106" i="35" s="1"/>
  <c r="AI122" i="35"/>
  <c r="V142" i="35"/>
  <c r="V146" i="35"/>
  <c r="AE146" i="35" s="1"/>
  <c r="V55" i="35"/>
  <c r="BZ59" i="35"/>
  <c r="BZ60" i="35"/>
  <c r="CG61" i="35"/>
  <c r="CG62" i="35"/>
  <c r="BZ63" i="35"/>
  <c r="V67" i="35"/>
  <c r="CG72" i="35"/>
  <c r="BZ73" i="35"/>
  <c r="AL76" i="35"/>
  <c r="V78" i="35"/>
  <c r="CG87" i="35"/>
  <c r="CG88" i="35"/>
  <c r="CG89" i="35"/>
  <c r="V92" i="35"/>
  <c r="V96" i="35"/>
  <c r="V100" i="35"/>
  <c r="AE100" i="35" s="1"/>
  <c r="V103" i="35"/>
  <c r="W103" i="35" s="1"/>
  <c r="V110" i="35"/>
  <c r="V119" i="35"/>
  <c r="V124" i="35"/>
  <c r="V128" i="35"/>
  <c r="W128" i="35" s="1"/>
  <c r="CG136" i="35"/>
  <c r="CG137" i="35"/>
  <c r="CG138" i="35"/>
  <c r="BZ144" i="35"/>
  <c r="V20" i="35"/>
  <c r="V21" i="35"/>
  <c r="V22" i="35"/>
  <c r="V23" i="35"/>
  <c r="V24" i="35"/>
  <c r="V25" i="35"/>
  <c r="V26" i="35"/>
  <c r="V27" i="35"/>
  <c r="V28" i="35"/>
  <c r="V29" i="35"/>
  <c r="V30" i="35"/>
  <c r="V31" i="35"/>
  <c r="V32" i="35"/>
  <c r="V33" i="35"/>
  <c r="V34" i="35"/>
  <c r="V35" i="35"/>
  <c r="V36" i="35"/>
  <c r="V37" i="35"/>
  <c r="V38" i="35"/>
  <c r="V39" i="35"/>
  <c r="V40" i="35"/>
  <c r="V52" i="35"/>
  <c r="V53" i="35"/>
  <c r="V54" i="35"/>
  <c r="CG59" i="35"/>
  <c r="CG60" i="35"/>
  <c r="CG63" i="35"/>
  <c r="BZ64" i="35"/>
  <c r="V68" i="35"/>
  <c r="V72" i="35"/>
  <c r="CG73" i="35"/>
  <c r="BZ74" i="35"/>
  <c r="AL77" i="35"/>
  <c r="CG81" i="35"/>
  <c r="V91" i="35"/>
  <c r="CG94" i="35"/>
  <c r="V98" i="35"/>
  <c r="V99" i="35"/>
  <c r="AE99" i="35" s="1"/>
  <c r="V109" i="35"/>
  <c r="W109" i="35" s="1"/>
  <c r="V116" i="35"/>
  <c r="AI119" i="35"/>
  <c r="V121" i="35"/>
  <c r="AE121" i="35" s="1"/>
  <c r="V137" i="35"/>
  <c r="W137" i="35" s="1"/>
  <c r="CG144" i="35"/>
  <c r="V42" i="35"/>
  <c r="V43" i="35"/>
  <c r="V44" i="35"/>
  <c r="V45" i="35"/>
  <c r="V46" i="35"/>
  <c r="V47" i="35"/>
  <c r="V48" i="35"/>
  <c r="V49" i="35"/>
  <c r="V50" i="35"/>
  <c r="V51" i="35"/>
  <c r="BZ57" i="35"/>
  <c r="V62" i="35"/>
  <c r="CG64" i="35"/>
  <c r="BZ65" i="35"/>
  <c r="V69" i="35"/>
  <c r="CG69" i="35"/>
  <c r="CG74" i="35"/>
  <c r="BZ75" i="35"/>
  <c r="AI78" i="35"/>
  <c r="V82" i="35"/>
  <c r="V83" i="35"/>
  <c r="V84" i="35"/>
  <c r="V85" i="35"/>
  <c r="V86" i="35"/>
  <c r="AE86" i="35" s="1"/>
  <c r="V87" i="35"/>
  <c r="V102" i="35"/>
  <c r="AE102" i="35" s="1"/>
  <c r="V105" i="35"/>
  <c r="V123" i="35"/>
  <c r="AE123" i="35" s="1"/>
  <c r="V130" i="35"/>
  <c r="V132" i="35"/>
  <c r="V134" i="35"/>
  <c r="W134" i="35" s="1"/>
  <c r="V139" i="35"/>
  <c r="AE139" i="35" s="1"/>
  <c r="V149" i="35"/>
  <c r="BZ56" i="35"/>
  <c r="CG57" i="35"/>
  <c r="V60" i="35"/>
  <c r="V61" i="35"/>
  <c r="V63" i="35"/>
  <c r="CG65" i="35"/>
  <c r="V73" i="35"/>
  <c r="CG75" i="35"/>
  <c r="V81" i="35"/>
  <c r="AE81" i="35" s="1"/>
  <c r="V88" i="35"/>
  <c r="W88" i="35" s="1"/>
  <c r="V89" i="35"/>
  <c r="AE89" i="35" s="1"/>
  <c r="AI91" i="35"/>
  <c r="V94" i="35"/>
  <c r="AE94" i="35" s="1"/>
  <c r="V95" i="35"/>
  <c r="V113" i="35"/>
  <c r="AE113" i="35" s="1"/>
  <c r="V125" i="35"/>
  <c r="V127" i="35"/>
  <c r="W127" i="35" s="1"/>
  <c r="CG135" i="35"/>
  <c r="V138" i="35"/>
  <c r="V141" i="35"/>
  <c r="V145" i="35"/>
  <c r="V147" i="35"/>
  <c r="V64" i="35"/>
  <c r="AI69" i="35"/>
  <c r="CG70" i="35"/>
  <c r="V74" i="35"/>
  <c r="CG76" i="35"/>
  <c r="AL82" i="35"/>
  <c r="AL83" i="35"/>
  <c r="AL84" i="35"/>
  <c r="AL85" i="35"/>
  <c r="AL86" i="35"/>
  <c r="AI87" i="35"/>
  <c r="V108" i="35"/>
  <c r="AE108" i="35" s="1"/>
  <c r="V118" i="35"/>
  <c r="W118" i="35" s="1"/>
  <c r="V120" i="35"/>
  <c r="V144" i="35"/>
  <c r="AE144" i="35" s="1"/>
  <c r="CG151" i="35"/>
  <c r="CG56" i="35"/>
  <c r="V59" i="35"/>
  <c r="BZ20" i="35"/>
  <c r="BZ22" i="35"/>
  <c r="BZ25" i="35"/>
  <c r="BZ27" i="35"/>
  <c r="BZ29" i="35"/>
  <c r="BZ31" i="35"/>
  <c r="BZ33" i="35"/>
  <c r="BZ34" i="35"/>
  <c r="BZ36" i="35"/>
  <c r="BZ37" i="35"/>
  <c r="BZ39" i="35"/>
  <c r="BZ40" i="35"/>
  <c r="BZ52" i="35"/>
  <c r="BZ54" i="35"/>
  <c r="CG55" i="35"/>
  <c r="V65" i="35"/>
  <c r="BZ67" i="35"/>
  <c r="V70" i="35"/>
  <c r="V75" i="35"/>
  <c r="CG77" i="35"/>
  <c r="AI81" i="35"/>
  <c r="AI88" i="35"/>
  <c r="AI89" i="35"/>
  <c r="CG92" i="35"/>
  <c r="V104" i="35"/>
  <c r="W104" i="35" s="1"/>
  <c r="V107" i="35"/>
  <c r="W107" i="35" s="1"/>
  <c r="V115" i="35"/>
  <c r="AI120" i="35"/>
  <c r="V129" i="35"/>
  <c r="V136" i="35"/>
  <c r="AE136" i="35" s="1"/>
  <c r="CG139" i="35"/>
  <c r="BZ21" i="35"/>
  <c r="BZ23" i="35"/>
  <c r="BZ24" i="35"/>
  <c r="BZ26" i="35"/>
  <c r="BZ28" i="35"/>
  <c r="BZ30" i="35"/>
  <c r="BZ32" i="35"/>
  <c r="BZ35" i="35"/>
  <c r="BZ38" i="35"/>
  <c r="CG20" i="35"/>
  <c r="CG21" i="35"/>
  <c r="CG22" i="35"/>
  <c r="CG23" i="35"/>
  <c r="CG24" i="35"/>
  <c r="CG25" i="35"/>
  <c r="CG26" i="35"/>
  <c r="CG27" i="35"/>
  <c r="CG28" i="35"/>
  <c r="CG29" i="35"/>
  <c r="CG30" i="35"/>
  <c r="CG31" i="35"/>
  <c r="CG32" i="35"/>
  <c r="CG33" i="35"/>
  <c r="CG34" i="35"/>
  <c r="CG35" i="35"/>
  <c r="CG36" i="35"/>
  <c r="CG37" i="35"/>
  <c r="CG38" i="35"/>
  <c r="CG39" i="35"/>
  <c r="CG40" i="35"/>
  <c r="BZ42" i="35"/>
  <c r="BZ43" i="35"/>
  <c r="BZ44" i="35"/>
  <c r="BZ45" i="35"/>
  <c r="BZ46" i="35"/>
  <c r="BZ47" i="35"/>
  <c r="BZ48" i="35"/>
  <c r="BZ49" i="35"/>
  <c r="BZ50" i="35"/>
  <c r="CG51" i="35"/>
  <c r="CG52" i="35"/>
  <c r="CG53" i="35"/>
  <c r="CG54" i="35"/>
  <c r="V57" i="35"/>
  <c r="CG67" i="35"/>
  <c r="BZ68" i="35"/>
  <c r="V76" i="35"/>
  <c r="V101" i="35"/>
  <c r="V111" i="35"/>
  <c r="W111" i="35" s="1"/>
  <c r="V117" i="35"/>
  <c r="V122" i="35"/>
  <c r="AE122" i="35" s="1"/>
  <c r="V126" i="35"/>
  <c r="V131" i="35"/>
  <c r="V133" i="35"/>
  <c r="V135" i="35"/>
  <c r="V148" i="35"/>
  <c r="W148" i="35" s="1"/>
  <c r="V151" i="35"/>
  <c r="AE151" i="35" s="1"/>
  <c r="AE96" i="35"/>
  <c r="W142" i="35"/>
  <c r="AE59" i="35"/>
  <c r="AE65" i="35"/>
  <c r="W81" i="35"/>
  <c r="AE66" i="35"/>
  <c r="AE149" i="35"/>
  <c r="AE32" i="35"/>
  <c r="AE40" i="35"/>
  <c r="AE41" i="35"/>
  <c r="AE78" i="35"/>
  <c r="AE68" i="35"/>
  <c r="AE92" i="35"/>
  <c r="W66" i="35"/>
  <c r="AE87" i="35"/>
  <c r="W87" i="35"/>
  <c r="W74" i="35"/>
  <c r="AD140" i="35"/>
  <c r="AI109" i="35"/>
  <c r="W32" i="35"/>
  <c r="AI100" i="35"/>
  <c r="AI107" i="35"/>
  <c r="AE109" i="35"/>
  <c r="AE98" i="35"/>
  <c r="W98" i="35"/>
  <c r="W114" i="35"/>
  <c r="W40" i="35"/>
  <c r="AI110" i="35"/>
  <c r="W25" i="35"/>
  <c r="W36" i="35"/>
  <c r="AE51" i="35"/>
  <c r="W55" i="35"/>
  <c r="AE43" i="35"/>
  <c r="AE24" i="35"/>
  <c r="W24" i="35"/>
  <c r="W71" i="35"/>
  <c r="AE71" i="35"/>
  <c r="W46" i="35"/>
  <c r="AE104" i="35"/>
  <c r="AE112" i="35"/>
  <c r="W112" i="35"/>
  <c r="AE125" i="35"/>
  <c r="W125" i="35"/>
  <c r="AE50" i="35"/>
  <c r="W50" i="35"/>
  <c r="AE58" i="35"/>
  <c r="W58" i="35"/>
  <c r="W41" i="35"/>
  <c r="W59" i="35"/>
  <c r="AE67" i="35"/>
  <c r="W67" i="35"/>
  <c r="W68" i="35"/>
  <c r="AE142" i="35"/>
  <c r="W99" i="35"/>
  <c r="AE88" i="35"/>
  <c r="AE127" i="35"/>
  <c r="AE72" i="35"/>
  <c r="AE42" i="35"/>
  <c r="W42" i="35"/>
  <c r="W93" i="35"/>
  <c r="AE93" i="35"/>
  <c r="AE143" i="35"/>
  <c r="W143" i="35"/>
  <c r="AE90" i="35"/>
  <c r="W90" i="35"/>
  <c r="W149" i="35"/>
  <c r="W92" i="35"/>
  <c r="W96" i="35"/>
  <c r="AE105" i="35" l="1"/>
  <c r="W57" i="35"/>
  <c r="W100" i="35"/>
  <c r="W44" i="35"/>
  <c r="W76" i="35"/>
  <c r="AE53" i="35"/>
  <c r="AE49" i="35"/>
  <c r="W56" i="35"/>
  <c r="W146" i="35"/>
  <c r="W52" i="35"/>
  <c r="AE25" i="35"/>
  <c r="AE56" i="35"/>
  <c r="AE52" i="35"/>
  <c r="W33" i="35"/>
  <c r="W102" i="35"/>
  <c r="W72" i="35"/>
  <c r="AE77" i="35"/>
  <c r="W43" i="35"/>
  <c r="W51" i="35"/>
  <c r="AE33" i="35"/>
  <c r="W151" i="35"/>
  <c r="AE75" i="35"/>
  <c r="W89" i="35"/>
  <c r="AE27" i="35"/>
  <c r="W115" i="35"/>
  <c r="W82" i="35"/>
  <c r="W75" i="35"/>
  <c r="CG140" i="35"/>
  <c r="AE115" i="35"/>
  <c r="AE60" i="35"/>
  <c r="W54" i="35"/>
  <c r="AE118" i="35"/>
  <c r="W108" i="35"/>
  <c r="W45" i="35"/>
  <c r="W62" i="35"/>
  <c r="W27" i="35"/>
  <c r="W95" i="35"/>
  <c r="AE85" i="35"/>
  <c r="W69" i="35"/>
  <c r="AE31" i="35"/>
  <c r="W31" i="35"/>
  <c r="AE57" i="35"/>
  <c r="AE73" i="35"/>
  <c r="AE128" i="35"/>
  <c r="W86" i="35"/>
  <c r="W39" i="35"/>
  <c r="W113" i="35"/>
  <c r="W49" i="35"/>
  <c r="W23" i="35"/>
  <c r="AE23" i="35"/>
  <c r="W73" i="35"/>
  <c r="W101" i="35"/>
  <c r="W64" i="35"/>
  <c r="AE101" i="35"/>
  <c r="AE64" i="35"/>
  <c r="W139" i="35"/>
  <c r="AE107" i="35"/>
  <c r="AE39" i="35"/>
  <c r="AE148" i="35"/>
  <c r="W94" i="35"/>
  <c r="W21" i="35"/>
  <c r="AE44" i="35"/>
  <c r="AE129" i="35"/>
  <c r="AE55" i="35"/>
  <c r="AE34" i="35"/>
  <c r="W122" i="35"/>
  <c r="W70" i="35"/>
  <c r="W121" i="35"/>
  <c r="W53" i="35"/>
  <c r="W34" i="35"/>
  <c r="AE70" i="35"/>
  <c r="W65" i="35"/>
  <c r="AE63" i="35"/>
  <c r="AE29" i="35"/>
  <c r="AE84" i="35"/>
  <c r="AE74" i="35"/>
  <c r="W26" i="35"/>
  <c r="AE26" i="35"/>
  <c r="W105" i="35"/>
  <c r="AE76" i="35"/>
  <c r="W91" i="35"/>
  <c r="AE91" i="35"/>
  <c r="W131" i="35"/>
  <c r="AE119" i="35"/>
  <c r="W20" i="35"/>
  <c r="W119" i="35"/>
  <c r="W126" i="35"/>
  <c r="W133" i="35"/>
  <c r="W130" i="35"/>
  <c r="AE131" i="35"/>
  <c r="AE103" i="35"/>
  <c r="W136" i="35"/>
  <c r="AE28" i="35"/>
  <c r="AE35" i="35"/>
  <c r="AE83" i="35"/>
  <c r="AE30" i="35"/>
  <c r="AE20" i="35"/>
  <c r="AE47" i="35"/>
  <c r="W77" i="35"/>
  <c r="AE82" i="35"/>
  <c r="W48" i="35"/>
  <c r="AE134" i="35"/>
  <c r="W144" i="35"/>
  <c r="W123" i="35"/>
  <c r="AE133" i="35"/>
  <c r="AE130" i="35"/>
  <c r="W61" i="35"/>
  <c r="AE97" i="35"/>
  <c r="W135" i="35"/>
  <c r="W28" i="35"/>
  <c r="W35" i="35"/>
  <c r="W30" i="35"/>
  <c r="AE38" i="35"/>
  <c r="AE46" i="35"/>
  <c r="W37" i="35"/>
  <c r="W147" i="35"/>
  <c r="AE21" i="35"/>
  <c r="W63" i="35"/>
  <c r="AE106" i="35"/>
  <c r="AE95" i="35"/>
  <c r="W84" i="35"/>
  <c r="AE36" i="35"/>
  <c r="W116" i="35"/>
  <c r="W120" i="35"/>
  <c r="W78" i="35"/>
  <c r="AE124" i="35"/>
  <c r="AE61" i="35"/>
  <c r="W138" i="35"/>
  <c r="W97" i="35"/>
  <c r="AE37" i="35"/>
  <c r="AE135" i="35"/>
  <c r="W132" i="35"/>
  <c r="W22" i="35"/>
  <c r="AE147" i="35"/>
  <c r="W145" i="35"/>
  <c r="W38" i="35"/>
  <c r="AE126" i="35"/>
  <c r="W141" i="35"/>
  <c r="AE69" i="35"/>
  <c r="AE137" i="35"/>
  <c r="AE48" i="35"/>
  <c r="W83" i="35"/>
  <c r="AE120" i="35"/>
  <c r="W124" i="35"/>
  <c r="AE110" i="35"/>
  <c r="W60" i="35"/>
  <c r="AE138" i="35"/>
  <c r="W85" i="35"/>
  <c r="W29" i="35"/>
  <c r="AE62" i="35"/>
  <c r="AE132" i="35"/>
  <c r="AE22" i="35"/>
  <c r="AE54" i="35"/>
  <c r="AE141" i="35"/>
  <c r="AE145" i="35"/>
  <c r="W47" i="35"/>
  <c r="AE45" i="35"/>
  <c r="W129" i="35"/>
  <c r="AE116" i="35"/>
  <c r="W110" i="35"/>
  <c r="AE111" i="35"/>
  <c r="AE117" i="35"/>
  <c r="W117" i="35"/>
  <c r="AL88" i="35"/>
  <c r="AW84" i="35"/>
  <c r="AW83" i="35"/>
  <c r="AW86" i="35"/>
  <c r="AW82" i="35"/>
  <c r="AW77" i="35"/>
  <c r="V140" i="35"/>
  <c r="AL89" i="35"/>
  <c r="AW85" i="35"/>
  <c r="AW76" i="35"/>
  <c r="AE140" i="35" l="1"/>
  <c r="AW89" i="35"/>
  <c r="W140" i="35"/>
  <c r="AW88" i="35"/>
  <c r="V4" i="35" l="1"/>
  <c r="V6" i="35"/>
  <c r="V14" i="35"/>
  <c r="V7" i="35"/>
  <c r="V8" i="35"/>
  <c r="V16" i="35"/>
  <c r="W16" i="35" s="1"/>
  <c r="V15" i="35"/>
  <c r="V9" i="35"/>
  <c r="V17" i="35"/>
  <c r="V10" i="35"/>
  <c r="V11" i="35"/>
  <c r="V12" i="35"/>
  <c r="V5" i="35"/>
  <c r="V13" i="35"/>
  <c r="W4" i="35" l="1"/>
  <c r="W7" i="35"/>
  <c r="W13" i="35"/>
  <c r="W10" i="35"/>
  <c r="W9" i="35"/>
  <c r="W15" i="35"/>
  <c r="W6" i="35"/>
  <c r="W12" i="35"/>
  <c r="W11" i="35"/>
  <c r="W8" i="35"/>
  <c r="W14" i="35"/>
  <c r="W5" i="35"/>
  <c r="W17" i="35"/>
  <c r="AF133" i="35" l="1"/>
  <c r="AF117" i="35"/>
  <c r="AF109" i="35"/>
  <c r="AF111" i="35"/>
  <c r="AF141" i="35"/>
  <c r="AF136" i="35"/>
  <c r="AF120" i="35"/>
  <c r="AF126" i="35"/>
  <c r="AF124" i="35"/>
  <c r="AF119" i="35"/>
  <c r="AF114" i="35"/>
  <c r="AF122" i="35"/>
  <c r="AF128" i="35"/>
  <c r="AF129" i="35"/>
  <c r="AF146" i="35"/>
  <c r="AF121" i="35"/>
  <c r="AF139" i="35"/>
  <c r="AF107" i="35"/>
  <c r="AF132" i="35"/>
  <c r="AF110" i="35"/>
  <c r="AF147" i="35"/>
  <c r="AF108" i="35"/>
  <c r="AF123" i="35"/>
  <c r="AF127" i="35"/>
  <c r="AF145" i="35"/>
  <c r="AF125" i="35"/>
  <c r="AF148" i="35"/>
  <c r="AF113" i="35"/>
  <c r="AF130" i="35"/>
  <c r="AF116" i="35"/>
  <c r="AF106" i="35"/>
  <c r="AF164" i="35" l="1"/>
  <c r="AF166" i="35"/>
  <c r="AF165" i="35"/>
  <c r="AF163" i="35"/>
  <c r="AF157" i="35"/>
  <c r="AF134" i="35"/>
  <c r="AF162" i="35"/>
  <c r="AF150" i="35"/>
  <c r="AF161" i="35"/>
  <c r="AF143" i="35"/>
  <c r="AF160" i="35"/>
  <c r="AF149" i="35"/>
  <c r="AF155" i="35"/>
  <c r="AF156" i="35"/>
  <c r="AF158" i="35"/>
  <c r="AF151" i="35"/>
  <c r="AF118" i="35"/>
  <c r="AF159" i="35"/>
  <c r="AF153" i="35"/>
  <c r="AF131" i="35"/>
  <c r="AF152" i="35"/>
  <c r="AF140" i="35"/>
  <c r="AF93" i="35"/>
  <c r="AF138" i="35"/>
  <c r="AF90" i="35"/>
  <c r="AF137" i="35"/>
  <c r="AF66" i="35"/>
  <c r="AF135" i="35"/>
  <c r="AF112" i="35"/>
  <c r="AF144" i="35"/>
</calcChain>
</file>

<file path=xl/sharedStrings.xml><?xml version="1.0" encoding="utf-8"?>
<sst xmlns="http://schemas.openxmlformats.org/spreadsheetml/2006/main" count="7406" uniqueCount="1753">
  <si>
    <t>No</t>
    <phoneticPr fontId="2" type="noConversion"/>
  </si>
  <si>
    <t>구분</t>
    <phoneticPr fontId="2" type="noConversion"/>
  </si>
  <si>
    <t>계약사</t>
    <phoneticPr fontId="2" type="noConversion"/>
  </si>
  <si>
    <t>책임담당자</t>
    <phoneticPr fontId="2" type="noConversion"/>
  </si>
  <si>
    <t>연락처</t>
    <phoneticPr fontId="2" type="noConversion"/>
  </si>
  <si>
    <t>차종</t>
    <phoneticPr fontId="2" type="noConversion"/>
  </si>
  <si>
    <t>차량 사양</t>
    <phoneticPr fontId="2" type="noConversion"/>
  </si>
  <si>
    <t>옵션</t>
    <phoneticPr fontId="2" type="noConversion"/>
  </si>
  <si>
    <t>연식</t>
    <phoneticPr fontId="2" type="noConversion"/>
  </si>
  <si>
    <t>색상</t>
    <phoneticPr fontId="2" type="noConversion"/>
  </si>
  <si>
    <t>유종</t>
    <phoneticPr fontId="2" type="noConversion"/>
  </si>
  <si>
    <t>차대 번호</t>
    <phoneticPr fontId="2" type="noConversion"/>
  </si>
  <si>
    <t>차량 번호</t>
    <phoneticPr fontId="2" type="noConversion"/>
  </si>
  <si>
    <t>계약번호</t>
    <phoneticPr fontId="2" type="noConversion"/>
  </si>
  <si>
    <t>CC</t>
    <phoneticPr fontId="2" type="noConversion"/>
  </si>
  <si>
    <t>등록일</t>
    <phoneticPr fontId="2" type="noConversion"/>
  </si>
  <si>
    <t>계약일</t>
    <phoneticPr fontId="2" type="noConversion"/>
  </si>
  <si>
    <t>인도 날짜</t>
    <phoneticPr fontId="2" type="noConversion"/>
  </si>
  <si>
    <t>렌트 기간(Y)</t>
    <phoneticPr fontId="2" type="noConversion"/>
  </si>
  <si>
    <t>렌트 종료</t>
    <phoneticPr fontId="2" type="noConversion"/>
  </si>
  <si>
    <t>남은 기간</t>
    <phoneticPr fontId="2" type="noConversion"/>
  </si>
  <si>
    <t>운행 거리</t>
    <phoneticPr fontId="2" type="noConversion"/>
  </si>
  <si>
    <t>실무담당자</t>
    <phoneticPr fontId="2" type="noConversion"/>
  </si>
  <si>
    <t>지점</t>
    <phoneticPr fontId="2" type="noConversion"/>
  </si>
  <si>
    <t>출고지 주소</t>
    <phoneticPr fontId="2" type="noConversion"/>
  </si>
  <si>
    <t>렌트료 개시일</t>
    <phoneticPr fontId="2" type="noConversion"/>
  </si>
  <si>
    <t>렌트 기간 일수</t>
    <phoneticPr fontId="2" type="noConversion"/>
  </si>
  <si>
    <t>남은 기간 계산</t>
    <phoneticPr fontId="2" type="noConversion"/>
  </si>
  <si>
    <t>기본가격</t>
    <phoneticPr fontId="2" type="noConversion"/>
  </si>
  <si>
    <t>할인금액</t>
    <phoneticPr fontId="2" type="noConversion"/>
  </si>
  <si>
    <t>공급가액</t>
    <phoneticPr fontId="2" type="noConversion"/>
  </si>
  <si>
    <t>탁송료</t>
    <phoneticPr fontId="2" type="noConversion"/>
  </si>
  <si>
    <t>의무보험료</t>
    <phoneticPr fontId="2" type="noConversion"/>
  </si>
  <si>
    <t>취득세</t>
    <phoneticPr fontId="2" type="noConversion"/>
  </si>
  <si>
    <t>공채</t>
    <phoneticPr fontId="2" type="noConversion"/>
  </si>
  <si>
    <t>증지대</t>
    <phoneticPr fontId="2" type="noConversion"/>
  </si>
  <si>
    <t>번호판대</t>
    <phoneticPr fontId="2" type="noConversion"/>
  </si>
  <si>
    <t>등록대행료</t>
    <phoneticPr fontId="2" type="noConversion"/>
  </si>
  <si>
    <t>수수료</t>
    <phoneticPr fontId="2" type="noConversion"/>
  </si>
  <si>
    <t>블랙박스</t>
    <phoneticPr fontId="2" type="noConversion"/>
  </si>
  <si>
    <t>블랙박스 정보</t>
    <phoneticPr fontId="2" type="noConversion"/>
  </si>
  <si>
    <t>선팅</t>
    <phoneticPr fontId="2" type="noConversion"/>
  </si>
  <si>
    <t>선팅정보</t>
    <phoneticPr fontId="2" type="noConversion"/>
  </si>
  <si>
    <t>등록비용</t>
    <phoneticPr fontId="2" type="noConversion"/>
  </si>
  <si>
    <t>등록비용2</t>
    <phoneticPr fontId="2" type="noConversion"/>
  </si>
  <si>
    <t>보험 회사</t>
    <phoneticPr fontId="2" type="noConversion"/>
  </si>
  <si>
    <t>보험가입일</t>
    <phoneticPr fontId="2" type="noConversion"/>
  </si>
  <si>
    <t>운전자 연령</t>
    <phoneticPr fontId="2" type="noConversion"/>
  </si>
  <si>
    <t>대인</t>
    <phoneticPr fontId="2" type="noConversion"/>
  </si>
  <si>
    <t>대물</t>
    <phoneticPr fontId="2" type="noConversion"/>
  </si>
  <si>
    <t>자손</t>
    <phoneticPr fontId="2" type="noConversion"/>
  </si>
  <si>
    <t>무보험차상해</t>
    <phoneticPr fontId="2" type="noConversion"/>
  </si>
  <si>
    <t>고객부담금</t>
    <phoneticPr fontId="2" type="noConversion"/>
  </si>
  <si>
    <t>보험종류</t>
    <phoneticPr fontId="2" type="noConversion"/>
  </si>
  <si>
    <t>긴급출동</t>
    <phoneticPr fontId="2" type="noConversion"/>
  </si>
  <si>
    <t>사고수리</t>
    <phoneticPr fontId="2" type="noConversion"/>
  </si>
  <si>
    <t>일반정비</t>
    <phoneticPr fontId="2" type="noConversion"/>
  </si>
  <si>
    <t>소모품교환</t>
    <phoneticPr fontId="2" type="noConversion"/>
  </si>
  <si>
    <t>타이어 본수</t>
    <phoneticPr fontId="2" type="noConversion"/>
  </si>
  <si>
    <t>타이어</t>
    <phoneticPr fontId="2" type="noConversion"/>
  </si>
  <si>
    <t xml:space="preserve">자동차세 </t>
    <phoneticPr fontId="2" type="noConversion"/>
  </si>
  <si>
    <t>차용처</t>
    <phoneticPr fontId="2" type="noConversion"/>
  </si>
  <si>
    <t>실행일</t>
    <phoneticPr fontId="2" type="noConversion"/>
  </si>
  <si>
    <t>할부이용금액</t>
    <phoneticPr fontId="2" type="noConversion"/>
  </si>
  <si>
    <t>기간</t>
    <phoneticPr fontId="2" type="noConversion"/>
  </si>
  <si>
    <t>월할부금</t>
    <phoneticPr fontId="2" type="noConversion"/>
  </si>
  <si>
    <t>월할부금 계</t>
    <phoneticPr fontId="2" type="noConversion"/>
  </si>
  <si>
    <t>총이자</t>
    <phoneticPr fontId="2" type="noConversion"/>
  </si>
  <si>
    <t>이자</t>
    <phoneticPr fontId="2" type="noConversion"/>
  </si>
  <si>
    <t>월 대여료 결제일</t>
    <phoneticPr fontId="2" type="noConversion"/>
  </si>
  <si>
    <t>계산서발행일</t>
    <phoneticPr fontId="2" type="noConversion"/>
  </si>
  <si>
    <t>월 납입금</t>
    <phoneticPr fontId="2" type="noConversion"/>
  </si>
  <si>
    <t>월 납입금 계</t>
    <phoneticPr fontId="2" type="noConversion"/>
  </si>
  <si>
    <t>보증금</t>
    <phoneticPr fontId="2" type="noConversion"/>
  </si>
  <si>
    <t>선수금</t>
    <phoneticPr fontId="2" type="noConversion"/>
  </si>
  <si>
    <t>인수가</t>
    <phoneticPr fontId="2" type="noConversion"/>
  </si>
  <si>
    <t>범칙금 E-MAIL</t>
    <phoneticPr fontId="2" type="noConversion"/>
  </si>
  <si>
    <t>담당자 휴대전화번호</t>
    <phoneticPr fontId="2" type="noConversion"/>
  </si>
  <si>
    <t>사은품가격</t>
    <phoneticPr fontId="2" type="noConversion"/>
  </si>
  <si>
    <t>딜러사</t>
    <phoneticPr fontId="2" type="noConversion"/>
  </si>
  <si>
    <t>담당영업사원</t>
    <phoneticPr fontId="2" type="noConversion"/>
  </si>
  <si>
    <t>전시장</t>
    <phoneticPr fontId="2" type="noConversion"/>
  </si>
  <si>
    <t>은행</t>
    <phoneticPr fontId="2" type="noConversion"/>
  </si>
  <si>
    <t>계좌</t>
    <phoneticPr fontId="2" type="noConversion"/>
  </si>
  <si>
    <t>사업자/주민번호</t>
    <phoneticPr fontId="2" type="noConversion"/>
  </si>
  <si>
    <t>사업자 주소</t>
    <phoneticPr fontId="2" type="noConversion"/>
  </si>
  <si>
    <t>위약금률</t>
    <phoneticPr fontId="2" type="noConversion"/>
  </si>
  <si>
    <t>MAYBACH S580</t>
    <phoneticPr fontId="2" type="noConversion"/>
  </si>
  <si>
    <t>4Matic L</t>
    <phoneticPr fontId="2" type="noConversion"/>
  </si>
  <si>
    <t>Ob/Bl</t>
  </si>
  <si>
    <t>가솔린</t>
    <phoneticPr fontId="2" type="noConversion"/>
  </si>
  <si>
    <t>5</t>
    <phoneticPr fontId="2" type="noConversion"/>
  </si>
  <si>
    <t>삼성화재</t>
    <phoneticPr fontId="2" type="noConversion"/>
  </si>
  <si>
    <t>만26세</t>
    <phoneticPr fontId="2" type="noConversion"/>
  </si>
  <si>
    <t>무한대</t>
    <phoneticPr fontId="2" type="noConversion"/>
  </si>
  <si>
    <t>5억</t>
    <phoneticPr fontId="2" type="noConversion"/>
  </si>
  <si>
    <t>2억/3천만</t>
    <phoneticPr fontId="2" type="noConversion"/>
  </si>
  <si>
    <t>2억원/1인당</t>
    <phoneticPr fontId="2" type="noConversion"/>
  </si>
  <si>
    <t>-</t>
    <phoneticPr fontId="2" type="noConversion"/>
  </si>
  <si>
    <t>5회/년</t>
    <phoneticPr fontId="2" type="noConversion"/>
  </si>
  <si>
    <t>미가입</t>
    <phoneticPr fontId="2" type="noConversion"/>
  </si>
  <si>
    <t>브랜드보증 외 사용자 부담</t>
    <phoneticPr fontId="2" type="noConversion"/>
  </si>
  <si>
    <t>Pirelli 앞,뒤 255/40 R20</t>
  </si>
  <si>
    <t>거래완료</t>
    <phoneticPr fontId="2" type="noConversion"/>
  </si>
  <si>
    <t>정원철 부장</t>
    <phoneticPr fontId="2" type="noConversion"/>
  </si>
  <si>
    <t>S400d</t>
    <phoneticPr fontId="2" type="noConversion"/>
  </si>
  <si>
    <t>디젤</t>
    <phoneticPr fontId="2" type="noConversion"/>
  </si>
  <si>
    <t>김성진 팀장</t>
    <phoneticPr fontId="2" type="noConversion"/>
  </si>
  <si>
    <t>G63</t>
    <phoneticPr fontId="2" type="noConversion"/>
  </si>
  <si>
    <t>Edition</t>
    <phoneticPr fontId="2" type="noConversion"/>
  </si>
  <si>
    <t>PW/Bl</t>
    <phoneticPr fontId="2" type="noConversion"/>
  </si>
  <si>
    <t>Pirelli 앞,뒤 295/40 R22</t>
    <phoneticPr fontId="2" type="noConversion"/>
  </si>
  <si>
    <t>박봉호 부장</t>
    <phoneticPr fontId="2" type="noConversion"/>
  </si>
  <si>
    <t>렌트베네핏</t>
    <phoneticPr fontId="2" type="noConversion"/>
  </si>
  <si>
    <t>Carnival</t>
    <phoneticPr fontId="2" type="noConversion"/>
  </si>
  <si>
    <t>3.5 가솔린 9인승 시그니처</t>
    <phoneticPr fontId="2" type="noConversion"/>
  </si>
  <si>
    <t>엠피온 S1000</t>
    <phoneticPr fontId="2" type="noConversion"/>
  </si>
  <si>
    <t>2억원</t>
    <phoneticPr fontId="2" type="noConversion"/>
  </si>
  <si>
    <t>1억원/1500만</t>
    <phoneticPr fontId="2" type="noConversion"/>
  </si>
  <si>
    <t>30만원</t>
    <phoneticPr fontId="2" type="noConversion"/>
  </si>
  <si>
    <t>기아</t>
    <phoneticPr fontId="2" type="noConversion"/>
  </si>
  <si>
    <t>정수원 실장</t>
    <phoneticPr fontId="2" type="noConversion"/>
  </si>
  <si>
    <t>G90</t>
    <phoneticPr fontId="2" type="noConversion"/>
  </si>
  <si>
    <t>3.5 AWD</t>
    <phoneticPr fontId="2" type="noConversion"/>
  </si>
  <si>
    <t>비크블랙/옵시디언 블랙 모노톤</t>
    <phoneticPr fontId="2" type="noConversion"/>
  </si>
  <si>
    <t>아이나비 Z7000</t>
    <phoneticPr fontId="2" type="noConversion"/>
  </si>
  <si>
    <t>버텍스(전면 35%, 1열 15%, 2열후면 5%)</t>
    <phoneticPr fontId="2" type="noConversion"/>
  </si>
  <si>
    <t>50만원</t>
    <phoneticPr fontId="2" type="noConversion"/>
  </si>
  <si>
    <t>현대</t>
    <phoneticPr fontId="2" type="noConversion"/>
  </si>
  <si>
    <t>박현식 부장</t>
    <phoneticPr fontId="2" type="noConversion"/>
  </si>
  <si>
    <t>임직원</t>
    <phoneticPr fontId="2" type="noConversion"/>
  </si>
  <si>
    <t>Ray-054</t>
    <phoneticPr fontId="2" type="noConversion"/>
  </si>
  <si>
    <t>Ray Van</t>
    <phoneticPr fontId="2" type="noConversion"/>
  </si>
  <si>
    <t>프레스티지</t>
    <phoneticPr fontId="2" type="noConversion"/>
  </si>
  <si>
    <t>White/Black</t>
  </si>
  <si>
    <t>루마 전면 없음/측후면 15%</t>
    <phoneticPr fontId="2" type="noConversion"/>
  </si>
  <si>
    <t>Ray-055</t>
    <phoneticPr fontId="2" type="noConversion"/>
  </si>
  <si>
    <t>Ray-056</t>
    <phoneticPr fontId="2" type="noConversion"/>
  </si>
  <si>
    <t>GV80</t>
    <phoneticPr fontId="2" type="noConversion"/>
  </si>
  <si>
    <t>스탠다드 A/T</t>
    <phoneticPr fontId="2" type="noConversion"/>
  </si>
  <si>
    <t>현금</t>
    <phoneticPr fontId="2" type="noConversion"/>
  </si>
  <si>
    <t>10</t>
    <phoneticPr fontId="2" type="noConversion"/>
  </si>
  <si>
    <t>Sorento-001</t>
    <phoneticPr fontId="2" type="noConversion"/>
  </si>
  <si>
    <t>S500</t>
    <phoneticPr fontId="2" type="noConversion"/>
  </si>
  <si>
    <t>4M L</t>
    <phoneticPr fontId="2" type="noConversion"/>
  </si>
  <si>
    <t>벤츠블랙박스</t>
    <phoneticPr fontId="2" type="noConversion"/>
  </si>
  <si>
    <t>후푸옵틱 측후면 15% 전면 50%</t>
  </si>
  <si>
    <t>15</t>
    <phoneticPr fontId="2" type="noConversion"/>
  </si>
  <si>
    <t>가입</t>
    <phoneticPr fontId="2" type="noConversion"/>
  </si>
  <si>
    <t>말</t>
    <phoneticPr fontId="2" type="noConversion"/>
  </si>
  <si>
    <t>청담</t>
  </si>
  <si>
    <t>4Matic</t>
    <phoneticPr fontId="2" type="noConversion"/>
  </si>
  <si>
    <t>Ob/Bl</t>
    <phoneticPr fontId="2" type="noConversion"/>
  </si>
  <si>
    <t>3</t>
    <phoneticPr fontId="2" type="noConversion"/>
  </si>
  <si>
    <t>25</t>
    <phoneticPr fontId="2" type="noConversion"/>
  </si>
  <si>
    <t>정선보 팀장</t>
    <phoneticPr fontId="2" type="noConversion"/>
  </si>
  <si>
    <t>차량가</t>
    <phoneticPr fontId="2" type="noConversion"/>
  </si>
  <si>
    <t>보험료</t>
    <phoneticPr fontId="2" type="noConversion"/>
  </si>
  <si>
    <t>자차 보험비</t>
    <phoneticPr fontId="2" type="noConversion"/>
  </si>
  <si>
    <t>정기점검</t>
    <phoneticPr fontId="2" type="noConversion"/>
  </si>
  <si>
    <t>타이어비용</t>
    <phoneticPr fontId="2" type="noConversion"/>
  </si>
  <si>
    <t>P</t>
    <phoneticPr fontId="2" type="noConversion"/>
  </si>
  <si>
    <t>판관비</t>
    <phoneticPr fontId="2" type="noConversion"/>
  </si>
  <si>
    <t>사은품1</t>
    <phoneticPr fontId="2" type="noConversion"/>
  </si>
  <si>
    <t>사은품1_가격</t>
    <phoneticPr fontId="2" type="noConversion"/>
  </si>
  <si>
    <t>사은품2</t>
    <phoneticPr fontId="2" type="noConversion"/>
  </si>
  <si>
    <t>사은품2_가격</t>
    <phoneticPr fontId="2" type="noConversion"/>
  </si>
  <si>
    <t>사은품3</t>
    <phoneticPr fontId="2" type="noConversion"/>
  </si>
  <si>
    <t>사은품3_가격</t>
    <phoneticPr fontId="2" type="noConversion"/>
  </si>
  <si>
    <t>사은품4</t>
    <phoneticPr fontId="2" type="noConversion"/>
  </si>
  <si>
    <t>사은품4_가격</t>
    <phoneticPr fontId="2" type="noConversion"/>
  </si>
  <si>
    <t>사은품5</t>
    <phoneticPr fontId="2" type="noConversion"/>
  </si>
  <si>
    <t>사은품5_가격</t>
    <phoneticPr fontId="2" type="noConversion"/>
  </si>
  <si>
    <t>예금주명</t>
    <phoneticPr fontId="2" type="noConversion"/>
  </si>
  <si>
    <t>연체이율</t>
    <phoneticPr fontId="2" type="noConversion"/>
  </si>
  <si>
    <t>법인/식별번호</t>
    <phoneticPr fontId="2" type="noConversion"/>
  </si>
  <si>
    <t>G80-003</t>
    <phoneticPr fontId="2" type="noConversion"/>
  </si>
  <si>
    <t>렌트베네핏/사고대차</t>
    <phoneticPr fontId="2" type="noConversion"/>
  </si>
  <si>
    <t>사고대차</t>
    <phoneticPr fontId="2" type="noConversion"/>
  </si>
  <si>
    <t>010-9061-3000</t>
    <phoneticPr fontId="2" type="noConversion"/>
  </si>
  <si>
    <t>G80</t>
    <phoneticPr fontId="2" type="noConversion"/>
  </si>
  <si>
    <t>3.5T AWD</t>
    <phoneticPr fontId="2" type="noConversion"/>
  </si>
  <si>
    <t>비크블랙/브라운</t>
    <phoneticPr fontId="2" type="noConversion"/>
  </si>
  <si>
    <t>KMTGC41DDPU167545</t>
    <phoneticPr fontId="2" type="noConversion"/>
  </si>
  <si>
    <t>125호5289</t>
    <phoneticPr fontId="2" type="noConversion"/>
  </si>
  <si>
    <t>이두식</t>
    <phoneticPr fontId="2" type="noConversion"/>
  </si>
  <si>
    <t>서울오토갤러리</t>
    <phoneticPr fontId="2" type="noConversion"/>
  </si>
  <si>
    <t>빌트인캠</t>
    <phoneticPr fontId="2" type="noConversion"/>
  </si>
  <si>
    <t>버텍스 전면 35%/측후면 15%</t>
    <phoneticPr fontId="2" type="noConversion"/>
  </si>
  <si>
    <t>렌터카 공제</t>
    <phoneticPr fontId="2" type="noConversion"/>
  </si>
  <si>
    <t>누구나</t>
    <phoneticPr fontId="2" type="noConversion"/>
  </si>
  <si>
    <t>Ray-029</t>
    <phoneticPr fontId="2" type="noConversion"/>
  </si>
  <si>
    <t>Ray</t>
    <phoneticPr fontId="2" type="noConversion"/>
  </si>
  <si>
    <t>KNACF911BNT284875</t>
    <phoneticPr fontId="2" type="noConversion"/>
  </si>
  <si>
    <t>101호2192</t>
    <phoneticPr fontId="2" type="noConversion"/>
  </si>
  <si>
    <t>엠피온</t>
    <phoneticPr fontId="2" type="noConversion"/>
  </si>
  <si>
    <t>렌터카 공제</t>
  </si>
  <si>
    <t>3억원</t>
    <phoneticPr fontId="2" type="noConversion"/>
  </si>
  <si>
    <t>HANKOOK 앞/뒤165 60R14 79H</t>
    <phoneticPr fontId="2" type="noConversion"/>
  </si>
  <si>
    <t>K8</t>
    <phoneticPr fontId="2" type="noConversion"/>
  </si>
  <si>
    <t>노블레스 2.5</t>
    <phoneticPr fontId="2" type="noConversion"/>
  </si>
  <si>
    <t>그래비티 블루/브라운</t>
  </si>
  <si>
    <t>NEXEN 225/55R17</t>
    <phoneticPr fontId="2" type="noConversion"/>
  </si>
  <si>
    <t>메리츠캐피탈</t>
    <phoneticPr fontId="2" type="noConversion"/>
  </si>
  <si>
    <t>60</t>
    <phoneticPr fontId="2" type="noConversion"/>
  </si>
  <si>
    <t>전석영 부장</t>
    <phoneticPr fontId="2" type="noConversion"/>
  </si>
  <si>
    <t>Benz-021</t>
    <phoneticPr fontId="2" type="noConversion"/>
  </si>
  <si>
    <t>E450</t>
    <phoneticPr fontId="2" type="noConversion"/>
  </si>
  <si>
    <t>4M EX</t>
    <phoneticPr fontId="2" type="noConversion"/>
  </si>
  <si>
    <t>그라파이트 그레이/브라운</t>
    <phoneticPr fontId="2" type="noConversion"/>
  </si>
  <si>
    <t>W1KZF5KB7PB136714</t>
    <phoneticPr fontId="2" type="noConversion"/>
  </si>
  <si>
    <t>142호2282</t>
    <phoneticPr fontId="2" type="noConversion"/>
  </si>
  <si>
    <t>010-3465-8117</t>
    <phoneticPr fontId="2" type="noConversion"/>
  </si>
  <si>
    <t>Avante</t>
    <phoneticPr fontId="2" type="noConversion"/>
  </si>
  <si>
    <t>모던</t>
  </si>
  <si>
    <t>폴라 화이트/블랙모노톤</t>
    <phoneticPr fontId="2" type="noConversion"/>
  </si>
  <si>
    <t>s1000프로 FHD-FHD 32GB</t>
    <phoneticPr fontId="2" type="noConversion"/>
  </si>
  <si>
    <t>루마 기본 측후 15%</t>
    <phoneticPr fontId="2" type="noConversion"/>
  </si>
  <si>
    <t>코일매트</t>
    <phoneticPr fontId="2" type="noConversion"/>
  </si>
  <si>
    <t>우리은행</t>
    <phoneticPr fontId="2" type="noConversion"/>
  </si>
  <si>
    <t>Benz-005</t>
    <phoneticPr fontId="2" type="noConversion"/>
  </si>
  <si>
    <t>010-2723-6802</t>
    <phoneticPr fontId="2" type="noConversion"/>
  </si>
  <si>
    <t>E350</t>
    <phoneticPr fontId="2" type="noConversion"/>
  </si>
  <si>
    <t>4M</t>
    <phoneticPr fontId="2" type="noConversion"/>
  </si>
  <si>
    <t>PW/Bl</t>
  </si>
  <si>
    <t>W1KZF8GB6MB003853</t>
    <phoneticPr fontId="2" type="noConversion"/>
  </si>
  <si>
    <t>125호2370</t>
    <phoneticPr fontId="2" type="noConversion"/>
  </si>
  <si>
    <t>이지혜 고객님</t>
    <phoneticPr fontId="2" type="noConversion"/>
  </si>
  <si>
    <t>K8-007</t>
    <phoneticPr fontId="2" type="noConversion"/>
  </si>
  <si>
    <t>인터스텔라 그레이/블랙 원톤</t>
    <phoneticPr fontId="2" type="noConversion"/>
  </si>
  <si>
    <t>KNAM241BBRA072481</t>
    <phoneticPr fontId="2" type="noConversion"/>
  </si>
  <si>
    <t>125호8766</t>
    <phoneticPr fontId="2" type="noConversion"/>
  </si>
  <si>
    <t>버텍스 전면 35%/1열 15%, 2열, 후면 5%</t>
    <phoneticPr fontId="2" type="noConversion"/>
  </si>
  <si>
    <t>K8-008</t>
    <phoneticPr fontId="2" type="noConversion"/>
  </si>
  <si>
    <t>KNAM241BBSA081789</t>
    <phoneticPr fontId="2" type="noConversion"/>
  </si>
  <si>
    <t>142호4328</t>
    <phoneticPr fontId="2" type="noConversion"/>
  </si>
  <si>
    <t>드라이브 와이즈(109만), 프리미엄(109만), 헤드업 디스플레이(84만)</t>
    <phoneticPr fontId="2" type="noConversion"/>
  </si>
  <si>
    <t>GV80-003</t>
    <phoneticPr fontId="2" type="noConversion"/>
  </si>
  <si>
    <t>(주)다산제약</t>
    <phoneticPr fontId="2" type="noConversion"/>
  </si>
  <si>
    <t>류형선 회장님</t>
    <phoneticPr fontId="2" type="noConversion"/>
  </si>
  <si>
    <t>010-5245-5206</t>
    <phoneticPr fontId="2" type="noConversion"/>
  </si>
  <si>
    <t>3.5T 22인치 SDS2 AWD 25MY 5인승</t>
    <phoneticPr fontId="2" type="noConversion"/>
  </si>
  <si>
    <t>비크블랙/슬레이트그레이/보르도브라운/올리브애쉬</t>
    <phoneticPr fontId="2" type="noConversion"/>
  </si>
  <si>
    <t>KMTHC81CDSU296247</t>
    <phoneticPr fontId="2" type="noConversion"/>
  </si>
  <si>
    <t>142호4378</t>
    <phoneticPr fontId="2" type="noConversion"/>
  </si>
  <si>
    <t>컨비니언스패키지(255만),파퓰러패키지(5인승AWD)(540만),파노라마썬루프(140만),뱅앤올룹슨사운드패키지(190만),빌트인캠패키지(85만), 2열컴포트패키지(260만)</t>
    <phoneticPr fontId="2" type="noConversion"/>
  </si>
  <si>
    <t>변종규 주임님</t>
    <phoneticPr fontId="2" type="noConversion"/>
  </si>
  <si>
    <t>010-6695-2708</t>
    <phoneticPr fontId="2" type="noConversion"/>
  </si>
  <si>
    <t>만기시 반납</t>
    <phoneticPr fontId="2" type="noConversion"/>
  </si>
  <si>
    <t>jg_byeon@dspharm.com</t>
    <phoneticPr fontId="2" type="noConversion"/>
  </si>
  <si>
    <t>기업은행</t>
    <phoneticPr fontId="2" type="noConversion"/>
  </si>
  <si>
    <t>105-81-84395</t>
    <phoneticPr fontId="2" type="noConversion"/>
  </si>
  <si>
    <t>충청남도 아산시 도고면 덕암산로 342</t>
    <phoneticPr fontId="2" type="noConversion"/>
  </si>
  <si>
    <t>110111-1358682</t>
    <phoneticPr fontId="2" type="noConversion"/>
  </si>
  <si>
    <t>Benz-023</t>
    <phoneticPr fontId="2" type="noConversion"/>
  </si>
  <si>
    <t>대표님 차량</t>
    <phoneticPr fontId="2" type="noConversion"/>
  </si>
  <si>
    <t>4MATIC</t>
    <phoneticPr fontId="2" type="noConversion"/>
  </si>
  <si>
    <t>Diamond white / 804-Nappa leather sienna brown / black</t>
    <phoneticPr fontId="2" type="noConversion"/>
  </si>
  <si>
    <t>W1K6F3DB2NA094248</t>
    <phoneticPr fontId="2" type="noConversion"/>
  </si>
  <si>
    <t>240조7789</t>
    <phoneticPr fontId="2" type="noConversion"/>
  </si>
  <si>
    <t>Ray-001</t>
    <phoneticPr fontId="2" type="noConversion"/>
  </si>
  <si>
    <t>이종희 이사님</t>
    <phoneticPr fontId="2" type="noConversion"/>
  </si>
  <si>
    <t>010-3214-0636</t>
    <phoneticPr fontId="2" type="noConversion"/>
  </si>
  <si>
    <t>KNACF911BNT283289</t>
  </si>
  <si>
    <t>101호2182</t>
    <phoneticPr fontId="2" type="noConversion"/>
  </si>
  <si>
    <t>경광주</t>
  </si>
  <si>
    <t>경기도 광주시 중앙로 144 (경안동, KT광주지점) 3층 신흥정보통신</t>
  </si>
  <si>
    <t>HANKOOK 앞/뒤165 60R14 79H 32만원/18/4</t>
    <phoneticPr fontId="2" type="noConversion"/>
  </si>
  <si>
    <t>jhlee@shtel.co.kr</t>
    <phoneticPr fontId="2" type="noConversion"/>
  </si>
  <si>
    <t>206-85-09469</t>
  </si>
  <si>
    <t>Ray-002</t>
    <phoneticPr fontId="2" type="noConversion"/>
  </si>
  <si>
    <t>KNACF911BNT282816</t>
  </si>
  <si>
    <t>101호2165</t>
    <phoneticPr fontId="2" type="noConversion"/>
  </si>
  <si>
    <t>동두천</t>
  </si>
  <si>
    <t>경기도 동두천시 중앙로 260 (생연동) KT 동두천지점 2층 신흥정보통신</t>
  </si>
  <si>
    <t>Ray-003</t>
    <phoneticPr fontId="2" type="noConversion"/>
  </si>
  <si>
    <t>KNACF911BNT282750</t>
  </si>
  <si>
    <t>101호2175</t>
    <phoneticPr fontId="2" type="noConversion"/>
  </si>
  <si>
    <t>Ray-004</t>
    <phoneticPr fontId="2" type="noConversion"/>
  </si>
  <si>
    <t>KNACF911BNT283278</t>
  </si>
  <si>
    <t>101호2174</t>
    <phoneticPr fontId="2" type="noConversion"/>
  </si>
  <si>
    <t>경기도 동두천시 중앙로 260 (생연동) KT 동두천지점 2층 신흥정보통신</t>
    <phoneticPr fontId="2" type="noConversion"/>
  </si>
  <si>
    <t>Ray-005</t>
    <phoneticPr fontId="2" type="noConversion"/>
  </si>
  <si>
    <t>KNACF911BNT283303</t>
  </si>
  <si>
    <t>101호2164</t>
    <phoneticPr fontId="2" type="noConversion"/>
  </si>
  <si>
    <t>Ray-006</t>
    <phoneticPr fontId="2" type="noConversion"/>
  </si>
  <si>
    <t>KNACF911BNT283296</t>
  </si>
  <si>
    <t>125호8641</t>
    <phoneticPr fontId="2" type="noConversion"/>
  </si>
  <si>
    <t>Ray-007</t>
    <phoneticPr fontId="2" type="noConversion"/>
  </si>
  <si>
    <t>KNACF911BNT283313</t>
  </si>
  <si>
    <t>101호2173</t>
    <phoneticPr fontId="2" type="noConversion"/>
  </si>
  <si>
    <t>Ray-008</t>
    <phoneticPr fontId="2" type="noConversion"/>
  </si>
  <si>
    <t>KNACF911BNT283348</t>
  </si>
  <si>
    <t>101호2163</t>
    <phoneticPr fontId="2" type="noConversion"/>
  </si>
  <si>
    <t>동래</t>
  </si>
  <si>
    <t>부산광역시 동래구 사직북로48번길 127 (온천동, KT미남지점) 2층 신흥정보통신</t>
  </si>
  <si>
    <t>Ray-009</t>
    <phoneticPr fontId="2" type="noConversion"/>
  </si>
  <si>
    <t>KNACF911BNT283350</t>
  </si>
  <si>
    <t>101호2167</t>
    <phoneticPr fontId="2" type="noConversion"/>
  </si>
  <si>
    <t>Ray-010</t>
    <phoneticPr fontId="2" type="noConversion"/>
  </si>
  <si>
    <t>KNACF911BNT283362</t>
  </si>
  <si>
    <t>101호2176</t>
    <phoneticPr fontId="2" type="noConversion"/>
  </si>
  <si>
    <t>Ray-011</t>
    <phoneticPr fontId="2" type="noConversion"/>
  </si>
  <si>
    <t>KNACF911BNT283365</t>
  </si>
  <si>
    <t>101호2177</t>
    <phoneticPr fontId="2" type="noConversion"/>
  </si>
  <si>
    <t>서부산</t>
  </si>
  <si>
    <t>부산광역시 중구 중앙대로 136 (중앙동, KT중부산지사) 3층 신흥정보통신</t>
  </si>
  <si>
    <t>Ray-012</t>
    <phoneticPr fontId="2" type="noConversion"/>
  </si>
  <si>
    <t>KNACF911BNT283427</t>
  </si>
  <si>
    <t>101호2178</t>
    <phoneticPr fontId="2" type="noConversion"/>
  </si>
  <si>
    <t>구봉</t>
  </si>
  <si>
    <t>대전광역시 서구 관저북로 6 (관저동) KT구봉지점 2층 신흥정보통신</t>
  </si>
  <si>
    <t>Ray-013</t>
    <phoneticPr fontId="2" type="noConversion"/>
  </si>
  <si>
    <t>KNACF911BNT283366</t>
  </si>
  <si>
    <t>101호2168</t>
    <phoneticPr fontId="2" type="noConversion"/>
  </si>
  <si>
    <t>Ray-014</t>
    <phoneticPr fontId="2" type="noConversion"/>
  </si>
  <si>
    <t>KNACF911BNT283483</t>
  </si>
  <si>
    <t>101호2169</t>
    <phoneticPr fontId="2" type="noConversion"/>
  </si>
  <si>
    <t>서대전</t>
  </si>
  <si>
    <t>대전광역시 서구 괴정로 72 (괴정동) KT서대전지사 2층 신흥정보통신</t>
  </si>
  <si>
    <t>Ray-015</t>
    <phoneticPr fontId="2" type="noConversion"/>
  </si>
  <si>
    <t>KNACF911BNT283551</t>
  </si>
  <si>
    <t>101호2171</t>
    <phoneticPr fontId="2" type="noConversion"/>
  </si>
  <si>
    <t>Ray-016</t>
    <phoneticPr fontId="2" type="noConversion"/>
  </si>
  <si>
    <t>KNACF911BNT283500</t>
  </si>
  <si>
    <t>101호2172</t>
    <phoneticPr fontId="2" type="noConversion"/>
  </si>
  <si>
    <t>Ray-017</t>
    <phoneticPr fontId="2" type="noConversion"/>
  </si>
  <si>
    <t>KNACF911BNT283506</t>
  </si>
  <si>
    <t>101호2181</t>
    <phoneticPr fontId="2" type="noConversion"/>
  </si>
  <si>
    <t>Ray-018</t>
    <phoneticPr fontId="2" type="noConversion"/>
  </si>
  <si>
    <t>KNACF911BNT283604</t>
  </si>
  <si>
    <t>101호2170</t>
    <phoneticPr fontId="2" type="noConversion"/>
  </si>
  <si>
    <t>괴산</t>
  </si>
  <si>
    <t>충청북도 괴산군 괴산읍 읍내로6길 24 (괴산읍, KT괴산지점) 2층 신흥정보통신</t>
  </si>
  <si>
    <t>Ray-019</t>
    <phoneticPr fontId="2" type="noConversion"/>
  </si>
  <si>
    <t>KNACF911BNT283689</t>
  </si>
  <si>
    <t>101호2179</t>
    <phoneticPr fontId="2" type="noConversion"/>
  </si>
  <si>
    <t>청주</t>
  </si>
  <si>
    <t>충청북도 청주시 서원구 1순환로1063번길 12 (분평동, KT)  KT남청주지점 1층 신흥정보통신</t>
  </si>
  <si>
    <t>Ray-020</t>
    <phoneticPr fontId="2" type="noConversion"/>
  </si>
  <si>
    <t>KNACF911BNT283605</t>
  </si>
  <si>
    <t>101호2180</t>
    <phoneticPr fontId="2" type="noConversion"/>
  </si>
  <si>
    <t>남청주</t>
  </si>
  <si>
    <t>Ray-034</t>
    <phoneticPr fontId="2" type="noConversion"/>
  </si>
  <si>
    <t>㈜한일티엔에스</t>
    <phoneticPr fontId="2" type="noConversion"/>
  </si>
  <si>
    <t>김동은 사장님</t>
    <phoneticPr fontId="2" type="noConversion"/>
  </si>
  <si>
    <t>010-6236-7466</t>
    <phoneticPr fontId="2" type="noConversion"/>
  </si>
  <si>
    <t>KNACF911BNT284065</t>
    <phoneticPr fontId="2" type="noConversion"/>
  </si>
  <si>
    <t>101호2197</t>
    <phoneticPr fontId="2" type="noConversion"/>
  </si>
  <si>
    <t>김광덕 대표님</t>
    <phoneticPr fontId="2" type="noConversion"/>
  </si>
  <si>
    <t>hanilled@hanmail.net</t>
    <phoneticPr fontId="2" type="noConversion"/>
  </si>
  <si>
    <t>tnshanil@hometax.go.kr</t>
    <phoneticPr fontId="2" type="noConversion"/>
  </si>
  <si>
    <t>604-86-02503</t>
    <phoneticPr fontId="2" type="noConversion"/>
  </si>
  <si>
    <t>Benz-003</t>
    <phoneticPr fontId="2" type="noConversion"/>
  </si>
  <si>
    <t>법무법인(유)화우</t>
    <phoneticPr fontId="2" type="noConversion"/>
  </si>
  <si>
    <t xml:space="preserve"> 방기태 변호사님</t>
    <phoneticPr fontId="2" type="noConversion"/>
  </si>
  <si>
    <t>010-8216-3340</t>
    <phoneticPr fontId="2" type="noConversion"/>
  </si>
  <si>
    <t>GLE450</t>
    <phoneticPr fontId="2" type="noConversion"/>
  </si>
  <si>
    <t xml:space="preserve">Obsidian Black/Leather black </t>
    <phoneticPr fontId="2" type="noConversion"/>
  </si>
  <si>
    <t>W1NFB5KB2MA564614</t>
    <phoneticPr fontId="2" type="noConversion"/>
  </si>
  <si>
    <t>125호2333</t>
    <phoneticPr fontId="2" type="noConversion"/>
  </si>
  <si>
    <t>청담전시장</t>
    <phoneticPr fontId="2" type="noConversion"/>
  </si>
  <si>
    <t>Bridge stone 앞,뒤 275 50R / 20</t>
    <phoneticPr fontId="2" type="noConversion"/>
  </si>
  <si>
    <t>36</t>
    <phoneticPr fontId="2" type="noConversion"/>
  </si>
  <si>
    <t>kjk@yoonyang.com</t>
    <phoneticPr fontId="2" type="noConversion"/>
  </si>
  <si>
    <t>sjk@hwawoo.com</t>
    <phoneticPr fontId="2" type="noConversion"/>
  </si>
  <si>
    <t>120-86-47851</t>
    <phoneticPr fontId="2" type="noConversion"/>
  </si>
  <si>
    <t>Ray-021</t>
  </si>
  <si>
    <t>(주)대경인트라넷_1</t>
    <phoneticPr fontId="2" type="noConversion"/>
  </si>
  <si>
    <t>이강열 대표님</t>
    <phoneticPr fontId="2" type="noConversion"/>
  </si>
  <si>
    <t>010-9096-7767</t>
  </si>
  <si>
    <t>KNACF911BNT283749</t>
    <phoneticPr fontId="2" type="noConversion"/>
  </si>
  <si>
    <t>101호2184</t>
    <phoneticPr fontId="2" type="noConversion"/>
  </si>
  <si>
    <t>김미현 팀장님</t>
    <phoneticPr fontId="2" type="noConversion"/>
  </si>
  <si>
    <t>경기도 시흥시 계수로 213(주식회사 대경인트라넷)</t>
    <phoneticPr fontId="2" type="noConversion"/>
  </si>
  <si>
    <t>mhgood45@dkin.co.kr</t>
    <phoneticPr fontId="2" type="noConversion"/>
  </si>
  <si>
    <t>신한은행</t>
    <phoneticPr fontId="2" type="noConversion"/>
  </si>
  <si>
    <t>140-011-847556</t>
    <phoneticPr fontId="2" type="noConversion"/>
  </si>
  <si>
    <t>206-81-25404</t>
    <phoneticPr fontId="2" type="noConversion"/>
  </si>
  <si>
    <t>서울특별시 구로구 오리로17길 70, 지층-2(궁동)</t>
    <phoneticPr fontId="2" type="noConversion"/>
  </si>
  <si>
    <t>Ray-028</t>
    <phoneticPr fontId="2" type="noConversion"/>
  </si>
  <si>
    <t>KNACF911BNT283783</t>
    <phoneticPr fontId="2" type="noConversion"/>
  </si>
  <si>
    <t>101호2191</t>
    <phoneticPr fontId="2" type="noConversion"/>
  </si>
  <si>
    <t>Ray-030</t>
    <phoneticPr fontId="2" type="noConversion"/>
  </si>
  <si>
    <t>(주)대경인트라넷_3</t>
    <phoneticPr fontId="2" type="noConversion"/>
  </si>
  <si>
    <t>KNACF911BNT283786</t>
    <phoneticPr fontId="2" type="noConversion"/>
  </si>
  <si>
    <t>101호2193</t>
    <phoneticPr fontId="2" type="noConversion"/>
  </si>
  <si>
    <t>㈜시테코_1</t>
    <phoneticPr fontId="2" type="noConversion"/>
  </si>
  <si>
    <t>이동훈 사장님</t>
    <phoneticPr fontId="2" type="noConversion"/>
  </si>
  <si>
    <t>010-3711-9456</t>
    <phoneticPr fontId="2" type="noConversion"/>
  </si>
  <si>
    <t>KNACF911BNT283754</t>
    <phoneticPr fontId="2" type="noConversion"/>
  </si>
  <si>
    <t>101호2185</t>
    <phoneticPr fontId="2" type="noConversion"/>
  </si>
  <si>
    <t>황승연 사원</t>
  </si>
  <si>
    <t>010-3513-6084</t>
  </si>
  <si>
    <t>경기도 성남시 중원구 둔촌대로457번길 27 (상대원동 311-3) 우림라이온스밸리 1차 305호 멀티필름코리아</t>
    <phoneticPr fontId="2" type="noConversion"/>
  </si>
  <si>
    <t>mail@sitecokorea.co.kr</t>
    <phoneticPr fontId="2" type="noConversion"/>
  </si>
  <si>
    <t>120-87-10064</t>
    <phoneticPr fontId="2" type="noConversion"/>
  </si>
  <si>
    <t>Ray-026</t>
  </si>
  <si>
    <t>㈜시테코_2</t>
    <phoneticPr fontId="2" type="noConversion"/>
  </si>
  <si>
    <t>KNACF911BNT283781</t>
    <phoneticPr fontId="2" type="noConversion"/>
  </si>
  <si>
    <t>101호2189</t>
    <phoneticPr fontId="2" type="noConversion"/>
  </si>
  <si>
    <t>경기도 성남시 중원구 둔촌대로457번길 27 (상대원동 311-3) 우림라이온스밸리 1차 305호 멀티필름코리아</t>
  </si>
  <si>
    <t>Ray-035</t>
    <phoneticPr fontId="2" type="noConversion"/>
  </si>
  <si>
    <t>청담건설</t>
    <phoneticPr fontId="2" type="noConversion"/>
  </si>
  <si>
    <t>김의성 위원장님</t>
    <phoneticPr fontId="2" type="noConversion"/>
  </si>
  <si>
    <t>010-9730-8000</t>
    <phoneticPr fontId="2" type="noConversion"/>
  </si>
  <si>
    <t>KNACF911BNT284066</t>
    <phoneticPr fontId="2" type="noConversion"/>
  </si>
  <si>
    <t>101호2198</t>
    <phoneticPr fontId="2" type="noConversion"/>
  </si>
  <si>
    <t>윤병오 고객님</t>
    <phoneticPr fontId="2" type="noConversion"/>
  </si>
  <si>
    <t>010-3695-4931</t>
    <phoneticPr fontId="2" type="noConversion"/>
  </si>
  <si>
    <t>경기도 고양시 덕양구 향기로 112 DMC 하우스디NHF 203동 1104호</t>
    <phoneticPr fontId="2" type="noConversion"/>
  </si>
  <si>
    <t>lotze77@naver.com</t>
    <phoneticPr fontId="2" type="noConversion"/>
  </si>
  <si>
    <t>477-077449-04-010</t>
    <phoneticPr fontId="2" type="noConversion"/>
  </si>
  <si>
    <t>412-87-01896</t>
    <phoneticPr fontId="2" type="noConversion"/>
  </si>
  <si>
    <t>Ray-036</t>
    <phoneticPr fontId="2" type="noConversion"/>
  </si>
  <si>
    <t>대일산업㈜</t>
    <phoneticPr fontId="2" type="noConversion"/>
  </si>
  <si>
    <t>김완신 대표이사님</t>
    <phoneticPr fontId="2" type="noConversion"/>
  </si>
  <si>
    <t>010-8769-1719</t>
  </si>
  <si>
    <t>White/Black</t>
    <phoneticPr fontId="2" type="noConversion"/>
  </si>
  <si>
    <t>KNACF911BNT284067</t>
    <phoneticPr fontId="2" type="noConversion"/>
  </si>
  <si>
    <t>101호2199</t>
    <phoneticPr fontId="2" type="noConversion"/>
  </si>
  <si>
    <t>송성순 차장님</t>
    <phoneticPr fontId="2" type="noConversion"/>
  </si>
  <si>
    <t>010-8930-8227</t>
    <phoneticPr fontId="2" type="noConversion"/>
  </si>
  <si>
    <t>서울시 중구 남대문로1가 18번지 대일빌딩 대일산업</t>
    <phoneticPr fontId="2" type="noConversion"/>
  </si>
  <si>
    <t>miracle1937@naver.com</t>
    <phoneticPr fontId="2" type="noConversion"/>
  </si>
  <si>
    <t>miracle1937@naver.com</t>
  </si>
  <si>
    <t>104-86-20995</t>
    <phoneticPr fontId="2" type="noConversion"/>
  </si>
  <si>
    <t>Casper-001</t>
    <phoneticPr fontId="2" type="noConversion"/>
  </si>
  <si>
    <t>서울검사㈜</t>
    <phoneticPr fontId="2" type="noConversion"/>
  </si>
  <si>
    <t>조병호 회장님</t>
    <phoneticPr fontId="2" type="noConversion"/>
  </si>
  <si>
    <t>010-3213-2845</t>
    <phoneticPr fontId="2" type="noConversion"/>
  </si>
  <si>
    <t>Casper</t>
    <phoneticPr fontId="2" type="noConversion"/>
  </si>
  <si>
    <t>모던</t>
    <phoneticPr fontId="2" type="noConversion"/>
  </si>
  <si>
    <t>티탄 그레이 메탈릭/Bl</t>
  </si>
  <si>
    <t>KMHB3518BNW004418</t>
    <phoneticPr fontId="2" type="noConversion"/>
  </si>
  <si>
    <t>101하7027</t>
    <phoneticPr fontId="2" type="noConversion"/>
  </si>
  <si>
    <t>정영근부장님</t>
    <phoneticPr fontId="2" type="noConversion"/>
  </si>
  <si>
    <t>서울시 서초구 바우뫼로41길 54 서울검사(주)</t>
  </si>
  <si>
    <t>루마 전면 35%/측후면 15%</t>
    <phoneticPr fontId="2" type="noConversion"/>
  </si>
  <si>
    <t>KUMHO SOLUS TA31</t>
    <phoneticPr fontId="2" type="noConversion"/>
  </si>
  <si>
    <t>kth@sitcos.co.kr</t>
    <phoneticPr fontId="2" type="noConversion"/>
  </si>
  <si>
    <t>jyk2845@sitcos.co.kr</t>
    <phoneticPr fontId="2" type="noConversion"/>
  </si>
  <si>
    <t>인터넷</t>
    <phoneticPr fontId="2" type="noConversion"/>
  </si>
  <si>
    <t>213-81-79460</t>
    <phoneticPr fontId="2" type="noConversion"/>
  </si>
  <si>
    <t>Ray-048</t>
    <phoneticPr fontId="2" type="noConversion"/>
  </si>
  <si>
    <t>(주)올댓모델</t>
    <phoneticPr fontId="2" type="noConversion"/>
  </si>
  <si>
    <t>안선영 사장님</t>
    <phoneticPr fontId="2" type="noConversion"/>
  </si>
  <si>
    <t>010-9012-6014</t>
  </si>
  <si>
    <t>KNACF911BNT284927</t>
    <phoneticPr fontId="2" type="noConversion"/>
  </si>
  <si>
    <t>125호3211</t>
  </si>
  <si>
    <t>올댓모델 직원</t>
    <phoneticPr fontId="2" type="noConversion"/>
  </si>
  <si>
    <t>010-2676-3101</t>
    <phoneticPr fontId="2" type="noConversion"/>
  </si>
  <si>
    <t>서초구 효령로 33길 50 서리풀 이편한세상 102동</t>
    <phoneticPr fontId="2" type="noConversion"/>
  </si>
  <si>
    <t>dysul@allthatmodel.co.kr</t>
    <phoneticPr fontId="2" type="noConversion"/>
  </si>
  <si>
    <t>651-86-00933</t>
    <phoneticPr fontId="2" type="noConversion"/>
  </si>
  <si>
    <t>K3-001</t>
    <phoneticPr fontId="2" type="noConversion"/>
  </si>
  <si>
    <t>트라이언소프트㈜</t>
    <phoneticPr fontId="2" type="noConversion"/>
  </si>
  <si>
    <t>한창실 대표님</t>
    <phoneticPr fontId="2" type="noConversion"/>
  </si>
  <si>
    <t>010-8547-2888</t>
  </si>
  <si>
    <t>K3</t>
    <phoneticPr fontId="2" type="noConversion"/>
  </si>
  <si>
    <t>KNAF241BENA135962</t>
    <phoneticPr fontId="2" type="noConversion"/>
  </si>
  <si>
    <t>101하7029</t>
    <phoneticPr fontId="2" type="noConversion"/>
  </si>
  <si>
    <t>부성만 상무님</t>
    <phoneticPr fontId="2" type="noConversion"/>
  </si>
  <si>
    <t>010-7707-5367</t>
    <phoneticPr fontId="2" type="noConversion"/>
  </si>
  <si>
    <t>서울특별시 강남구 논현로 706 아이캐슬빌딩 5층 트라이언소프트(주)</t>
  </si>
  <si>
    <t>pius_x@trionsoft.com</t>
    <phoneticPr fontId="2" type="noConversion"/>
  </si>
  <si>
    <t>helloboo@trionsoft.com</t>
  </si>
  <si>
    <t>206-81-18204</t>
    <phoneticPr fontId="2" type="noConversion"/>
  </si>
  <si>
    <t>Ray-040</t>
    <phoneticPr fontId="2" type="noConversion"/>
  </si>
  <si>
    <t>㈜카멜월드와이드</t>
    <phoneticPr fontId="2" type="noConversion"/>
  </si>
  <si>
    <t>김상욱 대표님</t>
    <phoneticPr fontId="2" type="noConversion"/>
  </si>
  <si>
    <t>010-3236-9253</t>
    <phoneticPr fontId="2" type="noConversion"/>
  </si>
  <si>
    <t>KNACF911BNT284071</t>
    <phoneticPr fontId="2" type="noConversion"/>
  </si>
  <si>
    <t>125호3203</t>
  </si>
  <si>
    <t>김혜림 고객님</t>
    <phoneticPr fontId="2" type="noConversion"/>
  </si>
  <si>
    <t>010-9902-9383</t>
    <phoneticPr fontId="2" type="noConversion"/>
  </si>
  <si>
    <t>서울시 금천구 가산디지털1로 128, 510호 (주)카멜월드와이드</t>
    <phoneticPr fontId="2" type="noConversion"/>
  </si>
  <si>
    <t>sophia@camelww.com</t>
    <phoneticPr fontId="2" type="noConversion"/>
  </si>
  <si>
    <t>264-81-04176</t>
    <phoneticPr fontId="2" type="noConversion"/>
  </si>
  <si>
    <t>Benz-006</t>
    <phoneticPr fontId="2" type="noConversion"/>
  </si>
  <si>
    <t>대아하이테크㈜</t>
    <phoneticPr fontId="2" type="noConversion"/>
  </si>
  <si>
    <t>최경태 회장님</t>
    <phoneticPr fontId="2" type="noConversion"/>
  </si>
  <si>
    <t>010-3812-2116</t>
  </si>
  <si>
    <t>W1NYC7GJXMX414507</t>
    <phoneticPr fontId="2" type="noConversion"/>
  </si>
  <si>
    <t>125호2393</t>
    <phoneticPr fontId="2" type="noConversion"/>
  </si>
  <si>
    <t>최경태 회장님</t>
  </si>
  <si>
    <t>대구광역시 달성군 구지면 국가산단 서로 71길 135</t>
    <phoneticPr fontId="2" type="noConversion"/>
  </si>
  <si>
    <t>Pirelli  앞,뒤 295/40 R22</t>
    <phoneticPr fontId="2" type="noConversion"/>
  </si>
  <si>
    <t>daeaind@chol.com</t>
    <phoneticPr fontId="2" type="noConversion"/>
  </si>
  <si>
    <t>김정수 팀장</t>
    <phoneticPr fontId="2" type="noConversion"/>
  </si>
  <si>
    <t>514-81-37607</t>
    <phoneticPr fontId="2" type="noConversion"/>
  </si>
  <si>
    <t>Ray-041</t>
    <phoneticPr fontId="2" type="noConversion"/>
  </si>
  <si>
    <t>㈜와이케이개발</t>
  </si>
  <si>
    <t>김태균 대표님</t>
    <phoneticPr fontId="2" type="noConversion"/>
  </si>
  <si>
    <t>010-3707-1131</t>
  </si>
  <si>
    <t>KNACF911BNT284072</t>
    <phoneticPr fontId="2" type="noConversion"/>
  </si>
  <si>
    <t>4</t>
    <phoneticPr fontId="2" type="noConversion"/>
  </si>
  <si>
    <t>백혜란 고객님</t>
    <phoneticPr fontId="2" type="noConversion"/>
  </si>
  <si>
    <t>010-8688-6421</t>
    <phoneticPr fontId="2" type="noConversion"/>
  </si>
  <si>
    <t>투썸플레이스 강남신사점</t>
    <phoneticPr fontId="2" type="noConversion"/>
  </si>
  <si>
    <t>r44333@naver.com</t>
    <phoneticPr fontId="2" type="noConversion"/>
  </si>
  <si>
    <t>렌트베네핏</t>
  </si>
  <si>
    <t>115-88-00902</t>
    <phoneticPr fontId="2" type="noConversion"/>
  </si>
  <si>
    <t>Benz-009</t>
    <phoneticPr fontId="2" type="noConversion"/>
  </si>
  <si>
    <t>㈜유니온</t>
    <phoneticPr fontId="2" type="noConversion"/>
  </si>
  <si>
    <t>이우선 부사장님</t>
    <phoneticPr fontId="2" type="noConversion"/>
  </si>
  <si>
    <t>010-5390-3036</t>
    <phoneticPr fontId="2" type="noConversion"/>
  </si>
  <si>
    <t>W1K6X7GB8NA085814</t>
    <phoneticPr fontId="2" type="noConversion"/>
  </si>
  <si>
    <t>101하7218</t>
    <phoneticPr fontId="2" type="noConversion"/>
  </si>
  <si>
    <t>송헌제 팀장님</t>
    <phoneticPr fontId="2" type="noConversion"/>
  </si>
  <si>
    <t>010-4870-5145</t>
    <phoneticPr fontId="2" type="noConversion"/>
  </si>
  <si>
    <t>서울시 중구 소공로 94 OCI빌딩 13층 UNION</t>
    <phoneticPr fontId="2" type="noConversion"/>
  </si>
  <si>
    <t>hjsong@unioncement.com</t>
    <phoneticPr fontId="2" type="noConversion"/>
  </si>
  <si>
    <t>yejeon@unioncement.com</t>
    <phoneticPr fontId="2" type="noConversion"/>
  </si>
  <si>
    <t>104-81-24962</t>
    <phoneticPr fontId="2" type="noConversion"/>
  </si>
  <si>
    <t>Ray-042</t>
    <phoneticPr fontId="2" type="noConversion"/>
  </si>
  <si>
    <t>최진식 대표님</t>
    <phoneticPr fontId="2" type="noConversion"/>
  </si>
  <si>
    <t>010-2356-3866</t>
    <phoneticPr fontId="2" type="noConversion"/>
  </si>
  <si>
    <t>KNACF911BNT284073</t>
    <phoneticPr fontId="2" type="noConversion"/>
  </si>
  <si>
    <t>125호3205</t>
    <phoneticPr fontId="2" type="noConversion"/>
  </si>
  <si>
    <t>최서현 고객님</t>
    <phoneticPr fontId="2" type="noConversion"/>
  </si>
  <si>
    <t>010-5646-7559</t>
    <phoneticPr fontId="2" type="noConversion"/>
  </si>
  <si>
    <t xml:space="preserve"> HANKOOK 앞/뒤165 60R14 79H </t>
  </si>
  <si>
    <t>samgeetech@3will.co.kr</t>
    <phoneticPr fontId="2" type="noConversion"/>
  </si>
  <si>
    <t>554-05-00327</t>
    <phoneticPr fontId="2" type="noConversion"/>
  </si>
  <si>
    <t>Ray-045</t>
    <phoneticPr fontId="2" type="noConversion"/>
  </si>
  <si>
    <t>KNACF911BNT284937</t>
    <phoneticPr fontId="2" type="noConversion"/>
  </si>
  <si>
    <t>125호3208</t>
    <phoneticPr fontId="2" type="noConversion"/>
  </si>
  <si>
    <t>Ray-039</t>
    <phoneticPr fontId="2" type="noConversion"/>
  </si>
  <si>
    <t>타바론코리아㈜</t>
    <phoneticPr fontId="2" type="noConversion"/>
  </si>
  <si>
    <t>박영준 대표님</t>
    <phoneticPr fontId="2" type="noConversion"/>
  </si>
  <si>
    <t>010-3763-0910</t>
  </si>
  <si>
    <t>KNACF911BNT284070</t>
    <phoneticPr fontId="2" type="noConversion"/>
  </si>
  <si>
    <t>125호3202</t>
    <phoneticPr fontId="2" type="noConversion"/>
  </si>
  <si>
    <t>최시영 과장님</t>
    <phoneticPr fontId="2" type="noConversion"/>
  </si>
  <si>
    <t>010-6312-3438</t>
    <phoneticPr fontId="2" type="noConversion"/>
  </si>
  <si>
    <t>서울특별시 강남구 학동로 56길 47 (삼성동, 3층)</t>
    <phoneticPr fontId="2" type="noConversion"/>
  </si>
  <si>
    <t>tax@tavalon.co.kr</t>
    <phoneticPr fontId="2" type="noConversion"/>
  </si>
  <si>
    <t>105-87-23065</t>
    <phoneticPr fontId="2" type="noConversion"/>
  </si>
  <si>
    <t>Ray-037</t>
    <phoneticPr fontId="2" type="noConversion"/>
  </si>
  <si>
    <t>KNACF911BNT284068</t>
    <phoneticPr fontId="2" type="noConversion"/>
  </si>
  <si>
    <t>125호3200</t>
  </si>
  <si>
    <t>수내</t>
  </si>
  <si>
    <t>경기도 성남시 분당구 불정로 90 (정자동)  KT수내지점 1층 신흥정보통신</t>
  </si>
  <si>
    <t>Ray-043</t>
    <phoneticPr fontId="2" type="noConversion"/>
  </si>
  <si>
    <t>KNACF911BNT284074</t>
    <phoneticPr fontId="2" type="noConversion"/>
  </si>
  <si>
    <t>125호3206</t>
  </si>
  <si>
    <t>영통</t>
  </si>
  <si>
    <t>경기도 수원시 장안구 정조로 947 KT수원지사 별관 1층 신흥정보통신</t>
  </si>
  <si>
    <t>Ray-044</t>
    <phoneticPr fontId="2" type="noConversion"/>
  </si>
  <si>
    <t>KNACF911BNT284904</t>
    <phoneticPr fontId="2" type="noConversion"/>
  </si>
  <si>
    <t>125호3207</t>
  </si>
  <si>
    <t>Ray-046</t>
    <phoneticPr fontId="2" type="noConversion"/>
  </si>
  <si>
    <t>KNACF911BNT284934</t>
    <phoneticPr fontId="2" type="noConversion"/>
  </si>
  <si>
    <t>125호3209</t>
  </si>
  <si>
    <t>Ray-025</t>
  </si>
  <si>
    <t>KNACF911BNT283764</t>
    <phoneticPr fontId="2" type="noConversion"/>
  </si>
  <si>
    <t>101호2188</t>
  </si>
  <si>
    <t>수원</t>
  </si>
  <si>
    <t>Ray-024</t>
    <phoneticPr fontId="2" type="noConversion"/>
  </si>
  <si>
    <t>㈜굿모닝코퍼레이션</t>
    <phoneticPr fontId="2" type="noConversion"/>
  </si>
  <si>
    <t>나한빈 대표님</t>
    <phoneticPr fontId="2" type="noConversion"/>
  </si>
  <si>
    <t>010-3268-1266</t>
    <phoneticPr fontId="2" type="noConversion"/>
  </si>
  <si>
    <t>KNACF911BNT283761</t>
    <phoneticPr fontId="2" type="noConversion"/>
  </si>
  <si>
    <t>142호4231</t>
    <phoneticPr fontId="2" type="noConversion"/>
  </si>
  <si>
    <t>서초구 동산로 13길 16 영재빌딩 주차장</t>
    <phoneticPr fontId="2" type="noConversion"/>
  </si>
  <si>
    <t>10</t>
  </si>
  <si>
    <t>nahanbin@gmail.com</t>
    <phoneticPr fontId="2" type="noConversion"/>
  </si>
  <si>
    <t>010-3268-1266</t>
  </si>
  <si>
    <t>205-81-26415</t>
    <phoneticPr fontId="2" type="noConversion"/>
  </si>
  <si>
    <t>Ray-027</t>
    <phoneticPr fontId="2" type="noConversion"/>
  </si>
  <si>
    <t>KNACF911BNT284872</t>
    <phoneticPr fontId="2" type="noConversion"/>
  </si>
  <si>
    <t>101호2190</t>
  </si>
  <si>
    <t>Benz-001</t>
    <phoneticPr fontId="2" type="noConversion"/>
  </si>
  <si>
    <t>㈜한촌</t>
    <phoneticPr fontId="2" type="noConversion"/>
  </si>
  <si>
    <t>정보연 대표님</t>
    <phoneticPr fontId="2" type="noConversion"/>
  </si>
  <si>
    <t>010-5473-5572</t>
    <phoneticPr fontId="2" type="noConversion"/>
  </si>
  <si>
    <t>High-tech Silver/bl</t>
  </si>
  <si>
    <t>W1K6G6DB5NA071724</t>
    <phoneticPr fontId="2" type="noConversion"/>
  </si>
  <si>
    <t>101하7215</t>
    <phoneticPr fontId="2" type="noConversion"/>
  </si>
  <si>
    <t>김경민 팀장님</t>
  </si>
  <si>
    <t>010-3582-6929</t>
  </si>
  <si>
    <t xml:space="preserve"> 한촌설렁탕 부천점 경기 부천시 경인로 92</t>
  </si>
  <si>
    <t>2억원/1인당</t>
  </si>
  <si>
    <t>25</t>
  </si>
  <si>
    <t>kkm0410@hanchon.kr</t>
  </si>
  <si>
    <t>130-18-56421</t>
    <phoneticPr fontId="2" type="noConversion"/>
  </si>
  <si>
    <t>Ray-038</t>
    <phoneticPr fontId="2" type="noConversion"/>
  </si>
  <si>
    <t>KNACF911BNT284069</t>
    <phoneticPr fontId="2" type="noConversion"/>
  </si>
  <si>
    <t>125호3201</t>
    <phoneticPr fontId="2" type="noConversion"/>
  </si>
  <si>
    <t>고덕</t>
  </si>
  <si>
    <t>서울특별시 강동구 천중로 213 2층 신흥정보통신</t>
  </si>
  <si>
    <t>Ray-047</t>
    <phoneticPr fontId="2" type="noConversion"/>
  </si>
  <si>
    <t>KNACF911BNT284925</t>
    <phoneticPr fontId="2" type="noConversion"/>
  </si>
  <si>
    <t>125호3210</t>
    <phoneticPr fontId="2" type="noConversion"/>
  </si>
  <si>
    <t>강서</t>
  </si>
  <si>
    <t>서울특별시 강서구 강서로5길 64 (화곡동) KT강서지사 3층 신흥정보통신</t>
  </si>
  <si>
    <t>Benz-010</t>
    <phoneticPr fontId="2" type="noConversion"/>
  </si>
  <si>
    <t>홍현창 고객님</t>
    <phoneticPr fontId="2" type="noConversion"/>
  </si>
  <si>
    <t>홍기표 고객님</t>
    <phoneticPr fontId="2" type="noConversion"/>
  </si>
  <si>
    <t>010-8986-8554</t>
    <phoneticPr fontId="2" type="noConversion"/>
  </si>
  <si>
    <t>S580</t>
    <phoneticPr fontId="2" type="noConversion"/>
  </si>
  <si>
    <t>W1K6G7GB8NA111215</t>
    <phoneticPr fontId="2" type="noConversion"/>
  </si>
  <si>
    <t>101하7231</t>
    <phoneticPr fontId="2" type="noConversion"/>
  </si>
  <si>
    <t>경기도 성남시 분당구 성남대로 449 로얄팰리스 D동 2801호</t>
    <phoneticPr fontId="2" type="noConversion"/>
  </si>
  <si>
    <t>hongkp.88@hanmail.net</t>
    <phoneticPr fontId="2" type="noConversion"/>
  </si>
  <si>
    <t>692-47-00065</t>
    <phoneticPr fontId="2" type="noConversion"/>
  </si>
  <si>
    <t>K8-001</t>
    <phoneticPr fontId="2" type="noConversion"/>
  </si>
  <si>
    <t>㈜엘리프</t>
    <phoneticPr fontId="2" type="noConversion"/>
  </si>
  <si>
    <t>김종천 회장님</t>
    <phoneticPr fontId="2" type="noConversion"/>
  </si>
  <si>
    <t>010-5275-9304</t>
  </si>
  <si>
    <t>KNAM241BBNA029201</t>
    <phoneticPr fontId="2" type="noConversion"/>
  </si>
  <si>
    <t>101하5038</t>
    <phoneticPr fontId="2" type="noConversion"/>
  </si>
  <si>
    <t>김미라 고객님</t>
    <phoneticPr fontId="2" type="noConversion"/>
  </si>
  <si>
    <t>010-4669-0893</t>
    <phoneticPr fontId="2" type="noConversion"/>
  </si>
  <si>
    <t>경기도 광주시 도척면 도처로 604 34</t>
    <phoneticPr fontId="2" type="noConversion"/>
  </si>
  <si>
    <t>버택스 전면 35% 측후면 15%</t>
    <phoneticPr fontId="2" type="noConversion"/>
  </si>
  <si>
    <t>매년 = 4본 교체</t>
    <phoneticPr fontId="2" type="noConversion"/>
  </si>
  <si>
    <t>jc708@hanmail.net</t>
    <phoneticPr fontId="2" type="noConversion"/>
  </si>
  <si>
    <t>1005-981-825825</t>
    <phoneticPr fontId="2" type="noConversion"/>
  </si>
  <si>
    <t>126-86-59239</t>
    <phoneticPr fontId="2" type="noConversion"/>
  </si>
  <si>
    <t>경기도 광주시 도척면 도척로 694-34</t>
    <phoneticPr fontId="2" type="noConversion"/>
  </si>
  <si>
    <t>K9-001</t>
    <phoneticPr fontId="2" type="noConversion"/>
  </si>
  <si>
    <t>이태우 이사님</t>
    <phoneticPr fontId="2" type="noConversion"/>
  </si>
  <si>
    <t>010-8182-6737</t>
    <phoneticPr fontId="2" type="noConversion"/>
  </si>
  <si>
    <t>K9</t>
    <phoneticPr fontId="2" type="noConversion"/>
  </si>
  <si>
    <t>마스터즈 베스트 셀렉션 Ⅱ</t>
    <phoneticPr fontId="2" type="noConversion"/>
  </si>
  <si>
    <t>애스코트그린 / 새들 브라운 인테리어</t>
    <phoneticPr fontId="2" type="noConversion"/>
  </si>
  <si>
    <t>KNAS5416DNS041280</t>
    <phoneticPr fontId="2" type="noConversion"/>
  </si>
  <si>
    <t>101하5040</t>
    <phoneticPr fontId="2" type="noConversion"/>
  </si>
  <si>
    <t>송파구 법원로 11길 28 BK타워</t>
    <phoneticPr fontId="2" type="noConversion"/>
  </si>
  <si>
    <t>가족한정/누구나</t>
    <phoneticPr fontId="2" type="noConversion"/>
  </si>
  <si>
    <t>콘티낸탈 앞245/45 R19 / 뒤275/40 R19</t>
    <phoneticPr fontId="2" type="noConversion"/>
  </si>
  <si>
    <t>shtel124@shtel.co.kr</t>
    <phoneticPr fontId="2" type="noConversion"/>
  </si>
  <si>
    <t>Benz-013</t>
    <phoneticPr fontId="2" type="noConversion"/>
  </si>
  <si>
    <t>송혁진 대표님</t>
    <phoneticPr fontId="2" type="noConversion"/>
  </si>
  <si>
    <t>010-8717-4428</t>
    <phoneticPr fontId="2" type="noConversion"/>
  </si>
  <si>
    <t xml:space="preserve"> W1NYC7GJ8MX425781</t>
    <phoneticPr fontId="2" type="noConversion"/>
  </si>
  <si>
    <t>101하7236</t>
    <phoneticPr fontId="2" type="noConversion"/>
  </si>
  <si>
    <t>2</t>
    <phoneticPr fontId="2" type="noConversion"/>
  </si>
  <si>
    <t>서울특별시 성동구 독서당로 40길 37 어울림더리버아파트 102동 802호</t>
    <phoneticPr fontId="2" type="noConversion"/>
  </si>
  <si>
    <t>hjsong@premierpartners.co.kr</t>
  </si>
  <si>
    <t>하나은행</t>
    <phoneticPr fontId="2" type="noConversion"/>
  </si>
  <si>
    <t>326-890065-65607</t>
    <phoneticPr fontId="2" type="noConversion"/>
  </si>
  <si>
    <t>680215-1470612</t>
    <phoneticPr fontId="2" type="noConversion"/>
  </si>
  <si>
    <t>Ray-023</t>
  </si>
  <si>
    <t>KNACF911BNT283759</t>
    <phoneticPr fontId="2" type="noConversion"/>
  </si>
  <si>
    <t>101호2186</t>
    <phoneticPr fontId="2" type="noConversion"/>
  </si>
  <si>
    <t>Ray-031</t>
    <phoneticPr fontId="2" type="noConversion"/>
  </si>
  <si>
    <t>KNACF911BNT283787</t>
    <phoneticPr fontId="2" type="noConversion"/>
  </si>
  <si>
    <t>101호2194</t>
    <phoneticPr fontId="2" type="noConversion"/>
  </si>
  <si>
    <t>Ray-032</t>
    <phoneticPr fontId="2" type="noConversion"/>
  </si>
  <si>
    <t>KNACF911BNT283793</t>
    <phoneticPr fontId="2" type="noConversion"/>
  </si>
  <si>
    <t>101호2195</t>
    <phoneticPr fontId="2" type="noConversion"/>
  </si>
  <si>
    <t>Benz-015</t>
    <phoneticPr fontId="2" type="noConversion"/>
  </si>
  <si>
    <t>정재용 고객님</t>
    <phoneticPr fontId="2" type="noConversion"/>
  </si>
  <si>
    <t>010-7228-7777</t>
    <phoneticPr fontId="2" type="noConversion"/>
  </si>
  <si>
    <t>4Matic AV</t>
    <phoneticPr fontId="2" type="noConversion"/>
  </si>
  <si>
    <t>P.W/Brown</t>
    <phoneticPr fontId="2" type="noConversion"/>
  </si>
  <si>
    <t>W1KZF8GB2NB047754</t>
    <phoneticPr fontId="2" type="noConversion"/>
  </si>
  <si>
    <t>125호4340</t>
    <phoneticPr fontId="2" type="noConversion"/>
  </si>
  <si>
    <t>서울시 노원구 마들로5길25 녹천역두산위브 106동 702호</t>
    <phoneticPr fontId="2" type="noConversion"/>
  </si>
  <si>
    <t>j1027220@naver.com</t>
    <phoneticPr fontId="2" type="noConversion"/>
  </si>
  <si>
    <t>michaeljung@kt.com</t>
    <phoneticPr fontId="2" type="noConversion"/>
  </si>
  <si>
    <t>650424-1024912</t>
    <phoneticPr fontId="2" type="noConversion"/>
  </si>
  <si>
    <t>Benz-016</t>
    <phoneticPr fontId="2" type="noConversion"/>
  </si>
  <si>
    <t>포어러너캐피탈파트너스㈜</t>
    <phoneticPr fontId="2" type="noConversion"/>
  </si>
  <si>
    <t>유영석 사장님</t>
    <phoneticPr fontId="2" type="noConversion"/>
  </si>
  <si>
    <t>010-9001-9630</t>
    <phoneticPr fontId="2" type="noConversion"/>
  </si>
  <si>
    <t>W1NYC7GJ8MX427515</t>
    <phoneticPr fontId="2" type="noConversion"/>
  </si>
  <si>
    <t>125호4342</t>
    <phoneticPr fontId="2" type="noConversion"/>
  </si>
  <si>
    <t>최정신 이사님</t>
    <phoneticPr fontId="2" type="noConversion"/>
  </si>
  <si>
    <t>010-2204-7868</t>
    <phoneticPr fontId="2" type="noConversion"/>
  </si>
  <si>
    <t>jungshin.choi@frcpartners.com</t>
    <phoneticPr fontId="2" type="noConversion"/>
  </si>
  <si>
    <t>jschoi1219@nate.com</t>
  </si>
  <si>
    <t>100-023-114288</t>
    <phoneticPr fontId="2" type="noConversion"/>
  </si>
  <si>
    <t>120-87-15448</t>
    <phoneticPr fontId="2" type="noConversion"/>
  </si>
  <si>
    <t>서울특별시 강남구 테헤란로 521, 9층(삼성동, 파르나스타워)</t>
    <phoneticPr fontId="2" type="noConversion"/>
  </si>
  <si>
    <t>Benz-017</t>
    <phoneticPr fontId="2" type="noConversion"/>
  </si>
  <si>
    <t>덕신설비</t>
    <phoneticPr fontId="2" type="noConversion"/>
  </si>
  <si>
    <t>김영운 사장님</t>
    <phoneticPr fontId="2" type="noConversion"/>
  </si>
  <si>
    <t>010-9153-6571</t>
    <phoneticPr fontId="2" type="noConversion"/>
  </si>
  <si>
    <t>GLE350e</t>
    <phoneticPr fontId="2" type="noConversion"/>
  </si>
  <si>
    <t>W1NFB5EB1NA702527</t>
    <phoneticPr fontId="2" type="noConversion"/>
  </si>
  <si>
    <t>125호5907</t>
    <phoneticPr fontId="2" type="noConversion"/>
  </si>
  <si>
    <t>충청북도 청주시 서원구 청남로1887번길 9, 제E동 1층 2호</t>
  </si>
  <si>
    <t>kyw6571@naver.com</t>
    <phoneticPr fontId="2" type="noConversion"/>
  </si>
  <si>
    <t>311-30-11821</t>
    <phoneticPr fontId="2" type="noConversion"/>
  </si>
  <si>
    <t>G90-001</t>
    <phoneticPr fontId="2" type="noConversion"/>
  </si>
  <si>
    <t>미래테크</t>
    <phoneticPr fontId="2" type="noConversion"/>
  </si>
  <si>
    <t>박경희</t>
    <phoneticPr fontId="2" type="noConversion"/>
  </si>
  <si>
    <t>KMTFA41DDNU010337</t>
    <phoneticPr fontId="2" type="noConversion"/>
  </si>
  <si>
    <t>101호1807</t>
    <phoneticPr fontId="2" type="noConversion"/>
  </si>
  <si>
    <t>2.166666</t>
    <phoneticPr fontId="2" type="noConversion"/>
  </si>
  <si>
    <t>김형철 대리님</t>
    <phoneticPr fontId="2" type="noConversion"/>
  </si>
  <si>
    <t>010-7371-2338</t>
    <phoneticPr fontId="2" type="noConversion"/>
  </si>
  <si>
    <t>경기 용인시 수지구 신봉2로 72 신봉마을자이2차아파트 211동 주차장 앞</t>
    <phoneticPr fontId="2" type="noConversion"/>
  </si>
  <si>
    <t>아이나비 QSD-7000</t>
    <phoneticPr fontId="2" type="noConversion"/>
  </si>
  <si>
    <t>레이노 S-9/유리막/PPF</t>
    <phoneticPr fontId="2" type="noConversion"/>
  </si>
  <si>
    <t xml:space="preserve">                                                                                                                                                    </t>
    <phoneticPr fontId="2" type="noConversion"/>
  </si>
  <si>
    <t>MICHELIN 245/45 R 20</t>
    <phoneticPr fontId="2" type="noConversion"/>
  </si>
  <si>
    <t>serim@serimbng.co.kr; miraetech6528@naver.com</t>
    <phoneticPr fontId="2" type="noConversion"/>
  </si>
  <si>
    <t>국민은행</t>
    <phoneticPr fontId="2" type="noConversion"/>
  </si>
  <si>
    <t>294501-04-14655</t>
    <phoneticPr fontId="2" type="noConversion"/>
  </si>
  <si>
    <t>531-79-00252</t>
    <phoneticPr fontId="2" type="noConversion"/>
  </si>
  <si>
    <t>경기도 평택시 오성면 오성북로 154-94</t>
    <phoneticPr fontId="2" type="noConversion"/>
  </si>
  <si>
    <t>G90-002</t>
    <phoneticPr fontId="2" type="noConversion"/>
  </si>
  <si>
    <t>대건하이텍</t>
    <phoneticPr fontId="2" type="noConversion"/>
  </si>
  <si>
    <t>이기찬 대표님</t>
    <phoneticPr fontId="2" type="noConversion"/>
  </si>
  <si>
    <t>010-6403-4465</t>
    <phoneticPr fontId="2" type="noConversion"/>
  </si>
  <si>
    <t>KMTFA41DDNU010318</t>
    <phoneticPr fontId="2" type="noConversion"/>
  </si>
  <si>
    <t>101호1808</t>
    <phoneticPr fontId="2" type="noConversion"/>
  </si>
  <si>
    <t>경기도 수원시 영통구 매영로310번길 27 신원미주아파드 645동</t>
    <phoneticPr fontId="2" type="noConversion"/>
  </si>
  <si>
    <t>렌트기간 4본</t>
    <phoneticPr fontId="2" type="noConversion"/>
  </si>
  <si>
    <t>lkc2006@naver.com</t>
    <phoneticPr fontId="2" type="noConversion"/>
  </si>
  <si>
    <t>124-35-63962</t>
    <phoneticPr fontId="2" type="noConversion"/>
  </si>
  <si>
    <t>Ray-050</t>
    <phoneticPr fontId="2" type="noConversion"/>
  </si>
  <si>
    <t>KNACF911BNT311915</t>
    <phoneticPr fontId="2" type="noConversion"/>
  </si>
  <si>
    <t>125호3220</t>
    <phoneticPr fontId="2" type="noConversion"/>
  </si>
  <si>
    <t>경기 동두천지점</t>
    <phoneticPr fontId="2" type="noConversion"/>
  </si>
  <si>
    <t>Ray-051</t>
  </si>
  <si>
    <t>KNACF911BNT311749</t>
    <phoneticPr fontId="2" type="noConversion"/>
  </si>
  <si>
    <t>125호3224</t>
    <phoneticPr fontId="2" type="noConversion"/>
  </si>
  <si>
    <t>강동구 고덕점</t>
    <phoneticPr fontId="2" type="noConversion"/>
  </si>
  <si>
    <t>Ray-052</t>
    <phoneticPr fontId="2" type="noConversion"/>
  </si>
  <si>
    <t>KNACF911BNT311746</t>
    <phoneticPr fontId="2" type="noConversion"/>
  </si>
  <si>
    <t>125호3225</t>
    <phoneticPr fontId="2" type="noConversion"/>
  </si>
  <si>
    <t>경기 수원점</t>
    <phoneticPr fontId="2" type="noConversion"/>
  </si>
  <si>
    <t>경기도 수원시 장안구 정조로 947 KT수원지사 본관 2층 신흥정보통신</t>
  </si>
  <si>
    <t>Ray-053</t>
  </si>
  <si>
    <t>KNACF911BNT311912</t>
    <phoneticPr fontId="2" type="noConversion"/>
  </si>
  <si>
    <t>125호3226</t>
    <phoneticPr fontId="2" type="noConversion"/>
  </si>
  <si>
    <t>부산 대연점</t>
    <phoneticPr fontId="2" type="noConversion"/>
  </si>
  <si>
    <t>부산광역시 동구 자성공원로 23 (범일동, KT부산정보통신센터) 18층 신흥정보통신</t>
  </si>
  <si>
    <t xml:space="preserve"> HANKOOK 앞/뒤165 60R14 79H </t>
    <phoneticPr fontId="2" type="noConversion"/>
  </si>
  <si>
    <t>Ray-049</t>
    <phoneticPr fontId="2" type="noConversion"/>
  </si>
  <si>
    <t>KNACF911BNT311908</t>
    <phoneticPr fontId="2" type="noConversion"/>
  </si>
  <si>
    <t>125호3219</t>
    <phoneticPr fontId="2" type="noConversion"/>
  </si>
  <si>
    <t>K8-002</t>
    <phoneticPr fontId="2" type="noConversion"/>
  </si>
  <si>
    <t>특허법인 엠에이피에스</t>
    <phoneticPr fontId="2" type="noConversion"/>
  </si>
  <si>
    <t>정선애 변리사님</t>
    <phoneticPr fontId="2" type="noConversion"/>
  </si>
  <si>
    <t>010-2272-7477</t>
    <phoneticPr fontId="2" type="noConversion"/>
  </si>
  <si>
    <t>KNAM241BBPA034424</t>
    <phoneticPr fontId="2" type="noConversion"/>
  </si>
  <si>
    <t>125호5225</t>
    <phoneticPr fontId="2" type="noConversion"/>
  </si>
  <si>
    <t>강은경 매니저님</t>
    <phoneticPr fontId="2" type="noConversion"/>
  </si>
  <si>
    <t>010-2202-8466</t>
    <phoneticPr fontId="2" type="noConversion"/>
  </si>
  <si>
    <t>경기도 군포시 산본로386번길 61, 1125동</t>
    <phoneticPr fontId="2" type="noConversion"/>
  </si>
  <si>
    <t>S1000PRO</t>
    <phoneticPr fontId="2" type="noConversion"/>
  </si>
  <si>
    <t>tax@mapsip.com</t>
    <phoneticPr fontId="2" type="noConversion"/>
  </si>
  <si>
    <t>211-88-54986</t>
    <phoneticPr fontId="2" type="noConversion"/>
  </si>
  <si>
    <t>Avante-002</t>
    <phoneticPr fontId="2" type="noConversion"/>
  </si>
  <si>
    <t>천지세무법인-인천</t>
    <phoneticPr fontId="2" type="noConversion"/>
  </si>
  <si>
    <t>박점식 회장님</t>
    <phoneticPr fontId="2" type="noConversion"/>
  </si>
  <si>
    <t>KMHLM41EEPU454944</t>
    <phoneticPr fontId="2" type="noConversion"/>
  </si>
  <si>
    <t>125호5280</t>
    <phoneticPr fontId="2" type="noConversion"/>
  </si>
  <si>
    <t>심선미 이사님</t>
    <phoneticPr fontId="2" type="noConversion"/>
  </si>
  <si>
    <t>010-5416-9005</t>
    <phoneticPr fontId="2" type="noConversion"/>
  </si>
  <si>
    <t>인천지사</t>
    <phoneticPr fontId="2" type="noConversion"/>
  </si>
  <si>
    <t>인천광역시 서구 염곡로 468, 504호(가정동, 드림타워)</t>
    <phoneticPr fontId="2" type="noConversion"/>
  </si>
  <si>
    <t>cjtsgp@daum.net</t>
    <phoneticPr fontId="2" type="noConversion"/>
  </si>
  <si>
    <t>sm8765@nate.com</t>
    <phoneticPr fontId="2" type="noConversion"/>
  </si>
  <si>
    <t>253-25-0012-545</t>
    <phoneticPr fontId="2" type="noConversion"/>
  </si>
  <si>
    <t>137-85-05361</t>
    <phoneticPr fontId="2" type="noConversion"/>
  </si>
  <si>
    <t>Avante-003</t>
    <phoneticPr fontId="2" type="noConversion"/>
  </si>
  <si>
    <t>천지세무법인-서울</t>
    <phoneticPr fontId="2" type="noConversion"/>
  </si>
  <si>
    <t>팬텀 블랙펄 / 블랙모노톤</t>
    <phoneticPr fontId="2" type="noConversion"/>
  </si>
  <si>
    <t>KMHLM41EEPU492586</t>
    <phoneticPr fontId="2" type="noConversion"/>
  </si>
  <si>
    <t>101호1826</t>
    <phoneticPr fontId="2" type="noConversion"/>
  </si>
  <si>
    <t>이재현 차장님</t>
    <phoneticPr fontId="2" type="noConversion"/>
  </si>
  <si>
    <t>010-9132-6512</t>
    <phoneticPr fontId="2" type="noConversion"/>
  </si>
  <si>
    <t>서울본사</t>
    <phoneticPr fontId="2" type="noConversion"/>
  </si>
  <si>
    <t>서울특별시 금천구 벚꽃로 234(가산동, 에이스하이엔드타워6차 1604-1호</t>
    <phoneticPr fontId="2" type="noConversion"/>
  </si>
  <si>
    <t>Rayno 기본</t>
    <phoneticPr fontId="2" type="noConversion"/>
  </si>
  <si>
    <t>cjts@daum.net</t>
    <phoneticPr fontId="2" type="noConversion"/>
  </si>
  <si>
    <t>421701-04-139427</t>
    <phoneticPr fontId="2" type="noConversion"/>
  </si>
  <si>
    <t>119-85-42320</t>
    <phoneticPr fontId="2" type="noConversion"/>
  </si>
  <si>
    <t>G80-001</t>
    <phoneticPr fontId="2" type="noConversion"/>
  </si>
  <si>
    <t>나은약국</t>
    <phoneticPr fontId="2" type="noConversion"/>
  </si>
  <si>
    <t>박순희 고객님</t>
    <phoneticPr fontId="2" type="noConversion"/>
  </si>
  <si>
    <t>010-2747-0684</t>
    <phoneticPr fontId="2" type="noConversion"/>
  </si>
  <si>
    <t>2.5T</t>
    <phoneticPr fontId="2" type="noConversion"/>
  </si>
  <si>
    <t>마칼루 그레이/옵시디언 블랙 모노톤</t>
    <phoneticPr fontId="2" type="noConversion"/>
  </si>
  <si>
    <t>KMTGB41CDNU154297</t>
    <phoneticPr fontId="2" type="noConversion"/>
  </si>
  <si>
    <t>125호5247</t>
    <phoneticPr fontId="2" type="noConversion"/>
  </si>
  <si>
    <t>서울특별시 서초구 남부순환로287길 9-1(방배동, 1층)</t>
    <phoneticPr fontId="2" type="noConversion"/>
  </si>
  <si>
    <t>아이트로닉스 X2 FHD-FHD 64GB</t>
    <phoneticPr fontId="2" type="noConversion"/>
  </si>
  <si>
    <t>버택스 전면 50% 측후면 35%</t>
    <phoneticPr fontId="2" type="noConversion"/>
  </si>
  <si>
    <t>hellena0212@hanmail.net</t>
    <phoneticPr fontId="2" type="noConversion"/>
  </si>
  <si>
    <t>우산</t>
    <phoneticPr fontId="2" type="noConversion"/>
  </si>
  <si>
    <t>114-14-46184</t>
    <phoneticPr fontId="2" type="noConversion"/>
  </si>
  <si>
    <t>G90-003</t>
    <phoneticPr fontId="2" type="noConversion"/>
  </si>
  <si>
    <t>아이엠앤티㈜</t>
    <phoneticPr fontId="2" type="noConversion"/>
  </si>
  <si>
    <t>이동원 대표이사님</t>
    <phoneticPr fontId="2" type="noConversion"/>
  </si>
  <si>
    <t>010-2456-0653</t>
    <phoneticPr fontId="2" type="noConversion"/>
  </si>
  <si>
    <t>KMTFA41DDNU014854</t>
    <phoneticPr fontId="2" type="noConversion"/>
  </si>
  <si>
    <t>101호1811</t>
    <phoneticPr fontId="2" type="noConversion"/>
  </si>
  <si>
    <t>경기도 수원시 권선구 산업로 156번길 88-55</t>
    <phoneticPr fontId="2" type="noConversion"/>
  </si>
  <si>
    <t>making702@nate.com</t>
    <phoneticPr fontId="2" type="noConversion"/>
  </si>
  <si>
    <t>649-88-00900</t>
    <phoneticPr fontId="2" type="noConversion"/>
  </si>
  <si>
    <t>Benz-019</t>
    <phoneticPr fontId="2" type="noConversion"/>
  </si>
  <si>
    <t>이승섭 변호사님</t>
    <phoneticPr fontId="2" type="noConversion"/>
  </si>
  <si>
    <t>010-9182-0031</t>
    <phoneticPr fontId="2" type="noConversion"/>
  </si>
  <si>
    <t>S450</t>
    <phoneticPr fontId="2" type="noConversion"/>
  </si>
  <si>
    <t>Obsidian Black/Black</t>
    <phoneticPr fontId="2" type="noConversion"/>
  </si>
  <si>
    <t>W1K6G6BB5NA157957</t>
    <phoneticPr fontId="2" type="noConversion"/>
  </si>
  <si>
    <t>125호6021</t>
    <phoneticPr fontId="2" type="noConversion"/>
  </si>
  <si>
    <t xml:space="preserve"> 서울시 강남구 압구정로 201, 73동 603호(압구정동, 현대아파트)</t>
    <phoneticPr fontId="2" type="noConversion"/>
  </si>
  <si>
    <t>후퍼옵틱 전면35% 측후면 15%</t>
    <phoneticPr fontId="2" type="noConversion"/>
  </si>
  <si>
    <t>lss@bkl.co.kr</t>
    <phoneticPr fontId="2" type="noConversion"/>
  </si>
  <si>
    <t>효성</t>
    <phoneticPr fontId="2" type="noConversion"/>
  </si>
  <si>
    <t>분당</t>
    <phoneticPr fontId="2" type="noConversion"/>
  </si>
  <si>
    <t>620812-1006716</t>
    <phoneticPr fontId="2" type="noConversion"/>
  </si>
  <si>
    <t>G80-002</t>
    <phoneticPr fontId="2" type="noConversion"/>
  </si>
  <si>
    <t>㈜지엔</t>
    <phoneticPr fontId="2" type="noConversion"/>
  </si>
  <si>
    <t>이명용 대표님</t>
    <phoneticPr fontId="2" type="noConversion"/>
  </si>
  <si>
    <t>010-5246-6806</t>
    <phoneticPr fontId="2" type="noConversion"/>
  </si>
  <si>
    <t>2.5T AWD</t>
    <phoneticPr fontId="2" type="noConversion"/>
  </si>
  <si>
    <t>KMTGB41CDPU165638</t>
    <phoneticPr fontId="2" type="noConversion"/>
  </si>
  <si>
    <t>125호5288</t>
    <phoneticPr fontId="2" type="noConversion"/>
  </si>
  <si>
    <t>경기도 의왕시 뒷골길 24 (손내동)</t>
    <phoneticPr fontId="2" type="noConversion"/>
  </si>
  <si>
    <t>엠피온 s1000프로 FHD-FHD 32GB</t>
    <phoneticPr fontId="2" type="noConversion"/>
  </si>
  <si>
    <t>gn6893348@naver.com</t>
    <phoneticPr fontId="2" type="noConversion"/>
  </si>
  <si>
    <t>010-2997-4297</t>
    <phoneticPr fontId="2" type="noConversion"/>
  </si>
  <si>
    <t>PPF</t>
    <phoneticPr fontId="2" type="noConversion"/>
  </si>
  <si>
    <t>IBK기업은행</t>
    <phoneticPr fontId="2" type="noConversion"/>
  </si>
  <si>
    <t>241-10556004-013</t>
    <phoneticPr fontId="2" type="noConversion"/>
  </si>
  <si>
    <t>경기도 평택시 오성면 오성북로 154-51</t>
    <phoneticPr fontId="2" type="noConversion"/>
  </si>
  <si>
    <t>Grander-02</t>
    <phoneticPr fontId="2" type="noConversion"/>
  </si>
  <si>
    <t>세이브인스(saveins)</t>
    <phoneticPr fontId="2" type="noConversion"/>
  </si>
  <si>
    <t>박일진 팀장님</t>
    <phoneticPr fontId="2" type="noConversion"/>
  </si>
  <si>
    <t>010-4940-0602</t>
    <phoneticPr fontId="2" type="noConversion"/>
  </si>
  <si>
    <t>Grander</t>
    <phoneticPr fontId="2" type="noConversion"/>
  </si>
  <si>
    <t>하이브리드 1.6T 익스클루시브</t>
    <phoneticPr fontId="2" type="noConversion"/>
  </si>
  <si>
    <t>어비스블랙펄/브라운투톤</t>
    <phoneticPr fontId="2" type="noConversion"/>
  </si>
  <si>
    <t>KMHN2411BPA004622</t>
    <phoneticPr fontId="2" type="noConversion"/>
  </si>
  <si>
    <t>125호5365</t>
    <phoneticPr fontId="2" type="noConversion"/>
  </si>
  <si>
    <t>서울특별시 은평구 가좌로 391 씨티아파트 102동</t>
    <phoneticPr fontId="2" type="noConversion"/>
  </si>
  <si>
    <t>버텍스(전면 35%, 측후면 15%)</t>
    <phoneticPr fontId="2" type="noConversion"/>
  </si>
  <si>
    <t>saveinsu@nate.com</t>
    <phoneticPr fontId="2" type="noConversion"/>
  </si>
  <si>
    <t>썬팅</t>
    <phoneticPr fontId="2" type="noConversion"/>
  </si>
  <si>
    <t>유리막</t>
    <phoneticPr fontId="2" type="noConversion"/>
  </si>
  <si>
    <t>924501-01-349898</t>
    <phoneticPr fontId="2" type="noConversion"/>
  </si>
  <si>
    <t>306-98-98414</t>
    <phoneticPr fontId="2" type="noConversion"/>
  </si>
  <si>
    <t>서울특별시 강남구 학동로25길 11, 203호(논현동, 씨플레이스)</t>
    <phoneticPr fontId="2" type="noConversion"/>
  </si>
  <si>
    <t>Benz-020</t>
    <phoneticPr fontId="2" type="noConversion"/>
  </si>
  <si>
    <t>현대산업</t>
    <phoneticPr fontId="2" type="noConversion"/>
  </si>
  <si>
    <t>최용식 대표님</t>
    <phoneticPr fontId="2" type="noConversion"/>
  </si>
  <si>
    <t>010-7337-6072</t>
    <phoneticPr fontId="2" type="noConversion"/>
  </si>
  <si>
    <t>C300</t>
    <phoneticPr fontId="2" type="noConversion"/>
  </si>
  <si>
    <t>4M AV</t>
    <phoneticPr fontId="2" type="noConversion"/>
  </si>
  <si>
    <t>W1KAF4HB7PR113410</t>
    <phoneticPr fontId="2" type="noConversion"/>
  </si>
  <si>
    <t>101하3037</t>
    <phoneticPr fontId="2" type="noConversion"/>
  </si>
  <si>
    <t>경기도 화성시 상신하길로 35 언덕마을 18단지 1809동 앞 주차장</t>
    <phoneticPr fontId="2" type="noConversion"/>
  </si>
  <si>
    <t>후퍼옵틱 GK, 측후면 15% 전면 50%</t>
    <phoneticPr fontId="2" type="noConversion"/>
  </si>
  <si>
    <t>피럴리 p zero 225/40 전 255/35 후 R19</t>
    <phoneticPr fontId="2" type="noConversion"/>
  </si>
  <si>
    <t>hdi201@naver.com</t>
    <phoneticPr fontId="2" type="noConversion"/>
  </si>
  <si>
    <t>골프백</t>
    <phoneticPr fontId="2" type="noConversion"/>
  </si>
  <si>
    <t>키케이스</t>
    <phoneticPr fontId="2" type="noConversion"/>
  </si>
  <si>
    <t>무릎담요</t>
    <phoneticPr fontId="2" type="noConversion"/>
  </si>
  <si>
    <t>목쿠션</t>
    <phoneticPr fontId="2" type="noConversion"/>
  </si>
  <si>
    <t>모터원</t>
    <phoneticPr fontId="2" type="noConversion"/>
  </si>
  <si>
    <t>의정부</t>
    <phoneticPr fontId="2" type="noConversion"/>
  </si>
  <si>
    <t>532-001522-01-025</t>
    <phoneticPr fontId="2" type="noConversion"/>
  </si>
  <si>
    <t>680201-1046727</t>
    <phoneticPr fontId="2" type="noConversion"/>
  </si>
  <si>
    <t>경기도 화성시 팔탄면 율암리 758-9 현대산업</t>
    <phoneticPr fontId="2" type="noConversion"/>
  </si>
  <si>
    <t>Carnival-002</t>
    <phoneticPr fontId="2" type="noConversion"/>
  </si>
  <si>
    <t>정영범 부장님</t>
    <phoneticPr fontId="2" type="noConversion"/>
  </si>
  <si>
    <t>010-5217-0300</t>
    <phoneticPr fontId="2" type="noConversion"/>
  </si>
  <si>
    <t>스노우 화이트 펄/새들 브라운</t>
    <phoneticPr fontId="2" type="noConversion"/>
  </si>
  <si>
    <t>KNANE813BPS317093</t>
    <phoneticPr fontId="2" type="noConversion"/>
  </si>
  <si>
    <t>125호5386</t>
    <phoneticPr fontId="2" type="noConversion"/>
  </si>
  <si>
    <t>Sportage-001</t>
    <phoneticPr fontId="2" type="noConversion"/>
  </si>
  <si>
    <t>Sportage</t>
    <phoneticPr fontId="2" type="noConversion"/>
  </si>
  <si>
    <t>디 올 뉴 스포티지 HEV 4WD 프레스티지</t>
    <phoneticPr fontId="2" type="noConversion"/>
  </si>
  <si>
    <t>스틸 그레이/블랙</t>
    <phoneticPr fontId="2" type="noConversion"/>
  </si>
  <si>
    <t>KNAPV81GDPK 096710</t>
    <phoneticPr fontId="2" type="noConversion"/>
  </si>
  <si>
    <t>125호8632</t>
    <phoneticPr fontId="2" type="noConversion"/>
  </si>
  <si>
    <t>엠피온 s9000프로 FHD-FHD</t>
    <phoneticPr fontId="2" type="noConversion"/>
  </si>
  <si>
    <t>버텍스300(전면 35%/1열 15%/2열, 후면 5%)</t>
    <phoneticPr fontId="2" type="noConversion"/>
  </si>
  <si>
    <t>넥센 앞/뒤 235/65R17</t>
    <phoneticPr fontId="2" type="noConversion"/>
  </si>
  <si>
    <t>242-01-0050-101</t>
    <phoneticPr fontId="2" type="noConversion"/>
  </si>
  <si>
    <t>124-81-20150</t>
    <phoneticPr fontId="2" type="noConversion"/>
  </si>
  <si>
    <t>경기도 수원시 수성로 250번길 30(영화동)</t>
    <phoneticPr fontId="2" type="noConversion"/>
  </si>
  <si>
    <t>K8-004</t>
    <phoneticPr fontId="2" type="noConversion"/>
  </si>
  <si>
    <t>(주)세이브인슈</t>
    <phoneticPr fontId="2" type="noConversion"/>
  </si>
  <si>
    <t>이진영 고객님</t>
    <phoneticPr fontId="2" type="noConversion"/>
  </si>
  <si>
    <t>010-9190-1947</t>
    <phoneticPr fontId="2" type="noConversion"/>
  </si>
  <si>
    <t>1.6 하이브리드 시그니처 투톤휠 A/T</t>
    <phoneticPr fontId="2" type="noConversion"/>
  </si>
  <si>
    <t>인터스텔라 그레이/브라운 투톤</t>
    <phoneticPr fontId="2" type="noConversion"/>
  </si>
  <si>
    <t>KNAM6411BPA060895</t>
    <phoneticPr fontId="2" type="noConversion"/>
  </si>
  <si>
    <t>125호8637</t>
    <phoneticPr fontId="2" type="noConversion"/>
  </si>
  <si>
    <t>Rainbow I90 (전번 35%/ 측후면 15%)</t>
    <phoneticPr fontId="2" type="noConversion"/>
  </si>
  <si>
    <t>010-3186-5222</t>
    <phoneticPr fontId="2" type="noConversion"/>
  </si>
  <si>
    <t>069101-04-125910</t>
    <phoneticPr fontId="2" type="noConversion"/>
  </si>
  <si>
    <t>220-87-55319</t>
    <phoneticPr fontId="2" type="noConversion"/>
  </si>
  <si>
    <t>서울특별시 강남구 학동로25길 11(논현동, 성연빌딩 202호)</t>
    <phoneticPr fontId="2" type="noConversion"/>
  </si>
  <si>
    <t>Grander-01</t>
    <phoneticPr fontId="2" type="noConversion"/>
  </si>
  <si>
    <t>추능오 고객님</t>
    <phoneticPr fontId="2" type="noConversion"/>
  </si>
  <si>
    <t>이춘식 이사님</t>
    <phoneticPr fontId="2" type="noConversion"/>
  </si>
  <si>
    <t>010-7137-1236</t>
    <phoneticPr fontId="2" type="noConversion"/>
  </si>
  <si>
    <t>르블랑</t>
    <phoneticPr fontId="2" type="noConversion"/>
  </si>
  <si>
    <t>녹턴 그레이 메탈릭/블랙모노톤</t>
    <phoneticPr fontId="2" type="noConversion"/>
  </si>
  <si>
    <t>KMHF1413BPA150229</t>
    <phoneticPr fontId="2" type="noConversion"/>
  </si>
  <si>
    <t>125호5230</t>
    <phoneticPr fontId="2" type="noConversion"/>
  </si>
  <si>
    <t>cslee0598@naver.com</t>
    <phoneticPr fontId="2" type="noConversion"/>
  </si>
  <si>
    <t>농협</t>
    <phoneticPr fontId="2" type="noConversion"/>
  </si>
  <si>
    <t>356-1500-4320-23</t>
    <phoneticPr fontId="2" type="noConversion"/>
  </si>
  <si>
    <t>701128-1221216</t>
    <phoneticPr fontId="2" type="noConversion"/>
  </si>
  <si>
    <t>Cona-01</t>
    <phoneticPr fontId="2" type="noConversion"/>
  </si>
  <si>
    <t>신흥정보통신㈜_코나</t>
    <phoneticPr fontId="2" type="noConversion"/>
  </si>
  <si>
    <t>Cona</t>
    <phoneticPr fontId="2" type="noConversion"/>
  </si>
  <si>
    <t>SX2 런칭 전기모터 2WD 롱레인지 프리미엄 17인치</t>
    <phoneticPr fontId="2" type="noConversion"/>
  </si>
  <si>
    <t>사이버 그레이 메탈릭 / 블랙모노톤</t>
    <phoneticPr fontId="2" type="noConversion"/>
  </si>
  <si>
    <t>전기모터</t>
    <phoneticPr fontId="2" type="noConversion"/>
  </si>
  <si>
    <t>KMHHC816FPU004639</t>
    <phoneticPr fontId="2" type="noConversion"/>
  </si>
  <si>
    <t>101호1841</t>
    <phoneticPr fontId="2" type="noConversion"/>
  </si>
  <si>
    <t>모창률 과장님</t>
    <phoneticPr fontId="2" type="noConversion"/>
  </si>
  <si>
    <t>010-5003-7338</t>
    <phoneticPr fontId="2" type="noConversion"/>
  </si>
  <si>
    <t>Rayno S7(전면35%, 측후면 15%)</t>
    <phoneticPr fontId="2" type="noConversion"/>
  </si>
  <si>
    <t>shtel001@daum.net</t>
    <phoneticPr fontId="2" type="noConversion"/>
  </si>
  <si>
    <t>Benz-022</t>
    <phoneticPr fontId="2" type="noConversion"/>
  </si>
  <si>
    <t>㈜동춘푸드</t>
    <phoneticPr fontId="2" type="noConversion"/>
  </si>
  <si>
    <t>송정근 대표님</t>
    <phoneticPr fontId="2" type="noConversion"/>
  </si>
  <si>
    <t>010-5301-8388</t>
  </si>
  <si>
    <t>E250 EX</t>
    <phoneticPr fontId="2" type="noConversion"/>
  </si>
  <si>
    <t>S.grey/Black</t>
    <phoneticPr fontId="2" type="noConversion"/>
  </si>
  <si>
    <t>W1KZF4FB3PB184795</t>
    <phoneticPr fontId="2" type="noConversion"/>
  </si>
  <si>
    <t>125호8668</t>
    <phoneticPr fontId="2" type="noConversion"/>
  </si>
  <si>
    <t>손경범 회장님</t>
    <phoneticPr fontId="2" type="noConversion"/>
  </si>
  <si>
    <t>010-5392-9991</t>
    <phoneticPr fontId="2" type="noConversion"/>
  </si>
  <si>
    <t>서울 강서구 금낭화로 287-19,505동411호(방화동,방화5단지아파트)</t>
    <phoneticPr fontId="2" type="noConversion"/>
  </si>
  <si>
    <t>후퍼옵틱(전면35%, 측후면 15%)</t>
    <phoneticPr fontId="2" type="noConversion"/>
  </si>
  <si>
    <t>dcfood777@naver.com</t>
    <phoneticPr fontId="2" type="noConversion"/>
  </si>
  <si>
    <t>010-5301-8388</t>
    <phoneticPr fontId="2" type="noConversion"/>
  </si>
  <si>
    <t>유리막/PPF/블박/하이패스/우산/목쿠션/무릎담요/가죽키케이스</t>
    <phoneticPr fontId="2" type="noConversion"/>
  </si>
  <si>
    <t>KCC</t>
    <phoneticPr fontId="2" type="noConversion"/>
  </si>
  <si>
    <t>이주원 차장</t>
    <phoneticPr fontId="2" type="noConversion"/>
  </si>
  <si>
    <t>276-081940-01-014</t>
    <phoneticPr fontId="2" type="noConversion"/>
  </si>
  <si>
    <t>276-81-01041</t>
    <phoneticPr fontId="2" type="noConversion"/>
  </si>
  <si>
    <t>경기도 화성시 장안면 수정로 312-71</t>
    <phoneticPr fontId="2" type="noConversion"/>
  </si>
  <si>
    <t>Grander-03</t>
    <phoneticPr fontId="2" type="noConversion"/>
  </si>
  <si>
    <t>GN7 하이브리드 1.6T 2WD 프리미엄</t>
    <phoneticPr fontId="2" type="noConversion"/>
  </si>
  <si>
    <t>녹턴 그레이 메탈릭/브라운투톤</t>
    <phoneticPr fontId="2" type="noConversion"/>
  </si>
  <si>
    <t>KMHN1411BPA059360</t>
    <phoneticPr fontId="2" type="noConversion"/>
  </si>
  <si>
    <t>101하5078</t>
    <phoneticPr fontId="2" type="noConversion"/>
  </si>
  <si>
    <t>lareum@shtel.co.kr</t>
    <phoneticPr fontId="2" type="noConversion"/>
  </si>
  <si>
    <t>064-01-0432-612</t>
    <phoneticPr fontId="2" type="noConversion"/>
  </si>
  <si>
    <t>206-85-09469</t>
    <phoneticPr fontId="2" type="noConversion"/>
  </si>
  <si>
    <t>서울특별시 송파구 법원로11길 28, 1, 9층(문정동, 비케이타워)</t>
    <phoneticPr fontId="2" type="noConversion"/>
  </si>
  <si>
    <t>G90-005</t>
    <phoneticPr fontId="2" type="noConversion"/>
  </si>
  <si>
    <t>㈜씨엔아이티</t>
    <phoneticPr fontId="2" type="noConversion"/>
  </si>
  <si>
    <t>이종호 대표님</t>
    <phoneticPr fontId="2" type="noConversion"/>
  </si>
  <si>
    <t>010-4816-4916</t>
    <phoneticPr fontId="2" type="noConversion"/>
  </si>
  <si>
    <t>마우이 블랙/벨벳 버건디 듄 베이지 투톤</t>
    <phoneticPr fontId="2" type="noConversion"/>
  </si>
  <si>
    <t>KMTFA41DDRU039929</t>
    <phoneticPr fontId="2" type="noConversion"/>
  </si>
  <si>
    <t>125호8678</t>
    <phoneticPr fontId="2" type="noConversion"/>
  </si>
  <si>
    <t>경기도 성남시 중원구 사기막골로 52, 308호(상대원동, 선택시티2)</t>
    <phoneticPr fontId="2" type="noConversion"/>
  </si>
  <si>
    <t>파인 LX7000</t>
    <phoneticPr fontId="2" type="noConversion"/>
  </si>
  <si>
    <t>렌트기간 8본</t>
    <phoneticPr fontId="2" type="noConversion"/>
  </si>
  <si>
    <t>jh_ahn@cnit.co.kr</t>
    <phoneticPr fontId="2" type="noConversion"/>
  </si>
  <si>
    <t>유리막/PPF</t>
    <phoneticPr fontId="2" type="noConversion"/>
  </si>
  <si>
    <t>613-033621-01-016</t>
    <phoneticPr fontId="2" type="noConversion"/>
  </si>
  <si>
    <t>892-81-01561</t>
    <phoneticPr fontId="2" type="noConversion"/>
  </si>
  <si>
    <t>GV80-002</t>
    <phoneticPr fontId="2" type="noConversion"/>
  </si>
  <si>
    <t>강성훈 대표님</t>
    <phoneticPr fontId="2" type="noConversion"/>
  </si>
  <si>
    <t>010-8786-2912</t>
    <phoneticPr fontId="2" type="noConversion"/>
  </si>
  <si>
    <t>GV80 Coupe</t>
    <phoneticPr fontId="2" type="noConversion"/>
  </si>
  <si>
    <t>우유니 화이트/블랙모노톤/오랜지스티치</t>
    <phoneticPr fontId="2" type="noConversion"/>
  </si>
  <si>
    <t>KMTHF61CDRU211681</t>
    <phoneticPr fontId="2" type="noConversion"/>
  </si>
  <si>
    <t>125호8712</t>
    <phoneticPr fontId="2" type="noConversion"/>
  </si>
  <si>
    <t>4.25</t>
    <phoneticPr fontId="2" type="noConversion"/>
  </si>
  <si>
    <t>MICHELIN 앞뒤 265/40 R 22</t>
    <phoneticPr fontId="2" type="noConversion"/>
  </si>
  <si>
    <t>G90-006</t>
    <phoneticPr fontId="2" type="noConversion"/>
  </si>
  <si>
    <t>신현용 대표님</t>
    <phoneticPr fontId="2" type="noConversion"/>
  </si>
  <si>
    <t>010-8789-7296</t>
    <phoneticPr fontId="2" type="noConversion"/>
  </si>
  <si>
    <t>마칼루 그레이/브라운투톤</t>
    <phoneticPr fontId="2" type="noConversion"/>
  </si>
  <si>
    <t>KMTFA41DDRU040280</t>
    <phoneticPr fontId="2" type="noConversion"/>
  </si>
  <si>
    <t>101하5090</t>
    <phoneticPr fontId="2" type="noConversion"/>
  </si>
  <si>
    <t>서울시 강남구 개포로 264 119동 1503호(개포동, 개포래미안포레스트)</t>
    <phoneticPr fontId="2" type="noConversion"/>
  </si>
  <si>
    <t>탈착함</t>
    <phoneticPr fontId="2" type="noConversion"/>
  </si>
  <si>
    <t>버택스 전면 35% 1열 15% 2열35%(2열 창문 5% 농도), 후면 5%</t>
    <phoneticPr fontId="2" type="noConversion"/>
  </si>
  <si>
    <t>hyshin@gmail.com</t>
    <phoneticPr fontId="2" type="noConversion"/>
  </si>
  <si>
    <t>246-105297-02-001</t>
    <phoneticPr fontId="2" type="noConversion"/>
  </si>
  <si>
    <t>750702-1055629</t>
    <phoneticPr fontId="2" type="noConversion"/>
  </si>
  <si>
    <t>G80-004</t>
    <phoneticPr fontId="2" type="noConversion"/>
  </si>
  <si>
    <t>신흥정보통신㈜_38</t>
    <phoneticPr fontId="2" type="noConversion"/>
  </si>
  <si>
    <t>비크블랙/에크루 카멜 모노톤</t>
    <phoneticPr fontId="2" type="noConversion"/>
  </si>
  <si>
    <t>KMTGB41CDSU234521</t>
    <phoneticPr fontId="2" type="noConversion"/>
  </si>
  <si>
    <t>101하5094</t>
    <phoneticPr fontId="2" type="noConversion"/>
  </si>
  <si>
    <t>서울 강남구 도곡동 개포 우성 4차 3동</t>
    <phoneticPr fontId="2" type="noConversion"/>
  </si>
  <si>
    <t>버택스 전면 50% 측후면 15%</t>
    <phoneticPr fontId="2" type="noConversion"/>
  </si>
  <si>
    <t>피렐리 타이어 앞 245/40R 20, 뒤 275/35 R20</t>
    <phoneticPr fontId="2" type="noConversion"/>
  </si>
  <si>
    <t>Mojave-001</t>
    <phoneticPr fontId="2" type="noConversion"/>
  </si>
  <si>
    <t>엘메스코리아</t>
    <phoneticPr fontId="2" type="noConversion"/>
  </si>
  <si>
    <t>윤상구 대표님</t>
    <phoneticPr fontId="2" type="noConversion"/>
  </si>
  <si>
    <t>010-3892-6630</t>
    <phoneticPr fontId="2" type="noConversion"/>
  </si>
  <si>
    <t>Mojave</t>
    <phoneticPr fontId="2" type="noConversion"/>
  </si>
  <si>
    <t>더 마스터 디젤 4WD 마스터즈 6인승 3.0</t>
    <phoneticPr fontId="2" type="noConversion"/>
  </si>
  <si>
    <t>오로라 블랙 펄/테라코타 브라운</t>
    <phoneticPr fontId="2" type="noConversion"/>
  </si>
  <si>
    <t>KNAKN814DRA252058</t>
    <phoneticPr fontId="2" type="noConversion"/>
  </si>
  <si>
    <t>101하5095</t>
    <phoneticPr fontId="2" type="noConversion"/>
  </si>
  <si>
    <t>이종태 전무님</t>
    <phoneticPr fontId="2" type="noConversion"/>
  </si>
  <si>
    <t>010-4557-9533</t>
    <phoneticPr fontId="2" type="noConversion"/>
  </si>
  <si>
    <t>경기도 성남시 수정구 위례광장로 19 아이페리온 601호 (주)엘메스코리아</t>
    <phoneticPr fontId="2" type="noConversion"/>
  </si>
  <si>
    <t>버택스 전면 30% 측후면 15%</t>
    <phoneticPr fontId="2" type="noConversion"/>
  </si>
  <si>
    <t>3억</t>
    <phoneticPr fontId="2" type="noConversion"/>
  </si>
  <si>
    <t>265/50 R20</t>
    <phoneticPr fontId="2" type="noConversion"/>
  </si>
  <si>
    <t>ykimki@elmes.co.kr</t>
    <phoneticPr fontId="2" type="noConversion"/>
  </si>
  <si>
    <t>1005-601-530275</t>
    <phoneticPr fontId="2" type="noConversion"/>
  </si>
  <si>
    <t>120-86-77199</t>
    <phoneticPr fontId="2" type="noConversion"/>
  </si>
  <si>
    <t>경기도 성남시 수정구 위례광장로 19, 601, 602호</t>
    <phoneticPr fontId="2" type="noConversion"/>
  </si>
  <si>
    <t>G80-005</t>
    <phoneticPr fontId="2" type="noConversion"/>
  </si>
  <si>
    <t>2.5T AWD 19인치</t>
    <phoneticPr fontId="2" type="noConversion"/>
  </si>
  <si>
    <t>마칼루 그레이/바닐라 베이지 투톤</t>
    <phoneticPr fontId="2" type="noConversion"/>
  </si>
  <si>
    <t>KMTGB41CDSU243586</t>
    <phoneticPr fontId="2" type="noConversion"/>
  </si>
  <si>
    <t>125호8722</t>
    <phoneticPr fontId="2" type="noConversion"/>
  </si>
  <si>
    <t>콘티넨탈 앞245/45R19, 뒤275/40R19</t>
    <phoneticPr fontId="2" type="noConversion"/>
  </si>
  <si>
    <t>시트 코팅</t>
    <phoneticPr fontId="2" type="noConversion"/>
  </si>
  <si>
    <t>422-103562-04-019</t>
    <phoneticPr fontId="2" type="noConversion"/>
  </si>
  <si>
    <t>K8-005</t>
    <phoneticPr fontId="2" type="noConversion"/>
  </si>
  <si>
    <t>㈜네오위드넷</t>
    <phoneticPr fontId="2" type="noConversion"/>
  </si>
  <si>
    <t>탁지훈 대표이사님</t>
    <phoneticPr fontId="2" type="noConversion"/>
  </si>
  <si>
    <t>010-9760-5515</t>
    <phoneticPr fontId="2" type="noConversion"/>
  </si>
  <si>
    <t>1.6T 하이브리드 노블레스</t>
    <phoneticPr fontId="2" type="noConversion"/>
  </si>
  <si>
    <t>스노우 화이트 펄/브라운 투톤</t>
    <phoneticPr fontId="2" type="noConversion"/>
  </si>
  <si>
    <t>KNAM2411BRA074485</t>
    <phoneticPr fontId="2" type="noConversion"/>
  </si>
  <si>
    <t>125호8738</t>
    <phoneticPr fontId="2" type="noConversion"/>
  </si>
  <si>
    <t>파노라마 선루프, HUD팩+스마트커넥트</t>
    <phoneticPr fontId="2" type="noConversion"/>
  </si>
  <si>
    <t>양하은 주임님</t>
    <phoneticPr fontId="2" type="noConversion"/>
  </si>
  <si>
    <t>010-3698-5478</t>
    <phoneticPr fontId="2" type="noConversion"/>
  </si>
  <si>
    <t>경기도 성남시 수정구 창업로 17, 에프동 3층 313호</t>
    <phoneticPr fontId="2" type="noConversion"/>
  </si>
  <si>
    <t>무대한</t>
    <phoneticPr fontId="2" type="noConversion"/>
  </si>
  <si>
    <t>2억</t>
    <phoneticPr fontId="2" type="noConversion"/>
  </si>
  <si>
    <t>1억/1500만</t>
    <phoneticPr fontId="2" type="noConversion"/>
  </si>
  <si>
    <t>미사입</t>
    <phoneticPr fontId="2" type="noConversion"/>
  </si>
  <si>
    <t>넥센 앞,뒤 225/55R17</t>
    <phoneticPr fontId="2" type="noConversion"/>
  </si>
  <si>
    <t>tax@neowithnet.com</t>
    <phoneticPr fontId="2" type="noConversion"/>
  </si>
  <si>
    <t>065-101471-01-016</t>
    <phoneticPr fontId="2" type="noConversion"/>
  </si>
  <si>
    <t>220-87-68806</t>
    <phoneticPr fontId="2" type="noConversion"/>
  </si>
  <si>
    <t>K8-006</t>
    <phoneticPr fontId="2" type="noConversion"/>
  </si>
  <si>
    <t>KNAM2411BRA074484</t>
    <phoneticPr fontId="2" type="noConversion"/>
  </si>
  <si>
    <t>125호8742</t>
    <phoneticPr fontId="2" type="noConversion"/>
  </si>
  <si>
    <t>G80-006</t>
    <phoneticPr fontId="2" type="noConversion"/>
  </si>
  <si>
    <t>3.5T AWD 20인치</t>
    <phoneticPr fontId="2" type="noConversion"/>
  </si>
  <si>
    <t>우유니 화이트/에크루 카멜 모노톤</t>
    <phoneticPr fontId="2" type="noConversion"/>
  </si>
  <si>
    <t>KMTGC41DDSU258512</t>
    <phoneticPr fontId="2" type="noConversion"/>
  </si>
  <si>
    <t>101하5151</t>
    <phoneticPr fontId="2" type="noConversion"/>
  </si>
  <si>
    <t>버택스500 전면 35% 측후면 5%</t>
    <phoneticPr fontId="2" type="noConversion"/>
  </si>
  <si>
    <t>Benz-003_1</t>
    <phoneticPr fontId="2" type="noConversion"/>
  </si>
  <si>
    <t>1</t>
    <phoneticPr fontId="2" type="noConversion"/>
  </si>
  <si>
    <t>249-890108-34305</t>
    <phoneticPr fontId="2" type="noConversion"/>
  </si>
  <si>
    <t>Niro-001</t>
    <phoneticPr fontId="2" type="noConversion"/>
  </si>
  <si>
    <t>㈜케이씨에프인터내셔널</t>
    <phoneticPr fontId="2" type="noConversion"/>
  </si>
  <si>
    <t>김상현 대표님</t>
    <phoneticPr fontId="2" type="noConversion"/>
  </si>
  <si>
    <t>010-8701-7670</t>
    <phoneticPr fontId="2" type="noConversion"/>
  </si>
  <si>
    <t>니로</t>
    <phoneticPr fontId="2" type="noConversion"/>
  </si>
  <si>
    <t>HEV 프레스티지</t>
    <phoneticPr fontId="2" type="noConversion"/>
  </si>
  <si>
    <t>시티스케이프 그린(CGE)/차콜</t>
    <phoneticPr fontId="2" type="noConversion"/>
  </si>
  <si>
    <t>KNACR81EGSA264227</t>
    <phoneticPr fontId="2" type="noConversion"/>
  </si>
  <si>
    <t>142호4266</t>
    <phoneticPr fontId="2" type="noConversion"/>
  </si>
  <si>
    <t>드라이브 와이즈, 스마트 커넥트, 내비게이션</t>
    <phoneticPr fontId="2" type="noConversion"/>
  </si>
  <si>
    <t>전효진 부장님</t>
    <phoneticPr fontId="2" type="noConversion"/>
  </si>
  <si>
    <t>010-4619-4808</t>
    <phoneticPr fontId="2" type="noConversion"/>
  </si>
  <si>
    <t>경기도 과천시 과천대로 7길 33 디테크타워 A동 809호</t>
    <phoneticPr fontId="2" type="noConversion"/>
  </si>
  <si>
    <t>금호 앞뒤 205/60 R16</t>
    <phoneticPr fontId="2" type="noConversion"/>
  </si>
  <si>
    <t>admin@zyxel.kr</t>
    <phoneticPr fontId="2" type="noConversion"/>
  </si>
  <si>
    <t>헤라매트</t>
    <phoneticPr fontId="2" type="noConversion"/>
  </si>
  <si>
    <t>1550-680-715383</t>
    <phoneticPr fontId="2" type="noConversion"/>
  </si>
  <si>
    <t>214-87-15383</t>
    <phoneticPr fontId="2" type="noConversion"/>
  </si>
  <si>
    <t>경기도 과천시 과천대로 7길 33, A동 809호</t>
    <phoneticPr fontId="2" type="noConversion"/>
  </si>
  <si>
    <t>Ray-039_1</t>
    <phoneticPr fontId="2" type="noConversion"/>
  </si>
  <si>
    <t>061-063962-04-013</t>
    <phoneticPr fontId="2" type="noConversion"/>
  </si>
  <si>
    <t>서울시 강남구 삼성동 10-7 삼성빌리지 3층</t>
    <phoneticPr fontId="2" type="noConversion"/>
  </si>
  <si>
    <t>Palisade_001</t>
    <phoneticPr fontId="2" type="noConversion"/>
  </si>
  <si>
    <t>Palisade</t>
    <phoneticPr fontId="2" type="noConversion"/>
  </si>
  <si>
    <t>2.5T 7인승 4WD 캘리</t>
    <phoneticPr fontId="2" type="noConversion"/>
  </si>
  <si>
    <t>어비스블랙펄 / 브라운 원톤</t>
    <phoneticPr fontId="2" type="noConversion"/>
  </si>
  <si>
    <t>KMHRK811DSU005387</t>
    <phoneticPr fontId="2" type="noConversion"/>
  </si>
  <si>
    <t>142호4276</t>
    <phoneticPr fontId="2" type="noConversion"/>
  </si>
  <si>
    <t>빌트인 캠, 프리뷰 전자제어 서스펜션</t>
    <phoneticPr fontId="2" type="noConversion"/>
  </si>
  <si>
    <t>25020106</t>
  </si>
  <si>
    <t>전면 35%(버택스 1100) / 1열측면 15%(버택스 900) /2열, 후면 5%(버택스 900)</t>
    <phoneticPr fontId="2" type="noConversion"/>
  </si>
  <si>
    <t>피렐리 타이어 앞뒤 265/45R21</t>
    <phoneticPr fontId="2" type="noConversion"/>
  </si>
  <si>
    <t>유리막 코팅</t>
    <phoneticPr fontId="2" type="noConversion"/>
  </si>
  <si>
    <t>PPF(도어 엣지, 도어컵, 주유구, 필러(4군데), 헤드라이트, 트렁크리드)</t>
    <phoneticPr fontId="2" type="noConversion"/>
  </si>
  <si>
    <t>시트가죽 코팅</t>
    <phoneticPr fontId="2" type="noConversion"/>
  </si>
  <si>
    <t>트렁크커버</t>
    <phoneticPr fontId="2" type="noConversion"/>
  </si>
  <si>
    <t>Grander-04</t>
    <phoneticPr fontId="2" type="noConversion"/>
  </si>
  <si>
    <t>㈜에이치와이파트너즈</t>
    <phoneticPr fontId="2" type="noConversion"/>
  </si>
  <si>
    <t>주영숙 대표님</t>
    <phoneticPr fontId="2" type="noConversion"/>
  </si>
  <si>
    <t>010-8989-9186</t>
    <phoneticPr fontId="2" type="noConversion"/>
  </si>
  <si>
    <t>그랜저(H)</t>
    <phoneticPr fontId="2" type="noConversion"/>
  </si>
  <si>
    <t xml:space="preserve"> 1.6T 하이브리드 프리미엄 2WD</t>
    <phoneticPr fontId="2" type="noConversion"/>
  </si>
  <si>
    <t>어비스 블랙펄 / 인디고/브라운투톤</t>
    <phoneticPr fontId="2" type="noConversion"/>
  </si>
  <si>
    <t>KMHN1411BSA113112</t>
    <phoneticPr fontId="2" type="noConversion"/>
  </si>
  <si>
    <t>142호4318</t>
    <phoneticPr fontId="2" type="noConversion"/>
  </si>
  <si>
    <t>프리미엄초이스(129만), 플래티넘(129만원), 현대스마트센스(84만원)</t>
    <phoneticPr fontId="2" type="noConversion"/>
  </si>
  <si>
    <t>류종현 상무님</t>
    <phoneticPr fontId="2" type="noConversion"/>
  </si>
  <si>
    <t>010-2309-9621</t>
    <phoneticPr fontId="2" type="noConversion"/>
  </si>
  <si>
    <t>서울시 동작구 동작대로 149, 5층(사당동, 대흥빌딩)</t>
    <phoneticPr fontId="2" type="noConversion"/>
  </si>
  <si>
    <t>버택스 300 전면 35%, 측면1열 15%, 측면2열 및 후면 5%</t>
    <phoneticPr fontId="2" type="noConversion"/>
  </si>
  <si>
    <t>임직원/누구나</t>
    <phoneticPr fontId="2" type="noConversion"/>
  </si>
  <si>
    <t>금호 앞뒤 245/45 R19</t>
    <phoneticPr fontId="2" type="noConversion"/>
  </si>
  <si>
    <t>hm.lim@hypartner.co.kr</t>
    <phoneticPr fontId="2" type="noConversion"/>
  </si>
  <si>
    <t>100-036-524752</t>
    <phoneticPr fontId="2" type="noConversion"/>
  </si>
  <si>
    <t>478-86-02938</t>
    <phoneticPr fontId="2" type="noConversion"/>
  </si>
  <si>
    <t>GV70-001</t>
    <phoneticPr fontId="2" type="noConversion"/>
  </si>
  <si>
    <t>㈜비지글로벌</t>
    <phoneticPr fontId="2" type="noConversion"/>
  </si>
  <si>
    <t>김창도 회장님</t>
    <phoneticPr fontId="2" type="noConversion"/>
  </si>
  <si>
    <t>010-3746-5060</t>
    <phoneticPr fontId="2" type="noConversion"/>
  </si>
  <si>
    <t>GV70</t>
    <phoneticPr fontId="2" type="noConversion"/>
  </si>
  <si>
    <t>2.5T AWD 18인치</t>
    <phoneticPr fontId="2" type="noConversion"/>
  </si>
  <si>
    <t>우유니 화이트/바닐라 베이지 투톤</t>
    <phoneticPr fontId="2" type="noConversion"/>
  </si>
  <si>
    <t>KMTMA81BBSU226680</t>
    <phoneticPr fontId="2" type="noConversion"/>
  </si>
  <si>
    <t>142호4321</t>
    <phoneticPr fontId="2" type="noConversion"/>
  </si>
  <si>
    <t>파퓰로패키지(360만)</t>
    <phoneticPr fontId="2" type="noConversion"/>
  </si>
  <si>
    <t>황민영 이사님</t>
    <phoneticPr fontId="2" type="noConversion"/>
  </si>
  <si>
    <t>010-9377-1490</t>
    <phoneticPr fontId="2" type="noConversion"/>
  </si>
  <si>
    <t>버택스500 전면 30% 측후면 15%</t>
    <phoneticPr fontId="2" type="noConversion"/>
  </si>
  <si>
    <t>브릿지 스톤 앞뒤 235/60 R18</t>
    <phoneticPr fontId="2" type="noConversion"/>
  </si>
  <si>
    <t>hmy188@gmail.com</t>
    <phoneticPr fontId="2" type="noConversion"/>
  </si>
  <si>
    <t>1005-904-742656</t>
    <phoneticPr fontId="2" type="noConversion"/>
  </si>
  <si>
    <t>498-87-03340</t>
    <phoneticPr fontId="2" type="noConversion"/>
  </si>
  <si>
    <t>서울시 마포구 방울내로11길 37, 2층 2272호(망원동, 프리마빌딩)</t>
    <phoneticPr fontId="2" type="noConversion"/>
  </si>
  <si>
    <t>G80-007</t>
    <phoneticPr fontId="2" type="noConversion"/>
  </si>
  <si>
    <t>주식회사 레이</t>
    <phoneticPr fontId="2" type="noConversion"/>
  </si>
  <si>
    <t>이상철 대표님</t>
    <phoneticPr fontId="2" type="noConversion"/>
  </si>
  <si>
    <t>010-6251-4137</t>
    <phoneticPr fontId="2" type="noConversion"/>
  </si>
  <si>
    <t>2.5 가솔린 터보 AWD</t>
    <phoneticPr fontId="2" type="noConversion"/>
  </si>
  <si>
    <t>마칼루 그레이/에크루 카멜 모노톤</t>
    <phoneticPr fontId="2" type="noConversion"/>
  </si>
  <si>
    <t>KMTGB41CDTU295495</t>
    <phoneticPr fontId="2" type="noConversion"/>
  </si>
  <si>
    <t>142호4335</t>
    <phoneticPr fontId="2" type="noConversion"/>
  </si>
  <si>
    <t>파퓰러 패키지1 + 드라이빙 어시스턴트 패키지2</t>
    <phoneticPr fontId="2" type="noConversion"/>
  </si>
  <si>
    <t>김호영 책임님</t>
    <phoneticPr fontId="2" type="noConversion"/>
  </si>
  <si>
    <t>010-2425-6857</t>
  </si>
  <si>
    <t>경기도 성남시 분당구 판교역로 221, 12층(삼평동)</t>
    <phoneticPr fontId="2" type="noConversion"/>
  </si>
  <si>
    <t>피렐리 앞/뒤 245/50 R18</t>
    <phoneticPr fontId="2" type="noConversion"/>
  </si>
  <si>
    <t>hoyoung.kim@raymedical.com</t>
    <phoneticPr fontId="2" type="noConversion"/>
  </si>
  <si>
    <t>1005-401-254754</t>
    <phoneticPr fontId="2" type="noConversion"/>
  </si>
  <si>
    <t xml:space="preserve">135-81-73282 </t>
    <phoneticPr fontId="2" type="noConversion"/>
  </si>
  <si>
    <t>134511-0084018</t>
    <phoneticPr fontId="2" type="noConversion"/>
  </si>
  <si>
    <t>RX350h-001</t>
    <phoneticPr fontId="2" type="noConversion"/>
  </si>
  <si>
    <t>㈜린드만</t>
    <phoneticPr fontId="2" type="noConversion"/>
  </si>
  <si>
    <t>이상훈 대표님</t>
    <phoneticPr fontId="2" type="noConversion"/>
  </si>
  <si>
    <t>010-9255-7080</t>
    <phoneticPr fontId="2" type="noConversion"/>
  </si>
  <si>
    <t>RX 350h Luxury</t>
    <phoneticPr fontId="2" type="noConversion"/>
  </si>
  <si>
    <t>Sonic Quartz (화이트)/Dark sepia (브라운)</t>
    <phoneticPr fontId="2" type="noConversion"/>
  </si>
  <si>
    <t>JTJCJAJA7S2052673</t>
    <phoneticPr fontId="2" type="noConversion"/>
  </si>
  <si>
    <t>142호5654</t>
    <phoneticPr fontId="2" type="noConversion"/>
  </si>
  <si>
    <t>서울시 광진구 아차산로 78길 72, 701호(광장동, 학산코스모스텔)</t>
    <phoneticPr fontId="2" type="noConversion"/>
  </si>
  <si>
    <t>렉세스 전용 블랙박스</t>
    <phoneticPr fontId="2" type="noConversion"/>
  </si>
  <si>
    <t>스미스클럽 어센틱L 전면 35%, 측후면 15%</t>
    <phoneticPr fontId="2" type="noConversion"/>
  </si>
  <si>
    <t>브릿지 스톤 앞뒤 / 235 50 R21</t>
    <phoneticPr fontId="2" type="noConversion"/>
  </si>
  <si>
    <t>sanghoon.lee@Lyndman.com</t>
    <phoneticPr fontId="2" type="noConversion"/>
  </si>
  <si>
    <t>렉서스</t>
    <phoneticPr fontId="2" type="noConversion"/>
  </si>
  <si>
    <t>주민성 팀장</t>
    <phoneticPr fontId="2" type="noConversion"/>
  </si>
  <si>
    <t>282-910022-70004</t>
    <phoneticPr fontId="2" type="noConversion"/>
  </si>
  <si>
    <t>793-81-01696</t>
    <phoneticPr fontId="2" type="noConversion"/>
  </si>
  <si>
    <t>ALPHARD-001</t>
    <phoneticPr fontId="2" type="noConversion"/>
  </si>
  <si>
    <t xml:space="preserve"> ALPHARD-HEV SFX</t>
    <phoneticPr fontId="2" type="noConversion"/>
  </si>
  <si>
    <t>BLACK/BLACK</t>
    <phoneticPr fontId="2" type="noConversion"/>
  </si>
  <si>
    <t>JTNAEACH0S8040494</t>
    <phoneticPr fontId="2" type="noConversion"/>
  </si>
  <si>
    <t>142호4341</t>
    <phoneticPr fontId="2" type="noConversion"/>
  </si>
  <si>
    <t>010-2425-6857</t>
    <phoneticPr fontId="2" type="noConversion"/>
  </si>
  <si>
    <t>토요타 전용 블랙박스</t>
    <phoneticPr fontId="2" type="noConversion"/>
  </si>
  <si>
    <t>스미스클럽 어센틱T 전면 35%, 측후면 15%</t>
    <phoneticPr fontId="2" type="noConversion"/>
  </si>
  <si>
    <t>MICHELIN 앞뒤 225/55 R19</t>
    <phoneticPr fontId="2" type="noConversion"/>
  </si>
  <si>
    <t>토요타</t>
    <phoneticPr fontId="2" type="noConversion"/>
  </si>
  <si>
    <t>이재명 팀장</t>
    <phoneticPr fontId="2" type="noConversion"/>
  </si>
  <si>
    <t>㈜레이</t>
    <phoneticPr fontId="2" type="noConversion"/>
  </si>
  <si>
    <t>Koleos-001</t>
    <phoneticPr fontId="2" type="noConversion"/>
  </si>
  <si>
    <t>정재현 이사님</t>
    <phoneticPr fontId="2" type="noConversion"/>
  </si>
  <si>
    <t>010-2085-3703</t>
    <phoneticPr fontId="2" type="noConversion"/>
  </si>
  <si>
    <t>Grand Koleos E-Tech</t>
    <phoneticPr fontId="2" type="noConversion"/>
  </si>
  <si>
    <t>iconic 25MY</t>
    <phoneticPr fontId="2" type="noConversion"/>
  </si>
  <si>
    <t>클라우드 펄/퀼팅 라이트 브라운 나파 인조가죽</t>
    <phoneticPr fontId="2" type="noConversion"/>
  </si>
  <si>
    <t>KNMP5B2U5SP033937</t>
    <phoneticPr fontId="2" type="noConversion"/>
  </si>
  <si>
    <t>142호4346</t>
    <phoneticPr fontId="2" type="noConversion"/>
  </si>
  <si>
    <t>20인치 투톤 하이랜드 알로이 휠 &amp; 245/45 R20 저소음 폼 타이어(40만), 증강현실 헤드업 디스플레이(AR-HUD)+차음 윈드 실드 글라스(115만), BOSE 서라운드 시스템(10 스피커) + 액티브 노이즈 캔슬레이션(130만)</t>
    <phoneticPr fontId="2" type="noConversion"/>
  </si>
  <si>
    <t>아이나비 ZQ7000</t>
    <phoneticPr fontId="2" type="noConversion"/>
  </si>
  <si>
    <t>르노삼성</t>
    <phoneticPr fontId="2" type="noConversion"/>
  </si>
  <si>
    <t>이강준 팀장</t>
    <phoneticPr fontId="2" type="noConversion"/>
  </si>
  <si>
    <t>정재현</t>
    <phoneticPr fontId="2" type="noConversion"/>
  </si>
  <si>
    <t>Grander-005</t>
    <phoneticPr fontId="2" type="noConversion"/>
  </si>
  <si>
    <t>그랜저</t>
    <phoneticPr fontId="2" type="noConversion"/>
  </si>
  <si>
    <t>2.5T 프리미엄 2WD</t>
    <phoneticPr fontId="2" type="noConversion"/>
  </si>
  <si>
    <t>녹턴 그레이 메탈릭/블랙/브라운 투톤 천연가족</t>
    <phoneticPr fontId="2" type="noConversion"/>
  </si>
  <si>
    <t>KMHN141DBTA118755</t>
    <phoneticPr fontId="2" type="noConversion"/>
  </si>
  <si>
    <t>142호4397</t>
    <phoneticPr fontId="2" type="noConversion"/>
  </si>
  <si>
    <t>현대 스마트센트1</t>
    <phoneticPr fontId="2" type="noConversion"/>
  </si>
  <si>
    <t>넥센 앞,뒤 225/55R18</t>
    <phoneticPr fontId="2" type="noConversion"/>
  </si>
  <si>
    <t>Carnival-006</t>
    <phoneticPr fontId="2" type="noConversion"/>
  </si>
  <si>
    <t>더데이랩스 주식회사</t>
    <phoneticPr fontId="2" type="noConversion"/>
  </si>
  <si>
    <t>이종진 원장님</t>
    <phoneticPr fontId="2" type="noConversion"/>
  </si>
  <si>
    <t>010-2767-1215</t>
    <phoneticPr fontId="2" type="noConversion"/>
  </si>
  <si>
    <t>카니발</t>
    <phoneticPr fontId="2" type="noConversion"/>
  </si>
  <si>
    <t>3.5 가솔린 9인승 프레스티지</t>
    <phoneticPr fontId="2" type="noConversion"/>
  </si>
  <si>
    <t>오로라 블랙 펄/토프</t>
    <phoneticPr fontId="2" type="noConversion"/>
  </si>
  <si>
    <t>KNANB813BSS578943</t>
    <phoneticPr fontId="2" type="noConversion"/>
  </si>
  <si>
    <t>142호9100</t>
    <phoneticPr fontId="2" type="noConversion"/>
  </si>
  <si>
    <t>12.3인치클러스터(+60만원), 컨비니언스 (+110만원), 모니터링 팩 (+90만원), 드라이브와이즈(+120만원)</t>
    <phoneticPr fontId="2" type="noConversion"/>
  </si>
  <si>
    <t>심지호 이사님</t>
    <phoneticPr fontId="2" type="noConversion"/>
  </si>
  <si>
    <t>테헤란로13길 30</t>
    <phoneticPr fontId="2" type="noConversion"/>
  </si>
  <si>
    <t>버텍스(전면15%, 측후면 5%)</t>
    <phoneticPr fontId="2" type="noConversion"/>
  </si>
  <si>
    <t>말일</t>
    <phoneticPr fontId="2" type="noConversion"/>
  </si>
  <si>
    <t>dr.jinlee@kakao.com</t>
    <phoneticPr fontId="2" type="noConversion"/>
  </si>
  <si>
    <t>KB 국민은행</t>
    <phoneticPr fontId="2" type="noConversion"/>
  </si>
  <si>
    <t>081101-04-235255</t>
    <phoneticPr fontId="2" type="noConversion"/>
  </si>
  <si>
    <t>435-86-03022</t>
    <phoneticPr fontId="2" type="noConversion"/>
  </si>
  <si>
    <t>서울시 강남구 논현로 97길 73 지하 1층 101, 102호(역삼동, 좋은사람 좋은집)</t>
    <phoneticPr fontId="2" type="noConversion"/>
  </si>
  <si>
    <t>124411-0377962</t>
    <phoneticPr fontId="2" type="noConversion"/>
  </si>
  <si>
    <t>Sonata-001</t>
    <phoneticPr fontId="2" type="noConversion"/>
  </si>
  <si>
    <t>유현승 교수님</t>
    <phoneticPr fontId="2" type="noConversion"/>
  </si>
  <si>
    <t>010-4129-1918</t>
    <phoneticPr fontId="2" type="noConversion"/>
  </si>
  <si>
    <t>쏘나타</t>
    <phoneticPr fontId="2" type="noConversion"/>
  </si>
  <si>
    <t>DN8 25MY Lpi 2.0 프리미엄</t>
    <phoneticPr fontId="2" type="noConversion"/>
  </si>
  <si>
    <t>세레니티 화이트 펄/블랙원톤</t>
    <phoneticPr fontId="2" type="noConversion"/>
  </si>
  <si>
    <t>Lpi</t>
    <phoneticPr fontId="2" type="noConversion"/>
  </si>
  <si>
    <t>KMHL341DBSA527770</t>
    <phoneticPr fontId="2" type="noConversion"/>
  </si>
  <si>
    <t>142호9106</t>
    <phoneticPr fontId="2" type="noConversion"/>
  </si>
  <si>
    <t>하이패스+ECM룸미러(25만), 현대스마트센스(77만(</t>
    <phoneticPr fontId="2" type="noConversion"/>
  </si>
  <si>
    <t>충청북도 증평군 증평읍 송산로 105 송산 대광로제비앙 101동 504호</t>
    <phoneticPr fontId="2" type="noConversion"/>
  </si>
  <si>
    <t>금호 앞,뒤 215/55/17</t>
    <phoneticPr fontId="2" type="noConversion"/>
  </si>
  <si>
    <t>rhyuhs@naver.com</t>
    <phoneticPr fontId="2" type="noConversion"/>
  </si>
  <si>
    <t>유현승</t>
    <phoneticPr fontId="2" type="noConversion"/>
  </si>
  <si>
    <t>762-910024-52307</t>
    <phoneticPr fontId="2" type="noConversion"/>
  </si>
  <si>
    <t>690315-*******</t>
    <phoneticPr fontId="2" type="noConversion"/>
  </si>
  <si>
    <t>Benz-024</t>
    <phoneticPr fontId="2" type="noConversion"/>
  </si>
  <si>
    <t>명품 을지 순대국</t>
    <phoneticPr fontId="2" type="noConversion"/>
  </si>
  <si>
    <t>이영석 대표님</t>
    <phoneticPr fontId="2" type="noConversion"/>
  </si>
  <si>
    <t>010-5000-8721</t>
    <phoneticPr fontId="2" type="noConversion"/>
  </si>
  <si>
    <t>CLE 200</t>
    <phoneticPr fontId="2" type="noConversion"/>
  </si>
  <si>
    <t>Carbriolet</t>
    <phoneticPr fontId="2" type="noConversion"/>
  </si>
  <si>
    <t>폴라 화이트/브라운</t>
    <phoneticPr fontId="2" type="noConversion"/>
  </si>
  <si>
    <t>W1KMK5AB8SF079562</t>
    <phoneticPr fontId="2" type="noConversion"/>
  </si>
  <si>
    <t>142호9102</t>
    <phoneticPr fontId="2" type="noConversion"/>
  </si>
  <si>
    <t>서울특별시 중구 충무로5길 3, 1층 10호, 11호(초동)</t>
    <phoneticPr fontId="2" type="noConversion"/>
  </si>
  <si>
    <t>후퍼gk 측후15 전면 35</t>
    <phoneticPr fontId="2" type="noConversion"/>
  </si>
  <si>
    <t>가족한정/임직원</t>
    <phoneticPr fontId="2" type="noConversion"/>
  </si>
  <si>
    <t>06790@naver.com</t>
    <phoneticPr fontId="2" type="noConversion"/>
  </si>
  <si>
    <t>차민재 팀장</t>
    <phoneticPr fontId="2" type="noConversion"/>
  </si>
  <si>
    <t>이영석</t>
    <phoneticPr fontId="2" type="noConversion"/>
  </si>
  <si>
    <t>170-91002-685704</t>
    <phoneticPr fontId="2" type="noConversion"/>
  </si>
  <si>
    <t>293-42-01130</t>
    <phoneticPr fontId="2" type="noConversion"/>
  </si>
  <si>
    <t>서울특별시 중구 충무로5길 3, 1층, 10호, 11호(초동)</t>
    <phoneticPr fontId="2" type="noConversion"/>
  </si>
  <si>
    <t>G90-007</t>
    <phoneticPr fontId="2" type="noConversion"/>
  </si>
  <si>
    <t>(주)에이이엠테크</t>
    <phoneticPr fontId="2" type="noConversion"/>
  </si>
  <si>
    <t>이희웅 대표님</t>
    <phoneticPr fontId="2" type="noConversion"/>
  </si>
  <si>
    <t>010-4328-8158</t>
    <phoneticPr fontId="2" type="noConversion"/>
  </si>
  <si>
    <t>3.5T AWD 20in 다이아몬드 SDS</t>
    <phoneticPr fontId="2" type="noConversion"/>
  </si>
  <si>
    <t>비크블랙 / 옵시디언블랙/보르도 브라운 투톤</t>
    <phoneticPr fontId="2" type="noConversion"/>
  </si>
  <si>
    <t>뱅앤올룹슨 사운드 패키지(390만), 빌트인 캠 패키지(80만), 파노라마 선루프(200만), 프리미엄 컬랙션(1160만)플로팅 휠캡+메탈 페탈(20만)</t>
    <phoneticPr fontId="2" type="noConversion"/>
  </si>
  <si>
    <t>김진희 과장님</t>
    <phoneticPr fontId="2" type="noConversion"/>
  </si>
  <si>
    <t>010-7120-7470</t>
    <phoneticPr fontId="2" type="noConversion"/>
  </si>
  <si>
    <t>㈜에이이엠테크</t>
    <phoneticPr fontId="2" type="noConversion"/>
  </si>
  <si>
    <t>100-018-174908</t>
    <phoneticPr fontId="2" type="noConversion"/>
  </si>
  <si>
    <t>131-81-72578</t>
    <phoneticPr fontId="2" type="noConversion"/>
  </si>
  <si>
    <t>경기도 수원시 권선구 산업로156번길 88-55(고색동)</t>
    <phoneticPr fontId="2" type="noConversion"/>
  </si>
  <si>
    <t>124611-0289303</t>
    <phoneticPr fontId="2" type="noConversion"/>
  </si>
  <si>
    <t>G90-008</t>
    <phoneticPr fontId="2" type="noConversion"/>
  </si>
  <si>
    <t>3.5T AWD 19in 다이아몬드</t>
    <phoneticPr fontId="2" type="noConversion"/>
  </si>
  <si>
    <t>빌트인캠(80만), 앞좌석 컴포트 캐피지(250만)</t>
    <phoneticPr fontId="2" type="noConversion"/>
  </si>
  <si>
    <t>5인승 2.5T AWD 20in</t>
    <phoneticPr fontId="2" type="noConversion"/>
  </si>
  <si>
    <t>마칼루그레이(무광)/스모키그린(어스브라운 시트)</t>
    <phoneticPr fontId="2" type="noConversion"/>
  </si>
  <si>
    <t>빌트인캠패키지(85만), 파노라마썬루프(140만)</t>
    <phoneticPr fontId="2" type="noConversion"/>
  </si>
  <si>
    <t>G90-009</t>
    <phoneticPr fontId="2" type="noConversion"/>
  </si>
  <si>
    <t>정주호 회장님</t>
    <phoneticPr fontId="2" type="noConversion"/>
  </si>
  <si>
    <t>010-3757-4086</t>
    <phoneticPr fontId="2" type="noConversion"/>
  </si>
  <si>
    <t>3.5T AWD e-S/C 20in 다이아몬드 SDS</t>
    <phoneticPr fontId="2" type="noConversion"/>
  </si>
  <si>
    <t>비크블랙/옵시디언블랙모노톤(뉴스페이퍼 스트라이프)</t>
    <phoneticPr fontId="2" type="noConversion"/>
  </si>
  <si>
    <t>빌트인 캠 패키지(80만), 파노라마 선루프(200만), 프리미엄 컬랙션(1160만)</t>
    <phoneticPr fontId="2" type="noConversion"/>
  </si>
  <si>
    <t>460128-1041713</t>
    <phoneticPr fontId="2" type="noConversion"/>
  </si>
  <si>
    <t>서울시 용산구 이촌로64길 15, 109동 702호</t>
    <phoneticPr fontId="2" type="noConversion"/>
  </si>
  <si>
    <t>Cona-02</t>
    <phoneticPr fontId="2" type="noConversion"/>
  </si>
  <si>
    <t>다홍치마앤컴퍼니</t>
    <phoneticPr fontId="2" type="noConversion"/>
  </si>
  <si>
    <t>박기종 대표님</t>
    <phoneticPr fontId="2" type="noConversion"/>
  </si>
  <si>
    <t>010-8955-3578</t>
    <phoneticPr fontId="2" type="noConversion"/>
  </si>
  <si>
    <t>코나</t>
    <phoneticPr fontId="2" type="noConversion"/>
  </si>
  <si>
    <t>하이브리드 2WD H-Pick</t>
    <phoneticPr fontId="2" type="noConversion"/>
  </si>
  <si>
    <t>사이버 그레이 메탈릭 / 그레이</t>
    <phoneticPr fontId="2" type="noConversion"/>
  </si>
  <si>
    <t>베스트셀렉션2 (79만), 빌트인 캠2, 증강현실 내비게이션 (45만), 컨비니언스 (40만), 파킹어시스트 (99만), 하이패스 (20만)</t>
    <phoneticPr fontId="2" type="noConversion"/>
  </si>
  <si>
    <t>goodzong@gmail.com</t>
    <phoneticPr fontId="2" type="noConversion"/>
  </si>
  <si>
    <t>박기종(다홍치마앤컴퍼니)</t>
    <phoneticPr fontId="2" type="noConversion"/>
  </si>
  <si>
    <t>110-325-393350</t>
    <phoneticPr fontId="2" type="noConversion"/>
  </si>
  <si>
    <t>105-17-85694</t>
    <phoneticPr fontId="2" type="noConversion"/>
  </si>
  <si>
    <t>서울특별시 중구 삼일대로 663, 810호(장교동, 장교빌딩)</t>
    <phoneticPr fontId="2" type="noConversion"/>
  </si>
  <si>
    <t>Grander-006</t>
    <phoneticPr fontId="2" type="noConversion"/>
  </si>
  <si>
    <t>Ray-022</t>
    <phoneticPr fontId="2" type="noConversion"/>
  </si>
  <si>
    <t>Avante-001</t>
  </si>
  <si>
    <t>GV80-004</t>
    <phoneticPr fontId="2" type="noConversion"/>
  </si>
  <si>
    <t>함재훈 이사님</t>
    <phoneticPr fontId="2" type="noConversion"/>
  </si>
  <si>
    <t>KMTHA81BDSU307166</t>
    <phoneticPr fontId="2" type="noConversion"/>
  </si>
  <si>
    <t>142호9141</t>
    <phoneticPr fontId="2" type="noConversion"/>
  </si>
  <si>
    <t>KMTFB41DDTU056880</t>
    <phoneticPr fontId="2" type="noConversion"/>
  </si>
  <si>
    <t>125하4677</t>
    <phoneticPr fontId="2" type="noConversion"/>
  </si>
  <si>
    <t>KMTFA41DDTU056883</t>
    <phoneticPr fontId="2" type="noConversion"/>
  </si>
  <si>
    <t>142호9145</t>
    <phoneticPr fontId="2" type="noConversion"/>
  </si>
  <si>
    <t xml:space="preserve">수원시 권선구 산업로 156번길 88-55 </t>
    <phoneticPr fontId="2" type="noConversion"/>
  </si>
  <si>
    <t>버택스300 전면 35% 측후면 15%</t>
    <phoneticPr fontId="2" type="noConversion"/>
  </si>
  <si>
    <t>레인보우 VS100 전면 35% 측면 15% 후면 5%, 선루프 일반 5%</t>
    <phoneticPr fontId="2" type="noConversion"/>
  </si>
  <si>
    <t>25일</t>
    <phoneticPr fontId="2" type="noConversion"/>
  </si>
  <si>
    <t>KMHHB811GTU179355</t>
    <phoneticPr fontId="2" type="noConversion"/>
  </si>
  <si>
    <t>Benz-025</t>
    <phoneticPr fontId="2" type="noConversion"/>
  </si>
  <si>
    <t>010-5241-4431</t>
    <phoneticPr fontId="2" type="noConversion"/>
  </si>
  <si>
    <t>옵시디언 블랙 / 블랙</t>
    <phoneticPr fontId="2" type="noConversion"/>
  </si>
  <si>
    <t>W1K6G6DB4SA339335</t>
    <phoneticPr fontId="2" type="noConversion"/>
  </si>
  <si>
    <t>안광선(중앙인더스피아제3공장)</t>
    <phoneticPr fontId="2" type="noConversion"/>
  </si>
  <si>
    <t>1002-951-249199</t>
    <phoneticPr fontId="2" type="noConversion"/>
  </si>
  <si>
    <t>129-01-08732</t>
    <phoneticPr fontId="2" type="noConversion"/>
  </si>
  <si>
    <t>경기도 성남시 중원구 사기막골로105번길 27(상대원동)</t>
    <phoneticPr fontId="2" type="noConversion"/>
  </si>
  <si>
    <t>induspia3@naver.com</t>
    <phoneticPr fontId="2" type="noConversion"/>
  </si>
  <si>
    <t>중앙인더스피아제3공장</t>
    <phoneticPr fontId="2" type="noConversion"/>
  </si>
  <si>
    <t>바이오플릭블루펄/인디고/브라운투톤</t>
    <phoneticPr fontId="2" type="noConversion"/>
  </si>
  <si>
    <t>KMHN141DBTA123415</t>
    <phoneticPr fontId="2" type="noConversion"/>
  </si>
  <si>
    <t>현대스마트센스1(84만)</t>
    <phoneticPr fontId="2" type="noConversion"/>
  </si>
  <si>
    <t>아이나비 Z9900</t>
    <phoneticPr fontId="2" type="noConversion"/>
  </si>
  <si>
    <t>142호8391</t>
    <phoneticPr fontId="2" type="noConversion"/>
  </si>
  <si>
    <t>142호9404</t>
    <phoneticPr fontId="2" type="noConversion"/>
  </si>
  <si>
    <t>경기도 남양주시 순화궁로 272 동광 비즈타워(별내동)</t>
    <phoneticPr fontId="2" type="noConversion"/>
  </si>
  <si>
    <t>서울시 용산구 이촌로64길 15 엘지한강자이아파트 109동 702호</t>
    <phoneticPr fontId="2" type="noConversion"/>
  </si>
  <si>
    <t>142호9405</t>
    <phoneticPr fontId="2" type="noConversion"/>
  </si>
  <si>
    <t>KMTFA41DDTU057232</t>
    <phoneticPr fontId="2" type="noConversion"/>
  </si>
  <si>
    <t>강남대로 전시장</t>
    <phoneticPr fontId="2" type="noConversion"/>
  </si>
  <si>
    <t>안광선 회장님</t>
    <phoneticPr fontId="2" type="noConversion"/>
  </si>
  <si>
    <t>주식회사 동천에스씨</t>
    <phoneticPr fontId="2" type="noConversion"/>
  </si>
  <si>
    <t>140-012-233131</t>
    <phoneticPr fontId="2" type="noConversion"/>
  </si>
  <si>
    <t>453-87-00957</t>
    <phoneticPr fontId="2" type="noConversion"/>
  </si>
  <si>
    <t>경기도 시흥시 계수로 213(계수동)</t>
    <phoneticPr fontId="2" type="noConversion"/>
  </si>
  <si>
    <t>Ionic6-001</t>
    <phoneticPr fontId="2" type="noConversion"/>
  </si>
  <si>
    <t>Ionic6-002</t>
    <phoneticPr fontId="2" type="noConversion"/>
  </si>
  <si>
    <t>아이오닉6</t>
    <phoneticPr fontId="2" type="noConversion"/>
  </si>
  <si>
    <t>2WD 스탠다드 18인치 E-VALUE+</t>
    <phoneticPr fontId="2" type="noConversion"/>
  </si>
  <si>
    <t>최진희 사원님</t>
    <phoneticPr fontId="2" type="noConversion"/>
  </si>
  <si>
    <t>010-4406-3573</t>
    <phoneticPr fontId="2" type="noConversion"/>
  </si>
  <si>
    <t>양공식 대표님</t>
    <phoneticPr fontId="2" type="noConversion"/>
  </si>
  <si>
    <t>010-7654-7376</t>
    <phoneticPr fontId="2" type="noConversion"/>
  </si>
  <si>
    <t>이태문</t>
    <phoneticPr fontId="2" type="noConversion"/>
  </si>
  <si>
    <t>KMHM141BFTA114035</t>
    <phoneticPr fontId="2" type="noConversion"/>
  </si>
  <si>
    <t>KMHM141BFTA114031</t>
    <phoneticPr fontId="2" type="noConversion"/>
  </si>
  <si>
    <t>kyungeun@thedaylabs.com</t>
    <phoneticPr fontId="2" type="noConversion"/>
  </si>
  <si>
    <t>01호8406</t>
    <phoneticPr fontId="2" type="noConversion"/>
  </si>
  <si>
    <t>01호8407</t>
    <phoneticPr fontId="2" type="noConversion"/>
  </si>
  <si>
    <t>경기도 용인시 기흥구 덕영대로1967번길 38-13</t>
    <phoneticPr fontId="2" type="noConversion"/>
  </si>
  <si>
    <t>코일매트</t>
  </si>
  <si>
    <t>Benz-026</t>
    <phoneticPr fontId="2" type="noConversion"/>
  </si>
  <si>
    <t>142호9168</t>
    <phoneticPr fontId="2" type="noConversion"/>
  </si>
  <si>
    <t>W1K6G6DB7SA334565</t>
    <phoneticPr fontId="2" type="noConversion"/>
  </si>
  <si>
    <t>경기도 평택시 송탄로 421 송탄농협중앙지점</t>
    <phoneticPr fontId="2" type="noConversion"/>
  </si>
  <si>
    <t>김경무</t>
    <phoneticPr fontId="2" type="noConversion"/>
  </si>
  <si>
    <t>010-2294-7638</t>
    <phoneticPr fontId="2" type="noConversion"/>
  </si>
  <si>
    <t>개별소비세(교육세,가산세포함)</t>
    <phoneticPr fontId="2" type="noConversion"/>
  </si>
  <si>
    <t>Benz-003_2</t>
    <phoneticPr fontId="2" type="noConversion"/>
  </si>
  <si>
    <t>114646-0038056</t>
    <phoneticPr fontId="2" type="noConversion"/>
  </si>
  <si>
    <t>서울시 강남구 영동대로 517(삼성동, 아셈타워 18,19,22,23,34층)</t>
    <phoneticPr fontId="2" type="noConversion"/>
  </si>
  <si>
    <t>이명수 대표님</t>
    <phoneticPr fontId="2" type="noConversion"/>
  </si>
  <si>
    <t>청담</t>
    <phoneticPr fontId="2" type="noConversion"/>
  </si>
  <si>
    <t>김기조 대리님</t>
    <phoneticPr fontId="2" type="noConversion"/>
  </si>
  <si>
    <t>010-5591-5374</t>
    <phoneticPr fontId="2" type="noConversion"/>
  </si>
  <si>
    <t>wb.liss_song@dspharm.com</t>
    <phoneticPr fontId="2" type="noConversion"/>
  </si>
  <si>
    <t>G80-008</t>
    <phoneticPr fontId="2" type="noConversion"/>
  </si>
  <si>
    <t>Benz-001_1</t>
    <phoneticPr fontId="2" type="noConversion"/>
  </si>
  <si>
    <t>Grander-007</t>
    <phoneticPr fontId="2" type="noConversion"/>
  </si>
  <si>
    <t>1.6T 프리미엄 2WD 2026</t>
    <phoneticPr fontId="2" type="noConversion"/>
  </si>
  <si>
    <t>세레니티 화이트 펄/인디고/브라운투톤</t>
    <phoneticPr fontId="2" type="noConversion"/>
  </si>
  <si>
    <t>KMHN1411BTA133385</t>
    <phoneticPr fontId="2" type="noConversion"/>
  </si>
  <si>
    <t>테즈먼 블루/옵시디언 블랙 모노톤</t>
    <phoneticPr fontId="2" type="noConversion"/>
  </si>
  <si>
    <t>010-2079-8864</t>
    <phoneticPr fontId="2" type="noConversion"/>
  </si>
  <si>
    <t>주식회사 지엔</t>
    <phoneticPr fontId="2" type="noConversion"/>
  </si>
  <si>
    <t>경기도 의왕시 뒷골길 24, 1층(내손동)</t>
    <phoneticPr fontId="2" type="noConversion"/>
  </si>
  <si>
    <t>134111-0423454</t>
    <phoneticPr fontId="2" type="noConversion"/>
  </si>
  <si>
    <t>파퓰어 패키지(225만)</t>
    <phoneticPr fontId="2" type="noConversion"/>
  </si>
  <si>
    <t>이현중 팀장님</t>
    <phoneticPr fontId="2" type="noConversion"/>
  </si>
  <si>
    <t>010-4611-9239</t>
    <phoneticPr fontId="2" type="noConversion"/>
  </si>
  <si>
    <t>142호9153</t>
    <phoneticPr fontId="2" type="noConversion"/>
  </si>
  <si>
    <t>142호9185</t>
    <phoneticPr fontId="2" type="noConversion"/>
  </si>
  <si>
    <t>파킹어시스트(143만), 플래티넘(129만), 현대스마트센스(84만)</t>
    <phoneticPr fontId="2" type="noConversion"/>
  </si>
  <si>
    <t>신흥정보통신㈜</t>
    <phoneticPr fontId="2" type="noConversion"/>
  </si>
  <si>
    <t>장혜원 대표님</t>
    <phoneticPr fontId="2" type="noConversion"/>
  </si>
  <si>
    <t>KMTGB41CDTU322678</t>
    <phoneticPr fontId="2" type="noConversion"/>
  </si>
  <si>
    <t>142호9486</t>
    <phoneticPr fontId="2" type="noConversion"/>
  </si>
  <si>
    <t>G80-001_1</t>
    <phoneticPr fontId="2" type="noConversion"/>
  </si>
  <si>
    <t>이상빈</t>
    <phoneticPr fontId="2" type="noConversion"/>
  </si>
  <si>
    <t>이상빈 고객님</t>
    <phoneticPr fontId="2" type="noConversion"/>
  </si>
  <si>
    <t>010-8321-0684</t>
    <phoneticPr fontId="2" type="noConversion"/>
  </si>
  <si>
    <t>서울시 서초구 양재천로 117-18</t>
    <phoneticPr fontId="2" type="noConversion"/>
  </si>
  <si>
    <t>110-021-307642</t>
    <phoneticPr fontId="2" type="noConversion"/>
  </si>
  <si>
    <t>510817-1023729</t>
    <phoneticPr fontId="2" type="noConversion"/>
  </si>
  <si>
    <t>K5-001</t>
    <phoneticPr fontId="2" type="noConversion"/>
  </si>
  <si>
    <t>GV80-005</t>
    <phoneticPr fontId="2" type="noConversion"/>
  </si>
  <si>
    <t>하이브리드 프레스티지 베스트셀렉션</t>
    <phoneticPr fontId="2" type="noConversion"/>
  </si>
  <si>
    <t>스노우 화이트펄/블랙</t>
    <phoneticPr fontId="2" type="noConversion"/>
  </si>
  <si>
    <t>빌트인 캠2(45만)</t>
    <phoneticPr fontId="2" type="noConversion"/>
  </si>
  <si>
    <t>2.5T AWD 19인치 SDS1</t>
    <phoneticPr fontId="2" type="noConversion"/>
  </si>
  <si>
    <t>비크블랙 / 스모키그린(어스브라운 시트)</t>
    <phoneticPr fontId="2" type="noConversion"/>
  </si>
  <si>
    <t>드라이빙 어시스턴스 패키지2(270만), 드라이빙 어시스턴스 패키지(195만), 헤드업디스플레이130만)</t>
    <phoneticPr fontId="2" type="noConversion"/>
  </si>
  <si>
    <t>142호9512</t>
    <phoneticPr fontId="2" type="noConversion"/>
  </si>
  <si>
    <t>142호9513</t>
    <phoneticPr fontId="2" type="noConversion"/>
  </si>
  <si>
    <t>KMTHA81BDTU313089</t>
    <phoneticPr fontId="2" type="noConversion"/>
  </si>
  <si>
    <t>KNAG741JBTA060814</t>
    <phoneticPr fontId="2" type="noConversion"/>
  </si>
  <si>
    <t>정상태</t>
    <phoneticPr fontId="2" type="noConversion"/>
  </si>
  <si>
    <t>정상태 고객님</t>
    <phoneticPr fontId="2" type="noConversion"/>
  </si>
  <si>
    <t>010-3322-1600</t>
    <phoneticPr fontId="2" type="noConversion"/>
  </si>
  <si>
    <t>더 뉴 레이</t>
    <phoneticPr fontId="2" type="noConversion"/>
  </si>
  <si>
    <t xml:space="preserve"> 가솔린 시그니처(A/T 2026MY)</t>
    <phoneticPr fontId="2" type="noConversion"/>
  </si>
  <si>
    <t>클리어 확이트/라이트 그레이</t>
    <phoneticPr fontId="2" type="noConversion"/>
  </si>
  <si>
    <t>스타일(50만), 8인치 내비게이션(50만)</t>
    <phoneticPr fontId="2" type="noConversion"/>
  </si>
  <si>
    <t>경기도 하남시 위례대로 6길 20, 7103동1402호</t>
    <phoneticPr fontId="2" type="noConversion"/>
  </si>
  <si>
    <t>1bdoffice@naver.com</t>
    <phoneticPr fontId="2" type="noConversion"/>
  </si>
  <si>
    <t>100-023-689051</t>
    <phoneticPr fontId="2" type="noConversion"/>
  </si>
  <si>
    <t>120-06-60643</t>
    <phoneticPr fontId="2" type="noConversion"/>
  </si>
  <si>
    <t>서울특별시 강남구 도곡로 444(대치동)</t>
    <phoneticPr fontId="2" type="noConversion"/>
  </si>
  <si>
    <t>314-88-00246</t>
    <phoneticPr fontId="2" type="noConversion"/>
  </si>
  <si>
    <t>K5-002</t>
    <phoneticPr fontId="2" type="noConversion"/>
  </si>
  <si>
    <t>HEV 2WD 시그니처 5인승</t>
    <phoneticPr fontId="2" type="noConversion"/>
  </si>
  <si>
    <t>스노우 화이트펄/올리브 브라운</t>
    <phoneticPr fontId="2" type="noConversion"/>
  </si>
  <si>
    <t>드라이브 와이즈 (129만), 스마트 커넥트 (70만), 스노우 화이트펄 외장컬러 (8만), 19인치 휠 (30만)</t>
    <phoneticPr fontId="2" type="noConversion"/>
  </si>
  <si>
    <t>142호9555</t>
    <phoneticPr fontId="2" type="noConversion"/>
  </si>
  <si>
    <t>KNACH811BTT460300</t>
    <phoneticPr fontId="2" type="noConversion"/>
  </si>
  <si>
    <t>블박 아이나비 Z7000</t>
    <phoneticPr fontId="2" type="noConversion"/>
  </si>
  <si>
    <t>G80-002_1</t>
    <phoneticPr fontId="2" type="noConversion"/>
  </si>
  <si>
    <t>㈜다성테크</t>
    <phoneticPr fontId="2" type="noConversion"/>
  </si>
  <si>
    <t>경기도 이천시 마장면 서이천로 195</t>
    <phoneticPr fontId="2" type="noConversion"/>
  </si>
  <si>
    <t>010-2790-9069</t>
  </si>
  <si>
    <t>010-2790-9069</t>
    <phoneticPr fontId="2" type="noConversion"/>
  </si>
  <si>
    <t>정성조 주임님</t>
    <phoneticPr fontId="2" type="noConversion"/>
  </si>
  <si>
    <t>126-81-94866</t>
    <phoneticPr fontId="2" type="noConversion"/>
  </si>
  <si>
    <t>134411-0031764</t>
    <phoneticPr fontId="2" type="noConversion"/>
  </si>
  <si>
    <t>241-053678-01-019</t>
    <phoneticPr fontId="2" type="noConversion"/>
  </si>
  <si>
    <t>spjoint@bill36524.com</t>
    <phoneticPr fontId="2" type="noConversion"/>
  </si>
  <si>
    <t>KNAG741JBTA061764</t>
    <phoneticPr fontId="2" type="noConversion"/>
  </si>
  <si>
    <t>142호9554</t>
    <phoneticPr fontId="2" type="noConversion"/>
  </si>
  <si>
    <t>KNARK81GBTA477468</t>
    <phoneticPr fontId="2" type="noConversion"/>
  </si>
  <si>
    <t>142호9209</t>
    <phoneticPr fontId="2" type="noConversion"/>
  </si>
  <si>
    <t>Avante-004</t>
    <phoneticPr fontId="2" type="noConversion"/>
  </si>
  <si>
    <t xml:space="preserve">아반떼 </t>
    <phoneticPr fontId="2" type="noConversion"/>
  </si>
  <si>
    <t>1.6 Modern A/T</t>
    <phoneticPr fontId="2" type="noConversion"/>
  </si>
  <si>
    <t>아틀라스 화이트 / 블랙 원톤</t>
    <phoneticPr fontId="2" type="noConversion"/>
  </si>
  <si>
    <t>현대 스마트센스(129만), 파킹 어시스트 플러스(69만)</t>
    <phoneticPr fontId="2" type="noConversion"/>
  </si>
  <si>
    <t>110111-3952127</t>
    <phoneticPr fontId="2" type="noConversion"/>
  </si>
  <si>
    <t>연1회 총 4회 제공</t>
    <phoneticPr fontId="2" type="noConversion"/>
  </si>
  <si>
    <t>타바론코리아주식회사</t>
    <phoneticPr fontId="2" type="noConversion"/>
  </si>
  <si>
    <t>K5(H)</t>
    <phoneticPr fontId="2" type="noConversion"/>
  </si>
  <si>
    <t>Sorento(H)</t>
    <phoneticPr fontId="2" type="noConversion"/>
  </si>
  <si>
    <t>KMHLN41EETU168536</t>
    <phoneticPr fontId="2" type="noConversion"/>
  </si>
  <si>
    <t>151호1309</t>
    <phoneticPr fontId="2" type="noConversion"/>
  </si>
  <si>
    <t>김수연 원장님</t>
  </si>
  <si>
    <t>010-2678-8856</t>
  </si>
  <si>
    <t>Avante</t>
  </si>
  <si>
    <t>폴라 화이트/블랙모노톤</t>
  </si>
  <si>
    <t>가솔린</t>
  </si>
  <si>
    <t>KMHLM41EEPU454892</t>
  </si>
  <si>
    <t>125호5281</t>
  </si>
  <si>
    <t>-</t>
  </si>
  <si>
    <t>3</t>
  </si>
  <si>
    <t>만26세</t>
  </si>
  <si>
    <t>무한대</t>
  </si>
  <si>
    <t>2억원</t>
  </si>
  <si>
    <t>1억원/1500만</t>
  </si>
  <si>
    <t>30만원</t>
  </si>
  <si>
    <t>누구나</t>
  </si>
  <si>
    <t>5회/년</t>
  </si>
  <si>
    <t>가입</t>
  </si>
  <si>
    <t>브랜드보증 외 사용자 부담</t>
  </si>
  <si>
    <t>현금</t>
  </si>
  <si>
    <t>ksykja@naver.com</t>
  </si>
  <si>
    <t>현대</t>
  </si>
  <si>
    <t>박현식 부장</t>
  </si>
  <si>
    <t>김수연</t>
  </si>
  <si>
    <t>하나은행</t>
  </si>
  <si>
    <t>876-032006-91407</t>
  </si>
  <si>
    <t>750816-2925111</t>
  </si>
  <si>
    <t>경기도 하남시 위례광장로 285, 6208동 402호</t>
  </si>
  <si>
    <t>125호3204</t>
    <phoneticPr fontId="2" type="noConversion"/>
  </si>
  <si>
    <t>버튼시동 스마트키(30만), 8인치 내비게이션(140만)</t>
    <phoneticPr fontId="2" type="noConversion"/>
  </si>
  <si>
    <t>010-9352-1984</t>
    <phoneticPr fontId="2" type="noConversion"/>
  </si>
  <si>
    <t>주식회사 삼지</t>
    <phoneticPr fontId="2" type="noConversion"/>
  </si>
  <si>
    <t>경기도 안성시 원곡면 지문로 120-39, 1, 2층</t>
    <phoneticPr fontId="2" type="noConversion"/>
  </si>
  <si>
    <t>㈜삼지</t>
    <phoneticPr fontId="2" type="noConversion"/>
  </si>
  <si>
    <t>587-072563-04-011</t>
    <phoneticPr fontId="2" type="noConversion"/>
  </si>
  <si>
    <t>856-87-03167</t>
    <phoneticPr fontId="2" type="noConversion"/>
  </si>
  <si>
    <t>134611-0141189</t>
    <phoneticPr fontId="2" type="noConversion"/>
  </si>
  <si>
    <t>김인숙 주임님</t>
    <phoneticPr fontId="2" type="noConversion"/>
  </si>
  <si>
    <t>Grander-008</t>
    <phoneticPr fontId="2" type="noConversion"/>
  </si>
  <si>
    <t>권영희 고객님</t>
    <phoneticPr fontId="2" type="noConversion"/>
  </si>
  <si>
    <t>KNACF811BTT465119</t>
    <phoneticPr fontId="2" type="noConversion"/>
  </si>
  <si>
    <t>151호1348</t>
    <phoneticPr fontId="2" type="noConversion"/>
  </si>
  <si>
    <t>Grander-009</t>
    <phoneticPr fontId="2" type="noConversion"/>
  </si>
  <si>
    <t>Grander-010</t>
    <phoneticPr fontId="2" type="noConversion"/>
  </si>
  <si>
    <t>G80-009</t>
    <phoneticPr fontId="2" type="noConversion"/>
  </si>
  <si>
    <t>010-6310-8117</t>
    <phoneticPr fontId="2" type="noConversion"/>
  </si>
  <si>
    <t>(주)유엔에스</t>
    <phoneticPr fontId="2" type="noConversion"/>
  </si>
  <si>
    <t>1.6T 하이브리드 프리미엄</t>
    <phoneticPr fontId="2" type="noConversion"/>
  </si>
  <si>
    <t>파킹어시스트(143만), 현대스마트센트1(84만)</t>
    <phoneticPr fontId="2" type="noConversion"/>
  </si>
  <si>
    <t>㈜유엔에스</t>
    <phoneticPr fontId="2" type="noConversion"/>
  </si>
  <si>
    <t>1005-304-199994</t>
    <phoneticPr fontId="2" type="noConversion"/>
  </si>
  <si>
    <t>557-81-02181</t>
    <phoneticPr fontId="2" type="noConversion"/>
  </si>
  <si>
    <t>경기도 화성시 효행구 봉담읍 샘마을길 4-16, 1동 601호(봉담코아루카
보드줌시티)</t>
    <phoneticPr fontId="2" type="noConversion"/>
  </si>
  <si>
    <t>134811-0625329</t>
    <phoneticPr fontId="2" type="noConversion"/>
  </si>
  <si>
    <t>김건우 회장님</t>
    <phoneticPr fontId="2" type="noConversion"/>
  </si>
  <si>
    <t>010-5240-4361</t>
    <phoneticPr fontId="2" type="noConversion"/>
  </si>
  <si>
    <t>파킹어시스트(143만), 현대스마트센트1(84만), 플래티넘(129만)</t>
    <phoneticPr fontId="2" type="noConversion"/>
  </si>
  <si>
    <t>010-6648-4029</t>
    <phoneticPr fontId="2" type="noConversion"/>
  </si>
  <si>
    <t>홍충희 대표님</t>
    <phoneticPr fontId="2" type="noConversion"/>
  </si>
  <si>
    <t>3.5 아너스 2WD</t>
    <phoneticPr fontId="2" type="noConversion"/>
  </si>
  <si>
    <t>어비스블랙펄/블랙/브라운투톤</t>
    <phoneticPr fontId="2" type="noConversion"/>
  </si>
  <si>
    <t>2열컴포트 패키지(99만), 헤드업 디스플레이(99만), 빌트인 공기청정기2.0(59만)</t>
    <phoneticPr fontId="2" type="noConversion"/>
  </si>
  <si>
    <t>최정인 과장님</t>
    <phoneticPr fontId="2" type="noConversion"/>
  </si>
  <si>
    <t>비크블랙 / 에크루 카멜 모노톤</t>
    <phoneticPr fontId="2" type="noConversion"/>
  </si>
  <si>
    <t>파퓰러 패키지(255만)</t>
    <phoneticPr fontId="2" type="noConversion"/>
  </si>
  <si>
    <t>(주)모니터랩</t>
    <phoneticPr fontId="2" type="noConversion"/>
  </si>
  <si>
    <t>이광후 대표님</t>
    <phoneticPr fontId="2" type="noConversion"/>
  </si>
  <si>
    <t>010-5878-5544</t>
    <phoneticPr fontId="2" type="noConversion"/>
  </si>
  <si>
    <t>김준성 부장님</t>
    <phoneticPr fontId="2" type="noConversion"/>
  </si>
  <si>
    <t>서울시 구로구 디지털로 306 대륭포스트타워 2차 1008호 (주)모니터랩</t>
    <phoneticPr fontId="2" type="noConversion"/>
  </si>
  <si>
    <t>juneskim@monitorapp.com</t>
    <phoneticPr fontId="2" type="noConversion"/>
  </si>
  <si>
    <t>㈜모니터랩</t>
    <phoneticPr fontId="2" type="noConversion"/>
  </si>
  <si>
    <t>215-058130-04-018</t>
    <phoneticPr fontId="2" type="noConversion"/>
  </si>
  <si>
    <t>214-87-66413</t>
    <phoneticPr fontId="2" type="noConversion"/>
  </si>
  <si>
    <t>서울특별시 구로구 디지털로 306, 1008호(구로동, 대륭포스트타워2차)</t>
    <phoneticPr fontId="2" type="noConversion"/>
  </si>
  <si>
    <t>110111-3173351</t>
    <phoneticPr fontId="2" type="noConversion"/>
  </si>
  <si>
    <t>Sportage-002</t>
    <phoneticPr fontId="2" type="noConversion"/>
  </si>
  <si>
    <t>2.5T AWD 18인치 25MY</t>
    <phoneticPr fontId="2" type="noConversion"/>
  </si>
  <si>
    <t>KMTGB41CDTU328051</t>
    <phoneticPr fontId="2" type="noConversion"/>
  </si>
  <si>
    <t>KMHN1411BTA146899</t>
    <phoneticPr fontId="2" type="noConversion"/>
  </si>
  <si>
    <t>142호9264</t>
    <phoneticPr fontId="2" type="noConversion"/>
  </si>
  <si>
    <t>빌트인 캠</t>
    <phoneticPr fontId="2" type="noConversion"/>
  </si>
  <si>
    <t>우산 2개</t>
    <phoneticPr fontId="2" type="noConversion"/>
  </si>
  <si>
    <t>applehee0@naver.com</t>
    <phoneticPr fontId="2" type="noConversion"/>
  </si>
  <si>
    <t>Tucson-001</t>
    <phoneticPr fontId="2" type="noConversion"/>
  </si>
  <si>
    <t>㈜대경인트라넷</t>
    <phoneticPr fontId="2" type="noConversion"/>
  </si>
  <si>
    <t xml:space="preserve"> 1.6T Inspiration 2WD DCT</t>
    <phoneticPr fontId="2" type="noConversion"/>
  </si>
  <si>
    <t>투싼</t>
    <phoneticPr fontId="2" type="noConversion"/>
  </si>
  <si>
    <t>크리미화이트펄 / 블랙/그레이 투톤(퀄팅천연가죽 시트)</t>
    <phoneticPr fontId="2" type="noConversion"/>
  </si>
  <si>
    <t>빌트인 캠 2, 증강현실 내비게이션 (45만), 베스트 셀렉션Ⅲ 122만, H Genuine Accessories 빌트인 공기청정기 (40만), 프로텍션 매트 패키지 1(23만), 러기지 패키지 (12만), 블랙 사이드스텝 (39만)</t>
    <phoneticPr fontId="2" type="noConversion"/>
  </si>
  <si>
    <t>010-9096-7767</t>
    <phoneticPr fontId="2" type="noConversion"/>
  </si>
  <si>
    <t>경기도 시흥시 계수로 213 대경인트라넷</t>
    <phoneticPr fontId="2" type="noConversion"/>
  </si>
  <si>
    <t>㈜대경인트라넷 이강열</t>
    <phoneticPr fontId="2" type="noConversion"/>
  </si>
  <si>
    <t>서울특별시 구로구 오리로 17길 70, 지층-2(궁동)</t>
    <phoneticPr fontId="2" type="noConversion"/>
  </si>
  <si>
    <t>110111-1963407</t>
    <phoneticPr fontId="2" type="noConversion"/>
  </si>
  <si>
    <t>106-018181-01-036</t>
    <phoneticPr fontId="2" type="noConversion"/>
  </si>
  <si>
    <t>지앤텍벤처투자㈜</t>
    <phoneticPr fontId="2" type="noConversion"/>
  </si>
  <si>
    <t>서울특별시 강남구 테헤란로 516, 9층(대치동, 정헌빌딩)</t>
    <phoneticPr fontId="2" type="noConversion"/>
  </si>
  <si>
    <t>jichoe@gntechvc.co.kr</t>
    <phoneticPr fontId="2" type="noConversion"/>
  </si>
  <si>
    <t>140-010-200466</t>
    <phoneticPr fontId="2" type="noConversion"/>
  </si>
  <si>
    <t>211-86-94062</t>
    <phoneticPr fontId="2" type="noConversion"/>
  </si>
  <si>
    <t>110111-1920887</t>
    <phoneticPr fontId="2" type="noConversion"/>
  </si>
  <si>
    <t>Benz-027</t>
    <phoneticPr fontId="2" type="noConversion"/>
  </si>
  <si>
    <t>G450d</t>
    <phoneticPr fontId="2" type="noConversion"/>
  </si>
  <si>
    <t>W1NWC1AB4TX071682</t>
    <phoneticPr fontId="2" type="noConversion"/>
  </si>
  <si>
    <t>BLACK/BROWN</t>
    <phoneticPr fontId="2" type="noConversion"/>
  </si>
  <si>
    <t>Tesla-001</t>
    <phoneticPr fontId="2" type="noConversion"/>
  </si>
  <si>
    <t>한현수 대표님</t>
    <phoneticPr fontId="2" type="noConversion"/>
  </si>
  <si>
    <t>010-2203-8126</t>
    <phoneticPr fontId="2" type="noConversion"/>
  </si>
  <si>
    <t>142호9269</t>
    <phoneticPr fontId="2" type="noConversion"/>
  </si>
  <si>
    <t>PPF+유리막</t>
    <phoneticPr fontId="2" type="noConversion"/>
  </si>
  <si>
    <t>142호9268</t>
    <phoneticPr fontId="2" type="noConversion"/>
  </si>
  <si>
    <t>KMHN1411BTA146773</t>
    <phoneticPr fontId="2" type="noConversion"/>
  </si>
  <si>
    <t>151호1370</t>
    <phoneticPr fontId="2" type="noConversion"/>
  </si>
  <si>
    <t>KMHN241EBTA144151</t>
    <phoneticPr fontId="2" type="noConversion"/>
  </si>
  <si>
    <t>151호1371</t>
    <phoneticPr fontId="2" type="noConversion"/>
  </si>
  <si>
    <t>김대환</t>
    <phoneticPr fontId="2" type="noConversion"/>
  </si>
  <si>
    <t>853802-04-220628</t>
    <phoneticPr fontId="2" type="noConversion"/>
  </si>
  <si>
    <t>660908-1029438</t>
    <phoneticPr fontId="2" type="noConversion"/>
  </si>
  <si>
    <t>경기도 화성시 만세구 향남읍 상신하길로 65, 1703동 902호</t>
    <phoneticPr fontId="2" type="noConversion"/>
  </si>
  <si>
    <t>경기도 화성시 만세구 향남읍 상신하길로 65,1703동 902호</t>
    <phoneticPr fontId="2" type="noConversion"/>
  </si>
  <si>
    <t>김대환 회장님</t>
    <phoneticPr fontId="2" type="noConversion"/>
  </si>
  <si>
    <t>박진일 팀장님</t>
    <phoneticPr fontId="2" type="noConversion"/>
  </si>
  <si>
    <t>KMHJE81BGTU475155</t>
    <phoneticPr fontId="2" type="noConversion"/>
  </si>
  <si>
    <t>151호1372</t>
    <phoneticPr fontId="2" type="noConversion"/>
  </si>
  <si>
    <t>kdh5250@naver.com</t>
    <phoneticPr fontId="2" type="noConversion"/>
  </si>
  <si>
    <t>bdlee@hwawoo.com</t>
  </si>
  <si>
    <t>GV70-002</t>
    <phoneticPr fontId="2" type="noConversion"/>
  </si>
  <si>
    <t>K9-001_1</t>
    <phoneticPr fontId="2" type="noConversion"/>
  </si>
  <si>
    <t>자율반납</t>
    <phoneticPr fontId="2" type="noConversion"/>
  </si>
  <si>
    <t>242-01-0050-101</t>
    <phoneticPr fontId="2" type="noConversion"/>
  </si>
  <si>
    <t>신흥정보통신㈜</t>
    <phoneticPr fontId="2" type="noConversion"/>
  </si>
  <si>
    <t>124-81-20150</t>
    <phoneticPr fontId="2" type="noConversion"/>
  </si>
  <si>
    <t>경기도 수원시 장안구 수성로 350번길 30(영화동)</t>
    <phoneticPr fontId="2" type="noConversion"/>
  </si>
  <si>
    <t>134111-0007943</t>
    <phoneticPr fontId="2" type="noConversion"/>
  </si>
  <si>
    <t>김재환 대리님</t>
    <phoneticPr fontId="2" type="noConversion"/>
  </si>
  <si>
    <t>010-2360-9309</t>
    <phoneticPr fontId="2" type="noConversion"/>
  </si>
  <si>
    <t>강승혜 고객님</t>
    <phoneticPr fontId="2" type="noConversion"/>
  </si>
  <si>
    <t>010-8620-6626</t>
    <phoneticPr fontId="2" type="noConversion"/>
  </si>
  <si>
    <t>조아림 고객님</t>
    <phoneticPr fontId="2" type="noConversion"/>
  </si>
  <si>
    <t>운영</t>
    <phoneticPr fontId="2" type="noConversion"/>
  </si>
  <si>
    <t>장기렌트</t>
    <phoneticPr fontId="2" type="noConversion"/>
  </si>
  <si>
    <t>Grander-011</t>
    <phoneticPr fontId="2" type="noConversion"/>
  </si>
  <si>
    <t>어비스 블랙 펄/인디고/브라운투톤</t>
    <phoneticPr fontId="2" type="noConversion"/>
  </si>
  <si>
    <t>계약변경</t>
    <phoneticPr fontId="2" type="noConversion"/>
  </si>
  <si>
    <t>이명주 원장님</t>
    <phoneticPr fontId="2" type="noConversion"/>
  </si>
  <si>
    <t>010-3606-6626</t>
  </si>
  <si>
    <t>우유니 화이트/옵시디언블랙 모노톤</t>
    <phoneticPr fontId="2" type="noConversion"/>
  </si>
  <si>
    <t>파퓰러패키지2(660만)</t>
    <phoneticPr fontId="2" type="noConversion"/>
  </si>
  <si>
    <t>제주시 은남1길 46, 3층(연동)</t>
    <phoneticPr fontId="2" type="noConversion"/>
  </si>
  <si>
    <t xml:space="preserve">vipps1004@naver.com </t>
    <phoneticPr fontId="2" type="noConversion"/>
  </si>
  <si>
    <t>841-58-00455</t>
    <phoneticPr fontId="2" type="noConversion"/>
  </si>
  <si>
    <t>제주특별자치도 제주시 은남1길 46, 3층(연동)</t>
    <phoneticPr fontId="2" type="noConversion"/>
  </si>
  <si>
    <t>KMHN141DBTA141332</t>
    <phoneticPr fontId="2" type="noConversion"/>
  </si>
  <si>
    <t>151호1386</t>
    <phoneticPr fontId="2" type="noConversion"/>
  </si>
  <si>
    <t>G90-001_1</t>
    <phoneticPr fontId="2" type="noConversion"/>
  </si>
  <si>
    <t>서울시 동대문구 천호대로 75길 30-1, 1층(답시리동)</t>
    <phoneticPr fontId="2" type="noConversion"/>
  </si>
  <si>
    <t>KMTMA81BDTU287666</t>
    <phoneticPr fontId="2" type="noConversion"/>
  </si>
  <si>
    <t>151호1700</t>
    <phoneticPr fontId="2" type="noConversion"/>
  </si>
  <si>
    <t>브릿지 스톤 앞, 뒤 235/60 R18</t>
    <phoneticPr fontId="2" type="noConversion"/>
  </si>
  <si>
    <t>이명주</t>
    <phoneticPr fontId="2" type="noConversion"/>
  </si>
  <si>
    <t>781-910725-45407</t>
    <phoneticPr fontId="2" type="noConversion"/>
  </si>
  <si>
    <t>레인보우 i55 : 전면 35, 측후면 15%</t>
    <phoneticPr fontId="2" type="noConversion"/>
  </si>
  <si>
    <t>GV80-003_1</t>
    <phoneticPr fontId="2" type="noConversion"/>
  </si>
  <si>
    <t>Benz-028</t>
    <phoneticPr fontId="2" type="noConversion"/>
  </si>
  <si>
    <t>GLE 450</t>
    <phoneticPr fontId="2" type="noConversion"/>
  </si>
  <si>
    <t>주소 없음</t>
    <phoneticPr fontId="2" type="noConversion"/>
  </si>
  <si>
    <t>125하5497</t>
    <phoneticPr fontId="2" type="noConversion"/>
  </si>
  <si>
    <t>W1NFB5KB0SB376505</t>
    <phoneticPr fontId="2" type="noConversion"/>
  </si>
  <si>
    <t>화이트/브라운</t>
    <phoneticPr fontId="2" type="noConversion"/>
  </si>
  <si>
    <t>스포티지(H)</t>
    <phoneticPr fontId="2" type="noConversion"/>
  </si>
  <si>
    <t>2WD 노블레스</t>
    <phoneticPr fontId="2" type="noConversion"/>
  </si>
  <si>
    <t>KNAPW81GBTK395645</t>
    <phoneticPr fontId="2" type="noConversion"/>
  </si>
  <si>
    <t>151호1416</t>
    <phoneticPr fontId="2" type="noConversion"/>
  </si>
  <si>
    <t>Seltos-001</t>
    <phoneticPr fontId="2" type="noConversion"/>
  </si>
  <si>
    <t>Seltos-002</t>
  </si>
  <si>
    <t>Seltos-004</t>
  </si>
  <si>
    <t>Seltos-005</t>
  </si>
  <si>
    <t>셀토스</t>
    <phoneticPr fontId="2" type="noConversion"/>
  </si>
  <si>
    <t>1.6T 트렌디 2WD</t>
    <phoneticPr fontId="2" type="noConversion"/>
  </si>
  <si>
    <t>그래비티그레이/그레이</t>
    <phoneticPr fontId="2" type="noConversion"/>
  </si>
  <si>
    <t>컨비니언스(64만), 12.3인치 내비게이션(109만), 12.3인치 클러스터(40만), 드라이브 와이즈(119만)</t>
    <phoneticPr fontId="2" type="noConversion"/>
  </si>
  <si>
    <t>Seltos-003</t>
    <phoneticPr fontId="2" type="noConversion"/>
  </si>
  <si>
    <t>동성정공㈜</t>
    <phoneticPr fontId="2" type="noConversion"/>
  </si>
  <si>
    <t>Model S Plaid</t>
    <phoneticPr fontId="2" type="noConversion"/>
  </si>
  <si>
    <t>21인치 벨라리움 휠</t>
    <phoneticPr fontId="2" type="noConversion"/>
  </si>
  <si>
    <t>Ultra Red / Cream 인테리어와 카본 파이버 데코 및 스포츠 시트</t>
    <phoneticPr fontId="2" type="noConversion"/>
  </si>
  <si>
    <t>Ultra Red(4,310,000), Cream 인테리어와 카본 파이버 데코 및 스포츠 시트(2,874,000), 요크 스티어링 휠(1,461,000), 오토파일럿(Included)</t>
    <phoneticPr fontId="2" type="noConversion"/>
  </si>
  <si>
    <t>5YJSA1E6XTF564107</t>
    <phoneticPr fontId="2" type="noConversion"/>
  </si>
  <si>
    <t>경기도 안산시 단원구 성곡로 78, 607동 25호(성곡동, 반원공단)</t>
    <phoneticPr fontId="2" type="noConversion"/>
  </si>
  <si>
    <t>dsmold1@bill36524.com</t>
    <phoneticPr fontId="2" type="noConversion"/>
  </si>
  <si>
    <t>테슬라</t>
    <phoneticPr fontId="2" type="noConversion"/>
  </si>
  <si>
    <t>없음</t>
    <phoneticPr fontId="2" type="noConversion"/>
  </si>
  <si>
    <t>409-001153-04-011</t>
    <phoneticPr fontId="2" type="noConversion"/>
  </si>
  <si>
    <t>134-81-31106</t>
    <phoneticPr fontId="2" type="noConversion"/>
  </si>
  <si>
    <t>경기도 안산시 단원구 성곡로 78, 607동 25호(성곡동, 반월공단)</t>
    <phoneticPr fontId="2" type="noConversion"/>
  </si>
  <si>
    <t>135011-0060728</t>
    <phoneticPr fontId="2" type="noConversion"/>
  </si>
  <si>
    <t>gwjung@aemtech.kr</t>
  </si>
  <si>
    <t>gwjung@aemtech.kr</t>
    <phoneticPr fontId="2" type="noConversion"/>
  </si>
  <si>
    <t>3.5T 22인치 SDS2 AWD 26MY 5인승</t>
    <phoneticPr fontId="2" type="noConversion"/>
  </si>
  <si>
    <t>파퓰러 패키지 (5인승)(620만), 뱅앤올룹슨 사운드 패키지(190만), 컨비니언스 패키지(320만), 파노라마 선루프(140만), 후석 컴포트 패키지 (5인승)(290만), 플로팅 휠캡(9만)</t>
    <phoneticPr fontId="2" type="noConversion"/>
  </si>
  <si>
    <t>송우빈 사원님</t>
    <phoneticPr fontId="2" type="noConversion"/>
  </si>
  <si>
    <t>010-2823-9671</t>
    <phoneticPr fontId="2" type="noConversion"/>
  </si>
  <si>
    <t>GV80-006</t>
    <phoneticPr fontId="2" type="noConversion"/>
  </si>
  <si>
    <t>버텍스300 전면 35%/1열 15%, 2열, 후면 5%</t>
    <phoneticPr fontId="2" type="noConversion"/>
  </si>
  <si>
    <t>34호3318</t>
    <phoneticPr fontId="2" type="noConversion"/>
  </si>
  <si>
    <t>KMTHC81CDTU356471</t>
    <phoneticPr fontId="2" type="noConversion"/>
  </si>
  <si>
    <t>151호2250</t>
    <phoneticPr fontId="2" type="noConversion"/>
  </si>
  <si>
    <t>Tesla-002</t>
    <phoneticPr fontId="2" type="noConversion"/>
  </si>
  <si>
    <t>배스킨라빈스 별내카페거리점</t>
    <phoneticPr fontId="2" type="noConversion"/>
  </si>
  <si>
    <t>남문수 고객님</t>
    <phoneticPr fontId="2" type="noConversion"/>
  </si>
  <si>
    <t>010-2696-8079</t>
    <phoneticPr fontId="2" type="noConversion"/>
  </si>
  <si>
    <t>Model Y Premium RWD</t>
    <phoneticPr fontId="2" type="noConversion"/>
  </si>
  <si>
    <t>19인치 크로스플로 휠</t>
    <phoneticPr fontId="2" type="noConversion"/>
  </si>
  <si>
    <t>Stealth Grey / All Black 인테리어</t>
    <phoneticPr fontId="2" type="noConversion"/>
  </si>
  <si>
    <t>오토파일럿</t>
    <phoneticPr fontId="2" type="noConversion"/>
  </si>
  <si>
    <t>5</t>
    <phoneticPr fontId="2" type="noConversion"/>
  </si>
  <si>
    <t>테슬라</t>
    <phoneticPr fontId="2" type="noConversion"/>
  </si>
  <si>
    <t>없음</t>
    <phoneticPr fontId="2" type="noConversion"/>
  </si>
  <si>
    <t>남문수</t>
    <phoneticPr fontId="2" type="noConversion"/>
  </si>
  <si>
    <t>신한은행</t>
    <phoneticPr fontId="2" type="noConversion"/>
  </si>
  <si>
    <t>110-031-755429</t>
    <phoneticPr fontId="2" type="noConversion"/>
  </si>
  <si>
    <t>779-56-00840</t>
    <phoneticPr fontId="2" type="noConversion"/>
  </si>
  <si>
    <t>경기도 남양주시 두물로11번길 42, 1층 일부호(별내동, e드림타워)</t>
    <phoneticPr fontId="2" type="noConversion"/>
  </si>
  <si>
    <t>GV80-007</t>
    <phoneticPr fontId="2" type="noConversion"/>
  </si>
  <si>
    <t>GV80</t>
    <phoneticPr fontId="2" type="noConversion"/>
  </si>
  <si>
    <t>5인승 2.5T AWD 19인치 SDS2</t>
    <phoneticPr fontId="2" type="noConversion"/>
  </si>
  <si>
    <t>마칼루 그레이 / 슬레이트그래이(보르도브라운 시트)/올리브애쉬</t>
    <phoneticPr fontId="2" type="noConversion"/>
  </si>
  <si>
    <t>[AWD전용] 파퓰러 패키지(5인승)(620만), 컨비니언스 패키지(320만)</t>
    <phoneticPr fontId="2" type="noConversion"/>
  </si>
  <si>
    <t>빌트인 캠</t>
    <phoneticPr fontId="2" type="noConversion"/>
  </si>
  <si>
    <t>K8-002_2</t>
    <phoneticPr fontId="2" type="noConversion"/>
  </si>
  <si>
    <t>189-910019-82604</t>
    <phoneticPr fontId="2" type="noConversion"/>
  </si>
  <si>
    <t>114671-0039209</t>
    <phoneticPr fontId="2" type="noConversion"/>
  </si>
  <si>
    <t>조욱제</t>
    <phoneticPr fontId="2" type="noConversion"/>
  </si>
  <si>
    <t>버택스 500 전면 35%, 측면1열 15%, 측면2열 및 후면 5%, 썬루프 35%</t>
    <phoneticPr fontId="2" type="noConversion"/>
  </si>
  <si>
    <t>순정 내장형 대시캠, 센트리 모드 탑제</t>
    <phoneticPr fontId="2" type="noConversion"/>
  </si>
  <si>
    <t>이경민 사원님</t>
    <phoneticPr fontId="2" type="noConversion"/>
  </si>
  <si>
    <t>010-2757-5051</t>
    <phoneticPr fontId="2" type="noConversion"/>
  </si>
  <si>
    <t>대구광역시 달성군 현풍읍 삼강길 87</t>
    <phoneticPr fontId="2" type="noConversion"/>
  </si>
  <si>
    <t>daeahitech@nate.com</t>
    <phoneticPr fontId="2" type="noConversion"/>
  </si>
  <si>
    <t>KMTHA81BDTU361138</t>
    <phoneticPr fontId="2" type="noConversion"/>
  </si>
  <si>
    <t>벤츠 우산 2개</t>
    <phoneticPr fontId="2" type="noConversion"/>
  </si>
  <si>
    <t>151호2289</t>
    <phoneticPr fontId="2" type="noConversion"/>
  </si>
  <si>
    <t>Grander-012</t>
    <phoneticPr fontId="2" type="noConversion"/>
  </si>
  <si>
    <t>구정훈 대표님</t>
    <phoneticPr fontId="2" type="noConversion"/>
  </si>
  <si>
    <t>010-6320-7776</t>
    <phoneticPr fontId="2" type="noConversion"/>
  </si>
  <si>
    <t>(H) 1.6T 2WD 프리미엄</t>
    <phoneticPr fontId="2" type="noConversion"/>
  </si>
  <si>
    <t>세레니티 화이트 펄 / 블랙원톤</t>
    <phoneticPr fontId="2" type="noConversion"/>
  </si>
  <si>
    <t>현대 스마트센스(140만), 파킹 어시스트(170만), 빌트인캠(65만)</t>
    <phoneticPr fontId="2" type="noConversion"/>
  </si>
  <si>
    <t>이종석 이사님</t>
    <phoneticPr fontId="2" type="noConversion"/>
  </si>
  <si>
    <t>010-9160-1132</t>
    <phoneticPr fontId="2" type="noConversion"/>
  </si>
  <si>
    <t>인천광역시 서구 북항로 76-45 (주)다인누리</t>
    <phoneticPr fontId="2" type="noConversion"/>
  </si>
  <si>
    <t>Palisade_002</t>
    <phoneticPr fontId="2" type="noConversion"/>
  </si>
  <si>
    <t>펠리세이드(H)</t>
    <phoneticPr fontId="2" type="noConversion"/>
  </si>
  <si>
    <t>2.5T 9인승 2WD 프레스티지</t>
    <phoneticPr fontId="2" type="noConversion"/>
  </si>
  <si>
    <t>크리미 화이트 펄/블랙원톤</t>
    <phoneticPr fontId="2" type="noConversion"/>
  </si>
  <si>
    <t>빌트인캠2(66만), 원격 스마트 주차보조(66만)</t>
    <phoneticPr fontId="2" type="noConversion"/>
  </si>
  <si>
    <t>㈜다인누리</t>
    <phoneticPr fontId="2" type="noConversion"/>
  </si>
  <si>
    <t>13038@daum.net</t>
    <phoneticPr fontId="2" type="noConversion"/>
  </si>
  <si>
    <t>137-86-29002</t>
    <phoneticPr fontId="2" type="noConversion"/>
  </si>
  <si>
    <t>인천광역시 서구 북항로 76-45(원창동)</t>
    <phoneticPr fontId="2" type="noConversion"/>
  </si>
  <si>
    <t>659401-01-375605</t>
    <phoneticPr fontId="2" type="noConversion"/>
  </si>
  <si>
    <t>120111-0639916</t>
    <phoneticPr fontId="2" type="noConversion"/>
  </si>
  <si>
    <t>ES300h-001</t>
    <phoneticPr fontId="2" type="noConversion"/>
  </si>
  <si>
    <t>이영영 대표님</t>
    <phoneticPr fontId="2" type="noConversion"/>
  </si>
  <si>
    <t>010-7938-5549</t>
    <phoneticPr fontId="2" type="noConversion"/>
  </si>
  <si>
    <t>㈜플로우스페이스랩</t>
    <phoneticPr fontId="2" type="noConversion"/>
  </si>
  <si>
    <t>ES300h EXECUTIVE</t>
    <phoneticPr fontId="2" type="noConversion"/>
  </si>
  <si>
    <t>화이트/블랙</t>
    <phoneticPr fontId="2" type="noConversion"/>
  </si>
  <si>
    <t>송기배 부장님</t>
    <phoneticPr fontId="2" type="noConversion"/>
  </si>
  <si>
    <t>010-9401-7586</t>
    <phoneticPr fontId="2" type="noConversion"/>
  </si>
  <si>
    <t>서울특별시 성동구 성수일로 77, 2층 215호(성수동1가, 서울숲 IT 밸리)</t>
    <phoneticPr fontId="2" type="noConversion"/>
  </si>
  <si>
    <t>flowspacelab@gmail.com</t>
    <phoneticPr fontId="2" type="noConversion"/>
  </si>
  <si>
    <t>191111-0107182</t>
    <phoneticPr fontId="2" type="noConversion"/>
  </si>
  <si>
    <t>KMHN1411BVA166716</t>
    <phoneticPr fontId="2" type="noConversion"/>
  </si>
  <si>
    <t>벤츠 우산 1개</t>
    <phoneticPr fontId="2" type="noConversion"/>
  </si>
  <si>
    <t>151호2303</t>
    <phoneticPr fontId="2" type="noConversion"/>
  </si>
  <si>
    <t>주식회사 플로우스페이스랩</t>
    <phoneticPr fontId="2" type="noConversion"/>
  </si>
  <si>
    <t>NH농협은행</t>
    <phoneticPr fontId="2" type="noConversion"/>
  </si>
  <si>
    <t>301-0377-8885-31</t>
    <phoneticPr fontId="2" type="noConversion"/>
  </si>
  <si>
    <t>112-88-02522</t>
    <phoneticPr fontId="2" type="noConversion"/>
  </si>
  <si>
    <t>bfkibae@Daum.net</t>
    <phoneticPr fontId="2" type="noConversion"/>
  </si>
  <si>
    <t>KMHRH81ABTU130742</t>
    <phoneticPr fontId="2" type="noConversion"/>
  </si>
  <si>
    <t>151호2306</t>
    <phoneticPr fontId="2" type="noConversion"/>
  </si>
  <si>
    <t>JTHBA1C12T2038689</t>
    <phoneticPr fontId="2" type="noConversion"/>
  </si>
  <si>
    <t>101하5182</t>
    <phoneticPr fontId="2" type="noConversion"/>
  </si>
  <si>
    <t>넥센 앞뒤 225/55R18</t>
    <phoneticPr fontId="2" type="noConversion"/>
  </si>
  <si>
    <t>금호 앞뒤 255/50 R20</t>
    <phoneticPr fontId="2" type="noConversion"/>
  </si>
  <si>
    <t>(주)아이즈</t>
    <phoneticPr fontId="2" type="noConversion"/>
  </si>
  <si>
    <t>1.0 가솔린 트렌디</t>
    <phoneticPr fontId="2" type="noConversion"/>
  </si>
  <si>
    <t>ais@aistech.co.kr</t>
    <phoneticPr fontId="2" type="noConversion"/>
  </si>
  <si>
    <t>587-076715-04-011</t>
    <phoneticPr fontId="2" type="noConversion"/>
  </si>
  <si>
    <t>139-81-68781</t>
    <phoneticPr fontId="2" type="noConversion"/>
  </si>
  <si>
    <t>경기도 안성시 원곡면 기업단지로 293-22</t>
    <phoneticPr fontId="2" type="noConversion"/>
  </si>
  <si>
    <t>134611-0014944</t>
    <phoneticPr fontId="2" type="noConversion"/>
  </si>
  <si>
    <t>네비게이션(145만), 드라이브 와이즈(30만)</t>
    <phoneticPr fontId="2" type="noConversion"/>
  </si>
  <si>
    <t>신재이 과장님</t>
    <phoneticPr fontId="2" type="noConversion"/>
  </si>
  <si>
    <t>010-2897-5689</t>
  </si>
  <si>
    <t>우산2,트렁크정리함,청소도구함</t>
    <phoneticPr fontId="2" type="noConversion"/>
  </si>
  <si>
    <t>어센틱 L 전면 35% 측후면 15%</t>
    <phoneticPr fontId="2" type="noConversion"/>
  </si>
  <si>
    <t>서울특별시 중구 서소문로 50 센트럴 플레이스</t>
    <phoneticPr fontId="2" type="noConversion"/>
  </si>
  <si>
    <t>G90-003_1</t>
    <phoneticPr fontId="2" type="noConversion"/>
  </si>
  <si>
    <t>134811-0441923</t>
    <phoneticPr fontId="2" type="noConversion"/>
  </si>
  <si>
    <t>468-072055-01-013</t>
    <phoneticPr fontId="2" type="noConversion"/>
  </si>
  <si>
    <t>아이엠앤티 주식회사</t>
    <phoneticPr fontId="2" type="noConversion"/>
  </si>
  <si>
    <t>강희정 과장님</t>
    <phoneticPr fontId="2" type="noConversion"/>
  </si>
  <si>
    <t>010-8761-1481</t>
    <phoneticPr fontId="2" type="noConversion"/>
  </si>
  <si>
    <t>010-3090-1400</t>
    <phoneticPr fontId="2" type="noConversion"/>
  </si>
  <si>
    <t>010-2257-7942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</si>
</sst>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\(&quot;₩&quot;#,##0\)"/>
    <numFmt numFmtId="177" formatCode="_(* #,##0_);_(* \(#,##0\);_(* &quot;-&quot;_);_(@_)"/>
    <numFmt numFmtId="178" formatCode="@&quot;년&quot;"/>
    <numFmt numFmtId="179" formatCode="#,##0_ "/>
    <numFmt numFmtId="180" formatCode="@&quot;일&quot;"/>
    <numFmt numFmtId="181" formatCode="@&quot;개월&quot;"/>
    <numFmt numFmtId="182" formatCode="#,##0\ &quot;원&quot;"/>
    <numFmt numFmtId="183" formatCode="0.0%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9" fillId="0" borderId="0"/>
    <xf numFmtId="41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7" fontId="3" fillId="2" borderId="2" xfId="1" applyFont="1" applyFill="1" applyBorder="1" applyAlignment="1">
      <alignment horizontal="center" vertical="center"/>
    </xf>
    <xf numFmtId="177" fontId="0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1" applyNumberFormat="1" applyFont="1" applyFill="1" applyBorder="1" applyAlignment="1">
      <alignment horizontal="center" vertical="center"/>
    </xf>
    <xf numFmtId="181" fontId="0" fillId="0" borderId="1" xfId="1" applyNumberFormat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7" fontId="5" fillId="0" borderId="1" xfId="2" applyNumberForma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77" fontId="0" fillId="0" borderId="1" xfId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1" applyNumberFormat="1" applyFont="1" applyFill="1" applyBorder="1" applyAlignment="1">
      <alignment horizontal="center" vertical="center"/>
    </xf>
    <xf numFmtId="177" fontId="5" fillId="0" borderId="1" xfId="4" applyNumberFormat="1" applyFill="1" applyBorder="1" applyAlignment="1">
      <alignment horizontal="center" vertical="center"/>
    </xf>
    <xf numFmtId="177" fontId="7" fillId="0" borderId="1" xfId="2" applyNumberFormat="1" applyFont="1" applyFill="1" applyBorder="1" applyAlignment="1">
      <alignment horizontal="center" vertical="center"/>
    </xf>
    <xf numFmtId="177" fontId="8" fillId="0" borderId="1" xfId="2" applyNumberFormat="1" applyFont="1" applyFill="1" applyBorder="1" applyAlignment="1">
      <alignment horizontal="center" vertical="center"/>
    </xf>
    <xf numFmtId="177" fontId="6" fillId="0" borderId="1" xfId="2" applyNumberFormat="1" applyFont="1" applyFill="1" applyBorder="1" applyAlignment="1">
      <alignment horizontal="center" vertical="center"/>
    </xf>
    <xf numFmtId="9" fontId="0" fillId="0" borderId="1" xfId="3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1" applyFont="1" applyBorder="1">
      <alignment vertical="center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7" fontId="0" fillId="0" borderId="0" xfId="1" applyFont="1" applyFill="1" applyBorder="1" applyAlignment="1">
      <alignment horizontal="center" vertical="center"/>
    </xf>
    <xf numFmtId="0" fontId="5" fillId="0" borderId="1" xfId="2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9" fontId="7" fillId="0" borderId="1" xfId="3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2" fontId="6" fillId="3" borderId="1" xfId="5" applyNumberFormat="1" applyFont="1" applyFill="1" applyBorder="1" applyAlignment="1">
      <alignment vertical="center"/>
    </xf>
    <xf numFmtId="177" fontId="6" fillId="3" borderId="1" xfId="1" applyFont="1" applyFill="1" applyBorder="1" applyAlignment="1">
      <alignment vertical="center"/>
    </xf>
    <xf numFmtId="177" fontId="6" fillId="3" borderId="1" xfId="1" applyFont="1" applyFill="1" applyBorder="1" applyAlignment="1">
      <alignment horizontal="right" vertical="center"/>
    </xf>
    <xf numFmtId="177" fontId="10" fillId="0" borderId="1" xfId="1" applyFont="1" applyFill="1" applyBorder="1" applyAlignment="1">
      <alignment horizontal="center" vertical="center"/>
    </xf>
    <xf numFmtId="177" fontId="11" fillId="0" borderId="1" xfId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7" fillId="0" borderId="1" xfId="1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183" fontId="0" fillId="0" borderId="1" xfId="3" applyNumberFormat="1" applyFont="1" applyBorder="1" applyAlignment="1">
      <alignment horizontal="center" vertical="center"/>
    </xf>
    <xf numFmtId="183" fontId="5" fillId="0" borderId="1" xfId="3" applyNumberFormat="1" applyFont="1" applyFill="1" applyBorder="1" applyAlignment="1">
      <alignment horizontal="center" vertical="center"/>
    </xf>
    <xf numFmtId="183" fontId="7" fillId="0" borderId="1" xfId="3" applyNumberFormat="1" applyFont="1" applyFill="1" applyBorder="1" applyAlignment="1">
      <alignment horizontal="center" vertical="center"/>
    </xf>
    <xf numFmtId="183" fontId="0" fillId="0" borderId="1" xfId="3" applyNumberFormat="1" applyFont="1" applyFill="1" applyBorder="1" applyAlignment="1">
      <alignment horizontal="center" vertical="center"/>
    </xf>
    <xf numFmtId="183" fontId="8" fillId="0" borderId="1" xfId="3" applyNumberFormat="1" applyFon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77" fontId="12" fillId="0" borderId="1" xfId="4" applyNumberFormat="1" applyFont="1" applyFill="1" applyBorder="1" applyAlignment="1">
      <alignment horizontal="center" vertical="center"/>
    </xf>
    <xf numFmtId="177" fontId="7" fillId="0" borderId="1" xfId="4" applyNumberFormat="1" applyFont="1" applyBorder="1" applyAlignment="1">
      <alignment horizontal="center" vertical="center"/>
    </xf>
    <xf numFmtId="9" fontId="7" fillId="0" borderId="1" xfId="3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7" fontId="7" fillId="0" borderId="1" xfId="1" quotePrefix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77" fontId="0" fillId="0" borderId="3" xfId="1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9" fontId="0" fillId="0" borderId="3" xfId="1" applyNumberFormat="1" applyFont="1" applyFill="1" applyBorder="1" applyAlignment="1">
      <alignment horizontal="center" vertical="center"/>
    </xf>
    <xf numFmtId="177" fontId="0" fillId="0" borderId="3" xfId="1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177" fontId="6" fillId="3" borderId="3" xfId="1" applyFont="1" applyFill="1" applyBorder="1" applyAlignment="1">
      <alignment vertical="center"/>
    </xf>
    <xf numFmtId="177" fontId="6" fillId="3" borderId="3" xfId="1" applyFont="1" applyFill="1" applyBorder="1" applyAlignment="1">
      <alignment horizontal="right" vertical="center"/>
    </xf>
    <xf numFmtId="181" fontId="0" fillId="0" borderId="3" xfId="1" applyNumberFormat="1" applyFont="1" applyFill="1" applyBorder="1" applyAlignment="1">
      <alignment horizontal="center" vertical="center"/>
    </xf>
    <xf numFmtId="9" fontId="0" fillId="0" borderId="3" xfId="3" applyFont="1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3" fontId="0" fillId="0" borderId="3" xfId="3" applyNumberFormat="1" applyFont="1" applyFill="1" applyBorder="1" applyAlignment="1">
      <alignment horizontal="center" vertical="center"/>
    </xf>
    <xf numFmtId="183" fontId="0" fillId="0" borderId="3" xfId="3" applyNumberFormat="1" applyFont="1" applyBorder="1" applyAlignment="1">
      <alignment horizontal="center" vertical="center"/>
    </xf>
    <xf numFmtId="177" fontId="5" fillId="0" borderId="3" xfId="2" applyNumberFormat="1" applyFill="1" applyBorder="1" applyAlignment="1">
      <alignment horizontal="center" vertical="center"/>
    </xf>
    <xf numFmtId="9" fontId="7" fillId="0" borderId="3" xfId="3" applyFont="1" applyFill="1" applyBorder="1" applyAlignment="1">
      <alignment horizontal="center" vertical="center"/>
    </xf>
    <xf numFmtId="177" fontId="7" fillId="0" borderId="3" xfId="2" applyNumberFormat="1" applyFont="1" applyFill="1" applyBorder="1" applyAlignment="1">
      <alignment horizontal="center" vertical="center"/>
    </xf>
    <xf numFmtId="0" fontId="7" fillId="0" borderId="1" xfId="3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177" fontId="7" fillId="0" borderId="3" xfId="1" applyFont="1" applyFill="1" applyBorder="1" applyAlignment="1">
      <alignment horizontal="center" vertical="center"/>
    </xf>
    <xf numFmtId="179" fontId="0" fillId="0" borderId="1" xfId="1" applyNumberFormat="1" applyFont="1" applyBorder="1" applyAlignment="1">
      <alignment horizontal="center" vertical="center"/>
    </xf>
    <xf numFmtId="177" fontId="5" fillId="0" borderId="1" xfId="2" applyNumberFormat="1" applyBorder="1" applyAlignment="1">
      <alignment horizontal="center" vertical="center"/>
    </xf>
    <xf numFmtId="14" fontId="0" fillId="0" borderId="3" xfId="1" applyNumberFormat="1" applyFont="1" applyFill="1" applyBorder="1" applyAlignment="1">
      <alignment horizontal="center" vertical="center"/>
    </xf>
    <xf numFmtId="0" fontId="5" fillId="0" borderId="0" xfId="2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</cellXfs>
  <cellStyles count="8">
    <cellStyle name="Hyperlink" xfId="4" xr:uid="{00000000-000B-0000-0000-000008000000}"/>
    <cellStyle name="백분율" xfId="3" builtinId="5"/>
    <cellStyle name="쉼표 [0]" xfId="1" builtinId="6"/>
    <cellStyle name="쉼표 [0] 2" xfId="5" xr:uid="{4106B3CD-4941-4437-83B5-A42890964B59}"/>
    <cellStyle name="쉼표 [0] 3" xfId="7" xr:uid="{AACCC59F-C453-4081-93F5-5790B4E4BF34}"/>
    <cellStyle name="표준" xfId="0" builtinId="0"/>
    <cellStyle name="표준 2" xfId="6" xr:uid="{54AB4B4A-8AAE-40DF-B4F1-747093C4673C}"/>
    <cellStyle name="하이퍼링크" xfId="2" builtinId="8"/>
  </cellStyles>
  <dxfs count="177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jk@yoonyang.com" TargetMode="External"/><Relationship Id="rId117" Type="http://schemas.openxmlformats.org/officeDocument/2006/relationships/hyperlink" Target="mailto:ametech1@wehago.com" TargetMode="External"/><Relationship Id="rId21" Type="http://schemas.openxmlformats.org/officeDocument/2006/relationships/hyperlink" Target="mailto:kumho3780@naver.com" TargetMode="External"/><Relationship Id="rId42" Type="http://schemas.openxmlformats.org/officeDocument/2006/relationships/hyperlink" Target="mailto:making702@nate.com" TargetMode="External"/><Relationship Id="rId47" Type="http://schemas.openxmlformats.org/officeDocument/2006/relationships/hyperlink" Target="mailto:shtel124@shtel.co.kr" TargetMode="External"/><Relationship Id="rId63" Type="http://schemas.openxmlformats.org/officeDocument/2006/relationships/hyperlink" Target="mailto:admin@zyxel.kr" TargetMode="External"/><Relationship Id="rId68" Type="http://schemas.openxmlformats.org/officeDocument/2006/relationships/hyperlink" Target="mailto:hoyoung.kim@raymedical.com" TargetMode="External"/><Relationship Id="rId84" Type="http://schemas.openxmlformats.org/officeDocument/2006/relationships/hyperlink" Target="mailto:dr.jinlee@kakao.com" TargetMode="External"/><Relationship Id="rId89" Type="http://schemas.openxmlformats.org/officeDocument/2006/relationships/hyperlink" Target="mailto:hellena0212@hanmail.net" TargetMode="External"/><Relationship Id="rId112" Type="http://schemas.openxmlformats.org/officeDocument/2006/relationships/hyperlink" Target="mailto:dsmold1@bill36524.com" TargetMode="External"/><Relationship Id="rId16" Type="http://schemas.openxmlformats.org/officeDocument/2006/relationships/hyperlink" Target="mailto:yejeon@unioncement.com" TargetMode="External"/><Relationship Id="rId107" Type="http://schemas.openxmlformats.org/officeDocument/2006/relationships/hyperlink" Target="mailto:hoyoung.kim@raymedical.com" TargetMode="External"/><Relationship Id="rId11" Type="http://schemas.openxmlformats.org/officeDocument/2006/relationships/hyperlink" Target="mailto:jyk2845@sitcos.co.kr" TargetMode="External"/><Relationship Id="rId32" Type="http://schemas.openxmlformats.org/officeDocument/2006/relationships/hyperlink" Target="mailto:kumho3780@naver.com" TargetMode="External"/><Relationship Id="rId37" Type="http://schemas.openxmlformats.org/officeDocument/2006/relationships/hyperlink" Target="mailto:kyw6571@naver.com" TargetMode="External"/><Relationship Id="rId53" Type="http://schemas.openxmlformats.org/officeDocument/2006/relationships/hyperlink" Target="mailto:jh_ahn@cnit.co.kr" TargetMode="External"/><Relationship Id="rId58" Type="http://schemas.openxmlformats.org/officeDocument/2006/relationships/hyperlink" Target="mailto:sm8765@nate.com" TargetMode="External"/><Relationship Id="rId74" Type="http://schemas.openxmlformats.org/officeDocument/2006/relationships/hyperlink" Target="mailto:06790@naver.com" TargetMode="External"/><Relationship Id="rId79" Type="http://schemas.openxmlformats.org/officeDocument/2006/relationships/hyperlink" Target="mailto:goodzong@gmail.com" TargetMode="External"/><Relationship Id="rId102" Type="http://schemas.openxmlformats.org/officeDocument/2006/relationships/hyperlink" Target="mailto:bdlee@hwawoo.com" TargetMode="External"/><Relationship Id="rId123" Type="http://schemas.openxmlformats.org/officeDocument/2006/relationships/hyperlink" Target="mailto:flowspacelab@gmail.com" TargetMode="External"/><Relationship Id="rId5" Type="http://schemas.openxmlformats.org/officeDocument/2006/relationships/hyperlink" Target="mailto:mail@sitecokorea.co.kr" TargetMode="External"/><Relationship Id="rId90" Type="http://schemas.openxmlformats.org/officeDocument/2006/relationships/hyperlink" Target="mailto:1bdoffice@naver.com" TargetMode="External"/><Relationship Id="rId95" Type="http://schemas.openxmlformats.org/officeDocument/2006/relationships/hyperlink" Target="mailto:samgeetech@3will.co.kr" TargetMode="External"/><Relationship Id="rId22" Type="http://schemas.openxmlformats.org/officeDocument/2006/relationships/hyperlink" Target="mailto:kumho3780@naver.com" TargetMode="External"/><Relationship Id="rId27" Type="http://schemas.openxmlformats.org/officeDocument/2006/relationships/hyperlink" Target="mailto:sjk@hwawoo.com" TargetMode="External"/><Relationship Id="rId43" Type="http://schemas.openxmlformats.org/officeDocument/2006/relationships/hyperlink" Target="mailto:michaeljung@kt.com" TargetMode="External"/><Relationship Id="rId48" Type="http://schemas.openxmlformats.org/officeDocument/2006/relationships/hyperlink" Target="mailto:dcfood777@naver.com" TargetMode="External"/><Relationship Id="rId64" Type="http://schemas.openxmlformats.org/officeDocument/2006/relationships/hyperlink" Target="mailto:kumho3780@naver.com" TargetMode="External"/><Relationship Id="rId69" Type="http://schemas.openxmlformats.org/officeDocument/2006/relationships/hyperlink" Target="mailto:sanghoon.lee@Lyndman.com" TargetMode="External"/><Relationship Id="rId113" Type="http://schemas.openxmlformats.org/officeDocument/2006/relationships/hyperlink" Target="mailto:gwjung@aemtech.kr" TargetMode="External"/><Relationship Id="rId118" Type="http://schemas.openxmlformats.org/officeDocument/2006/relationships/hyperlink" Target="mailto:kumho3780@naver.com" TargetMode="External"/><Relationship Id="rId80" Type="http://schemas.openxmlformats.org/officeDocument/2006/relationships/hyperlink" Target="mailto:induspia3@naver.com" TargetMode="External"/><Relationship Id="rId85" Type="http://schemas.openxmlformats.org/officeDocument/2006/relationships/hyperlink" Target="mailto:kyungeun@thedaylabs.com" TargetMode="External"/><Relationship Id="rId12" Type="http://schemas.openxmlformats.org/officeDocument/2006/relationships/hyperlink" Target="mailto:sophia@camelww.com" TargetMode="External"/><Relationship Id="rId17" Type="http://schemas.openxmlformats.org/officeDocument/2006/relationships/hyperlink" Target="mailto:jc708@hanmail.net" TargetMode="External"/><Relationship Id="rId33" Type="http://schemas.openxmlformats.org/officeDocument/2006/relationships/hyperlink" Target="mailto:kumho3780@naver.com" TargetMode="External"/><Relationship Id="rId38" Type="http://schemas.openxmlformats.org/officeDocument/2006/relationships/hyperlink" Target="mailto:serim@serimbng.co.kr" TargetMode="External"/><Relationship Id="rId59" Type="http://schemas.openxmlformats.org/officeDocument/2006/relationships/hyperlink" Target="mailto:cjtsgp@daum.net" TargetMode="External"/><Relationship Id="rId103" Type="http://schemas.openxmlformats.org/officeDocument/2006/relationships/hyperlink" Target="mailto:shtel124@shtel.co.kr" TargetMode="External"/><Relationship Id="rId108" Type="http://schemas.openxmlformats.org/officeDocument/2006/relationships/hyperlink" Target="mailto:hoyoung.kim@raymedical.com" TargetMode="External"/><Relationship Id="rId124" Type="http://schemas.openxmlformats.org/officeDocument/2006/relationships/hyperlink" Target="mailto:bfkibae@Daum.net" TargetMode="External"/><Relationship Id="rId54" Type="http://schemas.openxmlformats.org/officeDocument/2006/relationships/hyperlink" Target="mailto:ykimki@elmes.co.kr" TargetMode="External"/><Relationship Id="rId70" Type="http://schemas.openxmlformats.org/officeDocument/2006/relationships/hyperlink" Target="mailto:hoyoung.kim@raymedical.com" TargetMode="External"/><Relationship Id="rId75" Type="http://schemas.openxmlformats.org/officeDocument/2006/relationships/hyperlink" Target="mailto:rhyuhs@naver.com" TargetMode="External"/><Relationship Id="rId91" Type="http://schemas.openxmlformats.org/officeDocument/2006/relationships/hyperlink" Target="mailto:spjoint@bill36524.com" TargetMode="External"/><Relationship Id="rId96" Type="http://schemas.openxmlformats.org/officeDocument/2006/relationships/hyperlink" Target="mailto:applehee0@naver.com" TargetMode="External"/><Relationship Id="rId1" Type="http://schemas.openxmlformats.org/officeDocument/2006/relationships/hyperlink" Target="mailto:kumho3780@naver.com" TargetMode="External"/><Relationship Id="rId6" Type="http://schemas.openxmlformats.org/officeDocument/2006/relationships/hyperlink" Target="mailto:mail@sitecokorea.co.kr" TargetMode="External"/><Relationship Id="rId23" Type="http://schemas.openxmlformats.org/officeDocument/2006/relationships/hyperlink" Target="mailto:kumho3780@naver.com" TargetMode="External"/><Relationship Id="rId28" Type="http://schemas.openxmlformats.org/officeDocument/2006/relationships/hyperlink" Target="mailto:hongkp.88@hanmail.net" TargetMode="External"/><Relationship Id="rId49" Type="http://schemas.openxmlformats.org/officeDocument/2006/relationships/hyperlink" Target="mailto:lareum@shtel.co.kr" TargetMode="External"/><Relationship Id="rId114" Type="http://schemas.openxmlformats.org/officeDocument/2006/relationships/hyperlink" Target="mailto:ametech1@wehago.com" TargetMode="External"/><Relationship Id="rId119" Type="http://schemas.openxmlformats.org/officeDocument/2006/relationships/hyperlink" Target="mailto:daeahitech@nate.com" TargetMode="External"/><Relationship Id="rId44" Type="http://schemas.openxmlformats.org/officeDocument/2006/relationships/hyperlink" Target="mailto:j1027220@naver.com" TargetMode="External"/><Relationship Id="rId60" Type="http://schemas.openxmlformats.org/officeDocument/2006/relationships/hyperlink" Target="mailto:tax@neowithnet.com" TargetMode="External"/><Relationship Id="rId65" Type="http://schemas.openxmlformats.org/officeDocument/2006/relationships/hyperlink" Target="mailto:tax@tavalon.co.kr" TargetMode="External"/><Relationship Id="rId81" Type="http://schemas.openxmlformats.org/officeDocument/2006/relationships/hyperlink" Target="mailto:ametech1@wehago.com" TargetMode="External"/><Relationship Id="rId86" Type="http://schemas.openxmlformats.org/officeDocument/2006/relationships/hyperlink" Target="mailto:sjk@hwawoo.com" TargetMode="External"/><Relationship Id="rId13" Type="http://schemas.openxmlformats.org/officeDocument/2006/relationships/hyperlink" Target="mailto:r44333@naver.com" TargetMode="External"/><Relationship Id="rId18" Type="http://schemas.openxmlformats.org/officeDocument/2006/relationships/hyperlink" Target="mailto:samgeetech@3will.co.kr" TargetMode="External"/><Relationship Id="rId39" Type="http://schemas.openxmlformats.org/officeDocument/2006/relationships/hyperlink" Target="mailto:lkc2006@naver.com" TargetMode="External"/><Relationship Id="rId109" Type="http://schemas.openxmlformats.org/officeDocument/2006/relationships/hyperlink" Target="mailto:hoyoung.kim@raymedical.com" TargetMode="External"/><Relationship Id="rId34" Type="http://schemas.openxmlformats.org/officeDocument/2006/relationships/hyperlink" Target="mailto:kumho3780@naver.com" TargetMode="External"/><Relationship Id="rId50" Type="http://schemas.openxmlformats.org/officeDocument/2006/relationships/hyperlink" Target="mailto:lotze77@naver.com" TargetMode="External"/><Relationship Id="rId55" Type="http://schemas.openxmlformats.org/officeDocument/2006/relationships/hyperlink" Target="mailto:samgeetech@3will.co.kr" TargetMode="External"/><Relationship Id="rId76" Type="http://schemas.openxmlformats.org/officeDocument/2006/relationships/hyperlink" Target="mailto:hoyoung.kim@raymedical.com" TargetMode="External"/><Relationship Id="rId97" Type="http://schemas.openxmlformats.org/officeDocument/2006/relationships/hyperlink" Target="mailto:juneskim@monitorapp.com" TargetMode="External"/><Relationship Id="rId104" Type="http://schemas.openxmlformats.org/officeDocument/2006/relationships/hyperlink" Target="mailto:serim@serimbng.co.kr" TargetMode="External"/><Relationship Id="rId120" Type="http://schemas.openxmlformats.org/officeDocument/2006/relationships/hyperlink" Target="mailto:daeaind@chol.com" TargetMode="External"/><Relationship Id="rId125" Type="http://schemas.openxmlformats.org/officeDocument/2006/relationships/hyperlink" Target="mailto:ais@aistech.co.kr" TargetMode="External"/><Relationship Id="rId7" Type="http://schemas.openxmlformats.org/officeDocument/2006/relationships/hyperlink" Target="mailto:miracle1937@naver.com" TargetMode="External"/><Relationship Id="rId71" Type="http://schemas.openxmlformats.org/officeDocument/2006/relationships/hyperlink" Target="mailto:shtel001@daum.net" TargetMode="External"/><Relationship Id="rId92" Type="http://schemas.openxmlformats.org/officeDocument/2006/relationships/hyperlink" Target="mailto:tax@tavalon.co.kr" TargetMode="External"/><Relationship Id="rId2" Type="http://schemas.openxmlformats.org/officeDocument/2006/relationships/hyperlink" Target="mailto:mhgood45@dkin.co.kr" TargetMode="External"/><Relationship Id="rId29" Type="http://schemas.openxmlformats.org/officeDocument/2006/relationships/hyperlink" Target="mailto:tax@mapsip.com" TargetMode="External"/><Relationship Id="rId24" Type="http://schemas.openxmlformats.org/officeDocument/2006/relationships/hyperlink" Target="mailto:nahanbin@gmail.com" TargetMode="External"/><Relationship Id="rId40" Type="http://schemas.openxmlformats.org/officeDocument/2006/relationships/hyperlink" Target="mailto:hellena0212@hanmail.net" TargetMode="External"/><Relationship Id="rId45" Type="http://schemas.openxmlformats.org/officeDocument/2006/relationships/hyperlink" Target="mailto:pius_x@trionsoft.com" TargetMode="External"/><Relationship Id="rId66" Type="http://schemas.openxmlformats.org/officeDocument/2006/relationships/hyperlink" Target="mailto:hmy188@gmail.com" TargetMode="External"/><Relationship Id="rId87" Type="http://schemas.openxmlformats.org/officeDocument/2006/relationships/hyperlink" Target="mailto:gn6893348@naver.com" TargetMode="External"/><Relationship Id="rId110" Type="http://schemas.openxmlformats.org/officeDocument/2006/relationships/hyperlink" Target="mailto:hoyoung.kim@raymedical.com" TargetMode="External"/><Relationship Id="rId115" Type="http://schemas.openxmlformats.org/officeDocument/2006/relationships/hyperlink" Target="mailto:jg_byeon@dspharm.com" TargetMode="External"/><Relationship Id="rId61" Type="http://schemas.openxmlformats.org/officeDocument/2006/relationships/hyperlink" Target="mailto:tax@neowithnet.com" TargetMode="External"/><Relationship Id="rId82" Type="http://schemas.openxmlformats.org/officeDocument/2006/relationships/hyperlink" Target="mailto:ametech1@wehago.com" TargetMode="External"/><Relationship Id="rId19" Type="http://schemas.openxmlformats.org/officeDocument/2006/relationships/hyperlink" Target="mailto:kumho3780@naver.com" TargetMode="External"/><Relationship Id="rId14" Type="http://schemas.openxmlformats.org/officeDocument/2006/relationships/hyperlink" Target="mailto:samgeetech@3will.co.kr" TargetMode="External"/><Relationship Id="rId30" Type="http://schemas.openxmlformats.org/officeDocument/2006/relationships/hyperlink" Target="mailto:shtel124@shtel.co.kr" TargetMode="External"/><Relationship Id="rId35" Type="http://schemas.openxmlformats.org/officeDocument/2006/relationships/hyperlink" Target="mailto:cjts@daum.net" TargetMode="External"/><Relationship Id="rId56" Type="http://schemas.openxmlformats.org/officeDocument/2006/relationships/hyperlink" Target="mailto:hanilled@hanmail.net" TargetMode="External"/><Relationship Id="rId77" Type="http://schemas.openxmlformats.org/officeDocument/2006/relationships/hyperlink" Target="mailto:ametech1@wehago.com" TargetMode="External"/><Relationship Id="rId100" Type="http://schemas.openxmlformats.org/officeDocument/2006/relationships/hyperlink" Target="mailto:kdh5250@naver.com" TargetMode="External"/><Relationship Id="rId105" Type="http://schemas.openxmlformats.org/officeDocument/2006/relationships/hyperlink" Target="mailto:hoyoung.kim@raymedical.com" TargetMode="External"/><Relationship Id="rId126" Type="http://schemas.openxmlformats.org/officeDocument/2006/relationships/hyperlink" Target="mailto:making702@nate.com" TargetMode="External"/><Relationship Id="rId8" Type="http://schemas.openxmlformats.org/officeDocument/2006/relationships/hyperlink" Target="mailto:dysul@allthatmodel.co.kr" TargetMode="External"/><Relationship Id="rId51" Type="http://schemas.openxmlformats.org/officeDocument/2006/relationships/hyperlink" Target="mailto:jh_ahn@cnit.co.kr" TargetMode="External"/><Relationship Id="rId72" Type="http://schemas.openxmlformats.org/officeDocument/2006/relationships/hyperlink" Target="mailto:hoyoung.kim@raymedical.com" TargetMode="External"/><Relationship Id="rId93" Type="http://schemas.openxmlformats.org/officeDocument/2006/relationships/hyperlink" Target="mailto:jg_byeon@dspharm.com" TargetMode="External"/><Relationship Id="rId98" Type="http://schemas.openxmlformats.org/officeDocument/2006/relationships/hyperlink" Target="mailto:mhgood45@dkin.co.kr" TargetMode="External"/><Relationship Id="rId121" Type="http://schemas.openxmlformats.org/officeDocument/2006/relationships/hyperlink" Target="mailto:ametech1@wehago.com" TargetMode="External"/><Relationship Id="rId3" Type="http://schemas.openxmlformats.org/officeDocument/2006/relationships/hyperlink" Target="mailto:mhgood45@dkin.co.kr" TargetMode="External"/><Relationship Id="rId25" Type="http://schemas.openxmlformats.org/officeDocument/2006/relationships/hyperlink" Target="mailto:kkm0410@hanchon.kr" TargetMode="External"/><Relationship Id="rId46" Type="http://schemas.openxmlformats.org/officeDocument/2006/relationships/hyperlink" Target="mailto:gn6893348@naver.com" TargetMode="External"/><Relationship Id="rId67" Type="http://schemas.openxmlformats.org/officeDocument/2006/relationships/hyperlink" Target="mailto:hm.lim@hypartner.co.kr" TargetMode="External"/><Relationship Id="rId116" Type="http://schemas.openxmlformats.org/officeDocument/2006/relationships/hyperlink" Target="mailto:wb.liss_song@dspharm.com" TargetMode="External"/><Relationship Id="rId20" Type="http://schemas.openxmlformats.org/officeDocument/2006/relationships/hyperlink" Target="mailto:kumho3780@naver.com" TargetMode="External"/><Relationship Id="rId41" Type="http://schemas.openxmlformats.org/officeDocument/2006/relationships/hyperlink" Target="mailto:lss@bkl.co.kr" TargetMode="External"/><Relationship Id="rId62" Type="http://schemas.openxmlformats.org/officeDocument/2006/relationships/hyperlink" Target="mailto:sjk@hwawoo.com" TargetMode="External"/><Relationship Id="rId83" Type="http://schemas.openxmlformats.org/officeDocument/2006/relationships/hyperlink" Target="mailto:dr.jinlee@kakao.com" TargetMode="External"/><Relationship Id="rId88" Type="http://schemas.openxmlformats.org/officeDocument/2006/relationships/hyperlink" Target="mailto:kkm0410@hanchon.kr" TargetMode="External"/><Relationship Id="rId111" Type="http://schemas.openxmlformats.org/officeDocument/2006/relationships/hyperlink" Target="mailto:hoyoung.kim@raymedical.com" TargetMode="External"/><Relationship Id="rId15" Type="http://schemas.openxmlformats.org/officeDocument/2006/relationships/hyperlink" Target="mailto:tax@tavalon.co.kr" TargetMode="External"/><Relationship Id="rId36" Type="http://schemas.openxmlformats.org/officeDocument/2006/relationships/hyperlink" Target="mailto:jungshin.choi@frcpartners.com" TargetMode="External"/><Relationship Id="rId57" Type="http://schemas.openxmlformats.org/officeDocument/2006/relationships/hyperlink" Target="mailto:tnshanil@hometax.go.kr" TargetMode="External"/><Relationship Id="rId106" Type="http://schemas.openxmlformats.org/officeDocument/2006/relationships/hyperlink" Target="mailto:vipps1004@naver.com%20" TargetMode="External"/><Relationship Id="rId127" Type="http://schemas.openxmlformats.org/officeDocument/2006/relationships/printerSettings" Target="../printerSettings/printerSettings1.bin"/><Relationship Id="rId10" Type="http://schemas.openxmlformats.org/officeDocument/2006/relationships/hyperlink" Target="mailto:hjsong@unioncement.com" TargetMode="External"/><Relationship Id="rId31" Type="http://schemas.openxmlformats.org/officeDocument/2006/relationships/hyperlink" Target="mailto:kumho3780@naver.com" TargetMode="External"/><Relationship Id="rId52" Type="http://schemas.openxmlformats.org/officeDocument/2006/relationships/hyperlink" Target="mailto:hyshin@gmail.com" TargetMode="External"/><Relationship Id="rId73" Type="http://schemas.openxmlformats.org/officeDocument/2006/relationships/hyperlink" Target="mailto:kyungeun@thedaylabs.com" TargetMode="External"/><Relationship Id="rId78" Type="http://schemas.openxmlformats.org/officeDocument/2006/relationships/hyperlink" Target="mailto:ametech1@wehago.com" TargetMode="External"/><Relationship Id="rId94" Type="http://schemas.openxmlformats.org/officeDocument/2006/relationships/hyperlink" Target="mailto:wb.liss_song@dspharm.com" TargetMode="External"/><Relationship Id="rId99" Type="http://schemas.openxmlformats.org/officeDocument/2006/relationships/hyperlink" Target="mailto:jichoe@gntechvc.co.kr" TargetMode="External"/><Relationship Id="rId101" Type="http://schemas.openxmlformats.org/officeDocument/2006/relationships/hyperlink" Target="mailto:kjk@yoonyang.com" TargetMode="External"/><Relationship Id="rId122" Type="http://schemas.openxmlformats.org/officeDocument/2006/relationships/hyperlink" Target="mailto:13038@daum.net" TargetMode="External"/><Relationship Id="rId4" Type="http://schemas.openxmlformats.org/officeDocument/2006/relationships/hyperlink" Target="mailto:mhgood45@dkin.co.kr" TargetMode="External"/><Relationship Id="rId9" Type="http://schemas.openxmlformats.org/officeDocument/2006/relationships/hyperlink" Target="mailto:kumho3780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24D6-CE87-44CB-824B-782F21EFCCC9}">
  <sheetPr codeName="Sheet3">
    <tabColor rgb="FFFF0000"/>
    <pageSetUpPr fitToPage="1"/>
  </sheetPr>
  <dimension ref="A1:DQ496"/>
  <sheetViews>
    <sheetView tabSelected="1" zoomScaleNormal="100" workbookViewId="0">
      <pane xSplit="6" ySplit="3" topLeftCell="G43" activePane="bottomRight" state="frozen"/>
      <selection activeCell="D18" sqref="D18"/>
      <selection pane="topRight" activeCell="D18" sqref="D18"/>
      <selection pane="bottomLeft" activeCell="D18" sqref="D18"/>
      <selection pane="bottomRight" activeCell="E13" sqref="E13"/>
    </sheetView>
  </sheetViews>
  <sheetFormatPr defaultColWidth="8.875" defaultRowHeight="16.5"/>
  <cols>
    <col min="1" max="1" width="3.875" customWidth="1"/>
    <col min="2" max="2" width="5.125" style="1" bestFit="1" customWidth="1"/>
    <col min="3" max="3" width="13.125" style="1" bestFit="1" customWidth="1"/>
    <col min="4" max="4" width="9" style="1" bestFit="1" customWidth="1"/>
    <col min="5" max="5" width="23.125" style="1" customWidth="1"/>
    <col min="6" max="6" width="18.125" style="1" customWidth="1"/>
    <col min="7" max="7" width="15" style="1" customWidth="1"/>
    <col min="8" max="8" width="16.375" style="1" customWidth="1"/>
    <col min="9" max="9" width="25.375" style="1" customWidth="1"/>
    <col min="10" max="10" width="14.375" style="1" customWidth="1"/>
    <col min="11" max="11" width="6.375" style="1" customWidth="1"/>
    <col min="12" max="12" width="42" style="1" customWidth="1"/>
    <col min="13" max="13" width="7.5" style="1" customWidth="1"/>
    <col min="14" max="14" width="22" style="1" customWidth="1"/>
    <col min="15" max="15" width="12.125" style="1" customWidth="1"/>
    <col min="16" max="16" width="13.125" style="1" customWidth="1"/>
    <col min="17" max="17" width="11.625" style="31" customWidth="1"/>
    <col min="18" max="19" width="11.625" style="1" customWidth="1"/>
    <col min="20" max="20" width="12.125" style="1" customWidth="1"/>
    <col min="21" max="22" width="12.375" style="1" customWidth="1"/>
    <col min="23" max="23" width="9.875" style="1" customWidth="1"/>
    <col min="24" max="24" width="9.875" style="4" customWidth="1"/>
    <col min="25" max="25" width="22.5" style="4" customWidth="1"/>
    <col min="26" max="27" width="16.125" style="4" customWidth="1"/>
    <col min="28" max="28" width="102.125" style="4" customWidth="1"/>
    <col min="29" max="29" width="13" customWidth="1"/>
    <col min="30" max="31" width="14.625" customWidth="1"/>
    <col min="32" max="32" width="13.125" style="1" customWidth="1"/>
    <col min="33" max="34" width="15.375" customWidth="1"/>
    <col min="35" max="35" width="13.5" customWidth="1"/>
    <col min="36" max="37" width="12.625" customWidth="1"/>
    <col min="38" max="38" width="11.5" customWidth="1"/>
    <col min="39" max="39" width="9.875" customWidth="1"/>
    <col min="40" max="41" width="9" customWidth="1"/>
    <col min="42" max="42" width="11.125" customWidth="1"/>
    <col min="43" max="43" width="11.625" customWidth="1"/>
    <col min="44" max="44" width="10.5" customWidth="1"/>
    <col min="45" max="45" width="32.625" customWidth="1"/>
    <col min="46" max="46" width="10.5" customWidth="1"/>
    <col min="47" max="47" width="61" bestFit="1" customWidth="1"/>
    <col min="48" max="48" width="13" bestFit="1" customWidth="1"/>
    <col min="49" max="49" width="14.375" customWidth="1"/>
    <col min="50" max="50" width="15.875" style="1" customWidth="1"/>
    <col min="51" max="51" width="12.125" style="1" customWidth="1"/>
    <col min="52" max="53" width="13" bestFit="1" customWidth="1"/>
    <col min="54" max="57" width="11.625" bestFit="1" customWidth="1"/>
    <col min="58" max="59" width="11.625" customWidth="1"/>
    <col min="60" max="60" width="14.875" bestFit="1" customWidth="1"/>
    <col min="61" max="61" width="11.625" customWidth="1"/>
    <col min="62" max="62" width="11.125" bestFit="1" customWidth="1"/>
    <col min="63" max="63" width="21.625" bestFit="1" customWidth="1"/>
    <col min="64" max="66" width="11.625" customWidth="1"/>
    <col min="67" max="68" width="27.125" bestFit="1" customWidth="1"/>
    <col min="69" max="69" width="38.375" style="1" bestFit="1" customWidth="1"/>
    <col min="70" max="70" width="13.5" customWidth="1"/>
    <col min="71" max="71" width="9.875" bestFit="1" customWidth="1"/>
    <col min="72" max="72" width="13" bestFit="1" customWidth="1"/>
    <col min="73" max="73" width="11.375" bestFit="1" customWidth="1"/>
    <col min="74" max="74" width="13.125" bestFit="1" customWidth="1"/>
    <col min="75" max="75" width="10" style="1" bestFit="1" customWidth="1"/>
    <col min="76" max="76" width="11.5" bestFit="1" customWidth="1"/>
    <col min="77" max="77" width="13.625" bestFit="1" customWidth="1"/>
    <col min="78" max="78" width="13.625" customWidth="1"/>
    <col min="79" max="79" width="12.625" bestFit="1" customWidth="1"/>
    <col min="80" max="80" width="3.5" bestFit="1" customWidth="1"/>
    <col min="81" max="81" width="20.625" style="1" bestFit="1" customWidth="1"/>
    <col min="82" max="82" width="17.375" style="1" bestFit="1" customWidth="1"/>
    <col min="83" max="83" width="14.25" bestFit="1" customWidth="1"/>
    <col min="84" max="84" width="10.125" style="1" bestFit="1" customWidth="1"/>
    <col min="85" max="85" width="14.125" customWidth="1"/>
    <col min="86" max="86" width="14.75" bestFit="1" customWidth="1"/>
    <col min="87" max="87" width="14.125" bestFit="1" customWidth="1"/>
    <col min="88" max="88" width="15.25" bestFit="1" customWidth="1"/>
    <col min="89" max="89" width="6.375" customWidth="1"/>
    <col min="90" max="90" width="8.125" customWidth="1"/>
    <col min="91" max="91" width="30.125" style="1" bestFit="1" customWidth="1"/>
    <col min="92" max="93" width="25" style="1" bestFit="1" customWidth="1"/>
    <col min="94" max="94" width="7.375" bestFit="1" customWidth="1"/>
    <col min="96" max="96" width="10.125" bestFit="1" customWidth="1"/>
    <col min="97" max="97" width="13.125" bestFit="1" customWidth="1"/>
    <col min="98" max="98" width="8.5" bestFit="1" customWidth="1"/>
    <col min="99" max="99" width="13.125" bestFit="1" customWidth="1"/>
    <col min="100" max="100" width="10.125" bestFit="1" customWidth="1"/>
    <col min="101" max="101" width="13.125" bestFit="1" customWidth="1"/>
    <col min="102" max="102" width="10.125" bestFit="1" customWidth="1"/>
    <col min="103" max="103" width="13.125" bestFit="1" customWidth="1"/>
    <col min="104" max="104" width="8.5" bestFit="1" customWidth="1"/>
    <col min="105" max="105" width="13.125" bestFit="1" customWidth="1"/>
    <col min="106" max="106" width="11.125" bestFit="1" customWidth="1"/>
    <col min="107" max="107" width="11.125" customWidth="1"/>
    <col min="108" max="109" width="13.125" bestFit="1" customWidth="1"/>
    <col min="110" max="111" width="13.125" style="1" bestFit="1" customWidth="1"/>
    <col min="112" max="112" width="21.5" style="1" bestFit="1" customWidth="1"/>
    <col min="113" max="113" width="16.375" style="1" bestFit="1" customWidth="1"/>
    <col min="114" max="114" width="70.125" style="1" bestFit="1" customWidth="1"/>
    <col min="115" max="116" width="9.125" bestFit="1" customWidth="1"/>
    <col min="117" max="117" width="16.375" style="1" bestFit="1" customWidth="1"/>
    <col min="118" max="118" width="29.75" style="4" bestFit="1" customWidth="1"/>
    <col min="119" max="119" width="16.375" bestFit="1" customWidth="1"/>
    <col min="120" max="120" width="70.125" bestFit="1" customWidth="1"/>
    <col min="121" max="121" width="9.125" bestFit="1" customWidth="1"/>
  </cols>
  <sheetData>
    <row r="1" spans="2:121">
      <c r="J1" s="30"/>
      <c r="L1" s="30"/>
      <c r="AG1" s="8"/>
      <c r="AV1" s="8"/>
      <c r="AZ1" s="8"/>
      <c r="BA1" s="8"/>
      <c r="CC1" s="10"/>
      <c r="CE1" s="4">
        <f>SUM(CE4:CE1048576)</f>
        <v>142876660</v>
      </c>
      <c r="CG1" s="8"/>
      <c r="CH1" s="8"/>
      <c r="CI1" s="8"/>
      <c r="CJ1" s="8"/>
      <c r="CM1" s="30">
        <f>SUM(CG1:CJ1)</f>
        <v>0</v>
      </c>
    </row>
    <row r="2" spans="2:121" s="5" customFormat="1" ht="15" customHeight="1"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5">
        <v>32</v>
      </c>
      <c r="AI2" s="5">
        <v>33</v>
      </c>
      <c r="AJ2" s="5">
        <v>34</v>
      </c>
      <c r="AK2" s="5">
        <v>35</v>
      </c>
      <c r="AL2" s="5">
        <v>36</v>
      </c>
      <c r="AM2" s="5">
        <v>37</v>
      </c>
      <c r="AN2" s="5">
        <v>38</v>
      </c>
      <c r="AO2" s="5">
        <v>39</v>
      </c>
      <c r="AP2" s="5">
        <v>40</v>
      </c>
      <c r="AQ2" s="5">
        <v>41</v>
      </c>
      <c r="AR2" s="5">
        <v>42</v>
      </c>
      <c r="AS2" s="5">
        <v>43</v>
      </c>
      <c r="AT2" s="5">
        <v>44</v>
      </c>
      <c r="AU2" s="5">
        <v>45</v>
      </c>
      <c r="AV2" s="5">
        <v>46</v>
      </c>
      <c r="AW2" s="5">
        <v>47</v>
      </c>
      <c r="AX2" s="5">
        <v>48</v>
      </c>
      <c r="AY2" s="5">
        <v>49</v>
      </c>
      <c r="AZ2" s="5">
        <v>50</v>
      </c>
      <c r="BA2" s="5">
        <v>51</v>
      </c>
      <c r="BB2" s="5">
        <v>52</v>
      </c>
      <c r="BC2" s="5">
        <v>53</v>
      </c>
      <c r="BD2" s="5">
        <v>54</v>
      </c>
      <c r="BE2" s="5">
        <v>55</v>
      </c>
      <c r="BF2" s="5">
        <v>56</v>
      </c>
      <c r="BG2" s="5">
        <v>57</v>
      </c>
      <c r="BH2" s="5">
        <v>58</v>
      </c>
      <c r="BI2" s="5">
        <v>59</v>
      </c>
      <c r="BJ2" s="5">
        <v>60</v>
      </c>
      <c r="BK2" s="5">
        <v>61</v>
      </c>
      <c r="BL2" s="5">
        <v>62</v>
      </c>
      <c r="BM2" s="5">
        <v>63</v>
      </c>
      <c r="BN2" s="5">
        <v>64</v>
      </c>
      <c r="BO2" s="5">
        <v>65</v>
      </c>
      <c r="BP2" s="5">
        <v>66</v>
      </c>
      <c r="BQ2" s="5">
        <v>67</v>
      </c>
      <c r="BR2" s="5">
        <v>68</v>
      </c>
      <c r="BS2" s="5">
        <v>69</v>
      </c>
      <c r="BT2" s="5">
        <v>70</v>
      </c>
      <c r="BU2" s="5">
        <v>71</v>
      </c>
      <c r="BV2" s="5">
        <v>72</v>
      </c>
      <c r="BW2" s="5">
        <v>73</v>
      </c>
      <c r="BX2" s="5">
        <v>74</v>
      </c>
      <c r="BY2" s="5">
        <v>75</v>
      </c>
      <c r="BZ2" s="5">
        <v>76</v>
      </c>
      <c r="CA2" s="5">
        <v>77</v>
      </c>
      <c r="CB2" s="5">
        <v>78</v>
      </c>
      <c r="CC2" s="5">
        <v>79</v>
      </c>
      <c r="CD2" s="5">
        <v>80</v>
      </c>
      <c r="CE2" s="5">
        <v>81</v>
      </c>
      <c r="CF2" s="5">
        <v>82</v>
      </c>
      <c r="CG2" s="5">
        <v>83</v>
      </c>
      <c r="CH2" s="5">
        <v>84</v>
      </c>
      <c r="CI2" s="5">
        <v>85</v>
      </c>
      <c r="CJ2" s="5">
        <v>86</v>
      </c>
      <c r="CK2" s="5">
        <v>87</v>
      </c>
      <c r="CL2" s="5">
        <v>88</v>
      </c>
      <c r="CM2" s="5">
        <v>89</v>
      </c>
      <c r="CN2" s="5">
        <v>90</v>
      </c>
      <c r="CO2" s="5">
        <v>91</v>
      </c>
      <c r="CP2" s="5">
        <v>92</v>
      </c>
      <c r="CQ2" s="5">
        <v>93</v>
      </c>
      <c r="CR2" s="5">
        <v>94</v>
      </c>
      <c r="CS2" s="5">
        <v>95</v>
      </c>
      <c r="CT2" s="5">
        <v>96</v>
      </c>
      <c r="CU2" s="5">
        <v>97</v>
      </c>
      <c r="CV2" s="5">
        <v>98</v>
      </c>
      <c r="CW2" s="5">
        <v>99</v>
      </c>
      <c r="CX2" s="5">
        <v>100</v>
      </c>
      <c r="CY2" s="5">
        <v>101</v>
      </c>
      <c r="CZ2" s="5">
        <v>102</v>
      </c>
      <c r="DA2" s="5">
        <v>103</v>
      </c>
      <c r="DB2" s="5">
        <v>104</v>
      </c>
      <c r="DC2" s="5">
        <v>105</v>
      </c>
      <c r="DD2" s="5">
        <v>106</v>
      </c>
      <c r="DE2" s="5">
        <v>107</v>
      </c>
      <c r="DF2" s="5">
        <v>108</v>
      </c>
      <c r="DG2" s="5">
        <v>109</v>
      </c>
      <c r="DH2" s="5">
        <v>110</v>
      </c>
      <c r="DI2" s="5">
        <v>111</v>
      </c>
      <c r="DJ2" s="5">
        <v>112</v>
      </c>
      <c r="DK2" s="5">
        <v>113</v>
      </c>
      <c r="DL2" s="5">
        <v>114</v>
      </c>
      <c r="DM2" s="5">
        <v>115</v>
      </c>
      <c r="DN2" s="5">
        <v>116</v>
      </c>
      <c r="DO2" s="5">
        <v>117</v>
      </c>
      <c r="DP2" s="5">
        <v>118</v>
      </c>
      <c r="DQ2" s="5">
        <v>119</v>
      </c>
    </row>
    <row r="3" spans="2:121">
      <c r="B3" s="2" t="s">
        <v>0</v>
      </c>
      <c r="C3" s="2" t="s">
        <v>1</v>
      </c>
      <c r="D3" s="2" t="s">
        <v>1584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156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7</v>
      </c>
      <c r="Q3" s="3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3" t="s">
        <v>21</v>
      </c>
      <c r="Y3" s="3" t="s">
        <v>22</v>
      </c>
      <c r="Z3" s="3" t="s">
        <v>4</v>
      </c>
      <c r="AA3" s="3" t="s">
        <v>23</v>
      </c>
      <c r="AB3" s="3" t="s">
        <v>24</v>
      </c>
      <c r="AC3" s="59" t="s">
        <v>25</v>
      </c>
      <c r="AD3" s="2" t="s">
        <v>26</v>
      </c>
      <c r="AE3" s="2" t="s">
        <v>27</v>
      </c>
      <c r="AF3" s="2" t="s">
        <v>13</v>
      </c>
      <c r="AG3" s="2" t="s">
        <v>28</v>
      </c>
      <c r="AH3" s="2" t="s">
        <v>29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157</v>
      </c>
      <c r="BA3" s="2" t="s">
        <v>158</v>
      </c>
      <c r="BB3" s="2" t="s">
        <v>59</v>
      </c>
      <c r="BC3" s="2" t="s">
        <v>159</v>
      </c>
      <c r="BD3" s="2"/>
      <c r="BE3" s="2" t="s">
        <v>47</v>
      </c>
      <c r="BF3" s="2" t="s">
        <v>48</v>
      </c>
      <c r="BG3" s="2" t="s">
        <v>49</v>
      </c>
      <c r="BH3" s="2" t="s">
        <v>50</v>
      </c>
      <c r="BI3" s="2" t="s">
        <v>51</v>
      </c>
      <c r="BJ3" s="2" t="s">
        <v>52</v>
      </c>
      <c r="BK3" s="2" t="s">
        <v>53</v>
      </c>
      <c r="BL3" s="2" t="s">
        <v>54</v>
      </c>
      <c r="BM3" s="2" t="s">
        <v>55</v>
      </c>
      <c r="BN3" s="2" t="s">
        <v>56</v>
      </c>
      <c r="BO3" s="2" t="s">
        <v>57</v>
      </c>
      <c r="BP3" s="2" t="s">
        <v>58</v>
      </c>
      <c r="BQ3" s="2" t="s">
        <v>59</v>
      </c>
      <c r="BR3" s="2" t="s">
        <v>160</v>
      </c>
      <c r="BS3" s="2" t="s">
        <v>60</v>
      </c>
      <c r="BT3" s="2" t="s">
        <v>61</v>
      </c>
      <c r="BU3" s="2" t="s">
        <v>62</v>
      </c>
      <c r="BV3" s="2" t="s">
        <v>63</v>
      </c>
      <c r="BW3" s="2" t="s">
        <v>64</v>
      </c>
      <c r="BX3" s="2" t="s">
        <v>65</v>
      </c>
      <c r="BY3" s="2" t="s">
        <v>66</v>
      </c>
      <c r="BZ3" s="2" t="s">
        <v>67</v>
      </c>
      <c r="CA3" s="2" t="s">
        <v>68</v>
      </c>
      <c r="CB3" s="2"/>
      <c r="CC3" s="2" t="s">
        <v>69</v>
      </c>
      <c r="CD3" s="2" t="s">
        <v>70</v>
      </c>
      <c r="CE3" s="2" t="s">
        <v>71</v>
      </c>
      <c r="CF3" s="2" t="s">
        <v>64</v>
      </c>
      <c r="CG3" s="2" t="s">
        <v>72</v>
      </c>
      <c r="CH3" s="2" t="s">
        <v>73</v>
      </c>
      <c r="CI3" s="2" t="s">
        <v>74</v>
      </c>
      <c r="CJ3" s="2" t="s">
        <v>75</v>
      </c>
      <c r="CK3" s="2" t="s">
        <v>161</v>
      </c>
      <c r="CL3" s="2" t="s">
        <v>68</v>
      </c>
      <c r="CM3" s="2" t="s">
        <v>76</v>
      </c>
      <c r="CN3" s="2" t="s">
        <v>76</v>
      </c>
      <c r="CO3" s="2" t="s">
        <v>77</v>
      </c>
      <c r="CP3" s="2" t="s">
        <v>162</v>
      </c>
      <c r="CQ3" s="2"/>
      <c r="CR3" s="2" t="s">
        <v>163</v>
      </c>
      <c r="CS3" s="2" t="s">
        <v>164</v>
      </c>
      <c r="CT3" s="2" t="s">
        <v>165</v>
      </c>
      <c r="CU3" s="2" t="s">
        <v>166</v>
      </c>
      <c r="CV3" s="2" t="s">
        <v>167</v>
      </c>
      <c r="CW3" s="2" t="s">
        <v>168</v>
      </c>
      <c r="CX3" s="2" t="s">
        <v>169</v>
      </c>
      <c r="CY3" s="2" t="s">
        <v>170</v>
      </c>
      <c r="CZ3" s="2" t="s">
        <v>171</v>
      </c>
      <c r="DA3" s="2" t="s">
        <v>172</v>
      </c>
      <c r="DB3" s="2" t="s">
        <v>78</v>
      </c>
      <c r="DC3" s="2" t="s">
        <v>79</v>
      </c>
      <c r="DD3" s="2" t="s">
        <v>80</v>
      </c>
      <c r="DE3" s="2" t="s">
        <v>81</v>
      </c>
      <c r="DF3" s="2" t="s">
        <v>173</v>
      </c>
      <c r="DG3" s="2" t="s">
        <v>82</v>
      </c>
      <c r="DH3" s="2" t="s">
        <v>83</v>
      </c>
      <c r="DI3" s="2" t="s">
        <v>84</v>
      </c>
      <c r="DJ3" s="2" t="s">
        <v>85</v>
      </c>
      <c r="DK3" s="2" t="s">
        <v>86</v>
      </c>
      <c r="DL3" s="2" t="s">
        <v>174</v>
      </c>
      <c r="DM3" s="2" t="s">
        <v>175</v>
      </c>
      <c r="DN3" s="3" t="s">
        <v>1350</v>
      </c>
      <c r="DO3" s="2"/>
      <c r="DP3" s="2"/>
      <c r="DQ3" s="2"/>
    </row>
    <row r="4" spans="2:121">
      <c r="B4" s="7">
        <v>1</v>
      </c>
      <c r="C4" s="7" t="s">
        <v>191</v>
      </c>
      <c r="D4" s="7" t="s">
        <v>178</v>
      </c>
      <c r="E4" s="7" t="s">
        <v>177</v>
      </c>
      <c r="F4" s="7" t="s">
        <v>178</v>
      </c>
      <c r="G4" s="7" t="s">
        <v>179</v>
      </c>
      <c r="H4" s="7" t="s">
        <v>192</v>
      </c>
      <c r="I4" s="7" t="s">
        <v>139</v>
      </c>
      <c r="J4" s="9">
        <v>12750000</v>
      </c>
      <c r="K4" s="7">
        <v>2022</v>
      </c>
      <c r="L4" s="6" t="s">
        <v>134</v>
      </c>
      <c r="M4" s="6" t="s">
        <v>90</v>
      </c>
      <c r="N4" s="7" t="s">
        <v>193</v>
      </c>
      <c r="O4" s="7" t="s">
        <v>194</v>
      </c>
      <c r="P4" s="7" t="s">
        <v>98</v>
      </c>
      <c r="Q4" s="33">
        <v>998</v>
      </c>
      <c r="R4" s="11">
        <v>44503</v>
      </c>
      <c r="S4" s="18"/>
      <c r="T4" s="11">
        <v>44503</v>
      </c>
      <c r="U4" s="12" t="s">
        <v>91</v>
      </c>
      <c r="V4" s="62">
        <f>IFERROR(T4+AD4, "-")</f>
        <v>46328</v>
      </c>
      <c r="W4" s="7">
        <f ca="1">IFERROR(DATEDIF(TODAY(), V4, "m"), "-")</f>
        <v>2</v>
      </c>
      <c r="X4" s="13">
        <v>20000</v>
      </c>
      <c r="Y4" s="9" t="s">
        <v>185</v>
      </c>
      <c r="Z4" s="9" t="s">
        <v>179</v>
      </c>
      <c r="AA4" s="9"/>
      <c r="AB4" s="9"/>
      <c r="AC4" s="18"/>
      <c r="AD4" s="7">
        <f>365*U4</f>
        <v>1825</v>
      </c>
      <c r="AE4" s="7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 t="s">
        <v>195</v>
      </c>
      <c r="AS4" s="9"/>
      <c r="AT4" s="9"/>
      <c r="AU4" s="9" t="s">
        <v>135</v>
      </c>
      <c r="AV4" s="9">
        <v>0</v>
      </c>
      <c r="AW4" s="18"/>
      <c r="AX4" s="18" t="s">
        <v>196</v>
      </c>
      <c r="AY4" s="53">
        <v>44503</v>
      </c>
      <c r="AZ4" s="41">
        <v>1153090</v>
      </c>
      <c r="BA4" s="9"/>
      <c r="BB4" s="9"/>
      <c r="BC4" s="9"/>
      <c r="BD4" s="9"/>
      <c r="BE4" s="9" t="s">
        <v>93</v>
      </c>
      <c r="BF4" s="9" t="s">
        <v>94</v>
      </c>
      <c r="BG4" s="9" t="s">
        <v>197</v>
      </c>
      <c r="BH4" s="9" t="s">
        <v>118</v>
      </c>
      <c r="BI4" s="9" t="s">
        <v>97</v>
      </c>
      <c r="BJ4" s="9" t="s">
        <v>119</v>
      </c>
      <c r="BK4" s="7" t="s">
        <v>190</v>
      </c>
      <c r="BL4" s="9" t="s">
        <v>99</v>
      </c>
      <c r="BM4" s="9" t="s">
        <v>148</v>
      </c>
      <c r="BN4" s="9" t="s">
        <v>148</v>
      </c>
      <c r="BO4" s="9" t="s">
        <v>101</v>
      </c>
      <c r="BP4" s="9" t="s">
        <v>101</v>
      </c>
      <c r="BQ4" s="9" t="s">
        <v>198</v>
      </c>
      <c r="BR4" s="7"/>
      <c r="BS4" s="9">
        <f>IF(Q4&lt;=1600,Q4*18,IF(Q4&lt;=2500,Q4*19,IF(Q4&gt;2500,Q4*24,20000)))</f>
        <v>17964</v>
      </c>
      <c r="BT4" s="7" t="s">
        <v>140</v>
      </c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 t="s">
        <v>1610</v>
      </c>
      <c r="DK4" s="22"/>
      <c r="DL4" s="22"/>
      <c r="DM4" s="22"/>
      <c r="DN4" s="22"/>
      <c r="DO4" s="22"/>
      <c r="DP4" s="22"/>
      <c r="DQ4" s="22"/>
    </row>
    <row r="5" spans="2:121">
      <c r="B5" s="7">
        <v>2</v>
      </c>
      <c r="C5" s="7" t="s">
        <v>1387</v>
      </c>
      <c r="D5" s="7" t="s">
        <v>178</v>
      </c>
      <c r="E5" s="7" t="s">
        <v>177</v>
      </c>
      <c r="F5" s="7" t="s">
        <v>178</v>
      </c>
      <c r="G5" s="7" t="s">
        <v>179</v>
      </c>
      <c r="H5" s="7" t="s">
        <v>1441</v>
      </c>
      <c r="I5" s="7" t="s">
        <v>1389</v>
      </c>
      <c r="J5" s="9">
        <f>35020000+530000</f>
        <v>35550000</v>
      </c>
      <c r="K5" s="7">
        <v>2026</v>
      </c>
      <c r="L5" s="6" t="s">
        <v>1390</v>
      </c>
      <c r="M5" s="6" t="s">
        <v>90</v>
      </c>
      <c r="N5" s="7" t="s">
        <v>1398</v>
      </c>
      <c r="O5" s="7" t="s">
        <v>1395</v>
      </c>
      <c r="P5" s="7" t="s">
        <v>1391</v>
      </c>
      <c r="Q5" s="33">
        <v>1999</v>
      </c>
      <c r="R5" s="11">
        <v>45995</v>
      </c>
      <c r="S5" s="18"/>
      <c r="T5" s="11">
        <v>45995</v>
      </c>
      <c r="U5" s="12" t="s">
        <v>91</v>
      </c>
      <c r="V5" s="62">
        <f>IFERROR(T5+AD5, "-")</f>
        <v>47820</v>
      </c>
      <c r="W5" s="7">
        <f ca="1">IFERROR(DATEDIF(TODAY(), V5, "m"), "-")</f>
        <v>51</v>
      </c>
      <c r="X5" s="13">
        <v>20000</v>
      </c>
      <c r="Y5" s="9" t="s">
        <v>185</v>
      </c>
      <c r="Z5" s="9" t="s">
        <v>179</v>
      </c>
      <c r="AA5" s="9"/>
      <c r="AB5" s="9"/>
      <c r="AC5" s="18"/>
      <c r="AD5" s="7">
        <f>365*U5</f>
        <v>1825</v>
      </c>
      <c r="AE5" s="7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 t="s">
        <v>187</v>
      </c>
      <c r="AS5" s="9">
        <v>190000</v>
      </c>
      <c r="AT5" s="9"/>
      <c r="AU5" s="46" t="s">
        <v>232</v>
      </c>
      <c r="AV5" s="41"/>
      <c r="AW5" s="18"/>
      <c r="AX5" s="18"/>
      <c r="AY5" s="53"/>
      <c r="AZ5" s="41"/>
      <c r="BA5" s="9"/>
      <c r="BB5" s="9"/>
      <c r="BC5" s="9"/>
      <c r="BD5" s="9"/>
      <c r="BE5" s="9" t="s">
        <v>93</v>
      </c>
      <c r="BF5" s="9" t="s">
        <v>94</v>
      </c>
      <c r="BG5" s="9" t="s">
        <v>197</v>
      </c>
      <c r="BH5" s="9" t="s">
        <v>118</v>
      </c>
      <c r="BI5" s="9" t="s">
        <v>97</v>
      </c>
      <c r="BJ5" s="9" t="s">
        <v>119</v>
      </c>
      <c r="BK5" s="7" t="s">
        <v>190</v>
      </c>
      <c r="BL5" s="9" t="s">
        <v>99</v>
      </c>
      <c r="BM5" s="9" t="s">
        <v>148</v>
      </c>
      <c r="BN5" s="9" t="s">
        <v>148</v>
      </c>
      <c r="BO5" s="9" t="s">
        <v>101</v>
      </c>
      <c r="BP5" s="9" t="s">
        <v>101</v>
      </c>
      <c r="BQ5" s="9"/>
      <c r="BR5" s="7"/>
      <c r="BS5" s="9">
        <f>IF(Q5&lt;=1600,Q5*18,IF(Q5&lt;=2500,Q5*19,IF(Q5&gt;2500,Q5*24,20000)))</f>
        <v>37981</v>
      </c>
      <c r="BT5" s="7" t="s">
        <v>140</v>
      </c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 t="s">
        <v>1610</v>
      </c>
      <c r="DK5" s="22"/>
      <c r="DL5" s="22"/>
      <c r="DM5" s="22"/>
      <c r="DN5" s="22"/>
      <c r="DO5" s="22"/>
      <c r="DP5" s="22"/>
      <c r="DQ5" s="22"/>
    </row>
    <row r="6" spans="2:121">
      <c r="B6" s="7">
        <v>3</v>
      </c>
      <c r="C6" s="7" t="s">
        <v>1412</v>
      </c>
      <c r="D6" s="7" t="s">
        <v>178</v>
      </c>
      <c r="E6" s="7" t="s">
        <v>177</v>
      </c>
      <c r="F6" s="7" t="s">
        <v>178</v>
      </c>
      <c r="G6" s="7" t="s">
        <v>179</v>
      </c>
      <c r="H6" s="7" t="s">
        <v>1441</v>
      </c>
      <c r="I6" s="7" t="s">
        <v>1389</v>
      </c>
      <c r="J6" s="9">
        <f>35020000+530000</f>
        <v>35550000</v>
      </c>
      <c r="K6" s="7">
        <v>2026</v>
      </c>
      <c r="L6" s="6" t="s">
        <v>1390</v>
      </c>
      <c r="M6" s="6" t="s">
        <v>90</v>
      </c>
      <c r="N6" s="7" t="s">
        <v>1429</v>
      </c>
      <c r="O6" s="7" t="s">
        <v>1430</v>
      </c>
      <c r="P6" s="7" t="s">
        <v>1391</v>
      </c>
      <c r="Q6" s="33">
        <v>1999</v>
      </c>
      <c r="R6" s="11">
        <v>46017</v>
      </c>
      <c r="S6" s="18"/>
      <c r="T6" s="11">
        <v>46017</v>
      </c>
      <c r="U6" s="12" t="s">
        <v>91</v>
      </c>
      <c r="V6" s="62">
        <f>IFERROR(T6+AD6, "-")</f>
        <v>47842</v>
      </c>
      <c r="W6" s="7">
        <f ca="1">IFERROR(DATEDIF(TODAY(), V6, "m"), "-")</f>
        <v>52</v>
      </c>
      <c r="X6" s="13">
        <v>20000</v>
      </c>
      <c r="Y6" s="9" t="s">
        <v>185</v>
      </c>
      <c r="Z6" s="9" t="s">
        <v>179</v>
      </c>
      <c r="AA6" s="9"/>
      <c r="AB6" s="9"/>
      <c r="AC6" s="18"/>
      <c r="AD6" s="7">
        <f>365*U6</f>
        <v>1825</v>
      </c>
      <c r="AE6" s="7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 t="s">
        <v>187</v>
      </c>
      <c r="AS6" s="9">
        <v>190000</v>
      </c>
      <c r="AT6" s="9"/>
      <c r="AU6" s="46" t="s">
        <v>232</v>
      </c>
      <c r="AV6" s="41"/>
      <c r="AW6" s="18"/>
      <c r="AX6" s="18"/>
      <c r="AY6" s="53"/>
      <c r="AZ6" s="41"/>
      <c r="BA6" s="9"/>
      <c r="BB6" s="9"/>
      <c r="BC6" s="9"/>
      <c r="BD6" s="9"/>
      <c r="BE6" s="9" t="s">
        <v>93</v>
      </c>
      <c r="BF6" s="9" t="s">
        <v>94</v>
      </c>
      <c r="BG6" s="9" t="s">
        <v>197</v>
      </c>
      <c r="BH6" s="9" t="s">
        <v>118</v>
      </c>
      <c r="BI6" s="9" t="s">
        <v>97</v>
      </c>
      <c r="BJ6" s="9" t="s">
        <v>119</v>
      </c>
      <c r="BK6" s="7" t="s">
        <v>190</v>
      </c>
      <c r="BL6" s="9" t="s">
        <v>99</v>
      </c>
      <c r="BM6" s="9" t="s">
        <v>148</v>
      </c>
      <c r="BN6" s="9" t="s">
        <v>148</v>
      </c>
      <c r="BO6" s="9" t="s">
        <v>101</v>
      </c>
      <c r="BP6" s="9" t="s">
        <v>101</v>
      </c>
      <c r="BQ6" s="9"/>
      <c r="BR6" s="7"/>
      <c r="BS6" s="9">
        <f>IF(Q6&lt;=1600,Q6*18,IF(Q6&lt;=2500,Q6*19,IF(Q6&gt;2500,Q6*24,20000)))</f>
        <v>37981</v>
      </c>
      <c r="BT6" s="7" t="s">
        <v>140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 t="s">
        <v>1610</v>
      </c>
      <c r="DK6" s="22"/>
      <c r="DL6" s="22"/>
      <c r="DM6" s="22"/>
      <c r="DN6" s="22"/>
      <c r="DO6" s="22"/>
      <c r="DP6" s="22"/>
      <c r="DQ6" s="22"/>
    </row>
    <row r="7" spans="2:121">
      <c r="B7" s="7">
        <v>4</v>
      </c>
      <c r="C7" s="7" t="s">
        <v>228</v>
      </c>
      <c r="D7" s="7" t="s">
        <v>178</v>
      </c>
      <c r="E7" s="7" t="s">
        <v>177</v>
      </c>
      <c r="F7" s="7" t="s">
        <v>178</v>
      </c>
      <c r="G7" s="7" t="s">
        <v>1349</v>
      </c>
      <c r="H7" s="7" t="s">
        <v>199</v>
      </c>
      <c r="I7" s="7" t="s">
        <v>200</v>
      </c>
      <c r="J7" s="9">
        <f>36250000+3860000</f>
        <v>40110000</v>
      </c>
      <c r="K7" s="7">
        <v>2024</v>
      </c>
      <c r="L7" s="6" t="s">
        <v>229</v>
      </c>
      <c r="M7" s="6" t="s">
        <v>90</v>
      </c>
      <c r="N7" s="7" t="s">
        <v>230</v>
      </c>
      <c r="O7" s="7" t="s">
        <v>231</v>
      </c>
      <c r="P7" s="7" t="s">
        <v>98</v>
      </c>
      <c r="Q7" s="33">
        <v>2497</v>
      </c>
      <c r="R7" s="11">
        <v>45490</v>
      </c>
      <c r="S7" s="18"/>
      <c r="T7" s="11">
        <v>45490</v>
      </c>
      <c r="U7" s="12" t="s">
        <v>91</v>
      </c>
      <c r="V7" s="62">
        <f>IFERROR(T7+AD7, "-")</f>
        <v>47315</v>
      </c>
      <c r="W7" s="7">
        <f ca="1">IFERROR(DATEDIF(TODAY(), V7, "m"), "-")</f>
        <v>34</v>
      </c>
      <c r="X7" s="13">
        <v>20000</v>
      </c>
      <c r="Y7" s="7" t="s">
        <v>1348</v>
      </c>
      <c r="Z7" s="7" t="s">
        <v>1349</v>
      </c>
      <c r="AA7" s="9"/>
      <c r="AB7" s="9"/>
      <c r="AC7" s="18"/>
      <c r="AD7" s="7">
        <f>365*U7</f>
        <v>1825</v>
      </c>
      <c r="AE7" s="7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 t="s">
        <v>187</v>
      </c>
      <c r="AS7" s="9"/>
      <c r="AT7" s="9"/>
      <c r="AU7" s="46" t="s">
        <v>232</v>
      </c>
      <c r="AV7" s="41">
        <v>1565870</v>
      </c>
      <c r="AW7" s="18"/>
      <c r="AX7" s="18" t="s">
        <v>189</v>
      </c>
      <c r="AY7" s="53"/>
      <c r="AZ7" s="41">
        <f>2239200-807230</f>
        <v>1431970</v>
      </c>
      <c r="BA7" s="9"/>
      <c r="BB7" s="9"/>
      <c r="BC7" s="9"/>
      <c r="BD7" s="9"/>
      <c r="BE7" s="9" t="s">
        <v>93</v>
      </c>
      <c r="BF7" s="9" t="s">
        <v>94</v>
      </c>
      <c r="BG7" s="9" t="s">
        <v>197</v>
      </c>
      <c r="BH7" s="9" t="s">
        <v>118</v>
      </c>
      <c r="BI7" s="9" t="s">
        <v>97</v>
      </c>
      <c r="BJ7" s="9" t="s">
        <v>119</v>
      </c>
      <c r="BK7" s="7" t="s">
        <v>190</v>
      </c>
      <c r="BL7" s="9" t="s">
        <v>99</v>
      </c>
      <c r="BM7" s="9" t="s">
        <v>148</v>
      </c>
      <c r="BN7" s="9" t="s">
        <v>148</v>
      </c>
      <c r="BO7" s="9" t="s">
        <v>101</v>
      </c>
      <c r="BP7" s="9" t="s">
        <v>101</v>
      </c>
      <c r="BQ7" s="9" t="s">
        <v>202</v>
      </c>
      <c r="BR7" s="7"/>
      <c r="BS7" s="9">
        <f>IF(Q7&lt;=1600,Q7*18,IF(Q7&lt;=2500,Q7*19,IF(Q7&gt;2500,Q7*24,20000)))</f>
        <v>47443</v>
      </c>
      <c r="BT7" s="7" t="s">
        <v>140</v>
      </c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 t="s">
        <v>1610</v>
      </c>
      <c r="DK7" s="22"/>
      <c r="DL7" s="22"/>
      <c r="DM7" s="22"/>
      <c r="DN7" s="22"/>
      <c r="DO7" s="22"/>
      <c r="DP7" s="22"/>
      <c r="DQ7" s="22"/>
    </row>
    <row r="8" spans="2:121">
      <c r="B8" s="7">
        <v>5</v>
      </c>
      <c r="C8" s="7" t="s">
        <v>233</v>
      </c>
      <c r="D8" s="7" t="s">
        <v>178</v>
      </c>
      <c r="E8" s="7" t="s">
        <v>177</v>
      </c>
      <c r="F8" s="7" t="s">
        <v>1583</v>
      </c>
      <c r="G8" s="7" t="s">
        <v>179</v>
      </c>
      <c r="H8" s="7" t="s">
        <v>199</v>
      </c>
      <c r="I8" s="7" t="s">
        <v>200</v>
      </c>
      <c r="J8" s="9">
        <f>40880000+3020000</f>
        <v>43900000</v>
      </c>
      <c r="K8" s="7">
        <v>2025</v>
      </c>
      <c r="L8" s="6" t="s">
        <v>229</v>
      </c>
      <c r="M8" s="6" t="s">
        <v>90</v>
      </c>
      <c r="N8" s="7" t="s">
        <v>234</v>
      </c>
      <c r="O8" s="7" t="s">
        <v>235</v>
      </c>
      <c r="P8" s="7" t="s">
        <v>236</v>
      </c>
      <c r="Q8" s="33">
        <v>2497</v>
      </c>
      <c r="R8" s="11">
        <v>45775</v>
      </c>
      <c r="S8" s="18"/>
      <c r="T8" s="11">
        <v>45406</v>
      </c>
      <c r="U8" s="12" t="s">
        <v>91</v>
      </c>
      <c r="V8" s="62">
        <f>IFERROR(T8+AD8, "-")</f>
        <v>47231</v>
      </c>
      <c r="W8" s="7">
        <f ca="1">IFERROR(DATEDIF(TODAY(), V8, "m"), "-")</f>
        <v>32</v>
      </c>
      <c r="X8" s="13">
        <v>20000</v>
      </c>
      <c r="Y8" s="9" t="s">
        <v>185</v>
      </c>
      <c r="Z8" s="9" t="s">
        <v>179</v>
      </c>
      <c r="AA8" s="9"/>
      <c r="AB8" s="9"/>
      <c r="AC8" s="18"/>
      <c r="AD8" s="7">
        <f>365*U8</f>
        <v>1825</v>
      </c>
      <c r="AE8" s="7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 t="s">
        <v>125</v>
      </c>
      <c r="AS8" s="9">
        <v>190000</v>
      </c>
      <c r="AT8" s="9"/>
      <c r="AU8" s="46" t="s">
        <v>232</v>
      </c>
      <c r="AV8" s="41">
        <v>1565870</v>
      </c>
      <c r="AW8" s="18"/>
      <c r="AX8" s="18" t="s">
        <v>189</v>
      </c>
      <c r="AY8" s="53">
        <v>250424</v>
      </c>
      <c r="AZ8" s="41">
        <f>2239200-807230</f>
        <v>1431970</v>
      </c>
      <c r="BA8" s="9"/>
      <c r="BB8" s="9"/>
      <c r="BC8" s="9"/>
      <c r="BD8" s="9"/>
      <c r="BE8" s="9" t="s">
        <v>93</v>
      </c>
      <c r="BF8" s="9" t="s">
        <v>94</v>
      </c>
      <c r="BG8" s="9" t="s">
        <v>197</v>
      </c>
      <c r="BH8" s="9" t="s">
        <v>118</v>
      </c>
      <c r="BI8" s="9" t="s">
        <v>97</v>
      </c>
      <c r="BJ8" s="9" t="s">
        <v>119</v>
      </c>
      <c r="BK8" s="7" t="s">
        <v>190</v>
      </c>
      <c r="BL8" s="9" t="s">
        <v>99</v>
      </c>
      <c r="BM8" s="9" t="s">
        <v>148</v>
      </c>
      <c r="BN8" s="9" t="s">
        <v>148</v>
      </c>
      <c r="BO8" s="9" t="s">
        <v>101</v>
      </c>
      <c r="BP8" s="9" t="s">
        <v>101</v>
      </c>
      <c r="BQ8" s="9" t="s">
        <v>202</v>
      </c>
      <c r="BR8" s="7"/>
      <c r="BS8" s="9">
        <f>IF(Q8&lt;=1600,Q8*18,IF(Q8&lt;=2500,Q8*19,IF(Q8&gt;2500,Q8*24,20000)))</f>
        <v>47443</v>
      </c>
      <c r="BT8" s="7" t="s">
        <v>140</v>
      </c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 t="s">
        <v>1610</v>
      </c>
      <c r="DK8" s="22"/>
      <c r="DL8" s="22"/>
      <c r="DM8" s="22"/>
      <c r="DN8" s="22"/>
      <c r="DO8" s="22"/>
      <c r="DP8" s="22"/>
      <c r="DQ8" s="22"/>
    </row>
    <row r="9" spans="2:121">
      <c r="B9" s="7">
        <v>6</v>
      </c>
      <c r="C9" s="7" t="s">
        <v>142</v>
      </c>
      <c r="D9" s="7" t="s">
        <v>178</v>
      </c>
      <c r="E9" s="7" t="s">
        <v>177</v>
      </c>
      <c r="F9" s="7" t="s">
        <v>178</v>
      </c>
      <c r="G9" s="7" t="s">
        <v>179</v>
      </c>
      <c r="H9" s="7" t="s">
        <v>1442</v>
      </c>
      <c r="I9" s="7" t="s">
        <v>1413</v>
      </c>
      <c r="J9" s="9">
        <f>46370000+2370000</f>
        <v>48740000</v>
      </c>
      <c r="K9" s="7">
        <v>2026</v>
      </c>
      <c r="L9" s="6" t="s">
        <v>1414</v>
      </c>
      <c r="M9" s="6" t="s">
        <v>90</v>
      </c>
      <c r="N9" s="7" t="s">
        <v>1431</v>
      </c>
      <c r="O9" s="7" t="s">
        <v>1432</v>
      </c>
      <c r="P9" s="7" t="s">
        <v>1415</v>
      </c>
      <c r="Q9" s="33">
        <v>1598</v>
      </c>
      <c r="R9" s="11">
        <v>46021</v>
      </c>
      <c r="S9" s="18"/>
      <c r="T9" s="11">
        <v>46021</v>
      </c>
      <c r="U9" s="12" t="s">
        <v>91</v>
      </c>
      <c r="V9" s="62">
        <f>IFERROR(T9+AD9, "-")</f>
        <v>47846</v>
      </c>
      <c r="W9" s="7">
        <f ca="1">IFERROR(DATEDIF(TODAY(), V9, "m"), "-")</f>
        <v>52</v>
      </c>
      <c r="X9" s="13">
        <v>20000</v>
      </c>
      <c r="Y9" s="9" t="s">
        <v>185</v>
      </c>
      <c r="Z9" s="9" t="s">
        <v>179</v>
      </c>
      <c r="AA9" s="9"/>
      <c r="AB9" s="9"/>
      <c r="AC9" s="18"/>
      <c r="AD9" s="7">
        <f>365*U9</f>
        <v>1825</v>
      </c>
      <c r="AE9" s="7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 t="s">
        <v>125</v>
      </c>
      <c r="AS9" s="9">
        <v>190000</v>
      </c>
      <c r="AT9" s="9"/>
      <c r="AU9" s="46" t="s">
        <v>232</v>
      </c>
      <c r="AV9" s="41"/>
      <c r="AW9" s="18"/>
      <c r="AX9" s="18"/>
      <c r="AY9" s="53"/>
      <c r="AZ9" s="41"/>
      <c r="BA9" s="9"/>
      <c r="BB9" s="9"/>
      <c r="BC9" s="9"/>
      <c r="BD9" s="9"/>
      <c r="BE9" s="9" t="s">
        <v>93</v>
      </c>
      <c r="BF9" s="9" t="s">
        <v>94</v>
      </c>
      <c r="BG9" s="9" t="s">
        <v>197</v>
      </c>
      <c r="BH9" s="9" t="s">
        <v>118</v>
      </c>
      <c r="BI9" s="9" t="s">
        <v>97</v>
      </c>
      <c r="BJ9" s="9" t="s">
        <v>119</v>
      </c>
      <c r="BK9" s="7" t="s">
        <v>190</v>
      </c>
      <c r="BL9" s="9" t="s">
        <v>99</v>
      </c>
      <c r="BM9" s="9" t="s">
        <v>148</v>
      </c>
      <c r="BN9" s="9" t="s">
        <v>148</v>
      </c>
      <c r="BO9" s="9" t="s">
        <v>101</v>
      </c>
      <c r="BP9" s="9" t="s">
        <v>101</v>
      </c>
      <c r="BQ9" s="9"/>
      <c r="BR9" s="7"/>
      <c r="BS9" s="9">
        <f>IF(Q9&lt;=1600,Q9*18,IF(Q9&lt;=2500,Q9*19,IF(Q9&gt;2500,Q9*24,20000)))</f>
        <v>28764</v>
      </c>
      <c r="BT9" s="7" t="s">
        <v>140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 t="s">
        <v>1610</v>
      </c>
      <c r="DK9" s="22"/>
      <c r="DL9" s="22"/>
      <c r="DM9" s="22"/>
      <c r="DN9" s="22"/>
      <c r="DO9" s="22"/>
      <c r="DP9" s="22"/>
      <c r="DQ9" s="22"/>
    </row>
    <row r="10" spans="2:121">
      <c r="B10" s="7">
        <v>7</v>
      </c>
      <c r="C10" s="7" t="s">
        <v>1361</v>
      </c>
      <c r="D10" s="7" t="s">
        <v>178</v>
      </c>
      <c r="E10" s="7" t="s">
        <v>177</v>
      </c>
      <c r="F10" s="7" t="s">
        <v>178</v>
      </c>
      <c r="G10" s="7" t="s">
        <v>179</v>
      </c>
      <c r="H10" s="7" t="s">
        <v>1091</v>
      </c>
      <c r="I10" s="7" t="s">
        <v>1362</v>
      </c>
      <c r="J10" s="9">
        <v>48890000</v>
      </c>
      <c r="K10" s="7">
        <v>2026</v>
      </c>
      <c r="L10" s="6" t="s">
        <v>1363</v>
      </c>
      <c r="M10" s="6" t="s">
        <v>90</v>
      </c>
      <c r="N10" s="7" t="s">
        <v>1364</v>
      </c>
      <c r="O10" s="7" t="s">
        <v>1374</v>
      </c>
      <c r="P10" s="7" t="s">
        <v>1375</v>
      </c>
      <c r="Q10" s="33">
        <v>1600</v>
      </c>
      <c r="R10" s="11">
        <v>45979</v>
      </c>
      <c r="S10" s="18"/>
      <c r="T10" s="11">
        <v>45979</v>
      </c>
      <c r="U10" s="12" t="s">
        <v>91</v>
      </c>
      <c r="V10" s="62">
        <f>IFERROR(T10+AD10, "-")</f>
        <v>47804</v>
      </c>
      <c r="W10" s="7">
        <f ca="1">IFERROR(DATEDIF(TODAY(), V10, "m"), "-")</f>
        <v>50</v>
      </c>
      <c r="X10" s="13">
        <v>20000</v>
      </c>
      <c r="Y10" s="9" t="s">
        <v>185</v>
      </c>
      <c r="Z10" s="9" t="s">
        <v>179</v>
      </c>
      <c r="AA10" s="9"/>
      <c r="AB10" s="9"/>
      <c r="AC10" s="18"/>
      <c r="AD10" s="7">
        <f>365*U10</f>
        <v>1825</v>
      </c>
      <c r="AE10" s="7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 t="s">
        <v>187</v>
      </c>
      <c r="AS10" s="9"/>
      <c r="AT10" s="9"/>
      <c r="AU10" s="46" t="s">
        <v>188</v>
      </c>
      <c r="AV10" s="41"/>
      <c r="AW10" s="18"/>
      <c r="AX10" s="18" t="s">
        <v>189</v>
      </c>
      <c r="AY10" s="53"/>
      <c r="AZ10" s="41"/>
      <c r="BA10" s="9"/>
      <c r="BB10" s="9"/>
      <c r="BC10" s="9"/>
      <c r="BD10" s="9"/>
      <c r="BE10" s="9" t="s">
        <v>93</v>
      </c>
      <c r="BF10" s="9" t="s">
        <v>94</v>
      </c>
      <c r="BG10" s="9" t="s">
        <v>197</v>
      </c>
      <c r="BH10" s="9" t="s">
        <v>118</v>
      </c>
      <c r="BI10" s="9" t="s">
        <v>97</v>
      </c>
      <c r="BJ10" s="9" t="s">
        <v>119</v>
      </c>
      <c r="BK10" s="7" t="s">
        <v>190</v>
      </c>
      <c r="BL10" s="9" t="s">
        <v>99</v>
      </c>
      <c r="BM10" s="9" t="s">
        <v>148</v>
      </c>
      <c r="BN10" s="9" t="s">
        <v>148</v>
      </c>
      <c r="BO10" s="9" t="s">
        <v>101</v>
      </c>
      <c r="BP10" s="9" t="s">
        <v>101</v>
      </c>
      <c r="BQ10" s="9"/>
      <c r="BR10" s="7"/>
      <c r="BS10" s="9">
        <f>IF(Q10&lt;=1600,Q10*18,IF(Q10&lt;=2500,Q10*19,IF(Q10&gt;2500,Q10*24,20000)))</f>
        <v>28800</v>
      </c>
      <c r="BT10" s="7" t="s">
        <v>140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 t="s">
        <v>1610</v>
      </c>
      <c r="DK10" s="22"/>
      <c r="DL10" s="22"/>
      <c r="DM10" s="22"/>
      <c r="DN10" s="22"/>
      <c r="DO10" s="22"/>
      <c r="DP10" s="22"/>
      <c r="DQ10" s="22"/>
    </row>
    <row r="11" spans="2:121">
      <c r="B11" s="7">
        <v>8</v>
      </c>
      <c r="C11" s="7" t="s">
        <v>176</v>
      </c>
      <c r="D11" s="7" t="s">
        <v>178</v>
      </c>
      <c r="E11" s="7" t="s">
        <v>177</v>
      </c>
      <c r="F11" s="7" t="s">
        <v>178</v>
      </c>
      <c r="G11" s="7" t="s">
        <v>179</v>
      </c>
      <c r="H11" s="7" t="s">
        <v>180</v>
      </c>
      <c r="I11" s="7" t="s">
        <v>181</v>
      </c>
      <c r="J11" s="9">
        <v>71450000</v>
      </c>
      <c r="K11" s="7">
        <v>2023</v>
      </c>
      <c r="L11" s="6" t="s">
        <v>182</v>
      </c>
      <c r="M11" s="6" t="s">
        <v>90</v>
      </c>
      <c r="N11" s="7" t="s">
        <v>183</v>
      </c>
      <c r="O11" s="7" t="s">
        <v>184</v>
      </c>
      <c r="P11" s="7" t="s">
        <v>98</v>
      </c>
      <c r="Q11" s="33">
        <v>3497</v>
      </c>
      <c r="R11" s="11">
        <v>44889</v>
      </c>
      <c r="S11" s="18"/>
      <c r="T11" s="11">
        <v>44889</v>
      </c>
      <c r="U11" s="12" t="s">
        <v>91</v>
      </c>
      <c r="V11" s="62">
        <f>IFERROR(T11+AD11, "-")</f>
        <v>46714</v>
      </c>
      <c r="W11" s="7">
        <f ca="1">IFERROR(DATEDIF(TODAY(), V11, "m"), "-")</f>
        <v>15</v>
      </c>
      <c r="X11" s="13">
        <v>20000</v>
      </c>
      <c r="Y11" s="9" t="s">
        <v>185</v>
      </c>
      <c r="Z11" s="9" t="s">
        <v>179</v>
      </c>
      <c r="AA11" s="9"/>
      <c r="AB11" s="9"/>
      <c r="AC11" s="18"/>
      <c r="AD11" s="7">
        <f>365*U11</f>
        <v>1825</v>
      </c>
      <c r="AE11" s="7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 t="s">
        <v>187</v>
      </c>
      <c r="AS11" s="9"/>
      <c r="AT11" s="9"/>
      <c r="AU11" s="46" t="s">
        <v>188</v>
      </c>
      <c r="AV11" s="41">
        <v>2936914</v>
      </c>
      <c r="AW11" s="18"/>
      <c r="AX11" s="18" t="s">
        <v>189</v>
      </c>
      <c r="AY11" s="53"/>
      <c r="AZ11" s="41">
        <v>1198330</v>
      </c>
      <c r="BA11" s="9"/>
      <c r="BB11" s="9"/>
      <c r="BC11" s="9"/>
      <c r="BD11" s="9"/>
      <c r="BE11" s="9" t="s">
        <v>93</v>
      </c>
      <c r="BF11" s="9" t="s">
        <v>94</v>
      </c>
      <c r="BG11" s="9" t="s">
        <v>95</v>
      </c>
      <c r="BH11" s="9" t="s">
        <v>96</v>
      </c>
      <c r="BI11" s="9" t="s">
        <v>97</v>
      </c>
      <c r="BJ11" s="9" t="s">
        <v>127</v>
      </c>
      <c r="BK11" s="7" t="s">
        <v>190</v>
      </c>
      <c r="BL11" s="9" t="s">
        <v>99</v>
      </c>
      <c r="BM11" s="9" t="s">
        <v>148</v>
      </c>
      <c r="BN11" s="9" t="s">
        <v>148</v>
      </c>
      <c r="BO11" s="9" t="s">
        <v>101</v>
      </c>
      <c r="BP11" s="9" t="s">
        <v>101</v>
      </c>
      <c r="BQ11" s="9"/>
      <c r="BR11" s="7"/>
      <c r="BS11" s="9">
        <f>IF(Q11&lt;=1600,Q11*18,IF(Q11&lt;=2500,Q11*19,IF(Q11&gt;2500,Q11*24,20000)))</f>
        <v>83928</v>
      </c>
      <c r="BT11" s="7" t="s">
        <v>140</v>
      </c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 t="s">
        <v>1610</v>
      </c>
      <c r="DK11" s="22"/>
      <c r="DL11" s="22"/>
      <c r="DM11" s="22"/>
      <c r="DN11" s="22"/>
      <c r="DO11" s="22"/>
      <c r="DP11" s="22"/>
      <c r="DQ11" s="22"/>
    </row>
    <row r="12" spans="2:121">
      <c r="B12" s="7">
        <v>9</v>
      </c>
      <c r="C12" s="7" t="s">
        <v>1388</v>
      </c>
      <c r="D12" s="7" t="s">
        <v>178</v>
      </c>
      <c r="E12" s="7" t="s">
        <v>177</v>
      </c>
      <c r="F12" s="7" t="s">
        <v>178</v>
      </c>
      <c r="G12" s="7" t="s">
        <v>179</v>
      </c>
      <c r="H12" s="7" t="s">
        <v>138</v>
      </c>
      <c r="I12" s="7" t="s">
        <v>1392</v>
      </c>
      <c r="J12" s="9">
        <f>73450000+5950000</f>
        <v>79400000</v>
      </c>
      <c r="K12" s="7">
        <v>2026</v>
      </c>
      <c r="L12" s="6" t="s">
        <v>1393</v>
      </c>
      <c r="M12" s="6" t="s">
        <v>90</v>
      </c>
      <c r="N12" s="79" t="s">
        <v>1397</v>
      </c>
      <c r="O12" s="79" t="s">
        <v>1396</v>
      </c>
      <c r="P12" s="7" t="s">
        <v>1394</v>
      </c>
      <c r="Q12" s="33">
        <v>2499</v>
      </c>
      <c r="R12" s="11">
        <v>45995</v>
      </c>
      <c r="S12" s="18"/>
      <c r="T12" s="11">
        <v>45995</v>
      </c>
      <c r="U12" s="12" t="s">
        <v>91</v>
      </c>
      <c r="V12" s="62">
        <f>IFERROR(T12+AD12, "-")</f>
        <v>47820</v>
      </c>
      <c r="W12" s="7">
        <f ca="1">IFERROR(DATEDIF(TODAY(), V12, "m"), "-")</f>
        <v>51</v>
      </c>
      <c r="X12" s="13">
        <v>20000</v>
      </c>
      <c r="Y12" s="9" t="s">
        <v>185</v>
      </c>
      <c r="Z12" s="9" t="s">
        <v>179</v>
      </c>
      <c r="AA12" s="9"/>
      <c r="AB12" s="9"/>
      <c r="AC12" s="18"/>
      <c r="AD12" s="7">
        <f>365*U12</f>
        <v>1825</v>
      </c>
      <c r="AE12" s="7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 t="s">
        <v>125</v>
      </c>
      <c r="AS12" s="9">
        <v>190000</v>
      </c>
      <c r="AT12" s="9"/>
      <c r="AU12" s="46" t="s">
        <v>232</v>
      </c>
      <c r="AV12" s="41"/>
      <c r="AW12" s="18"/>
      <c r="AX12" s="18"/>
      <c r="AY12" s="53"/>
      <c r="AZ12" s="41"/>
      <c r="BA12" s="9"/>
      <c r="BB12" s="9"/>
      <c r="BC12" s="9"/>
      <c r="BD12" s="9"/>
      <c r="BE12" s="9" t="s">
        <v>93</v>
      </c>
      <c r="BF12" s="9" t="s">
        <v>94</v>
      </c>
      <c r="BG12" s="9" t="s">
        <v>95</v>
      </c>
      <c r="BH12" s="9" t="s">
        <v>96</v>
      </c>
      <c r="BI12" s="9" t="s">
        <v>97</v>
      </c>
      <c r="BJ12" s="9" t="s">
        <v>127</v>
      </c>
      <c r="BK12" s="7" t="s">
        <v>190</v>
      </c>
      <c r="BL12" s="9" t="s">
        <v>99</v>
      </c>
      <c r="BM12" s="9" t="s">
        <v>148</v>
      </c>
      <c r="BN12" s="9" t="s">
        <v>148</v>
      </c>
      <c r="BO12" s="9" t="s">
        <v>101</v>
      </c>
      <c r="BP12" s="9" t="s">
        <v>101</v>
      </c>
      <c r="BQ12" s="9"/>
      <c r="BR12" s="7"/>
      <c r="BS12" s="9">
        <f>IF(Q12&lt;=1600,Q12*18,IF(Q12&lt;=2500,Q12*19,IF(Q12&gt;2500,Q12*24,20000)))</f>
        <v>47481</v>
      </c>
      <c r="BT12" s="7" t="s">
        <v>140</v>
      </c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 t="s">
        <v>1610</v>
      </c>
      <c r="DK12" s="22"/>
      <c r="DL12" s="22"/>
      <c r="DM12" s="22"/>
      <c r="DN12" s="22"/>
      <c r="DO12" s="22"/>
      <c r="DP12" s="22"/>
      <c r="DQ12" s="22"/>
    </row>
    <row r="13" spans="2:121">
      <c r="B13" s="7">
        <v>10</v>
      </c>
      <c r="C13" s="7" t="s">
        <v>220</v>
      </c>
      <c r="D13" s="7" t="s">
        <v>178</v>
      </c>
      <c r="E13" s="7" t="s">
        <v>177</v>
      </c>
      <c r="F13" s="7" t="s">
        <v>178</v>
      </c>
      <c r="G13" s="7" t="s">
        <v>221</v>
      </c>
      <c r="H13" s="7" t="s">
        <v>222</v>
      </c>
      <c r="I13" s="7" t="s">
        <v>223</v>
      </c>
      <c r="J13" s="9">
        <v>88000000</v>
      </c>
      <c r="K13" s="7">
        <v>2022</v>
      </c>
      <c r="L13" s="6" t="s">
        <v>224</v>
      </c>
      <c r="M13" s="6" t="s">
        <v>90</v>
      </c>
      <c r="N13" s="79" t="s">
        <v>225</v>
      </c>
      <c r="O13" s="79" t="s">
        <v>226</v>
      </c>
      <c r="P13" s="7" t="s">
        <v>98</v>
      </c>
      <c r="Q13" s="33">
        <v>1991</v>
      </c>
      <c r="R13" s="11">
        <v>44546</v>
      </c>
      <c r="S13" s="18"/>
      <c r="T13" s="11">
        <v>44546</v>
      </c>
      <c r="U13" s="12" t="s">
        <v>91</v>
      </c>
      <c r="V13" s="62">
        <f>IFERROR(T13+AD13, "-")</f>
        <v>46371</v>
      </c>
      <c r="W13" s="7">
        <f ca="1">IFERROR(DATEDIF(TODAY(), V13, "m"), "-")</f>
        <v>3</v>
      </c>
      <c r="X13" s="13">
        <v>20000</v>
      </c>
      <c r="Y13" s="7" t="s">
        <v>227</v>
      </c>
      <c r="Z13" s="7" t="s">
        <v>221</v>
      </c>
      <c r="AA13" s="9"/>
      <c r="AB13" s="9"/>
      <c r="AC13" s="18"/>
      <c r="AD13" s="7">
        <f>365*U13</f>
        <v>1825</v>
      </c>
      <c r="AE13" s="7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 t="s">
        <v>145</v>
      </c>
      <c r="AS13" s="9"/>
      <c r="AT13" s="9"/>
      <c r="AU13" s="9" t="s">
        <v>146</v>
      </c>
      <c r="AV13" s="41">
        <v>3338644</v>
      </c>
      <c r="AW13" s="18"/>
      <c r="AX13" s="18" t="s">
        <v>196</v>
      </c>
      <c r="AY13" s="53">
        <v>44546</v>
      </c>
      <c r="AZ13" s="41">
        <f>3921450-793880</f>
        <v>3127570</v>
      </c>
      <c r="BA13" s="41">
        <v>1112380</v>
      </c>
      <c r="BB13" s="9"/>
      <c r="BC13" s="9"/>
      <c r="BD13" s="9"/>
      <c r="BE13" s="9" t="s">
        <v>93</v>
      </c>
      <c r="BF13" s="9" t="s">
        <v>94</v>
      </c>
      <c r="BG13" s="9" t="s">
        <v>95</v>
      </c>
      <c r="BH13" s="9" t="s">
        <v>96</v>
      </c>
      <c r="BI13" s="9" t="s">
        <v>97</v>
      </c>
      <c r="BJ13" s="9" t="s">
        <v>127</v>
      </c>
      <c r="BK13" s="7" t="s">
        <v>190</v>
      </c>
      <c r="BL13" s="9" t="s">
        <v>99</v>
      </c>
      <c r="BM13" s="9" t="s">
        <v>148</v>
      </c>
      <c r="BN13" s="9" t="s">
        <v>148</v>
      </c>
      <c r="BO13" s="9" t="s">
        <v>101</v>
      </c>
      <c r="BP13" s="9" t="s">
        <v>101</v>
      </c>
      <c r="BQ13" s="9"/>
      <c r="BR13" s="7"/>
      <c r="BS13" s="9">
        <f>IF(Q13&lt;=1600,Q13*18,IF(Q13&lt;=2500,Q13*19,IF(Q13&gt;2500,Q13*24,20000)))</f>
        <v>37829</v>
      </c>
      <c r="BT13" s="7" t="s">
        <v>140</v>
      </c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 t="s">
        <v>1610</v>
      </c>
      <c r="DK13" s="22"/>
      <c r="DL13" s="22"/>
      <c r="DM13" s="22"/>
      <c r="DN13" s="22"/>
      <c r="DO13" s="22"/>
      <c r="DP13" s="22"/>
      <c r="DQ13" s="22"/>
    </row>
    <row r="14" spans="2:121">
      <c r="B14" s="7">
        <v>11</v>
      </c>
      <c r="C14" s="7" t="s">
        <v>1607</v>
      </c>
      <c r="D14" s="7" t="s">
        <v>1588</v>
      </c>
      <c r="E14" s="7" t="s">
        <v>177</v>
      </c>
      <c r="F14" s="7" t="s">
        <v>239</v>
      </c>
      <c r="G14" s="7" t="s">
        <v>240</v>
      </c>
      <c r="H14" s="7" t="s">
        <v>138</v>
      </c>
      <c r="I14" s="7" t="s">
        <v>241</v>
      </c>
      <c r="J14" s="9">
        <v>97440000</v>
      </c>
      <c r="K14" s="7">
        <v>2025</v>
      </c>
      <c r="L14" s="6" t="s">
        <v>242</v>
      </c>
      <c r="M14" s="6" t="s">
        <v>90</v>
      </c>
      <c r="N14" s="7" t="s">
        <v>243</v>
      </c>
      <c r="O14" s="7" t="s">
        <v>244</v>
      </c>
      <c r="P14" s="7" t="s">
        <v>245</v>
      </c>
      <c r="Q14" s="33">
        <v>3470</v>
      </c>
      <c r="R14" s="11">
        <v>45827</v>
      </c>
      <c r="S14" s="18"/>
      <c r="T14" s="11">
        <v>45827</v>
      </c>
      <c r="U14" s="12" t="s">
        <v>91</v>
      </c>
      <c r="V14" s="62">
        <f>IFERROR(T14+AD14, "-")</f>
        <v>47652</v>
      </c>
      <c r="W14" s="7">
        <f ca="1">IFERROR(DATEDIF(TODAY(), V14, "m"), "-")</f>
        <v>46</v>
      </c>
      <c r="X14" s="13">
        <v>30000</v>
      </c>
      <c r="Y14" s="7" t="s">
        <v>246</v>
      </c>
      <c r="Z14" s="7" t="s">
        <v>247</v>
      </c>
      <c r="AA14" s="9"/>
      <c r="AB14" s="9"/>
      <c r="AC14" s="18"/>
      <c r="AD14" s="7">
        <f>365*U14</f>
        <v>1825</v>
      </c>
      <c r="AE14" s="7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 t="s">
        <v>187</v>
      </c>
      <c r="AS14" s="9">
        <v>190000</v>
      </c>
      <c r="AT14" s="9"/>
      <c r="AU14" s="46" t="s">
        <v>232</v>
      </c>
      <c r="AV14" s="41"/>
      <c r="AW14" s="18"/>
      <c r="AX14" s="18" t="s">
        <v>189</v>
      </c>
      <c r="AY14" s="53"/>
      <c r="AZ14" s="41"/>
      <c r="BA14" s="9"/>
      <c r="BB14" s="9"/>
      <c r="BC14" s="9"/>
      <c r="BD14" s="9"/>
      <c r="BE14" s="9" t="s">
        <v>93</v>
      </c>
      <c r="BF14" s="9" t="s">
        <v>94</v>
      </c>
      <c r="BG14" s="9" t="s">
        <v>95</v>
      </c>
      <c r="BH14" s="9" t="s">
        <v>96</v>
      </c>
      <c r="BI14" s="9" t="s">
        <v>97</v>
      </c>
      <c r="BJ14" s="9" t="s">
        <v>127</v>
      </c>
      <c r="BK14" s="7" t="s">
        <v>190</v>
      </c>
      <c r="BL14" s="9" t="s">
        <v>99</v>
      </c>
      <c r="BM14" s="9" t="s">
        <v>148</v>
      </c>
      <c r="BN14" s="9" t="s">
        <v>148</v>
      </c>
      <c r="BO14" s="9" t="s">
        <v>101</v>
      </c>
      <c r="BP14" s="9" t="s">
        <v>101</v>
      </c>
      <c r="BQ14" s="9"/>
      <c r="BR14" s="7"/>
      <c r="BS14" s="9">
        <f>IF(Q14&lt;=1600,Q14*18,IF(Q14&lt;=2500,Q14*19,IF(Q14&gt;2500,Q14*24,20000)))</f>
        <v>83280</v>
      </c>
      <c r="BT14" s="7" t="s">
        <v>140</v>
      </c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 t="s">
        <v>1610</v>
      </c>
      <c r="DK14" s="22"/>
      <c r="DL14" s="22"/>
      <c r="DM14" s="22"/>
      <c r="DN14" s="22"/>
      <c r="DO14" s="22"/>
      <c r="DP14" s="22"/>
      <c r="DQ14" s="22"/>
    </row>
    <row r="15" spans="2:121">
      <c r="B15" s="7">
        <v>12</v>
      </c>
      <c r="C15" s="7" t="s">
        <v>206</v>
      </c>
      <c r="D15" s="7" t="s">
        <v>178</v>
      </c>
      <c r="E15" s="7" t="s">
        <v>177</v>
      </c>
      <c r="F15" s="7" t="s">
        <v>178</v>
      </c>
      <c r="G15" s="7" t="s">
        <v>179</v>
      </c>
      <c r="H15" s="38" t="s">
        <v>207</v>
      </c>
      <c r="I15" s="7" t="s">
        <v>208</v>
      </c>
      <c r="J15" s="9">
        <v>111850000</v>
      </c>
      <c r="K15" s="7">
        <v>2023</v>
      </c>
      <c r="L15" s="38" t="s">
        <v>209</v>
      </c>
      <c r="M15" s="38" t="s">
        <v>90</v>
      </c>
      <c r="N15" s="38" t="s">
        <v>210</v>
      </c>
      <c r="O15" s="7" t="s">
        <v>211</v>
      </c>
      <c r="P15" s="7" t="s">
        <v>98</v>
      </c>
      <c r="Q15" s="33">
        <v>2999</v>
      </c>
      <c r="R15" s="11">
        <v>45229</v>
      </c>
      <c r="S15" s="18"/>
      <c r="T15" s="11">
        <v>45229</v>
      </c>
      <c r="U15" s="12" t="s">
        <v>91</v>
      </c>
      <c r="V15" s="62">
        <f>IFERROR(T15+AD15, "-")</f>
        <v>47054</v>
      </c>
      <c r="W15" s="7">
        <f ca="1">IFERROR(DATEDIF(TODAY(), V15, "m"), "-")</f>
        <v>26</v>
      </c>
      <c r="X15" s="13">
        <v>20000</v>
      </c>
      <c r="Y15" s="9" t="s">
        <v>185</v>
      </c>
      <c r="Z15" s="9" t="s">
        <v>179</v>
      </c>
      <c r="AA15" s="9"/>
      <c r="AB15" s="9"/>
      <c r="AC15" s="18"/>
      <c r="AD15" s="7">
        <f>365*U15</f>
        <v>1825</v>
      </c>
      <c r="AE15" s="7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 t="s">
        <v>145</v>
      </c>
      <c r="AS15" s="46" t="s">
        <v>98</v>
      </c>
      <c r="AT15" s="9"/>
      <c r="AU15" s="46" t="s">
        <v>188</v>
      </c>
      <c r="AV15" s="46" t="s">
        <v>98</v>
      </c>
      <c r="AW15" s="46"/>
      <c r="AX15" s="46" t="s">
        <v>189</v>
      </c>
      <c r="AY15" s="53" t="s">
        <v>98</v>
      </c>
      <c r="AZ15" s="46" t="s">
        <v>98</v>
      </c>
      <c r="BA15" s="46" t="s">
        <v>98</v>
      </c>
      <c r="BB15" s="46" t="s">
        <v>98</v>
      </c>
      <c r="BC15" s="46" t="s">
        <v>98</v>
      </c>
      <c r="BD15" s="9"/>
      <c r="BE15" s="9" t="s">
        <v>93</v>
      </c>
      <c r="BF15" s="9" t="s">
        <v>94</v>
      </c>
      <c r="BG15" s="9" t="s">
        <v>95</v>
      </c>
      <c r="BH15" s="9" t="s">
        <v>96</v>
      </c>
      <c r="BI15" s="9" t="s">
        <v>97</v>
      </c>
      <c r="BJ15" s="18" t="s">
        <v>98</v>
      </c>
      <c r="BK15" s="7" t="s">
        <v>190</v>
      </c>
      <c r="BL15" s="9" t="s">
        <v>98</v>
      </c>
      <c r="BM15" s="9" t="s">
        <v>148</v>
      </c>
      <c r="BN15" s="9" t="s">
        <v>148</v>
      </c>
      <c r="BO15" s="9" t="s">
        <v>98</v>
      </c>
      <c r="BP15" s="46" t="s">
        <v>98</v>
      </c>
      <c r="BQ15" s="46" t="s">
        <v>98</v>
      </c>
      <c r="BR15" s="38"/>
      <c r="BS15" s="9">
        <f>IF(Q15&lt;=1600,Q15*18,IF(Q15&lt;=2500,Q15*19,IF(Q15&gt;2500,Q15*24,20000)))</f>
        <v>71976</v>
      </c>
      <c r="BT15" s="38" t="s">
        <v>140</v>
      </c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 t="s">
        <v>1610</v>
      </c>
      <c r="DK15" s="22"/>
      <c r="DL15" s="22"/>
      <c r="DM15" s="22"/>
      <c r="DN15" s="22"/>
      <c r="DO15" s="22"/>
      <c r="DP15" s="22"/>
      <c r="DQ15" s="22"/>
    </row>
    <row r="16" spans="2:121">
      <c r="B16" s="7">
        <v>13</v>
      </c>
      <c r="C16" s="7" t="s">
        <v>254</v>
      </c>
      <c r="D16" s="7" t="s">
        <v>178</v>
      </c>
      <c r="E16" s="7" t="s">
        <v>177</v>
      </c>
      <c r="F16" s="7" t="s">
        <v>255</v>
      </c>
      <c r="G16" s="7" t="s">
        <v>179</v>
      </c>
      <c r="H16" s="7" t="s">
        <v>105</v>
      </c>
      <c r="I16" s="7" t="s">
        <v>256</v>
      </c>
      <c r="J16" s="9">
        <v>160600000</v>
      </c>
      <c r="K16" s="7">
        <v>2022</v>
      </c>
      <c r="L16" s="6" t="s">
        <v>257</v>
      </c>
      <c r="M16" s="6" t="s">
        <v>106</v>
      </c>
      <c r="N16" s="7" t="s">
        <v>258</v>
      </c>
      <c r="O16" s="7" t="s">
        <v>259</v>
      </c>
      <c r="P16" s="7" t="s">
        <v>98</v>
      </c>
      <c r="Q16" s="33">
        <v>2999</v>
      </c>
      <c r="R16" s="11">
        <v>44557</v>
      </c>
      <c r="S16" s="18"/>
      <c r="T16" s="11">
        <v>44557</v>
      </c>
      <c r="U16" s="12" t="s">
        <v>91</v>
      </c>
      <c r="V16" s="62">
        <f>IFERROR(T16+AD16, "-")</f>
        <v>46382</v>
      </c>
      <c r="W16" s="7">
        <f ca="1">IFERROR(DATEDIF(TODAY(), V16, "m"), "-")</f>
        <v>4</v>
      </c>
      <c r="X16" s="13">
        <v>20000</v>
      </c>
      <c r="Y16" s="9" t="s">
        <v>185</v>
      </c>
      <c r="Z16" s="9" t="s">
        <v>179</v>
      </c>
      <c r="AA16" s="9"/>
      <c r="AB16" s="9"/>
      <c r="AC16" s="18"/>
      <c r="AD16" s="7">
        <f>365*U16</f>
        <v>1825</v>
      </c>
      <c r="AE16" s="7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 t="s">
        <v>145</v>
      </c>
      <c r="AS16" s="9">
        <v>0</v>
      </c>
      <c r="AT16" s="9"/>
      <c r="AU16" s="46">
        <v>0</v>
      </c>
      <c r="AV16" s="41">
        <v>0</v>
      </c>
      <c r="AW16" s="18"/>
      <c r="AX16" s="18" t="s">
        <v>128</v>
      </c>
      <c r="AY16" s="53"/>
      <c r="AZ16" s="41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7" t="s">
        <v>190</v>
      </c>
      <c r="BL16" s="9" t="s">
        <v>99</v>
      </c>
      <c r="BM16" s="9" t="s">
        <v>148</v>
      </c>
      <c r="BN16" s="9" t="s">
        <v>148</v>
      </c>
      <c r="BO16" s="9" t="s">
        <v>101</v>
      </c>
      <c r="BP16" s="9" t="s">
        <v>101</v>
      </c>
      <c r="BQ16" s="9"/>
      <c r="BR16" s="7"/>
      <c r="BS16" s="9">
        <f>IF(Q16&lt;=1600,Q16*18,IF(Q16&lt;=2500,Q16*19,IF(Q16&gt;2500,Q16*24,20000)))</f>
        <v>71976</v>
      </c>
      <c r="BT16" s="7" t="s">
        <v>140</v>
      </c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 t="s">
        <v>1610</v>
      </c>
      <c r="DK16" s="22"/>
      <c r="DL16" s="22"/>
      <c r="DM16" s="22"/>
      <c r="DN16" s="22"/>
      <c r="DO16" s="22"/>
      <c r="DP16" s="22"/>
      <c r="DQ16" s="22"/>
    </row>
    <row r="17" spans="2:121">
      <c r="B17" s="7">
        <v>14</v>
      </c>
      <c r="C17" s="7" t="s">
        <v>1344</v>
      </c>
      <c r="D17" s="7" t="s">
        <v>178</v>
      </c>
      <c r="E17" s="7" t="s">
        <v>177</v>
      </c>
      <c r="F17" s="7" t="s">
        <v>178</v>
      </c>
      <c r="G17" s="7" t="s">
        <v>179</v>
      </c>
      <c r="H17" s="38" t="s">
        <v>143</v>
      </c>
      <c r="I17" s="46" t="s">
        <v>98</v>
      </c>
      <c r="J17" s="18">
        <v>201330000</v>
      </c>
      <c r="K17" s="7">
        <v>2025</v>
      </c>
      <c r="L17" s="38" t="s">
        <v>209</v>
      </c>
      <c r="M17" s="6" t="s">
        <v>90</v>
      </c>
      <c r="N17" s="38" t="s">
        <v>1346</v>
      </c>
      <c r="O17" s="7" t="s">
        <v>1345</v>
      </c>
      <c r="P17" s="7" t="s">
        <v>98</v>
      </c>
      <c r="Q17" s="33">
        <v>2998</v>
      </c>
      <c r="R17" s="11">
        <v>45940</v>
      </c>
      <c r="S17" s="18"/>
      <c r="T17" s="11">
        <v>45940</v>
      </c>
      <c r="U17" s="12" t="s">
        <v>91</v>
      </c>
      <c r="V17" s="62">
        <f>IFERROR(T17+AD17, "-")</f>
        <v>47765</v>
      </c>
      <c r="W17" s="7">
        <f ca="1">IFERROR(DATEDIF(TODAY(), V17, "m"), "-")</f>
        <v>49</v>
      </c>
      <c r="X17" s="13">
        <v>20000</v>
      </c>
      <c r="Y17" s="9" t="s">
        <v>185</v>
      </c>
      <c r="Z17" s="9" t="s">
        <v>179</v>
      </c>
      <c r="AA17" s="9"/>
      <c r="AB17" s="9"/>
      <c r="AC17" s="18"/>
      <c r="AD17" s="7">
        <f>365*U17</f>
        <v>1825</v>
      </c>
      <c r="AE17" s="7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 t="s">
        <v>145</v>
      </c>
      <c r="AS17" s="46"/>
      <c r="AT17" s="9"/>
      <c r="AU17" s="46" t="s">
        <v>188</v>
      </c>
      <c r="AV17" s="46"/>
      <c r="AW17" s="46"/>
      <c r="AX17" s="46"/>
      <c r="AY17" s="53"/>
      <c r="AZ17" s="46"/>
      <c r="BA17" s="46"/>
      <c r="BB17" s="46"/>
      <c r="BC17" s="46"/>
      <c r="BD17" s="28"/>
      <c r="BE17" s="9" t="s">
        <v>93</v>
      </c>
      <c r="BF17" s="9" t="s">
        <v>94</v>
      </c>
      <c r="BG17" s="9" t="s">
        <v>197</v>
      </c>
      <c r="BH17" s="9" t="s">
        <v>118</v>
      </c>
      <c r="BI17" s="9" t="s">
        <v>97</v>
      </c>
      <c r="BJ17" s="9" t="s">
        <v>119</v>
      </c>
      <c r="BK17" s="7" t="s">
        <v>190</v>
      </c>
      <c r="BL17" s="9" t="s">
        <v>99</v>
      </c>
      <c r="BM17" s="9" t="s">
        <v>148</v>
      </c>
      <c r="BN17" s="9" t="s">
        <v>148</v>
      </c>
      <c r="BO17" s="9" t="s">
        <v>101</v>
      </c>
      <c r="BP17" s="9" t="s">
        <v>101</v>
      </c>
      <c r="BQ17" s="7"/>
      <c r="BR17" s="28"/>
      <c r="BS17" s="28"/>
      <c r="BT17" s="28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 t="s">
        <v>1610</v>
      </c>
      <c r="DK17" s="22"/>
      <c r="DL17" s="22"/>
      <c r="DM17" s="22"/>
      <c r="DN17" s="22"/>
      <c r="DO17" s="22"/>
      <c r="DP17" s="22"/>
      <c r="DQ17" s="22"/>
    </row>
    <row r="18" spans="2:121">
      <c r="B18" s="7">
        <v>15</v>
      </c>
      <c r="C18" s="7" t="s">
        <v>1520</v>
      </c>
      <c r="D18" s="7" t="s">
        <v>178</v>
      </c>
      <c r="E18" s="7" t="s">
        <v>177</v>
      </c>
      <c r="F18" s="7" t="s">
        <v>178</v>
      </c>
      <c r="G18" s="7" t="s">
        <v>179</v>
      </c>
      <c r="H18" s="7" t="s">
        <v>1614</v>
      </c>
      <c r="I18" s="7" t="s">
        <v>1615</v>
      </c>
      <c r="J18" s="18">
        <f>38280000+3400000</f>
        <v>41680000</v>
      </c>
      <c r="K18" s="7">
        <v>2026</v>
      </c>
      <c r="L18" s="7" t="s">
        <v>1024</v>
      </c>
      <c r="M18" s="7" t="s">
        <v>90</v>
      </c>
      <c r="N18" s="7" t="s">
        <v>1616</v>
      </c>
      <c r="O18" s="7" t="s">
        <v>1617</v>
      </c>
      <c r="P18" s="7" t="s">
        <v>98</v>
      </c>
      <c r="Q18" s="7">
        <v>1598</v>
      </c>
      <c r="R18" s="11">
        <v>46121</v>
      </c>
      <c r="S18" s="7"/>
      <c r="T18" s="7" t="s">
        <v>98</v>
      </c>
      <c r="U18" s="12" t="s">
        <v>91</v>
      </c>
      <c r="V18" s="62" t="str">
        <f>IFERROR(T18+AD18, "-")</f>
        <v>-</v>
      </c>
      <c r="W18" s="7" t="str">
        <f ca="1">IFERROR(DATEDIF(TODAY(), V18, "m"), "-")</f>
        <v>-</v>
      </c>
      <c r="X18" s="7" t="s">
        <v>98</v>
      </c>
      <c r="Y18" s="7" t="s">
        <v>98</v>
      </c>
      <c r="Z18" s="7" t="s">
        <v>98</v>
      </c>
      <c r="AA18" s="7"/>
      <c r="AB18" s="7"/>
      <c r="AC18" s="7"/>
      <c r="AD18" s="7" t="s">
        <v>98</v>
      </c>
      <c r="AE18" s="7"/>
      <c r="AF18" s="7"/>
      <c r="AG18" s="7"/>
      <c r="AH18" s="7"/>
      <c r="AI18" s="7"/>
      <c r="AJ18" s="7"/>
      <c r="AK18" s="7"/>
      <c r="AL18" s="9"/>
      <c r="AM18" s="7"/>
      <c r="AN18" s="9"/>
      <c r="AO18" s="9"/>
      <c r="AP18" s="9"/>
      <c r="AQ18" s="9"/>
      <c r="AR18" s="7"/>
      <c r="AS18" s="7" t="s">
        <v>98</v>
      </c>
      <c r="AT18" s="9"/>
      <c r="AU18" s="46" t="s">
        <v>232</v>
      </c>
      <c r="AV18" s="7" t="s">
        <v>98</v>
      </c>
      <c r="AW18" s="7"/>
      <c r="AX18" s="7" t="s">
        <v>98</v>
      </c>
      <c r="AY18" s="7" t="s">
        <v>98</v>
      </c>
      <c r="AZ18" s="7" t="s">
        <v>98</v>
      </c>
      <c r="BA18" s="7" t="s">
        <v>98</v>
      </c>
      <c r="BB18" s="7" t="s">
        <v>98</v>
      </c>
      <c r="BC18" s="7" t="s">
        <v>98</v>
      </c>
      <c r="BD18" s="7" t="s">
        <v>98</v>
      </c>
      <c r="BE18" s="9" t="s">
        <v>93</v>
      </c>
      <c r="BF18" s="9" t="s">
        <v>94</v>
      </c>
      <c r="BG18" s="9" t="s">
        <v>197</v>
      </c>
      <c r="BH18" s="9" t="s">
        <v>118</v>
      </c>
      <c r="BI18" s="9" t="s">
        <v>97</v>
      </c>
      <c r="BJ18" s="9" t="s">
        <v>119</v>
      </c>
      <c r="BK18" s="7" t="s">
        <v>190</v>
      </c>
      <c r="BL18" s="9" t="s">
        <v>99</v>
      </c>
      <c r="BM18" s="9" t="s">
        <v>148</v>
      </c>
      <c r="BN18" s="9" t="s">
        <v>148</v>
      </c>
      <c r="BO18" s="9" t="s">
        <v>101</v>
      </c>
      <c r="BP18" s="9" t="s">
        <v>101</v>
      </c>
      <c r="BQ18" s="7" t="s">
        <v>98</v>
      </c>
      <c r="BR18" s="7" t="s">
        <v>98</v>
      </c>
      <c r="BS18" s="7" t="s">
        <v>98</v>
      </c>
      <c r="BT18" s="7" t="s">
        <v>98</v>
      </c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 t="s">
        <v>1610</v>
      </c>
      <c r="DK18" s="22"/>
      <c r="DL18" s="22"/>
      <c r="DM18" s="22"/>
      <c r="DN18" s="22"/>
      <c r="DO18" s="22"/>
      <c r="DP18" s="22"/>
      <c r="DQ18" s="22"/>
    </row>
    <row r="19" spans="2:121">
      <c r="B19" s="7">
        <v>16</v>
      </c>
      <c r="C19" s="7" t="s">
        <v>1546</v>
      </c>
      <c r="D19" s="7" t="s">
        <v>103</v>
      </c>
      <c r="E19" s="7" t="s">
        <v>177</v>
      </c>
      <c r="F19" s="7" t="s">
        <v>178</v>
      </c>
      <c r="G19" s="7" t="s">
        <v>179</v>
      </c>
      <c r="H19" s="38" t="s">
        <v>1547</v>
      </c>
      <c r="I19" s="46" t="s">
        <v>98</v>
      </c>
      <c r="J19" s="18">
        <v>188662500</v>
      </c>
      <c r="K19" s="7">
        <v>2026</v>
      </c>
      <c r="L19" s="38" t="s">
        <v>1549</v>
      </c>
      <c r="M19" s="38" t="s">
        <v>106</v>
      </c>
      <c r="N19" s="38" t="s">
        <v>1548</v>
      </c>
      <c r="O19" s="7" t="s">
        <v>1555</v>
      </c>
      <c r="P19" s="7"/>
      <c r="Q19" s="33">
        <v>2989</v>
      </c>
      <c r="R19" s="11">
        <v>46073</v>
      </c>
      <c r="S19" s="11"/>
      <c r="T19" s="11" t="s">
        <v>98</v>
      </c>
      <c r="U19" s="12" t="s">
        <v>91</v>
      </c>
      <c r="V19" s="62" t="str">
        <f>IFERROR(T19+AD19, "-")</f>
        <v>-</v>
      </c>
      <c r="W19" s="7" t="str">
        <f ca="1">IFERROR(DATEDIF(TODAY(), V19, "m"), "-")</f>
        <v>-</v>
      </c>
      <c r="X19" s="9"/>
      <c r="Y19" s="38"/>
      <c r="Z19" s="38"/>
      <c r="AA19" s="38"/>
      <c r="AB19" s="11"/>
      <c r="AC19" s="11"/>
      <c r="AD19" s="7"/>
      <c r="AE19" s="7"/>
      <c r="AF19" s="46"/>
      <c r="AG19" s="46"/>
      <c r="AH19" s="9"/>
      <c r="AI19" s="46"/>
      <c r="AJ19" s="46"/>
      <c r="AK19" s="46"/>
      <c r="AL19" s="9"/>
      <c r="AM19" s="46"/>
      <c r="AN19" s="9"/>
      <c r="AO19" s="9"/>
      <c r="AP19" s="9"/>
      <c r="AQ19" s="9"/>
      <c r="AR19" s="46"/>
      <c r="AS19" s="46"/>
      <c r="AT19" s="9"/>
      <c r="AU19" s="53"/>
      <c r="AV19" s="46"/>
      <c r="AW19" s="46"/>
      <c r="AX19" s="46"/>
      <c r="AY19" s="46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7"/>
      <c r="BN19" s="28"/>
      <c r="BO19" s="28"/>
      <c r="BP19" s="28"/>
      <c r="BQ19" s="28"/>
      <c r="BR19" s="28"/>
      <c r="BS19" s="7"/>
      <c r="BT19" s="28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 t="s">
        <v>1610</v>
      </c>
      <c r="DK19" s="22"/>
      <c r="DL19" s="22"/>
      <c r="DM19" s="22"/>
      <c r="DN19" s="22"/>
      <c r="DO19" s="22"/>
      <c r="DP19" s="22"/>
      <c r="DQ19" s="22"/>
    </row>
    <row r="20" spans="2:121">
      <c r="B20" s="7">
        <v>16</v>
      </c>
      <c r="C20" s="7" t="s">
        <v>260</v>
      </c>
      <c r="D20" s="7" t="s">
        <v>1585</v>
      </c>
      <c r="E20" s="7" t="s">
        <v>1376</v>
      </c>
      <c r="F20" s="7" t="s">
        <v>1377</v>
      </c>
      <c r="G20" s="7" t="s">
        <v>1751</v>
      </c>
      <c r="H20" s="7" t="s">
        <v>132</v>
      </c>
      <c r="I20" s="7" t="s">
        <v>139</v>
      </c>
      <c r="J20" s="9">
        <v>12750000</v>
      </c>
      <c r="K20" s="7">
        <v>2022</v>
      </c>
      <c r="L20" s="6" t="s">
        <v>134</v>
      </c>
      <c r="M20" s="6" t="s">
        <v>90</v>
      </c>
      <c r="N20" s="7" t="s">
        <v>263</v>
      </c>
      <c r="O20" s="7" t="s">
        <v>264</v>
      </c>
      <c r="P20" s="7" t="s">
        <v>98</v>
      </c>
      <c r="Q20" s="33">
        <v>998</v>
      </c>
      <c r="R20" s="11">
        <v>44494</v>
      </c>
      <c r="S20" s="11">
        <v>44497</v>
      </c>
      <c r="T20" s="17">
        <v>44497</v>
      </c>
      <c r="U20" s="12" t="s">
        <v>91</v>
      </c>
      <c r="V20" s="62">
        <f>IFERROR(T20+AD20, "-")</f>
        <v>46322</v>
      </c>
      <c r="W20" s="7">
        <f ca="1">IFERROR(DATEDIF(TODAY(), V20, "m"), "-")</f>
        <v>2</v>
      </c>
      <c r="X20" s="13">
        <v>20000</v>
      </c>
      <c r="Y20" s="7" t="s">
        <v>261</v>
      </c>
      <c r="Z20" s="7" t="s">
        <v>262</v>
      </c>
      <c r="AA20" s="9" t="s">
        <v>265</v>
      </c>
      <c r="AB20" s="9" t="s">
        <v>266</v>
      </c>
      <c r="AC20" s="11">
        <v>44505</v>
      </c>
      <c r="AD20" s="7">
        <f>365*U20</f>
        <v>1825</v>
      </c>
      <c r="AE20" s="7">
        <f ca="1">V20-TODAY()</f>
        <v>70</v>
      </c>
      <c r="AF20" s="7" t="e">
        <f>VLOOKUP($C20,#REF!, 4, FALSE)</f>
        <v>#REF!</v>
      </c>
      <c r="AG20" s="9">
        <v>13234421</v>
      </c>
      <c r="AH20" s="9">
        <v>200000</v>
      </c>
      <c r="AI20" s="9">
        <v>12688000</v>
      </c>
      <c r="AJ20" s="9">
        <v>0</v>
      </c>
      <c r="AK20" s="9">
        <v>2000</v>
      </c>
      <c r="AL20" s="9">
        <v>461380</v>
      </c>
      <c r="AM20" s="9">
        <v>0</v>
      </c>
      <c r="AN20" s="9">
        <v>2000</v>
      </c>
      <c r="AO20" s="9">
        <v>27000</v>
      </c>
      <c r="AP20" s="9">
        <v>30000</v>
      </c>
      <c r="AQ20" s="9">
        <v>430000</v>
      </c>
      <c r="AR20" s="9">
        <v>0</v>
      </c>
      <c r="AS20" s="9" t="s">
        <v>195</v>
      </c>
      <c r="AT20" s="9">
        <v>0</v>
      </c>
      <c r="AU20" s="9" t="s">
        <v>135</v>
      </c>
      <c r="AV20" s="9"/>
      <c r="AW20" s="18">
        <f>SUM(AJ20,AK20,AN20,AO20,AP20, AR20,AT20+AL20+AM20)</f>
        <v>522380</v>
      </c>
      <c r="AX20" s="18" t="s">
        <v>196</v>
      </c>
      <c r="AY20" s="53">
        <v>44494</v>
      </c>
      <c r="AZ20" s="41">
        <v>1138590</v>
      </c>
      <c r="BA20" s="42">
        <v>1034460</v>
      </c>
      <c r="BB20" s="9"/>
      <c r="BC20" s="9"/>
      <c r="BD20" s="9"/>
      <c r="BE20" s="9" t="s">
        <v>93</v>
      </c>
      <c r="BF20" s="9" t="s">
        <v>94</v>
      </c>
      <c r="BG20" s="9" t="s">
        <v>117</v>
      </c>
      <c r="BH20" s="9" t="s">
        <v>118</v>
      </c>
      <c r="BI20" s="9" t="s">
        <v>97</v>
      </c>
      <c r="BJ20" s="9" t="s">
        <v>119</v>
      </c>
      <c r="BK20" s="7" t="s">
        <v>130</v>
      </c>
      <c r="BL20" s="9" t="s">
        <v>99</v>
      </c>
      <c r="BM20" s="9" t="s">
        <v>148</v>
      </c>
      <c r="BN20" s="9" t="s">
        <v>100</v>
      </c>
      <c r="BO20" s="9" t="s">
        <v>101</v>
      </c>
      <c r="BP20" s="9" t="s">
        <v>101</v>
      </c>
      <c r="BQ20" s="9" t="s">
        <v>267</v>
      </c>
      <c r="BR20" s="7"/>
      <c r="BS20" s="9">
        <f>IF(Q20&lt;=1600,Q20*18,IF(Q20&lt;=2500,Q20*19,IF(Q20&gt;2500,Q20*24,20000)))</f>
        <v>17964</v>
      </c>
      <c r="BT20" s="7" t="s">
        <v>140</v>
      </c>
      <c r="BU20" s="11"/>
      <c r="BV20" s="7"/>
      <c r="BW20" s="14"/>
      <c r="BX20" s="7"/>
      <c r="BY20" s="9">
        <f>BX20*BW20</f>
        <v>0</v>
      </c>
      <c r="BZ20" s="9">
        <f>BY20-BV20</f>
        <v>0</v>
      </c>
      <c r="CA20" s="27">
        <v>0</v>
      </c>
      <c r="CB20" s="87"/>
      <c r="CC20" s="15" t="s">
        <v>91</v>
      </c>
      <c r="CD20" s="15" t="s">
        <v>91</v>
      </c>
      <c r="CE20" s="9">
        <v>342650</v>
      </c>
      <c r="CF20" s="9">
        <f>U20*12</f>
        <v>60</v>
      </c>
      <c r="CG20" s="9">
        <f>CF20*CE20</f>
        <v>20559000</v>
      </c>
      <c r="CH20" s="9"/>
      <c r="CI20" s="9"/>
      <c r="CJ20" s="9">
        <v>2506900</v>
      </c>
      <c r="CK20" s="51">
        <v>0.04</v>
      </c>
      <c r="CL20" s="48">
        <v>0.04</v>
      </c>
      <c r="CM20" s="16" t="s">
        <v>268</v>
      </c>
      <c r="CN20" s="16"/>
      <c r="CO20" s="16"/>
      <c r="CP20" s="27">
        <v>0.03</v>
      </c>
      <c r="CQ20" s="38"/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 t="str">
        <f>IF(DD20="정수원 실장","기아", IF(DD20="박현식 부장", "현대", IF(DD20="김성진 팀장", "한성", IF(DD20="전석영 부장", "한성", IF(DD20= "박봉호 부장", "모토원",IF(DD20="정원철 부장", "한성"))))))</f>
        <v>기아</v>
      </c>
      <c r="DD20" s="24" t="s">
        <v>121</v>
      </c>
      <c r="DE20" s="24" t="str">
        <f>IF(DD20="정수원 실장","렌트베네핏", IF(DD20="박현식 부장", "렌트베네핏", IF(DD20="김성진 팀장", "청담", IF(DD20="전석영 부장", "방배", IF(DD20= "박봉호 부장", "일산",IF(DD76="정원철 부장", "청담"))))))</f>
        <v>렌트베네핏</v>
      </c>
      <c r="DF20" s="24"/>
      <c r="DG20" s="24"/>
      <c r="DH20" s="24"/>
      <c r="DI20" s="24" t="s">
        <v>269</v>
      </c>
      <c r="DJ20" s="22" t="s">
        <v>1610</v>
      </c>
      <c r="DK20" s="38">
        <v>0.3</v>
      </c>
      <c r="DL20" s="38">
        <v>0.2</v>
      </c>
      <c r="DM20" s="24"/>
      <c r="DN20" s="46"/>
      <c r="DO20" s="24"/>
      <c r="DP20" s="24"/>
      <c r="DQ20" s="38"/>
    </row>
    <row r="21" spans="2:121">
      <c r="B21" s="36">
        <v>17</v>
      </c>
      <c r="C21" s="36" t="s">
        <v>270</v>
      </c>
      <c r="D21" s="36" t="s">
        <v>1585</v>
      </c>
      <c r="E21" s="36" t="s">
        <v>1376</v>
      </c>
      <c r="F21" s="36" t="s">
        <v>1377</v>
      </c>
      <c r="G21" s="36" t="s">
        <v>1751</v>
      </c>
      <c r="H21" s="36" t="s">
        <v>132</v>
      </c>
      <c r="I21" s="36" t="s">
        <v>139</v>
      </c>
      <c r="J21" s="60">
        <v>12750000</v>
      </c>
      <c r="K21" s="36">
        <v>2022</v>
      </c>
      <c r="L21" s="61" t="s">
        <v>134</v>
      </c>
      <c r="M21" s="61" t="s">
        <v>90</v>
      </c>
      <c r="N21" s="36" t="s">
        <v>271</v>
      </c>
      <c r="O21" s="36" t="s">
        <v>272</v>
      </c>
      <c r="P21" s="36" t="s">
        <v>98</v>
      </c>
      <c r="Q21" s="37">
        <v>998</v>
      </c>
      <c r="R21" s="62">
        <v>44494</v>
      </c>
      <c r="S21" s="62">
        <v>44497</v>
      </c>
      <c r="T21" s="63">
        <v>44497</v>
      </c>
      <c r="U21" s="64" t="s">
        <v>91</v>
      </c>
      <c r="V21" s="62">
        <f>IFERROR(T21+AD21, "-")</f>
        <v>46322</v>
      </c>
      <c r="W21" s="7">
        <f ca="1">IFERROR(DATEDIF(TODAY(), V21, "m"), "-")</f>
        <v>2</v>
      </c>
      <c r="X21" s="65">
        <v>20000</v>
      </c>
      <c r="Y21" s="36" t="s">
        <v>261</v>
      </c>
      <c r="Z21" s="36" t="s">
        <v>262</v>
      </c>
      <c r="AA21" s="60" t="s">
        <v>273</v>
      </c>
      <c r="AB21" s="60" t="s">
        <v>274</v>
      </c>
      <c r="AC21" s="62">
        <v>44505</v>
      </c>
      <c r="AD21" s="36">
        <f>365*U21</f>
        <v>1825</v>
      </c>
      <c r="AE21" s="36">
        <f ca="1">V21-TODAY()</f>
        <v>70</v>
      </c>
      <c r="AF21" s="36" t="e">
        <f>VLOOKUP($C21,#REF!, 4, FALSE)</f>
        <v>#REF!</v>
      </c>
      <c r="AG21" s="60">
        <v>13234421</v>
      </c>
      <c r="AH21" s="60">
        <v>200000</v>
      </c>
      <c r="AI21" s="60">
        <v>12704000</v>
      </c>
      <c r="AJ21" s="60">
        <v>0</v>
      </c>
      <c r="AK21" s="60">
        <v>2000</v>
      </c>
      <c r="AL21" s="60">
        <v>461960</v>
      </c>
      <c r="AM21" s="60">
        <v>0</v>
      </c>
      <c r="AN21" s="60">
        <v>2000</v>
      </c>
      <c r="AO21" s="60">
        <v>27000</v>
      </c>
      <c r="AP21" s="60">
        <v>30000</v>
      </c>
      <c r="AQ21" s="60">
        <v>430000</v>
      </c>
      <c r="AR21" s="60">
        <v>0</v>
      </c>
      <c r="AS21" s="60" t="s">
        <v>195</v>
      </c>
      <c r="AT21" s="60">
        <v>0</v>
      </c>
      <c r="AU21" s="60" t="s">
        <v>135</v>
      </c>
      <c r="AV21" s="60"/>
      <c r="AW21" s="66">
        <f>SUM(AJ21,AK21,AN21,AO21,AP21, AR21,AT21+AL21+AM21)</f>
        <v>522960</v>
      </c>
      <c r="AX21" s="66" t="s">
        <v>196</v>
      </c>
      <c r="AY21" s="67">
        <v>44494</v>
      </c>
      <c r="AZ21" s="68">
        <v>1138590</v>
      </c>
      <c r="BA21" s="69">
        <v>1034460</v>
      </c>
      <c r="BB21" s="60"/>
      <c r="BC21" s="60"/>
      <c r="BD21" s="60"/>
      <c r="BE21" s="60" t="s">
        <v>93</v>
      </c>
      <c r="BF21" s="60" t="s">
        <v>94</v>
      </c>
      <c r="BG21" s="60" t="s">
        <v>117</v>
      </c>
      <c r="BH21" s="60" t="s">
        <v>118</v>
      </c>
      <c r="BI21" s="60" t="s">
        <v>97</v>
      </c>
      <c r="BJ21" s="60" t="s">
        <v>119</v>
      </c>
      <c r="BK21" s="36" t="s">
        <v>130</v>
      </c>
      <c r="BL21" s="60" t="s">
        <v>99</v>
      </c>
      <c r="BM21" s="60" t="s">
        <v>148</v>
      </c>
      <c r="BN21" s="60" t="s">
        <v>100</v>
      </c>
      <c r="BO21" s="60" t="s">
        <v>101</v>
      </c>
      <c r="BP21" s="60" t="s">
        <v>101</v>
      </c>
      <c r="BQ21" s="60" t="s">
        <v>198</v>
      </c>
      <c r="BR21" s="36"/>
      <c r="BS21" s="60">
        <f>IF(Q21&lt;=1600,Q21*18,IF(Q21&lt;=2500,Q21*19,IF(Q21&gt;2500,Q21*24,20000)))</f>
        <v>17964</v>
      </c>
      <c r="BT21" s="36" t="s">
        <v>140</v>
      </c>
      <c r="BU21" s="62"/>
      <c r="BV21" s="36"/>
      <c r="BW21" s="70"/>
      <c r="BX21" s="36"/>
      <c r="BY21" s="60">
        <f>BX21*BW21</f>
        <v>0</v>
      </c>
      <c r="BZ21" s="60">
        <f>BY21-BV21</f>
        <v>0</v>
      </c>
      <c r="CA21" s="71">
        <v>0</v>
      </c>
      <c r="CB21" s="1"/>
      <c r="CC21" s="72" t="s">
        <v>91</v>
      </c>
      <c r="CD21" s="72" t="s">
        <v>91</v>
      </c>
      <c r="CE21" s="60">
        <v>342650</v>
      </c>
      <c r="CF21" s="60">
        <f>U21*12</f>
        <v>60</v>
      </c>
      <c r="CG21" s="60">
        <f>CF21*CE21</f>
        <v>20559000</v>
      </c>
      <c r="CH21" s="60"/>
      <c r="CI21" s="60"/>
      <c r="CJ21" s="60">
        <v>2506900</v>
      </c>
      <c r="CK21" s="73">
        <v>0.04</v>
      </c>
      <c r="CL21" s="74">
        <v>0.04</v>
      </c>
      <c r="CM21" s="75" t="s">
        <v>268</v>
      </c>
      <c r="CN21" s="75"/>
      <c r="CO21" s="75"/>
      <c r="CP21" s="71">
        <v>0.03</v>
      </c>
      <c r="CQ21" s="76"/>
      <c r="CR21" s="77">
        <v>0</v>
      </c>
      <c r="CS21" s="77">
        <v>0</v>
      </c>
      <c r="CT21" s="77">
        <v>0</v>
      </c>
      <c r="CU21" s="77">
        <v>0</v>
      </c>
      <c r="CV21" s="77">
        <v>0</v>
      </c>
      <c r="CW21" s="77">
        <v>0</v>
      </c>
      <c r="CX21" s="77">
        <v>0</v>
      </c>
      <c r="CY21" s="77">
        <v>0</v>
      </c>
      <c r="CZ21" s="77">
        <v>0</v>
      </c>
      <c r="DA21" s="77">
        <v>0</v>
      </c>
      <c r="DB21" s="77">
        <v>0</v>
      </c>
      <c r="DC21" s="77" t="str">
        <f>IF(DD21="정수원 실장","기아", IF(DD21="박현식 부장", "현대", IF(DD21="김성진 팀장", "한성", IF(DD21="전석영 부장", "한성", IF(DD21= "박봉호 부장", "모토원",IF(DD21="정원철 부장", "한성"))))))</f>
        <v>기아</v>
      </c>
      <c r="DD21" s="77" t="s">
        <v>121</v>
      </c>
      <c r="DE21" s="77" t="str">
        <f>IF(DD21="정수원 실장","렌트베네핏", IF(DD21="박현식 부장", "렌트베네핏", IF(DD21="김성진 팀장", "청담", IF(DD21="전석영 부장", "방배", IF(DD21= "박봉호 부장", "일산",IF(DD77="정원철 부장", "청담"))))))</f>
        <v>렌트베네핏</v>
      </c>
      <c r="DF21" s="77"/>
      <c r="DG21" s="77"/>
      <c r="DH21" s="77"/>
      <c r="DI21" s="77" t="s">
        <v>269</v>
      </c>
      <c r="DJ21" s="22" t="s">
        <v>1610</v>
      </c>
      <c r="DK21" s="76">
        <v>0.3</v>
      </c>
      <c r="DL21" s="76">
        <v>0.2</v>
      </c>
      <c r="DM21" s="77"/>
      <c r="DN21" s="81"/>
      <c r="DO21" s="77"/>
      <c r="DP21" s="77"/>
      <c r="DQ21" s="76"/>
    </row>
    <row r="22" spans="2:121">
      <c r="B22" s="7">
        <v>18</v>
      </c>
      <c r="C22" s="7" t="s">
        <v>275</v>
      </c>
      <c r="D22" s="36" t="s">
        <v>1585</v>
      </c>
      <c r="E22" s="7" t="s">
        <v>1376</v>
      </c>
      <c r="F22" s="7" t="s">
        <v>1377</v>
      </c>
      <c r="G22" s="7" t="s">
        <v>1751</v>
      </c>
      <c r="H22" s="7" t="s">
        <v>132</v>
      </c>
      <c r="I22" s="7" t="s">
        <v>139</v>
      </c>
      <c r="J22" s="9">
        <v>12750000</v>
      </c>
      <c r="K22" s="7">
        <v>2022</v>
      </c>
      <c r="L22" s="6" t="s">
        <v>134</v>
      </c>
      <c r="M22" s="6" t="s">
        <v>90</v>
      </c>
      <c r="N22" s="7" t="s">
        <v>276</v>
      </c>
      <c r="O22" s="7" t="s">
        <v>277</v>
      </c>
      <c r="P22" s="7" t="s">
        <v>98</v>
      </c>
      <c r="Q22" s="33">
        <v>998</v>
      </c>
      <c r="R22" s="11">
        <v>44494</v>
      </c>
      <c r="S22" s="11">
        <v>44497</v>
      </c>
      <c r="T22" s="17">
        <v>44497</v>
      </c>
      <c r="U22" s="12" t="s">
        <v>91</v>
      </c>
      <c r="V22" s="11">
        <f>IFERROR(T22+AD22, "-")</f>
        <v>46322</v>
      </c>
      <c r="W22" s="7">
        <f ca="1">IFERROR(DATEDIF(TODAY(), V22, "m"), "-")</f>
        <v>2</v>
      </c>
      <c r="X22" s="13">
        <v>20000</v>
      </c>
      <c r="Y22" s="7" t="s">
        <v>261</v>
      </c>
      <c r="Z22" s="7" t="s">
        <v>262</v>
      </c>
      <c r="AA22" s="9" t="s">
        <v>273</v>
      </c>
      <c r="AB22" s="9" t="s">
        <v>274</v>
      </c>
      <c r="AC22" s="11">
        <v>44505</v>
      </c>
      <c r="AD22" s="7">
        <f>365*U22</f>
        <v>1825</v>
      </c>
      <c r="AE22" s="7">
        <f ca="1">V22-TODAY()</f>
        <v>70</v>
      </c>
      <c r="AF22" s="7" t="e">
        <f>VLOOKUP($C22,#REF!, 4, FALSE)</f>
        <v>#REF!</v>
      </c>
      <c r="AG22" s="9">
        <v>13234421</v>
      </c>
      <c r="AH22" s="9">
        <v>200000</v>
      </c>
      <c r="AI22" s="9">
        <v>12704000</v>
      </c>
      <c r="AJ22" s="9">
        <v>0</v>
      </c>
      <c r="AK22" s="9">
        <v>2000</v>
      </c>
      <c r="AL22" s="9">
        <v>461960</v>
      </c>
      <c r="AM22" s="9">
        <v>0</v>
      </c>
      <c r="AN22" s="9">
        <v>2000</v>
      </c>
      <c r="AO22" s="9">
        <v>27000</v>
      </c>
      <c r="AP22" s="9">
        <v>30000</v>
      </c>
      <c r="AQ22" s="9">
        <v>430000</v>
      </c>
      <c r="AR22" s="9">
        <v>0</v>
      </c>
      <c r="AS22" s="9" t="s">
        <v>195</v>
      </c>
      <c r="AT22" s="9">
        <v>0</v>
      </c>
      <c r="AU22" s="9" t="s">
        <v>135</v>
      </c>
      <c r="AV22" s="9"/>
      <c r="AW22" s="18">
        <f>SUM(AJ22,AK22,AN22,AO22,AP22, AR22,AT22+AL22+AM22)</f>
        <v>522960</v>
      </c>
      <c r="AX22" s="18" t="s">
        <v>196</v>
      </c>
      <c r="AY22" s="53">
        <v>44494</v>
      </c>
      <c r="AZ22" s="41">
        <v>1138590</v>
      </c>
      <c r="BA22" s="42">
        <v>1034460</v>
      </c>
      <c r="BB22" s="9"/>
      <c r="BC22" s="9"/>
      <c r="BD22" s="9"/>
      <c r="BE22" s="9" t="s">
        <v>93</v>
      </c>
      <c r="BF22" s="9" t="s">
        <v>94</v>
      </c>
      <c r="BG22" s="9" t="s">
        <v>117</v>
      </c>
      <c r="BH22" s="9" t="s">
        <v>118</v>
      </c>
      <c r="BI22" s="9" t="s">
        <v>97</v>
      </c>
      <c r="BJ22" s="9" t="s">
        <v>119</v>
      </c>
      <c r="BK22" s="7" t="s">
        <v>130</v>
      </c>
      <c r="BL22" s="9" t="s">
        <v>99</v>
      </c>
      <c r="BM22" s="9" t="s">
        <v>148</v>
      </c>
      <c r="BN22" s="9" t="s">
        <v>100</v>
      </c>
      <c r="BO22" s="9" t="s">
        <v>101</v>
      </c>
      <c r="BP22" s="9" t="s">
        <v>101</v>
      </c>
      <c r="BQ22" s="9" t="s">
        <v>198</v>
      </c>
      <c r="BR22" s="7"/>
      <c r="BS22" s="9">
        <f>IF(Q22&lt;=1600,Q22*18,IF(Q22&lt;=2500,Q22*19,IF(Q22&gt;2500,Q22*24,20000)))</f>
        <v>17964</v>
      </c>
      <c r="BT22" s="7" t="s">
        <v>140</v>
      </c>
      <c r="BU22" s="11"/>
      <c r="BV22" s="7"/>
      <c r="BW22" s="14"/>
      <c r="BX22" s="7"/>
      <c r="BY22" s="9">
        <f>BX22*BW22</f>
        <v>0</v>
      </c>
      <c r="BZ22" s="9">
        <f>BY22-BV22</f>
        <v>0</v>
      </c>
      <c r="CA22" s="27">
        <v>0</v>
      </c>
      <c r="CB22" s="1"/>
      <c r="CC22" s="15" t="s">
        <v>91</v>
      </c>
      <c r="CD22" s="15" t="s">
        <v>91</v>
      </c>
      <c r="CE22" s="9">
        <v>342650</v>
      </c>
      <c r="CF22" s="9">
        <f>U22*12</f>
        <v>60</v>
      </c>
      <c r="CG22" s="9">
        <f>CF22*CE22</f>
        <v>20559000</v>
      </c>
      <c r="CH22" s="9"/>
      <c r="CI22" s="9"/>
      <c r="CJ22" s="9">
        <v>2506900</v>
      </c>
      <c r="CK22" s="51">
        <v>0.04</v>
      </c>
      <c r="CL22" s="48">
        <v>0.04</v>
      </c>
      <c r="CM22" s="16" t="s">
        <v>268</v>
      </c>
      <c r="CN22" s="16"/>
      <c r="CO22" s="16"/>
      <c r="CP22" s="27">
        <v>0.03</v>
      </c>
      <c r="CQ22" s="38"/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 t="str">
        <f>IF(DD22="정수원 실장","기아", IF(DD22="박현식 부장", "현대", IF(DD22="김성진 팀장", "한성", IF(DD22="전석영 부장", "한성", IF(DD22= "박봉호 부장", "모토원",IF(DD22="정원철 부장", "한성"))))))</f>
        <v>기아</v>
      </c>
      <c r="DD22" s="24" t="s">
        <v>121</v>
      </c>
      <c r="DE22" s="24" t="str">
        <f>IF(DD22="정수원 실장","렌트베네핏", IF(DD22="박현식 부장", "렌트베네핏", IF(DD22="김성진 팀장", "청담", IF(DD22="전석영 부장", "방배", IF(DD22= "박봉호 부장", "일산",IF(DD78="정원철 부장", "청담"))))))</f>
        <v>렌트베네핏</v>
      </c>
      <c r="DF22" s="24"/>
      <c r="DG22" s="24"/>
      <c r="DH22" s="24"/>
      <c r="DI22" s="24" t="s">
        <v>269</v>
      </c>
      <c r="DJ22" s="22" t="s">
        <v>1610</v>
      </c>
      <c r="DK22" s="38">
        <v>0.3</v>
      </c>
      <c r="DL22" s="76">
        <v>0.2</v>
      </c>
      <c r="DM22" s="24"/>
      <c r="DN22" s="46"/>
      <c r="DO22" s="24"/>
      <c r="DP22" s="24"/>
      <c r="DQ22" s="38"/>
    </row>
    <row r="23" spans="2:121">
      <c r="B23" s="7">
        <v>19</v>
      </c>
      <c r="C23" s="7" t="s">
        <v>278</v>
      </c>
      <c r="D23" s="36" t="s">
        <v>1585</v>
      </c>
      <c r="E23" s="7" t="s">
        <v>1376</v>
      </c>
      <c r="F23" s="7" t="s">
        <v>1377</v>
      </c>
      <c r="G23" s="7" t="s">
        <v>1751</v>
      </c>
      <c r="H23" s="7" t="s">
        <v>132</v>
      </c>
      <c r="I23" s="7" t="s">
        <v>139</v>
      </c>
      <c r="J23" s="9">
        <v>12750000</v>
      </c>
      <c r="K23" s="7">
        <v>2022</v>
      </c>
      <c r="L23" s="6" t="s">
        <v>134</v>
      </c>
      <c r="M23" s="6" t="s">
        <v>90</v>
      </c>
      <c r="N23" s="7" t="s">
        <v>279</v>
      </c>
      <c r="O23" s="7" t="s">
        <v>280</v>
      </c>
      <c r="P23" s="7" t="s">
        <v>98</v>
      </c>
      <c r="Q23" s="33">
        <v>998</v>
      </c>
      <c r="R23" s="11">
        <v>44494</v>
      </c>
      <c r="S23" s="11">
        <v>44497</v>
      </c>
      <c r="T23" s="17">
        <v>44497</v>
      </c>
      <c r="U23" s="12" t="s">
        <v>91</v>
      </c>
      <c r="V23" s="11">
        <f>IFERROR(T23+AD23, "-")</f>
        <v>46322</v>
      </c>
      <c r="W23" s="7">
        <f ca="1">IFERROR(DATEDIF(TODAY(), V23, "m"), "-")</f>
        <v>2</v>
      </c>
      <c r="X23" s="13">
        <v>20000</v>
      </c>
      <c r="Y23" s="7" t="s">
        <v>261</v>
      </c>
      <c r="Z23" s="7" t="s">
        <v>262</v>
      </c>
      <c r="AA23" s="9" t="s">
        <v>273</v>
      </c>
      <c r="AB23" s="9" t="s">
        <v>281</v>
      </c>
      <c r="AC23" s="11">
        <v>44505</v>
      </c>
      <c r="AD23" s="7">
        <f>365*U23</f>
        <v>1825</v>
      </c>
      <c r="AE23" s="7">
        <f ca="1">V23-TODAY()</f>
        <v>70</v>
      </c>
      <c r="AF23" s="7" t="e">
        <f>VLOOKUP($C23,#REF!, 4, FALSE)</f>
        <v>#REF!</v>
      </c>
      <c r="AG23" s="9">
        <v>13234421</v>
      </c>
      <c r="AH23" s="9">
        <v>200000</v>
      </c>
      <c r="AI23" s="9">
        <v>12704000</v>
      </c>
      <c r="AJ23" s="9">
        <v>0</v>
      </c>
      <c r="AK23" s="9">
        <v>2000</v>
      </c>
      <c r="AL23" s="9">
        <v>461960</v>
      </c>
      <c r="AM23" s="9">
        <v>0</v>
      </c>
      <c r="AN23" s="9">
        <v>2000</v>
      </c>
      <c r="AO23" s="9">
        <v>27000</v>
      </c>
      <c r="AP23" s="9">
        <v>30000</v>
      </c>
      <c r="AQ23" s="9">
        <v>430000</v>
      </c>
      <c r="AR23" s="9">
        <v>0</v>
      </c>
      <c r="AS23" s="9" t="s">
        <v>195</v>
      </c>
      <c r="AT23" s="9">
        <v>0</v>
      </c>
      <c r="AU23" s="9" t="s">
        <v>135</v>
      </c>
      <c r="AV23" s="9"/>
      <c r="AW23" s="18">
        <f>SUM(AJ23,AK23,AN23,AO23,AP23, AR23,AT23+AL23+AM23)</f>
        <v>522960</v>
      </c>
      <c r="AX23" s="18" t="s">
        <v>196</v>
      </c>
      <c r="AY23" s="53">
        <v>44494</v>
      </c>
      <c r="AZ23" s="41">
        <v>1138590</v>
      </c>
      <c r="BA23" s="42">
        <v>1034460</v>
      </c>
      <c r="BB23" s="9"/>
      <c r="BC23" s="9"/>
      <c r="BD23" s="9"/>
      <c r="BE23" s="9" t="s">
        <v>93</v>
      </c>
      <c r="BF23" s="9" t="s">
        <v>94</v>
      </c>
      <c r="BG23" s="9" t="s">
        <v>117</v>
      </c>
      <c r="BH23" s="9" t="s">
        <v>118</v>
      </c>
      <c r="BI23" s="9" t="s">
        <v>97</v>
      </c>
      <c r="BJ23" s="9" t="s">
        <v>119</v>
      </c>
      <c r="BK23" s="7" t="s">
        <v>130</v>
      </c>
      <c r="BL23" s="9" t="s">
        <v>99</v>
      </c>
      <c r="BM23" s="9" t="s">
        <v>148</v>
      </c>
      <c r="BN23" s="9" t="s">
        <v>100</v>
      </c>
      <c r="BO23" s="9" t="s">
        <v>101</v>
      </c>
      <c r="BP23" s="9" t="s">
        <v>101</v>
      </c>
      <c r="BQ23" s="9" t="s">
        <v>198</v>
      </c>
      <c r="BR23" s="7"/>
      <c r="BS23" s="9">
        <f>IF(Q23&lt;=1600,Q23*18,IF(Q23&lt;=2500,Q23*19,IF(Q23&gt;2500,Q23*24,20000)))</f>
        <v>17964</v>
      </c>
      <c r="BT23" s="7" t="s">
        <v>140</v>
      </c>
      <c r="BU23" s="11"/>
      <c r="BV23" s="7"/>
      <c r="BW23" s="14"/>
      <c r="BX23" s="7"/>
      <c r="BY23" s="9">
        <f>BX23*BW23</f>
        <v>0</v>
      </c>
      <c r="BZ23" s="9">
        <f>BY23-BV23</f>
        <v>0</v>
      </c>
      <c r="CA23" s="27">
        <v>0</v>
      </c>
      <c r="CB23" s="87"/>
      <c r="CC23" s="15" t="s">
        <v>91</v>
      </c>
      <c r="CD23" s="15" t="s">
        <v>91</v>
      </c>
      <c r="CE23" s="9">
        <v>342650</v>
      </c>
      <c r="CF23" s="9">
        <f>U23*12</f>
        <v>60</v>
      </c>
      <c r="CG23" s="9">
        <f>CF23*CE23</f>
        <v>20559000</v>
      </c>
      <c r="CH23" s="9"/>
      <c r="CI23" s="9"/>
      <c r="CJ23" s="9">
        <v>2506900</v>
      </c>
      <c r="CK23" s="51">
        <v>0.04</v>
      </c>
      <c r="CL23" s="48">
        <v>0.04</v>
      </c>
      <c r="CM23" s="16" t="s">
        <v>268</v>
      </c>
      <c r="CN23" s="16"/>
      <c r="CO23" s="16"/>
      <c r="CP23" s="27">
        <v>0.03</v>
      </c>
      <c r="CQ23" s="38"/>
      <c r="CR23" s="24">
        <v>0</v>
      </c>
      <c r="CS23" s="24">
        <v>0</v>
      </c>
      <c r="CT23" s="24">
        <v>0</v>
      </c>
      <c r="CU23" s="24">
        <v>0</v>
      </c>
      <c r="CV23" s="24">
        <v>0</v>
      </c>
      <c r="CW23" s="24">
        <v>0</v>
      </c>
      <c r="CX23" s="24">
        <v>0</v>
      </c>
      <c r="CY23" s="24">
        <v>0</v>
      </c>
      <c r="CZ23" s="24">
        <v>0</v>
      </c>
      <c r="DA23" s="24">
        <v>0</v>
      </c>
      <c r="DB23" s="24">
        <v>0</v>
      </c>
      <c r="DC23" s="24" t="str">
        <f>IF(DD23="정수원 실장","기아", IF(DD23="박현식 부장", "현대", IF(DD23="김성진 팀장", "한성", IF(DD23="전석영 부장", "한성", IF(DD23= "박봉호 부장", "모토원",IF(DD23="정원철 부장", "한성"))))))</f>
        <v>기아</v>
      </c>
      <c r="DD23" s="24" t="s">
        <v>121</v>
      </c>
      <c r="DE23" s="24" t="str">
        <f>IF(DD23="정수원 실장","렌트베네핏", IF(DD23="박현식 부장", "렌트베네핏", IF(DD23="김성진 팀장", "청담", IF(DD23="전석영 부장", "방배", IF(DD23= "박봉호 부장", "일산",IF(#REF!="정원철 부장", "청담"))))))</f>
        <v>렌트베네핏</v>
      </c>
      <c r="DF23" s="24"/>
      <c r="DG23" s="24"/>
      <c r="DH23" s="24"/>
      <c r="DI23" s="24" t="s">
        <v>269</v>
      </c>
      <c r="DJ23" s="22" t="s">
        <v>1610</v>
      </c>
      <c r="DK23" s="38">
        <v>0.3</v>
      </c>
      <c r="DL23" s="76">
        <v>0.2</v>
      </c>
      <c r="DM23" s="24"/>
      <c r="DN23" s="46"/>
      <c r="DO23" s="24"/>
      <c r="DP23" s="24"/>
      <c r="DQ23" s="38"/>
    </row>
    <row r="24" spans="2:121">
      <c r="B24" s="7">
        <v>20</v>
      </c>
      <c r="C24" s="7" t="s">
        <v>282</v>
      </c>
      <c r="D24" s="36" t="s">
        <v>1585</v>
      </c>
      <c r="E24" s="7" t="s">
        <v>1376</v>
      </c>
      <c r="F24" s="7" t="s">
        <v>1377</v>
      </c>
      <c r="G24" s="7" t="s">
        <v>1751</v>
      </c>
      <c r="H24" s="7" t="s">
        <v>132</v>
      </c>
      <c r="I24" s="7" t="s">
        <v>139</v>
      </c>
      <c r="J24" s="9">
        <v>12750000</v>
      </c>
      <c r="K24" s="7">
        <v>2022</v>
      </c>
      <c r="L24" s="6" t="s">
        <v>134</v>
      </c>
      <c r="M24" s="6" t="s">
        <v>90</v>
      </c>
      <c r="N24" s="7" t="s">
        <v>283</v>
      </c>
      <c r="O24" s="7" t="s">
        <v>284</v>
      </c>
      <c r="P24" s="7" t="s">
        <v>98</v>
      </c>
      <c r="Q24" s="33">
        <v>998</v>
      </c>
      <c r="R24" s="11">
        <v>44494</v>
      </c>
      <c r="S24" s="11">
        <v>44497</v>
      </c>
      <c r="T24" s="17">
        <v>44497</v>
      </c>
      <c r="U24" s="12" t="s">
        <v>91</v>
      </c>
      <c r="V24" s="11">
        <f>IFERROR(T24+AD24, "-")</f>
        <v>46322</v>
      </c>
      <c r="W24" s="7">
        <f ca="1">IFERROR(DATEDIF(TODAY(), V24, "m"), "-")</f>
        <v>2</v>
      </c>
      <c r="X24" s="13">
        <v>20000</v>
      </c>
      <c r="Y24" s="7" t="s">
        <v>261</v>
      </c>
      <c r="Z24" s="7" t="s">
        <v>262</v>
      </c>
      <c r="AA24" s="9" t="s">
        <v>273</v>
      </c>
      <c r="AB24" s="9" t="s">
        <v>274</v>
      </c>
      <c r="AC24" s="11">
        <v>44505</v>
      </c>
      <c r="AD24" s="7">
        <f>365*U24</f>
        <v>1825</v>
      </c>
      <c r="AE24" s="7">
        <f ca="1">V24-TODAY()</f>
        <v>70</v>
      </c>
      <c r="AF24" s="7" t="e">
        <f>VLOOKUP($C24,#REF!, 4, FALSE)</f>
        <v>#REF!</v>
      </c>
      <c r="AG24" s="9">
        <v>13234421</v>
      </c>
      <c r="AH24" s="9">
        <v>200000</v>
      </c>
      <c r="AI24" s="9">
        <v>12704000</v>
      </c>
      <c r="AJ24" s="9">
        <v>0</v>
      </c>
      <c r="AK24" s="9">
        <v>2000</v>
      </c>
      <c r="AL24" s="9">
        <v>461960</v>
      </c>
      <c r="AM24" s="9">
        <v>0</v>
      </c>
      <c r="AN24" s="9">
        <v>2000</v>
      </c>
      <c r="AO24" s="9">
        <v>27000</v>
      </c>
      <c r="AP24" s="9">
        <v>30000</v>
      </c>
      <c r="AQ24" s="9">
        <v>430000</v>
      </c>
      <c r="AR24" s="9">
        <v>0</v>
      </c>
      <c r="AS24" s="9" t="s">
        <v>195</v>
      </c>
      <c r="AT24" s="9">
        <v>0</v>
      </c>
      <c r="AU24" s="9" t="s">
        <v>135</v>
      </c>
      <c r="AV24" s="9"/>
      <c r="AW24" s="18">
        <f>SUM(AJ24,AK24,AN24,AO24,AP24, AR24,AT24+AL24+AM24)</f>
        <v>522960</v>
      </c>
      <c r="AX24" s="18" t="s">
        <v>196</v>
      </c>
      <c r="AY24" s="53">
        <v>44494</v>
      </c>
      <c r="AZ24" s="41">
        <v>1138590</v>
      </c>
      <c r="BA24" s="42">
        <v>1034460</v>
      </c>
      <c r="BB24" s="9"/>
      <c r="BC24" s="9"/>
      <c r="BD24" s="9"/>
      <c r="BE24" s="9" t="s">
        <v>93</v>
      </c>
      <c r="BF24" s="9" t="s">
        <v>94</v>
      </c>
      <c r="BG24" s="9" t="s">
        <v>117</v>
      </c>
      <c r="BH24" s="9" t="s">
        <v>118</v>
      </c>
      <c r="BI24" s="9" t="s">
        <v>97</v>
      </c>
      <c r="BJ24" s="9" t="s">
        <v>119</v>
      </c>
      <c r="BK24" s="7" t="s">
        <v>130</v>
      </c>
      <c r="BL24" s="9" t="s">
        <v>99</v>
      </c>
      <c r="BM24" s="9" t="s">
        <v>148</v>
      </c>
      <c r="BN24" s="9" t="s">
        <v>100</v>
      </c>
      <c r="BO24" s="9" t="s">
        <v>101</v>
      </c>
      <c r="BP24" s="9" t="s">
        <v>101</v>
      </c>
      <c r="BQ24" s="9" t="s">
        <v>198</v>
      </c>
      <c r="BR24" s="7"/>
      <c r="BS24" s="9">
        <f>IF(Q24&lt;=1600,Q24*18,IF(Q24&lt;=2500,Q24*19,IF(Q24&gt;2500,Q24*24,20000)))</f>
        <v>17964</v>
      </c>
      <c r="BT24" s="7" t="s">
        <v>140</v>
      </c>
      <c r="BU24" s="11"/>
      <c r="BV24" s="7"/>
      <c r="BW24" s="14"/>
      <c r="BX24" s="7"/>
      <c r="BY24" s="9">
        <f>BX24*BW24</f>
        <v>0</v>
      </c>
      <c r="BZ24" s="9">
        <f>BY24-BV24</f>
        <v>0</v>
      </c>
      <c r="CA24" s="27">
        <v>0</v>
      </c>
      <c r="CB24" s="87"/>
      <c r="CC24" s="15" t="s">
        <v>91</v>
      </c>
      <c r="CD24" s="15" t="s">
        <v>91</v>
      </c>
      <c r="CE24" s="9">
        <v>342650</v>
      </c>
      <c r="CF24" s="9">
        <f>U24*12</f>
        <v>60</v>
      </c>
      <c r="CG24" s="9">
        <f>CF24*CE24</f>
        <v>20559000</v>
      </c>
      <c r="CH24" s="9"/>
      <c r="CI24" s="9"/>
      <c r="CJ24" s="9">
        <v>2506900</v>
      </c>
      <c r="CK24" s="51">
        <v>0.04</v>
      </c>
      <c r="CL24" s="48">
        <v>0.04</v>
      </c>
      <c r="CM24" s="16" t="s">
        <v>268</v>
      </c>
      <c r="CN24" s="16"/>
      <c r="CO24" s="16"/>
      <c r="CP24" s="27">
        <v>0.03</v>
      </c>
      <c r="CQ24" s="38"/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 t="str">
        <f>IF(DD24="정수원 실장","기아", IF(DD24="박현식 부장", "현대", IF(DD24="김성진 팀장", "한성", IF(DD24="전석영 부장", "한성", IF(DD24= "박봉호 부장", "모토원",IF(DD24="정원철 부장", "한성"))))))</f>
        <v>기아</v>
      </c>
      <c r="DD24" s="24" t="s">
        <v>121</v>
      </c>
      <c r="DE24" s="24" t="str">
        <f>IF(DD24="정수원 실장","렌트베네핏", IF(DD24="박현식 부장", "렌트베네핏", IF(DD24="김성진 팀장", "청담", IF(DD24="전석영 부장", "방배", IF(DD24= "박봉호 부장", "일산",IF(DD79="정원철 부장", "청담"))))))</f>
        <v>렌트베네핏</v>
      </c>
      <c r="DF24" s="24"/>
      <c r="DG24" s="24"/>
      <c r="DH24" s="24"/>
      <c r="DI24" s="24" t="s">
        <v>269</v>
      </c>
      <c r="DJ24" s="22" t="s">
        <v>1610</v>
      </c>
      <c r="DK24" s="38">
        <v>0.3</v>
      </c>
      <c r="DL24" s="76">
        <v>0.2</v>
      </c>
      <c r="DM24" s="24"/>
      <c r="DN24" s="46"/>
      <c r="DO24" s="24"/>
      <c r="DP24" s="24"/>
      <c r="DQ24" s="38"/>
    </row>
    <row r="25" spans="2:121">
      <c r="B25" s="7">
        <v>21</v>
      </c>
      <c r="C25" s="7" t="s">
        <v>285</v>
      </c>
      <c r="D25" s="36" t="s">
        <v>1585</v>
      </c>
      <c r="E25" s="7" t="s">
        <v>1376</v>
      </c>
      <c r="F25" s="7" t="s">
        <v>1377</v>
      </c>
      <c r="G25" s="7" t="s">
        <v>1751</v>
      </c>
      <c r="H25" s="7" t="s">
        <v>132</v>
      </c>
      <c r="I25" s="7" t="s">
        <v>139</v>
      </c>
      <c r="J25" s="9">
        <v>12750000</v>
      </c>
      <c r="K25" s="7">
        <v>2022</v>
      </c>
      <c r="L25" s="6" t="s">
        <v>134</v>
      </c>
      <c r="M25" s="6" t="s">
        <v>90</v>
      </c>
      <c r="N25" s="7" t="s">
        <v>286</v>
      </c>
      <c r="O25" s="7" t="s">
        <v>287</v>
      </c>
      <c r="P25" s="7" t="s">
        <v>98</v>
      </c>
      <c r="Q25" s="33">
        <v>998</v>
      </c>
      <c r="R25" s="11">
        <v>44494</v>
      </c>
      <c r="S25" s="11">
        <v>44497</v>
      </c>
      <c r="T25" s="17">
        <v>44497</v>
      </c>
      <c r="U25" s="12" t="s">
        <v>91</v>
      </c>
      <c r="V25" s="11">
        <f>IFERROR(T25+AD25, "-")</f>
        <v>46322</v>
      </c>
      <c r="W25" s="7">
        <f ca="1">IFERROR(DATEDIF(TODAY(), V25, "m"), "-")</f>
        <v>2</v>
      </c>
      <c r="X25" s="13">
        <v>20000</v>
      </c>
      <c r="Y25" s="7" t="s">
        <v>261</v>
      </c>
      <c r="Z25" s="7" t="s">
        <v>262</v>
      </c>
      <c r="AA25" s="9" t="s">
        <v>273</v>
      </c>
      <c r="AB25" s="9" t="s">
        <v>274</v>
      </c>
      <c r="AC25" s="11">
        <v>44505</v>
      </c>
      <c r="AD25" s="7">
        <f>365*U25</f>
        <v>1825</v>
      </c>
      <c r="AE25" s="7">
        <f ca="1">V25-TODAY()</f>
        <v>70</v>
      </c>
      <c r="AF25" s="7" t="e">
        <f>VLOOKUP($C25,#REF!, 4, FALSE)</f>
        <v>#REF!</v>
      </c>
      <c r="AG25" s="41">
        <v>13234421</v>
      </c>
      <c r="AH25" s="9">
        <v>200000</v>
      </c>
      <c r="AI25" s="9">
        <v>12704000</v>
      </c>
      <c r="AJ25" s="9">
        <v>0</v>
      </c>
      <c r="AK25" s="9">
        <v>2000</v>
      </c>
      <c r="AL25" s="9">
        <v>461960</v>
      </c>
      <c r="AM25" s="9">
        <v>0</v>
      </c>
      <c r="AN25" s="9">
        <v>2000</v>
      </c>
      <c r="AO25" s="9">
        <v>27000</v>
      </c>
      <c r="AP25" s="9">
        <v>30000</v>
      </c>
      <c r="AQ25" s="9">
        <v>430000</v>
      </c>
      <c r="AR25" s="9">
        <v>0</v>
      </c>
      <c r="AS25" s="9" t="s">
        <v>195</v>
      </c>
      <c r="AT25" s="9">
        <v>0</v>
      </c>
      <c r="AU25" s="9" t="s">
        <v>135</v>
      </c>
      <c r="AV25" s="9"/>
      <c r="AW25" s="18">
        <f>SUM(AJ25,AK25,AN25,AO25,AP25, AR25,AT25+AL25+AM25)</f>
        <v>522960</v>
      </c>
      <c r="AX25" s="18" t="s">
        <v>196</v>
      </c>
      <c r="AY25" s="53">
        <v>44494</v>
      </c>
      <c r="AZ25" s="41">
        <v>1138590</v>
      </c>
      <c r="BA25" s="42">
        <v>1034460</v>
      </c>
      <c r="BB25" s="9"/>
      <c r="BC25" s="9"/>
      <c r="BD25" s="9"/>
      <c r="BE25" s="9" t="s">
        <v>93</v>
      </c>
      <c r="BF25" s="9" t="s">
        <v>94</v>
      </c>
      <c r="BG25" s="9" t="s">
        <v>117</v>
      </c>
      <c r="BH25" s="9" t="s">
        <v>118</v>
      </c>
      <c r="BI25" s="9" t="s">
        <v>97</v>
      </c>
      <c r="BJ25" s="9" t="s">
        <v>119</v>
      </c>
      <c r="BK25" s="7" t="s">
        <v>130</v>
      </c>
      <c r="BL25" s="9" t="s">
        <v>99</v>
      </c>
      <c r="BM25" s="9" t="s">
        <v>148</v>
      </c>
      <c r="BN25" s="9" t="s">
        <v>100</v>
      </c>
      <c r="BO25" s="9" t="s">
        <v>101</v>
      </c>
      <c r="BP25" s="9" t="s">
        <v>101</v>
      </c>
      <c r="BQ25" s="9" t="s">
        <v>198</v>
      </c>
      <c r="BR25" s="7"/>
      <c r="BS25" s="9">
        <f>IF(Q25&lt;=1600,Q25*18,IF(Q25&lt;=2500,Q25*19,IF(Q25&gt;2500,Q25*24,20000)))</f>
        <v>17964</v>
      </c>
      <c r="BT25" s="7" t="s">
        <v>140</v>
      </c>
      <c r="BU25" s="22"/>
      <c r="BV25" s="9"/>
      <c r="BW25" s="14"/>
      <c r="BX25" s="9"/>
      <c r="BY25" s="9">
        <f>BX25*BW25</f>
        <v>0</v>
      </c>
      <c r="BZ25" s="9">
        <f>BY25-BV25</f>
        <v>0</v>
      </c>
      <c r="CA25" s="27">
        <v>0</v>
      </c>
      <c r="CB25" s="1"/>
      <c r="CC25" s="15" t="s">
        <v>91</v>
      </c>
      <c r="CD25" s="15" t="s">
        <v>91</v>
      </c>
      <c r="CE25" s="9">
        <v>342650</v>
      </c>
      <c r="CF25" s="9">
        <f>U25*12</f>
        <v>60</v>
      </c>
      <c r="CG25" s="9">
        <f>CF25*CE25</f>
        <v>20559000</v>
      </c>
      <c r="CH25" s="9"/>
      <c r="CI25" s="9"/>
      <c r="CJ25" s="9">
        <v>2506900</v>
      </c>
      <c r="CK25" s="51">
        <v>0.04</v>
      </c>
      <c r="CL25" s="48">
        <v>0.04</v>
      </c>
      <c r="CM25" s="16" t="s">
        <v>268</v>
      </c>
      <c r="CN25" s="16"/>
      <c r="CO25" s="16"/>
      <c r="CP25" s="27">
        <v>0.03</v>
      </c>
      <c r="CQ25" s="38"/>
      <c r="CR25" s="24">
        <v>0</v>
      </c>
      <c r="CS25" s="24">
        <v>0</v>
      </c>
      <c r="CT25" s="24">
        <v>0</v>
      </c>
      <c r="CU25" s="24">
        <v>0</v>
      </c>
      <c r="CV25" s="24">
        <v>0</v>
      </c>
      <c r="CW25" s="24">
        <v>0</v>
      </c>
      <c r="CX25" s="24">
        <v>0</v>
      </c>
      <c r="CY25" s="24">
        <v>0</v>
      </c>
      <c r="CZ25" s="24">
        <v>0</v>
      </c>
      <c r="DA25" s="24">
        <v>0</v>
      </c>
      <c r="DB25" s="24">
        <v>0</v>
      </c>
      <c r="DC25" s="24" t="str">
        <f>IF(DD25="정수원 실장","기아", IF(DD25="박현식 부장", "현대", IF(DD25="김성진 팀장", "한성", IF(DD25="전석영 부장", "한성", IF(DD25= "박봉호 부장", "모토원",IF(DD25="정원철 부장", "한성"))))))</f>
        <v>기아</v>
      </c>
      <c r="DD25" s="24" t="s">
        <v>121</v>
      </c>
      <c r="DE25" s="24" t="str">
        <f>IF(DD25="정수원 실장","렌트베네핏", IF(DD25="박현식 부장", "렌트베네핏", IF(DD25="김성진 팀장", "청담", IF(DD25="전석영 부장", "방배", IF(DD25= "박봉호 부장", "일산",IF(DD80="정원철 부장", "청담"))))))</f>
        <v>렌트베네핏</v>
      </c>
      <c r="DF25" s="24"/>
      <c r="DG25" s="24"/>
      <c r="DH25" s="24"/>
      <c r="DI25" s="24" t="s">
        <v>269</v>
      </c>
      <c r="DJ25" s="22" t="s">
        <v>1610</v>
      </c>
      <c r="DK25" s="38">
        <v>0.3</v>
      </c>
      <c r="DL25" s="76">
        <v>0.2</v>
      </c>
      <c r="DM25" s="24"/>
      <c r="DN25" s="46"/>
      <c r="DO25" s="24"/>
      <c r="DP25" s="24"/>
      <c r="DQ25" s="38"/>
    </row>
    <row r="26" spans="2:121">
      <c r="B26" s="7">
        <v>22</v>
      </c>
      <c r="C26" s="7" t="s">
        <v>288</v>
      </c>
      <c r="D26" s="36" t="s">
        <v>1585</v>
      </c>
      <c r="E26" s="7" t="s">
        <v>1376</v>
      </c>
      <c r="F26" s="7" t="s">
        <v>1377</v>
      </c>
      <c r="G26" s="7" t="s">
        <v>1751</v>
      </c>
      <c r="H26" s="7" t="s">
        <v>132</v>
      </c>
      <c r="I26" s="7" t="s">
        <v>139</v>
      </c>
      <c r="J26" s="9">
        <v>12750000</v>
      </c>
      <c r="K26" s="7">
        <v>2022</v>
      </c>
      <c r="L26" s="6" t="s">
        <v>134</v>
      </c>
      <c r="M26" s="6" t="s">
        <v>90</v>
      </c>
      <c r="N26" s="7" t="s">
        <v>289</v>
      </c>
      <c r="O26" s="7" t="s">
        <v>290</v>
      </c>
      <c r="P26" s="7" t="s">
        <v>98</v>
      </c>
      <c r="Q26" s="33">
        <v>998</v>
      </c>
      <c r="R26" s="11">
        <v>44494</v>
      </c>
      <c r="S26" s="11">
        <v>44497</v>
      </c>
      <c r="T26" s="17">
        <v>44497</v>
      </c>
      <c r="U26" s="12" t="s">
        <v>91</v>
      </c>
      <c r="V26" s="11">
        <f>IFERROR(T26+AD26, "-")</f>
        <v>46322</v>
      </c>
      <c r="W26" s="7">
        <f ca="1">IFERROR(DATEDIF(TODAY(), V26, "m"), "-")</f>
        <v>2</v>
      </c>
      <c r="X26" s="13">
        <v>20000</v>
      </c>
      <c r="Y26" s="7" t="s">
        <v>261</v>
      </c>
      <c r="Z26" s="7" t="s">
        <v>262</v>
      </c>
      <c r="AA26" s="9" t="s">
        <v>265</v>
      </c>
      <c r="AB26" s="9" t="s">
        <v>266</v>
      </c>
      <c r="AC26" s="11">
        <v>44505</v>
      </c>
      <c r="AD26" s="7">
        <f>365*U26</f>
        <v>1825</v>
      </c>
      <c r="AE26" s="7">
        <f ca="1">V26-TODAY()</f>
        <v>70</v>
      </c>
      <c r="AF26" s="7" t="e">
        <f>VLOOKUP($C26,#REF!, 4, FALSE)</f>
        <v>#REF!</v>
      </c>
      <c r="AG26" s="41">
        <v>13234421</v>
      </c>
      <c r="AH26" s="9">
        <v>200000</v>
      </c>
      <c r="AI26" s="9">
        <v>12688000</v>
      </c>
      <c r="AJ26" s="9">
        <v>0</v>
      </c>
      <c r="AK26" s="9">
        <v>2000</v>
      </c>
      <c r="AL26" s="9">
        <v>461380</v>
      </c>
      <c r="AM26" s="9">
        <v>0</v>
      </c>
      <c r="AN26" s="9">
        <v>2000</v>
      </c>
      <c r="AO26" s="9">
        <v>27000</v>
      </c>
      <c r="AP26" s="9">
        <v>30000</v>
      </c>
      <c r="AQ26" s="9">
        <v>430000</v>
      </c>
      <c r="AR26" s="9">
        <v>0</v>
      </c>
      <c r="AS26" s="9" t="s">
        <v>195</v>
      </c>
      <c r="AT26" s="9">
        <v>0</v>
      </c>
      <c r="AU26" s="9" t="s">
        <v>135</v>
      </c>
      <c r="AV26" s="9"/>
      <c r="AW26" s="18">
        <f>SUM(AJ26,AK26,AN26,AO26,AP26, AR26,AT26+AL26+AM26)</f>
        <v>522380</v>
      </c>
      <c r="AX26" s="18" t="s">
        <v>196</v>
      </c>
      <c r="AY26" s="53">
        <v>44494</v>
      </c>
      <c r="AZ26" s="41">
        <v>1138590</v>
      </c>
      <c r="BA26" s="42">
        <v>1034460</v>
      </c>
      <c r="BB26" s="9"/>
      <c r="BC26" s="9"/>
      <c r="BD26" s="9"/>
      <c r="BE26" s="9" t="s">
        <v>93</v>
      </c>
      <c r="BF26" s="9" t="s">
        <v>94</v>
      </c>
      <c r="BG26" s="9" t="s">
        <v>117</v>
      </c>
      <c r="BH26" s="9" t="s">
        <v>118</v>
      </c>
      <c r="BI26" s="9" t="s">
        <v>97</v>
      </c>
      <c r="BJ26" s="9" t="s">
        <v>119</v>
      </c>
      <c r="BK26" s="7" t="s">
        <v>130</v>
      </c>
      <c r="BL26" s="9" t="s">
        <v>99</v>
      </c>
      <c r="BM26" s="9" t="s">
        <v>148</v>
      </c>
      <c r="BN26" s="9" t="s">
        <v>100</v>
      </c>
      <c r="BO26" s="9" t="s">
        <v>101</v>
      </c>
      <c r="BP26" s="9" t="s">
        <v>101</v>
      </c>
      <c r="BQ26" s="9" t="s">
        <v>198</v>
      </c>
      <c r="BR26" s="7"/>
      <c r="BS26" s="9">
        <f>IF(Q26&lt;=1600,Q26*18,IF(Q26&lt;=2500,Q26*19,IF(Q26&gt;2500,Q26*24,20000)))</f>
        <v>17964</v>
      </c>
      <c r="BT26" s="7" t="s">
        <v>140</v>
      </c>
      <c r="BU26" s="22"/>
      <c r="BV26" s="9"/>
      <c r="BW26" s="14"/>
      <c r="BX26" s="9"/>
      <c r="BY26" s="9">
        <f>BX26*BW26</f>
        <v>0</v>
      </c>
      <c r="BZ26" s="9">
        <f>BY26-BV26</f>
        <v>0</v>
      </c>
      <c r="CA26" s="27">
        <v>0</v>
      </c>
      <c r="CB26" s="87"/>
      <c r="CC26" s="15" t="s">
        <v>91</v>
      </c>
      <c r="CD26" s="15" t="s">
        <v>91</v>
      </c>
      <c r="CE26" s="9">
        <v>342650</v>
      </c>
      <c r="CF26" s="9">
        <f>U26*12</f>
        <v>60</v>
      </c>
      <c r="CG26" s="9">
        <f>CF26*CE26</f>
        <v>20559000</v>
      </c>
      <c r="CH26" s="9"/>
      <c r="CI26" s="9"/>
      <c r="CJ26" s="9">
        <v>2506900</v>
      </c>
      <c r="CK26" s="51">
        <v>0.04</v>
      </c>
      <c r="CL26" s="48">
        <v>0.04</v>
      </c>
      <c r="CM26" s="16" t="s">
        <v>268</v>
      </c>
      <c r="CN26" s="16"/>
      <c r="CO26" s="16"/>
      <c r="CP26" s="27">
        <v>0.03</v>
      </c>
      <c r="CQ26" s="38"/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 t="str">
        <f>IF(DD26="정수원 실장","기아", IF(DD26="박현식 부장", "현대", IF(DD26="김성진 팀장", "한성", IF(DD26="전석영 부장", "한성", IF(DD26= "박봉호 부장", "모토원",IF(DD26="정원철 부장", "한성"))))))</f>
        <v>기아</v>
      </c>
      <c r="DD26" s="24" t="s">
        <v>121</v>
      </c>
      <c r="DE26" s="24" t="str">
        <f>IF(DD26="정수원 실장","렌트베네핏", IF(DD26="박현식 부장", "렌트베네핏", IF(DD26="김성진 팀장", "청담", IF(DD26="전석영 부장", "방배", IF(DD26= "박봉호 부장", "일산",IF(DD81="정원철 부장", "청담"))))))</f>
        <v>렌트베네핏</v>
      </c>
      <c r="DF26" s="24"/>
      <c r="DG26" s="24"/>
      <c r="DH26" s="24"/>
      <c r="DI26" s="24" t="s">
        <v>269</v>
      </c>
      <c r="DJ26" s="22" t="s">
        <v>1610</v>
      </c>
      <c r="DK26" s="38">
        <v>0.3</v>
      </c>
      <c r="DL26" s="76">
        <v>0.2</v>
      </c>
      <c r="DM26" s="24"/>
      <c r="DN26" s="46"/>
      <c r="DO26" s="24"/>
      <c r="DP26" s="24"/>
      <c r="DQ26" s="38"/>
    </row>
    <row r="27" spans="2:121">
      <c r="B27" s="7">
        <v>23</v>
      </c>
      <c r="C27" s="7" t="s">
        <v>291</v>
      </c>
      <c r="D27" s="36" t="s">
        <v>1585</v>
      </c>
      <c r="E27" s="7" t="s">
        <v>1376</v>
      </c>
      <c r="F27" s="7" t="s">
        <v>1377</v>
      </c>
      <c r="G27" s="7" t="s">
        <v>1751</v>
      </c>
      <c r="H27" s="7" t="s">
        <v>132</v>
      </c>
      <c r="I27" s="7" t="s">
        <v>139</v>
      </c>
      <c r="J27" s="9">
        <v>12750000</v>
      </c>
      <c r="K27" s="7">
        <v>2022</v>
      </c>
      <c r="L27" s="6" t="s">
        <v>134</v>
      </c>
      <c r="M27" s="6" t="s">
        <v>90</v>
      </c>
      <c r="N27" s="7" t="s">
        <v>292</v>
      </c>
      <c r="O27" s="7" t="s">
        <v>293</v>
      </c>
      <c r="P27" s="7" t="s">
        <v>98</v>
      </c>
      <c r="Q27" s="33">
        <v>998</v>
      </c>
      <c r="R27" s="11">
        <v>44494</v>
      </c>
      <c r="S27" s="11">
        <v>44497</v>
      </c>
      <c r="T27" s="17">
        <v>44497</v>
      </c>
      <c r="U27" s="12" t="s">
        <v>91</v>
      </c>
      <c r="V27" s="11">
        <f>IFERROR(T27+AD27, "-")</f>
        <v>46322</v>
      </c>
      <c r="W27" s="7">
        <f ca="1">IFERROR(DATEDIF(TODAY(), V27, "m"), "-")</f>
        <v>2</v>
      </c>
      <c r="X27" s="13">
        <v>20000</v>
      </c>
      <c r="Y27" s="7" t="s">
        <v>261</v>
      </c>
      <c r="Z27" s="7" t="s">
        <v>262</v>
      </c>
      <c r="AA27" s="9" t="s">
        <v>294</v>
      </c>
      <c r="AB27" s="9" t="s">
        <v>295</v>
      </c>
      <c r="AC27" s="11">
        <v>44505</v>
      </c>
      <c r="AD27" s="7">
        <f>365*U27</f>
        <v>1825</v>
      </c>
      <c r="AE27" s="7">
        <f ca="1">V27-TODAY()</f>
        <v>70</v>
      </c>
      <c r="AF27" s="7" t="e">
        <f>VLOOKUP($C27,#REF!, 4, FALSE)</f>
        <v>#REF!</v>
      </c>
      <c r="AG27" s="41">
        <v>13234421</v>
      </c>
      <c r="AH27" s="9">
        <v>200000</v>
      </c>
      <c r="AI27" s="9">
        <v>12799000</v>
      </c>
      <c r="AJ27" s="9">
        <v>0</v>
      </c>
      <c r="AK27" s="9">
        <v>2000</v>
      </c>
      <c r="AL27" s="9">
        <v>465410</v>
      </c>
      <c r="AM27" s="9">
        <v>0</v>
      </c>
      <c r="AN27" s="9">
        <v>2000</v>
      </c>
      <c r="AO27" s="9">
        <v>27000</v>
      </c>
      <c r="AP27" s="9">
        <v>30000</v>
      </c>
      <c r="AQ27" s="9">
        <v>430000</v>
      </c>
      <c r="AR27" s="9">
        <v>0</v>
      </c>
      <c r="AS27" s="9" t="s">
        <v>195</v>
      </c>
      <c r="AT27" s="9">
        <v>0</v>
      </c>
      <c r="AU27" s="9" t="s">
        <v>135</v>
      </c>
      <c r="AV27" s="9"/>
      <c r="AW27" s="18">
        <f>SUM(AJ27,AK27,AN27,AO27,AP27, AR27,AT27+AL27+AM27)</f>
        <v>526410</v>
      </c>
      <c r="AX27" s="18" t="s">
        <v>196</v>
      </c>
      <c r="AY27" s="53">
        <v>44494</v>
      </c>
      <c r="AZ27" s="41">
        <v>1138590</v>
      </c>
      <c r="BA27" s="42">
        <v>1034460</v>
      </c>
      <c r="BB27" s="9"/>
      <c r="BC27" s="9"/>
      <c r="BD27" s="9"/>
      <c r="BE27" s="9" t="s">
        <v>93</v>
      </c>
      <c r="BF27" s="9" t="s">
        <v>94</v>
      </c>
      <c r="BG27" s="9" t="s">
        <v>117</v>
      </c>
      <c r="BH27" s="9" t="s">
        <v>118</v>
      </c>
      <c r="BI27" s="9" t="s">
        <v>97</v>
      </c>
      <c r="BJ27" s="9" t="s">
        <v>119</v>
      </c>
      <c r="BK27" s="7" t="s">
        <v>130</v>
      </c>
      <c r="BL27" s="9" t="s">
        <v>99</v>
      </c>
      <c r="BM27" s="9" t="s">
        <v>148</v>
      </c>
      <c r="BN27" s="9" t="s">
        <v>100</v>
      </c>
      <c r="BO27" s="9" t="s">
        <v>101</v>
      </c>
      <c r="BP27" s="9" t="s">
        <v>101</v>
      </c>
      <c r="BQ27" s="9" t="s">
        <v>198</v>
      </c>
      <c r="BR27" s="7"/>
      <c r="BS27" s="9">
        <f>IF(Q27&lt;=1600,Q27*18,IF(Q27&lt;=2500,Q27*19,IF(Q27&gt;2500,Q27*24,20000)))</f>
        <v>17964</v>
      </c>
      <c r="BT27" s="7" t="s">
        <v>140</v>
      </c>
      <c r="BU27" s="22"/>
      <c r="BV27" s="9"/>
      <c r="BW27" s="14"/>
      <c r="BX27" s="9"/>
      <c r="BY27" s="9">
        <f>BX27*BW27</f>
        <v>0</v>
      </c>
      <c r="BZ27" s="9">
        <f>BY27-BV27</f>
        <v>0</v>
      </c>
      <c r="CA27" s="27">
        <v>0</v>
      </c>
      <c r="CB27" s="87"/>
      <c r="CC27" s="15" t="s">
        <v>91</v>
      </c>
      <c r="CD27" s="15" t="s">
        <v>91</v>
      </c>
      <c r="CE27" s="9">
        <v>342650</v>
      </c>
      <c r="CF27" s="9">
        <f>U27*12</f>
        <v>60</v>
      </c>
      <c r="CG27" s="9">
        <f>CF27*CE27</f>
        <v>20559000</v>
      </c>
      <c r="CH27" s="9"/>
      <c r="CI27" s="9"/>
      <c r="CJ27" s="9">
        <v>2506900</v>
      </c>
      <c r="CK27" s="51">
        <v>0.04</v>
      </c>
      <c r="CL27" s="48">
        <v>0.04</v>
      </c>
      <c r="CM27" s="16" t="s">
        <v>268</v>
      </c>
      <c r="CN27" s="16"/>
      <c r="CO27" s="16"/>
      <c r="CP27" s="27">
        <v>0.03</v>
      </c>
      <c r="CQ27" s="38"/>
      <c r="CR27" s="24">
        <v>0</v>
      </c>
      <c r="CS27" s="24">
        <v>0</v>
      </c>
      <c r="CT27" s="24">
        <v>0</v>
      </c>
      <c r="CU27" s="24">
        <v>0</v>
      </c>
      <c r="CV27" s="24">
        <v>0</v>
      </c>
      <c r="CW27" s="24">
        <v>0</v>
      </c>
      <c r="CX27" s="24">
        <v>0</v>
      </c>
      <c r="CY27" s="24">
        <v>0</v>
      </c>
      <c r="CZ27" s="24">
        <v>0</v>
      </c>
      <c r="DA27" s="24">
        <v>0</v>
      </c>
      <c r="DB27" s="24">
        <v>0</v>
      </c>
      <c r="DC27" s="24" t="str">
        <f>IF(DD27="정수원 실장","기아", IF(DD27="박현식 부장", "현대", IF(DD27="김성진 팀장", "한성", IF(DD27="전석영 부장", "한성", IF(DD27= "박봉호 부장", "모토원",IF(DD27="정원철 부장", "한성"))))))</f>
        <v>기아</v>
      </c>
      <c r="DD27" s="24" t="s">
        <v>121</v>
      </c>
      <c r="DE27" s="24" t="str">
        <f>IF(DD27="정수원 실장","렌트베네핏", IF(DD27="박현식 부장", "렌트베네핏", IF(DD27="김성진 팀장", "청담", IF(DD27="전석영 부장", "방배", IF(DD27= "박봉호 부장", "일산",IF(DD82="정원철 부장", "청담"))))))</f>
        <v>렌트베네핏</v>
      </c>
      <c r="DF27" s="24"/>
      <c r="DG27" s="24"/>
      <c r="DH27" s="24"/>
      <c r="DI27" s="24" t="s">
        <v>269</v>
      </c>
      <c r="DJ27" s="22" t="s">
        <v>1610</v>
      </c>
      <c r="DK27" s="38">
        <v>0.3</v>
      </c>
      <c r="DL27" s="76">
        <v>0.2</v>
      </c>
      <c r="DM27" s="24"/>
      <c r="DN27" s="46"/>
      <c r="DO27" s="24"/>
      <c r="DP27" s="24"/>
      <c r="DQ27" s="38"/>
    </row>
    <row r="28" spans="2:121">
      <c r="B28" s="7">
        <v>24</v>
      </c>
      <c r="C28" s="7" t="s">
        <v>296</v>
      </c>
      <c r="D28" s="36" t="s">
        <v>1585</v>
      </c>
      <c r="E28" s="7" t="s">
        <v>1376</v>
      </c>
      <c r="F28" s="7" t="s">
        <v>1377</v>
      </c>
      <c r="G28" s="7" t="s">
        <v>1751</v>
      </c>
      <c r="H28" s="7" t="s">
        <v>132</v>
      </c>
      <c r="I28" s="7" t="s">
        <v>139</v>
      </c>
      <c r="J28" s="9">
        <v>12750000</v>
      </c>
      <c r="K28" s="7">
        <v>2022</v>
      </c>
      <c r="L28" s="6" t="s">
        <v>134</v>
      </c>
      <c r="M28" s="6" t="s">
        <v>90</v>
      </c>
      <c r="N28" s="7" t="s">
        <v>297</v>
      </c>
      <c r="O28" s="7" t="s">
        <v>298</v>
      </c>
      <c r="P28" s="7" t="s">
        <v>98</v>
      </c>
      <c r="Q28" s="33">
        <v>998</v>
      </c>
      <c r="R28" s="11">
        <v>44494</v>
      </c>
      <c r="S28" s="11">
        <v>44497</v>
      </c>
      <c r="T28" s="17">
        <v>44497</v>
      </c>
      <c r="U28" s="12" t="s">
        <v>91</v>
      </c>
      <c r="V28" s="11">
        <f>IFERROR(T28+AD28, "-")</f>
        <v>46322</v>
      </c>
      <c r="W28" s="7">
        <f ca="1">IFERROR(DATEDIF(TODAY(), V28, "m"), "-")</f>
        <v>2</v>
      </c>
      <c r="X28" s="13">
        <v>20000</v>
      </c>
      <c r="Y28" s="7" t="s">
        <v>261</v>
      </c>
      <c r="Z28" s="7" t="s">
        <v>262</v>
      </c>
      <c r="AA28" s="9" t="s">
        <v>294</v>
      </c>
      <c r="AB28" s="9" t="s">
        <v>295</v>
      </c>
      <c r="AC28" s="11">
        <v>44505</v>
      </c>
      <c r="AD28" s="7">
        <f>365*U28</f>
        <v>1825</v>
      </c>
      <c r="AE28" s="7">
        <f ca="1">V28-TODAY()</f>
        <v>70</v>
      </c>
      <c r="AF28" s="7" t="e">
        <f>VLOOKUP($C28,#REF!, 4, FALSE)</f>
        <v>#REF!</v>
      </c>
      <c r="AG28" s="41">
        <v>13234421</v>
      </c>
      <c r="AH28" s="9">
        <v>200000</v>
      </c>
      <c r="AI28" s="9">
        <v>12799000</v>
      </c>
      <c r="AJ28" s="9">
        <v>0</v>
      </c>
      <c r="AK28" s="9">
        <v>2000</v>
      </c>
      <c r="AL28" s="9">
        <v>465410</v>
      </c>
      <c r="AM28" s="9">
        <v>0</v>
      </c>
      <c r="AN28" s="9">
        <v>2000</v>
      </c>
      <c r="AO28" s="9">
        <v>27000</v>
      </c>
      <c r="AP28" s="9">
        <v>30000</v>
      </c>
      <c r="AQ28" s="9">
        <v>430000</v>
      </c>
      <c r="AR28" s="9">
        <v>0</v>
      </c>
      <c r="AS28" s="9" t="s">
        <v>195</v>
      </c>
      <c r="AT28" s="9">
        <v>0</v>
      </c>
      <c r="AU28" s="9" t="s">
        <v>135</v>
      </c>
      <c r="AV28" s="9"/>
      <c r="AW28" s="18">
        <f>SUM(AJ28,AK28,AN28,AO28,AP28, AR28,AT28+AL28+AM28)</f>
        <v>526410</v>
      </c>
      <c r="AX28" s="18" t="s">
        <v>196</v>
      </c>
      <c r="AY28" s="53">
        <v>44494</v>
      </c>
      <c r="AZ28" s="41">
        <v>1138590</v>
      </c>
      <c r="BA28" s="42">
        <v>1034460</v>
      </c>
      <c r="BB28" s="9"/>
      <c r="BC28" s="9"/>
      <c r="BD28" s="9"/>
      <c r="BE28" s="9" t="s">
        <v>93</v>
      </c>
      <c r="BF28" s="9" t="s">
        <v>94</v>
      </c>
      <c r="BG28" s="9" t="s">
        <v>117</v>
      </c>
      <c r="BH28" s="9" t="s">
        <v>118</v>
      </c>
      <c r="BI28" s="9" t="s">
        <v>97</v>
      </c>
      <c r="BJ28" s="9" t="s">
        <v>119</v>
      </c>
      <c r="BK28" s="7" t="s">
        <v>130</v>
      </c>
      <c r="BL28" s="9" t="s">
        <v>99</v>
      </c>
      <c r="BM28" s="9" t="s">
        <v>148</v>
      </c>
      <c r="BN28" s="9" t="s">
        <v>100</v>
      </c>
      <c r="BO28" s="9" t="s">
        <v>101</v>
      </c>
      <c r="BP28" s="9" t="s">
        <v>101</v>
      </c>
      <c r="BQ28" s="9" t="s">
        <v>198</v>
      </c>
      <c r="BR28" s="7"/>
      <c r="BS28" s="9">
        <f>IF(Q28&lt;=1600,Q28*18,IF(Q28&lt;=2500,Q28*19,IF(Q28&gt;2500,Q28*24,20000)))</f>
        <v>17964</v>
      </c>
      <c r="BT28" s="7" t="s">
        <v>140</v>
      </c>
      <c r="BU28" s="22"/>
      <c r="BV28" s="9"/>
      <c r="BW28" s="14"/>
      <c r="BX28" s="9"/>
      <c r="BY28" s="9">
        <f>BX28*BW28</f>
        <v>0</v>
      </c>
      <c r="BZ28" s="9">
        <f>BY28-BV28</f>
        <v>0</v>
      </c>
      <c r="CA28" s="27">
        <v>0</v>
      </c>
      <c r="CB28" s="87"/>
      <c r="CC28" s="15" t="s">
        <v>91</v>
      </c>
      <c r="CD28" s="15" t="s">
        <v>91</v>
      </c>
      <c r="CE28" s="9">
        <v>342650</v>
      </c>
      <c r="CF28" s="9">
        <f>U28*12</f>
        <v>60</v>
      </c>
      <c r="CG28" s="9">
        <f>CF28*CE28</f>
        <v>20559000</v>
      </c>
      <c r="CH28" s="9"/>
      <c r="CI28" s="9"/>
      <c r="CJ28" s="9">
        <v>2506900</v>
      </c>
      <c r="CK28" s="51">
        <v>0.04</v>
      </c>
      <c r="CL28" s="48">
        <v>0.04</v>
      </c>
      <c r="CM28" s="16" t="s">
        <v>268</v>
      </c>
      <c r="CN28" s="16"/>
      <c r="CO28" s="16"/>
      <c r="CP28" s="27">
        <v>0.03</v>
      </c>
      <c r="CQ28" s="38"/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 t="str">
        <f>IF(DD28="정수원 실장","기아", IF(DD28="박현식 부장", "현대", IF(DD28="김성진 팀장", "한성", IF(DD28="전석영 부장", "한성", IF(DD28= "박봉호 부장", "모토원",IF(DD28="정원철 부장", "한성"))))))</f>
        <v>기아</v>
      </c>
      <c r="DD28" s="24" t="s">
        <v>121</v>
      </c>
      <c r="DE28" s="24" t="str">
        <f>IF(DD28="정수원 실장","렌트베네핏", IF(DD28="박현식 부장", "렌트베네핏", IF(DD28="김성진 팀장", "청담", IF(DD28="전석영 부장", "방배", IF(DD28= "박봉호 부장", "일산",IF(DD83="정원철 부장", "청담"))))))</f>
        <v>렌트베네핏</v>
      </c>
      <c r="DF28" s="24"/>
      <c r="DG28" s="24"/>
      <c r="DH28" s="24"/>
      <c r="DI28" s="24" t="s">
        <v>269</v>
      </c>
      <c r="DJ28" s="22" t="s">
        <v>1610</v>
      </c>
      <c r="DK28" s="38">
        <v>0.3</v>
      </c>
      <c r="DL28" s="76">
        <v>0.2</v>
      </c>
      <c r="DM28" s="24"/>
      <c r="DN28" s="46"/>
      <c r="DO28" s="24"/>
      <c r="DP28" s="24"/>
      <c r="DQ28" s="38"/>
    </row>
    <row r="29" spans="2:121">
      <c r="B29" s="7">
        <v>25</v>
      </c>
      <c r="C29" s="7" t="s">
        <v>299</v>
      </c>
      <c r="D29" s="36" t="s">
        <v>1585</v>
      </c>
      <c r="E29" s="7" t="s">
        <v>1376</v>
      </c>
      <c r="F29" s="7" t="s">
        <v>1377</v>
      </c>
      <c r="G29" s="7" t="s">
        <v>1751</v>
      </c>
      <c r="H29" s="7" t="s">
        <v>132</v>
      </c>
      <c r="I29" s="7" t="s">
        <v>139</v>
      </c>
      <c r="J29" s="9">
        <v>12750000</v>
      </c>
      <c r="K29" s="7">
        <v>2022</v>
      </c>
      <c r="L29" s="6" t="s">
        <v>134</v>
      </c>
      <c r="M29" s="6" t="s">
        <v>90</v>
      </c>
      <c r="N29" s="7" t="s">
        <v>300</v>
      </c>
      <c r="O29" s="7" t="s">
        <v>301</v>
      </c>
      <c r="P29" s="7" t="s">
        <v>98</v>
      </c>
      <c r="Q29" s="33">
        <v>998</v>
      </c>
      <c r="R29" s="11">
        <v>44494</v>
      </c>
      <c r="S29" s="11">
        <v>44497</v>
      </c>
      <c r="T29" s="17">
        <v>44497</v>
      </c>
      <c r="U29" s="12" t="s">
        <v>91</v>
      </c>
      <c r="V29" s="11">
        <f>IFERROR(T29+AD29, "-")</f>
        <v>46322</v>
      </c>
      <c r="W29" s="7">
        <f ca="1">IFERROR(DATEDIF(TODAY(), V29, "m"), "-")</f>
        <v>2</v>
      </c>
      <c r="X29" s="13">
        <v>20000</v>
      </c>
      <c r="Y29" s="7" t="s">
        <v>261</v>
      </c>
      <c r="Z29" s="7" t="s">
        <v>262</v>
      </c>
      <c r="AA29" s="9" t="s">
        <v>294</v>
      </c>
      <c r="AB29" s="9" t="s">
        <v>295</v>
      </c>
      <c r="AC29" s="11">
        <v>44505</v>
      </c>
      <c r="AD29" s="7">
        <f>365*U29</f>
        <v>1825</v>
      </c>
      <c r="AE29" s="7">
        <f ca="1">V29-TODAY()</f>
        <v>70</v>
      </c>
      <c r="AF29" s="7" t="e">
        <f>VLOOKUP($C29,#REF!, 4, FALSE)</f>
        <v>#REF!</v>
      </c>
      <c r="AG29" s="41">
        <v>13234421</v>
      </c>
      <c r="AH29" s="9">
        <v>200000</v>
      </c>
      <c r="AI29" s="9">
        <v>12799000</v>
      </c>
      <c r="AJ29" s="9">
        <v>0</v>
      </c>
      <c r="AK29" s="9">
        <v>2000</v>
      </c>
      <c r="AL29" s="9">
        <v>465410</v>
      </c>
      <c r="AM29" s="9">
        <v>0</v>
      </c>
      <c r="AN29" s="9">
        <v>2000</v>
      </c>
      <c r="AO29" s="9">
        <v>27000</v>
      </c>
      <c r="AP29" s="9">
        <v>30000</v>
      </c>
      <c r="AQ29" s="9">
        <v>430000</v>
      </c>
      <c r="AR29" s="9">
        <v>0</v>
      </c>
      <c r="AS29" s="9" t="s">
        <v>195</v>
      </c>
      <c r="AT29" s="9">
        <v>0</v>
      </c>
      <c r="AU29" s="9" t="s">
        <v>135</v>
      </c>
      <c r="AV29" s="9"/>
      <c r="AW29" s="18">
        <f>SUM(AJ29,AK29,AN29,AO29,AP29, AR29,AT29+AL29+AM29)</f>
        <v>526410</v>
      </c>
      <c r="AX29" s="18" t="s">
        <v>196</v>
      </c>
      <c r="AY29" s="53">
        <v>44494</v>
      </c>
      <c r="AZ29" s="41">
        <v>1138590</v>
      </c>
      <c r="BA29" s="42">
        <v>1034460</v>
      </c>
      <c r="BB29" s="9"/>
      <c r="BC29" s="9"/>
      <c r="BD29" s="9"/>
      <c r="BE29" s="9" t="s">
        <v>93</v>
      </c>
      <c r="BF29" s="9" t="s">
        <v>94</v>
      </c>
      <c r="BG29" s="9" t="s">
        <v>117</v>
      </c>
      <c r="BH29" s="9" t="s">
        <v>118</v>
      </c>
      <c r="BI29" s="9" t="s">
        <v>97</v>
      </c>
      <c r="BJ29" s="9" t="s">
        <v>119</v>
      </c>
      <c r="BK29" s="7" t="s">
        <v>130</v>
      </c>
      <c r="BL29" s="9" t="s">
        <v>99</v>
      </c>
      <c r="BM29" s="9" t="s">
        <v>148</v>
      </c>
      <c r="BN29" s="9" t="s">
        <v>100</v>
      </c>
      <c r="BO29" s="9" t="s">
        <v>101</v>
      </c>
      <c r="BP29" s="9" t="s">
        <v>101</v>
      </c>
      <c r="BQ29" s="9" t="s">
        <v>198</v>
      </c>
      <c r="BR29" s="7"/>
      <c r="BS29" s="9">
        <f>IF(Q29&lt;=1600,Q29*18,IF(Q29&lt;=2500,Q29*19,IF(Q29&gt;2500,Q29*24,20000)))</f>
        <v>17964</v>
      </c>
      <c r="BT29" s="7" t="s">
        <v>140</v>
      </c>
      <c r="BU29" s="22"/>
      <c r="BV29" s="9"/>
      <c r="BW29" s="14"/>
      <c r="BX29" s="9"/>
      <c r="BY29" s="9">
        <f>BX29*BW29</f>
        <v>0</v>
      </c>
      <c r="BZ29" s="9">
        <f>BY29-BV29</f>
        <v>0</v>
      </c>
      <c r="CA29" s="27">
        <v>0</v>
      </c>
      <c r="CB29" s="87"/>
      <c r="CC29" s="15" t="s">
        <v>91</v>
      </c>
      <c r="CD29" s="15" t="s">
        <v>91</v>
      </c>
      <c r="CE29" s="9">
        <v>342650</v>
      </c>
      <c r="CF29" s="9">
        <f>U29*12</f>
        <v>60</v>
      </c>
      <c r="CG29" s="9">
        <f>CF29*CE29</f>
        <v>20559000</v>
      </c>
      <c r="CH29" s="9"/>
      <c r="CI29" s="9"/>
      <c r="CJ29" s="9">
        <v>2506900</v>
      </c>
      <c r="CK29" s="51">
        <v>0.04</v>
      </c>
      <c r="CL29" s="48">
        <v>0.04</v>
      </c>
      <c r="CM29" s="16" t="s">
        <v>268</v>
      </c>
      <c r="CN29" s="16"/>
      <c r="CO29" s="16"/>
      <c r="CP29" s="27">
        <v>0.03</v>
      </c>
      <c r="CQ29" s="38"/>
      <c r="CR29" s="24">
        <v>0</v>
      </c>
      <c r="CS29" s="24">
        <v>0</v>
      </c>
      <c r="CT29" s="24">
        <v>0</v>
      </c>
      <c r="CU29" s="24">
        <v>0</v>
      </c>
      <c r="CV29" s="24">
        <v>0</v>
      </c>
      <c r="CW29" s="24">
        <v>0</v>
      </c>
      <c r="CX29" s="24">
        <v>0</v>
      </c>
      <c r="CY29" s="24">
        <v>0</v>
      </c>
      <c r="CZ29" s="24">
        <v>0</v>
      </c>
      <c r="DA29" s="24">
        <v>0</v>
      </c>
      <c r="DB29" s="24">
        <v>0</v>
      </c>
      <c r="DC29" s="24" t="str">
        <f>IF(DD29="정수원 실장","기아", IF(DD29="박현식 부장", "현대", IF(DD29="김성진 팀장", "한성", IF(DD29="전석영 부장", "한성", IF(DD29= "박봉호 부장", "모토원",IF(DD29="정원철 부장", "한성"))))))</f>
        <v>기아</v>
      </c>
      <c r="DD29" s="24" t="s">
        <v>121</v>
      </c>
      <c r="DE29" s="24" t="str">
        <f>IF(DD29="정수원 실장","렌트베네핏", IF(DD29="박현식 부장", "렌트베네핏", IF(DD29="김성진 팀장", "청담", IF(DD29="전석영 부장", "방배", IF(DD29= "박봉호 부장", "일산",IF(DD84="정원철 부장", "청담"))))))</f>
        <v>렌트베네핏</v>
      </c>
      <c r="DF29" s="24"/>
      <c r="DG29" s="24"/>
      <c r="DH29" s="24"/>
      <c r="DI29" s="24" t="s">
        <v>269</v>
      </c>
      <c r="DJ29" s="22" t="s">
        <v>1610</v>
      </c>
      <c r="DK29" s="38">
        <v>0.3</v>
      </c>
      <c r="DL29" s="76">
        <v>0.2</v>
      </c>
      <c r="DM29" s="24"/>
      <c r="DN29" s="46"/>
      <c r="DO29" s="24"/>
      <c r="DP29" s="24"/>
      <c r="DQ29" s="38"/>
    </row>
    <row r="30" spans="2:121">
      <c r="B30" s="7">
        <v>26</v>
      </c>
      <c r="C30" s="7" t="s">
        <v>302</v>
      </c>
      <c r="D30" s="36" t="s">
        <v>1585</v>
      </c>
      <c r="E30" s="7" t="s">
        <v>1376</v>
      </c>
      <c r="F30" s="7" t="s">
        <v>1377</v>
      </c>
      <c r="G30" s="7" t="s">
        <v>1751</v>
      </c>
      <c r="H30" s="7" t="s">
        <v>132</v>
      </c>
      <c r="I30" s="7" t="s">
        <v>139</v>
      </c>
      <c r="J30" s="9">
        <v>12750000</v>
      </c>
      <c r="K30" s="7">
        <v>2022</v>
      </c>
      <c r="L30" s="6" t="s">
        <v>134</v>
      </c>
      <c r="M30" s="6" t="s">
        <v>90</v>
      </c>
      <c r="N30" s="7" t="s">
        <v>303</v>
      </c>
      <c r="O30" s="7" t="s">
        <v>304</v>
      </c>
      <c r="P30" s="7" t="s">
        <v>98</v>
      </c>
      <c r="Q30" s="33">
        <v>998</v>
      </c>
      <c r="R30" s="11">
        <v>44494</v>
      </c>
      <c r="S30" s="11">
        <v>44497</v>
      </c>
      <c r="T30" s="17">
        <v>44497</v>
      </c>
      <c r="U30" s="12" t="s">
        <v>91</v>
      </c>
      <c r="V30" s="11">
        <f>IFERROR(T30+AD30, "-")</f>
        <v>46322</v>
      </c>
      <c r="W30" s="7">
        <f ca="1">IFERROR(DATEDIF(TODAY(), V30, "m"), "-")</f>
        <v>2</v>
      </c>
      <c r="X30" s="13">
        <v>20000</v>
      </c>
      <c r="Y30" s="7" t="s">
        <v>261</v>
      </c>
      <c r="Z30" s="7" t="s">
        <v>262</v>
      </c>
      <c r="AA30" s="9" t="s">
        <v>305</v>
      </c>
      <c r="AB30" s="9" t="s">
        <v>306</v>
      </c>
      <c r="AC30" s="11">
        <v>44505</v>
      </c>
      <c r="AD30" s="7">
        <f>365*U30</f>
        <v>1825</v>
      </c>
      <c r="AE30" s="7">
        <f ca="1">V30-TODAY()</f>
        <v>70</v>
      </c>
      <c r="AF30" s="7" t="e">
        <f>VLOOKUP($C30,#REF!, 4, FALSE)</f>
        <v>#REF!</v>
      </c>
      <c r="AG30" s="41">
        <v>13234421</v>
      </c>
      <c r="AH30" s="9">
        <v>200000</v>
      </c>
      <c r="AI30" s="9">
        <v>12786000</v>
      </c>
      <c r="AJ30" s="9">
        <v>0</v>
      </c>
      <c r="AK30" s="9">
        <v>2000</v>
      </c>
      <c r="AL30" s="9">
        <v>464940</v>
      </c>
      <c r="AM30" s="9">
        <v>0</v>
      </c>
      <c r="AN30" s="9">
        <v>2000</v>
      </c>
      <c r="AO30" s="9">
        <v>27000</v>
      </c>
      <c r="AP30" s="9">
        <v>30000</v>
      </c>
      <c r="AQ30" s="9">
        <v>430000</v>
      </c>
      <c r="AR30" s="9">
        <v>0</v>
      </c>
      <c r="AS30" s="9" t="s">
        <v>195</v>
      </c>
      <c r="AT30" s="9">
        <v>0</v>
      </c>
      <c r="AU30" s="9" t="s">
        <v>135</v>
      </c>
      <c r="AV30" s="9"/>
      <c r="AW30" s="18">
        <f>SUM(AJ30,AK30,AN30,AO30,AP30, AR30,AT30+AL30+AM30)</f>
        <v>525940</v>
      </c>
      <c r="AX30" s="18" t="s">
        <v>196</v>
      </c>
      <c r="AY30" s="53">
        <v>44494</v>
      </c>
      <c r="AZ30" s="41">
        <v>1138590</v>
      </c>
      <c r="BA30" s="42">
        <v>1034460</v>
      </c>
      <c r="BB30" s="9"/>
      <c r="BC30" s="9"/>
      <c r="BD30" s="9"/>
      <c r="BE30" s="9" t="s">
        <v>93</v>
      </c>
      <c r="BF30" s="9" t="s">
        <v>94</v>
      </c>
      <c r="BG30" s="9" t="s">
        <v>117</v>
      </c>
      <c r="BH30" s="9" t="s">
        <v>118</v>
      </c>
      <c r="BI30" s="9" t="s">
        <v>97</v>
      </c>
      <c r="BJ30" s="9" t="s">
        <v>119</v>
      </c>
      <c r="BK30" s="7" t="s">
        <v>130</v>
      </c>
      <c r="BL30" s="9" t="s">
        <v>99</v>
      </c>
      <c r="BM30" s="9" t="s">
        <v>148</v>
      </c>
      <c r="BN30" s="9" t="s">
        <v>100</v>
      </c>
      <c r="BO30" s="9" t="s">
        <v>101</v>
      </c>
      <c r="BP30" s="9" t="s">
        <v>101</v>
      </c>
      <c r="BQ30" s="9" t="s">
        <v>198</v>
      </c>
      <c r="BR30" s="7"/>
      <c r="BS30" s="9">
        <f>IF(Q30&lt;=1600,Q30*18,IF(Q30&lt;=2500,Q30*19,IF(Q30&gt;2500,Q30*24,20000)))</f>
        <v>17964</v>
      </c>
      <c r="BT30" s="7" t="s">
        <v>140</v>
      </c>
      <c r="BU30" s="22"/>
      <c r="BV30" s="9"/>
      <c r="BW30" s="14"/>
      <c r="BX30" s="9"/>
      <c r="BY30" s="9">
        <f>BX30*BW30</f>
        <v>0</v>
      </c>
      <c r="BZ30" s="9">
        <f>BY30-BV30</f>
        <v>0</v>
      </c>
      <c r="CA30" s="27">
        <v>0</v>
      </c>
      <c r="CB30" s="87"/>
      <c r="CC30" s="15" t="s">
        <v>91</v>
      </c>
      <c r="CD30" s="15" t="s">
        <v>91</v>
      </c>
      <c r="CE30" s="9">
        <v>342650</v>
      </c>
      <c r="CF30" s="9">
        <f>U30*12</f>
        <v>60</v>
      </c>
      <c r="CG30" s="9">
        <f>CF30*CE30</f>
        <v>20559000</v>
      </c>
      <c r="CH30" s="9"/>
      <c r="CI30" s="9"/>
      <c r="CJ30" s="9">
        <v>2506900</v>
      </c>
      <c r="CK30" s="51">
        <v>0.04</v>
      </c>
      <c r="CL30" s="48">
        <v>0.04</v>
      </c>
      <c r="CM30" s="16" t="s">
        <v>268</v>
      </c>
      <c r="CN30" s="16"/>
      <c r="CO30" s="16"/>
      <c r="CP30" s="27">
        <v>0.03</v>
      </c>
      <c r="CQ30" s="38"/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 t="str">
        <f>IF(DD30="정수원 실장","기아", IF(DD30="박현식 부장", "현대", IF(DD30="김성진 팀장", "한성", IF(DD30="전석영 부장", "한성", IF(DD30= "박봉호 부장", "모토원",IF(DD30="정원철 부장", "한성"))))))</f>
        <v>기아</v>
      </c>
      <c r="DD30" s="24" t="s">
        <v>121</v>
      </c>
      <c r="DE30" s="24" t="str">
        <f>IF(DD30="정수원 실장","렌트베네핏", IF(DD30="박현식 부장", "렌트베네핏", IF(DD30="김성진 팀장", "청담", IF(DD30="전석영 부장", "방배", IF(DD30= "박봉호 부장", "일산",IF(DD85="정원철 부장", "청담"))))))</f>
        <v>렌트베네핏</v>
      </c>
      <c r="DF30" s="24"/>
      <c r="DG30" s="24"/>
      <c r="DH30" s="24"/>
      <c r="DI30" s="24" t="s">
        <v>269</v>
      </c>
      <c r="DJ30" s="22" t="s">
        <v>1610</v>
      </c>
      <c r="DK30" s="38">
        <v>0.3</v>
      </c>
      <c r="DL30" s="76">
        <v>0.2</v>
      </c>
      <c r="DM30" s="24"/>
      <c r="DN30" s="46"/>
      <c r="DO30" s="24"/>
      <c r="DP30" s="24"/>
      <c r="DQ30" s="38"/>
    </row>
    <row r="31" spans="2:121">
      <c r="B31" s="7">
        <v>27</v>
      </c>
      <c r="C31" s="7" t="s">
        <v>307</v>
      </c>
      <c r="D31" s="36" t="s">
        <v>1585</v>
      </c>
      <c r="E31" s="7" t="s">
        <v>1376</v>
      </c>
      <c r="F31" s="7" t="s">
        <v>1377</v>
      </c>
      <c r="G31" s="7" t="s">
        <v>1751</v>
      </c>
      <c r="H31" s="7" t="s">
        <v>132</v>
      </c>
      <c r="I31" s="7" t="s">
        <v>139</v>
      </c>
      <c r="J31" s="9">
        <v>12750000</v>
      </c>
      <c r="K31" s="7">
        <v>2022</v>
      </c>
      <c r="L31" s="6" t="s">
        <v>134</v>
      </c>
      <c r="M31" s="6" t="s">
        <v>90</v>
      </c>
      <c r="N31" s="7" t="s">
        <v>308</v>
      </c>
      <c r="O31" s="7" t="s">
        <v>309</v>
      </c>
      <c r="P31" s="7" t="s">
        <v>98</v>
      </c>
      <c r="Q31" s="33">
        <v>998</v>
      </c>
      <c r="R31" s="11">
        <v>44494</v>
      </c>
      <c r="S31" s="11">
        <v>44497</v>
      </c>
      <c r="T31" s="17">
        <v>44497</v>
      </c>
      <c r="U31" s="12" t="s">
        <v>91</v>
      </c>
      <c r="V31" s="11">
        <f>IFERROR(T31+AD31, "-")</f>
        <v>46322</v>
      </c>
      <c r="W31" s="7">
        <f ca="1">IFERROR(DATEDIF(TODAY(), V31, "m"), "-")</f>
        <v>2</v>
      </c>
      <c r="X31" s="13">
        <v>20000</v>
      </c>
      <c r="Y31" s="7" t="s">
        <v>261</v>
      </c>
      <c r="Z31" s="7" t="s">
        <v>262</v>
      </c>
      <c r="AA31" s="9" t="s">
        <v>310</v>
      </c>
      <c r="AB31" s="9" t="s">
        <v>311</v>
      </c>
      <c r="AC31" s="11">
        <v>44505</v>
      </c>
      <c r="AD31" s="7">
        <f>365*U31</f>
        <v>1825</v>
      </c>
      <c r="AE31" s="7">
        <f ca="1">V31-TODAY()</f>
        <v>70</v>
      </c>
      <c r="AF31" s="7" t="e">
        <f>VLOOKUP($C31,#REF!, 4, FALSE)</f>
        <v>#REF!</v>
      </c>
      <c r="AG31" s="41">
        <v>13234421</v>
      </c>
      <c r="AH31" s="9">
        <v>200000</v>
      </c>
      <c r="AI31" s="9">
        <v>12682000</v>
      </c>
      <c r="AJ31" s="9">
        <v>0</v>
      </c>
      <c r="AK31" s="9">
        <v>2000</v>
      </c>
      <c r="AL31" s="9">
        <v>461160</v>
      </c>
      <c r="AM31" s="9">
        <v>0</v>
      </c>
      <c r="AN31" s="9">
        <v>2000</v>
      </c>
      <c r="AO31" s="9">
        <v>27000</v>
      </c>
      <c r="AP31" s="9">
        <v>30000</v>
      </c>
      <c r="AQ31" s="9">
        <v>430000</v>
      </c>
      <c r="AR31" s="9">
        <v>0</v>
      </c>
      <c r="AS31" s="9" t="s">
        <v>195</v>
      </c>
      <c r="AT31" s="9">
        <v>0</v>
      </c>
      <c r="AU31" s="9" t="s">
        <v>135</v>
      </c>
      <c r="AV31" s="9"/>
      <c r="AW31" s="18">
        <f>SUM(AJ31,AK31,AN31,AO31,AP31, AR31,AT31+AL31+AM31)</f>
        <v>522160</v>
      </c>
      <c r="AX31" s="18" t="s">
        <v>196</v>
      </c>
      <c r="AY31" s="53">
        <v>44494</v>
      </c>
      <c r="AZ31" s="41">
        <v>1138590</v>
      </c>
      <c r="BA31" s="42">
        <v>1034460</v>
      </c>
      <c r="BB31" s="9"/>
      <c r="BC31" s="9"/>
      <c r="BD31" s="9"/>
      <c r="BE31" s="9" t="s">
        <v>93</v>
      </c>
      <c r="BF31" s="9" t="s">
        <v>94</v>
      </c>
      <c r="BG31" s="9" t="s">
        <v>117</v>
      </c>
      <c r="BH31" s="9" t="s">
        <v>118</v>
      </c>
      <c r="BI31" s="9" t="s">
        <v>97</v>
      </c>
      <c r="BJ31" s="9" t="s">
        <v>119</v>
      </c>
      <c r="BK31" s="7" t="s">
        <v>130</v>
      </c>
      <c r="BL31" s="9" t="s">
        <v>99</v>
      </c>
      <c r="BM31" s="9" t="s">
        <v>148</v>
      </c>
      <c r="BN31" s="9" t="s">
        <v>100</v>
      </c>
      <c r="BO31" s="9" t="s">
        <v>101</v>
      </c>
      <c r="BP31" s="9" t="s">
        <v>101</v>
      </c>
      <c r="BQ31" s="9" t="s">
        <v>198</v>
      </c>
      <c r="BR31" s="7"/>
      <c r="BS31" s="9">
        <f>IF(Q31&lt;=1600,Q31*18,IF(Q31&lt;=2500,Q31*19,IF(Q31&gt;2500,Q31*24,20000)))</f>
        <v>17964</v>
      </c>
      <c r="BT31" s="7" t="s">
        <v>140</v>
      </c>
      <c r="BU31" s="22"/>
      <c r="BV31" s="9"/>
      <c r="BW31" s="14"/>
      <c r="BX31" s="9"/>
      <c r="BY31" s="9">
        <f>BX31*BW31</f>
        <v>0</v>
      </c>
      <c r="BZ31" s="9">
        <f>BY31-BV31</f>
        <v>0</v>
      </c>
      <c r="CA31" s="27">
        <v>0</v>
      </c>
      <c r="CB31" s="87"/>
      <c r="CC31" s="15" t="s">
        <v>91</v>
      </c>
      <c r="CD31" s="15" t="s">
        <v>91</v>
      </c>
      <c r="CE31" s="9">
        <v>342650</v>
      </c>
      <c r="CF31" s="9">
        <f>U31*12</f>
        <v>60</v>
      </c>
      <c r="CG31" s="9">
        <f>CF31*CE31</f>
        <v>20559000</v>
      </c>
      <c r="CH31" s="9"/>
      <c r="CI31" s="9"/>
      <c r="CJ31" s="9">
        <v>2506900</v>
      </c>
      <c r="CK31" s="51">
        <v>0.04</v>
      </c>
      <c r="CL31" s="48">
        <v>0.04</v>
      </c>
      <c r="CM31" s="16" t="s">
        <v>268</v>
      </c>
      <c r="CN31" s="16"/>
      <c r="CO31" s="16"/>
      <c r="CP31" s="27">
        <v>0.03</v>
      </c>
      <c r="CQ31" s="38"/>
      <c r="CR31" s="24">
        <v>0</v>
      </c>
      <c r="CS31" s="24">
        <v>0</v>
      </c>
      <c r="CT31" s="24">
        <v>0</v>
      </c>
      <c r="CU31" s="24">
        <v>0</v>
      </c>
      <c r="CV31" s="24">
        <v>0</v>
      </c>
      <c r="CW31" s="24">
        <v>0</v>
      </c>
      <c r="CX31" s="24">
        <v>0</v>
      </c>
      <c r="CY31" s="24">
        <v>0</v>
      </c>
      <c r="CZ31" s="24">
        <v>0</v>
      </c>
      <c r="DA31" s="24">
        <v>0</v>
      </c>
      <c r="DB31" s="24">
        <v>0</v>
      </c>
      <c r="DC31" s="24" t="str">
        <f>IF(DD31="정수원 실장","기아", IF(DD31="박현식 부장", "현대", IF(DD31="김성진 팀장", "한성", IF(DD31="전석영 부장", "한성", IF(DD31= "박봉호 부장", "모토원",IF(DD31="정원철 부장", "한성"))))))</f>
        <v>기아</v>
      </c>
      <c r="DD31" s="24" t="s">
        <v>121</v>
      </c>
      <c r="DE31" s="24" t="str">
        <f>IF(DD31="정수원 실장","렌트베네핏", IF(DD31="박현식 부장", "렌트베네핏", IF(DD31="김성진 팀장", "청담", IF(DD31="전석영 부장", "방배", IF(DD31= "박봉호 부장", "일산",IF(DD86="정원철 부장", "청담"))))))</f>
        <v>렌트베네핏</v>
      </c>
      <c r="DF31" s="24"/>
      <c r="DG31" s="24"/>
      <c r="DH31" s="24"/>
      <c r="DI31" s="24" t="s">
        <v>269</v>
      </c>
      <c r="DJ31" s="22" t="s">
        <v>1610</v>
      </c>
      <c r="DK31" s="38">
        <v>0.3</v>
      </c>
      <c r="DL31" s="76">
        <v>0.2</v>
      </c>
      <c r="DM31" s="24"/>
      <c r="DN31" s="46"/>
      <c r="DO31" s="24"/>
      <c r="DP31" s="24"/>
      <c r="DQ31" s="38"/>
    </row>
    <row r="32" spans="2:121" ht="15" customHeight="1">
      <c r="B32" s="7">
        <v>28</v>
      </c>
      <c r="C32" s="7" t="s">
        <v>312</v>
      </c>
      <c r="D32" s="36" t="s">
        <v>1585</v>
      </c>
      <c r="E32" s="7" t="s">
        <v>1376</v>
      </c>
      <c r="F32" s="7" t="s">
        <v>1377</v>
      </c>
      <c r="G32" s="7" t="s">
        <v>1751</v>
      </c>
      <c r="H32" s="7" t="s">
        <v>132</v>
      </c>
      <c r="I32" s="7" t="s">
        <v>139</v>
      </c>
      <c r="J32" s="9">
        <v>12750000</v>
      </c>
      <c r="K32" s="7">
        <v>2022</v>
      </c>
      <c r="L32" s="6" t="s">
        <v>134</v>
      </c>
      <c r="M32" s="6" t="s">
        <v>90</v>
      </c>
      <c r="N32" s="7" t="s">
        <v>313</v>
      </c>
      <c r="O32" s="7" t="s">
        <v>314</v>
      </c>
      <c r="P32" s="7" t="s">
        <v>98</v>
      </c>
      <c r="Q32" s="33">
        <v>998</v>
      </c>
      <c r="R32" s="11">
        <v>44494</v>
      </c>
      <c r="S32" s="11">
        <v>44497</v>
      </c>
      <c r="T32" s="17">
        <v>44497</v>
      </c>
      <c r="U32" s="12" t="s">
        <v>91</v>
      </c>
      <c r="V32" s="11">
        <f>IFERROR(T32+AD32, "-")</f>
        <v>46322</v>
      </c>
      <c r="W32" s="7">
        <f ca="1">IFERROR(DATEDIF(TODAY(), V32, "m"), "-")</f>
        <v>2</v>
      </c>
      <c r="X32" s="13">
        <v>20000</v>
      </c>
      <c r="Y32" s="7" t="s">
        <v>261</v>
      </c>
      <c r="Z32" s="7" t="s">
        <v>262</v>
      </c>
      <c r="AA32" s="9" t="s">
        <v>310</v>
      </c>
      <c r="AB32" s="9" t="s">
        <v>311</v>
      </c>
      <c r="AC32" s="11">
        <v>44505</v>
      </c>
      <c r="AD32" s="7">
        <f>365*U32</f>
        <v>1825</v>
      </c>
      <c r="AE32" s="7">
        <f ca="1">V32-TODAY()</f>
        <v>70</v>
      </c>
      <c r="AF32" s="7" t="e">
        <f>VLOOKUP($C32,#REF!, 4, FALSE)</f>
        <v>#REF!</v>
      </c>
      <c r="AG32" s="41">
        <v>13234421</v>
      </c>
      <c r="AH32" s="9">
        <v>200000</v>
      </c>
      <c r="AI32" s="9">
        <v>12682000</v>
      </c>
      <c r="AJ32" s="9">
        <v>0</v>
      </c>
      <c r="AK32" s="9">
        <v>2000</v>
      </c>
      <c r="AL32" s="9">
        <v>461160</v>
      </c>
      <c r="AM32" s="9">
        <v>0</v>
      </c>
      <c r="AN32" s="9">
        <v>2000</v>
      </c>
      <c r="AO32" s="9">
        <v>27000</v>
      </c>
      <c r="AP32" s="9">
        <v>30000</v>
      </c>
      <c r="AQ32" s="9">
        <v>430000</v>
      </c>
      <c r="AR32" s="9">
        <v>0</v>
      </c>
      <c r="AS32" s="9" t="s">
        <v>195</v>
      </c>
      <c r="AT32" s="9">
        <v>0</v>
      </c>
      <c r="AU32" s="9" t="s">
        <v>135</v>
      </c>
      <c r="AV32" s="9"/>
      <c r="AW32" s="18">
        <f>SUM(AJ32,AK32,AN32,AO32,AP32, AR32,AT32+AL32+AM32)</f>
        <v>522160</v>
      </c>
      <c r="AX32" s="18" t="s">
        <v>196</v>
      </c>
      <c r="AY32" s="53">
        <v>44494</v>
      </c>
      <c r="AZ32" s="41">
        <v>1138590</v>
      </c>
      <c r="BA32" s="42">
        <v>1034460</v>
      </c>
      <c r="BB32" s="9"/>
      <c r="BC32" s="9"/>
      <c r="BD32" s="9"/>
      <c r="BE32" s="9" t="s">
        <v>93</v>
      </c>
      <c r="BF32" s="9" t="s">
        <v>94</v>
      </c>
      <c r="BG32" s="9" t="s">
        <v>117</v>
      </c>
      <c r="BH32" s="9" t="s">
        <v>118</v>
      </c>
      <c r="BI32" s="9" t="s">
        <v>97</v>
      </c>
      <c r="BJ32" s="9" t="s">
        <v>119</v>
      </c>
      <c r="BK32" s="7" t="s">
        <v>130</v>
      </c>
      <c r="BL32" s="9" t="s">
        <v>99</v>
      </c>
      <c r="BM32" s="9" t="s">
        <v>148</v>
      </c>
      <c r="BN32" s="9" t="s">
        <v>100</v>
      </c>
      <c r="BO32" s="9" t="s">
        <v>101</v>
      </c>
      <c r="BP32" s="9" t="s">
        <v>101</v>
      </c>
      <c r="BQ32" s="9" t="s">
        <v>198</v>
      </c>
      <c r="BR32" s="7"/>
      <c r="BS32" s="9">
        <f>IF(Q32&lt;=1600,Q32*18,IF(Q32&lt;=2500,Q32*19,IF(Q32&gt;2500,Q32*24,20000)))</f>
        <v>17964</v>
      </c>
      <c r="BT32" s="7" t="s">
        <v>140</v>
      </c>
      <c r="BU32" s="22"/>
      <c r="BV32" s="9"/>
      <c r="BW32" s="14"/>
      <c r="BX32" s="9"/>
      <c r="BY32" s="9">
        <f>BX32*BW32</f>
        <v>0</v>
      </c>
      <c r="BZ32" s="9">
        <f>BY32-BV32</f>
        <v>0</v>
      </c>
      <c r="CA32" s="27">
        <v>0</v>
      </c>
      <c r="CB32" s="87"/>
      <c r="CC32" s="15" t="s">
        <v>91</v>
      </c>
      <c r="CD32" s="15" t="s">
        <v>91</v>
      </c>
      <c r="CE32" s="9">
        <v>342650</v>
      </c>
      <c r="CF32" s="9">
        <f>U32*12</f>
        <v>60</v>
      </c>
      <c r="CG32" s="9">
        <f>CF32*CE32</f>
        <v>20559000</v>
      </c>
      <c r="CH32" s="9"/>
      <c r="CI32" s="9"/>
      <c r="CJ32" s="9">
        <v>2506900</v>
      </c>
      <c r="CK32" s="51">
        <v>0.04</v>
      </c>
      <c r="CL32" s="48">
        <v>0.04</v>
      </c>
      <c r="CM32" s="16" t="s">
        <v>268</v>
      </c>
      <c r="CN32" s="16"/>
      <c r="CO32" s="16"/>
      <c r="CP32" s="27">
        <v>0.03</v>
      </c>
      <c r="CQ32" s="38"/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 t="str">
        <f>IF(DD32="정수원 실장","기아", IF(DD32="박현식 부장", "현대", IF(DD32="김성진 팀장", "한성", IF(DD32="전석영 부장", "한성", IF(DD32= "박봉호 부장", "모토원",IF(DD32="정원철 부장", "한성"))))))</f>
        <v>기아</v>
      </c>
      <c r="DD32" s="24" t="s">
        <v>121</v>
      </c>
      <c r="DE32" s="24" t="str">
        <f>IF(DD32="정수원 실장","렌트베네핏", IF(DD32="박현식 부장", "렌트베네핏", IF(DD32="김성진 팀장", "청담", IF(DD32="전석영 부장", "방배", IF(DD32= "박봉호 부장", "일산",IF(DD495="정원철 부장", "청담"))))))</f>
        <v>렌트베네핏</v>
      </c>
      <c r="DF32" s="24"/>
      <c r="DG32" s="24"/>
      <c r="DH32" s="24"/>
      <c r="DI32" s="24" t="s">
        <v>269</v>
      </c>
      <c r="DJ32" s="22" t="s">
        <v>1610</v>
      </c>
      <c r="DK32" s="38">
        <v>0.3</v>
      </c>
      <c r="DL32" s="76">
        <v>0.2</v>
      </c>
      <c r="DM32" s="24"/>
      <c r="DN32" s="46"/>
      <c r="DO32" s="24"/>
      <c r="DP32" s="24"/>
      <c r="DQ32" s="38"/>
    </row>
    <row r="33" spans="2:121">
      <c r="B33" s="7">
        <v>29</v>
      </c>
      <c r="C33" s="7" t="s">
        <v>315</v>
      </c>
      <c r="D33" s="36" t="s">
        <v>1585</v>
      </c>
      <c r="E33" s="7" t="s">
        <v>1376</v>
      </c>
      <c r="F33" s="7" t="s">
        <v>1377</v>
      </c>
      <c r="G33" s="7" t="s">
        <v>1751</v>
      </c>
      <c r="H33" s="7" t="s">
        <v>132</v>
      </c>
      <c r="I33" s="7" t="s">
        <v>139</v>
      </c>
      <c r="J33" s="9">
        <v>12750000</v>
      </c>
      <c r="K33" s="7">
        <v>2022</v>
      </c>
      <c r="L33" s="6" t="s">
        <v>134</v>
      </c>
      <c r="M33" s="6" t="s">
        <v>90</v>
      </c>
      <c r="N33" s="7" t="s">
        <v>316</v>
      </c>
      <c r="O33" s="7" t="s">
        <v>317</v>
      </c>
      <c r="P33" s="7" t="s">
        <v>98</v>
      </c>
      <c r="Q33" s="33">
        <v>998</v>
      </c>
      <c r="R33" s="11">
        <v>44494</v>
      </c>
      <c r="S33" s="11">
        <v>44497</v>
      </c>
      <c r="T33" s="17">
        <v>44497</v>
      </c>
      <c r="U33" s="12" t="s">
        <v>91</v>
      </c>
      <c r="V33" s="11">
        <f>IFERROR(T33+AD33, "-")</f>
        <v>46322</v>
      </c>
      <c r="W33" s="7">
        <f ca="1">IFERROR(DATEDIF(TODAY(), V33, "m"), "-")</f>
        <v>2</v>
      </c>
      <c r="X33" s="13">
        <v>20000</v>
      </c>
      <c r="Y33" s="7" t="s">
        <v>261</v>
      </c>
      <c r="Z33" s="7" t="s">
        <v>262</v>
      </c>
      <c r="AA33" s="9" t="s">
        <v>318</v>
      </c>
      <c r="AB33" s="9" t="s">
        <v>319</v>
      </c>
      <c r="AC33" s="11">
        <v>44505</v>
      </c>
      <c r="AD33" s="7">
        <f>365*U33</f>
        <v>1825</v>
      </c>
      <c r="AE33" s="7">
        <f ca="1">V33-TODAY()</f>
        <v>70</v>
      </c>
      <c r="AF33" s="7" t="e">
        <f>VLOOKUP($C33,#REF!, 4, FALSE)</f>
        <v>#REF!</v>
      </c>
      <c r="AG33" s="41">
        <v>13234421</v>
      </c>
      <c r="AH33" s="9">
        <v>200000</v>
      </c>
      <c r="AI33" s="9">
        <v>12682000</v>
      </c>
      <c r="AJ33" s="9">
        <v>0</v>
      </c>
      <c r="AK33" s="9">
        <v>2000</v>
      </c>
      <c r="AL33" s="9">
        <v>461160</v>
      </c>
      <c r="AM33" s="9">
        <v>0</v>
      </c>
      <c r="AN33" s="9">
        <v>2000</v>
      </c>
      <c r="AO33" s="9">
        <v>27000</v>
      </c>
      <c r="AP33" s="9">
        <v>30000</v>
      </c>
      <c r="AQ33" s="9">
        <v>430000</v>
      </c>
      <c r="AR33" s="9">
        <v>0</v>
      </c>
      <c r="AS33" s="9" t="s">
        <v>195</v>
      </c>
      <c r="AT33" s="9">
        <v>0</v>
      </c>
      <c r="AU33" s="9" t="s">
        <v>135</v>
      </c>
      <c r="AV33" s="9"/>
      <c r="AW33" s="18">
        <f>SUM(AJ33,AK33,AN33,AO33,AP33, AR33,AT33+AL33+AM33)</f>
        <v>522160</v>
      </c>
      <c r="AX33" s="18" t="s">
        <v>196</v>
      </c>
      <c r="AY33" s="53">
        <v>44494</v>
      </c>
      <c r="AZ33" s="41">
        <v>1138590</v>
      </c>
      <c r="BA33" s="42">
        <v>1034460</v>
      </c>
      <c r="BB33" s="9"/>
      <c r="BC33" s="9"/>
      <c r="BD33" s="9"/>
      <c r="BE33" s="9" t="s">
        <v>93</v>
      </c>
      <c r="BF33" s="9" t="s">
        <v>94</v>
      </c>
      <c r="BG33" s="9" t="s">
        <v>117</v>
      </c>
      <c r="BH33" s="9" t="s">
        <v>118</v>
      </c>
      <c r="BI33" s="9" t="s">
        <v>97</v>
      </c>
      <c r="BJ33" s="9" t="s">
        <v>119</v>
      </c>
      <c r="BK33" s="7" t="s">
        <v>130</v>
      </c>
      <c r="BL33" s="9" t="s">
        <v>99</v>
      </c>
      <c r="BM33" s="9" t="s">
        <v>148</v>
      </c>
      <c r="BN33" s="9" t="s">
        <v>100</v>
      </c>
      <c r="BO33" s="9" t="s">
        <v>101</v>
      </c>
      <c r="BP33" s="9" t="s">
        <v>101</v>
      </c>
      <c r="BQ33" s="9" t="s">
        <v>198</v>
      </c>
      <c r="BR33" s="7"/>
      <c r="BS33" s="9">
        <f>IF(Q33&lt;=1600,Q33*18,IF(Q33&lt;=2500,Q33*19,IF(Q33&gt;2500,Q33*24,20000)))</f>
        <v>17964</v>
      </c>
      <c r="BT33" s="7" t="s">
        <v>140</v>
      </c>
      <c r="BU33" s="22"/>
      <c r="BV33" s="9"/>
      <c r="BW33" s="14"/>
      <c r="BX33" s="9"/>
      <c r="BY33" s="9">
        <f>BX33*BW33</f>
        <v>0</v>
      </c>
      <c r="BZ33" s="9">
        <f>BY33-BV33</f>
        <v>0</v>
      </c>
      <c r="CA33" s="27">
        <v>0</v>
      </c>
      <c r="CB33" s="87"/>
      <c r="CC33" s="15" t="s">
        <v>91</v>
      </c>
      <c r="CD33" s="15" t="s">
        <v>91</v>
      </c>
      <c r="CE33" s="9">
        <v>342650</v>
      </c>
      <c r="CF33" s="9">
        <f>U33*12</f>
        <v>60</v>
      </c>
      <c r="CG33" s="9">
        <f>CF33*CE33</f>
        <v>20559000</v>
      </c>
      <c r="CH33" s="9"/>
      <c r="CI33" s="9"/>
      <c r="CJ33" s="9">
        <v>2506900</v>
      </c>
      <c r="CK33" s="51">
        <v>0.04</v>
      </c>
      <c r="CL33" s="48">
        <v>0.04</v>
      </c>
      <c r="CM33" s="16" t="s">
        <v>268</v>
      </c>
      <c r="CN33" s="16"/>
      <c r="CO33" s="16"/>
      <c r="CP33" s="27">
        <v>0.03</v>
      </c>
      <c r="CQ33" s="38"/>
      <c r="CR33" s="24">
        <v>0</v>
      </c>
      <c r="CS33" s="24">
        <v>0</v>
      </c>
      <c r="CT33" s="24">
        <v>0</v>
      </c>
      <c r="CU33" s="24">
        <v>0</v>
      </c>
      <c r="CV33" s="24">
        <v>0</v>
      </c>
      <c r="CW33" s="24">
        <v>0</v>
      </c>
      <c r="CX33" s="24">
        <v>0</v>
      </c>
      <c r="CY33" s="24">
        <v>0</v>
      </c>
      <c r="CZ33" s="24">
        <v>0</v>
      </c>
      <c r="DA33" s="24">
        <v>0</v>
      </c>
      <c r="DB33" s="24">
        <v>0</v>
      </c>
      <c r="DC33" s="24" t="str">
        <f>IF(DD33="정수원 실장","기아", IF(DD33="박현식 부장", "현대", IF(DD33="김성진 팀장", "한성", IF(DD33="전석영 부장", "한성", IF(DD33= "박봉호 부장", "모토원",IF(DD33="정원철 부장", "한성"))))))</f>
        <v>기아</v>
      </c>
      <c r="DD33" s="24" t="s">
        <v>121</v>
      </c>
      <c r="DE33" s="24" t="str">
        <f>IF(DD33="정수원 실장","렌트베네핏", IF(DD33="박현식 부장", "렌트베네핏", IF(DD33="김성진 팀장", "청담", IF(DD33="전석영 부장", "방배", IF(DD33= "박봉호 부장", "일산",IF(#REF!="정원철 부장", "청담"))))))</f>
        <v>렌트베네핏</v>
      </c>
      <c r="DF33" s="24"/>
      <c r="DG33" s="24"/>
      <c r="DH33" s="24"/>
      <c r="DI33" s="24" t="s">
        <v>269</v>
      </c>
      <c r="DJ33" s="22" t="s">
        <v>1610</v>
      </c>
      <c r="DK33" s="38">
        <v>0.3</v>
      </c>
      <c r="DL33" s="76">
        <v>0.2</v>
      </c>
      <c r="DM33" s="24"/>
      <c r="DN33" s="46"/>
      <c r="DO33" s="24"/>
      <c r="DP33" s="24"/>
      <c r="DQ33" s="38"/>
    </row>
    <row r="34" spans="2:121">
      <c r="B34" s="7">
        <v>30</v>
      </c>
      <c r="C34" s="7" t="s">
        <v>320</v>
      </c>
      <c r="D34" s="36" t="s">
        <v>1585</v>
      </c>
      <c r="E34" s="7" t="s">
        <v>1376</v>
      </c>
      <c r="F34" s="7" t="s">
        <v>1377</v>
      </c>
      <c r="G34" s="7" t="s">
        <v>1751</v>
      </c>
      <c r="H34" s="7" t="s">
        <v>132</v>
      </c>
      <c r="I34" s="7" t="s">
        <v>139</v>
      </c>
      <c r="J34" s="9">
        <v>12750000</v>
      </c>
      <c r="K34" s="7">
        <v>2022</v>
      </c>
      <c r="L34" s="6" t="s">
        <v>134</v>
      </c>
      <c r="M34" s="6" t="s">
        <v>90</v>
      </c>
      <c r="N34" s="7" t="s">
        <v>321</v>
      </c>
      <c r="O34" s="7" t="s">
        <v>322</v>
      </c>
      <c r="P34" s="7" t="s">
        <v>98</v>
      </c>
      <c r="Q34" s="33">
        <v>998</v>
      </c>
      <c r="R34" s="11">
        <v>44494</v>
      </c>
      <c r="S34" s="11">
        <v>44497</v>
      </c>
      <c r="T34" s="17">
        <v>44497</v>
      </c>
      <c r="U34" s="12" t="s">
        <v>91</v>
      </c>
      <c r="V34" s="11">
        <f>IFERROR(T34+AD34, "-")</f>
        <v>46322</v>
      </c>
      <c r="W34" s="7">
        <f ca="1">IFERROR(DATEDIF(TODAY(), V34, "m"), "-")</f>
        <v>2</v>
      </c>
      <c r="X34" s="13">
        <v>20000</v>
      </c>
      <c r="Y34" s="7" t="s">
        <v>261</v>
      </c>
      <c r="Z34" s="7" t="s">
        <v>262</v>
      </c>
      <c r="AA34" s="9" t="s">
        <v>310</v>
      </c>
      <c r="AB34" s="9" t="s">
        <v>311</v>
      </c>
      <c r="AC34" s="11">
        <v>44505</v>
      </c>
      <c r="AD34" s="7">
        <f>365*U34</f>
        <v>1825</v>
      </c>
      <c r="AE34" s="7">
        <f ca="1">V34-TODAY()</f>
        <v>70</v>
      </c>
      <c r="AF34" s="7" t="e">
        <f>VLOOKUP($C34,#REF!, 4, FALSE)</f>
        <v>#REF!</v>
      </c>
      <c r="AG34" s="41">
        <v>13234421</v>
      </c>
      <c r="AH34" s="9">
        <v>200000</v>
      </c>
      <c r="AI34" s="9">
        <v>12682000</v>
      </c>
      <c r="AJ34" s="9">
        <v>0</v>
      </c>
      <c r="AK34" s="9">
        <v>2000</v>
      </c>
      <c r="AL34" s="9">
        <v>461160</v>
      </c>
      <c r="AM34" s="9">
        <v>0</v>
      </c>
      <c r="AN34" s="9">
        <v>2000</v>
      </c>
      <c r="AO34" s="9">
        <v>27000</v>
      </c>
      <c r="AP34" s="9">
        <v>30000</v>
      </c>
      <c r="AQ34" s="9">
        <v>430000</v>
      </c>
      <c r="AR34" s="9">
        <v>0</v>
      </c>
      <c r="AS34" s="9" t="s">
        <v>195</v>
      </c>
      <c r="AT34" s="9">
        <v>0</v>
      </c>
      <c r="AU34" s="9" t="s">
        <v>135</v>
      </c>
      <c r="AV34" s="9"/>
      <c r="AW34" s="18">
        <f>SUM(AJ34,AK34,AN34,AO34,AP34, AR34,AT34+AL34+AM34)</f>
        <v>522160</v>
      </c>
      <c r="AX34" s="18" t="s">
        <v>196</v>
      </c>
      <c r="AY34" s="53">
        <v>44494</v>
      </c>
      <c r="AZ34" s="41">
        <v>1138590</v>
      </c>
      <c r="BA34" s="42">
        <v>1034460</v>
      </c>
      <c r="BB34" s="9"/>
      <c r="BC34" s="9"/>
      <c r="BD34" s="9"/>
      <c r="BE34" s="9" t="s">
        <v>93</v>
      </c>
      <c r="BF34" s="9" t="s">
        <v>94</v>
      </c>
      <c r="BG34" s="9" t="s">
        <v>117</v>
      </c>
      <c r="BH34" s="9" t="s">
        <v>118</v>
      </c>
      <c r="BI34" s="9" t="s">
        <v>97</v>
      </c>
      <c r="BJ34" s="9" t="s">
        <v>119</v>
      </c>
      <c r="BK34" s="7" t="s">
        <v>130</v>
      </c>
      <c r="BL34" s="9" t="s">
        <v>99</v>
      </c>
      <c r="BM34" s="9" t="s">
        <v>148</v>
      </c>
      <c r="BN34" s="9" t="s">
        <v>100</v>
      </c>
      <c r="BO34" s="9" t="s">
        <v>101</v>
      </c>
      <c r="BP34" s="9" t="s">
        <v>101</v>
      </c>
      <c r="BQ34" s="9" t="s">
        <v>198</v>
      </c>
      <c r="BR34" s="7"/>
      <c r="BS34" s="9">
        <f>IF(Q34&lt;=1600,Q34*18,IF(Q34&lt;=2500,Q34*19,IF(Q34&gt;2500,Q34*24,20000)))</f>
        <v>17964</v>
      </c>
      <c r="BT34" s="7" t="s">
        <v>140</v>
      </c>
      <c r="BU34" s="22"/>
      <c r="BV34" s="9"/>
      <c r="BW34" s="14"/>
      <c r="BX34" s="9"/>
      <c r="BY34" s="9">
        <f>BX34*BW34</f>
        <v>0</v>
      </c>
      <c r="BZ34" s="9">
        <f>BY34-BV34</f>
        <v>0</v>
      </c>
      <c r="CA34" s="27">
        <v>0</v>
      </c>
      <c r="CB34" s="1"/>
      <c r="CC34" s="15" t="s">
        <v>91</v>
      </c>
      <c r="CD34" s="15" t="s">
        <v>91</v>
      </c>
      <c r="CE34" s="9">
        <v>342650</v>
      </c>
      <c r="CF34" s="9">
        <f>U34*12</f>
        <v>60</v>
      </c>
      <c r="CG34" s="9">
        <f>CF34*CE34</f>
        <v>20559000</v>
      </c>
      <c r="CH34" s="9"/>
      <c r="CI34" s="9"/>
      <c r="CJ34" s="9">
        <v>2506900</v>
      </c>
      <c r="CK34" s="51">
        <v>0.04</v>
      </c>
      <c r="CL34" s="48">
        <v>0.04</v>
      </c>
      <c r="CM34" s="16" t="s">
        <v>268</v>
      </c>
      <c r="CN34" s="16"/>
      <c r="CO34" s="16"/>
      <c r="CP34" s="27">
        <v>0.03</v>
      </c>
      <c r="CQ34" s="38"/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 t="str">
        <f>IF(DD34="정수원 실장","기아", IF(DD34="박현식 부장", "현대", IF(DD34="김성진 팀장", "한성", IF(DD34="전석영 부장", "한성", IF(DD34= "박봉호 부장", "모토원",IF(DD34="정원철 부장", "한성"))))))</f>
        <v>기아</v>
      </c>
      <c r="DD34" s="24" t="s">
        <v>121</v>
      </c>
      <c r="DE34" s="24" t="str">
        <f>IF(DD34="정수원 실장","렌트베네핏", IF(DD34="박현식 부장", "렌트베네핏", IF(DD34="김성진 팀장", "청담", IF(DD34="전석영 부장", "방배", IF(DD34= "박봉호 부장", "일산",IF(DD95="정원철 부장", "청담"))))))</f>
        <v>렌트베네핏</v>
      </c>
      <c r="DF34" s="24"/>
      <c r="DG34" s="24"/>
      <c r="DH34" s="24"/>
      <c r="DI34" s="24" t="s">
        <v>269</v>
      </c>
      <c r="DJ34" s="22" t="s">
        <v>1610</v>
      </c>
      <c r="DK34" s="38">
        <v>0.3</v>
      </c>
      <c r="DL34" s="76">
        <v>0.2</v>
      </c>
      <c r="DM34" s="24"/>
      <c r="DN34" s="46"/>
      <c r="DO34" s="24"/>
      <c r="DP34" s="24"/>
      <c r="DQ34" s="38"/>
    </row>
    <row r="35" spans="2:121">
      <c r="B35" s="7">
        <v>31</v>
      </c>
      <c r="C35" s="7" t="s">
        <v>323</v>
      </c>
      <c r="D35" s="36" t="s">
        <v>1585</v>
      </c>
      <c r="E35" s="7" t="s">
        <v>1376</v>
      </c>
      <c r="F35" s="7" t="s">
        <v>1377</v>
      </c>
      <c r="G35" s="7" t="s">
        <v>1751</v>
      </c>
      <c r="H35" s="7" t="s">
        <v>132</v>
      </c>
      <c r="I35" s="7" t="s">
        <v>139</v>
      </c>
      <c r="J35" s="9">
        <v>12750000</v>
      </c>
      <c r="K35" s="7">
        <v>2022</v>
      </c>
      <c r="L35" s="6" t="s">
        <v>134</v>
      </c>
      <c r="M35" s="6" t="s">
        <v>90</v>
      </c>
      <c r="N35" s="7" t="s">
        <v>324</v>
      </c>
      <c r="O35" s="7" t="s">
        <v>325</v>
      </c>
      <c r="P35" s="7" t="s">
        <v>98</v>
      </c>
      <c r="Q35" s="33">
        <v>998</v>
      </c>
      <c r="R35" s="11">
        <v>44494</v>
      </c>
      <c r="S35" s="11">
        <v>44497</v>
      </c>
      <c r="T35" s="17">
        <v>44497</v>
      </c>
      <c r="U35" s="12" t="s">
        <v>91</v>
      </c>
      <c r="V35" s="11">
        <f>IFERROR(T35+AD35, "-")</f>
        <v>46322</v>
      </c>
      <c r="W35" s="7">
        <f ca="1">IFERROR(DATEDIF(TODAY(), V35, "m"), "-")</f>
        <v>2</v>
      </c>
      <c r="X35" s="13">
        <v>20000</v>
      </c>
      <c r="Y35" s="7" t="s">
        <v>261</v>
      </c>
      <c r="Z35" s="7" t="s">
        <v>262</v>
      </c>
      <c r="AA35" s="9" t="s">
        <v>318</v>
      </c>
      <c r="AB35" s="9" t="s">
        <v>319</v>
      </c>
      <c r="AC35" s="11">
        <v>44505</v>
      </c>
      <c r="AD35" s="7">
        <f>365*U35</f>
        <v>1825</v>
      </c>
      <c r="AE35" s="7">
        <f ca="1">V35-TODAY()</f>
        <v>70</v>
      </c>
      <c r="AF35" s="7" t="e">
        <f>VLOOKUP($C35,#REF!, 4, FALSE)</f>
        <v>#REF!</v>
      </c>
      <c r="AG35" s="41">
        <v>13234421</v>
      </c>
      <c r="AH35" s="9">
        <v>200000</v>
      </c>
      <c r="AI35" s="9">
        <v>12682000</v>
      </c>
      <c r="AJ35" s="9">
        <v>0</v>
      </c>
      <c r="AK35" s="9">
        <v>2000</v>
      </c>
      <c r="AL35" s="9">
        <v>461160</v>
      </c>
      <c r="AM35" s="9">
        <v>0</v>
      </c>
      <c r="AN35" s="9">
        <v>2000</v>
      </c>
      <c r="AO35" s="9">
        <v>27000</v>
      </c>
      <c r="AP35" s="9">
        <v>30000</v>
      </c>
      <c r="AQ35" s="9">
        <v>430000</v>
      </c>
      <c r="AR35" s="9">
        <v>0</v>
      </c>
      <c r="AS35" s="9" t="s">
        <v>195</v>
      </c>
      <c r="AT35" s="9">
        <v>0</v>
      </c>
      <c r="AU35" s="9" t="s">
        <v>135</v>
      </c>
      <c r="AV35" s="9"/>
      <c r="AW35" s="18">
        <f>SUM(AJ35,AK35,AN35,AO35,AP35, AR35,AT35+AL35+AM35)</f>
        <v>522160</v>
      </c>
      <c r="AX35" s="18" t="s">
        <v>196</v>
      </c>
      <c r="AY35" s="53">
        <v>44494</v>
      </c>
      <c r="AZ35" s="41">
        <v>1138590</v>
      </c>
      <c r="BA35" s="42">
        <v>1034460</v>
      </c>
      <c r="BB35" s="9"/>
      <c r="BC35" s="9"/>
      <c r="BD35" s="9"/>
      <c r="BE35" s="9" t="s">
        <v>93</v>
      </c>
      <c r="BF35" s="9" t="s">
        <v>94</v>
      </c>
      <c r="BG35" s="9" t="s">
        <v>117</v>
      </c>
      <c r="BH35" s="9" t="s">
        <v>118</v>
      </c>
      <c r="BI35" s="9" t="s">
        <v>97</v>
      </c>
      <c r="BJ35" s="9" t="s">
        <v>119</v>
      </c>
      <c r="BK35" s="7" t="s">
        <v>130</v>
      </c>
      <c r="BL35" s="9" t="s">
        <v>99</v>
      </c>
      <c r="BM35" s="9" t="s">
        <v>148</v>
      </c>
      <c r="BN35" s="9" t="s">
        <v>100</v>
      </c>
      <c r="BO35" s="9" t="s">
        <v>101</v>
      </c>
      <c r="BP35" s="9" t="s">
        <v>101</v>
      </c>
      <c r="BQ35" s="9" t="s">
        <v>198</v>
      </c>
      <c r="BR35" s="7"/>
      <c r="BS35" s="9">
        <f>IF(Q35&lt;=1600,Q35*18,IF(Q35&lt;=2500,Q35*19,IF(Q35&gt;2500,Q35*24,20000)))</f>
        <v>17964</v>
      </c>
      <c r="BT35" s="7" t="s">
        <v>140</v>
      </c>
      <c r="BU35" s="22"/>
      <c r="BV35" s="9"/>
      <c r="BW35" s="14"/>
      <c r="BX35" s="9"/>
      <c r="BY35" s="9">
        <f>BX35*BW35</f>
        <v>0</v>
      </c>
      <c r="BZ35" s="9">
        <f>BY35-BV35</f>
        <v>0</v>
      </c>
      <c r="CA35" s="27">
        <v>0</v>
      </c>
      <c r="CB35" s="87"/>
      <c r="CC35" s="15" t="s">
        <v>91</v>
      </c>
      <c r="CD35" s="15" t="s">
        <v>91</v>
      </c>
      <c r="CE35" s="9">
        <v>342650</v>
      </c>
      <c r="CF35" s="9">
        <f>U35*12</f>
        <v>60</v>
      </c>
      <c r="CG35" s="9">
        <f>CF35*CE35</f>
        <v>20559000</v>
      </c>
      <c r="CH35" s="9"/>
      <c r="CI35" s="9"/>
      <c r="CJ35" s="9">
        <v>2506900</v>
      </c>
      <c r="CK35" s="51">
        <v>0.04</v>
      </c>
      <c r="CL35" s="48">
        <v>0.04</v>
      </c>
      <c r="CM35" s="16" t="s">
        <v>268</v>
      </c>
      <c r="CN35" s="16"/>
      <c r="CO35" s="16"/>
      <c r="CP35" s="27">
        <v>0.03</v>
      </c>
      <c r="CQ35" s="38"/>
      <c r="CR35" s="24">
        <v>0</v>
      </c>
      <c r="CS35" s="24">
        <v>0</v>
      </c>
      <c r="CT35" s="24">
        <v>0</v>
      </c>
      <c r="CU35" s="24">
        <v>0</v>
      </c>
      <c r="CV35" s="24">
        <v>0</v>
      </c>
      <c r="CW35" s="24">
        <v>0</v>
      </c>
      <c r="CX35" s="24">
        <v>0</v>
      </c>
      <c r="CY35" s="24">
        <v>0</v>
      </c>
      <c r="CZ35" s="24">
        <v>0</v>
      </c>
      <c r="DA35" s="24">
        <v>0</v>
      </c>
      <c r="DB35" s="24">
        <v>0</v>
      </c>
      <c r="DC35" s="24" t="str">
        <f>IF(DD35="정수원 실장","기아", IF(DD35="박현식 부장", "현대", IF(DD35="김성진 팀장", "한성", IF(DD35="전석영 부장", "한성", IF(DD35= "박봉호 부장", "모토원",IF(DD35="정원철 부장", "한성"))))))</f>
        <v>기아</v>
      </c>
      <c r="DD35" s="24" t="s">
        <v>121</v>
      </c>
      <c r="DE35" s="24" t="str">
        <f>IF(DD35="정수원 실장","렌트베네핏", IF(DD35="박현식 부장", "렌트베네핏", IF(DD35="김성진 팀장", "청담", IF(DD35="전석영 부장", "방배", IF(DD35= "박봉호 부장", "일산",IF(DD96="정원철 부장", "청담"))))))</f>
        <v>렌트베네핏</v>
      </c>
      <c r="DF35" s="24"/>
      <c r="DG35" s="24"/>
      <c r="DH35" s="24"/>
      <c r="DI35" s="24" t="s">
        <v>269</v>
      </c>
      <c r="DJ35" s="22" t="s">
        <v>1610</v>
      </c>
      <c r="DK35" s="38">
        <v>0.3</v>
      </c>
      <c r="DL35" s="76">
        <v>0.2</v>
      </c>
      <c r="DM35" s="24"/>
      <c r="DN35" s="46"/>
      <c r="DO35" s="24"/>
      <c r="DP35" s="24"/>
      <c r="DQ35" s="38"/>
    </row>
    <row r="36" spans="2:121">
      <c r="B36" s="7">
        <v>32</v>
      </c>
      <c r="C36" s="7" t="s">
        <v>326</v>
      </c>
      <c r="D36" s="36" t="s">
        <v>1585</v>
      </c>
      <c r="E36" s="7" t="s">
        <v>1376</v>
      </c>
      <c r="F36" s="7" t="s">
        <v>1377</v>
      </c>
      <c r="G36" s="7" t="s">
        <v>1751</v>
      </c>
      <c r="H36" s="7" t="s">
        <v>132</v>
      </c>
      <c r="I36" s="7" t="s">
        <v>139</v>
      </c>
      <c r="J36" s="9">
        <v>12750000</v>
      </c>
      <c r="K36" s="7">
        <v>2022</v>
      </c>
      <c r="L36" s="6" t="s">
        <v>134</v>
      </c>
      <c r="M36" s="6" t="s">
        <v>90</v>
      </c>
      <c r="N36" s="7" t="s">
        <v>327</v>
      </c>
      <c r="O36" s="7" t="s">
        <v>328</v>
      </c>
      <c r="P36" s="7" t="s">
        <v>98</v>
      </c>
      <c r="Q36" s="33">
        <v>998</v>
      </c>
      <c r="R36" s="11">
        <v>44494</v>
      </c>
      <c r="S36" s="11">
        <v>44497</v>
      </c>
      <c r="T36" s="17">
        <v>44497</v>
      </c>
      <c r="U36" s="12" t="s">
        <v>91</v>
      </c>
      <c r="V36" s="11">
        <f>IFERROR(T36+AD36, "-")</f>
        <v>46322</v>
      </c>
      <c r="W36" s="7">
        <f ca="1">IFERROR(DATEDIF(TODAY(), V36, "m"), "-")</f>
        <v>2</v>
      </c>
      <c r="X36" s="13">
        <v>20000</v>
      </c>
      <c r="Y36" s="7" t="s">
        <v>261</v>
      </c>
      <c r="Z36" s="7" t="s">
        <v>262</v>
      </c>
      <c r="AA36" s="9" t="s">
        <v>318</v>
      </c>
      <c r="AB36" s="9"/>
      <c r="AC36" s="11">
        <v>44505</v>
      </c>
      <c r="AD36" s="7">
        <f>365*U36</f>
        <v>1825</v>
      </c>
      <c r="AE36" s="7">
        <f ca="1">V36-TODAY()</f>
        <v>70</v>
      </c>
      <c r="AF36" s="7" t="e">
        <f>VLOOKUP($C36,#REF!, 4, FALSE)</f>
        <v>#REF!</v>
      </c>
      <c r="AG36" s="41">
        <v>13234421</v>
      </c>
      <c r="AH36" s="9">
        <v>200000</v>
      </c>
      <c r="AI36" s="9">
        <v>12682000</v>
      </c>
      <c r="AJ36" s="9">
        <v>0</v>
      </c>
      <c r="AK36" s="9">
        <v>2000</v>
      </c>
      <c r="AL36" s="9">
        <v>461160</v>
      </c>
      <c r="AM36" s="9">
        <v>0</v>
      </c>
      <c r="AN36" s="9">
        <v>2000</v>
      </c>
      <c r="AO36" s="9">
        <v>27000</v>
      </c>
      <c r="AP36" s="9">
        <v>30000</v>
      </c>
      <c r="AQ36" s="9">
        <v>430000</v>
      </c>
      <c r="AR36" s="9">
        <v>0</v>
      </c>
      <c r="AS36" s="9" t="s">
        <v>195</v>
      </c>
      <c r="AT36" s="9">
        <v>0</v>
      </c>
      <c r="AU36" s="9" t="s">
        <v>135</v>
      </c>
      <c r="AV36" s="9"/>
      <c r="AW36" s="18">
        <f>SUM(AJ36,AK36,AN36,AO36,AP36, AR36,AT36+AL36+AM36)</f>
        <v>522160</v>
      </c>
      <c r="AX36" s="18" t="s">
        <v>196</v>
      </c>
      <c r="AY36" s="53">
        <v>44494</v>
      </c>
      <c r="AZ36" s="41">
        <v>1138590</v>
      </c>
      <c r="BA36" s="42">
        <v>1034460</v>
      </c>
      <c r="BB36" s="9"/>
      <c r="BC36" s="9"/>
      <c r="BD36" s="9"/>
      <c r="BE36" s="9" t="s">
        <v>93</v>
      </c>
      <c r="BF36" s="9" t="s">
        <v>94</v>
      </c>
      <c r="BG36" s="9" t="s">
        <v>117</v>
      </c>
      <c r="BH36" s="9" t="s">
        <v>118</v>
      </c>
      <c r="BI36" s="9" t="s">
        <v>97</v>
      </c>
      <c r="BJ36" s="9" t="s">
        <v>119</v>
      </c>
      <c r="BK36" s="7" t="s">
        <v>130</v>
      </c>
      <c r="BL36" s="9" t="s">
        <v>99</v>
      </c>
      <c r="BM36" s="9" t="s">
        <v>148</v>
      </c>
      <c r="BN36" s="9" t="s">
        <v>100</v>
      </c>
      <c r="BO36" s="9" t="s">
        <v>101</v>
      </c>
      <c r="BP36" s="9" t="s">
        <v>101</v>
      </c>
      <c r="BQ36" s="9" t="s">
        <v>198</v>
      </c>
      <c r="BR36" s="7"/>
      <c r="BS36" s="9">
        <f>IF(Q36&lt;=1600,Q36*18,IF(Q36&lt;=2500,Q36*19,IF(Q36&gt;2500,Q36*24,20000)))</f>
        <v>17964</v>
      </c>
      <c r="BT36" s="7" t="s">
        <v>140</v>
      </c>
      <c r="BU36" s="22"/>
      <c r="BV36" s="9"/>
      <c r="BW36" s="14"/>
      <c r="BX36" s="9"/>
      <c r="BY36" s="9">
        <f>BX36*BW36</f>
        <v>0</v>
      </c>
      <c r="BZ36" s="9">
        <f>BY36-BV36</f>
        <v>0</v>
      </c>
      <c r="CA36" s="27">
        <v>0</v>
      </c>
      <c r="CB36" s="87"/>
      <c r="CC36" s="15" t="s">
        <v>91</v>
      </c>
      <c r="CD36" s="15" t="s">
        <v>91</v>
      </c>
      <c r="CE36" s="9">
        <v>342650</v>
      </c>
      <c r="CF36" s="9">
        <f>U36*12</f>
        <v>60</v>
      </c>
      <c r="CG36" s="9">
        <f>CF36*CE36</f>
        <v>20559000</v>
      </c>
      <c r="CH36" s="9"/>
      <c r="CI36" s="9"/>
      <c r="CJ36" s="9">
        <v>2506900</v>
      </c>
      <c r="CK36" s="51">
        <v>0.04</v>
      </c>
      <c r="CL36" s="48">
        <v>0.04</v>
      </c>
      <c r="CM36" s="16" t="s">
        <v>268</v>
      </c>
      <c r="CN36" s="16"/>
      <c r="CO36" s="16"/>
      <c r="CP36" s="27">
        <v>0.03</v>
      </c>
      <c r="CQ36" s="38"/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 t="str">
        <f>IF(DD36="정수원 실장","기아", IF(DD36="박현식 부장", "현대", IF(DD36="김성진 팀장", "한성", IF(DD36="전석영 부장", "한성", IF(DD36= "박봉호 부장", "모토원",IF(DD36="정원철 부장", "한성"))))))</f>
        <v>기아</v>
      </c>
      <c r="DD36" s="24" t="s">
        <v>121</v>
      </c>
      <c r="DE36" s="24" t="str">
        <f>IF(DD36="정수원 실장","렌트베네핏", IF(DD36="박현식 부장", "렌트베네핏", IF(DD36="김성진 팀장", "청담", IF(DD36="전석영 부장", "방배", IF(DD36= "박봉호 부장", "일산",IF(#REF!="정원철 부장", "청담"))))))</f>
        <v>렌트베네핏</v>
      </c>
      <c r="DF36" s="24"/>
      <c r="DG36" s="24"/>
      <c r="DH36" s="24"/>
      <c r="DI36" s="24" t="s">
        <v>269</v>
      </c>
      <c r="DJ36" s="22" t="s">
        <v>1610</v>
      </c>
      <c r="DK36" s="38">
        <v>0.3</v>
      </c>
      <c r="DL36" s="76">
        <v>0.2</v>
      </c>
      <c r="DM36" s="24"/>
      <c r="DN36" s="46"/>
      <c r="DO36" s="24"/>
      <c r="DP36" s="24"/>
      <c r="DQ36" s="38"/>
    </row>
    <row r="37" spans="2:121">
      <c r="B37" s="7">
        <v>33</v>
      </c>
      <c r="C37" s="7" t="s">
        <v>329</v>
      </c>
      <c r="D37" s="36" t="s">
        <v>1585</v>
      </c>
      <c r="E37" s="7" t="s">
        <v>1376</v>
      </c>
      <c r="F37" s="7" t="s">
        <v>1377</v>
      </c>
      <c r="G37" s="7" t="s">
        <v>1751</v>
      </c>
      <c r="H37" s="7" t="s">
        <v>132</v>
      </c>
      <c r="I37" s="7" t="s">
        <v>139</v>
      </c>
      <c r="J37" s="9">
        <v>12750000</v>
      </c>
      <c r="K37" s="7">
        <v>2022</v>
      </c>
      <c r="L37" s="6" t="s">
        <v>134</v>
      </c>
      <c r="M37" s="6" t="s">
        <v>90</v>
      </c>
      <c r="N37" s="7" t="s">
        <v>330</v>
      </c>
      <c r="O37" s="7" t="s">
        <v>331</v>
      </c>
      <c r="P37" s="7" t="s">
        <v>98</v>
      </c>
      <c r="Q37" s="33">
        <v>998</v>
      </c>
      <c r="R37" s="11">
        <v>44494</v>
      </c>
      <c r="S37" s="11">
        <v>44497</v>
      </c>
      <c r="T37" s="17">
        <v>44497</v>
      </c>
      <c r="U37" s="12" t="s">
        <v>91</v>
      </c>
      <c r="V37" s="11">
        <f>IFERROR(T37+AD37, "-")</f>
        <v>46322</v>
      </c>
      <c r="W37" s="7">
        <f ca="1">IFERROR(DATEDIF(TODAY(), V37, "m"), "-")</f>
        <v>2</v>
      </c>
      <c r="X37" s="13">
        <v>20000</v>
      </c>
      <c r="Y37" s="7" t="s">
        <v>261</v>
      </c>
      <c r="Z37" s="7" t="s">
        <v>262</v>
      </c>
      <c r="AA37" s="9" t="s">
        <v>332</v>
      </c>
      <c r="AB37" s="9" t="s">
        <v>333</v>
      </c>
      <c r="AC37" s="11">
        <v>44505</v>
      </c>
      <c r="AD37" s="7">
        <f>365*U37</f>
        <v>1825</v>
      </c>
      <c r="AE37" s="7">
        <f ca="1">V37-TODAY()</f>
        <v>70</v>
      </c>
      <c r="AF37" s="7" t="e">
        <f>VLOOKUP($C37,#REF!, 4, FALSE)</f>
        <v>#REF!</v>
      </c>
      <c r="AG37" s="41">
        <v>13234421</v>
      </c>
      <c r="AH37" s="9">
        <v>200000</v>
      </c>
      <c r="AI37" s="9">
        <v>12703000</v>
      </c>
      <c r="AJ37" s="9">
        <v>0</v>
      </c>
      <c r="AK37" s="9">
        <v>2000</v>
      </c>
      <c r="AL37" s="9">
        <v>461920</v>
      </c>
      <c r="AM37" s="9">
        <v>0</v>
      </c>
      <c r="AN37" s="9">
        <v>2000</v>
      </c>
      <c r="AO37" s="9">
        <v>27000</v>
      </c>
      <c r="AP37" s="9">
        <v>30000</v>
      </c>
      <c r="AQ37" s="9">
        <v>430000</v>
      </c>
      <c r="AR37" s="9">
        <v>0</v>
      </c>
      <c r="AS37" s="9" t="s">
        <v>195</v>
      </c>
      <c r="AT37" s="9">
        <v>0</v>
      </c>
      <c r="AU37" s="9" t="s">
        <v>135</v>
      </c>
      <c r="AV37" s="9"/>
      <c r="AW37" s="18">
        <f>SUM(AJ37,AK37,AN37,AO37,AP37, AR37,AT37+AL37+AM37)</f>
        <v>522920</v>
      </c>
      <c r="AX37" s="18" t="s">
        <v>196</v>
      </c>
      <c r="AY37" s="53">
        <v>44494</v>
      </c>
      <c r="AZ37" s="41">
        <v>1138590</v>
      </c>
      <c r="BA37" s="42">
        <v>1034460</v>
      </c>
      <c r="BB37" s="9"/>
      <c r="BC37" s="9"/>
      <c r="BD37" s="9"/>
      <c r="BE37" s="9" t="s">
        <v>93</v>
      </c>
      <c r="BF37" s="9" t="s">
        <v>94</v>
      </c>
      <c r="BG37" s="9" t="s">
        <v>117</v>
      </c>
      <c r="BH37" s="9" t="s">
        <v>118</v>
      </c>
      <c r="BI37" s="9" t="s">
        <v>97</v>
      </c>
      <c r="BJ37" s="9" t="s">
        <v>119</v>
      </c>
      <c r="BK37" s="7" t="s">
        <v>130</v>
      </c>
      <c r="BL37" s="9" t="s">
        <v>99</v>
      </c>
      <c r="BM37" s="9" t="s">
        <v>148</v>
      </c>
      <c r="BN37" s="9" t="s">
        <v>100</v>
      </c>
      <c r="BO37" s="9" t="s">
        <v>101</v>
      </c>
      <c r="BP37" s="9" t="s">
        <v>101</v>
      </c>
      <c r="BQ37" s="9" t="s">
        <v>198</v>
      </c>
      <c r="BR37" s="7"/>
      <c r="BS37" s="9">
        <f>IF(Q37&lt;=1600,Q37*18,IF(Q37&lt;=2500,Q37*19,IF(Q37&gt;2500,Q37*24,20000)))</f>
        <v>17964</v>
      </c>
      <c r="BT37" s="7" t="s">
        <v>140</v>
      </c>
      <c r="BU37" s="22"/>
      <c r="BV37" s="9"/>
      <c r="BW37" s="14"/>
      <c r="BX37" s="9"/>
      <c r="BY37" s="9">
        <f>BX37*BW37</f>
        <v>0</v>
      </c>
      <c r="BZ37" s="9">
        <f>BY37-BV37</f>
        <v>0</v>
      </c>
      <c r="CA37" s="27">
        <v>0</v>
      </c>
      <c r="CB37" s="87"/>
      <c r="CC37" s="15" t="s">
        <v>91</v>
      </c>
      <c r="CD37" s="15" t="s">
        <v>91</v>
      </c>
      <c r="CE37" s="9">
        <v>342650</v>
      </c>
      <c r="CF37" s="9">
        <f>U37*12</f>
        <v>60</v>
      </c>
      <c r="CG37" s="9">
        <f>CF37*CE37</f>
        <v>20559000</v>
      </c>
      <c r="CH37" s="9"/>
      <c r="CI37" s="9"/>
      <c r="CJ37" s="9">
        <v>2506900</v>
      </c>
      <c r="CK37" s="51">
        <v>0.04</v>
      </c>
      <c r="CL37" s="48">
        <v>0.04</v>
      </c>
      <c r="CM37" s="16" t="s">
        <v>268</v>
      </c>
      <c r="CN37" s="16"/>
      <c r="CO37" s="16"/>
      <c r="CP37" s="27">
        <v>0.03</v>
      </c>
      <c r="CQ37" s="38"/>
      <c r="CR37" s="24">
        <v>0</v>
      </c>
      <c r="CS37" s="24">
        <v>0</v>
      </c>
      <c r="CT37" s="24">
        <v>0</v>
      </c>
      <c r="CU37" s="24">
        <v>0</v>
      </c>
      <c r="CV37" s="24">
        <v>0</v>
      </c>
      <c r="CW37" s="24">
        <v>0</v>
      </c>
      <c r="CX37" s="24">
        <v>0</v>
      </c>
      <c r="CY37" s="24">
        <v>0</v>
      </c>
      <c r="CZ37" s="24">
        <v>0</v>
      </c>
      <c r="DA37" s="24">
        <v>0</v>
      </c>
      <c r="DB37" s="24">
        <v>0</v>
      </c>
      <c r="DC37" s="24" t="str">
        <f>IF(DD37="정수원 실장","기아", IF(DD37="박현식 부장", "현대", IF(DD37="김성진 팀장", "한성", IF(DD37="전석영 부장", "한성", IF(DD37= "박봉호 부장", "모토원",IF(DD37="정원철 부장", "한성"))))))</f>
        <v>기아</v>
      </c>
      <c r="DD37" s="24" t="s">
        <v>121</v>
      </c>
      <c r="DE37" s="24" t="str">
        <f>IF(DD37="정수원 실장","렌트베네핏", IF(DD37="박현식 부장", "렌트베네핏", IF(DD37="김성진 팀장", "청담", IF(DD37="전석영 부장", "방배", IF(DD37= "박봉호 부장", "일산",IF(DD87="정원철 부장", "청담"))))))</f>
        <v>렌트베네핏</v>
      </c>
      <c r="DF37" s="24"/>
      <c r="DG37" s="24"/>
      <c r="DH37" s="24"/>
      <c r="DI37" s="24" t="s">
        <v>269</v>
      </c>
      <c r="DJ37" s="22" t="s">
        <v>1610</v>
      </c>
      <c r="DK37" s="38">
        <v>0.3</v>
      </c>
      <c r="DL37" s="76">
        <v>0.2</v>
      </c>
      <c r="DM37" s="24"/>
      <c r="DN37" s="46"/>
      <c r="DO37" s="24"/>
      <c r="DP37" s="24"/>
      <c r="DQ37" s="38"/>
    </row>
    <row r="38" spans="2:121">
      <c r="B38" s="7">
        <v>34</v>
      </c>
      <c r="C38" s="7" t="s">
        <v>334</v>
      </c>
      <c r="D38" s="36" t="s">
        <v>1585</v>
      </c>
      <c r="E38" s="7" t="s">
        <v>1376</v>
      </c>
      <c r="F38" s="7" t="s">
        <v>1377</v>
      </c>
      <c r="G38" s="7" t="s">
        <v>1751</v>
      </c>
      <c r="H38" s="7" t="s">
        <v>132</v>
      </c>
      <c r="I38" s="7" t="s">
        <v>139</v>
      </c>
      <c r="J38" s="9">
        <v>12750000</v>
      </c>
      <c r="K38" s="7">
        <v>2022</v>
      </c>
      <c r="L38" s="6" t="s">
        <v>134</v>
      </c>
      <c r="M38" s="6" t="s">
        <v>90</v>
      </c>
      <c r="N38" s="7" t="s">
        <v>335</v>
      </c>
      <c r="O38" s="7" t="s">
        <v>336</v>
      </c>
      <c r="P38" s="7" t="s">
        <v>98</v>
      </c>
      <c r="Q38" s="33">
        <v>998</v>
      </c>
      <c r="R38" s="11">
        <v>44494</v>
      </c>
      <c r="S38" s="11">
        <v>44497</v>
      </c>
      <c r="T38" s="17">
        <v>44497</v>
      </c>
      <c r="U38" s="12" t="s">
        <v>91</v>
      </c>
      <c r="V38" s="11">
        <f>IFERROR(T38+AD38, "-")</f>
        <v>46322</v>
      </c>
      <c r="W38" s="7">
        <f ca="1">IFERROR(DATEDIF(TODAY(), V38, "m"), "-")</f>
        <v>2</v>
      </c>
      <c r="X38" s="13">
        <v>20000</v>
      </c>
      <c r="Y38" s="7" t="s">
        <v>261</v>
      </c>
      <c r="Z38" s="7" t="s">
        <v>262</v>
      </c>
      <c r="AA38" s="9" t="s">
        <v>337</v>
      </c>
      <c r="AB38" s="9" t="s">
        <v>338</v>
      </c>
      <c r="AC38" s="11">
        <v>44505</v>
      </c>
      <c r="AD38" s="7">
        <f>365*U38</f>
        <v>1825</v>
      </c>
      <c r="AE38" s="7">
        <f ca="1">V38-TODAY()</f>
        <v>70</v>
      </c>
      <c r="AF38" s="7" t="e">
        <f>VLOOKUP($C38,#REF!, 4, FALSE)</f>
        <v>#REF!</v>
      </c>
      <c r="AG38" s="41">
        <v>13234421</v>
      </c>
      <c r="AH38" s="9">
        <v>200000</v>
      </c>
      <c r="AI38" s="9">
        <v>12675000</v>
      </c>
      <c r="AJ38" s="9">
        <v>0</v>
      </c>
      <c r="AK38" s="9">
        <v>2000</v>
      </c>
      <c r="AL38" s="9">
        <v>460900</v>
      </c>
      <c r="AM38" s="9">
        <v>0</v>
      </c>
      <c r="AN38" s="9">
        <v>2000</v>
      </c>
      <c r="AO38" s="9">
        <v>27000</v>
      </c>
      <c r="AP38" s="9">
        <v>30000</v>
      </c>
      <c r="AQ38" s="9">
        <v>430000</v>
      </c>
      <c r="AR38" s="9">
        <v>0</v>
      </c>
      <c r="AS38" s="9" t="s">
        <v>195</v>
      </c>
      <c r="AT38" s="9">
        <v>0</v>
      </c>
      <c r="AU38" s="9" t="s">
        <v>135</v>
      </c>
      <c r="AV38" s="9"/>
      <c r="AW38" s="18">
        <f>SUM(AJ38,AK38,AN38,AO38,AP38, AR38,AT38+AL38+AM38)</f>
        <v>521900</v>
      </c>
      <c r="AX38" s="18" t="s">
        <v>196</v>
      </c>
      <c r="AY38" s="53">
        <v>44494</v>
      </c>
      <c r="AZ38" s="41">
        <v>1138590</v>
      </c>
      <c r="BA38" s="42">
        <v>1034460</v>
      </c>
      <c r="BB38" s="9"/>
      <c r="BC38" s="9"/>
      <c r="BD38" s="9"/>
      <c r="BE38" s="9" t="s">
        <v>93</v>
      </c>
      <c r="BF38" s="9" t="s">
        <v>94</v>
      </c>
      <c r="BG38" s="9" t="s">
        <v>117</v>
      </c>
      <c r="BH38" s="9" t="s">
        <v>118</v>
      </c>
      <c r="BI38" s="9" t="s">
        <v>97</v>
      </c>
      <c r="BJ38" s="9" t="s">
        <v>119</v>
      </c>
      <c r="BK38" s="7" t="s">
        <v>130</v>
      </c>
      <c r="BL38" s="9" t="s">
        <v>99</v>
      </c>
      <c r="BM38" s="9" t="s">
        <v>148</v>
      </c>
      <c r="BN38" s="9" t="s">
        <v>100</v>
      </c>
      <c r="BO38" s="9" t="s">
        <v>101</v>
      </c>
      <c r="BP38" s="9" t="s">
        <v>101</v>
      </c>
      <c r="BQ38" s="9" t="s">
        <v>198</v>
      </c>
      <c r="BR38" s="7"/>
      <c r="BS38" s="9">
        <f>IF(Q38&lt;=1600,Q38*18,IF(Q38&lt;=2500,Q38*19,IF(Q38&gt;2500,Q38*24,20000)))</f>
        <v>17964</v>
      </c>
      <c r="BT38" s="7" t="s">
        <v>140</v>
      </c>
      <c r="BU38" s="22"/>
      <c r="BV38" s="9"/>
      <c r="BW38" s="14"/>
      <c r="BX38" s="9"/>
      <c r="BY38" s="9">
        <f>BX38*BW38</f>
        <v>0</v>
      </c>
      <c r="BZ38" s="9">
        <f>BY38-BV38</f>
        <v>0</v>
      </c>
      <c r="CA38" s="27">
        <v>0</v>
      </c>
      <c r="CB38" s="1"/>
      <c r="CC38" s="15" t="s">
        <v>91</v>
      </c>
      <c r="CD38" s="15" t="s">
        <v>91</v>
      </c>
      <c r="CE38" s="9">
        <v>342650</v>
      </c>
      <c r="CF38" s="9">
        <f>U38*12</f>
        <v>60</v>
      </c>
      <c r="CG38" s="9">
        <f>CF38*CE38</f>
        <v>20559000</v>
      </c>
      <c r="CH38" s="9"/>
      <c r="CI38" s="9"/>
      <c r="CJ38" s="9">
        <v>2506900</v>
      </c>
      <c r="CK38" s="51">
        <v>0.04</v>
      </c>
      <c r="CL38" s="48">
        <v>0.04</v>
      </c>
      <c r="CM38" s="16" t="s">
        <v>268</v>
      </c>
      <c r="CN38" s="16"/>
      <c r="CO38" s="16"/>
      <c r="CP38" s="27">
        <v>0.03</v>
      </c>
      <c r="CQ38" s="38"/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 t="str">
        <f>IF(DD38="정수원 실장","기아", IF(DD38="박현식 부장", "현대", IF(DD38="김성진 팀장", "한성", IF(DD38="전석영 부장", "한성", IF(DD38= "박봉호 부장", "모토원",IF(DD38="정원철 부장", "한성"))))))</f>
        <v>기아</v>
      </c>
      <c r="DD38" s="24" t="s">
        <v>121</v>
      </c>
      <c r="DE38" s="24" t="str">
        <f>IF(DD38="정수원 실장","렌트베네핏", IF(DD38="박현식 부장", "렌트베네핏", IF(DD38="김성진 팀장", "청담", IF(DD38="전석영 부장", "방배", IF(DD38= "박봉호 부장", "일산",IF(#REF!="정원철 부장", "청담"))))))</f>
        <v>렌트베네핏</v>
      </c>
      <c r="DF38" s="24"/>
      <c r="DG38" s="24"/>
      <c r="DH38" s="24"/>
      <c r="DI38" s="24" t="s">
        <v>269</v>
      </c>
      <c r="DJ38" s="22" t="s">
        <v>1610</v>
      </c>
      <c r="DK38" s="38">
        <v>0.3</v>
      </c>
      <c r="DL38" s="76">
        <v>0.2</v>
      </c>
      <c r="DM38" s="24"/>
      <c r="DN38" s="46"/>
      <c r="DO38" s="24"/>
      <c r="DP38" s="24"/>
      <c r="DQ38" s="38"/>
    </row>
    <row r="39" spans="2:121">
      <c r="B39" s="7">
        <v>35</v>
      </c>
      <c r="C39" s="7" t="s">
        <v>339</v>
      </c>
      <c r="D39" s="36" t="s">
        <v>1585</v>
      </c>
      <c r="E39" s="7" t="s">
        <v>1376</v>
      </c>
      <c r="F39" s="7" t="s">
        <v>1377</v>
      </c>
      <c r="G39" s="7" t="s">
        <v>1751</v>
      </c>
      <c r="H39" s="7" t="s">
        <v>132</v>
      </c>
      <c r="I39" s="7" t="s">
        <v>139</v>
      </c>
      <c r="J39" s="9">
        <v>12750000</v>
      </c>
      <c r="K39" s="7">
        <v>2022</v>
      </c>
      <c r="L39" s="6" t="s">
        <v>134</v>
      </c>
      <c r="M39" s="6" t="s">
        <v>90</v>
      </c>
      <c r="N39" s="7" t="s">
        <v>340</v>
      </c>
      <c r="O39" s="7" t="s">
        <v>341</v>
      </c>
      <c r="P39" s="7" t="s">
        <v>98</v>
      </c>
      <c r="Q39" s="33">
        <v>998</v>
      </c>
      <c r="R39" s="11">
        <v>44494</v>
      </c>
      <c r="S39" s="11">
        <v>44497</v>
      </c>
      <c r="T39" s="17">
        <v>44497</v>
      </c>
      <c r="U39" s="12" t="s">
        <v>91</v>
      </c>
      <c r="V39" s="11">
        <f>IFERROR(T39+AD39, "-")</f>
        <v>46322</v>
      </c>
      <c r="W39" s="7">
        <f ca="1">IFERROR(DATEDIF(TODAY(), V39, "m"), "-")</f>
        <v>2</v>
      </c>
      <c r="X39" s="13">
        <v>20000</v>
      </c>
      <c r="Y39" s="7" t="s">
        <v>261</v>
      </c>
      <c r="Z39" s="7" t="s">
        <v>262</v>
      </c>
      <c r="AA39" s="9" t="s">
        <v>342</v>
      </c>
      <c r="AB39" s="9" t="s">
        <v>338</v>
      </c>
      <c r="AC39" s="11">
        <v>44505</v>
      </c>
      <c r="AD39" s="7">
        <f>365*U39</f>
        <v>1825</v>
      </c>
      <c r="AE39" s="7">
        <f ca="1">V39-TODAY()</f>
        <v>70</v>
      </c>
      <c r="AF39" s="7" t="e">
        <f>VLOOKUP($C39,#REF!, 4, FALSE)</f>
        <v>#REF!</v>
      </c>
      <c r="AG39" s="41">
        <v>13234421</v>
      </c>
      <c r="AH39" s="9">
        <v>200000</v>
      </c>
      <c r="AI39" s="9">
        <v>12675000</v>
      </c>
      <c r="AJ39" s="9">
        <v>0</v>
      </c>
      <c r="AK39" s="9">
        <v>2000</v>
      </c>
      <c r="AL39" s="9">
        <v>460900</v>
      </c>
      <c r="AM39" s="9">
        <v>0</v>
      </c>
      <c r="AN39" s="9">
        <v>2000</v>
      </c>
      <c r="AO39" s="9">
        <v>27000</v>
      </c>
      <c r="AP39" s="9">
        <v>30000</v>
      </c>
      <c r="AQ39" s="9">
        <v>430000</v>
      </c>
      <c r="AR39" s="9">
        <v>0</v>
      </c>
      <c r="AS39" s="9" t="s">
        <v>195</v>
      </c>
      <c r="AT39" s="9">
        <v>0</v>
      </c>
      <c r="AU39" s="9" t="s">
        <v>135</v>
      </c>
      <c r="AV39" s="9"/>
      <c r="AW39" s="18">
        <f>SUM(AJ39,AK39,AN39,AO39,AP39, AR39,AT39+AL39+AM39)</f>
        <v>521900</v>
      </c>
      <c r="AX39" s="18" t="s">
        <v>196</v>
      </c>
      <c r="AY39" s="53">
        <v>44494</v>
      </c>
      <c r="AZ39" s="41">
        <v>1138590</v>
      </c>
      <c r="BA39" s="42">
        <v>1034460</v>
      </c>
      <c r="BB39" s="9"/>
      <c r="BC39" s="9"/>
      <c r="BD39" s="9"/>
      <c r="BE39" s="9" t="s">
        <v>93</v>
      </c>
      <c r="BF39" s="9" t="s">
        <v>94</v>
      </c>
      <c r="BG39" s="9" t="s">
        <v>117</v>
      </c>
      <c r="BH39" s="9" t="s">
        <v>118</v>
      </c>
      <c r="BI39" s="9" t="s">
        <v>97</v>
      </c>
      <c r="BJ39" s="9" t="s">
        <v>119</v>
      </c>
      <c r="BK39" s="7" t="s">
        <v>130</v>
      </c>
      <c r="BL39" s="9" t="s">
        <v>99</v>
      </c>
      <c r="BM39" s="9" t="s">
        <v>148</v>
      </c>
      <c r="BN39" s="9" t="s">
        <v>100</v>
      </c>
      <c r="BO39" s="9" t="s">
        <v>101</v>
      </c>
      <c r="BP39" s="9" t="s">
        <v>101</v>
      </c>
      <c r="BQ39" s="9" t="s">
        <v>198</v>
      </c>
      <c r="BR39" s="7"/>
      <c r="BS39" s="9">
        <f>IF(Q39&lt;=1600,Q39*18,IF(Q39&lt;=2500,Q39*19,IF(Q39&gt;2500,Q39*24,20000)))</f>
        <v>17964</v>
      </c>
      <c r="BT39" s="7" t="s">
        <v>140</v>
      </c>
      <c r="BU39" s="22"/>
      <c r="BV39" s="9"/>
      <c r="BW39" s="14"/>
      <c r="BX39" s="9"/>
      <c r="BY39" s="9">
        <f>BX39*BW39</f>
        <v>0</v>
      </c>
      <c r="BZ39" s="9">
        <f>BY39-BV39</f>
        <v>0</v>
      </c>
      <c r="CA39" s="27">
        <v>0</v>
      </c>
      <c r="CB39" s="87"/>
      <c r="CC39" s="15" t="s">
        <v>91</v>
      </c>
      <c r="CD39" s="15" t="s">
        <v>91</v>
      </c>
      <c r="CE39" s="9">
        <v>342650</v>
      </c>
      <c r="CF39" s="9">
        <f>U39*12</f>
        <v>60</v>
      </c>
      <c r="CG39" s="9">
        <f>CF39*CE39</f>
        <v>20559000</v>
      </c>
      <c r="CH39" s="9"/>
      <c r="CI39" s="9"/>
      <c r="CJ39" s="9">
        <v>2506900</v>
      </c>
      <c r="CK39" s="51">
        <v>0.04</v>
      </c>
      <c r="CL39" s="48">
        <v>0.04</v>
      </c>
      <c r="CM39" s="16" t="s">
        <v>268</v>
      </c>
      <c r="CN39" s="16"/>
      <c r="CO39" s="16"/>
      <c r="CP39" s="27">
        <v>0.03</v>
      </c>
      <c r="CQ39" s="38"/>
      <c r="CR39" s="24">
        <v>0</v>
      </c>
      <c r="CS39" s="24">
        <v>0</v>
      </c>
      <c r="CT39" s="24">
        <v>0</v>
      </c>
      <c r="CU39" s="24">
        <v>0</v>
      </c>
      <c r="CV39" s="24">
        <v>0</v>
      </c>
      <c r="CW39" s="24">
        <v>0</v>
      </c>
      <c r="CX39" s="24">
        <v>0</v>
      </c>
      <c r="CY39" s="24">
        <v>0</v>
      </c>
      <c r="CZ39" s="24">
        <v>0</v>
      </c>
      <c r="DA39" s="24">
        <v>0</v>
      </c>
      <c r="DB39" s="24">
        <v>0</v>
      </c>
      <c r="DC39" s="24" t="str">
        <f>IF(DD39="정수원 실장","기아", IF(DD39="박현식 부장", "현대", IF(DD39="김성진 팀장", "한성", IF(DD39="전석영 부장", "한성", IF(DD39= "박봉호 부장", "모토원",IF(DD39="정원철 부장", "한성"))))))</f>
        <v>기아</v>
      </c>
      <c r="DD39" s="24" t="s">
        <v>121</v>
      </c>
      <c r="DE39" s="24" t="str">
        <f>IF(DD39="정수원 실장","렌트베네핏", IF(DD39="박현식 부장", "렌트베네핏", IF(DD39="김성진 팀장", "청담", IF(DD39="전석영 부장", "방배", IF(DD39= "박봉호 부장", "일산",IF(DD88="정원철 부장", "청담"))))))</f>
        <v>렌트베네핏</v>
      </c>
      <c r="DF39" s="24"/>
      <c r="DG39" s="24"/>
      <c r="DH39" s="24"/>
      <c r="DI39" s="24" t="s">
        <v>269</v>
      </c>
      <c r="DJ39" s="22" t="s">
        <v>1610</v>
      </c>
      <c r="DK39" s="38">
        <v>0.3</v>
      </c>
      <c r="DL39" s="76">
        <v>0.2</v>
      </c>
      <c r="DM39" s="24"/>
      <c r="DN39" s="46"/>
      <c r="DO39" s="24"/>
      <c r="DP39" s="24"/>
      <c r="DQ39" s="38"/>
    </row>
    <row r="40" spans="2:121">
      <c r="B40" s="7">
        <v>36</v>
      </c>
      <c r="C40" s="7" t="s">
        <v>343</v>
      </c>
      <c r="D40" s="36" t="s">
        <v>1585</v>
      </c>
      <c r="E40" s="7" t="s">
        <v>344</v>
      </c>
      <c r="F40" s="7" t="s">
        <v>345</v>
      </c>
      <c r="G40" s="7" t="s">
        <v>346</v>
      </c>
      <c r="H40" s="7" t="s">
        <v>132</v>
      </c>
      <c r="I40" s="7" t="s">
        <v>139</v>
      </c>
      <c r="J40" s="9">
        <v>12750000</v>
      </c>
      <c r="K40" s="7">
        <v>2022</v>
      </c>
      <c r="L40" s="6" t="s">
        <v>134</v>
      </c>
      <c r="M40" s="6" t="s">
        <v>90</v>
      </c>
      <c r="N40" s="7" t="s">
        <v>347</v>
      </c>
      <c r="O40" s="7" t="s">
        <v>348</v>
      </c>
      <c r="P40" s="7" t="s">
        <v>98</v>
      </c>
      <c r="Q40" s="33">
        <v>998</v>
      </c>
      <c r="R40" s="11">
        <v>44503</v>
      </c>
      <c r="S40" s="11">
        <v>44510</v>
      </c>
      <c r="T40" s="11">
        <v>44510</v>
      </c>
      <c r="U40" s="12" t="s">
        <v>91</v>
      </c>
      <c r="V40" s="11">
        <f>IFERROR(T40+AD40, "-")</f>
        <v>46335</v>
      </c>
      <c r="W40" s="7">
        <f ca="1">IFERROR(DATEDIF(TODAY(), V40, "m"), "-")</f>
        <v>2</v>
      </c>
      <c r="X40" s="13">
        <v>20000</v>
      </c>
      <c r="Y40" s="7" t="s">
        <v>349</v>
      </c>
      <c r="Z40" s="7" t="s">
        <v>346</v>
      </c>
      <c r="AA40" s="7"/>
      <c r="AB40" s="9" t="s">
        <v>1600</v>
      </c>
      <c r="AC40" s="11">
        <v>44525</v>
      </c>
      <c r="AD40" s="7">
        <f>365*U40</f>
        <v>1825</v>
      </c>
      <c r="AE40" s="7">
        <f ca="1">V40-TODAY()</f>
        <v>83</v>
      </c>
      <c r="AF40" s="7" t="e">
        <f>VLOOKUP($C40,#REF!, 4, FALSE)</f>
        <v>#REF!</v>
      </c>
      <c r="AG40" s="41">
        <v>13209603</v>
      </c>
      <c r="AH40" s="9">
        <v>200000</v>
      </c>
      <c r="AI40" s="9">
        <v>12688000</v>
      </c>
      <c r="AJ40" s="9">
        <v>0</v>
      </c>
      <c r="AK40" s="9">
        <v>2000</v>
      </c>
      <c r="AL40" s="9">
        <v>461380</v>
      </c>
      <c r="AM40" s="9">
        <v>0</v>
      </c>
      <c r="AN40" s="9">
        <v>2000</v>
      </c>
      <c r="AO40" s="9">
        <v>27000</v>
      </c>
      <c r="AP40" s="9">
        <v>30000</v>
      </c>
      <c r="AQ40" s="9">
        <v>430000</v>
      </c>
      <c r="AR40" s="9">
        <v>0</v>
      </c>
      <c r="AS40" s="9" t="s">
        <v>195</v>
      </c>
      <c r="AT40" s="9">
        <v>0</v>
      </c>
      <c r="AU40" s="9" t="s">
        <v>135</v>
      </c>
      <c r="AV40" s="9"/>
      <c r="AW40" s="18">
        <f>SUM(AJ40,AK40,AN40,AO40,AP40, AR40,AT40+AL40+AM40)</f>
        <v>522380</v>
      </c>
      <c r="AX40" s="18" t="s">
        <v>196</v>
      </c>
      <c r="AY40" s="53">
        <v>44503</v>
      </c>
      <c r="AZ40" s="41">
        <v>1153090</v>
      </c>
      <c r="BA40" s="41">
        <v>1035460</v>
      </c>
      <c r="BB40" s="9"/>
      <c r="BC40" s="9"/>
      <c r="BD40" s="9"/>
      <c r="BE40" s="9" t="s">
        <v>93</v>
      </c>
      <c r="BF40" s="9" t="s">
        <v>94</v>
      </c>
      <c r="BG40" s="9" t="s">
        <v>117</v>
      </c>
      <c r="BH40" s="9" t="s">
        <v>118</v>
      </c>
      <c r="BI40" s="9" t="s">
        <v>97</v>
      </c>
      <c r="BJ40" s="9" t="s">
        <v>119</v>
      </c>
      <c r="BK40" s="7" t="s">
        <v>130</v>
      </c>
      <c r="BL40" s="9" t="s">
        <v>99</v>
      </c>
      <c r="BM40" s="9" t="s">
        <v>148</v>
      </c>
      <c r="BN40" s="9" t="s">
        <v>100</v>
      </c>
      <c r="BO40" s="9" t="s">
        <v>101</v>
      </c>
      <c r="BP40" s="9" t="s">
        <v>101</v>
      </c>
      <c r="BQ40" s="9" t="s">
        <v>198</v>
      </c>
      <c r="BR40" s="7"/>
      <c r="BS40" s="9">
        <f>IF(Q40&lt;=1600,Q40*18,IF(Q40&lt;=2500,Q40*19,IF(Q40&gt;2500,Q40*24,20000)))</f>
        <v>17964</v>
      </c>
      <c r="BT40" s="7" t="s">
        <v>140</v>
      </c>
      <c r="BU40" s="22"/>
      <c r="BV40" s="9"/>
      <c r="BW40" s="14"/>
      <c r="BX40" s="9"/>
      <c r="BY40" s="9">
        <f>BX40*BW40</f>
        <v>0</v>
      </c>
      <c r="BZ40" s="9">
        <f>BY40-BV40</f>
        <v>0</v>
      </c>
      <c r="CA40" s="27">
        <v>0</v>
      </c>
      <c r="CB40" s="87"/>
      <c r="CC40" s="15" t="s">
        <v>154</v>
      </c>
      <c r="CD40" s="15" t="s">
        <v>154</v>
      </c>
      <c r="CE40" s="9">
        <v>350000</v>
      </c>
      <c r="CF40" s="9">
        <f>U40*12</f>
        <v>60</v>
      </c>
      <c r="CG40" s="9">
        <f>CF40*CE40</f>
        <v>21000000</v>
      </c>
      <c r="CH40" s="9"/>
      <c r="CI40" s="9"/>
      <c r="CJ40" s="9">
        <v>2506900</v>
      </c>
      <c r="CK40" s="51">
        <v>7.6999999999999999E-2</v>
      </c>
      <c r="CL40" s="48">
        <v>0.04</v>
      </c>
      <c r="CM40" s="16" t="s">
        <v>350</v>
      </c>
      <c r="CN40" s="16" t="s">
        <v>351</v>
      </c>
      <c r="CO40" s="16"/>
      <c r="CP40" s="27">
        <v>0.03</v>
      </c>
      <c r="CQ40" s="38"/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 t="str">
        <f>IF(DD40="정수원 실장","기아", IF(DD40="박현식 부장", "현대", IF(DD40="김성진 팀장", "한성", IF(DD40="전석영 부장", "한성", IF(DD40= "박봉호 부장", "모토원",IF(DD40="정원철 부장", "한성"))))))</f>
        <v>기아</v>
      </c>
      <c r="DD40" s="24" t="s">
        <v>121</v>
      </c>
      <c r="DE40" s="24" t="str">
        <f>IF(DD40="정수원 실장","렌트베네핏", IF(DD40="박현식 부장", "렌트베네핏", IF(DD40="김성진 팀장", "청담", IF(DD40="전석영 부장", "방배", IF(DD40= "박봉호 부장", "일산",IF(#REF!="정원철 부장", "청담"))))))</f>
        <v>렌트베네핏</v>
      </c>
      <c r="DF40" s="24"/>
      <c r="DG40" s="24"/>
      <c r="DH40" s="24"/>
      <c r="DI40" s="24" t="s">
        <v>352</v>
      </c>
      <c r="DJ40" s="9" t="s">
        <v>1600</v>
      </c>
      <c r="DK40" s="38">
        <v>0.3</v>
      </c>
      <c r="DL40" s="76">
        <v>0.2</v>
      </c>
      <c r="DM40" s="24"/>
      <c r="DN40" s="46"/>
      <c r="DO40" s="24"/>
      <c r="DP40" s="24"/>
      <c r="DQ40" s="38"/>
    </row>
    <row r="41" spans="2:121">
      <c r="B41" s="7">
        <v>37</v>
      </c>
      <c r="C41" s="7" t="s">
        <v>1048</v>
      </c>
      <c r="D41" s="7" t="s">
        <v>1588</v>
      </c>
      <c r="E41" s="7" t="s">
        <v>354</v>
      </c>
      <c r="F41" s="9" t="s">
        <v>355</v>
      </c>
      <c r="G41" s="7" t="s">
        <v>356</v>
      </c>
      <c r="H41" s="7" t="s">
        <v>357</v>
      </c>
      <c r="I41" s="7" t="s">
        <v>223</v>
      </c>
      <c r="J41" s="9">
        <v>118600000</v>
      </c>
      <c r="K41" s="7">
        <v>2021</v>
      </c>
      <c r="L41" s="6" t="s">
        <v>358</v>
      </c>
      <c r="M41" s="6" t="s">
        <v>90</v>
      </c>
      <c r="N41" s="7" t="s">
        <v>359</v>
      </c>
      <c r="O41" s="7" t="s">
        <v>360</v>
      </c>
      <c r="P41" s="7" t="s">
        <v>98</v>
      </c>
      <c r="Q41" s="33">
        <v>2999</v>
      </c>
      <c r="R41" s="11">
        <v>44512</v>
      </c>
      <c r="S41" s="11">
        <v>44510</v>
      </c>
      <c r="T41" s="11">
        <v>44513</v>
      </c>
      <c r="U41" s="12" t="s">
        <v>153</v>
      </c>
      <c r="V41" s="11">
        <f>IFERROR(T41+AD41, "-")</f>
        <v>45608</v>
      </c>
      <c r="W41" s="7" t="str">
        <f ca="1">IFERROR(DATEDIF(TODAY(), V41, "m"), "-")</f>
        <v>-</v>
      </c>
      <c r="X41" s="13">
        <v>20000</v>
      </c>
      <c r="Y41" s="9" t="s">
        <v>355</v>
      </c>
      <c r="Z41" s="7" t="s">
        <v>356</v>
      </c>
      <c r="AA41" s="9"/>
      <c r="AB41" s="9" t="s">
        <v>361</v>
      </c>
      <c r="AC41" s="11">
        <v>44555</v>
      </c>
      <c r="AD41" s="7">
        <f>365*U41</f>
        <v>1095</v>
      </c>
      <c r="AE41" s="7">
        <f ca="1">V41-TODAY()</f>
        <v>-644</v>
      </c>
      <c r="AF41" s="7" t="e">
        <f>VLOOKUP($C41,#REF!, 4, FALSE)</f>
        <v>#REF!</v>
      </c>
      <c r="AG41" s="41">
        <v>113856000</v>
      </c>
      <c r="AH41" s="9">
        <f>AG41-AI41</f>
        <v>0</v>
      </c>
      <c r="AI41" s="9">
        <v>113856000</v>
      </c>
      <c r="AJ41" s="9">
        <v>0</v>
      </c>
      <c r="AK41" s="9">
        <v>0</v>
      </c>
      <c r="AL41" s="9">
        <v>4140210</v>
      </c>
      <c r="AM41" s="9">
        <v>201254</v>
      </c>
      <c r="AN41" s="9">
        <v>5000</v>
      </c>
      <c r="AO41" s="9">
        <v>21500</v>
      </c>
      <c r="AP41" s="9">
        <v>30000</v>
      </c>
      <c r="AQ41" s="9">
        <v>0</v>
      </c>
      <c r="AR41" s="9">
        <v>0</v>
      </c>
      <c r="AS41" s="9" t="s">
        <v>145</v>
      </c>
      <c r="AT41" s="9">
        <v>0</v>
      </c>
      <c r="AU41" s="9" t="s">
        <v>146</v>
      </c>
      <c r="AV41" s="41">
        <v>4397964</v>
      </c>
      <c r="AW41" s="18">
        <f>SUM(AJ41,AK41,AN41,AO41,AP41, AR41,AT41+AL41+AM41)</f>
        <v>4397964</v>
      </c>
      <c r="AX41" s="18" t="s">
        <v>189</v>
      </c>
      <c r="AY41" s="53">
        <v>44512</v>
      </c>
      <c r="AZ41" s="41">
        <f>4776960-702160</f>
        <v>4074800</v>
      </c>
      <c r="BA41" s="42">
        <v>1134440</v>
      </c>
      <c r="BB41" s="9"/>
      <c r="BC41" s="9"/>
      <c r="BD41" s="9"/>
      <c r="BE41" s="9" t="s">
        <v>93</v>
      </c>
      <c r="BF41" s="9" t="s">
        <v>94</v>
      </c>
      <c r="BG41" s="9" t="s">
        <v>95</v>
      </c>
      <c r="BH41" s="9" t="s">
        <v>96</v>
      </c>
      <c r="BI41" s="9" t="s">
        <v>97</v>
      </c>
      <c r="BJ41" s="9" t="s">
        <v>127</v>
      </c>
      <c r="BK41" s="7" t="s">
        <v>130</v>
      </c>
      <c r="BL41" s="9" t="s">
        <v>99</v>
      </c>
      <c r="BM41" s="9" t="s">
        <v>148</v>
      </c>
      <c r="BN41" s="9" t="s">
        <v>100</v>
      </c>
      <c r="BO41" s="9" t="s">
        <v>101</v>
      </c>
      <c r="BP41" s="9" t="s">
        <v>101</v>
      </c>
      <c r="BQ41" s="9" t="s">
        <v>362</v>
      </c>
      <c r="BR41" s="7"/>
      <c r="BS41" s="9">
        <f>IF(Q41&lt;=1600,Q41*18,IF(Q41&lt;=2500,Q41*19,IF(Q41&gt;2500,Q41*24,20000)))</f>
        <v>71976</v>
      </c>
      <c r="BT41" s="7" t="s">
        <v>203</v>
      </c>
      <c r="BU41" s="22">
        <v>44511</v>
      </c>
      <c r="BV41" s="9">
        <v>101571000</v>
      </c>
      <c r="BW41" s="14" t="s">
        <v>363</v>
      </c>
      <c r="BX41" s="9">
        <v>3067700</v>
      </c>
      <c r="BY41" s="9">
        <v>111382117</v>
      </c>
      <c r="BZ41" s="9">
        <v>9811117</v>
      </c>
      <c r="CA41" s="27">
        <v>3.0599999999999999E-2</v>
      </c>
      <c r="CB41" s="87"/>
      <c r="CC41" s="15" t="s">
        <v>154</v>
      </c>
      <c r="CD41" s="15" t="s">
        <v>147</v>
      </c>
      <c r="CE41" s="9">
        <v>2932000</v>
      </c>
      <c r="CF41" s="9">
        <f>U41*12</f>
        <v>36</v>
      </c>
      <c r="CG41" s="9">
        <f>CF41*CE41</f>
        <v>105552000</v>
      </c>
      <c r="CH41" s="9">
        <v>12360000</v>
      </c>
      <c r="CI41" s="9">
        <v>0</v>
      </c>
      <c r="CJ41" s="9">
        <v>45114000</v>
      </c>
      <c r="CK41" s="51">
        <v>2.1000000000000001E-2</v>
      </c>
      <c r="CL41" s="48">
        <v>0.06</v>
      </c>
      <c r="CM41" s="16" t="s">
        <v>364</v>
      </c>
      <c r="CN41" s="16" t="s">
        <v>365</v>
      </c>
      <c r="CO41" s="16"/>
      <c r="CP41" s="27">
        <v>0.03</v>
      </c>
      <c r="CQ41" s="38"/>
      <c r="CR41" s="24">
        <v>0</v>
      </c>
      <c r="CS41" s="24">
        <v>0</v>
      </c>
      <c r="CT41" s="24">
        <v>0</v>
      </c>
      <c r="CU41" s="24">
        <v>0</v>
      </c>
      <c r="CV41" s="24">
        <v>0</v>
      </c>
      <c r="CW41" s="24">
        <v>0</v>
      </c>
      <c r="CX41" s="24">
        <v>0</v>
      </c>
      <c r="CY41" s="24">
        <v>0</v>
      </c>
      <c r="CZ41" s="24">
        <v>0</v>
      </c>
      <c r="DA41" s="24">
        <v>0</v>
      </c>
      <c r="DB41" s="24">
        <v>0</v>
      </c>
      <c r="DC41" s="24" t="str">
        <f>IF(DD41="정수원 실장","기아", IF(DD41="박현식 부장", "현대", IF(DD41="김성진 팀장", "한성", IF(DD41="전석영 부장", "한성", IF(DD41= "박봉호 부장", "모토원",IF(DD41="정원철 부장", "한성"))))))</f>
        <v>한성</v>
      </c>
      <c r="DD41" s="24" t="s">
        <v>104</v>
      </c>
      <c r="DE41" s="24" t="b">
        <f>IF(DD41="정수원 실장","렌트베네핏", IF(DD41="박현식 부장", "렌트베네핏", IF(DD41="김성진 팀장", "청담", IF(DD41="전석영 부장", "방배", IF(DD41= "박봉호 부장", "일산",IF(DD99="정원철 부장", "청담"))))))</f>
        <v>0</v>
      </c>
      <c r="DF41" s="24"/>
      <c r="DG41" s="24"/>
      <c r="DH41" s="24"/>
      <c r="DI41" s="24" t="s">
        <v>366</v>
      </c>
      <c r="DJ41" s="22" t="s">
        <v>1610</v>
      </c>
      <c r="DK41" s="38">
        <v>0.3</v>
      </c>
      <c r="DL41" s="76">
        <v>0.2</v>
      </c>
      <c r="DM41" s="24"/>
      <c r="DN41" s="46"/>
      <c r="DO41" s="24"/>
      <c r="DP41" s="24"/>
      <c r="DQ41" s="38"/>
    </row>
    <row r="42" spans="2:121">
      <c r="B42" s="7">
        <v>38</v>
      </c>
      <c r="C42" s="7" t="s">
        <v>367</v>
      </c>
      <c r="D42" s="36" t="s">
        <v>1585</v>
      </c>
      <c r="E42" s="7" t="s">
        <v>368</v>
      </c>
      <c r="F42" s="7" t="s">
        <v>369</v>
      </c>
      <c r="G42" s="7" t="s">
        <v>370</v>
      </c>
      <c r="H42" s="7" t="s">
        <v>192</v>
      </c>
      <c r="I42" s="7" t="s">
        <v>139</v>
      </c>
      <c r="J42" s="9">
        <v>12750000</v>
      </c>
      <c r="K42" s="7">
        <v>2022</v>
      </c>
      <c r="L42" s="6" t="s">
        <v>134</v>
      </c>
      <c r="M42" s="6" t="s">
        <v>90</v>
      </c>
      <c r="N42" s="7" t="s">
        <v>371</v>
      </c>
      <c r="O42" s="7" t="s">
        <v>372</v>
      </c>
      <c r="P42" s="7" t="s">
        <v>98</v>
      </c>
      <c r="Q42" s="33">
        <v>998</v>
      </c>
      <c r="R42" s="11">
        <v>44503</v>
      </c>
      <c r="S42" s="11">
        <v>44517</v>
      </c>
      <c r="T42" s="11">
        <v>44517</v>
      </c>
      <c r="U42" s="12" t="s">
        <v>91</v>
      </c>
      <c r="V42" s="11">
        <f>IFERROR(T42+AD42, "-")</f>
        <v>46342</v>
      </c>
      <c r="W42" s="7">
        <f ca="1">IFERROR(DATEDIF(TODAY(), V42, "m"), "-")</f>
        <v>2</v>
      </c>
      <c r="X42" s="13">
        <v>20000</v>
      </c>
      <c r="Y42" s="9" t="s">
        <v>373</v>
      </c>
      <c r="Z42" s="9" t="s">
        <v>370</v>
      </c>
      <c r="AA42" s="9"/>
      <c r="AB42" s="9" t="s">
        <v>374</v>
      </c>
      <c r="AC42" s="11">
        <v>44545</v>
      </c>
      <c r="AD42" s="7">
        <f>365*U42</f>
        <v>1825</v>
      </c>
      <c r="AE42" s="7">
        <f ca="1">V42-TODAY()</f>
        <v>90</v>
      </c>
      <c r="AF42" s="7" t="e">
        <f>VLOOKUP($C42,#REF!, 4, FALSE)</f>
        <v>#REF!</v>
      </c>
      <c r="AG42" s="41">
        <v>13209603</v>
      </c>
      <c r="AH42" s="9">
        <v>200000</v>
      </c>
      <c r="AI42" s="9">
        <v>12688000</v>
      </c>
      <c r="AJ42" s="9">
        <v>0</v>
      </c>
      <c r="AK42" s="9">
        <v>2000</v>
      </c>
      <c r="AL42" s="9">
        <v>461380</v>
      </c>
      <c r="AM42" s="9">
        <v>0</v>
      </c>
      <c r="AN42" s="9">
        <v>2000</v>
      </c>
      <c r="AO42" s="9">
        <v>27000</v>
      </c>
      <c r="AP42" s="9">
        <v>30000</v>
      </c>
      <c r="AQ42" s="9">
        <v>430000</v>
      </c>
      <c r="AR42" s="9">
        <v>0</v>
      </c>
      <c r="AS42" s="9" t="s">
        <v>195</v>
      </c>
      <c r="AT42" s="9">
        <v>0</v>
      </c>
      <c r="AU42" s="9" t="s">
        <v>135</v>
      </c>
      <c r="AV42" s="9"/>
      <c r="AW42" s="18">
        <f>SUM(AJ42,AK42,AN42,AO42,AP42, AR42,AT42+AL42+AM42)</f>
        <v>522380</v>
      </c>
      <c r="AX42" s="18" t="s">
        <v>196</v>
      </c>
      <c r="AY42" s="53">
        <v>44503</v>
      </c>
      <c r="AZ42" s="41">
        <v>1153090</v>
      </c>
      <c r="BA42" s="41">
        <v>1035460</v>
      </c>
      <c r="BB42" s="9"/>
      <c r="BC42" s="9"/>
      <c r="BD42" s="9"/>
      <c r="BE42" s="9" t="s">
        <v>93</v>
      </c>
      <c r="BF42" s="9" t="s">
        <v>94</v>
      </c>
      <c r="BG42" s="9" t="s">
        <v>117</v>
      </c>
      <c r="BH42" s="9" t="s">
        <v>118</v>
      </c>
      <c r="BI42" s="9" t="s">
        <v>97</v>
      </c>
      <c r="BJ42" s="9" t="s">
        <v>119</v>
      </c>
      <c r="BK42" s="7" t="s">
        <v>130</v>
      </c>
      <c r="BL42" s="9" t="s">
        <v>99</v>
      </c>
      <c r="BM42" s="9" t="s">
        <v>148</v>
      </c>
      <c r="BN42" s="9" t="s">
        <v>100</v>
      </c>
      <c r="BO42" s="9" t="s">
        <v>101</v>
      </c>
      <c r="BP42" s="9" t="s">
        <v>101</v>
      </c>
      <c r="BQ42" s="9" t="s">
        <v>198</v>
      </c>
      <c r="BR42" s="7"/>
      <c r="BS42" s="9">
        <f>IF(Q42&lt;=1600,Q42*18,IF(Q42&lt;=2500,Q42*19,IF(Q42&gt;2500,Q42*24,20000)))</f>
        <v>17964</v>
      </c>
      <c r="BT42" s="7" t="s">
        <v>140</v>
      </c>
      <c r="BU42" s="22"/>
      <c r="BV42" s="9"/>
      <c r="BW42" s="14"/>
      <c r="BX42" s="9"/>
      <c r="BY42" s="9">
        <f>BX42*BW42</f>
        <v>0</v>
      </c>
      <c r="BZ42" s="9">
        <f>BY42-BV42</f>
        <v>0</v>
      </c>
      <c r="CA42" s="27">
        <v>0</v>
      </c>
      <c r="CB42" s="1"/>
      <c r="CC42" s="15" t="s">
        <v>147</v>
      </c>
      <c r="CD42" s="15" t="s">
        <v>147</v>
      </c>
      <c r="CE42" s="9">
        <v>366700</v>
      </c>
      <c r="CF42" s="9">
        <f>U42*12</f>
        <v>60</v>
      </c>
      <c r="CG42" s="9">
        <f>CF42*CE42</f>
        <v>22002000</v>
      </c>
      <c r="CH42" s="9"/>
      <c r="CI42" s="9"/>
      <c r="CJ42" s="9">
        <v>2506900</v>
      </c>
      <c r="CK42" s="51">
        <v>2.1000000000000001E-2</v>
      </c>
      <c r="CL42" s="48">
        <v>0.04</v>
      </c>
      <c r="CM42" s="16" t="s">
        <v>375</v>
      </c>
      <c r="CN42" s="16"/>
      <c r="CO42" s="16"/>
      <c r="CP42" s="27">
        <v>0.03</v>
      </c>
      <c r="CQ42" s="38"/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 t="str">
        <f>IF(DD42="정수원 실장","기아", IF(DD42="박현식 부장", "현대", IF(DD42="김성진 팀장", "한성", IF(DD42="전석영 부장", "한성", IF(DD42= "박봉호 부장", "모토원",IF(DD42="정원철 부장", "한성"))))))</f>
        <v>기아</v>
      </c>
      <c r="DD42" s="24" t="s">
        <v>121</v>
      </c>
      <c r="DE42" s="24" t="str">
        <f>IF(DD42="정수원 실장","렌트베네핏", IF(DD42="박현식 부장", "렌트베네핏", IF(DD42="김성진 팀장", "청담", IF(DD42="전석영 부장", "방배", IF(DD42= "박봉호 부장", "일산",IF(DD101="정원철 부장", "청담"))))))</f>
        <v>렌트베네핏</v>
      </c>
      <c r="DF42" s="24"/>
      <c r="DG42" s="24" t="s">
        <v>376</v>
      </c>
      <c r="DH42" s="24" t="s">
        <v>377</v>
      </c>
      <c r="DI42" s="24" t="s">
        <v>378</v>
      </c>
      <c r="DJ42" s="24" t="s">
        <v>379</v>
      </c>
      <c r="DK42" s="38">
        <v>0.3</v>
      </c>
      <c r="DL42" s="76">
        <v>0.2</v>
      </c>
      <c r="DM42" s="24"/>
      <c r="DN42" s="46"/>
      <c r="DO42" s="24"/>
      <c r="DP42" s="24"/>
      <c r="DQ42" s="38"/>
    </row>
    <row r="43" spans="2:121">
      <c r="B43" s="7">
        <v>39</v>
      </c>
      <c r="C43" s="7" t="s">
        <v>380</v>
      </c>
      <c r="D43" s="36" t="s">
        <v>1585</v>
      </c>
      <c r="E43" s="7" t="s">
        <v>1324</v>
      </c>
      <c r="F43" s="7" t="s">
        <v>1334</v>
      </c>
      <c r="G43" s="7" t="s">
        <v>370</v>
      </c>
      <c r="H43" s="7" t="s">
        <v>132</v>
      </c>
      <c r="I43" s="7" t="s">
        <v>139</v>
      </c>
      <c r="J43" s="9">
        <v>12750000</v>
      </c>
      <c r="K43" s="7">
        <v>2022</v>
      </c>
      <c r="L43" s="6" t="s">
        <v>134</v>
      </c>
      <c r="M43" s="6" t="s">
        <v>90</v>
      </c>
      <c r="N43" s="7" t="s">
        <v>381</v>
      </c>
      <c r="O43" s="7" t="s">
        <v>382</v>
      </c>
      <c r="P43" s="7" t="s">
        <v>98</v>
      </c>
      <c r="Q43" s="33">
        <v>998</v>
      </c>
      <c r="R43" s="11">
        <v>44503</v>
      </c>
      <c r="S43" s="11">
        <v>44517</v>
      </c>
      <c r="T43" s="11">
        <v>44517</v>
      </c>
      <c r="U43" s="12" t="s">
        <v>91</v>
      </c>
      <c r="V43" s="11">
        <f>IFERROR(T43+AD43, "-")</f>
        <v>46342</v>
      </c>
      <c r="W43" s="7">
        <f ca="1">IFERROR(DATEDIF(TODAY(), V43, "m"), "-")</f>
        <v>2</v>
      </c>
      <c r="X43" s="13">
        <v>20000</v>
      </c>
      <c r="Y43" s="9" t="s">
        <v>1336</v>
      </c>
      <c r="Z43" s="9" t="s">
        <v>1335</v>
      </c>
      <c r="AA43" s="9"/>
      <c r="AB43" s="9" t="s">
        <v>1327</v>
      </c>
      <c r="AC43" s="11">
        <v>45945</v>
      </c>
      <c r="AD43" s="7">
        <f>365*U43</f>
        <v>1825</v>
      </c>
      <c r="AE43" s="7">
        <f ca="1">V43-TODAY()</f>
        <v>90</v>
      </c>
      <c r="AF43" s="7" t="e">
        <f>VLOOKUP($C43,#REF!, 4, FALSE)</f>
        <v>#REF!</v>
      </c>
      <c r="AG43" s="41">
        <v>13209603</v>
      </c>
      <c r="AH43" s="9">
        <v>200000</v>
      </c>
      <c r="AI43" s="9">
        <v>12688000</v>
      </c>
      <c r="AJ43" s="9">
        <v>0</v>
      </c>
      <c r="AK43" s="9">
        <v>2000</v>
      </c>
      <c r="AL43" s="9">
        <v>461380</v>
      </c>
      <c r="AM43" s="9">
        <v>0</v>
      </c>
      <c r="AN43" s="9">
        <v>2000</v>
      </c>
      <c r="AO43" s="9">
        <v>27000</v>
      </c>
      <c r="AP43" s="9">
        <v>30000</v>
      </c>
      <c r="AQ43" s="9">
        <v>430000</v>
      </c>
      <c r="AR43" s="9">
        <v>0</v>
      </c>
      <c r="AS43" s="9" t="s">
        <v>195</v>
      </c>
      <c r="AT43" s="9">
        <v>0</v>
      </c>
      <c r="AU43" s="9" t="s">
        <v>135</v>
      </c>
      <c r="AV43" s="9"/>
      <c r="AW43" s="18">
        <f>SUM(AJ43,AK43,AN43,AO43,AP43, AR43,AT43+AL43+AM43)</f>
        <v>522380</v>
      </c>
      <c r="AX43" s="18" t="s">
        <v>196</v>
      </c>
      <c r="AY43" s="53">
        <v>44503</v>
      </c>
      <c r="AZ43" s="41">
        <v>1153090</v>
      </c>
      <c r="BA43" s="41">
        <v>1035460</v>
      </c>
      <c r="BB43" s="9"/>
      <c r="BC43" s="9"/>
      <c r="BD43" s="9"/>
      <c r="BE43" s="9" t="s">
        <v>93</v>
      </c>
      <c r="BF43" s="9" t="s">
        <v>94</v>
      </c>
      <c r="BG43" s="9" t="s">
        <v>117</v>
      </c>
      <c r="BH43" s="9" t="s">
        <v>118</v>
      </c>
      <c r="BI43" s="9" t="s">
        <v>97</v>
      </c>
      <c r="BJ43" s="9" t="s">
        <v>119</v>
      </c>
      <c r="BK43" s="7" t="s">
        <v>130</v>
      </c>
      <c r="BL43" s="9" t="s">
        <v>99</v>
      </c>
      <c r="BM43" s="9" t="s">
        <v>148</v>
      </c>
      <c r="BN43" s="9" t="s">
        <v>100</v>
      </c>
      <c r="BO43" s="9" t="s">
        <v>101</v>
      </c>
      <c r="BP43" s="9" t="s">
        <v>101</v>
      </c>
      <c r="BQ43" s="9" t="s">
        <v>198</v>
      </c>
      <c r="BR43" s="7"/>
      <c r="BS43" s="9">
        <f>IF(Q43&lt;=1600,Q43*18,IF(Q43&lt;=2500,Q43*19,IF(Q43&gt;2500,Q43*24,20000)))</f>
        <v>17964</v>
      </c>
      <c r="BT43" s="7" t="s">
        <v>140</v>
      </c>
      <c r="BU43" s="22"/>
      <c r="BV43" s="9"/>
      <c r="BW43" s="14"/>
      <c r="BX43" s="9"/>
      <c r="BY43" s="9">
        <f>BX43*BW43</f>
        <v>0</v>
      </c>
      <c r="BZ43" s="9">
        <f>BY43-BV43</f>
        <v>0</v>
      </c>
      <c r="CA43" s="27">
        <v>0</v>
      </c>
      <c r="CB43" s="1"/>
      <c r="CC43" s="15" t="s">
        <v>147</v>
      </c>
      <c r="CD43" s="15" t="s">
        <v>147</v>
      </c>
      <c r="CE43" s="9">
        <v>477650</v>
      </c>
      <c r="CF43" s="9">
        <f>U43*12</f>
        <v>60</v>
      </c>
      <c r="CG43" s="9">
        <f>CF43*CE43</f>
        <v>28659000</v>
      </c>
      <c r="CH43" s="9"/>
      <c r="CI43" s="9"/>
      <c r="CJ43" s="9">
        <v>2506900</v>
      </c>
      <c r="CK43" s="51">
        <v>0.09</v>
      </c>
      <c r="CL43" s="48">
        <v>0.04</v>
      </c>
      <c r="CM43" s="16" t="s">
        <v>375</v>
      </c>
      <c r="CN43" s="16"/>
      <c r="CO43" s="16"/>
      <c r="CP43" s="27">
        <v>0.03</v>
      </c>
      <c r="CQ43" s="38"/>
      <c r="CR43" s="24">
        <v>0</v>
      </c>
      <c r="CS43" s="24">
        <v>0</v>
      </c>
      <c r="CT43" s="24">
        <v>0</v>
      </c>
      <c r="CU43" s="24">
        <v>0</v>
      </c>
      <c r="CV43" s="24">
        <v>0</v>
      </c>
      <c r="CW43" s="24">
        <v>0</v>
      </c>
      <c r="CX43" s="24">
        <v>0</v>
      </c>
      <c r="CY43" s="24">
        <v>0</v>
      </c>
      <c r="CZ43" s="24">
        <v>0</v>
      </c>
      <c r="DA43" s="24">
        <v>0</v>
      </c>
      <c r="DB43" s="24">
        <v>0</v>
      </c>
      <c r="DC43" s="24" t="str">
        <f>IF(DD43="정수원 실장","기아", IF(DD43="박현식 부장", "현대", IF(DD43="김성진 팀장", "한성", IF(DD43="전석영 부장", "한성", IF(DD43= "박봉호 부장", "모토원",IF(DD43="정원철 부장", "한성"))))))</f>
        <v>기아</v>
      </c>
      <c r="DD43" s="24" t="s">
        <v>121</v>
      </c>
      <c r="DE43" s="24" t="str">
        <f>IF(DD43="정수원 실장","렌트베네핏", IF(DD43="박현식 부장", "렌트베네핏", IF(DD43="김성진 팀장", "청담", IF(DD43="전석영 부장", "방배", IF(DD43= "박봉호 부장", "일산",IF(#REF!="정원철 부장", "청담"))))))</f>
        <v>렌트베네핏</v>
      </c>
      <c r="DF43" s="24"/>
      <c r="DG43" s="24" t="s">
        <v>376</v>
      </c>
      <c r="DH43" s="24" t="s">
        <v>1325</v>
      </c>
      <c r="DI43" s="24" t="s">
        <v>1326</v>
      </c>
      <c r="DJ43" s="24" t="s">
        <v>1327</v>
      </c>
      <c r="DK43" s="38">
        <v>0.3</v>
      </c>
      <c r="DL43" s="76">
        <v>0.2</v>
      </c>
      <c r="DM43" s="24"/>
      <c r="DN43" s="46"/>
      <c r="DO43" s="24"/>
      <c r="DP43" s="24"/>
      <c r="DQ43" s="38"/>
    </row>
    <row r="44" spans="2:121">
      <c r="B44" s="7">
        <v>40</v>
      </c>
      <c r="C44" s="7" t="s">
        <v>383</v>
      </c>
      <c r="D44" s="36" t="s">
        <v>1585</v>
      </c>
      <c r="E44" s="7" t="s">
        <v>384</v>
      </c>
      <c r="F44" s="7" t="s">
        <v>369</v>
      </c>
      <c r="G44" s="7" t="s">
        <v>370</v>
      </c>
      <c r="H44" s="7" t="s">
        <v>132</v>
      </c>
      <c r="I44" s="7" t="s">
        <v>139</v>
      </c>
      <c r="J44" s="9">
        <v>12750000</v>
      </c>
      <c r="K44" s="7">
        <v>2022</v>
      </c>
      <c r="L44" s="6" t="s">
        <v>134</v>
      </c>
      <c r="M44" s="6" t="s">
        <v>90</v>
      </c>
      <c r="N44" s="7" t="s">
        <v>385</v>
      </c>
      <c r="O44" s="7" t="s">
        <v>386</v>
      </c>
      <c r="P44" s="7" t="s">
        <v>98</v>
      </c>
      <c r="Q44" s="33">
        <v>998</v>
      </c>
      <c r="R44" s="11">
        <v>44503</v>
      </c>
      <c r="S44" s="11">
        <v>44517</v>
      </c>
      <c r="T44" s="11">
        <v>44517</v>
      </c>
      <c r="U44" s="12" t="s">
        <v>91</v>
      </c>
      <c r="V44" s="11">
        <f>IFERROR(T44+AD44, "-")</f>
        <v>46342</v>
      </c>
      <c r="W44" s="7">
        <f ca="1">IFERROR(DATEDIF(TODAY(), V44, "m"), "-")</f>
        <v>2</v>
      </c>
      <c r="X44" s="13">
        <v>20000</v>
      </c>
      <c r="Y44" s="9" t="s">
        <v>373</v>
      </c>
      <c r="Z44" s="9" t="s">
        <v>370</v>
      </c>
      <c r="AA44" s="9"/>
      <c r="AB44" s="9" t="s">
        <v>374</v>
      </c>
      <c r="AC44" s="11">
        <v>44545</v>
      </c>
      <c r="AD44" s="7">
        <f>365*U44</f>
        <v>1825</v>
      </c>
      <c r="AE44" s="7">
        <f ca="1">V44-TODAY()</f>
        <v>90</v>
      </c>
      <c r="AF44" s="7" t="e">
        <f>VLOOKUP($C44,#REF!, 4, FALSE)</f>
        <v>#REF!</v>
      </c>
      <c r="AG44" s="41">
        <v>13209603</v>
      </c>
      <c r="AH44" s="9">
        <v>200000</v>
      </c>
      <c r="AI44" s="9">
        <v>12688000</v>
      </c>
      <c r="AJ44" s="9">
        <v>0</v>
      </c>
      <c r="AK44" s="9">
        <v>2000</v>
      </c>
      <c r="AL44" s="9">
        <v>461380</v>
      </c>
      <c r="AM44" s="9">
        <v>0</v>
      </c>
      <c r="AN44" s="9">
        <v>2000</v>
      </c>
      <c r="AO44" s="9">
        <v>27000</v>
      </c>
      <c r="AP44" s="9">
        <v>30000</v>
      </c>
      <c r="AQ44" s="9">
        <v>430000</v>
      </c>
      <c r="AR44" s="9">
        <v>0</v>
      </c>
      <c r="AS44" s="9" t="s">
        <v>195</v>
      </c>
      <c r="AT44" s="9">
        <v>0</v>
      </c>
      <c r="AU44" s="9" t="s">
        <v>135</v>
      </c>
      <c r="AV44" s="9"/>
      <c r="AW44" s="18">
        <f>SUM(AJ44,AK44,AN44,AO44,AP44, AR44,AT44+AL44+AM44)</f>
        <v>522380</v>
      </c>
      <c r="AX44" s="18" t="s">
        <v>196</v>
      </c>
      <c r="AY44" s="53">
        <v>44503</v>
      </c>
      <c r="AZ44" s="41">
        <v>1153090</v>
      </c>
      <c r="BA44" s="42">
        <v>1042640</v>
      </c>
      <c r="BB44" s="9"/>
      <c r="BC44" s="9"/>
      <c r="BD44" s="9"/>
      <c r="BE44" s="9" t="s">
        <v>93</v>
      </c>
      <c r="BF44" s="9" t="s">
        <v>94</v>
      </c>
      <c r="BG44" s="9" t="s">
        <v>117</v>
      </c>
      <c r="BH44" s="9" t="s">
        <v>118</v>
      </c>
      <c r="BI44" s="9" t="s">
        <v>97</v>
      </c>
      <c r="BJ44" s="9" t="s">
        <v>119</v>
      </c>
      <c r="BK44" s="7" t="s">
        <v>130</v>
      </c>
      <c r="BL44" s="9" t="s">
        <v>99</v>
      </c>
      <c r="BM44" s="9" t="s">
        <v>148</v>
      </c>
      <c r="BN44" s="9" t="s">
        <v>100</v>
      </c>
      <c r="BO44" s="9" t="s">
        <v>101</v>
      </c>
      <c r="BP44" s="9" t="s">
        <v>101</v>
      </c>
      <c r="BQ44" s="9" t="s">
        <v>198</v>
      </c>
      <c r="BR44" s="7"/>
      <c r="BS44" s="9">
        <f>IF(Q44&lt;=1600,Q44*18,IF(Q44&lt;=2500,Q44*19,IF(Q44&gt;2500,Q44*24,20000)))</f>
        <v>17964</v>
      </c>
      <c r="BT44" s="7" t="s">
        <v>140</v>
      </c>
      <c r="BU44" s="22"/>
      <c r="BV44" s="9"/>
      <c r="BW44" s="14"/>
      <c r="BX44" s="9"/>
      <c r="BY44" s="9">
        <f>BX44*BW44</f>
        <v>0</v>
      </c>
      <c r="BZ44" s="9">
        <f>BY44-BV44</f>
        <v>0</v>
      </c>
      <c r="CA44" s="27">
        <v>0</v>
      </c>
      <c r="CB44" s="1"/>
      <c r="CC44" s="15" t="s">
        <v>147</v>
      </c>
      <c r="CD44" s="15" t="s">
        <v>147</v>
      </c>
      <c r="CE44" s="9">
        <v>352650</v>
      </c>
      <c r="CF44" s="9">
        <f>U44*12</f>
        <v>60</v>
      </c>
      <c r="CG44" s="9">
        <f>CF44*CE44</f>
        <v>21159000</v>
      </c>
      <c r="CH44" s="9"/>
      <c r="CI44" s="9"/>
      <c r="CJ44" s="9">
        <v>2506900</v>
      </c>
      <c r="CK44" s="51">
        <v>0.09</v>
      </c>
      <c r="CL44" s="48">
        <v>0.04</v>
      </c>
      <c r="CM44" s="16" t="s">
        <v>375</v>
      </c>
      <c r="CN44" s="16"/>
      <c r="CO44" s="16"/>
      <c r="CP44" s="27">
        <v>0.03</v>
      </c>
      <c r="CQ44" s="38"/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 t="str">
        <f>IF(DD44="정수원 실장","기아", IF(DD44="박현식 부장", "현대", IF(DD44="김성진 팀장", "한성", IF(DD44="전석영 부장", "한성", IF(DD44= "박봉호 부장", "모토원",IF(DD44="정원철 부장", "한성"))))))</f>
        <v>기아</v>
      </c>
      <c r="DD44" s="24" t="s">
        <v>121</v>
      </c>
      <c r="DE44" s="24" t="str">
        <f>IF(DD44="정수원 실장","렌트베네핏", IF(DD44="박현식 부장", "렌트베네핏", IF(DD44="김성진 팀장", "청담", IF(DD44="전석영 부장", "방배", IF(DD44= "박봉호 부장", "일산",IF(DD89="정원철 부장", "청담"))))))</f>
        <v>렌트베네핏</v>
      </c>
      <c r="DF44" s="24"/>
      <c r="DG44" s="24" t="s">
        <v>376</v>
      </c>
      <c r="DH44" s="24" t="s">
        <v>377</v>
      </c>
      <c r="DI44" s="24" t="s">
        <v>378</v>
      </c>
      <c r="DJ44" s="24" t="s">
        <v>379</v>
      </c>
      <c r="DK44" s="38">
        <v>0.3</v>
      </c>
      <c r="DL44" s="76">
        <v>0.2</v>
      </c>
      <c r="DM44" s="24"/>
      <c r="DN44" s="46"/>
      <c r="DO44" s="24"/>
      <c r="DP44" s="24"/>
      <c r="DQ44" s="38"/>
    </row>
    <row r="45" spans="2:121">
      <c r="B45" s="7">
        <v>41</v>
      </c>
      <c r="C45" s="7" t="s">
        <v>1287</v>
      </c>
      <c r="D45" s="7" t="s">
        <v>103</v>
      </c>
      <c r="E45" s="7" t="s">
        <v>387</v>
      </c>
      <c r="F45" s="7" t="s">
        <v>388</v>
      </c>
      <c r="G45" s="7" t="s">
        <v>389</v>
      </c>
      <c r="H45" s="7" t="s">
        <v>192</v>
      </c>
      <c r="I45" s="7" t="s">
        <v>139</v>
      </c>
      <c r="J45" s="9">
        <v>12750000</v>
      </c>
      <c r="K45" s="7">
        <v>2022</v>
      </c>
      <c r="L45" s="6" t="s">
        <v>134</v>
      </c>
      <c r="M45" s="6" t="s">
        <v>90</v>
      </c>
      <c r="N45" s="7" t="s">
        <v>390</v>
      </c>
      <c r="O45" s="7" t="s">
        <v>391</v>
      </c>
      <c r="P45" s="7" t="s">
        <v>98</v>
      </c>
      <c r="Q45" s="33">
        <v>998</v>
      </c>
      <c r="R45" s="11">
        <v>44503</v>
      </c>
      <c r="S45" s="11">
        <v>44518</v>
      </c>
      <c r="T45" s="11">
        <v>44518</v>
      </c>
      <c r="U45" s="12" t="s">
        <v>91</v>
      </c>
      <c r="V45" s="11">
        <f>IFERROR(T45+AD45, "-")</f>
        <v>46343</v>
      </c>
      <c r="W45" s="7">
        <f ca="1">IFERROR(DATEDIF(TODAY(), V45, "m"), "-")</f>
        <v>2</v>
      </c>
      <c r="X45" s="13">
        <v>20000</v>
      </c>
      <c r="Y45" s="9" t="s">
        <v>392</v>
      </c>
      <c r="Z45" s="9" t="s">
        <v>393</v>
      </c>
      <c r="AA45" s="9"/>
      <c r="AB45" s="9" t="s">
        <v>394</v>
      </c>
      <c r="AC45" s="11">
        <v>44525</v>
      </c>
      <c r="AD45" s="7">
        <f>365*U45</f>
        <v>1825</v>
      </c>
      <c r="AE45" s="7">
        <f ca="1">V45-TODAY()</f>
        <v>91</v>
      </c>
      <c r="AF45" s="7" t="e">
        <f>VLOOKUP($C45,#REF!, 4, FALSE)</f>
        <v>#REF!</v>
      </c>
      <c r="AG45" s="41">
        <v>13209603</v>
      </c>
      <c r="AH45" s="9">
        <v>200000</v>
      </c>
      <c r="AI45" s="9">
        <v>12688000</v>
      </c>
      <c r="AJ45" s="9">
        <v>0</v>
      </c>
      <c r="AK45" s="9">
        <v>2000</v>
      </c>
      <c r="AL45" s="9">
        <v>461380</v>
      </c>
      <c r="AM45" s="9">
        <v>0</v>
      </c>
      <c r="AN45" s="9">
        <v>2000</v>
      </c>
      <c r="AO45" s="9">
        <v>27000</v>
      </c>
      <c r="AP45" s="9">
        <v>30000</v>
      </c>
      <c r="AQ45" s="9">
        <v>430000</v>
      </c>
      <c r="AR45" s="9">
        <v>0</v>
      </c>
      <c r="AS45" s="9" t="s">
        <v>195</v>
      </c>
      <c r="AT45" s="9">
        <v>0</v>
      </c>
      <c r="AU45" s="9" t="s">
        <v>135</v>
      </c>
      <c r="AV45" s="9"/>
      <c r="AW45" s="18">
        <f>SUM(AJ45,AK45,AN45,AO45,AP45, AR45,AT45+AL45+AM45)</f>
        <v>522380</v>
      </c>
      <c r="AX45" s="18" t="s">
        <v>196</v>
      </c>
      <c r="AY45" s="53">
        <v>44503</v>
      </c>
      <c r="AZ45" s="41">
        <v>1153090</v>
      </c>
      <c r="BA45" s="41">
        <v>1035460</v>
      </c>
      <c r="BB45" s="9"/>
      <c r="BC45" s="9"/>
      <c r="BD45" s="9"/>
      <c r="BE45" s="9" t="s">
        <v>93</v>
      </c>
      <c r="BF45" s="9" t="s">
        <v>94</v>
      </c>
      <c r="BG45" s="9" t="s">
        <v>117</v>
      </c>
      <c r="BH45" s="9" t="s">
        <v>118</v>
      </c>
      <c r="BI45" s="9" t="s">
        <v>97</v>
      </c>
      <c r="BJ45" s="9" t="s">
        <v>119</v>
      </c>
      <c r="BK45" s="7" t="s">
        <v>130</v>
      </c>
      <c r="BL45" s="9" t="s">
        <v>99</v>
      </c>
      <c r="BM45" s="9" t="s">
        <v>148</v>
      </c>
      <c r="BN45" s="9" t="s">
        <v>100</v>
      </c>
      <c r="BO45" s="9" t="s">
        <v>101</v>
      </c>
      <c r="BP45" s="9" t="s">
        <v>101</v>
      </c>
      <c r="BQ45" s="9" t="s">
        <v>198</v>
      </c>
      <c r="BR45" s="7"/>
      <c r="BS45" s="9">
        <f>IF(Q45&lt;=1600,Q45*18,IF(Q45&lt;=2500,Q45*19,IF(Q45&gt;2500,Q45*24,20000)))</f>
        <v>17964</v>
      </c>
      <c r="BT45" s="7" t="s">
        <v>140</v>
      </c>
      <c r="BU45" s="22"/>
      <c r="BV45" s="9"/>
      <c r="BW45" s="14"/>
      <c r="BX45" s="9"/>
      <c r="BY45" s="9">
        <f>BX45*BW45</f>
        <v>0</v>
      </c>
      <c r="BZ45" s="9">
        <f>BY45-BV45</f>
        <v>0</v>
      </c>
      <c r="CA45" s="27">
        <v>0</v>
      </c>
      <c r="CB45" s="1"/>
      <c r="CC45" s="15" t="s">
        <v>154</v>
      </c>
      <c r="CD45" s="15" t="s">
        <v>154</v>
      </c>
      <c r="CE45" s="9">
        <v>376700</v>
      </c>
      <c r="CF45" s="9">
        <f>U45*12</f>
        <v>60</v>
      </c>
      <c r="CG45" s="9">
        <f>CF45*CE45</f>
        <v>22602000</v>
      </c>
      <c r="CH45" s="9"/>
      <c r="CI45" s="9"/>
      <c r="CJ45" s="9">
        <v>2506900</v>
      </c>
      <c r="CK45" s="51">
        <v>4.1000000000000002E-2</v>
      </c>
      <c r="CL45" s="48">
        <v>0.04</v>
      </c>
      <c r="CM45" s="16" t="s">
        <v>395</v>
      </c>
      <c r="CN45" s="16"/>
      <c r="CO45" s="16"/>
      <c r="CP45" s="27">
        <v>0.03</v>
      </c>
      <c r="CQ45" s="38"/>
      <c r="CR45" s="24">
        <v>0</v>
      </c>
      <c r="CS45" s="24">
        <v>0</v>
      </c>
      <c r="CT45" s="24">
        <v>0</v>
      </c>
      <c r="CU45" s="24">
        <v>0</v>
      </c>
      <c r="CV45" s="24">
        <v>0</v>
      </c>
      <c r="CW45" s="24">
        <v>0</v>
      </c>
      <c r="CX45" s="24">
        <v>0</v>
      </c>
      <c r="CY45" s="24">
        <v>0</v>
      </c>
      <c r="CZ45" s="24">
        <v>0</v>
      </c>
      <c r="DA45" s="24">
        <v>0</v>
      </c>
      <c r="DB45" s="24">
        <v>0</v>
      </c>
      <c r="DC45" s="24" t="str">
        <f>IF(DD45="정수원 실장","기아", IF(DD45="박현식 부장", "현대", IF(DD45="김성진 팀장", "한성", IF(DD45="전석영 부장", "한성", IF(DD45= "박봉호 부장", "모토원",IF(DD45="정원철 부장", "한성"))))))</f>
        <v>기아</v>
      </c>
      <c r="DD45" s="24" t="s">
        <v>121</v>
      </c>
      <c r="DE45" s="24" t="str">
        <f>IF(DD45="정수원 실장","렌트베네핏", IF(DD45="박현식 부장", "렌트베네핏", IF(DD45="김성진 팀장", "청담", IF(DD45="전석영 부장", "방배", IF(DD45= "박봉호 부장", "일산",IF(DD90="정원철 부장", "청담"))))))</f>
        <v>렌트베네핏</v>
      </c>
      <c r="DF45" s="24"/>
      <c r="DG45" s="24"/>
      <c r="DH45" s="24"/>
      <c r="DI45" s="24" t="s">
        <v>396</v>
      </c>
      <c r="DJ45" s="22" t="s">
        <v>1610</v>
      </c>
      <c r="DK45" s="38">
        <v>0.3</v>
      </c>
      <c r="DL45" s="76">
        <v>0.2</v>
      </c>
      <c r="DM45" s="24"/>
      <c r="DN45" s="46"/>
      <c r="DO45" s="24"/>
      <c r="DP45" s="24"/>
      <c r="DQ45" s="38"/>
    </row>
    <row r="46" spans="2:121">
      <c r="B46" s="7">
        <v>42</v>
      </c>
      <c r="C46" s="7" t="s">
        <v>397</v>
      </c>
      <c r="D46" s="7" t="s">
        <v>103</v>
      </c>
      <c r="E46" s="7" t="s">
        <v>398</v>
      </c>
      <c r="F46" s="7" t="s">
        <v>388</v>
      </c>
      <c r="G46" s="7" t="s">
        <v>389</v>
      </c>
      <c r="H46" s="7" t="s">
        <v>192</v>
      </c>
      <c r="I46" s="7" t="s">
        <v>139</v>
      </c>
      <c r="J46" s="9">
        <v>12750000</v>
      </c>
      <c r="K46" s="7">
        <v>2022</v>
      </c>
      <c r="L46" s="6" t="s">
        <v>134</v>
      </c>
      <c r="M46" s="6" t="s">
        <v>90</v>
      </c>
      <c r="N46" s="7" t="s">
        <v>399</v>
      </c>
      <c r="O46" s="7" t="s">
        <v>400</v>
      </c>
      <c r="P46" s="7" t="s">
        <v>98</v>
      </c>
      <c r="Q46" s="33">
        <v>998</v>
      </c>
      <c r="R46" s="11">
        <v>44503</v>
      </c>
      <c r="S46" s="11">
        <v>44518</v>
      </c>
      <c r="T46" s="11">
        <v>44518</v>
      </c>
      <c r="U46" s="12" t="s">
        <v>91</v>
      </c>
      <c r="V46" s="11">
        <f>IFERROR(T46+AD46, "-")</f>
        <v>46343</v>
      </c>
      <c r="W46" s="7">
        <f ca="1">IFERROR(DATEDIF(TODAY(), V46, "m"), "-")</f>
        <v>2</v>
      </c>
      <c r="X46" s="13">
        <v>20000</v>
      </c>
      <c r="Y46" s="9" t="s">
        <v>392</v>
      </c>
      <c r="Z46" s="9" t="s">
        <v>393</v>
      </c>
      <c r="AA46" s="9"/>
      <c r="AB46" s="9" t="s">
        <v>401</v>
      </c>
      <c r="AC46" s="11">
        <v>44525</v>
      </c>
      <c r="AD46" s="7">
        <f>365*U46</f>
        <v>1825</v>
      </c>
      <c r="AE46" s="7">
        <f ca="1">V46-TODAY()</f>
        <v>91</v>
      </c>
      <c r="AF46" s="7" t="e">
        <f>VLOOKUP($C46,#REF!, 4, FALSE)</f>
        <v>#REF!</v>
      </c>
      <c r="AG46" s="41">
        <v>13209603</v>
      </c>
      <c r="AH46" s="9">
        <v>200000</v>
      </c>
      <c r="AI46" s="9">
        <v>12688000</v>
      </c>
      <c r="AJ46" s="9">
        <v>0</v>
      </c>
      <c r="AK46" s="9">
        <v>2000</v>
      </c>
      <c r="AL46" s="9">
        <v>461380</v>
      </c>
      <c r="AM46" s="9">
        <v>0</v>
      </c>
      <c r="AN46" s="9">
        <v>2000</v>
      </c>
      <c r="AO46" s="9">
        <v>27000</v>
      </c>
      <c r="AP46" s="9">
        <v>30000</v>
      </c>
      <c r="AQ46" s="9">
        <v>430000</v>
      </c>
      <c r="AR46" s="9">
        <v>0</v>
      </c>
      <c r="AS46" s="9" t="s">
        <v>195</v>
      </c>
      <c r="AT46" s="9">
        <v>0</v>
      </c>
      <c r="AU46" s="9" t="s">
        <v>135</v>
      </c>
      <c r="AV46" s="9"/>
      <c r="AW46" s="18">
        <f>SUM(AJ46,AK46,AN46,AO46,AP46, AR46,AT46+AL46+AM46)</f>
        <v>522380</v>
      </c>
      <c r="AX46" s="18" t="s">
        <v>196</v>
      </c>
      <c r="AY46" s="53">
        <v>44503</v>
      </c>
      <c r="AZ46" s="41">
        <v>1153090</v>
      </c>
      <c r="BA46" s="42">
        <v>1305430</v>
      </c>
      <c r="BB46" s="9"/>
      <c r="BC46" s="9"/>
      <c r="BD46" s="9"/>
      <c r="BE46" s="9" t="s">
        <v>93</v>
      </c>
      <c r="BF46" s="9" t="s">
        <v>94</v>
      </c>
      <c r="BG46" s="9" t="s">
        <v>117</v>
      </c>
      <c r="BH46" s="9" t="s">
        <v>118</v>
      </c>
      <c r="BI46" s="9" t="s">
        <v>97</v>
      </c>
      <c r="BJ46" s="9" t="s">
        <v>119</v>
      </c>
      <c r="BK46" s="7" t="s">
        <v>130</v>
      </c>
      <c r="BL46" s="9" t="s">
        <v>99</v>
      </c>
      <c r="BM46" s="9" t="s">
        <v>148</v>
      </c>
      <c r="BN46" s="9" t="s">
        <v>100</v>
      </c>
      <c r="BO46" s="9" t="s">
        <v>101</v>
      </c>
      <c r="BP46" s="9" t="s">
        <v>101</v>
      </c>
      <c r="BQ46" s="9" t="s">
        <v>198</v>
      </c>
      <c r="BR46" s="7"/>
      <c r="BS46" s="9">
        <f>IF(Q46&lt;=1600,Q46*18,IF(Q46&lt;=2500,Q46*19,IF(Q46&gt;2500,Q46*24,20000)))</f>
        <v>17964</v>
      </c>
      <c r="BT46" s="7" t="s">
        <v>140</v>
      </c>
      <c r="BU46" s="22"/>
      <c r="BV46" s="9"/>
      <c r="BW46" s="14"/>
      <c r="BX46" s="9"/>
      <c r="BY46" s="9">
        <f>BX46*BW46</f>
        <v>0</v>
      </c>
      <c r="BZ46" s="9">
        <f>BY46-BV46</f>
        <v>0</v>
      </c>
      <c r="CA46" s="27">
        <v>0</v>
      </c>
      <c r="CB46" s="1"/>
      <c r="CC46" s="15" t="s">
        <v>154</v>
      </c>
      <c r="CD46" s="15" t="s">
        <v>154</v>
      </c>
      <c r="CE46" s="9">
        <v>366700</v>
      </c>
      <c r="CF46" s="9">
        <f>U46*12</f>
        <v>60</v>
      </c>
      <c r="CG46" s="9">
        <f>CF46*CE46</f>
        <v>22002000</v>
      </c>
      <c r="CH46" s="9"/>
      <c r="CI46" s="9"/>
      <c r="CJ46" s="9">
        <v>2506900</v>
      </c>
      <c r="CK46" s="51">
        <v>5.8999999999999997E-2</v>
      </c>
      <c r="CL46" s="48">
        <v>0.04</v>
      </c>
      <c r="CM46" s="16" t="s">
        <v>395</v>
      </c>
      <c r="CN46" s="16"/>
      <c r="CO46" s="16"/>
      <c r="CP46" s="27">
        <v>0.03</v>
      </c>
      <c r="CQ46" s="38"/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 t="str">
        <f>IF(DD46="정수원 실장","기아", IF(DD46="박현식 부장", "현대", IF(DD46="김성진 팀장", "한성", IF(DD46="전석영 부장", "한성", IF(DD46= "박봉호 부장", "모토원",IF(DD46="정원철 부장", "한성"))))))</f>
        <v>기아</v>
      </c>
      <c r="DD46" s="24" t="s">
        <v>121</v>
      </c>
      <c r="DE46" s="24" t="str">
        <f>IF(DD46="정수원 실장","렌트베네핏", IF(DD46="박현식 부장", "렌트베네핏", IF(DD46="김성진 팀장", "청담", IF(DD46="전석영 부장", "방배", IF(DD46= "박봉호 부장", "일산",IF(DD91="정원철 부장", "청담"))))))</f>
        <v>렌트베네핏</v>
      </c>
      <c r="DF46" s="24"/>
      <c r="DG46" s="24"/>
      <c r="DH46" s="24"/>
      <c r="DI46" s="24" t="s">
        <v>396</v>
      </c>
      <c r="DJ46" s="22" t="s">
        <v>1610</v>
      </c>
      <c r="DK46" s="38">
        <v>0.3</v>
      </c>
      <c r="DL46" s="76">
        <v>0.2</v>
      </c>
      <c r="DM46" s="24"/>
      <c r="DN46" s="46"/>
      <c r="DO46" s="24"/>
      <c r="DP46" s="24"/>
      <c r="DQ46" s="38"/>
    </row>
    <row r="47" spans="2:121">
      <c r="B47" s="7">
        <v>43</v>
      </c>
      <c r="C47" s="7" t="s">
        <v>402</v>
      </c>
      <c r="D47" s="36" t="s">
        <v>1585</v>
      </c>
      <c r="E47" s="7" t="s">
        <v>403</v>
      </c>
      <c r="F47" s="7" t="s">
        <v>404</v>
      </c>
      <c r="G47" s="7" t="s">
        <v>405</v>
      </c>
      <c r="H47" s="7" t="s">
        <v>192</v>
      </c>
      <c r="I47" s="7" t="s">
        <v>139</v>
      </c>
      <c r="J47" s="9">
        <v>12750000</v>
      </c>
      <c r="K47" s="7">
        <v>2022</v>
      </c>
      <c r="L47" s="6" t="s">
        <v>134</v>
      </c>
      <c r="M47" s="6" t="s">
        <v>90</v>
      </c>
      <c r="N47" s="7" t="s">
        <v>406</v>
      </c>
      <c r="O47" s="7" t="s">
        <v>407</v>
      </c>
      <c r="P47" s="7" t="s">
        <v>98</v>
      </c>
      <c r="Q47" s="33">
        <v>998</v>
      </c>
      <c r="R47" s="11">
        <v>44503</v>
      </c>
      <c r="S47" s="11">
        <v>44525</v>
      </c>
      <c r="T47" s="11">
        <v>45255</v>
      </c>
      <c r="U47" s="12" t="s">
        <v>153</v>
      </c>
      <c r="V47" s="11">
        <f>IFERROR(T47+AD47, "-")</f>
        <v>46350</v>
      </c>
      <c r="W47" s="7">
        <f ca="1">IFERROR(DATEDIF(TODAY(), V47, "m"), "-")</f>
        <v>3</v>
      </c>
      <c r="X47" s="13">
        <v>20000</v>
      </c>
      <c r="Y47" s="9" t="s">
        <v>408</v>
      </c>
      <c r="Z47" s="7" t="s">
        <v>409</v>
      </c>
      <c r="AA47" s="9"/>
      <c r="AB47" s="9" t="s">
        <v>410</v>
      </c>
      <c r="AC47" s="11">
        <v>45285</v>
      </c>
      <c r="AD47" s="7">
        <f>365*U47</f>
        <v>1095</v>
      </c>
      <c r="AE47" s="7">
        <f ca="1">V47-TODAY()</f>
        <v>98</v>
      </c>
      <c r="AF47" s="7" t="e">
        <f>VLOOKUP($C47,#REF!, 4, FALSE)</f>
        <v>#REF!</v>
      </c>
      <c r="AG47" s="41">
        <v>13209603</v>
      </c>
      <c r="AH47" s="9">
        <v>200000</v>
      </c>
      <c r="AI47" s="9">
        <v>12688000</v>
      </c>
      <c r="AJ47" s="9">
        <v>0</v>
      </c>
      <c r="AK47" s="9">
        <v>2000</v>
      </c>
      <c r="AL47" s="9">
        <v>461380</v>
      </c>
      <c r="AM47" s="9">
        <v>0</v>
      </c>
      <c r="AN47" s="9">
        <v>2000</v>
      </c>
      <c r="AO47" s="9">
        <v>27000</v>
      </c>
      <c r="AP47" s="9">
        <v>30000</v>
      </c>
      <c r="AQ47" s="9">
        <v>430000</v>
      </c>
      <c r="AR47" s="9">
        <v>0</v>
      </c>
      <c r="AS47" s="9" t="s">
        <v>195</v>
      </c>
      <c r="AT47" s="9">
        <v>0</v>
      </c>
      <c r="AU47" s="9" t="s">
        <v>135</v>
      </c>
      <c r="AV47" s="9"/>
      <c r="AW47" s="18">
        <f>SUM(AJ47,AK47,AN47,AO47,AP47, AR47,AT47+AL47+AM47)</f>
        <v>522380</v>
      </c>
      <c r="AX47" s="18" t="s">
        <v>196</v>
      </c>
      <c r="AY47" s="53">
        <v>44503</v>
      </c>
      <c r="AZ47" s="41">
        <v>1153090</v>
      </c>
      <c r="BA47" s="42">
        <v>1042640</v>
      </c>
      <c r="BB47" s="9"/>
      <c r="BC47" s="9"/>
      <c r="BD47" s="9"/>
      <c r="BE47" s="9" t="s">
        <v>93</v>
      </c>
      <c r="BF47" s="9" t="s">
        <v>94</v>
      </c>
      <c r="BG47" s="9" t="s">
        <v>117</v>
      </c>
      <c r="BH47" s="9" t="s">
        <v>118</v>
      </c>
      <c r="BI47" s="9" t="s">
        <v>97</v>
      </c>
      <c r="BJ47" s="9" t="s">
        <v>119</v>
      </c>
      <c r="BK47" s="7" t="s">
        <v>130</v>
      </c>
      <c r="BL47" s="9" t="s">
        <v>99</v>
      </c>
      <c r="BM47" s="9" t="s">
        <v>148</v>
      </c>
      <c r="BN47" s="9" t="s">
        <v>100</v>
      </c>
      <c r="BO47" s="9" t="s">
        <v>101</v>
      </c>
      <c r="BP47" s="9" t="s">
        <v>101</v>
      </c>
      <c r="BQ47" s="9" t="s">
        <v>198</v>
      </c>
      <c r="BR47" s="7"/>
      <c r="BS47" s="9">
        <f>IF(Q47&lt;=1600,Q47*18,IF(Q47&lt;=2500,Q47*19,IF(Q47&gt;2500,Q47*24,20000)))</f>
        <v>17964</v>
      </c>
      <c r="BT47" s="7" t="s">
        <v>140</v>
      </c>
      <c r="BU47" s="22"/>
      <c r="BV47" s="9"/>
      <c r="BW47" s="14"/>
      <c r="BX47" s="9"/>
      <c r="BY47" s="9">
        <f>BX47*BW47</f>
        <v>0</v>
      </c>
      <c r="BZ47" s="9">
        <f>BY47-BV47</f>
        <v>0</v>
      </c>
      <c r="CA47" s="27">
        <v>0</v>
      </c>
      <c r="CB47" s="87"/>
      <c r="CC47" s="15" t="s">
        <v>154</v>
      </c>
      <c r="CD47" s="15" t="s">
        <v>154</v>
      </c>
      <c r="CE47" s="9">
        <v>376700</v>
      </c>
      <c r="CF47" s="9">
        <f>U47*12</f>
        <v>36</v>
      </c>
      <c r="CG47" s="9">
        <f>CF47*CE47</f>
        <v>13561200</v>
      </c>
      <c r="CH47" s="9"/>
      <c r="CI47" s="9"/>
      <c r="CJ47" s="9">
        <v>2506900</v>
      </c>
      <c r="CK47" s="51">
        <v>5.6000000000000001E-2</v>
      </c>
      <c r="CL47" s="48">
        <v>0.04</v>
      </c>
      <c r="CM47" s="16" t="s">
        <v>411</v>
      </c>
      <c r="CN47" s="9"/>
      <c r="CO47" s="9"/>
      <c r="CP47" s="27">
        <v>0.03</v>
      </c>
      <c r="CQ47" s="38"/>
      <c r="CR47" s="24">
        <v>0</v>
      </c>
      <c r="CS47" s="24">
        <v>0</v>
      </c>
      <c r="CT47" s="24">
        <v>0</v>
      </c>
      <c r="CU47" s="24">
        <v>0</v>
      </c>
      <c r="CV47" s="24">
        <v>0</v>
      </c>
      <c r="CW47" s="24">
        <v>0</v>
      </c>
      <c r="CX47" s="24">
        <v>0</v>
      </c>
      <c r="CY47" s="24">
        <v>0</v>
      </c>
      <c r="CZ47" s="24">
        <v>0</v>
      </c>
      <c r="DA47" s="24">
        <v>0</v>
      </c>
      <c r="DB47" s="24">
        <v>0</v>
      </c>
      <c r="DC47" s="24" t="str">
        <f>IF(DD47="정수원 실장","기아", IF(DD47="박현식 부장", "현대", IF(DD47="김성진 팀장", "한성", IF(DD47="전석영 부장", "한성", IF(DD47= "박봉호 부장", "모토원",IF(DD47="정원철 부장", "한성"))))))</f>
        <v>기아</v>
      </c>
      <c r="DD47" s="24" t="s">
        <v>121</v>
      </c>
      <c r="DE47" s="24" t="str">
        <f>IF(DD47="정수원 실장","렌트베네핏", IF(DD47="박현식 부장", "렌트베네핏", IF(DD47="김성진 팀장", "청담", IF(DD47="전석영 부장", "방배", IF(DD47= "박봉호 부장", "일산",IF(DD97="정원철 부장", "청담"))))))</f>
        <v>렌트베네핏</v>
      </c>
      <c r="DF47" s="24"/>
      <c r="DG47" s="24" t="s">
        <v>250</v>
      </c>
      <c r="DH47" s="24" t="s">
        <v>412</v>
      </c>
      <c r="DI47" s="24" t="s">
        <v>413</v>
      </c>
      <c r="DJ47" s="22" t="s">
        <v>1610</v>
      </c>
      <c r="DK47" s="38">
        <v>0.3</v>
      </c>
      <c r="DL47" s="76">
        <v>0.2</v>
      </c>
      <c r="DM47" s="24"/>
      <c r="DN47" s="46"/>
      <c r="DO47" s="24"/>
      <c r="DP47" s="24"/>
      <c r="DQ47" s="38"/>
    </row>
    <row r="48" spans="2:121">
      <c r="B48" s="7">
        <v>44</v>
      </c>
      <c r="C48" s="7" t="s">
        <v>414</v>
      </c>
      <c r="D48" s="36" t="s">
        <v>1585</v>
      </c>
      <c r="E48" s="7" t="s">
        <v>415</v>
      </c>
      <c r="F48" s="7" t="s">
        <v>416</v>
      </c>
      <c r="G48" s="7" t="s">
        <v>417</v>
      </c>
      <c r="H48" s="7" t="s">
        <v>192</v>
      </c>
      <c r="I48" s="7" t="s">
        <v>139</v>
      </c>
      <c r="J48" s="9">
        <v>12750000</v>
      </c>
      <c r="K48" s="7">
        <v>2022</v>
      </c>
      <c r="L48" s="6" t="s">
        <v>418</v>
      </c>
      <c r="M48" s="6" t="s">
        <v>90</v>
      </c>
      <c r="N48" s="7" t="s">
        <v>419</v>
      </c>
      <c r="O48" s="7" t="s">
        <v>420</v>
      </c>
      <c r="P48" s="7" t="s">
        <v>98</v>
      </c>
      <c r="Q48" s="33">
        <v>998</v>
      </c>
      <c r="R48" s="11">
        <v>44503</v>
      </c>
      <c r="S48" s="11">
        <v>44529</v>
      </c>
      <c r="T48" s="11">
        <v>44529</v>
      </c>
      <c r="U48" s="12" t="s">
        <v>91</v>
      </c>
      <c r="V48" s="11">
        <f>IFERROR(T48+AD48, "-")</f>
        <v>46354</v>
      </c>
      <c r="W48" s="7">
        <f ca="1">IFERROR(DATEDIF(TODAY(), V48, "m"), "-")</f>
        <v>3</v>
      </c>
      <c r="X48" s="13">
        <v>20000</v>
      </c>
      <c r="Y48" s="9" t="s">
        <v>421</v>
      </c>
      <c r="Z48" s="7" t="s">
        <v>422</v>
      </c>
      <c r="AA48" s="9"/>
      <c r="AB48" s="9" t="s">
        <v>423</v>
      </c>
      <c r="AC48" s="11">
        <v>44555</v>
      </c>
      <c r="AD48" s="7">
        <f>365*U48</f>
        <v>1825</v>
      </c>
      <c r="AE48" s="7">
        <f ca="1">V48-TODAY()</f>
        <v>102</v>
      </c>
      <c r="AF48" s="7" t="e">
        <f>VLOOKUP($C48,#REF!, 4, FALSE)</f>
        <v>#REF!</v>
      </c>
      <c r="AG48" s="41">
        <v>13209603</v>
      </c>
      <c r="AH48" s="9">
        <v>200000</v>
      </c>
      <c r="AI48" s="9">
        <v>12688000</v>
      </c>
      <c r="AJ48" s="9">
        <v>0</v>
      </c>
      <c r="AK48" s="9">
        <v>2000</v>
      </c>
      <c r="AL48" s="9">
        <v>461380</v>
      </c>
      <c r="AM48" s="9">
        <v>0</v>
      </c>
      <c r="AN48" s="9">
        <v>2000</v>
      </c>
      <c r="AO48" s="9">
        <v>27000</v>
      </c>
      <c r="AP48" s="9">
        <v>30000</v>
      </c>
      <c r="AQ48" s="9">
        <v>430000</v>
      </c>
      <c r="AR48" s="9">
        <v>0</v>
      </c>
      <c r="AS48" s="9" t="s">
        <v>195</v>
      </c>
      <c r="AT48" s="9">
        <v>0</v>
      </c>
      <c r="AU48" s="9" t="s">
        <v>135</v>
      </c>
      <c r="AV48" s="9"/>
      <c r="AW48" s="18">
        <f>SUM(AJ48,AK48,AN48,AO48,AP48, AR48,AT48+AL48+AM48)</f>
        <v>522380</v>
      </c>
      <c r="AX48" s="18" t="s">
        <v>196</v>
      </c>
      <c r="AY48" s="53">
        <v>44503</v>
      </c>
      <c r="AZ48" s="41">
        <v>1153090</v>
      </c>
      <c r="BA48" s="41">
        <v>1035460</v>
      </c>
      <c r="BB48" s="9"/>
      <c r="BC48" s="9"/>
      <c r="BD48" s="9"/>
      <c r="BE48" s="9" t="s">
        <v>93</v>
      </c>
      <c r="BF48" s="9" t="s">
        <v>94</v>
      </c>
      <c r="BG48" s="9" t="s">
        <v>117</v>
      </c>
      <c r="BH48" s="9" t="s">
        <v>118</v>
      </c>
      <c r="BI48" s="9" t="s">
        <v>97</v>
      </c>
      <c r="BJ48" s="9" t="s">
        <v>119</v>
      </c>
      <c r="BK48" s="7" t="s">
        <v>130</v>
      </c>
      <c r="BL48" s="9" t="s">
        <v>99</v>
      </c>
      <c r="BM48" s="9" t="s">
        <v>148</v>
      </c>
      <c r="BN48" s="9" t="s">
        <v>100</v>
      </c>
      <c r="BO48" s="9" t="s">
        <v>101</v>
      </c>
      <c r="BP48" s="9" t="s">
        <v>101</v>
      </c>
      <c r="BQ48" s="9" t="s">
        <v>198</v>
      </c>
      <c r="BR48" s="7"/>
      <c r="BS48" s="9">
        <f>IF(Q48&lt;=1600,Q48*18,IF(Q48&lt;=2500,Q48*19,IF(Q48&gt;2500,Q48*24,20000)))</f>
        <v>17964</v>
      </c>
      <c r="BT48" s="7" t="s">
        <v>140</v>
      </c>
      <c r="BU48" s="22"/>
      <c r="BV48" s="9"/>
      <c r="BW48" s="14"/>
      <c r="BX48" s="9"/>
      <c r="BY48" s="9">
        <f>BX48*BW48</f>
        <v>0</v>
      </c>
      <c r="BZ48" s="9">
        <f>BY48-BV48</f>
        <v>0</v>
      </c>
      <c r="CA48" s="27">
        <v>0</v>
      </c>
      <c r="CB48" s="87"/>
      <c r="CC48" s="15" t="s">
        <v>154</v>
      </c>
      <c r="CD48" s="15" t="s">
        <v>154</v>
      </c>
      <c r="CE48" s="9">
        <v>376700</v>
      </c>
      <c r="CF48" s="9">
        <f>U48*12</f>
        <v>60</v>
      </c>
      <c r="CG48" s="9">
        <f>CF48*CE48</f>
        <v>22602000</v>
      </c>
      <c r="CH48" s="9"/>
      <c r="CI48" s="9"/>
      <c r="CJ48" s="9">
        <v>2506900</v>
      </c>
      <c r="CK48" s="51">
        <v>5.6000000000000001E-2</v>
      </c>
      <c r="CL48" s="48">
        <v>0.04</v>
      </c>
      <c r="CM48" s="16" t="s">
        <v>424</v>
      </c>
      <c r="CN48" s="16" t="s">
        <v>425</v>
      </c>
      <c r="CO48" s="16"/>
      <c r="CP48" s="27">
        <v>0.03</v>
      </c>
      <c r="CQ48" s="38"/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 t="str">
        <f>IF(DD48="정수원 실장","기아", IF(DD48="박현식 부장", "현대", IF(DD48="김성진 팀장", "한성", IF(DD48="전석영 부장", "한성", IF(DD48= "박봉호 부장", "모토원",IF(DD48="정원철 부장", "한성"))))))</f>
        <v>기아</v>
      </c>
      <c r="DD48" s="24" t="s">
        <v>121</v>
      </c>
      <c r="DE48" s="24" t="str">
        <f>IF(DD48="정수원 실장","렌트베네핏", IF(DD48="박현식 부장", "렌트베네핏", IF(DD48="김성진 팀장", "청담", IF(DD48="전석영 부장", "방배", IF(DD48= "박봉호 부장", "일산",IF(#REF!="정원철 부장", "청담"))))))</f>
        <v>렌트베네핏</v>
      </c>
      <c r="DF48" s="24"/>
      <c r="DG48" s="24"/>
      <c r="DH48" s="24"/>
      <c r="DI48" s="24" t="s">
        <v>426</v>
      </c>
      <c r="DJ48" s="22" t="s">
        <v>1610</v>
      </c>
      <c r="DK48" s="38">
        <v>0.3</v>
      </c>
      <c r="DL48" s="76">
        <v>0.2</v>
      </c>
      <c r="DM48" s="24"/>
      <c r="DN48" s="46"/>
      <c r="DO48" s="24"/>
      <c r="DP48" s="24"/>
      <c r="DQ48" s="38"/>
    </row>
    <row r="49" spans="2:121">
      <c r="B49" s="7">
        <v>45</v>
      </c>
      <c r="C49" s="7" t="s">
        <v>427</v>
      </c>
      <c r="D49" s="36" t="s">
        <v>1585</v>
      </c>
      <c r="E49" s="7" t="s">
        <v>428</v>
      </c>
      <c r="F49" s="7" t="s">
        <v>429</v>
      </c>
      <c r="G49" s="7" t="s">
        <v>430</v>
      </c>
      <c r="H49" s="7" t="s">
        <v>431</v>
      </c>
      <c r="I49" s="7" t="s">
        <v>432</v>
      </c>
      <c r="J49" s="9">
        <v>15900000</v>
      </c>
      <c r="K49" s="7">
        <v>2022</v>
      </c>
      <c r="L49" s="6" t="s">
        <v>433</v>
      </c>
      <c r="M49" s="6" t="s">
        <v>90</v>
      </c>
      <c r="N49" s="7" t="s">
        <v>434</v>
      </c>
      <c r="O49" s="7" t="s">
        <v>435</v>
      </c>
      <c r="P49" s="7" t="s">
        <v>98</v>
      </c>
      <c r="Q49" s="33">
        <v>998</v>
      </c>
      <c r="R49" s="11">
        <v>44526</v>
      </c>
      <c r="S49" s="11">
        <v>44531</v>
      </c>
      <c r="T49" s="11">
        <v>44531</v>
      </c>
      <c r="U49" s="12" t="s">
        <v>91</v>
      </c>
      <c r="V49" s="11">
        <f>IFERROR(T49+AD49, "-")</f>
        <v>46356</v>
      </c>
      <c r="W49" s="7">
        <f ca="1">IFERROR(DATEDIF(TODAY(), V49, "m"), "-")</f>
        <v>3</v>
      </c>
      <c r="X49" s="13">
        <v>20000</v>
      </c>
      <c r="Y49" s="9" t="s">
        <v>436</v>
      </c>
      <c r="Z49" s="7" t="s">
        <v>430</v>
      </c>
      <c r="AA49" s="9"/>
      <c r="AB49" s="9" t="s">
        <v>437</v>
      </c>
      <c r="AC49" s="11">
        <v>44555</v>
      </c>
      <c r="AD49" s="7">
        <f>365*U49</f>
        <v>1825</v>
      </c>
      <c r="AE49" s="7">
        <f ca="1">V49-TODAY()</f>
        <v>104</v>
      </c>
      <c r="AF49" s="7" t="e">
        <f>VLOOKUP($C49,#REF!, 4, FALSE)</f>
        <v>#REF!</v>
      </c>
      <c r="AG49" s="41">
        <v>16079000</v>
      </c>
      <c r="AH49" s="9">
        <v>0</v>
      </c>
      <c r="AI49" s="9">
        <v>16077000</v>
      </c>
      <c r="AJ49" s="9">
        <v>0</v>
      </c>
      <c r="AK49" s="9">
        <v>0</v>
      </c>
      <c r="AL49" s="9">
        <v>584610</v>
      </c>
      <c r="AM49" s="9">
        <v>0</v>
      </c>
      <c r="AN49" s="9">
        <v>0</v>
      </c>
      <c r="AO49" s="9">
        <v>6800</v>
      </c>
      <c r="AP49" s="9">
        <v>0</v>
      </c>
      <c r="AQ49" s="9">
        <v>0</v>
      </c>
      <c r="AR49" s="9">
        <v>132000</v>
      </c>
      <c r="AS49" s="9" t="s">
        <v>116</v>
      </c>
      <c r="AT49" s="9">
        <v>66000</v>
      </c>
      <c r="AU49" s="9" t="s">
        <v>438</v>
      </c>
      <c r="AV49" s="42">
        <v>584610</v>
      </c>
      <c r="AW49" s="18">
        <f>SUM(AJ49,AK49,AN49,AO49,AP49, AR49,AT49+AL49+AM49)</f>
        <v>789410</v>
      </c>
      <c r="AX49" s="18" t="s">
        <v>196</v>
      </c>
      <c r="AY49" s="53">
        <v>44526</v>
      </c>
      <c r="AZ49" s="41">
        <v>1153090</v>
      </c>
      <c r="BA49" s="41">
        <v>1035460</v>
      </c>
      <c r="BB49" s="9"/>
      <c r="BC49" s="9"/>
      <c r="BD49" s="9"/>
      <c r="BE49" s="9" t="s">
        <v>93</v>
      </c>
      <c r="BF49" s="9" t="s">
        <v>94</v>
      </c>
      <c r="BG49" s="9" t="s">
        <v>117</v>
      </c>
      <c r="BH49" s="9" t="s">
        <v>118</v>
      </c>
      <c r="BI49" s="9" t="s">
        <v>97</v>
      </c>
      <c r="BJ49" s="9" t="s">
        <v>119</v>
      </c>
      <c r="BK49" s="7" t="s">
        <v>130</v>
      </c>
      <c r="BL49" s="9" t="s">
        <v>99</v>
      </c>
      <c r="BM49" s="9" t="s">
        <v>148</v>
      </c>
      <c r="BN49" s="9" t="s">
        <v>100</v>
      </c>
      <c r="BO49" s="9" t="s">
        <v>101</v>
      </c>
      <c r="BP49" s="9" t="s">
        <v>101</v>
      </c>
      <c r="BQ49" s="9" t="s">
        <v>439</v>
      </c>
      <c r="BR49" s="7"/>
      <c r="BS49" s="9">
        <f>IF(Q49&lt;=1600,Q49*18,IF(Q49&lt;=2500,Q49*19,IF(Q49&gt;2500,Q49*24,20000)))</f>
        <v>17964</v>
      </c>
      <c r="BT49" s="7" t="s">
        <v>203</v>
      </c>
      <c r="BU49" s="22">
        <v>44525</v>
      </c>
      <c r="BV49" s="9">
        <v>14310000</v>
      </c>
      <c r="BW49" s="14" t="s">
        <v>204</v>
      </c>
      <c r="BX49" s="9">
        <v>275000</v>
      </c>
      <c r="BY49" s="9">
        <f>BX49*BW49</f>
        <v>16500000</v>
      </c>
      <c r="BZ49" s="9">
        <f>BY49-BV49</f>
        <v>2190000</v>
      </c>
      <c r="CA49" s="27">
        <v>0</v>
      </c>
      <c r="CB49" s="87"/>
      <c r="CC49" s="15" t="s">
        <v>154</v>
      </c>
      <c r="CD49" s="15" t="s">
        <v>154</v>
      </c>
      <c r="CE49" s="9">
        <v>370000</v>
      </c>
      <c r="CF49" s="9">
        <f>U49*12</f>
        <v>60</v>
      </c>
      <c r="CG49" s="9">
        <f>CF49*CE49</f>
        <v>22200000</v>
      </c>
      <c r="CH49" s="9">
        <v>0</v>
      </c>
      <c r="CI49" s="9">
        <v>0</v>
      </c>
      <c r="CJ49" s="9">
        <v>5719000</v>
      </c>
      <c r="CK49" s="51">
        <v>5.8999999999999997E-2</v>
      </c>
      <c r="CL49" s="48">
        <v>0.04</v>
      </c>
      <c r="CM49" s="16" t="s">
        <v>440</v>
      </c>
      <c r="CN49" s="16" t="s">
        <v>441</v>
      </c>
      <c r="CO49" s="16"/>
      <c r="CP49" s="27">
        <v>0.03</v>
      </c>
      <c r="CQ49" s="38"/>
      <c r="CR49" s="24">
        <v>0</v>
      </c>
      <c r="CS49" s="24">
        <v>0</v>
      </c>
      <c r="CT49" s="24">
        <v>0</v>
      </c>
      <c r="CU49" s="24">
        <v>0</v>
      </c>
      <c r="CV49" s="24">
        <v>0</v>
      </c>
      <c r="CW49" s="24">
        <v>0</v>
      </c>
      <c r="CX49" s="24">
        <v>0</v>
      </c>
      <c r="CY49" s="24">
        <v>0</v>
      </c>
      <c r="CZ49" s="24">
        <v>0</v>
      </c>
      <c r="DA49" s="24">
        <v>0</v>
      </c>
      <c r="DB49" s="24">
        <v>0</v>
      </c>
      <c r="DC49" s="24" t="b">
        <f>IF(DD49="정수원 실장","기아", IF(DD49="박현식 부장", "현대", IF(DD49="김성진 팀장", "한성", IF(DD49="전석영 부장", "한성", IF(DD49= "박봉호 부장", "모토원",IF(DD49="정원철 부장", "한성"))))))</f>
        <v>0</v>
      </c>
      <c r="DD49" s="24" t="s">
        <v>442</v>
      </c>
      <c r="DE49" s="24" t="b">
        <f>IF(DD49="정수원 실장","렌트베네핏", IF(DD49="박현식 부장", "렌트베네핏", IF(DD49="김성진 팀장", "청담", IF(DD49="전석영 부장", "방배", IF(DD49= "박봉호 부장", "일산",IF(DD92="정원철 부장", "청담"))))))</f>
        <v>0</v>
      </c>
      <c r="DF49" s="24"/>
      <c r="DG49" s="24"/>
      <c r="DH49" s="24"/>
      <c r="DI49" s="24" t="s">
        <v>443</v>
      </c>
      <c r="DJ49" s="22" t="s">
        <v>1610</v>
      </c>
      <c r="DK49" s="38">
        <v>0.3</v>
      </c>
      <c r="DL49" s="76">
        <v>0.2</v>
      </c>
      <c r="DM49" s="24"/>
      <c r="DN49" s="46"/>
      <c r="DO49" s="24"/>
      <c r="DP49" s="24"/>
      <c r="DQ49" s="38"/>
    </row>
    <row r="50" spans="2:121">
      <c r="B50" s="7">
        <v>46</v>
      </c>
      <c r="C50" s="7" t="s">
        <v>444</v>
      </c>
      <c r="D50" s="36" t="s">
        <v>1585</v>
      </c>
      <c r="E50" s="7" t="s">
        <v>445</v>
      </c>
      <c r="F50" s="7" t="s">
        <v>446</v>
      </c>
      <c r="G50" s="7" t="s">
        <v>447</v>
      </c>
      <c r="H50" s="7" t="s">
        <v>192</v>
      </c>
      <c r="I50" s="7" t="s">
        <v>139</v>
      </c>
      <c r="J50" s="9">
        <v>12750000</v>
      </c>
      <c r="K50" s="7">
        <v>2022</v>
      </c>
      <c r="L50" s="6" t="s">
        <v>134</v>
      </c>
      <c r="M50" s="6" t="s">
        <v>90</v>
      </c>
      <c r="N50" s="7" t="s">
        <v>448</v>
      </c>
      <c r="O50" s="7" t="s">
        <v>449</v>
      </c>
      <c r="P50" s="7" t="s">
        <v>98</v>
      </c>
      <c r="Q50" s="33">
        <v>998</v>
      </c>
      <c r="R50" s="11">
        <v>44503</v>
      </c>
      <c r="S50" s="11">
        <v>44540</v>
      </c>
      <c r="T50" s="11">
        <v>44540</v>
      </c>
      <c r="U50" s="12" t="s">
        <v>91</v>
      </c>
      <c r="V50" s="11">
        <f>IFERROR(T50+AD50, "-")</f>
        <v>46365</v>
      </c>
      <c r="W50" s="7">
        <f ca="1">IFERROR(DATEDIF(TODAY(), V50, "m"), "-")</f>
        <v>3</v>
      </c>
      <c r="X50" s="13">
        <v>20000</v>
      </c>
      <c r="Y50" s="7" t="s">
        <v>450</v>
      </c>
      <c r="Z50" s="7" t="s">
        <v>451</v>
      </c>
      <c r="AA50" s="9"/>
      <c r="AB50" s="9" t="s">
        <v>452</v>
      </c>
      <c r="AC50" s="11">
        <v>44555</v>
      </c>
      <c r="AD50" s="7">
        <f>365*U50</f>
        <v>1825</v>
      </c>
      <c r="AE50" s="7">
        <f ca="1">V50-TODAY()</f>
        <v>113</v>
      </c>
      <c r="AF50" s="7" t="e">
        <f>VLOOKUP($C50,#REF!, 4, FALSE)</f>
        <v>#REF!</v>
      </c>
      <c r="AG50" s="41">
        <v>13209603</v>
      </c>
      <c r="AH50" s="9">
        <v>200000</v>
      </c>
      <c r="AI50" s="9">
        <v>12688000</v>
      </c>
      <c r="AJ50" s="9">
        <v>0</v>
      </c>
      <c r="AK50" s="9">
        <v>2000</v>
      </c>
      <c r="AL50" s="9">
        <v>461380</v>
      </c>
      <c r="AM50" s="9">
        <v>0</v>
      </c>
      <c r="AN50" s="9">
        <v>2000</v>
      </c>
      <c r="AO50" s="9">
        <v>27000</v>
      </c>
      <c r="AP50" s="9">
        <v>30000</v>
      </c>
      <c r="AQ50" s="9">
        <v>430000</v>
      </c>
      <c r="AR50" s="9">
        <v>0</v>
      </c>
      <c r="AS50" s="9" t="s">
        <v>195</v>
      </c>
      <c r="AT50" s="9">
        <v>0</v>
      </c>
      <c r="AU50" s="9" t="s">
        <v>135</v>
      </c>
      <c r="AV50" s="9"/>
      <c r="AW50" s="18">
        <f>SUM(AJ50,AK50,AN50,AO50,AP50, AR50,AT50+AL50+AM50)</f>
        <v>522380</v>
      </c>
      <c r="AX50" s="18" t="s">
        <v>196</v>
      </c>
      <c r="AY50" s="53">
        <v>44503</v>
      </c>
      <c r="AZ50" s="41">
        <v>1153090</v>
      </c>
      <c r="BA50" s="41">
        <v>1035460</v>
      </c>
      <c r="BB50" s="9"/>
      <c r="BC50" s="9"/>
      <c r="BD50" s="9"/>
      <c r="BE50" s="9" t="s">
        <v>93</v>
      </c>
      <c r="BF50" s="9" t="s">
        <v>94</v>
      </c>
      <c r="BG50" s="9" t="s">
        <v>117</v>
      </c>
      <c r="BH50" s="9" t="s">
        <v>118</v>
      </c>
      <c r="BI50" s="9" t="s">
        <v>97</v>
      </c>
      <c r="BJ50" s="9" t="s">
        <v>119</v>
      </c>
      <c r="BK50" s="7" t="s">
        <v>130</v>
      </c>
      <c r="BL50" s="9" t="s">
        <v>99</v>
      </c>
      <c r="BM50" s="9" t="s">
        <v>148</v>
      </c>
      <c r="BN50" s="9" t="s">
        <v>100</v>
      </c>
      <c r="BO50" s="9" t="s">
        <v>101</v>
      </c>
      <c r="BP50" s="9" t="s">
        <v>101</v>
      </c>
      <c r="BQ50" s="9" t="s">
        <v>198</v>
      </c>
      <c r="BR50" s="7"/>
      <c r="BS50" s="9">
        <f>IF(Q50&lt;=1600,Q50*18,IF(Q50&lt;=2500,Q50*19,IF(Q50&gt;2500,Q50*24,20000)))</f>
        <v>17964</v>
      </c>
      <c r="BT50" s="7" t="s">
        <v>140</v>
      </c>
      <c r="BU50" s="22"/>
      <c r="BV50" s="9"/>
      <c r="BW50" s="14"/>
      <c r="BX50" s="9"/>
      <c r="BY50" s="9">
        <f>BX50*BW50</f>
        <v>0</v>
      </c>
      <c r="BZ50" s="9">
        <f>BY50-BV50</f>
        <v>0</v>
      </c>
      <c r="CA50" s="27">
        <v>0</v>
      </c>
      <c r="CB50" s="1"/>
      <c r="CC50" s="15" t="s">
        <v>149</v>
      </c>
      <c r="CD50" s="15" t="s">
        <v>154</v>
      </c>
      <c r="CE50" s="9">
        <v>376700</v>
      </c>
      <c r="CF50" s="9">
        <f>U50*12</f>
        <v>60</v>
      </c>
      <c r="CG50" s="9">
        <f>CF50*CE50</f>
        <v>22602000</v>
      </c>
      <c r="CH50" s="9"/>
      <c r="CI50" s="9"/>
      <c r="CJ50" s="9">
        <v>2506900</v>
      </c>
      <c r="CK50" s="51">
        <v>5.6000000000000001E-2</v>
      </c>
      <c r="CL50" s="48">
        <v>0.04</v>
      </c>
      <c r="CM50" s="16" t="s">
        <v>453</v>
      </c>
      <c r="CN50" s="16"/>
      <c r="CO50" s="16"/>
      <c r="CP50" s="27">
        <v>0.03</v>
      </c>
      <c r="CQ50" s="38"/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 t="str">
        <f>IF(DD50="정수원 실장","기아", IF(DD50="박현식 부장", "현대", IF(DD50="김성진 팀장", "한성", IF(DD50="전석영 부장", "한성", IF(DD50= "박봉호 부장", "모토원",IF(DD50="정원철 부장", "한성"))))))</f>
        <v>기아</v>
      </c>
      <c r="DD50" s="24" t="s">
        <v>121</v>
      </c>
      <c r="DE50" s="24" t="str">
        <f>IF(DD50="정수원 실장","렌트베네핏", IF(DD50="박현식 부장", "렌트베네핏", IF(DD50="김성진 팀장", "청담", IF(DD50="전석영 부장", "방배", IF(DD50= "박봉호 부장", "일산",IF(DD102="정원철 부장", "청담"))))))</f>
        <v>렌트베네핏</v>
      </c>
      <c r="DF50" s="24"/>
      <c r="DG50" s="24"/>
      <c r="DH50" s="24"/>
      <c r="DI50" s="24" t="s">
        <v>454</v>
      </c>
      <c r="DJ50" s="22" t="s">
        <v>1610</v>
      </c>
      <c r="DK50" s="38">
        <v>0.3</v>
      </c>
      <c r="DL50" s="76">
        <v>0.2</v>
      </c>
      <c r="DM50" s="24"/>
      <c r="DN50" s="46"/>
      <c r="DO50" s="24"/>
      <c r="DP50" s="24"/>
      <c r="DQ50" s="38"/>
    </row>
    <row r="51" spans="2:121">
      <c r="B51" s="7">
        <v>47</v>
      </c>
      <c r="C51" s="7" t="s">
        <v>455</v>
      </c>
      <c r="D51" s="36" t="s">
        <v>1585</v>
      </c>
      <c r="E51" s="7" t="s">
        <v>456</v>
      </c>
      <c r="F51" s="7" t="s">
        <v>457</v>
      </c>
      <c r="G51" s="7" t="s">
        <v>458</v>
      </c>
      <c r="H51" s="7" t="s">
        <v>459</v>
      </c>
      <c r="I51" s="7" t="s">
        <v>133</v>
      </c>
      <c r="J51" s="9">
        <v>22130000</v>
      </c>
      <c r="K51" s="7">
        <v>2022</v>
      </c>
      <c r="L51" s="6" t="s">
        <v>134</v>
      </c>
      <c r="M51" s="6" t="s">
        <v>90</v>
      </c>
      <c r="N51" s="7" t="s">
        <v>460</v>
      </c>
      <c r="O51" s="7" t="s">
        <v>461</v>
      </c>
      <c r="P51" s="7" t="s">
        <v>98</v>
      </c>
      <c r="Q51" s="33">
        <v>1598</v>
      </c>
      <c r="R51" s="11">
        <v>44538</v>
      </c>
      <c r="S51" s="11">
        <v>44543</v>
      </c>
      <c r="T51" s="11">
        <v>44543</v>
      </c>
      <c r="U51" s="12" t="s">
        <v>91</v>
      </c>
      <c r="V51" s="11">
        <f>IFERROR(T51+AD51, "-")</f>
        <v>46368</v>
      </c>
      <c r="W51" s="7">
        <f ca="1">IFERROR(DATEDIF(TODAY(), V51, "m"), "-")</f>
        <v>3</v>
      </c>
      <c r="X51" s="13">
        <v>30000</v>
      </c>
      <c r="Y51" s="9" t="s">
        <v>462</v>
      </c>
      <c r="Z51" s="7" t="s">
        <v>463</v>
      </c>
      <c r="AA51" s="9"/>
      <c r="AB51" s="9" t="s">
        <v>464</v>
      </c>
      <c r="AC51" s="11">
        <v>44561</v>
      </c>
      <c r="AD51" s="7">
        <f>365*U51</f>
        <v>1825</v>
      </c>
      <c r="AE51" s="7">
        <f ca="1">V51-TODAY()</f>
        <v>116</v>
      </c>
      <c r="AF51" s="7" t="e">
        <f>VLOOKUP($C51,#REF!, 4, FALSE)</f>
        <v>#REF!</v>
      </c>
      <c r="AG51" s="41">
        <v>21247761</v>
      </c>
      <c r="AH51" s="9">
        <v>1373239</v>
      </c>
      <c r="AI51" s="9">
        <v>21145760</v>
      </c>
      <c r="AJ51" s="9" t="s">
        <v>98</v>
      </c>
      <c r="AK51" s="9">
        <v>0</v>
      </c>
      <c r="AL51" s="9">
        <v>768930</v>
      </c>
      <c r="AM51" s="9">
        <v>54068</v>
      </c>
      <c r="AN51" s="9">
        <v>0</v>
      </c>
      <c r="AO51" s="9">
        <v>33500</v>
      </c>
      <c r="AP51" s="9">
        <v>0</v>
      </c>
      <c r="AQ51" s="9">
        <v>941000</v>
      </c>
      <c r="AR51" s="9">
        <v>143000</v>
      </c>
      <c r="AS51" s="9" t="s">
        <v>116</v>
      </c>
      <c r="AT51" s="9">
        <v>66000</v>
      </c>
      <c r="AU51" s="9" t="s">
        <v>438</v>
      </c>
      <c r="AV51" s="42">
        <v>769830</v>
      </c>
      <c r="AW51" s="18">
        <f>SUM(AJ51,AK51,AN51,AO51,AP51, AR51,AT51+AL51+AM51)</f>
        <v>1065498</v>
      </c>
      <c r="AX51" s="18" t="s">
        <v>196</v>
      </c>
      <c r="AY51" s="53">
        <v>44538</v>
      </c>
      <c r="AZ51" s="41">
        <v>1130870</v>
      </c>
      <c r="BA51" s="42">
        <v>1016230</v>
      </c>
      <c r="BB51" s="9"/>
      <c r="BC51" s="9"/>
      <c r="BD51" s="9"/>
      <c r="BE51" s="9" t="s">
        <v>93</v>
      </c>
      <c r="BF51" s="9" t="s">
        <v>94</v>
      </c>
      <c r="BG51" s="9" t="s">
        <v>117</v>
      </c>
      <c r="BH51" s="9" t="s">
        <v>118</v>
      </c>
      <c r="BI51" s="9" t="s">
        <v>97</v>
      </c>
      <c r="BJ51" s="9" t="s">
        <v>119</v>
      </c>
      <c r="BK51" s="7" t="s">
        <v>130</v>
      </c>
      <c r="BL51" s="9" t="s">
        <v>99</v>
      </c>
      <c r="BM51" s="9" t="s">
        <v>148</v>
      </c>
      <c r="BN51" s="9" t="s">
        <v>148</v>
      </c>
      <c r="BO51" s="9" t="s">
        <v>148</v>
      </c>
      <c r="BP51" s="9" t="s">
        <v>148</v>
      </c>
      <c r="BQ51" s="9"/>
      <c r="BR51" s="7"/>
      <c r="BS51" s="9">
        <f>IF(Q51&lt;=1600,Q51*18,IF(Q51&lt;=2500,Q51*19,IF(Q51&gt;2500,Q51*24,20000)))</f>
        <v>28764</v>
      </c>
      <c r="BT51" s="7" t="s">
        <v>140</v>
      </c>
      <c r="BU51" s="22"/>
      <c r="BV51" s="9"/>
      <c r="BW51" s="14"/>
      <c r="BX51" s="9"/>
      <c r="BY51" s="9"/>
      <c r="BZ51" s="9"/>
      <c r="CA51" s="27">
        <v>0</v>
      </c>
      <c r="CB51" s="87"/>
      <c r="CC51" s="15" t="s">
        <v>149</v>
      </c>
      <c r="CD51" s="15" t="s">
        <v>154</v>
      </c>
      <c r="CE51" s="9">
        <v>484000</v>
      </c>
      <c r="CF51" s="9">
        <f>U51*12</f>
        <v>60</v>
      </c>
      <c r="CG51" s="9">
        <f>CF51*CE51</f>
        <v>29040000</v>
      </c>
      <c r="CH51" s="9">
        <v>0</v>
      </c>
      <c r="CI51" s="9">
        <v>0</v>
      </c>
      <c r="CJ51" s="9">
        <v>8852000</v>
      </c>
      <c r="CK51" s="51">
        <v>3.6200000000000003E-2</v>
      </c>
      <c r="CL51" s="48">
        <v>0.04</v>
      </c>
      <c r="CM51" s="35" t="s">
        <v>465</v>
      </c>
      <c r="CN51" s="9" t="s">
        <v>466</v>
      </c>
      <c r="CO51" s="9"/>
      <c r="CP51" s="27">
        <v>0.03</v>
      </c>
      <c r="CQ51" s="38"/>
      <c r="CR51" s="24">
        <v>0</v>
      </c>
      <c r="CS51" s="24">
        <v>0</v>
      </c>
      <c r="CT51" s="24">
        <v>0</v>
      </c>
      <c r="CU51" s="24">
        <v>0</v>
      </c>
      <c r="CV51" s="24">
        <v>0</v>
      </c>
      <c r="CW51" s="24">
        <v>0</v>
      </c>
      <c r="CX51" s="24">
        <v>0</v>
      </c>
      <c r="CY51" s="24">
        <v>0</v>
      </c>
      <c r="CZ51" s="24">
        <v>0</v>
      </c>
      <c r="DA51" s="24">
        <v>0</v>
      </c>
      <c r="DB51" s="24">
        <v>0</v>
      </c>
      <c r="DC51" s="24" t="str">
        <f>IF(DD51="정수원 실장","기아", IF(DD51="박현식 부장", "현대", IF(DD51="김성진 팀장", "한성", IF(DD51="전석영 부장", "한성", IF(DD51= "박봉호 부장", "모토원",IF(DD51="정원철 부장", "한성"))))))</f>
        <v>기아</v>
      </c>
      <c r="DD51" s="24" t="s">
        <v>121</v>
      </c>
      <c r="DE51" s="24" t="str">
        <f>IF(DD51="정수원 실장","렌트베네핏", IF(DD51="박현식 부장", "렌트베네핏", IF(DD51="김성진 팀장", "청담", IF(DD51="전석영 부장", "방배", IF(DD51= "박봉호 부장", "일산",IF(DD93="정원철 부장", "청담"))))))</f>
        <v>렌트베네핏</v>
      </c>
      <c r="DF51" s="24"/>
      <c r="DG51" s="24"/>
      <c r="DH51" s="24"/>
      <c r="DI51" s="24" t="s">
        <v>467</v>
      </c>
      <c r="DJ51" s="22" t="s">
        <v>1610</v>
      </c>
      <c r="DK51" s="38">
        <v>0.3</v>
      </c>
      <c r="DL51" s="76">
        <v>0.2</v>
      </c>
      <c r="DM51" s="24"/>
      <c r="DN51" s="46"/>
      <c r="DO51" s="24"/>
      <c r="DP51" s="24"/>
      <c r="DQ51" s="38"/>
    </row>
    <row r="52" spans="2:121">
      <c r="B52" s="7">
        <v>48</v>
      </c>
      <c r="C52" s="7" t="s">
        <v>468</v>
      </c>
      <c r="D52" s="36" t="s">
        <v>1585</v>
      </c>
      <c r="E52" s="7" t="s">
        <v>469</v>
      </c>
      <c r="F52" s="7" t="s">
        <v>470</v>
      </c>
      <c r="G52" s="7" t="s">
        <v>471</v>
      </c>
      <c r="H52" s="7" t="s">
        <v>192</v>
      </c>
      <c r="I52" s="7" t="s">
        <v>139</v>
      </c>
      <c r="J52" s="9">
        <v>12750000</v>
      </c>
      <c r="K52" s="7">
        <v>2022</v>
      </c>
      <c r="L52" s="6" t="s">
        <v>134</v>
      </c>
      <c r="M52" s="6" t="s">
        <v>90</v>
      </c>
      <c r="N52" s="7" t="s">
        <v>472</v>
      </c>
      <c r="O52" s="21" t="s">
        <v>473</v>
      </c>
      <c r="P52" s="7" t="s">
        <v>98</v>
      </c>
      <c r="Q52" s="33">
        <v>998</v>
      </c>
      <c r="R52" s="11">
        <v>44503</v>
      </c>
      <c r="S52" s="11">
        <v>44557</v>
      </c>
      <c r="T52" s="11">
        <v>44557</v>
      </c>
      <c r="U52" s="12" t="s">
        <v>91</v>
      </c>
      <c r="V52" s="11">
        <f>IFERROR(T52+AD52, "-")</f>
        <v>46382</v>
      </c>
      <c r="W52" s="7">
        <f ca="1">IFERROR(DATEDIF(TODAY(), V52, "m"), "-")</f>
        <v>4</v>
      </c>
      <c r="X52" s="13">
        <v>20000</v>
      </c>
      <c r="Y52" s="9" t="s">
        <v>474</v>
      </c>
      <c r="Z52" s="7" t="s">
        <v>475</v>
      </c>
      <c r="AA52" s="9"/>
      <c r="AB52" s="9" t="s">
        <v>476</v>
      </c>
      <c r="AC52" s="11">
        <v>44586</v>
      </c>
      <c r="AD52" s="7">
        <f>365*U52</f>
        <v>1825</v>
      </c>
      <c r="AE52" s="7">
        <f ca="1">V52-TODAY()</f>
        <v>130</v>
      </c>
      <c r="AF52" s="7" t="e">
        <f>VLOOKUP($C52,#REF!, 4, FALSE)</f>
        <v>#REF!</v>
      </c>
      <c r="AG52" s="41">
        <v>13209603</v>
      </c>
      <c r="AH52" s="9">
        <v>200000</v>
      </c>
      <c r="AI52" s="9">
        <v>12688000</v>
      </c>
      <c r="AJ52" s="9">
        <v>0</v>
      </c>
      <c r="AK52" s="9">
        <v>2000</v>
      </c>
      <c r="AL52" s="9">
        <v>461380</v>
      </c>
      <c r="AM52" s="9">
        <v>0</v>
      </c>
      <c r="AN52" s="9">
        <v>2000</v>
      </c>
      <c r="AO52" s="9">
        <v>27000</v>
      </c>
      <c r="AP52" s="9">
        <v>30000</v>
      </c>
      <c r="AQ52" s="9">
        <v>430000</v>
      </c>
      <c r="AR52" s="9">
        <v>0</v>
      </c>
      <c r="AS52" s="9" t="s">
        <v>195</v>
      </c>
      <c r="AT52" s="9">
        <v>66000</v>
      </c>
      <c r="AU52" s="9" t="s">
        <v>438</v>
      </c>
      <c r="AV52" s="9"/>
      <c r="AW52" s="18">
        <f>SUM(AJ52,AK52,AN52,AO52,AP52, AR52,AT52+AL52+AM52)</f>
        <v>588380</v>
      </c>
      <c r="AX52" s="18" t="s">
        <v>196</v>
      </c>
      <c r="AY52" s="53">
        <v>44503</v>
      </c>
      <c r="AZ52" s="41">
        <v>1153090</v>
      </c>
      <c r="BA52" s="41">
        <v>1035460</v>
      </c>
      <c r="BB52" s="9"/>
      <c r="BC52" s="9"/>
      <c r="BD52" s="9"/>
      <c r="BE52" s="9" t="s">
        <v>93</v>
      </c>
      <c r="BF52" s="9" t="s">
        <v>94</v>
      </c>
      <c r="BG52" s="9" t="s">
        <v>117</v>
      </c>
      <c r="BH52" s="9" t="s">
        <v>118</v>
      </c>
      <c r="BI52" s="9" t="s">
        <v>97</v>
      </c>
      <c r="BJ52" s="9" t="s">
        <v>119</v>
      </c>
      <c r="BK52" s="7" t="s">
        <v>130</v>
      </c>
      <c r="BL52" s="9" t="s">
        <v>99</v>
      </c>
      <c r="BM52" s="9" t="s">
        <v>148</v>
      </c>
      <c r="BN52" s="9" t="s">
        <v>100</v>
      </c>
      <c r="BO52" s="9" t="s">
        <v>101</v>
      </c>
      <c r="BP52" s="9" t="s">
        <v>101</v>
      </c>
      <c r="BQ52" s="9" t="s">
        <v>198</v>
      </c>
      <c r="BR52" s="7"/>
      <c r="BS52" s="9">
        <f>IF(Q52&lt;=1600,Q52*18,IF(Q52&lt;=2500,Q52*19,IF(Q52&gt;2500,Q52*24,20000)))</f>
        <v>17964</v>
      </c>
      <c r="BT52" s="7" t="s">
        <v>140</v>
      </c>
      <c r="BU52" s="22"/>
      <c r="BV52" s="9"/>
      <c r="BW52" s="14"/>
      <c r="BX52" s="9"/>
      <c r="BY52" s="9">
        <f>BX52*BW52</f>
        <v>0</v>
      </c>
      <c r="BZ52" s="9">
        <f>BY52-BV52</f>
        <v>0</v>
      </c>
      <c r="CA52" s="27">
        <v>0</v>
      </c>
      <c r="CB52" s="87"/>
      <c r="CC52" s="15" t="s">
        <v>154</v>
      </c>
      <c r="CD52" s="15" t="s">
        <v>154</v>
      </c>
      <c r="CE52" s="9">
        <v>376700</v>
      </c>
      <c r="CF52" s="9">
        <f>U52*12</f>
        <v>60</v>
      </c>
      <c r="CG52" s="9">
        <f>CF52*CE52</f>
        <v>22602000</v>
      </c>
      <c r="CH52" s="9"/>
      <c r="CI52" s="9"/>
      <c r="CJ52" s="9">
        <v>2506900</v>
      </c>
      <c r="CK52" s="51">
        <v>5.6000000000000001E-2</v>
      </c>
      <c r="CL52" s="48">
        <v>0.04</v>
      </c>
      <c r="CM52" s="16" t="s">
        <v>477</v>
      </c>
      <c r="CN52" s="9"/>
      <c r="CO52" s="9" t="s">
        <v>475</v>
      </c>
      <c r="CP52" s="27">
        <v>0.03</v>
      </c>
      <c r="CQ52" s="38"/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 t="str">
        <f>IF(DD52="정수원 실장","기아", IF(DD52="박현식 부장", "현대", IF(DD52="김성진 팀장", "한성", IF(DD52="전석영 부장", "한성", IF(DD52= "박봉호 부장", "모토원",IF(DD52="정원철 부장", "한성"))))))</f>
        <v>기아</v>
      </c>
      <c r="DD52" s="24" t="s">
        <v>121</v>
      </c>
      <c r="DE52" s="24" t="str">
        <f>IF(DD52="정수원 실장","렌트베네핏", IF(DD52="박현식 부장", "렌트베네핏", IF(DD52="김성진 팀장", "청담", IF(DD52="전석영 부장", "방배", IF(DD52= "박봉호 부장", "일산",IF(DD104="정원철 부장", "청담"))))))</f>
        <v>렌트베네핏</v>
      </c>
      <c r="DF52" s="24"/>
      <c r="DG52" s="24"/>
      <c r="DH52" s="24"/>
      <c r="DI52" s="24" t="s">
        <v>478</v>
      </c>
      <c r="DJ52" s="22" t="s">
        <v>1610</v>
      </c>
      <c r="DK52" s="38">
        <v>0.3</v>
      </c>
      <c r="DL52" s="76">
        <v>0.2</v>
      </c>
      <c r="DM52" s="24"/>
      <c r="DN52" s="46"/>
      <c r="DO52" s="24"/>
      <c r="DP52" s="24"/>
      <c r="DQ52" s="38"/>
    </row>
    <row r="53" spans="2:121">
      <c r="B53" s="7">
        <v>49</v>
      </c>
      <c r="C53" s="7" t="s">
        <v>479</v>
      </c>
      <c r="D53" s="36" t="s">
        <v>1585</v>
      </c>
      <c r="E53" s="7" t="s">
        <v>480</v>
      </c>
      <c r="F53" s="7" t="s">
        <v>481</v>
      </c>
      <c r="G53" s="7" t="s">
        <v>482</v>
      </c>
      <c r="H53" s="7" t="s">
        <v>108</v>
      </c>
      <c r="I53" s="7" t="s">
        <v>109</v>
      </c>
      <c r="J53" s="9">
        <v>245600000</v>
      </c>
      <c r="K53" s="7">
        <v>2022</v>
      </c>
      <c r="L53" s="6" t="s">
        <v>89</v>
      </c>
      <c r="M53" s="6" t="s">
        <v>90</v>
      </c>
      <c r="N53" s="7" t="s">
        <v>483</v>
      </c>
      <c r="O53" s="7" t="s">
        <v>484</v>
      </c>
      <c r="P53" s="7" t="s">
        <v>98</v>
      </c>
      <c r="Q53" s="33">
        <v>3982</v>
      </c>
      <c r="R53" s="11">
        <v>44557</v>
      </c>
      <c r="S53" s="11">
        <v>44549</v>
      </c>
      <c r="T53" s="11">
        <v>44559</v>
      </c>
      <c r="U53" s="12" t="s">
        <v>91</v>
      </c>
      <c r="V53" s="11">
        <f>IFERROR(T53+AD53, "-")</f>
        <v>46384</v>
      </c>
      <c r="W53" s="7">
        <f ca="1">IFERROR(DATEDIF(TODAY(), V53, "m"), "-")</f>
        <v>4</v>
      </c>
      <c r="X53" s="13">
        <v>20000</v>
      </c>
      <c r="Y53" s="7" t="s">
        <v>485</v>
      </c>
      <c r="Z53" s="7" t="s">
        <v>482</v>
      </c>
      <c r="AA53" s="9"/>
      <c r="AB53" s="9" t="s">
        <v>486</v>
      </c>
      <c r="AC53" s="11">
        <v>44586</v>
      </c>
      <c r="AD53" s="7">
        <f>365*U53</f>
        <v>1825</v>
      </c>
      <c r="AE53" s="7">
        <f ca="1">V53-TODAY()</f>
        <v>132</v>
      </c>
      <c r="AF53" s="7" t="e">
        <f>VLOOKUP($C53,#REF!, 4, FALSE)</f>
        <v>#REF!</v>
      </c>
      <c r="AG53" s="41">
        <v>245600000</v>
      </c>
      <c r="AH53" s="9">
        <v>9824000</v>
      </c>
      <c r="AI53" s="9">
        <v>245600000</v>
      </c>
      <c r="AJ53" s="9"/>
      <c r="AK53" s="9">
        <v>0</v>
      </c>
      <c r="AL53" s="9">
        <v>8930900</v>
      </c>
      <c r="AM53" s="9">
        <v>411087</v>
      </c>
      <c r="AN53" s="9">
        <v>5000</v>
      </c>
      <c r="AO53" s="9">
        <v>21500</v>
      </c>
      <c r="AP53" s="9">
        <v>30000</v>
      </c>
      <c r="AQ53" s="9">
        <v>0</v>
      </c>
      <c r="AR53" s="9"/>
      <c r="AS53" s="9" t="s">
        <v>145</v>
      </c>
      <c r="AT53" s="9"/>
      <c r="AU53" s="9" t="s">
        <v>146</v>
      </c>
      <c r="AV53" s="41">
        <v>9398987</v>
      </c>
      <c r="AW53" s="18">
        <f>SUM(AJ53,AK53,AN53,AO53,AP53, AR53,AT53+AL53+AM53)</f>
        <v>9398487</v>
      </c>
      <c r="AX53" s="18" t="s">
        <v>92</v>
      </c>
      <c r="AY53" s="53">
        <v>44557</v>
      </c>
      <c r="AZ53" s="41">
        <f>8747130-1819480</f>
        <v>6927650</v>
      </c>
      <c r="BA53" s="41">
        <v>1430070</v>
      </c>
      <c r="BB53" s="9"/>
      <c r="BC53" s="9"/>
      <c r="BD53" s="9"/>
      <c r="BE53" s="9" t="s">
        <v>93</v>
      </c>
      <c r="BF53" s="9" t="s">
        <v>94</v>
      </c>
      <c r="BG53" s="9" t="s">
        <v>95</v>
      </c>
      <c r="BH53" s="9" t="s">
        <v>96</v>
      </c>
      <c r="BI53" s="9" t="s">
        <v>97</v>
      </c>
      <c r="BJ53" s="9" t="s">
        <v>127</v>
      </c>
      <c r="BK53" s="7" t="s">
        <v>130</v>
      </c>
      <c r="BL53" s="9" t="s">
        <v>99</v>
      </c>
      <c r="BM53" s="9" t="s">
        <v>148</v>
      </c>
      <c r="BN53" s="9" t="s">
        <v>100</v>
      </c>
      <c r="BO53" s="9" t="s">
        <v>101</v>
      </c>
      <c r="BP53" s="9" t="s">
        <v>101</v>
      </c>
      <c r="BQ53" s="9" t="s">
        <v>487</v>
      </c>
      <c r="BR53" s="7"/>
      <c r="BS53" s="9">
        <f>IF(Q53&lt;=1600,Q53*18,IF(Q53&lt;=2500,Q53*19,IF(Q53&gt;2500,Q53*24,20000)))</f>
        <v>95568</v>
      </c>
      <c r="BT53" s="7" t="s">
        <v>140</v>
      </c>
      <c r="BU53" s="22"/>
      <c r="BV53" s="9"/>
      <c r="BW53" s="14"/>
      <c r="BX53" s="9"/>
      <c r="BY53" s="9"/>
      <c r="BZ53" s="9"/>
      <c r="CA53" s="27">
        <v>0</v>
      </c>
      <c r="CB53" s="87"/>
      <c r="CC53" s="15" t="s">
        <v>154</v>
      </c>
      <c r="CD53" s="15" t="s">
        <v>154</v>
      </c>
      <c r="CE53" s="9">
        <v>3892150</v>
      </c>
      <c r="CF53" s="9">
        <f>U53*12</f>
        <v>60</v>
      </c>
      <c r="CG53" s="9">
        <f>CF53*CE53</f>
        <v>233529000</v>
      </c>
      <c r="CH53" s="9">
        <v>65285000</v>
      </c>
      <c r="CI53" s="9">
        <v>33525000</v>
      </c>
      <c r="CJ53" s="9">
        <v>65285000</v>
      </c>
      <c r="CK53" s="51">
        <v>0</v>
      </c>
      <c r="CL53" s="48">
        <v>0.06</v>
      </c>
      <c r="CM53" s="16" t="s">
        <v>1683</v>
      </c>
      <c r="CN53" s="16" t="s">
        <v>488</v>
      </c>
      <c r="CO53" s="16"/>
      <c r="CP53" s="27">
        <v>0.03</v>
      </c>
      <c r="CQ53" s="38"/>
      <c r="CR53" s="24">
        <v>0</v>
      </c>
      <c r="CS53" s="24">
        <v>0</v>
      </c>
      <c r="CT53" s="24">
        <v>0</v>
      </c>
      <c r="CU53" s="24">
        <v>0</v>
      </c>
      <c r="CV53" s="24">
        <v>0</v>
      </c>
      <c r="CW53" s="24">
        <v>0</v>
      </c>
      <c r="CX53" s="24">
        <v>0</v>
      </c>
      <c r="CY53" s="24">
        <v>0</v>
      </c>
      <c r="CZ53" s="24">
        <v>0</v>
      </c>
      <c r="DA53" s="24">
        <v>0</v>
      </c>
      <c r="DB53" s="24">
        <v>0</v>
      </c>
      <c r="DC53" s="24" t="b">
        <f>IF(DD53="정수원 실장","기아", IF(DD53="박현식 부장", "현대", IF(DD53="김성진 팀장", "한성", IF(DD53="전석영 부장", "한성", IF(DD53= "박봉호 부장", "모토원",IF(DD53="정원철 부장", "한성"))))))</f>
        <v>0</v>
      </c>
      <c r="DD53" s="24" t="s">
        <v>489</v>
      </c>
      <c r="DE53" s="24" t="b">
        <f>IF(DD53="정수원 실장","렌트베네핏", IF(DD53="박현식 부장", "렌트베네핏", IF(DD53="김성진 팀장", "청담", IF(DD53="전석영 부장", "방배", IF(DD53= "박봉호 부장", "일산",IF(DD105="정원철 부장", "청담"))))))</f>
        <v>0</v>
      </c>
      <c r="DF53" s="24"/>
      <c r="DG53" s="24"/>
      <c r="DH53" s="24"/>
      <c r="DI53" s="24" t="s">
        <v>490</v>
      </c>
      <c r="DJ53" s="22" t="s">
        <v>1682</v>
      </c>
      <c r="DK53" s="38">
        <v>0.3</v>
      </c>
      <c r="DL53" s="76">
        <v>0.2</v>
      </c>
      <c r="DM53" s="24"/>
      <c r="DN53" s="46"/>
      <c r="DO53" s="24"/>
      <c r="DP53" s="24"/>
      <c r="DQ53" s="38"/>
    </row>
    <row r="54" spans="2:121">
      <c r="B54" s="7">
        <v>50</v>
      </c>
      <c r="C54" s="7" t="s">
        <v>491</v>
      </c>
      <c r="D54" s="36" t="s">
        <v>1585</v>
      </c>
      <c r="E54" s="7" t="s">
        <v>492</v>
      </c>
      <c r="F54" s="7" t="s">
        <v>493</v>
      </c>
      <c r="G54" s="7" t="s">
        <v>494</v>
      </c>
      <c r="H54" s="7" t="s">
        <v>192</v>
      </c>
      <c r="I54" s="7" t="s">
        <v>139</v>
      </c>
      <c r="J54" s="9">
        <v>12750000</v>
      </c>
      <c r="K54" s="7">
        <v>2022</v>
      </c>
      <c r="L54" s="6" t="s">
        <v>134</v>
      </c>
      <c r="M54" s="6" t="s">
        <v>90</v>
      </c>
      <c r="N54" s="7" t="s">
        <v>495</v>
      </c>
      <c r="O54" s="21" t="s">
        <v>1472</v>
      </c>
      <c r="P54" s="7" t="s">
        <v>98</v>
      </c>
      <c r="Q54" s="33">
        <v>998</v>
      </c>
      <c r="R54" s="11">
        <v>44503</v>
      </c>
      <c r="S54" s="11">
        <v>44561</v>
      </c>
      <c r="T54" s="11">
        <v>44582</v>
      </c>
      <c r="U54" s="12" t="s">
        <v>496</v>
      </c>
      <c r="V54" s="11">
        <f>IFERROR(T54+AD54, "-")</f>
        <v>46042</v>
      </c>
      <c r="W54" s="7" t="str">
        <f ca="1">IFERROR(DATEDIF(TODAY(), V54, "m"), "-")</f>
        <v>-</v>
      </c>
      <c r="X54" s="13">
        <v>20000</v>
      </c>
      <c r="Y54" s="9" t="s">
        <v>497</v>
      </c>
      <c r="Z54" s="7" t="s">
        <v>498</v>
      </c>
      <c r="AA54" s="9"/>
      <c r="AB54" s="9" t="s">
        <v>499</v>
      </c>
      <c r="AC54" s="11">
        <v>44592</v>
      </c>
      <c r="AD54" s="7">
        <f>365*U54</f>
        <v>1460</v>
      </c>
      <c r="AE54" s="7">
        <f ca="1">V54-TODAY()</f>
        <v>-210</v>
      </c>
      <c r="AF54" s="7" t="e">
        <f>VLOOKUP($C54,#REF!, 4, FALSE)</f>
        <v>#REF!</v>
      </c>
      <c r="AG54" s="41">
        <v>13209603</v>
      </c>
      <c r="AH54" s="9">
        <v>200000</v>
      </c>
      <c r="AI54" s="9">
        <v>12688000</v>
      </c>
      <c r="AJ54" s="9">
        <v>0</v>
      </c>
      <c r="AK54" s="9">
        <v>2000</v>
      </c>
      <c r="AL54" s="9">
        <v>461380</v>
      </c>
      <c r="AM54" s="9">
        <v>0</v>
      </c>
      <c r="AN54" s="9">
        <v>2000</v>
      </c>
      <c r="AO54" s="9">
        <v>27000</v>
      </c>
      <c r="AP54" s="9">
        <v>30000</v>
      </c>
      <c r="AQ54" s="9">
        <v>430000</v>
      </c>
      <c r="AR54" s="9">
        <v>0</v>
      </c>
      <c r="AS54" s="9" t="s">
        <v>195</v>
      </c>
      <c r="AT54" s="9">
        <v>0</v>
      </c>
      <c r="AU54" s="9" t="s">
        <v>135</v>
      </c>
      <c r="AV54" s="9"/>
      <c r="AW54" s="18">
        <f>SUM(AJ54,AK54,AN54,AO54,AP54, AR54,AT54+AL54+AM54)</f>
        <v>522380</v>
      </c>
      <c r="AX54" s="18" t="s">
        <v>196</v>
      </c>
      <c r="AY54" s="53">
        <v>44503</v>
      </c>
      <c r="AZ54" s="41">
        <v>1153090</v>
      </c>
      <c r="BA54" s="41">
        <v>1035460</v>
      </c>
      <c r="BB54" s="9"/>
      <c r="BC54" s="9"/>
      <c r="BD54" s="9"/>
      <c r="BE54" s="9" t="s">
        <v>93</v>
      </c>
      <c r="BF54" s="9" t="s">
        <v>94</v>
      </c>
      <c r="BG54" s="9" t="s">
        <v>117</v>
      </c>
      <c r="BH54" s="9" t="s">
        <v>118</v>
      </c>
      <c r="BI54" s="9" t="s">
        <v>97</v>
      </c>
      <c r="BJ54" s="9" t="s">
        <v>119</v>
      </c>
      <c r="BK54" s="7" t="s">
        <v>130</v>
      </c>
      <c r="BL54" s="9" t="s">
        <v>99</v>
      </c>
      <c r="BM54" s="9" t="s">
        <v>148</v>
      </c>
      <c r="BN54" s="9" t="s">
        <v>100</v>
      </c>
      <c r="BO54" s="9" t="s">
        <v>101</v>
      </c>
      <c r="BP54" s="9" t="s">
        <v>101</v>
      </c>
      <c r="BQ54" s="9" t="s">
        <v>198</v>
      </c>
      <c r="BR54" s="7"/>
      <c r="BS54" s="9">
        <f>IF(Q54&lt;=1600,Q54*18,IF(Q54&lt;=2500,Q54*19,IF(Q54&gt;2500,Q54*24,20000)))</f>
        <v>17964</v>
      </c>
      <c r="BT54" s="7" t="s">
        <v>140</v>
      </c>
      <c r="BU54" s="22"/>
      <c r="BV54" s="9"/>
      <c r="BW54" s="14"/>
      <c r="BX54" s="9"/>
      <c r="BY54" s="9">
        <f>BX54*BW54</f>
        <v>0</v>
      </c>
      <c r="BZ54" s="9">
        <f>BY54-BV54</f>
        <v>0</v>
      </c>
      <c r="CA54" s="27">
        <v>0</v>
      </c>
      <c r="CB54" s="1"/>
      <c r="CC54" s="15" t="s">
        <v>149</v>
      </c>
      <c r="CD54" s="15" t="s">
        <v>154</v>
      </c>
      <c r="CE54" s="9">
        <v>418300</v>
      </c>
      <c r="CF54" s="9">
        <f>U54*12</f>
        <v>48</v>
      </c>
      <c r="CG54" s="9">
        <f>CF54*CE54</f>
        <v>20078400</v>
      </c>
      <c r="CH54" s="9"/>
      <c r="CI54" s="9"/>
      <c r="CJ54" s="9">
        <v>4065000</v>
      </c>
      <c r="CK54" s="51">
        <v>2.5999999999999999E-2</v>
      </c>
      <c r="CL54" s="48">
        <v>0.06</v>
      </c>
      <c r="CM54" s="16" t="s">
        <v>500</v>
      </c>
      <c r="CN54" s="9"/>
      <c r="CO54" s="9"/>
      <c r="CP54" s="27">
        <v>0.03</v>
      </c>
      <c r="CQ54" s="38"/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 t="str">
        <f>IF(DD54="정수원 실장","기아", IF(DD54="박현식 부장", "현대", IF(DD54="김성진 팀장", "한성", IF(DD54="전석영 부장", "한성", IF(DD54= "박봉호 부장", "모토원",IF(DD54="정원철 부장", "한성"))))))</f>
        <v>기아</v>
      </c>
      <c r="DD54" s="24" t="s">
        <v>121</v>
      </c>
      <c r="DE54" s="24" t="s">
        <v>501</v>
      </c>
      <c r="DF54" s="24"/>
      <c r="DG54" s="24"/>
      <c r="DH54" s="24"/>
      <c r="DI54" s="24" t="s">
        <v>502</v>
      </c>
      <c r="DJ54" s="22" t="s">
        <v>1610</v>
      </c>
      <c r="DK54" s="38">
        <v>0.3</v>
      </c>
      <c r="DL54" s="76">
        <v>0.2</v>
      </c>
      <c r="DM54" s="24"/>
      <c r="DN54" s="46"/>
      <c r="DO54" s="24"/>
      <c r="DP54" s="24"/>
      <c r="DQ54" s="38"/>
    </row>
    <row r="55" spans="2:121">
      <c r="B55" s="7">
        <v>51</v>
      </c>
      <c r="C55" s="7" t="s">
        <v>503</v>
      </c>
      <c r="D55" s="36" t="s">
        <v>1585</v>
      </c>
      <c r="E55" s="7" t="s">
        <v>504</v>
      </c>
      <c r="F55" s="7" t="s">
        <v>505</v>
      </c>
      <c r="G55" s="7" t="s">
        <v>506</v>
      </c>
      <c r="H55" s="7" t="s">
        <v>87</v>
      </c>
      <c r="I55" s="7" t="s">
        <v>88</v>
      </c>
      <c r="J55" s="9">
        <v>281600000</v>
      </c>
      <c r="K55" s="7">
        <v>2022</v>
      </c>
      <c r="L55" s="6" t="s">
        <v>89</v>
      </c>
      <c r="M55" s="6" t="s">
        <v>90</v>
      </c>
      <c r="N55" s="7" t="s">
        <v>507</v>
      </c>
      <c r="O55" s="7" t="s">
        <v>508</v>
      </c>
      <c r="P55" s="7" t="s">
        <v>98</v>
      </c>
      <c r="Q55" s="33">
        <v>3982</v>
      </c>
      <c r="R55" s="11">
        <v>44561</v>
      </c>
      <c r="S55" s="11">
        <v>44554</v>
      </c>
      <c r="T55" s="11">
        <v>44565</v>
      </c>
      <c r="U55" s="12" t="s">
        <v>91</v>
      </c>
      <c r="V55" s="11">
        <f>IFERROR(T55+AD55, "-")</f>
        <v>46390</v>
      </c>
      <c r="W55" s="7">
        <f ca="1">IFERROR(DATEDIF(TODAY(), V55, "m"), "-")</f>
        <v>4</v>
      </c>
      <c r="X55" s="13">
        <v>20000</v>
      </c>
      <c r="Y55" s="9" t="s">
        <v>509</v>
      </c>
      <c r="Z55" s="9" t="s">
        <v>510</v>
      </c>
      <c r="AA55" s="9"/>
      <c r="AB55" s="9" t="s">
        <v>511</v>
      </c>
      <c r="AC55" s="11">
        <v>44586</v>
      </c>
      <c r="AD55" s="7">
        <f>365*U55</f>
        <v>1825</v>
      </c>
      <c r="AE55" s="7">
        <f ca="1">V55-TODAY()</f>
        <v>138</v>
      </c>
      <c r="AF55" s="7" t="e">
        <f>VLOOKUP($C55,#REF!, 4, FALSE)</f>
        <v>#REF!</v>
      </c>
      <c r="AG55" s="41">
        <v>270336000</v>
      </c>
      <c r="AH55" s="9">
        <v>11264000</v>
      </c>
      <c r="AI55" s="9">
        <v>270336000</v>
      </c>
      <c r="AJ55" s="9"/>
      <c r="AK55" s="9">
        <v>0</v>
      </c>
      <c r="AL55" s="9">
        <v>9830400</v>
      </c>
      <c r="AM55" s="9">
        <v>693745</v>
      </c>
      <c r="AN55" s="9">
        <v>5000</v>
      </c>
      <c r="AO55" s="9">
        <v>21500</v>
      </c>
      <c r="AP55" s="9">
        <v>30000</v>
      </c>
      <c r="AQ55" s="9">
        <v>0</v>
      </c>
      <c r="AR55" s="9"/>
      <c r="AS55" s="9" t="s">
        <v>145</v>
      </c>
      <c r="AT55" s="9"/>
      <c r="AU55" s="9" t="s">
        <v>146</v>
      </c>
      <c r="AV55" s="41">
        <v>10581145</v>
      </c>
      <c r="AW55" s="18">
        <f>SUM(AJ55,AK55,AN55,AO55,AP55, AR55,AT55+AL55+AM55)</f>
        <v>10580645</v>
      </c>
      <c r="AX55" s="18" t="s">
        <v>92</v>
      </c>
      <c r="AY55" s="53">
        <v>44561</v>
      </c>
      <c r="AZ55" s="41">
        <f>9934060-3478990</f>
        <v>6455070</v>
      </c>
      <c r="BA55" s="41">
        <v>1104500</v>
      </c>
      <c r="BB55" s="9"/>
      <c r="BC55" s="9"/>
      <c r="BD55" s="9"/>
      <c r="BE55" s="9" t="s">
        <v>93</v>
      </c>
      <c r="BF55" s="9" t="s">
        <v>94</v>
      </c>
      <c r="BG55" s="9" t="s">
        <v>95</v>
      </c>
      <c r="BH55" s="9" t="s">
        <v>96</v>
      </c>
      <c r="BI55" s="9" t="s">
        <v>97</v>
      </c>
      <c r="BJ55" s="9" t="s">
        <v>127</v>
      </c>
      <c r="BK55" s="7" t="s">
        <v>130</v>
      </c>
      <c r="BL55" s="9" t="s">
        <v>99</v>
      </c>
      <c r="BM55" s="9" t="s">
        <v>148</v>
      </c>
      <c r="BN55" s="9" t="s">
        <v>100</v>
      </c>
      <c r="BO55" s="9" t="s">
        <v>101</v>
      </c>
      <c r="BP55" s="9" t="s">
        <v>101</v>
      </c>
      <c r="BQ55" s="9" t="s">
        <v>102</v>
      </c>
      <c r="BR55" s="7"/>
      <c r="BS55" s="9">
        <f>IF(Q55&lt;=1600,Q55*18,IF(Q55&lt;=2500,Q55*19,IF(Q55&gt;2500,Q55*24,20000)))</f>
        <v>95568</v>
      </c>
      <c r="BT55" s="7" t="s">
        <v>140</v>
      </c>
      <c r="BU55" s="22"/>
      <c r="BV55" s="9"/>
      <c r="BW55" s="14"/>
      <c r="BX55" s="9"/>
      <c r="BY55" s="9"/>
      <c r="BZ55" s="9"/>
      <c r="CA55" s="27">
        <v>0</v>
      </c>
      <c r="CB55" s="1"/>
      <c r="CC55" s="15" t="s">
        <v>154</v>
      </c>
      <c r="CD55" s="15" t="s">
        <v>141</v>
      </c>
      <c r="CE55" s="9">
        <v>4379100</v>
      </c>
      <c r="CF55" s="9">
        <f>U55*12</f>
        <v>60</v>
      </c>
      <c r="CG55" s="9">
        <f>CF55*CE55</f>
        <v>262746000</v>
      </c>
      <c r="CH55" s="9">
        <v>84480000</v>
      </c>
      <c r="CI55" s="9">
        <v>0</v>
      </c>
      <c r="CJ55" s="9">
        <v>104192000</v>
      </c>
      <c r="CK55" s="51">
        <v>0</v>
      </c>
      <c r="CL55" s="48">
        <v>0.06</v>
      </c>
      <c r="CM55" s="16" t="s">
        <v>512</v>
      </c>
      <c r="CN55" s="20" t="s">
        <v>513</v>
      </c>
      <c r="CO55" s="16"/>
      <c r="CP55" s="27">
        <v>0.03</v>
      </c>
      <c r="CQ55" s="38"/>
      <c r="CR55" s="24">
        <v>0</v>
      </c>
      <c r="CS55" s="24">
        <v>0</v>
      </c>
      <c r="CT55" s="24">
        <v>0</v>
      </c>
      <c r="CU55" s="24">
        <v>0</v>
      </c>
      <c r="CV55" s="24">
        <v>0</v>
      </c>
      <c r="CW55" s="24">
        <v>0</v>
      </c>
      <c r="CX55" s="24">
        <v>0</v>
      </c>
      <c r="CY55" s="24">
        <v>0</v>
      </c>
      <c r="CZ55" s="24">
        <v>0</v>
      </c>
      <c r="DA55" s="24">
        <v>0</v>
      </c>
      <c r="DB55" s="24">
        <v>0</v>
      </c>
      <c r="DC55" s="24" t="str">
        <f>IF(DD55="정수원 실장","기아", IF(DD55="박현식 부장", "현대", IF(DD55="김성진 팀장", "한성", IF(DD55="전석영 부장", "한성", IF(DD55= "박봉호 부장", "모토원",IF(DD55="정원철 부장", "한성"))))))</f>
        <v>한성</v>
      </c>
      <c r="DD55" s="24" t="s">
        <v>107</v>
      </c>
      <c r="DE55" s="24" t="s">
        <v>150</v>
      </c>
      <c r="DF55" s="24"/>
      <c r="DG55" s="24"/>
      <c r="DH55" s="24"/>
      <c r="DI55" s="24" t="s">
        <v>514</v>
      </c>
      <c r="DJ55" s="22" t="s">
        <v>1610</v>
      </c>
      <c r="DK55" s="38">
        <v>0.3</v>
      </c>
      <c r="DL55" s="76">
        <v>0.2</v>
      </c>
      <c r="DM55" s="24"/>
      <c r="DN55" s="46"/>
      <c r="DO55" s="24"/>
      <c r="DP55" s="24"/>
      <c r="DQ55" s="38"/>
    </row>
    <row r="56" spans="2:121">
      <c r="B56" s="7">
        <v>52</v>
      </c>
      <c r="C56" s="7" t="s">
        <v>515</v>
      </c>
      <c r="D56" s="36" t="s">
        <v>1585</v>
      </c>
      <c r="E56" s="7" t="s">
        <v>1475</v>
      </c>
      <c r="F56" s="7" t="s">
        <v>516</v>
      </c>
      <c r="G56" s="7" t="s">
        <v>517</v>
      </c>
      <c r="H56" s="7" t="s">
        <v>192</v>
      </c>
      <c r="I56" s="7" t="s">
        <v>139</v>
      </c>
      <c r="J56" s="9">
        <v>12750000</v>
      </c>
      <c r="K56" s="7">
        <v>2022</v>
      </c>
      <c r="L56" s="6" t="s">
        <v>134</v>
      </c>
      <c r="M56" s="6" t="s">
        <v>90</v>
      </c>
      <c r="N56" s="7" t="s">
        <v>518</v>
      </c>
      <c r="O56" s="21" t="s">
        <v>519</v>
      </c>
      <c r="P56" s="7" t="s">
        <v>98</v>
      </c>
      <c r="Q56" s="33">
        <v>998</v>
      </c>
      <c r="R56" s="11">
        <v>44503</v>
      </c>
      <c r="S56" s="11">
        <v>44566</v>
      </c>
      <c r="T56" s="11">
        <v>44566</v>
      </c>
      <c r="U56" s="12" t="s">
        <v>91</v>
      </c>
      <c r="V56" s="11">
        <f>IFERROR(T56+AD56, "-")</f>
        <v>46391</v>
      </c>
      <c r="W56" s="7">
        <f ca="1">IFERROR(DATEDIF(TODAY(), V56, "m"), "-")</f>
        <v>4</v>
      </c>
      <c r="X56" s="13">
        <v>20000</v>
      </c>
      <c r="Y56" s="9" t="s">
        <v>520</v>
      </c>
      <c r="Z56" s="7" t="s">
        <v>521</v>
      </c>
      <c r="AA56" s="9"/>
      <c r="AB56" s="9" t="s">
        <v>1476</v>
      </c>
      <c r="AC56" s="11">
        <v>44592</v>
      </c>
      <c r="AD56" s="7">
        <f>365*U56</f>
        <v>1825</v>
      </c>
      <c r="AE56" s="7">
        <f ca="1">V56-TODAY()</f>
        <v>139</v>
      </c>
      <c r="AF56" s="7" t="e">
        <f>VLOOKUP($C56,#REF!, 4, FALSE)</f>
        <v>#REF!</v>
      </c>
      <c r="AG56" s="41">
        <v>13209603</v>
      </c>
      <c r="AH56" s="9">
        <v>200000</v>
      </c>
      <c r="AI56" s="9">
        <v>12688000</v>
      </c>
      <c r="AJ56" s="9">
        <v>0</v>
      </c>
      <c r="AK56" s="9">
        <v>2000</v>
      </c>
      <c r="AL56" s="9">
        <v>461380</v>
      </c>
      <c r="AM56" s="9">
        <v>0</v>
      </c>
      <c r="AN56" s="9">
        <v>2000</v>
      </c>
      <c r="AO56" s="9">
        <v>27000</v>
      </c>
      <c r="AP56" s="9">
        <v>30000</v>
      </c>
      <c r="AQ56" s="9">
        <v>430000</v>
      </c>
      <c r="AR56" s="9">
        <v>0</v>
      </c>
      <c r="AS56" s="9" t="s">
        <v>195</v>
      </c>
      <c r="AT56" s="9">
        <v>0</v>
      </c>
      <c r="AU56" s="9" t="s">
        <v>135</v>
      </c>
      <c r="AV56" s="9"/>
      <c r="AW56" s="18">
        <f>SUM(AJ56,AK56,AN56,AO56,AP56, AR56,AT56+AL56+AM56)</f>
        <v>522380</v>
      </c>
      <c r="AX56" s="18" t="s">
        <v>196</v>
      </c>
      <c r="AY56" s="53">
        <v>44503</v>
      </c>
      <c r="AZ56" s="41">
        <v>1153090</v>
      </c>
      <c r="BA56" s="41">
        <v>1035460</v>
      </c>
      <c r="BB56" s="9"/>
      <c r="BC56" s="9"/>
      <c r="BD56" s="9"/>
      <c r="BE56" s="9" t="s">
        <v>93</v>
      </c>
      <c r="BF56" s="9" t="s">
        <v>94</v>
      </c>
      <c r="BG56" s="9" t="s">
        <v>117</v>
      </c>
      <c r="BH56" s="9" t="s">
        <v>118</v>
      </c>
      <c r="BI56" s="9" t="s">
        <v>97</v>
      </c>
      <c r="BJ56" s="9" t="s">
        <v>119</v>
      </c>
      <c r="BK56" s="7" t="s">
        <v>130</v>
      </c>
      <c r="BL56" s="9" t="s">
        <v>99</v>
      </c>
      <c r="BM56" s="9" t="s">
        <v>148</v>
      </c>
      <c r="BN56" s="9" t="s">
        <v>100</v>
      </c>
      <c r="BO56" s="9" t="s">
        <v>101</v>
      </c>
      <c r="BP56" s="9" t="s">
        <v>101</v>
      </c>
      <c r="BQ56" s="9" t="s">
        <v>522</v>
      </c>
      <c r="BR56" s="7"/>
      <c r="BS56" s="9">
        <f>IF(Q56&lt;=1600,Q56*18,IF(Q56&lt;=2500,Q56*19,IF(Q56&gt;2500,Q56*24,20000)))</f>
        <v>17964</v>
      </c>
      <c r="BT56" s="7" t="s">
        <v>140</v>
      </c>
      <c r="BU56" s="22"/>
      <c r="BV56" s="9"/>
      <c r="BW56" s="14"/>
      <c r="BX56" s="9"/>
      <c r="BY56" s="9">
        <f>BX56*BW56</f>
        <v>0</v>
      </c>
      <c r="BZ56" s="9">
        <f>BY56-BV56</f>
        <v>0</v>
      </c>
      <c r="CA56" s="27">
        <v>0</v>
      </c>
      <c r="CB56" s="87"/>
      <c r="CC56" s="15" t="s">
        <v>149</v>
      </c>
      <c r="CD56" s="15" t="s">
        <v>149</v>
      </c>
      <c r="CE56" s="9">
        <v>365200</v>
      </c>
      <c r="CF56" s="9">
        <f>U56*12</f>
        <v>60</v>
      </c>
      <c r="CG56" s="9">
        <f>CF56*CE56</f>
        <v>21912000</v>
      </c>
      <c r="CH56" s="9">
        <v>3387500</v>
      </c>
      <c r="CI56" s="9"/>
      <c r="CJ56" s="9">
        <v>3387500</v>
      </c>
      <c r="CK56" s="51">
        <v>8.0000000000000002E-3</v>
      </c>
      <c r="CL56" s="48">
        <v>0.06</v>
      </c>
      <c r="CM56" s="16" t="s">
        <v>523</v>
      </c>
      <c r="CN56" s="9"/>
      <c r="CO56" s="9" t="s">
        <v>521</v>
      </c>
      <c r="CP56" s="27">
        <v>0.03</v>
      </c>
      <c r="CQ56" s="38"/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 t="str">
        <f>IF(DD56="정수원 실장","기아", IF(DD56="박현식 부장", "현대", IF(DD56="김성진 팀장", "한성", IF(DD56="전석영 부장", "한성", IF(DD56= "박봉호 부장", "모토원",IF(DD56="정원철 부장", "한성"))))))</f>
        <v>기아</v>
      </c>
      <c r="DD56" s="24" t="s">
        <v>121</v>
      </c>
      <c r="DE56" s="24" t="s">
        <v>501</v>
      </c>
      <c r="DF56" s="24"/>
      <c r="DG56" s="24"/>
      <c r="DH56" s="24"/>
      <c r="DI56" s="24" t="s">
        <v>524</v>
      </c>
      <c r="DJ56" s="22" t="s">
        <v>1610</v>
      </c>
      <c r="DK56" s="38">
        <v>0.3</v>
      </c>
      <c r="DL56" s="76">
        <v>0.2</v>
      </c>
      <c r="DM56" s="24"/>
      <c r="DN56" s="46"/>
      <c r="DO56" s="24"/>
      <c r="DP56" s="24"/>
      <c r="DQ56" s="38"/>
    </row>
    <row r="57" spans="2:121">
      <c r="B57" s="7">
        <v>53</v>
      </c>
      <c r="C57" s="7" t="s">
        <v>525</v>
      </c>
      <c r="D57" s="36" t="s">
        <v>1585</v>
      </c>
      <c r="E57" s="7" t="s">
        <v>1475</v>
      </c>
      <c r="F57" s="7" t="s">
        <v>516</v>
      </c>
      <c r="G57" s="7" t="s">
        <v>517</v>
      </c>
      <c r="H57" s="7" t="s">
        <v>192</v>
      </c>
      <c r="I57" s="7" t="s">
        <v>139</v>
      </c>
      <c r="J57" s="9">
        <v>12750000</v>
      </c>
      <c r="K57" s="7">
        <v>2022</v>
      </c>
      <c r="L57" s="6" t="s">
        <v>134</v>
      </c>
      <c r="M57" s="6" t="s">
        <v>90</v>
      </c>
      <c r="N57" s="7" t="s">
        <v>526</v>
      </c>
      <c r="O57" s="21" t="s">
        <v>527</v>
      </c>
      <c r="P57" s="7" t="s">
        <v>98</v>
      </c>
      <c r="Q57" s="33">
        <v>998</v>
      </c>
      <c r="R57" s="11">
        <v>44503</v>
      </c>
      <c r="S57" s="11">
        <v>44566</v>
      </c>
      <c r="T57" s="11">
        <v>44566</v>
      </c>
      <c r="U57" s="12" t="s">
        <v>91</v>
      </c>
      <c r="V57" s="11">
        <f>IFERROR(T57+AD57, "-")</f>
        <v>46391</v>
      </c>
      <c r="W57" s="7">
        <f ca="1">IFERROR(DATEDIF(TODAY(), V57, "m"), "-")</f>
        <v>4</v>
      </c>
      <c r="X57" s="13">
        <v>20000</v>
      </c>
      <c r="Y57" s="9" t="s">
        <v>520</v>
      </c>
      <c r="Z57" s="7" t="s">
        <v>521</v>
      </c>
      <c r="AA57" s="9"/>
      <c r="AB57" s="9" t="s">
        <v>1476</v>
      </c>
      <c r="AC57" s="11">
        <v>44592</v>
      </c>
      <c r="AD57" s="7">
        <f>365*U57</f>
        <v>1825</v>
      </c>
      <c r="AE57" s="7">
        <f ca="1">V57-TODAY()</f>
        <v>139</v>
      </c>
      <c r="AF57" s="7" t="e">
        <f>VLOOKUP($C57,#REF!, 4, FALSE)</f>
        <v>#REF!</v>
      </c>
      <c r="AG57" s="41">
        <v>13209603</v>
      </c>
      <c r="AH57" s="9">
        <v>200000</v>
      </c>
      <c r="AI57" s="9">
        <v>12688000</v>
      </c>
      <c r="AJ57" s="9">
        <v>0</v>
      </c>
      <c r="AK57" s="9">
        <v>2000</v>
      </c>
      <c r="AL57" s="9">
        <v>461380</v>
      </c>
      <c r="AM57" s="9">
        <v>0</v>
      </c>
      <c r="AN57" s="9">
        <v>2000</v>
      </c>
      <c r="AO57" s="9">
        <v>27000</v>
      </c>
      <c r="AP57" s="9">
        <v>30000</v>
      </c>
      <c r="AQ57" s="9">
        <v>430000</v>
      </c>
      <c r="AR57" s="9">
        <v>0</v>
      </c>
      <c r="AS57" s="9" t="s">
        <v>195</v>
      </c>
      <c r="AT57" s="9">
        <v>0</v>
      </c>
      <c r="AU57" s="9" t="s">
        <v>135</v>
      </c>
      <c r="AV57" s="9"/>
      <c r="AW57" s="18">
        <f>SUM(AJ57,AK57,AN57,AO57,AP57, AR57,AT57+AL57+AM57)</f>
        <v>522380</v>
      </c>
      <c r="AX57" s="18" t="s">
        <v>196</v>
      </c>
      <c r="AY57" s="53">
        <v>44503</v>
      </c>
      <c r="AZ57" s="41">
        <v>1153090</v>
      </c>
      <c r="BA57" s="41">
        <v>1035460</v>
      </c>
      <c r="BB57" s="9"/>
      <c r="BC57" s="9"/>
      <c r="BD57" s="9"/>
      <c r="BE57" s="9" t="s">
        <v>93</v>
      </c>
      <c r="BF57" s="9" t="s">
        <v>94</v>
      </c>
      <c r="BG57" s="9" t="s">
        <v>117</v>
      </c>
      <c r="BH57" s="9" t="s">
        <v>118</v>
      </c>
      <c r="BI57" s="9" t="s">
        <v>97</v>
      </c>
      <c r="BJ57" s="9" t="s">
        <v>119</v>
      </c>
      <c r="BK57" s="7" t="s">
        <v>130</v>
      </c>
      <c r="BL57" s="9" t="s">
        <v>99</v>
      </c>
      <c r="BM57" s="9" t="s">
        <v>148</v>
      </c>
      <c r="BN57" s="9" t="s">
        <v>100</v>
      </c>
      <c r="BO57" s="9" t="s">
        <v>101</v>
      </c>
      <c r="BP57" s="9" t="s">
        <v>101</v>
      </c>
      <c r="BQ57" s="9" t="s">
        <v>522</v>
      </c>
      <c r="BR57" s="7"/>
      <c r="BS57" s="9">
        <f>IF(Q57&lt;=1600,Q57*18,IF(Q57&lt;=2500,Q57*19,IF(Q57&gt;2500,Q57*24,20000)))</f>
        <v>17964</v>
      </c>
      <c r="BT57" s="7" t="s">
        <v>140</v>
      </c>
      <c r="BU57" s="22"/>
      <c r="BV57" s="9"/>
      <c r="BW57" s="14"/>
      <c r="BX57" s="9"/>
      <c r="BY57" s="9">
        <f>BX57*BW57</f>
        <v>0</v>
      </c>
      <c r="BZ57" s="9">
        <f>BY57-BV57</f>
        <v>0</v>
      </c>
      <c r="CA57" s="27">
        <v>0</v>
      </c>
      <c r="CB57" s="87"/>
      <c r="CC57" s="15" t="s">
        <v>149</v>
      </c>
      <c r="CD57" s="15" t="s">
        <v>149</v>
      </c>
      <c r="CE57" s="9">
        <v>365200</v>
      </c>
      <c r="CF57" s="9">
        <f>U57*12</f>
        <v>60</v>
      </c>
      <c r="CG57" s="9">
        <f>CF57*CE57</f>
        <v>21912000</v>
      </c>
      <c r="CH57" s="9">
        <v>3387500</v>
      </c>
      <c r="CI57" s="9"/>
      <c r="CJ57" s="9">
        <v>3387500</v>
      </c>
      <c r="CK57" s="51">
        <v>8.0000000000000002E-3</v>
      </c>
      <c r="CL57" s="48">
        <v>0.06</v>
      </c>
      <c r="CM57" s="16" t="s">
        <v>523</v>
      </c>
      <c r="CN57" s="9"/>
      <c r="CO57" s="9"/>
      <c r="CP57" s="27">
        <v>0.03</v>
      </c>
      <c r="CQ57" s="38"/>
      <c r="CR57" s="24">
        <v>0</v>
      </c>
      <c r="CS57" s="24">
        <v>0</v>
      </c>
      <c r="CT57" s="24">
        <v>0</v>
      </c>
      <c r="CU57" s="24">
        <v>0</v>
      </c>
      <c r="CV57" s="24">
        <v>0</v>
      </c>
      <c r="CW57" s="24">
        <v>0</v>
      </c>
      <c r="CX57" s="24">
        <v>0</v>
      </c>
      <c r="CY57" s="24">
        <v>0</v>
      </c>
      <c r="CZ57" s="24">
        <v>0</v>
      </c>
      <c r="DA57" s="24">
        <v>0</v>
      </c>
      <c r="DB57" s="24">
        <v>0</v>
      </c>
      <c r="DC57" s="24" t="str">
        <f>IF(DD57="정수원 실장","기아", IF(DD57="박현식 부장", "현대", IF(DD57="김성진 팀장", "한성", IF(DD57="전석영 부장", "한성", IF(DD57= "박봉호 부장", "모토원",IF(DD57="정원철 부장", "한성"))))))</f>
        <v>기아</v>
      </c>
      <c r="DD57" s="24" t="s">
        <v>121</v>
      </c>
      <c r="DE57" s="24" t="s">
        <v>501</v>
      </c>
      <c r="DF57" s="24"/>
      <c r="DG57" s="24"/>
      <c r="DH57" s="24"/>
      <c r="DI57" s="24" t="s">
        <v>524</v>
      </c>
      <c r="DJ57" s="22" t="s">
        <v>1610</v>
      </c>
      <c r="DK57" s="38">
        <v>0.3</v>
      </c>
      <c r="DL57" s="76">
        <v>0.2</v>
      </c>
      <c r="DM57" s="24"/>
      <c r="DN57" s="46"/>
      <c r="DO57" s="24"/>
      <c r="DP57" s="24"/>
      <c r="DQ57" s="38"/>
    </row>
    <row r="58" spans="2:121">
      <c r="B58" s="7">
        <v>54</v>
      </c>
      <c r="C58" s="7" t="s">
        <v>528</v>
      </c>
      <c r="D58" s="7" t="s">
        <v>1588</v>
      </c>
      <c r="E58" s="7" t="s">
        <v>529</v>
      </c>
      <c r="F58" s="7" t="s">
        <v>530</v>
      </c>
      <c r="G58" s="7" t="s">
        <v>531</v>
      </c>
      <c r="H58" s="7" t="s">
        <v>132</v>
      </c>
      <c r="I58" s="7" t="s">
        <v>139</v>
      </c>
      <c r="J58" s="9">
        <v>12750000</v>
      </c>
      <c r="K58" s="7">
        <v>2022</v>
      </c>
      <c r="L58" s="6" t="s">
        <v>134</v>
      </c>
      <c r="M58" s="6" t="s">
        <v>90</v>
      </c>
      <c r="N58" s="7" t="s">
        <v>532</v>
      </c>
      <c r="O58" s="21" t="s">
        <v>533</v>
      </c>
      <c r="P58" s="7" t="s">
        <v>98</v>
      </c>
      <c r="Q58" s="33">
        <v>998</v>
      </c>
      <c r="R58" s="11">
        <v>44503</v>
      </c>
      <c r="S58" s="11">
        <v>44568</v>
      </c>
      <c r="T58" s="11">
        <v>44568</v>
      </c>
      <c r="U58" s="12" t="s">
        <v>153</v>
      </c>
      <c r="V58" s="11">
        <f>IFERROR(T58+AD58, "-")</f>
        <v>45663</v>
      </c>
      <c r="W58" s="7" t="str">
        <f ca="1">IFERROR(DATEDIF(TODAY(), V58, "m"), "-")</f>
        <v>-</v>
      </c>
      <c r="X58" s="13">
        <v>20000</v>
      </c>
      <c r="Y58" s="9" t="s">
        <v>534</v>
      </c>
      <c r="Z58" s="7" t="s">
        <v>535</v>
      </c>
      <c r="AA58" s="9"/>
      <c r="AB58" s="9" t="s">
        <v>536</v>
      </c>
      <c r="AC58" s="11">
        <v>44586</v>
      </c>
      <c r="AD58" s="7">
        <f>365*U58</f>
        <v>1095</v>
      </c>
      <c r="AE58" s="7">
        <f ca="1">V58-TODAY()</f>
        <v>-589</v>
      </c>
      <c r="AF58" s="7" t="e">
        <f>VLOOKUP($C58,#REF!, 4, FALSE)</f>
        <v>#REF!</v>
      </c>
      <c r="AG58" s="41">
        <v>13209603</v>
      </c>
      <c r="AH58" s="9">
        <v>200000</v>
      </c>
      <c r="AI58" s="9">
        <v>12688000</v>
      </c>
      <c r="AJ58" s="9">
        <v>0</v>
      </c>
      <c r="AK58" s="9">
        <v>2000</v>
      </c>
      <c r="AL58" s="9">
        <v>461380</v>
      </c>
      <c r="AM58" s="9">
        <v>0</v>
      </c>
      <c r="AN58" s="9">
        <v>2000</v>
      </c>
      <c r="AO58" s="9">
        <v>27000</v>
      </c>
      <c r="AP58" s="9">
        <v>30000</v>
      </c>
      <c r="AQ58" s="9">
        <v>430000</v>
      </c>
      <c r="AR58" s="9">
        <v>0</v>
      </c>
      <c r="AS58" s="9" t="s">
        <v>195</v>
      </c>
      <c r="AT58" s="9">
        <v>0</v>
      </c>
      <c r="AU58" s="9" t="s">
        <v>135</v>
      </c>
      <c r="AV58" s="9"/>
      <c r="AW58" s="18">
        <f>SUM(AJ58,AK58,AN58,AO58,AP58, AR58,AT58+AL58+AM58)</f>
        <v>522380</v>
      </c>
      <c r="AX58" s="18" t="s">
        <v>196</v>
      </c>
      <c r="AY58" s="53">
        <v>44503</v>
      </c>
      <c r="AZ58" s="41">
        <v>1153090</v>
      </c>
      <c r="BA58" s="41">
        <v>1035460</v>
      </c>
      <c r="BB58" s="9"/>
      <c r="BC58" s="9"/>
      <c r="BD58" s="9"/>
      <c r="BE58" s="9" t="s">
        <v>93</v>
      </c>
      <c r="BF58" s="9" t="s">
        <v>94</v>
      </c>
      <c r="BG58" s="9" t="s">
        <v>117</v>
      </c>
      <c r="BH58" s="9" t="s">
        <v>118</v>
      </c>
      <c r="BI58" s="9" t="s">
        <v>97</v>
      </c>
      <c r="BJ58" s="9" t="s">
        <v>119</v>
      </c>
      <c r="BK58" s="7" t="s">
        <v>130</v>
      </c>
      <c r="BL58" s="9" t="s">
        <v>99</v>
      </c>
      <c r="BM58" s="9" t="s">
        <v>148</v>
      </c>
      <c r="BN58" s="9" t="s">
        <v>100</v>
      </c>
      <c r="BO58" s="9" t="s">
        <v>101</v>
      </c>
      <c r="BP58" s="9" t="s">
        <v>101</v>
      </c>
      <c r="BQ58" s="9" t="s">
        <v>522</v>
      </c>
      <c r="BR58" s="7"/>
      <c r="BS58" s="9">
        <f>IF(Q58&lt;=1600,Q58*18,IF(Q58&lt;=2500,Q58*19,IF(Q58&gt;2500,Q58*24,20000)))</f>
        <v>17964</v>
      </c>
      <c r="BT58" s="7" t="s">
        <v>140</v>
      </c>
      <c r="BU58" s="22"/>
      <c r="BV58" s="9"/>
      <c r="BW58" s="14"/>
      <c r="BX58" s="9"/>
      <c r="BY58" s="9">
        <f>BX58*BW58</f>
        <v>0</v>
      </c>
      <c r="BZ58" s="9">
        <f>BY58-BV58</f>
        <v>0</v>
      </c>
      <c r="CA58" s="27">
        <v>0</v>
      </c>
      <c r="CB58" s="1"/>
      <c r="CC58" s="15" t="s">
        <v>154</v>
      </c>
      <c r="CD58" s="15" t="s">
        <v>154</v>
      </c>
      <c r="CE58" s="9">
        <v>393700</v>
      </c>
      <c r="CF58" s="9">
        <f>U58*12</f>
        <v>36</v>
      </c>
      <c r="CG58" s="9">
        <f>CF58*CE58</f>
        <v>14173200</v>
      </c>
      <c r="CH58" s="9">
        <v>3825000</v>
      </c>
      <c r="CI58" s="9"/>
      <c r="CJ58" s="9">
        <v>4065000</v>
      </c>
      <c r="CK58" s="51">
        <v>-0.02</v>
      </c>
      <c r="CL58" s="48">
        <v>0.04</v>
      </c>
      <c r="CM58" s="16" t="s">
        <v>537</v>
      </c>
      <c r="CN58" s="9"/>
      <c r="CO58" s="9"/>
      <c r="CP58" s="27">
        <v>0.03</v>
      </c>
      <c r="CQ58" s="38"/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 t="str">
        <f>IF(DD58="정수원 실장","기아", IF(DD58="박현식 부장", "현대", IF(DD58="김성진 팀장", "한성", IF(DD58="전석영 부장", "한성", IF(DD58= "박봉호 부장", "모토원",IF(DD58="정원철 부장", "한성"))))))</f>
        <v>기아</v>
      </c>
      <c r="DD58" s="24" t="s">
        <v>121</v>
      </c>
      <c r="DE58" s="24" t="s">
        <v>501</v>
      </c>
      <c r="DF58" s="24"/>
      <c r="DG58" s="24"/>
      <c r="DH58" s="24"/>
      <c r="DI58" s="24" t="s">
        <v>538</v>
      </c>
      <c r="DJ58" s="22" t="s">
        <v>1610</v>
      </c>
      <c r="DK58" s="38">
        <v>0.3</v>
      </c>
      <c r="DL58" s="76">
        <v>0.2</v>
      </c>
      <c r="DM58" s="24"/>
      <c r="DN58" s="46"/>
      <c r="DO58" s="24"/>
      <c r="DP58" s="24"/>
      <c r="DQ58" s="38"/>
    </row>
    <row r="59" spans="2:121">
      <c r="B59" s="7">
        <v>55</v>
      </c>
      <c r="C59" s="7" t="s">
        <v>539</v>
      </c>
      <c r="D59" s="36" t="s">
        <v>1585</v>
      </c>
      <c r="E59" s="7" t="s">
        <v>1376</v>
      </c>
      <c r="F59" s="7" t="s">
        <v>1377</v>
      </c>
      <c r="G59" s="7" t="s">
        <v>1751</v>
      </c>
      <c r="H59" s="7" t="s">
        <v>132</v>
      </c>
      <c r="I59" s="7" t="s">
        <v>139</v>
      </c>
      <c r="J59" s="9">
        <v>12750000</v>
      </c>
      <c r="K59" s="7">
        <v>2022</v>
      </c>
      <c r="L59" s="6" t="s">
        <v>134</v>
      </c>
      <c r="M59" s="6" t="s">
        <v>90</v>
      </c>
      <c r="N59" s="7" t="s">
        <v>540</v>
      </c>
      <c r="O59" s="21" t="s">
        <v>541</v>
      </c>
      <c r="P59" s="7" t="s">
        <v>98</v>
      </c>
      <c r="Q59" s="33">
        <v>998</v>
      </c>
      <c r="R59" s="11">
        <v>44503</v>
      </c>
      <c r="S59" s="11">
        <v>44596</v>
      </c>
      <c r="T59" s="11">
        <v>44596</v>
      </c>
      <c r="U59" s="12" t="s">
        <v>91</v>
      </c>
      <c r="V59" s="11">
        <f>IFERROR(T59+AD59, "-")</f>
        <v>46421</v>
      </c>
      <c r="W59" s="7">
        <f ca="1">IFERROR(DATEDIF(TODAY(), V59, "m"), "-")</f>
        <v>5</v>
      </c>
      <c r="X59" s="13">
        <v>20000</v>
      </c>
      <c r="Y59" s="7" t="s">
        <v>261</v>
      </c>
      <c r="Z59" s="7" t="s">
        <v>262</v>
      </c>
      <c r="AA59" s="9" t="s">
        <v>542</v>
      </c>
      <c r="AB59" s="9" t="s">
        <v>543</v>
      </c>
      <c r="AC59" s="11">
        <v>44625</v>
      </c>
      <c r="AD59" s="7">
        <f>365*U59</f>
        <v>1825</v>
      </c>
      <c r="AE59" s="7">
        <f ca="1">V59-TODAY()</f>
        <v>169</v>
      </c>
      <c r="AF59" s="7" t="e">
        <f>VLOOKUP($C59,#REF!, 4, FALSE)</f>
        <v>#REF!</v>
      </c>
      <c r="AG59" s="9">
        <v>13209603</v>
      </c>
      <c r="AH59" s="9">
        <v>200000</v>
      </c>
      <c r="AI59" s="9">
        <v>12688000</v>
      </c>
      <c r="AJ59" s="9">
        <v>0</v>
      </c>
      <c r="AK59" s="9">
        <v>2000</v>
      </c>
      <c r="AL59" s="9">
        <v>461380</v>
      </c>
      <c r="AM59" s="9">
        <v>0</v>
      </c>
      <c r="AN59" s="9">
        <v>2000</v>
      </c>
      <c r="AO59" s="9">
        <v>27000</v>
      </c>
      <c r="AP59" s="9">
        <v>30000</v>
      </c>
      <c r="AQ59" s="9">
        <v>430000</v>
      </c>
      <c r="AR59" s="9">
        <v>0</v>
      </c>
      <c r="AS59" s="9" t="s">
        <v>195</v>
      </c>
      <c r="AT59" s="9">
        <v>0</v>
      </c>
      <c r="AU59" s="9" t="s">
        <v>135</v>
      </c>
      <c r="AV59" s="9"/>
      <c r="AW59" s="19">
        <f>SUM(AJ59,AK59,AN59,AO59,AP59, AR59,AT59+AL59+AM59)</f>
        <v>522380</v>
      </c>
      <c r="AX59" s="7" t="s">
        <v>196</v>
      </c>
      <c r="AY59" s="53">
        <v>44503</v>
      </c>
      <c r="AZ59" s="9">
        <v>1153090</v>
      </c>
      <c r="BA59" s="40">
        <v>1035460</v>
      </c>
      <c r="BB59" s="9"/>
      <c r="BC59" s="9"/>
      <c r="BD59" s="9"/>
      <c r="BE59" s="9" t="s">
        <v>93</v>
      </c>
      <c r="BF59" s="9" t="s">
        <v>94</v>
      </c>
      <c r="BG59" s="9" t="s">
        <v>117</v>
      </c>
      <c r="BH59" s="9" t="s">
        <v>118</v>
      </c>
      <c r="BI59" s="9" t="s">
        <v>97</v>
      </c>
      <c r="BJ59" s="9" t="s">
        <v>119</v>
      </c>
      <c r="BK59" s="7" t="s">
        <v>130</v>
      </c>
      <c r="BL59" s="9" t="s">
        <v>99</v>
      </c>
      <c r="BM59" s="9" t="s">
        <v>148</v>
      </c>
      <c r="BN59" s="9" t="s">
        <v>100</v>
      </c>
      <c r="BO59" s="9" t="s">
        <v>101</v>
      </c>
      <c r="BP59" s="9" t="s">
        <v>101</v>
      </c>
      <c r="BQ59" s="9" t="s">
        <v>522</v>
      </c>
      <c r="BR59" s="7"/>
      <c r="BS59" s="9">
        <f>IF(Q59&lt;=1600,Q59*18,IF(Q59&lt;=2500,Q59*19,IF(Q59&gt;2500,Q59*24,20000)))</f>
        <v>17964</v>
      </c>
      <c r="BT59" s="7" t="s">
        <v>140</v>
      </c>
      <c r="BU59" s="22"/>
      <c r="BV59" s="9"/>
      <c r="BW59" s="14"/>
      <c r="BX59" s="9"/>
      <c r="BY59" s="9">
        <f>BX59*BW59</f>
        <v>0</v>
      </c>
      <c r="BZ59" s="9">
        <f>BY59-BV59</f>
        <v>0</v>
      </c>
      <c r="CA59" s="27">
        <v>0</v>
      </c>
      <c r="CB59" s="1"/>
      <c r="CC59" s="15" t="s">
        <v>91</v>
      </c>
      <c r="CD59" s="15" t="s">
        <v>91</v>
      </c>
      <c r="CE59" s="9">
        <v>330900</v>
      </c>
      <c r="CF59" s="9">
        <f>U59*12</f>
        <v>60</v>
      </c>
      <c r="CG59" s="9">
        <f>CF59*CE59</f>
        <v>19854000</v>
      </c>
      <c r="CH59" s="9"/>
      <c r="CI59" s="9"/>
      <c r="CJ59" s="9">
        <v>2506900</v>
      </c>
      <c r="CK59" s="51">
        <v>-1.2E-2</v>
      </c>
      <c r="CL59" s="48">
        <v>0.04</v>
      </c>
      <c r="CM59" s="16" t="s">
        <v>268</v>
      </c>
      <c r="CN59" s="9"/>
      <c r="CO59" s="9"/>
      <c r="CP59" s="27">
        <v>0.03</v>
      </c>
      <c r="CQ59" s="38"/>
      <c r="CR59" s="24">
        <v>0</v>
      </c>
      <c r="CS59" s="24">
        <v>0</v>
      </c>
      <c r="CT59" s="24">
        <v>0</v>
      </c>
      <c r="CU59" s="24">
        <v>0</v>
      </c>
      <c r="CV59" s="24">
        <v>0</v>
      </c>
      <c r="CW59" s="24">
        <v>0</v>
      </c>
      <c r="CX59" s="24">
        <v>0</v>
      </c>
      <c r="CY59" s="24">
        <v>0</v>
      </c>
      <c r="CZ59" s="24">
        <v>0</v>
      </c>
      <c r="DA59" s="24">
        <v>0</v>
      </c>
      <c r="DB59" s="24">
        <v>0</v>
      </c>
      <c r="DC59" s="24" t="str">
        <f>IF(DD59="정수원 실장","기아", IF(DD59="박현식 부장", "현대", IF(DD59="김성진 팀장", "한성", IF(DD59="전석영 부장", "한성", IF(DD59= "박봉호 부장", "모토원",IF(DD59="정원철 부장", "한성"))))))</f>
        <v>기아</v>
      </c>
      <c r="DD59" s="24" t="s">
        <v>121</v>
      </c>
      <c r="DE59" s="24" t="s">
        <v>501</v>
      </c>
      <c r="DF59" s="24"/>
      <c r="DG59" s="24"/>
      <c r="DH59" s="24"/>
      <c r="DI59" s="24" t="s">
        <v>269</v>
      </c>
      <c r="DJ59" s="22" t="s">
        <v>1610</v>
      </c>
      <c r="DK59" s="38">
        <v>0.3</v>
      </c>
      <c r="DL59" s="76">
        <v>0.2</v>
      </c>
      <c r="DM59" s="24"/>
      <c r="DN59" s="46"/>
      <c r="DO59" s="24"/>
      <c r="DP59" s="24"/>
      <c r="DQ59" s="38"/>
    </row>
    <row r="60" spans="2:121">
      <c r="B60" s="7">
        <v>56</v>
      </c>
      <c r="C60" s="7" t="s">
        <v>544</v>
      </c>
      <c r="D60" s="36" t="s">
        <v>1585</v>
      </c>
      <c r="E60" s="7" t="s">
        <v>1376</v>
      </c>
      <c r="F60" s="7" t="s">
        <v>1377</v>
      </c>
      <c r="G60" s="7" t="s">
        <v>1751</v>
      </c>
      <c r="H60" s="7" t="s">
        <v>132</v>
      </c>
      <c r="I60" s="7" t="s">
        <v>139</v>
      </c>
      <c r="J60" s="9">
        <v>12750000</v>
      </c>
      <c r="K60" s="7">
        <v>2022</v>
      </c>
      <c r="L60" s="6" t="s">
        <v>134</v>
      </c>
      <c r="M60" s="6" t="s">
        <v>90</v>
      </c>
      <c r="N60" s="7" t="s">
        <v>545</v>
      </c>
      <c r="O60" s="21" t="s">
        <v>546</v>
      </c>
      <c r="P60" s="7" t="s">
        <v>98</v>
      </c>
      <c r="Q60" s="33">
        <v>998</v>
      </c>
      <c r="R60" s="11">
        <v>44503</v>
      </c>
      <c r="S60" s="11">
        <v>44596</v>
      </c>
      <c r="T60" s="11">
        <v>44596</v>
      </c>
      <c r="U60" s="12" t="s">
        <v>91</v>
      </c>
      <c r="V60" s="11">
        <f>IFERROR(T60+AD60, "-")</f>
        <v>46421</v>
      </c>
      <c r="W60" s="7">
        <f ca="1">IFERROR(DATEDIF(TODAY(), V60, "m"), "-")</f>
        <v>5</v>
      </c>
      <c r="X60" s="13">
        <v>20000</v>
      </c>
      <c r="Y60" s="7" t="s">
        <v>261</v>
      </c>
      <c r="Z60" s="7" t="s">
        <v>262</v>
      </c>
      <c r="AA60" s="9" t="s">
        <v>547</v>
      </c>
      <c r="AB60" s="9" t="s">
        <v>548</v>
      </c>
      <c r="AC60" s="11">
        <v>44625</v>
      </c>
      <c r="AD60" s="7">
        <f>365*U60</f>
        <v>1825</v>
      </c>
      <c r="AE60" s="7">
        <f ca="1">V60-TODAY()</f>
        <v>169</v>
      </c>
      <c r="AF60" s="7" t="e">
        <f>VLOOKUP($C60,#REF!, 4, FALSE)</f>
        <v>#REF!</v>
      </c>
      <c r="AG60" s="9">
        <v>13209603</v>
      </c>
      <c r="AH60" s="9">
        <v>200000</v>
      </c>
      <c r="AI60" s="9">
        <v>12688000</v>
      </c>
      <c r="AJ60" s="9">
        <v>0</v>
      </c>
      <c r="AK60" s="9">
        <v>2000</v>
      </c>
      <c r="AL60" s="9">
        <v>461380</v>
      </c>
      <c r="AM60" s="9">
        <v>0</v>
      </c>
      <c r="AN60" s="9">
        <v>2000</v>
      </c>
      <c r="AO60" s="9">
        <v>27000</v>
      </c>
      <c r="AP60" s="9">
        <v>30000</v>
      </c>
      <c r="AQ60" s="9">
        <v>430000</v>
      </c>
      <c r="AR60" s="9">
        <v>0</v>
      </c>
      <c r="AS60" s="9" t="s">
        <v>195</v>
      </c>
      <c r="AT60" s="9">
        <v>0</v>
      </c>
      <c r="AU60" s="9" t="s">
        <v>135</v>
      </c>
      <c r="AV60" s="9"/>
      <c r="AW60" s="19">
        <f>SUM(AJ60,AK60,AN60,AO60,AP60, AR60,AT60+AL60+AM60)</f>
        <v>522380</v>
      </c>
      <c r="AX60" s="7" t="s">
        <v>196</v>
      </c>
      <c r="AY60" s="53">
        <v>44503</v>
      </c>
      <c r="AZ60" s="9">
        <v>1153090</v>
      </c>
      <c r="BA60" s="9">
        <f>1035460</f>
        <v>1035460</v>
      </c>
      <c r="BB60" s="9"/>
      <c r="BC60" s="9"/>
      <c r="BD60" s="9"/>
      <c r="BE60" s="9" t="s">
        <v>93</v>
      </c>
      <c r="BF60" s="9" t="s">
        <v>94</v>
      </c>
      <c r="BG60" s="9" t="s">
        <v>117</v>
      </c>
      <c r="BH60" s="9" t="s">
        <v>118</v>
      </c>
      <c r="BI60" s="9" t="s">
        <v>97</v>
      </c>
      <c r="BJ60" s="9" t="s">
        <v>119</v>
      </c>
      <c r="BK60" s="7" t="s">
        <v>130</v>
      </c>
      <c r="BL60" s="9" t="s">
        <v>99</v>
      </c>
      <c r="BM60" s="9" t="s">
        <v>148</v>
      </c>
      <c r="BN60" s="9" t="s">
        <v>100</v>
      </c>
      <c r="BO60" s="9" t="s">
        <v>101</v>
      </c>
      <c r="BP60" s="9" t="s">
        <v>101</v>
      </c>
      <c r="BQ60" s="9" t="s">
        <v>522</v>
      </c>
      <c r="BR60" s="7"/>
      <c r="BS60" s="9">
        <f>IF(Q60&lt;=1600,Q60*18,IF(Q60&lt;=2500,Q60*19,IF(Q60&gt;2500,Q60*24,20000)))</f>
        <v>17964</v>
      </c>
      <c r="BT60" s="7" t="s">
        <v>140</v>
      </c>
      <c r="BU60" s="22"/>
      <c r="BV60" s="9"/>
      <c r="BW60" s="14"/>
      <c r="BX60" s="9"/>
      <c r="BY60" s="9">
        <f>BX60*BW60</f>
        <v>0</v>
      </c>
      <c r="BZ60" s="9">
        <f>BY60-BV60</f>
        <v>0</v>
      </c>
      <c r="CA60" s="27">
        <v>0</v>
      </c>
      <c r="CB60" s="87"/>
      <c r="CC60" s="15" t="s">
        <v>91</v>
      </c>
      <c r="CD60" s="15" t="s">
        <v>91</v>
      </c>
      <c r="CE60" s="9">
        <v>330900</v>
      </c>
      <c r="CF60" s="9">
        <f>U60*12</f>
        <v>60</v>
      </c>
      <c r="CG60" s="9">
        <f>CF60*CE60</f>
        <v>19854000</v>
      </c>
      <c r="CH60" s="9"/>
      <c r="CI60" s="9"/>
      <c r="CJ60" s="9">
        <v>2506900</v>
      </c>
      <c r="CK60" s="51">
        <v>-1.2E-2</v>
      </c>
      <c r="CL60" s="48">
        <v>0.04</v>
      </c>
      <c r="CM60" s="16" t="s">
        <v>268</v>
      </c>
      <c r="CN60" s="9"/>
      <c r="CO60" s="9"/>
      <c r="CP60" s="27">
        <v>0.03</v>
      </c>
      <c r="CQ60" s="38"/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 t="str">
        <f>IF(DD60="정수원 실장","기아", IF(DD60="박현식 부장", "현대", IF(DD60="김성진 팀장", "한성", IF(DD60="전석영 부장", "한성", IF(DD60= "박봉호 부장", "모토원",IF(DD60="정원철 부장", "한성"))))))</f>
        <v>기아</v>
      </c>
      <c r="DD60" s="24" t="s">
        <v>121</v>
      </c>
      <c r="DE60" s="24" t="s">
        <v>501</v>
      </c>
      <c r="DF60" s="24"/>
      <c r="DG60" s="24"/>
      <c r="DH60" s="24"/>
      <c r="DI60" s="24" t="s">
        <v>269</v>
      </c>
      <c r="DJ60" s="22" t="s">
        <v>1610</v>
      </c>
      <c r="DK60" s="38">
        <v>0.3</v>
      </c>
      <c r="DL60" s="76">
        <v>0.2</v>
      </c>
      <c r="DM60" s="24"/>
      <c r="DN60" s="46"/>
      <c r="DO60" s="24"/>
      <c r="DP60" s="24"/>
      <c r="DQ60" s="38"/>
    </row>
    <row r="61" spans="2:121">
      <c r="B61" s="7">
        <v>57</v>
      </c>
      <c r="C61" s="7" t="s">
        <v>549</v>
      </c>
      <c r="D61" s="36" t="s">
        <v>1585</v>
      </c>
      <c r="E61" s="7" t="s">
        <v>1376</v>
      </c>
      <c r="F61" s="7" t="s">
        <v>1377</v>
      </c>
      <c r="G61" s="7" t="s">
        <v>1751</v>
      </c>
      <c r="H61" s="7" t="s">
        <v>132</v>
      </c>
      <c r="I61" s="7" t="s">
        <v>139</v>
      </c>
      <c r="J61" s="9">
        <v>12750000</v>
      </c>
      <c r="K61" s="7">
        <v>2022</v>
      </c>
      <c r="L61" s="6" t="s">
        <v>134</v>
      </c>
      <c r="M61" s="6" t="s">
        <v>90</v>
      </c>
      <c r="N61" s="7" t="s">
        <v>550</v>
      </c>
      <c r="O61" s="21" t="s">
        <v>551</v>
      </c>
      <c r="P61" s="7" t="s">
        <v>98</v>
      </c>
      <c r="Q61" s="33">
        <v>998</v>
      </c>
      <c r="R61" s="11">
        <v>44503</v>
      </c>
      <c r="S61" s="11">
        <v>44596</v>
      </c>
      <c r="T61" s="11">
        <v>44596</v>
      </c>
      <c r="U61" s="12" t="s">
        <v>91</v>
      </c>
      <c r="V61" s="11">
        <f>IFERROR(T61+AD61, "-")</f>
        <v>46421</v>
      </c>
      <c r="W61" s="7">
        <f ca="1">IFERROR(DATEDIF(TODAY(), V61, "m"), "-")</f>
        <v>5</v>
      </c>
      <c r="X61" s="13">
        <v>20000</v>
      </c>
      <c r="Y61" s="7" t="s">
        <v>261</v>
      </c>
      <c r="Z61" s="7" t="s">
        <v>262</v>
      </c>
      <c r="AA61" s="9" t="s">
        <v>547</v>
      </c>
      <c r="AB61" s="9" t="s">
        <v>548</v>
      </c>
      <c r="AC61" s="11">
        <v>44625</v>
      </c>
      <c r="AD61" s="7">
        <f>365*U61</f>
        <v>1825</v>
      </c>
      <c r="AE61" s="7">
        <f ca="1">V61-TODAY()</f>
        <v>169</v>
      </c>
      <c r="AF61" s="7" t="e">
        <f>VLOOKUP($C61,#REF!, 4, FALSE)</f>
        <v>#REF!</v>
      </c>
      <c r="AG61" s="9">
        <v>13209603</v>
      </c>
      <c r="AH61" s="9">
        <v>200000</v>
      </c>
      <c r="AI61" s="9">
        <v>12688000</v>
      </c>
      <c r="AJ61" s="9">
        <v>0</v>
      </c>
      <c r="AK61" s="9">
        <v>2000</v>
      </c>
      <c r="AL61" s="9">
        <v>461380</v>
      </c>
      <c r="AM61" s="9">
        <v>0</v>
      </c>
      <c r="AN61" s="9">
        <v>2000</v>
      </c>
      <c r="AO61" s="9">
        <v>27000</v>
      </c>
      <c r="AP61" s="9">
        <v>30000</v>
      </c>
      <c r="AQ61" s="9">
        <v>430000</v>
      </c>
      <c r="AR61" s="9">
        <v>0</v>
      </c>
      <c r="AS61" s="9" t="s">
        <v>195</v>
      </c>
      <c r="AT61" s="9">
        <v>0</v>
      </c>
      <c r="AU61" s="9" t="s">
        <v>135</v>
      </c>
      <c r="AV61" s="9"/>
      <c r="AW61" s="19">
        <f>SUM(AJ61,AK61,AN61,AO61,AP61, AR61,AT61+AL61+AM61)</f>
        <v>522380</v>
      </c>
      <c r="AX61" s="7" t="s">
        <v>196</v>
      </c>
      <c r="AY61" s="53">
        <v>44503</v>
      </c>
      <c r="AZ61" s="9">
        <v>1153090</v>
      </c>
      <c r="BA61" s="9">
        <v>1035460</v>
      </c>
      <c r="BB61" s="9"/>
      <c r="BC61" s="9"/>
      <c r="BD61" s="9"/>
      <c r="BE61" s="9" t="s">
        <v>93</v>
      </c>
      <c r="BF61" s="9" t="s">
        <v>94</v>
      </c>
      <c r="BG61" s="9" t="s">
        <v>117</v>
      </c>
      <c r="BH61" s="9" t="s">
        <v>118</v>
      </c>
      <c r="BI61" s="9" t="s">
        <v>97</v>
      </c>
      <c r="BJ61" s="9" t="s">
        <v>119</v>
      </c>
      <c r="BK61" s="7" t="s">
        <v>130</v>
      </c>
      <c r="BL61" s="9" t="s">
        <v>99</v>
      </c>
      <c r="BM61" s="9" t="s">
        <v>148</v>
      </c>
      <c r="BN61" s="9" t="s">
        <v>100</v>
      </c>
      <c r="BO61" s="9" t="s">
        <v>101</v>
      </c>
      <c r="BP61" s="9" t="s">
        <v>101</v>
      </c>
      <c r="BQ61" s="9" t="s">
        <v>522</v>
      </c>
      <c r="BR61" s="7"/>
      <c r="BS61" s="9">
        <f>IF(Q61&lt;=1600,Q61*18,IF(Q61&lt;=2500,Q61*19,IF(Q61&gt;2500,Q61*24,20000)))</f>
        <v>17964</v>
      </c>
      <c r="BT61" s="7" t="s">
        <v>140</v>
      </c>
      <c r="BU61" s="22"/>
      <c r="BV61" s="9"/>
      <c r="BW61" s="14"/>
      <c r="BX61" s="9"/>
      <c r="BY61" s="9">
        <f>BX61*BW61</f>
        <v>0</v>
      </c>
      <c r="BZ61" s="9">
        <f>BY61-BV61</f>
        <v>0</v>
      </c>
      <c r="CA61" s="27">
        <v>0</v>
      </c>
      <c r="CB61" s="87"/>
      <c r="CC61" s="15" t="s">
        <v>91</v>
      </c>
      <c r="CD61" s="15" t="s">
        <v>91</v>
      </c>
      <c r="CE61" s="9">
        <v>330900</v>
      </c>
      <c r="CF61" s="9">
        <f>U61*12</f>
        <v>60</v>
      </c>
      <c r="CG61" s="9">
        <f>CF61*CE61</f>
        <v>19854000</v>
      </c>
      <c r="CH61" s="9"/>
      <c r="CI61" s="9"/>
      <c r="CJ61" s="9">
        <v>2506900</v>
      </c>
      <c r="CK61" s="51">
        <v>-1.2E-2</v>
      </c>
      <c r="CL61" s="48">
        <v>0.04</v>
      </c>
      <c r="CM61" s="16" t="s">
        <v>268</v>
      </c>
      <c r="CN61" s="9"/>
      <c r="CO61" s="9"/>
      <c r="CP61" s="27">
        <v>0.03</v>
      </c>
      <c r="CQ61" s="38"/>
      <c r="CR61" s="24">
        <v>0</v>
      </c>
      <c r="CS61" s="24">
        <v>0</v>
      </c>
      <c r="CT61" s="24">
        <v>0</v>
      </c>
      <c r="CU61" s="24">
        <v>0</v>
      </c>
      <c r="CV61" s="24">
        <v>0</v>
      </c>
      <c r="CW61" s="24">
        <v>0</v>
      </c>
      <c r="CX61" s="24">
        <v>0</v>
      </c>
      <c r="CY61" s="24">
        <v>0</v>
      </c>
      <c r="CZ61" s="24">
        <v>0</v>
      </c>
      <c r="DA61" s="24">
        <v>0</v>
      </c>
      <c r="DB61" s="24">
        <v>0</v>
      </c>
      <c r="DC61" s="24" t="str">
        <f>IF(DD61="정수원 실장","기아", IF(DD61="박현식 부장", "현대", IF(DD61="김성진 팀장", "한성", IF(DD61="전석영 부장", "한성", IF(DD61= "박봉호 부장", "모토원",IF(DD61="정원철 부장", "한성"))))))</f>
        <v>기아</v>
      </c>
      <c r="DD61" s="24" t="s">
        <v>121</v>
      </c>
      <c r="DE61" s="24" t="s">
        <v>501</v>
      </c>
      <c r="DF61" s="24"/>
      <c r="DG61" s="24"/>
      <c r="DH61" s="24"/>
      <c r="DI61" s="24" t="s">
        <v>269</v>
      </c>
      <c r="DJ61" s="22" t="s">
        <v>1610</v>
      </c>
      <c r="DK61" s="38">
        <v>0.3</v>
      </c>
      <c r="DL61" s="76">
        <v>0.2</v>
      </c>
      <c r="DM61" s="24"/>
      <c r="DN61" s="46"/>
      <c r="DO61" s="24"/>
      <c r="DP61" s="24"/>
      <c r="DQ61" s="38"/>
    </row>
    <row r="62" spans="2:121">
      <c r="B62" s="7">
        <v>58</v>
      </c>
      <c r="C62" s="7" t="s">
        <v>552</v>
      </c>
      <c r="D62" s="36" t="s">
        <v>1585</v>
      </c>
      <c r="E62" s="7" t="s">
        <v>1376</v>
      </c>
      <c r="F62" s="7" t="s">
        <v>1377</v>
      </c>
      <c r="G62" s="7" t="s">
        <v>1751</v>
      </c>
      <c r="H62" s="7" t="s">
        <v>132</v>
      </c>
      <c r="I62" s="7" t="s">
        <v>139</v>
      </c>
      <c r="J62" s="9">
        <v>12750000</v>
      </c>
      <c r="K62" s="7">
        <v>2022</v>
      </c>
      <c r="L62" s="6" t="s">
        <v>134</v>
      </c>
      <c r="M62" s="6" t="s">
        <v>90</v>
      </c>
      <c r="N62" s="7" t="s">
        <v>553</v>
      </c>
      <c r="O62" s="21" t="s">
        <v>554</v>
      </c>
      <c r="P62" s="7" t="s">
        <v>98</v>
      </c>
      <c r="Q62" s="33">
        <v>998</v>
      </c>
      <c r="R62" s="11">
        <v>44503</v>
      </c>
      <c r="S62" s="11">
        <v>44596</v>
      </c>
      <c r="T62" s="11">
        <v>44596</v>
      </c>
      <c r="U62" s="12" t="s">
        <v>91</v>
      </c>
      <c r="V62" s="11">
        <f>IFERROR(T62+AD62, "-")</f>
        <v>46421</v>
      </c>
      <c r="W62" s="7">
        <f ca="1">IFERROR(DATEDIF(TODAY(), V62, "m"), "-")</f>
        <v>5</v>
      </c>
      <c r="X62" s="13">
        <v>20000</v>
      </c>
      <c r="Y62" s="7" t="s">
        <v>261</v>
      </c>
      <c r="Z62" s="7" t="s">
        <v>262</v>
      </c>
      <c r="AA62" s="9" t="s">
        <v>547</v>
      </c>
      <c r="AB62" s="9" t="s">
        <v>548</v>
      </c>
      <c r="AC62" s="11">
        <v>44625</v>
      </c>
      <c r="AD62" s="7">
        <f>365*U62</f>
        <v>1825</v>
      </c>
      <c r="AE62" s="7">
        <f ca="1">V62-TODAY()</f>
        <v>169</v>
      </c>
      <c r="AF62" s="7" t="e">
        <f>VLOOKUP($C62,#REF!, 4, FALSE)</f>
        <v>#REF!</v>
      </c>
      <c r="AG62" s="9">
        <v>13209603</v>
      </c>
      <c r="AH62" s="9">
        <v>200000</v>
      </c>
      <c r="AI62" s="9">
        <v>12688000</v>
      </c>
      <c r="AJ62" s="9">
        <v>0</v>
      </c>
      <c r="AK62" s="9">
        <v>2000</v>
      </c>
      <c r="AL62" s="9">
        <v>461380</v>
      </c>
      <c r="AM62" s="9">
        <v>0</v>
      </c>
      <c r="AN62" s="9">
        <v>2000</v>
      </c>
      <c r="AO62" s="9">
        <v>27000</v>
      </c>
      <c r="AP62" s="9">
        <v>30000</v>
      </c>
      <c r="AQ62" s="9">
        <v>430000</v>
      </c>
      <c r="AR62" s="9">
        <v>0</v>
      </c>
      <c r="AS62" s="9" t="s">
        <v>195</v>
      </c>
      <c r="AT62" s="9">
        <v>0</v>
      </c>
      <c r="AU62" s="9" t="s">
        <v>135</v>
      </c>
      <c r="AV62" s="9"/>
      <c r="AW62" s="19">
        <f>SUM(AJ62,AK62,AN62,AO62,AP62, AR62,AT62+AL62+AM62)</f>
        <v>522380</v>
      </c>
      <c r="AX62" s="7" t="s">
        <v>196</v>
      </c>
      <c r="AY62" s="53">
        <v>44503</v>
      </c>
      <c r="AZ62" s="9">
        <v>1153090</v>
      </c>
      <c r="BA62" s="9">
        <f>1035460</f>
        <v>1035460</v>
      </c>
      <c r="BB62" s="9"/>
      <c r="BC62" s="9"/>
      <c r="BD62" s="9"/>
      <c r="BE62" s="9" t="s">
        <v>93</v>
      </c>
      <c r="BF62" s="9" t="s">
        <v>94</v>
      </c>
      <c r="BG62" s="9" t="s">
        <v>117</v>
      </c>
      <c r="BH62" s="9" t="s">
        <v>118</v>
      </c>
      <c r="BI62" s="9" t="s">
        <v>97</v>
      </c>
      <c r="BJ62" s="9" t="s">
        <v>119</v>
      </c>
      <c r="BK62" s="7" t="s">
        <v>130</v>
      </c>
      <c r="BL62" s="9" t="s">
        <v>99</v>
      </c>
      <c r="BM62" s="9" t="s">
        <v>148</v>
      </c>
      <c r="BN62" s="9" t="s">
        <v>100</v>
      </c>
      <c r="BO62" s="9" t="s">
        <v>101</v>
      </c>
      <c r="BP62" s="9" t="s">
        <v>101</v>
      </c>
      <c r="BQ62" s="9" t="s">
        <v>522</v>
      </c>
      <c r="BR62" s="7"/>
      <c r="BS62" s="9">
        <f>IF(Q62&lt;=1600,Q62*18,IF(Q62&lt;=2500,Q62*19,IF(Q62&gt;2500,Q62*24,20000)))</f>
        <v>17964</v>
      </c>
      <c r="BT62" s="7" t="s">
        <v>140</v>
      </c>
      <c r="BU62" s="22"/>
      <c r="BV62" s="9"/>
      <c r="BW62" s="14"/>
      <c r="BX62" s="9"/>
      <c r="BY62" s="9">
        <f>BX62*BW62</f>
        <v>0</v>
      </c>
      <c r="BZ62" s="9">
        <f>BY62-BV62</f>
        <v>0</v>
      </c>
      <c r="CA62" s="27">
        <v>0</v>
      </c>
      <c r="CB62" s="87"/>
      <c r="CC62" s="15" t="s">
        <v>91</v>
      </c>
      <c r="CD62" s="15" t="s">
        <v>91</v>
      </c>
      <c r="CE62" s="9">
        <v>330900</v>
      </c>
      <c r="CF62" s="9">
        <f>U62*12</f>
        <v>60</v>
      </c>
      <c r="CG62" s="9">
        <f>CF62*CE62</f>
        <v>19854000</v>
      </c>
      <c r="CH62" s="9"/>
      <c r="CI62" s="9"/>
      <c r="CJ62" s="9">
        <v>2506900</v>
      </c>
      <c r="CK62" s="51">
        <v>-1.2E-2</v>
      </c>
      <c r="CL62" s="48">
        <v>0.04</v>
      </c>
      <c r="CM62" s="16" t="s">
        <v>268</v>
      </c>
      <c r="CN62" s="9"/>
      <c r="CO62" s="9"/>
      <c r="CP62" s="27">
        <v>0.03</v>
      </c>
      <c r="CQ62" s="38"/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 t="str">
        <f>IF(DD62="정수원 실장","기아", IF(DD62="박현식 부장", "현대", IF(DD62="김성진 팀장", "한성", IF(DD62="전석영 부장", "한성", IF(DD62= "박봉호 부장", "모토원",IF(DD62="정원철 부장", "한성"))))))</f>
        <v>기아</v>
      </c>
      <c r="DD62" s="24" t="s">
        <v>121</v>
      </c>
      <c r="DE62" s="24" t="str">
        <f>IF(DD62="정수원 실장","렌트베네핏", IF(DD62="박현식 부장", "렌트베네핏", IF(DD62="김성진 팀장", "청담", IF(DD62="전석영 부장", "방배", IF(DD62= "박봉호 부장", "일산",IF(DD106="정원철 부장", "청담"))))))</f>
        <v>렌트베네핏</v>
      </c>
      <c r="DF62" s="24"/>
      <c r="DG62" s="24"/>
      <c r="DH62" s="24"/>
      <c r="DI62" s="24" t="s">
        <v>269</v>
      </c>
      <c r="DJ62" s="22" t="s">
        <v>1610</v>
      </c>
      <c r="DK62" s="38">
        <v>0.3</v>
      </c>
      <c r="DL62" s="76">
        <v>0.2</v>
      </c>
      <c r="DM62" s="24"/>
      <c r="DN62" s="46"/>
      <c r="DO62" s="24"/>
      <c r="DP62" s="24"/>
      <c r="DQ62" s="38"/>
    </row>
    <row r="63" spans="2:121">
      <c r="B63" s="7">
        <v>59</v>
      </c>
      <c r="C63" s="7" t="s">
        <v>555</v>
      </c>
      <c r="D63" s="36" t="s">
        <v>1585</v>
      </c>
      <c r="E63" s="7" t="s">
        <v>1376</v>
      </c>
      <c r="F63" s="7" t="s">
        <v>1377</v>
      </c>
      <c r="G63" s="7" t="s">
        <v>1751</v>
      </c>
      <c r="H63" s="7" t="s">
        <v>132</v>
      </c>
      <c r="I63" s="7" t="s">
        <v>139</v>
      </c>
      <c r="J63" s="9">
        <v>12750000</v>
      </c>
      <c r="K63" s="7">
        <v>2022</v>
      </c>
      <c r="L63" s="6" t="s">
        <v>134</v>
      </c>
      <c r="M63" s="6" t="s">
        <v>90</v>
      </c>
      <c r="N63" s="7" t="s">
        <v>556</v>
      </c>
      <c r="O63" s="21" t="s">
        <v>557</v>
      </c>
      <c r="P63" s="7" t="s">
        <v>98</v>
      </c>
      <c r="Q63" s="33">
        <v>998</v>
      </c>
      <c r="R63" s="11">
        <v>44503</v>
      </c>
      <c r="S63" s="11">
        <v>44596</v>
      </c>
      <c r="T63" s="11">
        <v>44600</v>
      </c>
      <c r="U63" s="12" t="s">
        <v>91</v>
      </c>
      <c r="V63" s="11">
        <f>IFERROR(T63+AD63, "-")</f>
        <v>46425</v>
      </c>
      <c r="W63" s="7">
        <f ca="1">IFERROR(DATEDIF(TODAY(), V63, "m"), "-")</f>
        <v>5</v>
      </c>
      <c r="X63" s="13">
        <v>20000</v>
      </c>
      <c r="Y63" s="7" t="s">
        <v>261</v>
      </c>
      <c r="Z63" s="7" t="s">
        <v>262</v>
      </c>
      <c r="AA63" s="9" t="s">
        <v>558</v>
      </c>
      <c r="AB63" s="9" t="s">
        <v>548</v>
      </c>
      <c r="AC63" s="11">
        <v>44625</v>
      </c>
      <c r="AD63" s="7">
        <f>365*U63</f>
        <v>1825</v>
      </c>
      <c r="AE63" s="7">
        <f ca="1">V63-TODAY()</f>
        <v>173</v>
      </c>
      <c r="AF63" s="7" t="e">
        <f>VLOOKUP($C63,#REF!, 4, FALSE)</f>
        <v>#REF!</v>
      </c>
      <c r="AG63" s="40">
        <v>13209603</v>
      </c>
      <c r="AH63" s="9">
        <v>200000</v>
      </c>
      <c r="AI63" s="9">
        <v>12681000</v>
      </c>
      <c r="AJ63" s="9">
        <v>0</v>
      </c>
      <c r="AK63" s="9">
        <v>2000</v>
      </c>
      <c r="AL63" s="9">
        <v>461120</v>
      </c>
      <c r="AM63" s="9">
        <v>0</v>
      </c>
      <c r="AN63" s="9">
        <v>2000</v>
      </c>
      <c r="AO63" s="9">
        <v>27000</v>
      </c>
      <c r="AP63" s="9">
        <v>30000</v>
      </c>
      <c r="AQ63" s="9">
        <v>430000</v>
      </c>
      <c r="AR63" s="9">
        <v>0</v>
      </c>
      <c r="AS63" s="9" t="s">
        <v>195</v>
      </c>
      <c r="AT63" s="9">
        <v>0</v>
      </c>
      <c r="AU63" s="9" t="s">
        <v>135</v>
      </c>
      <c r="AV63" s="9"/>
      <c r="AW63" s="19">
        <f>SUM(AJ63,AK63,AN63,AO63,AP63, AR63,AT63+AL63+AM63)</f>
        <v>522120</v>
      </c>
      <c r="AX63" s="7" t="s">
        <v>196</v>
      </c>
      <c r="AY63" s="53">
        <v>44503</v>
      </c>
      <c r="AZ63" s="9">
        <v>1153090</v>
      </c>
      <c r="BA63" s="9">
        <f>1035460</f>
        <v>1035460</v>
      </c>
      <c r="BB63" s="9"/>
      <c r="BC63" s="9"/>
      <c r="BD63" s="9"/>
      <c r="BE63" s="9" t="s">
        <v>93</v>
      </c>
      <c r="BF63" s="9" t="s">
        <v>94</v>
      </c>
      <c r="BG63" s="9" t="s">
        <v>117</v>
      </c>
      <c r="BH63" s="9" t="s">
        <v>118</v>
      </c>
      <c r="BI63" s="9" t="s">
        <v>97</v>
      </c>
      <c r="BJ63" s="9" t="s">
        <v>119</v>
      </c>
      <c r="BK63" s="7" t="s">
        <v>130</v>
      </c>
      <c r="BL63" s="9" t="s">
        <v>99</v>
      </c>
      <c r="BM63" s="9" t="s">
        <v>148</v>
      </c>
      <c r="BN63" s="9" t="s">
        <v>100</v>
      </c>
      <c r="BO63" s="9" t="s">
        <v>101</v>
      </c>
      <c r="BP63" s="9" t="s">
        <v>101</v>
      </c>
      <c r="BQ63" s="9" t="s">
        <v>522</v>
      </c>
      <c r="BR63" s="7"/>
      <c r="BS63" s="9">
        <f>IF(Q63&lt;=1600,Q63*18,IF(Q63&lt;=2500,Q63*19,IF(Q63&gt;2500,Q63*24,20000)))</f>
        <v>17964</v>
      </c>
      <c r="BT63" s="7" t="s">
        <v>140</v>
      </c>
      <c r="BU63" s="22"/>
      <c r="BV63" s="9"/>
      <c r="BW63" s="14"/>
      <c r="BX63" s="9"/>
      <c r="BY63" s="9">
        <f>BX63*BW63</f>
        <v>0</v>
      </c>
      <c r="BZ63" s="9">
        <f>BY63-BV63</f>
        <v>0</v>
      </c>
      <c r="CA63" s="27">
        <v>0</v>
      </c>
      <c r="CB63" s="87"/>
      <c r="CC63" s="15" t="s">
        <v>91</v>
      </c>
      <c r="CD63" s="15" t="s">
        <v>91</v>
      </c>
      <c r="CE63" s="9">
        <v>330900</v>
      </c>
      <c r="CF63" s="9">
        <f>U63*12</f>
        <v>60</v>
      </c>
      <c r="CG63" s="9">
        <f>CF63*CE63</f>
        <v>19854000</v>
      </c>
      <c r="CH63" s="9"/>
      <c r="CI63" s="9"/>
      <c r="CJ63" s="9">
        <v>2506900</v>
      </c>
      <c r="CK63" s="51">
        <v>-1.2E-2</v>
      </c>
      <c r="CL63" s="48">
        <v>0.04</v>
      </c>
      <c r="CM63" s="16" t="s">
        <v>268</v>
      </c>
      <c r="CN63" s="9"/>
      <c r="CO63" s="9"/>
      <c r="CP63" s="27">
        <v>0.03</v>
      </c>
      <c r="CQ63" s="38"/>
      <c r="CR63" s="24">
        <v>0</v>
      </c>
      <c r="CS63" s="24">
        <v>0</v>
      </c>
      <c r="CT63" s="24">
        <v>0</v>
      </c>
      <c r="CU63" s="24">
        <v>0</v>
      </c>
      <c r="CV63" s="24">
        <v>0</v>
      </c>
      <c r="CW63" s="24">
        <v>0</v>
      </c>
      <c r="CX63" s="24">
        <v>0</v>
      </c>
      <c r="CY63" s="24">
        <v>0</v>
      </c>
      <c r="CZ63" s="24">
        <v>0</v>
      </c>
      <c r="DA63" s="24">
        <v>0</v>
      </c>
      <c r="DB63" s="24">
        <v>0</v>
      </c>
      <c r="DC63" s="24" t="str">
        <f>IF(DD63="정수원 실장","기아", IF(DD63="박현식 부장", "현대", IF(DD63="김성진 팀장", "한성", IF(DD63="전석영 부장", "한성", IF(DD63= "박봉호 부장", "모토원",IF(DD63="정원철 부장", "한성"))))))</f>
        <v>기아</v>
      </c>
      <c r="DD63" s="24" t="s">
        <v>121</v>
      </c>
      <c r="DE63" s="24" t="str">
        <f>IF(DD63="정수원 실장","렌트베네핏", IF(DD63="박현식 부장", "렌트베네핏", IF(DD63="김성진 팀장", "청담", IF(DD63="전석영 부장", "방배", IF(DD63= "박봉호 부장", "일산",IF(DD107="정원철 부장", "청담"))))))</f>
        <v>렌트베네핏</v>
      </c>
      <c r="DF63" s="24"/>
      <c r="DG63" s="24"/>
      <c r="DH63" s="24"/>
      <c r="DI63" s="24" t="s">
        <v>269</v>
      </c>
      <c r="DJ63" s="22" t="s">
        <v>1610</v>
      </c>
      <c r="DK63" s="38">
        <v>0.3</v>
      </c>
      <c r="DL63" s="76">
        <v>0.2</v>
      </c>
      <c r="DM63" s="24"/>
      <c r="DN63" s="46"/>
      <c r="DO63" s="24"/>
      <c r="DP63" s="24"/>
      <c r="DQ63" s="38"/>
    </row>
    <row r="64" spans="2:121">
      <c r="B64" s="7">
        <v>60</v>
      </c>
      <c r="C64" s="7" t="s">
        <v>559</v>
      </c>
      <c r="D64" s="36" t="s">
        <v>1585</v>
      </c>
      <c r="E64" s="7" t="s">
        <v>560</v>
      </c>
      <c r="F64" s="7" t="s">
        <v>561</v>
      </c>
      <c r="G64" s="7" t="s">
        <v>562</v>
      </c>
      <c r="H64" s="7" t="s">
        <v>132</v>
      </c>
      <c r="I64" s="7" t="s">
        <v>139</v>
      </c>
      <c r="J64" s="9">
        <v>12750000</v>
      </c>
      <c r="K64" s="7">
        <v>2022</v>
      </c>
      <c r="L64" s="6" t="s">
        <v>134</v>
      </c>
      <c r="M64" s="6" t="s">
        <v>90</v>
      </c>
      <c r="N64" s="7" t="s">
        <v>563</v>
      </c>
      <c r="O64" s="21" t="s">
        <v>564</v>
      </c>
      <c r="P64" s="7" t="s">
        <v>98</v>
      </c>
      <c r="Q64" s="33">
        <v>998</v>
      </c>
      <c r="R64" s="11">
        <v>44503</v>
      </c>
      <c r="S64" s="11">
        <v>44602</v>
      </c>
      <c r="T64" s="11">
        <v>44602</v>
      </c>
      <c r="U64" s="12" t="s">
        <v>91</v>
      </c>
      <c r="V64" s="11">
        <f>IFERROR(T64+AD64, "-")</f>
        <v>46427</v>
      </c>
      <c r="W64" s="7">
        <f ca="1">IFERROR(DATEDIF(TODAY(), V64, "m"), "-")</f>
        <v>5</v>
      </c>
      <c r="X64" s="13">
        <v>20000</v>
      </c>
      <c r="Y64" s="7" t="s">
        <v>561</v>
      </c>
      <c r="Z64" s="7" t="s">
        <v>179</v>
      </c>
      <c r="AA64" s="9"/>
      <c r="AB64" s="9" t="s">
        <v>565</v>
      </c>
      <c r="AC64" s="11">
        <v>44630</v>
      </c>
      <c r="AD64" s="7">
        <f>365*U64</f>
        <v>1825</v>
      </c>
      <c r="AE64" s="7">
        <f ca="1">V64-TODAY()</f>
        <v>175</v>
      </c>
      <c r="AF64" s="7" t="e">
        <f>VLOOKUP($C64,#REF!, 4, FALSE)</f>
        <v>#REF!</v>
      </c>
      <c r="AG64" s="9">
        <v>13209603</v>
      </c>
      <c r="AH64" s="9">
        <v>200000</v>
      </c>
      <c r="AI64" s="9">
        <v>12681000</v>
      </c>
      <c r="AJ64" s="9">
        <v>0</v>
      </c>
      <c r="AK64" s="9">
        <v>2000</v>
      </c>
      <c r="AL64" s="9">
        <v>461120</v>
      </c>
      <c r="AM64" s="9">
        <v>0</v>
      </c>
      <c r="AN64" s="9">
        <v>2000</v>
      </c>
      <c r="AO64" s="9">
        <v>27000</v>
      </c>
      <c r="AP64" s="9">
        <v>30000</v>
      </c>
      <c r="AQ64" s="9">
        <v>430000</v>
      </c>
      <c r="AR64" s="9">
        <v>0</v>
      </c>
      <c r="AS64" s="9" t="s">
        <v>195</v>
      </c>
      <c r="AT64" s="9">
        <v>0</v>
      </c>
      <c r="AU64" s="9" t="s">
        <v>135</v>
      </c>
      <c r="AV64" s="9"/>
      <c r="AW64" s="19">
        <f>SUM(AJ64,AK64,AN64,AO64,AP64, AR64,AT64+AL64+AM64)</f>
        <v>522120</v>
      </c>
      <c r="AX64" s="7" t="s">
        <v>196</v>
      </c>
      <c r="AY64" s="53">
        <v>44503</v>
      </c>
      <c r="AZ64" s="9">
        <v>1153090</v>
      </c>
      <c r="BA64" s="9">
        <f>1042640</f>
        <v>1042640</v>
      </c>
      <c r="BB64" s="9"/>
      <c r="BC64" s="9"/>
      <c r="BD64" s="9"/>
      <c r="BE64" s="9" t="s">
        <v>93</v>
      </c>
      <c r="BF64" s="9" t="s">
        <v>94</v>
      </c>
      <c r="BG64" s="9" t="s">
        <v>117</v>
      </c>
      <c r="BH64" s="9" t="s">
        <v>118</v>
      </c>
      <c r="BI64" s="9" t="s">
        <v>97</v>
      </c>
      <c r="BJ64" s="9" t="s">
        <v>119</v>
      </c>
      <c r="BK64" s="7" t="s">
        <v>130</v>
      </c>
      <c r="BL64" s="9" t="s">
        <v>99</v>
      </c>
      <c r="BM64" s="9" t="s">
        <v>148</v>
      </c>
      <c r="BN64" s="9" t="s">
        <v>100</v>
      </c>
      <c r="BO64" s="9" t="s">
        <v>101</v>
      </c>
      <c r="BP64" s="9" t="s">
        <v>101</v>
      </c>
      <c r="BQ64" s="9" t="s">
        <v>522</v>
      </c>
      <c r="BR64" s="7"/>
      <c r="BS64" s="9">
        <f>IF(Q64&lt;=1600,Q64*18,IF(Q64&lt;=2500,Q64*19,IF(Q64&gt;2500,Q64*24,20000)))</f>
        <v>17964</v>
      </c>
      <c r="BT64" s="7" t="s">
        <v>140</v>
      </c>
      <c r="BU64" s="22"/>
      <c r="BV64" s="9"/>
      <c r="BW64" s="14"/>
      <c r="BX64" s="9"/>
      <c r="BY64" s="9">
        <f>BX64*BW64</f>
        <v>0</v>
      </c>
      <c r="BZ64" s="9">
        <f>BY64-BV64</f>
        <v>0</v>
      </c>
      <c r="CA64" s="27">
        <v>0</v>
      </c>
      <c r="CB64" s="1"/>
      <c r="CC64" s="15" t="s">
        <v>566</v>
      </c>
      <c r="CD64" s="15" t="s">
        <v>566</v>
      </c>
      <c r="CE64" s="9">
        <v>360000</v>
      </c>
      <c r="CF64" s="9">
        <f>U64*12</f>
        <v>60</v>
      </c>
      <c r="CG64" s="9">
        <f>CF64*CE64</f>
        <v>21600000</v>
      </c>
      <c r="CH64" s="9"/>
      <c r="CI64" s="9"/>
      <c r="CJ64" s="9">
        <v>2506900</v>
      </c>
      <c r="CK64" s="51">
        <v>2.1000000000000001E-2</v>
      </c>
      <c r="CL64" s="48">
        <v>0.06</v>
      </c>
      <c r="CM64" s="16" t="s">
        <v>567</v>
      </c>
      <c r="CN64" s="9"/>
      <c r="CO64" s="9" t="s">
        <v>568</v>
      </c>
      <c r="CP64" s="27">
        <v>0.03</v>
      </c>
      <c r="CQ64" s="38"/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 t="str">
        <f>IF(DD64="정수원 실장","기아", IF(DD64="박현식 부장", "현대", IF(DD64="김성진 팀장", "한성", IF(DD64="전석영 부장", "한성", IF(DD64= "박봉호 부장", "모토원",IF(DD64="정원철 부장", "한성"))))))</f>
        <v>기아</v>
      </c>
      <c r="DD64" s="24" t="s">
        <v>121</v>
      </c>
      <c r="DE64" s="24" t="str">
        <f>IF(DD64="정수원 실장","렌트베네핏", IF(DD64="박현식 부장", "렌트베네핏", IF(DD64="김성진 팀장", "청담", IF(DD64="전석영 부장", "방배", IF(DD64= "박봉호 부장", "일산",IF(DD108="정원철 부장", "청담"))))))</f>
        <v>렌트베네핏</v>
      </c>
      <c r="DF64" s="24"/>
      <c r="DG64" s="24"/>
      <c r="DH64" s="24"/>
      <c r="DI64" s="24" t="s">
        <v>569</v>
      </c>
      <c r="DJ64" s="22" t="s">
        <v>1610</v>
      </c>
      <c r="DK64" s="38">
        <v>0.3</v>
      </c>
      <c r="DL64" s="76">
        <v>0.2</v>
      </c>
      <c r="DM64" s="24"/>
      <c r="DN64" s="46"/>
      <c r="DO64" s="24"/>
      <c r="DP64" s="24"/>
      <c r="DQ64" s="38"/>
    </row>
    <row r="65" spans="2:121">
      <c r="B65" s="7">
        <v>61</v>
      </c>
      <c r="C65" s="7" t="s">
        <v>570</v>
      </c>
      <c r="D65" s="36" t="s">
        <v>1585</v>
      </c>
      <c r="E65" s="7" t="s">
        <v>1376</v>
      </c>
      <c r="F65" s="7" t="s">
        <v>1377</v>
      </c>
      <c r="G65" s="7" t="s">
        <v>1751</v>
      </c>
      <c r="H65" s="7" t="s">
        <v>132</v>
      </c>
      <c r="I65" s="7" t="s">
        <v>139</v>
      </c>
      <c r="J65" s="9">
        <v>12750000</v>
      </c>
      <c r="K65" s="7">
        <v>2022</v>
      </c>
      <c r="L65" s="6" t="s">
        <v>134</v>
      </c>
      <c r="M65" s="6" t="s">
        <v>90</v>
      </c>
      <c r="N65" s="7" t="s">
        <v>571</v>
      </c>
      <c r="O65" s="21" t="s">
        <v>572</v>
      </c>
      <c r="P65" s="7" t="s">
        <v>98</v>
      </c>
      <c r="Q65" s="33">
        <v>998</v>
      </c>
      <c r="R65" s="11">
        <v>44503</v>
      </c>
      <c r="S65" s="11">
        <v>44596</v>
      </c>
      <c r="T65" s="11">
        <v>44603</v>
      </c>
      <c r="U65" s="12" t="s">
        <v>91</v>
      </c>
      <c r="V65" s="11">
        <f>IFERROR(T65+AD65, "-")</f>
        <v>46428</v>
      </c>
      <c r="W65" s="7">
        <f ca="1">IFERROR(DATEDIF(TODAY(), V65, "m"), "-")</f>
        <v>5</v>
      </c>
      <c r="X65" s="13">
        <v>20000</v>
      </c>
      <c r="Y65" s="7" t="s">
        <v>261</v>
      </c>
      <c r="Z65" s="7" t="s">
        <v>262</v>
      </c>
      <c r="AA65" s="9" t="s">
        <v>337</v>
      </c>
      <c r="AB65" s="9" t="s">
        <v>338</v>
      </c>
      <c r="AC65" s="11">
        <v>44625</v>
      </c>
      <c r="AD65" s="7">
        <f>365*U65</f>
        <v>1825</v>
      </c>
      <c r="AE65" s="7">
        <f ca="1">V65-TODAY()</f>
        <v>176</v>
      </c>
      <c r="AF65" s="7" t="e">
        <f>VLOOKUP($C65,#REF!, 4, FALSE)</f>
        <v>#REF!</v>
      </c>
      <c r="AG65" s="9">
        <v>13209603</v>
      </c>
      <c r="AH65" s="9">
        <v>200000</v>
      </c>
      <c r="AI65" s="9">
        <v>12688000</v>
      </c>
      <c r="AJ65" s="9">
        <v>0</v>
      </c>
      <c r="AK65" s="9">
        <v>2000</v>
      </c>
      <c r="AL65" s="9">
        <v>461380</v>
      </c>
      <c r="AM65" s="9">
        <v>0</v>
      </c>
      <c r="AN65" s="9">
        <v>2000</v>
      </c>
      <c r="AO65" s="9">
        <v>27000</v>
      </c>
      <c r="AP65" s="9">
        <v>30000</v>
      </c>
      <c r="AQ65" s="9">
        <v>430000</v>
      </c>
      <c r="AR65" s="9">
        <v>0</v>
      </c>
      <c r="AS65" s="9" t="s">
        <v>195</v>
      </c>
      <c r="AT65" s="9">
        <v>0</v>
      </c>
      <c r="AU65" s="9" t="s">
        <v>135</v>
      </c>
      <c r="AV65" s="9"/>
      <c r="AW65" s="19">
        <f>SUM(AJ65,AK65,AN65,AO65,AP65, AR65,AT65+AL65+AM65)</f>
        <v>522380</v>
      </c>
      <c r="AX65" s="7" t="s">
        <v>196</v>
      </c>
      <c r="AY65" s="53">
        <v>44503</v>
      </c>
      <c r="AZ65" s="9">
        <v>1153090</v>
      </c>
      <c r="BA65" s="9">
        <f>1035460</f>
        <v>1035460</v>
      </c>
      <c r="BB65" s="9"/>
      <c r="BC65" s="9"/>
      <c r="BD65" s="9"/>
      <c r="BE65" s="9" t="s">
        <v>93</v>
      </c>
      <c r="BF65" s="9" t="s">
        <v>94</v>
      </c>
      <c r="BG65" s="9" t="s">
        <v>117</v>
      </c>
      <c r="BH65" s="9" t="s">
        <v>118</v>
      </c>
      <c r="BI65" s="9" t="s">
        <v>97</v>
      </c>
      <c r="BJ65" s="9" t="s">
        <v>119</v>
      </c>
      <c r="BK65" s="7" t="s">
        <v>130</v>
      </c>
      <c r="BL65" s="9" t="s">
        <v>99</v>
      </c>
      <c r="BM65" s="9" t="s">
        <v>148</v>
      </c>
      <c r="BN65" s="9" t="s">
        <v>100</v>
      </c>
      <c r="BO65" s="9" t="s">
        <v>101</v>
      </c>
      <c r="BP65" s="9" t="s">
        <v>101</v>
      </c>
      <c r="BQ65" s="9" t="s">
        <v>522</v>
      </c>
      <c r="BR65" s="7"/>
      <c r="BS65" s="9">
        <f>IF(Q65&lt;=1600,Q65*18,IF(Q65&lt;=2500,Q65*19,IF(Q65&gt;2500,Q65*24,20000)))</f>
        <v>17964</v>
      </c>
      <c r="BT65" s="7" t="s">
        <v>140</v>
      </c>
      <c r="BU65" s="22"/>
      <c r="BV65" s="9"/>
      <c r="BW65" s="14"/>
      <c r="BX65" s="9"/>
      <c r="BY65" s="9">
        <f>BX65*BW65</f>
        <v>0</v>
      </c>
      <c r="BZ65" s="9">
        <f>BY65-BV65</f>
        <v>0</v>
      </c>
      <c r="CA65" s="27">
        <v>0</v>
      </c>
      <c r="CB65" s="87"/>
      <c r="CC65" s="15" t="s">
        <v>91</v>
      </c>
      <c r="CD65" s="15" t="s">
        <v>91</v>
      </c>
      <c r="CE65" s="9">
        <v>330900</v>
      </c>
      <c r="CF65" s="9">
        <f>U65*12</f>
        <v>60</v>
      </c>
      <c r="CG65" s="9">
        <f>CF65*CE65</f>
        <v>19854000</v>
      </c>
      <c r="CH65" s="9"/>
      <c r="CI65" s="9"/>
      <c r="CJ65" s="9">
        <v>2506900</v>
      </c>
      <c r="CK65" s="51">
        <v>-1.2E-2</v>
      </c>
      <c r="CL65" s="48">
        <v>0.04</v>
      </c>
      <c r="CM65" s="16" t="s">
        <v>268</v>
      </c>
      <c r="CN65" s="9"/>
      <c r="CO65" s="9"/>
      <c r="CP65" s="27">
        <v>0.03</v>
      </c>
      <c r="CQ65" s="38"/>
      <c r="CR65" s="24">
        <v>0</v>
      </c>
      <c r="CS65" s="24">
        <v>0</v>
      </c>
      <c r="CT65" s="24">
        <v>0</v>
      </c>
      <c r="CU65" s="24">
        <v>0</v>
      </c>
      <c r="CV65" s="24">
        <v>0</v>
      </c>
      <c r="CW65" s="24">
        <v>0</v>
      </c>
      <c r="CX65" s="24">
        <v>0</v>
      </c>
      <c r="CY65" s="24">
        <v>0</v>
      </c>
      <c r="CZ65" s="24">
        <v>0</v>
      </c>
      <c r="DA65" s="24">
        <v>0</v>
      </c>
      <c r="DB65" s="24">
        <v>0</v>
      </c>
      <c r="DC65" s="24" t="str">
        <f>IF(DD65="정수원 실장","기아", IF(DD65="박현식 부장", "현대", IF(DD65="김성진 팀장", "한성", IF(DD65="전석영 부장", "한성", IF(DD65= "박봉호 부장", "모토원",IF(DD65="정원철 부장", "한성"))))))</f>
        <v>기아</v>
      </c>
      <c r="DD65" s="24" t="s">
        <v>121</v>
      </c>
      <c r="DE65" s="24" t="str">
        <f>IF(DD65="정수원 실장","렌트베네핏", IF(DD65="박현식 부장", "렌트베네핏", IF(DD65="김성진 팀장", "청담", IF(DD65="전석영 부장", "방배", IF(DD65= "박봉호 부장", "일산",IF(DD109="정원철 부장", "청담"))))))</f>
        <v>렌트베네핏</v>
      </c>
      <c r="DF65" s="24"/>
      <c r="DG65" s="24"/>
      <c r="DH65" s="24"/>
      <c r="DI65" s="24" t="s">
        <v>269</v>
      </c>
      <c r="DJ65" s="22" t="s">
        <v>1610</v>
      </c>
      <c r="DK65" s="38">
        <v>0.3</v>
      </c>
      <c r="DL65" s="76">
        <v>0.2</v>
      </c>
      <c r="DM65" s="24"/>
      <c r="DN65" s="46"/>
      <c r="DO65" s="24"/>
      <c r="DP65" s="24"/>
      <c r="DQ65" s="38"/>
    </row>
    <row r="66" spans="2:121">
      <c r="B66" s="7">
        <v>62</v>
      </c>
      <c r="C66" s="7" t="s">
        <v>1360</v>
      </c>
      <c r="D66" s="7" t="s">
        <v>1588</v>
      </c>
      <c r="E66" s="7" t="s">
        <v>574</v>
      </c>
      <c r="F66" s="7" t="s">
        <v>575</v>
      </c>
      <c r="G66" s="7" t="s">
        <v>576</v>
      </c>
      <c r="H66" s="7" t="s">
        <v>143</v>
      </c>
      <c r="I66" s="7" t="s">
        <v>144</v>
      </c>
      <c r="J66" s="9">
        <v>193600000</v>
      </c>
      <c r="K66" s="7">
        <v>2021</v>
      </c>
      <c r="L66" s="6" t="s">
        <v>577</v>
      </c>
      <c r="M66" s="6" t="s">
        <v>90</v>
      </c>
      <c r="N66" s="7" t="s">
        <v>578</v>
      </c>
      <c r="O66" s="21" t="s">
        <v>579</v>
      </c>
      <c r="P66" s="7" t="s">
        <v>98</v>
      </c>
      <c r="Q66" s="33">
        <v>2999</v>
      </c>
      <c r="R66" s="11">
        <v>44503</v>
      </c>
      <c r="S66" s="11">
        <v>44607</v>
      </c>
      <c r="T66" s="11">
        <v>44610</v>
      </c>
      <c r="U66" s="12" t="s">
        <v>91</v>
      </c>
      <c r="V66" s="11">
        <f>IFERROR(T66+AD66, "-")</f>
        <v>46435</v>
      </c>
      <c r="W66" s="7">
        <f ca="1">IFERROR(DATEDIF(TODAY(), V66, "m"), "-")</f>
        <v>5</v>
      </c>
      <c r="X66" s="13">
        <v>20000</v>
      </c>
      <c r="Y66" s="9" t="s">
        <v>580</v>
      </c>
      <c r="Z66" s="7" t="s">
        <v>581</v>
      </c>
      <c r="AA66" s="9"/>
      <c r="AB66" s="9" t="s">
        <v>582</v>
      </c>
      <c r="AC66" s="11">
        <v>44617</v>
      </c>
      <c r="AD66" s="7">
        <f>365*U66</f>
        <v>1825</v>
      </c>
      <c r="AE66" s="7">
        <f ca="1">V66-TODAY()</f>
        <v>183</v>
      </c>
      <c r="AF66" s="7" t="e">
        <f>VLOOKUP($C66,#REF!, 4, FALSE)</f>
        <v>#REF!</v>
      </c>
      <c r="AG66" s="9">
        <v>186816000</v>
      </c>
      <c r="AH66" s="9">
        <f>AG66-AI66</f>
        <v>0</v>
      </c>
      <c r="AI66" s="9">
        <v>186816000</v>
      </c>
      <c r="AJ66" s="9">
        <v>0</v>
      </c>
      <c r="AK66" s="9">
        <v>0</v>
      </c>
      <c r="AL66" s="9">
        <v>6793300</v>
      </c>
      <c r="AM66" s="9">
        <v>548437</v>
      </c>
      <c r="AN66" s="9">
        <v>5000</v>
      </c>
      <c r="AO66" s="9">
        <v>21500</v>
      </c>
      <c r="AP66" s="9">
        <v>30000</v>
      </c>
      <c r="AQ66" s="9">
        <v>0</v>
      </c>
      <c r="AR66" s="9">
        <v>0</v>
      </c>
      <c r="AS66" s="9" t="s">
        <v>145</v>
      </c>
      <c r="AT66" s="9">
        <v>240000</v>
      </c>
      <c r="AU66" s="9" t="s">
        <v>146</v>
      </c>
      <c r="AV66" s="9">
        <f>7398237</f>
        <v>7398237</v>
      </c>
      <c r="AW66" s="19">
        <f>SUM(AJ66,AK66,AN66,AO66,AP66, AR66,AT66+AL66+AM66)</f>
        <v>7638237</v>
      </c>
      <c r="AX66" s="18" t="s">
        <v>92</v>
      </c>
      <c r="AY66" s="53">
        <v>44503</v>
      </c>
      <c r="AZ66" s="9">
        <f>6911210-1172880</f>
        <v>5738330</v>
      </c>
      <c r="BA66" s="9">
        <f>1142540</f>
        <v>1142540</v>
      </c>
      <c r="BB66" s="9"/>
      <c r="BC66" s="9"/>
      <c r="BD66" s="9"/>
      <c r="BE66" s="9" t="s">
        <v>93</v>
      </c>
      <c r="BF66" s="9" t="s">
        <v>94</v>
      </c>
      <c r="BG66" s="9" t="s">
        <v>95</v>
      </c>
      <c r="BH66" s="9" t="s">
        <v>96</v>
      </c>
      <c r="BI66" s="9" t="s">
        <v>583</v>
      </c>
      <c r="BJ66" s="9" t="s">
        <v>127</v>
      </c>
      <c r="BK66" s="7" t="s">
        <v>130</v>
      </c>
      <c r="BL66" s="9" t="s">
        <v>99</v>
      </c>
      <c r="BM66" s="9" t="s">
        <v>148</v>
      </c>
      <c r="BN66" s="9" t="s">
        <v>100</v>
      </c>
      <c r="BO66" s="9" t="s">
        <v>101</v>
      </c>
      <c r="BP66" s="9" t="s">
        <v>101</v>
      </c>
      <c r="BQ66" s="9"/>
      <c r="BR66" s="7"/>
      <c r="BS66" s="9">
        <f>IF(Q66&lt;=1600,Q66*18,IF(Q66&lt;=2500,Q66*19,IF(Q66&gt;2500,Q66*24,20000)))</f>
        <v>71976</v>
      </c>
      <c r="BT66" s="7" t="s">
        <v>140</v>
      </c>
      <c r="BU66" s="22"/>
      <c r="BV66" s="9"/>
      <c r="BW66" s="14"/>
      <c r="BX66" s="9"/>
      <c r="BY66" s="9"/>
      <c r="BZ66" s="9"/>
      <c r="CA66" s="27">
        <v>0</v>
      </c>
      <c r="CB66" s="87"/>
      <c r="CC66" s="15" t="s">
        <v>584</v>
      </c>
      <c r="CD66" s="15" t="s">
        <v>584</v>
      </c>
      <c r="CE66" s="9">
        <v>3383160</v>
      </c>
      <c r="CF66" s="9">
        <f>U66*12</f>
        <v>60</v>
      </c>
      <c r="CG66" s="9">
        <f>CF66*CE66</f>
        <v>202989600</v>
      </c>
      <c r="CH66" s="9">
        <v>54494000</v>
      </c>
      <c r="CI66" s="9"/>
      <c r="CJ66" s="9">
        <v>54494000</v>
      </c>
      <c r="CK66" s="51">
        <v>3.0000000000000001E-3</v>
      </c>
      <c r="CL66" s="48">
        <v>0.06</v>
      </c>
      <c r="CM66" s="23" t="s">
        <v>585</v>
      </c>
      <c r="CN66" s="9"/>
      <c r="CO66" s="9"/>
      <c r="CP66" s="27">
        <v>0.03</v>
      </c>
      <c r="CQ66" s="38"/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 t="str">
        <f>IF(DD66="정수원 실장","기아", IF(DD66="박현식 부장", "현대", IF(DD66="김성진 팀장", "한성", IF(DD66="전석영 부장", "한성", IF(DD66= "박봉호 부장", "모토원",IF(DD66="정원철 부장", "한성"))))))</f>
        <v>한성</v>
      </c>
      <c r="DD66" s="24" t="s">
        <v>107</v>
      </c>
      <c r="DE66" s="24" t="str">
        <f>IF(DD66="정수원 실장","렌트베네핏", IF(DD66="박현식 부장", "렌트베네핏", IF(DD66="김성진 팀장", "청담", IF(DD66="전석영 부장", "방배", IF(DD66= "박봉호 부장", "일산",IF(DD110="정원철 부장", "청담"))))))</f>
        <v>청담</v>
      </c>
      <c r="DF66" s="24"/>
      <c r="DG66" s="24"/>
      <c r="DH66" s="24"/>
      <c r="DI66" s="24" t="s">
        <v>586</v>
      </c>
      <c r="DJ66" s="22" t="s">
        <v>1610</v>
      </c>
      <c r="DK66" s="38">
        <v>0.3</v>
      </c>
      <c r="DL66" s="76">
        <v>0.2</v>
      </c>
      <c r="DM66" s="24"/>
      <c r="DN66" s="46"/>
      <c r="DO66" s="24"/>
      <c r="DP66" s="24"/>
      <c r="DQ66" s="38"/>
    </row>
    <row r="67" spans="2:121">
      <c r="B67" s="7">
        <v>63</v>
      </c>
      <c r="C67" s="7" t="s">
        <v>587</v>
      </c>
      <c r="D67" s="36" t="s">
        <v>1585</v>
      </c>
      <c r="E67" s="7" t="s">
        <v>1376</v>
      </c>
      <c r="F67" s="7" t="s">
        <v>1377</v>
      </c>
      <c r="G67" s="7" t="s">
        <v>1751</v>
      </c>
      <c r="H67" s="7" t="s">
        <v>132</v>
      </c>
      <c r="I67" s="7" t="s">
        <v>139</v>
      </c>
      <c r="J67" s="9">
        <v>12750000</v>
      </c>
      <c r="K67" s="7">
        <v>2022</v>
      </c>
      <c r="L67" s="6" t="s">
        <v>134</v>
      </c>
      <c r="M67" s="6" t="s">
        <v>90</v>
      </c>
      <c r="N67" s="7" t="s">
        <v>588</v>
      </c>
      <c r="O67" s="21" t="s">
        <v>589</v>
      </c>
      <c r="P67" s="7" t="s">
        <v>98</v>
      </c>
      <c r="Q67" s="33">
        <v>998</v>
      </c>
      <c r="R67" s="11">
        <v>44503</v>
      </c>
      <c r="S67" s="11">
        <v>44596</v>
      </c>
      <c r="T67" s="11">
        <v>44622</v>
      </c>
      <c r="U67" s="12" t="s">
        <v>91</v>
      </c>
      <c r="V67" s="11">
        <f>IFERROR(T67+AD67, "-")</f>
        <v>46447</v>
      </c>
      <c r="W67" s="7">
        <f ca="1">IFERROR(DATEDIF(TODAY(), V67, "m"), "-")</f>
        <v>6</v>
      </c>
      <c r="X67" s="13">
        <v>20000</v>
      </c>
      <c r="Y67" s="7" t="s">
        <v>261</v>
      </c>
      <c r="Z67" s="7" t="s">
        <v>262</v>
      </c>
      <c r="AA67" s="9" t="s">
        <v>590</v>
      </c>
      <c r="AB67" s="9" t="s">
        <v>591</v>
      </c>
      <c r="AC67" s="11">
        <v>44625</v>
      </c>
      <c r="AD67" s="7">
        <f>365*U67</f>
        <v>1825</v>
      </c>
      <c r="AE67" s="7">
        <f ca="1">V67-TODAY()</f>
        <v>195</v>
      </c>
      <c r="AF67" s="7" t="e">
        <f>VLOOKUP($C67,#REF!, 4, FALSE)</f>
        <v>#REF!</v>
      </c>
      <c r="AG67" s="9">
        <v>13209603</v>
      </c>
      <c r="AH67" s="9">
        <v>200000</v>
      </c>
      <c r="AI67" s="9">
        <v>12688000</v>
      </c>
      <c r="AJ67" s="9">
        <v>0</v>
      </c>
      <c r="AK67" s="9">
        <v>2000</v>
      </c>
      <c r="AL67" s="9">
        <v>461380</v>
      </c>
      <c r="AM67" s="9">
        <v>0</v>
      </c>
      <c r="AN67" s="9">
        <v>2000</v>
      </c>
      <c r="AO67" s="9">
        <v>27000</v>
      </c>
      <c r="AP67" s="9">
        <v>30000</v>
      </c>
      <c r="AQ67" s="9">
        <v>430000</v>
      </c>
      <c r="AR67" s="9">
        <v>0</v>
      </c>
      <c r="AS67" s="9" t="s">
        <v>195</v>
      </c>
      <c r="AT67" s="9">
        <v>0</v>
      </c>
      <c r="AU67" s="9" t="s">
        <v>135</v>
      </c>
      <c r="AV67" s="9"/>
      <c r="AW67" s="19">
        <f>SUM(AJ67,AK67,AN67,AO67,AP67, AR67,AT67+AL67+AM67)</f>
        <v>522380</v>
      </c>
      <c r="AX67" s="7" t="s">
        <v>196</v>
      </c>
      <c r="AY67" s="53">
        <v>44503</v>
      </c>
      <c r="AZ67" s="9">
        <v>1153090</v>
      </c>
      <c r="BA67" s="9">
        <f>1035460</f>
        <v>1035460</v>
      </c>
      <c r="BB67" s="9"/>
      <c r="BC67" s="9"/>
      <c r="BD67" s="9"/>
      <c r="BE67" s="9" t="s">
        <v>93</v>
      </c>
      <c r="BF67" s="9" t="s">
        <v>94</v>
      </c>
      <c r="BG67" s="9" t="s">
        <v>117</v>
      </c>
      <c r="BH67" s="9" t="s">
        <v>118</v>
      </c>
      <c r="BI67" s="9" t="s">
        <v>97</v>
      </c>
      <c r="BJ67" s="9" t="s">
        <v>119</v>
      </c>
      <c r="BK67" s="7" t="s">
        <v>130</v>
      </c>
      <c r="BL67" s="9" t="s">
        <v>99</v>
      </c>
      <c r="BM67" s="9" t="s">
        <v>148</v>
      </c>
      <c r="BN67" s="9" t="s">
        <v>100</v>
      </c>
      <c r="BO67" s="9" t="s">
        <v>101</v>
      </c>
      <c r="BP67" s="9" t="s">
        <v>101</v>
      </c>
      <c r="BQ67" s="9" t="s">
        <v>522</v>
      </c>
      <c r="BR67" s="7"/>
      <c r="BS67" s="9">
        <f>IF(Q67&lt;=1600,Q67*18,IF(Q67&lt;=2500,Q67*19,IF(Q67&gt;2500,Q67*24,20000)))</f>
        <v>17964</v>
      </c>
      <c r="BT67" s="7" t="s">
        <v>140</v>
      </c>
      <c r="BU67" s="22"/>
      <c r="BV67" s="9"/>
      <c r="BW67" s="14"/>
      <c r="BX67" s="9"/>
      <c r="BY67" s="9">
        <f>BX67*BW67</f>
        <v>0</v>
      </c>
      <c r="BZ67" s="9">
        <f>BY67-BV67</f>
        <v>0</v>
      </c>
      <c r="CA67" s="27">
        <v>0</v>
      </c>
      <c r="CB67" s="87"/>
      <c r="CC67" s="15" t="s">
        <v>91</v>
      </c>
      <c r="CD67" s="15" t="s">
        <v>91</v>
      </c>
      <c r="CE67" s="9">
        <v>330900</v>
      </c>
      <c r="CF67" s="9">
        <f>U67*12</f>
        <v>60</v>
      </c>
      <c r="CG67" s="9">
        <f>CF67*CE67</f>
        <v>19854000</v>
      </c>
      <c r="CH67" s="9"/>
      <c r="CI67" s="9"/>
      <c r="CJ67" s="9">
        <v>2506900</v>
      </c>
      <c r="CK67" s="51">
        <v>-1.2E-2</v>
      </c>
      <c r="CL67" s="48">
        <v>0.04</v>
      </c>
      <c r="CM67" s="16" t="s">
        <v>268</v>
      </c>
      <c r="CN67" s="9"/>
      <c r="CO67" s="9"/>
      <c r="CP67" s="27">
        <v>0.03</v>
      </c>
      <c r="CQ67" s="38"/>
      <c r="CR67" s="24">
        <v>0</v>
      </c>
      <c r="CS67" s="24">
        <v>0</v>
      </c>
      <c r="CT67" s="24">
        <v>0</v>
      </c>
      <c r="CU67" s="24">
        <v>0</v>
      </c>
      <c r="CV67" s="24">
        <v>0</v>
      </c>
      <c r="CW67" s="24">
        <v>0</v>
      </c>
      <c r="CX67" s="24">
        <v>0</v>
      </c>
      <c r="CY67" s="24">
        <v>0</v>
      </c>
      <c r="CZ67" s="24">
        <v>0</v>
      </c>
      <c r="DA67" s="24">
        <v>0</v>
      </c>
      <c r="DB67" s="24">
        <v>0</v>
      </c>
      <c r="DC67" s="24" t="str">
        <f>IF(DD67="정수원 실장","기아", IF(DD67="박현식 부장", "현대", IF(DD67="김성진 팀장", "한성", IF(DD67="전석영 부장", "한성", IF(DD67= "박봉호 부장", "모토원",IF(DD67="정원철 부장", "한성"))))))</f>
        <v>기아</v>
      </c>
      <c r="DD67" s="24" t="s">
        <v>121</v>
      </c>
      <c r="DE67" s="24" t="str">
        <f>IF(DD67="정수원 실장","렌트베네핏", IF(DD67="박현식 부장", "렌트베네핏", IF(DD67="김성진 팀장", "청담", IF(DD67="전석영 부장", "방배", IF(DD67= "박봉호 부장", "일산",IF(DD111="정원철 부장", "청담"))))))</f>
        <v>렌트베네핏</v>
      </c>
      <c r="DF67" s="24"/>
      <c r="DG67" s="24"/>
      <c r="DH67" s="24"/>
      <c r="DI67" s="24" t="s">
        <v>269</v>
      </c>
      <c r="DJ67" s="22" t="s">
        <v>1610</v>
      </c>
      <c r="DK67" s="38">
        <v>0.3</v>
      </c>
      <c r="DL67" s="76">
        <v>0.2</v>
      </c>
      <c r="DM67" s="24"/>
      <c r="DN67" s="46"/>
      <c r="DO67" s="24"/>
      <c r="DP67" s="24"/>
      <c r="DQ67" s="38"/>
    </row>
    <row r="68" spans="2:121">
      <c r="B68" s="7">
        <v>64</v>
      </c>
      <c r="C68" s="7" t="s">
        <v>592</v>
      </c>
      <c r="D68" s="36" t="s">
        <v>1585</v>
      </c>
      <c r="E68" s="7" t="s">
        <v>1376</v>
      </c>
      <c r="F68" s="7" t="s">
        <v>1377</v>
      </c>
      <c r="G68" s="7" t="s">
        <v>1751</v>
      </c>
      <c r="H68" s="7" t="s">
        <v>132</v>
      </c>
      <c r="I68" s="7" t="s">
        <v>139</v>
      </c>
      <c r="J68" s="9">
        <v>12750000</v>
      </c>
      <c r="K68" s="7">
        <v>2022</v>
      </c>
      <c r="L68" s="6" t="s">
        <v>134</v>
      </c>
      <c r="M68" s="6" t="s">
        <v>90</v>
      </c>
      <c r="N68" s="7" t="s">
        <v>593</v>
      </c>
      <c r="O68" s="21" t="s">
        <v>594</v>
      </c>
      <c r="P68" s="7" t="s">
        <v>98</v>
      </c>
      <c r="Q68" s="33">
        <v>998</v>
      </c>
      <c r="R68" s="11">
        <v>44503</v>
      </c>
      <c r="S68" s="11">
        <v>44596</v>
      </c>
      <c r="T68" s="11">
        <v>44622</v>
      </c>
      <c r="U68" s="12" t="s">
        <v>91</v>
      </c>
      <c r="V68" s="11">
        <f>IFERROR(T68+AD68, "-")</f>
        <v>46447</v>
      </c>
      <c r="W68" s="7">
        <f ca="1">IFERROR(DATEDIF(TODAY(), V68, "m"), "-")</f>
        <v>6</v>
      </c>
      <c r="X68" s="13">
        <v>20000</v>
      </c>
      <c r="Y68" s="7" t="s">
        <v>261</v>
      </c>
      <c r="Z68" s="7" t="s">
        <v>262</v>
      </c>
      <c r="AA68" s="9" t="s">
        <v>595</v>
      </c>
      <c r="AB68" s="9" t="s">
        <v>596</v>
      </c>
      <c r="AC68" s="11">
        <v>44625</v>
      </c>
      <c r="AD68" s="7">
        <f>365*U68</f>
        <v>1825</v>
      </c>
      <c r="AE68" s="7">
        <f ca="1">V68-TODAY()</f>
        <v>195</v>
      </c>
      <c r="AF68" s="7" t="e">
        <f>VLOOKUP($C68,#REF!, 4, FALSE)</f>
        <v>#REF!</v>
      </c>
      <c r="AG68" s="9">
        <v>13209603</v>
      </c>
      <c r="AH68" s="9">
        <v>200000</v>
      </c>
      <c r="AI68" s="9">
        <v>12688000</v>
      </c>
      <c r="AJ68" s="9">
        <v>0</v>
      </c>
      <c r="AK68" s="9">
        <v>2000</v>
      </c>
      <c r="AL68" s="9">
        <v>461380</v>
      </c>
      <c r="AM68" s="9">
        <v>0</v>
      </c>
      <c r="AN68" s="9">
        <v>2000</v>
      </c>
      <c r="AO68" s="9">
        <v>27000</v>
      </c>
      <c r="AP68" s="9">
        <v>30000</v>
      </c>
      <c r="AQ68" s="9">
        <v>430000</v>
      </c>
      <c r="AR68" s="9">
        <v>0</v>
      </c>
      <c r="AS68" s="9" t="s">
        <v>195</v>
      </c>
      <c r="AT68" s="9">
        <v>0</v>
      </c>
      <c r="AU68" s="9" t="s">
        <v>135</v>
      </c>
      <c r="AV68" s="9"/>
      <c r="AW68" s="19">
        <f>SUM(AJ68,AK68,AN68,AO68,AP68, AR68,AT68+AL68+AM68)</f>
        <v>522380</v>
      </c>
      <c r="AX68" s="7" t="s">
        <v>196</v>
      </c>
      <c r="AY68" s="53">
        <v>44503</v>
      </c>
      <c r="AZ68" s="9">
        <v>1153090</v>
      </c>
      <c r="BA68" s="9">
        <f>1035460</f>
        <v>1035460</v>
      </c>
      <c r="BB68" s="9"/>
      <c r="BC68" s="9"/>
      <c r="BD68" s="9"/>
      <c r="BE68" s="9" t="s">
        <v>93</v>
      </c>
      <c r="BF68" s="9" t="s">
        <v>94</v>
      </c>
      <c r="BG68" s="9" t="s">
        <v>117</v>
      </c>
      <c r="BH68" s="9" t="s">
        <v>118</v>
      </c>
      <c r="BI68" s="9" t="s">
        <v>97</v>
      </c>
      <c r="BJ68" s="9" t="s">
        <v>119</v>
      </c>
      <c r="BK68" s="7" t="s">
        <v>130</v>
      </c>
      <c r="BL68" s="9" t="s">
        <v>99</v>
      </c>
      <c r="BM68" s="9" t="s">
        <v>148</v>
      </c>
      <c r="BN68" s="9" t="s">
        <v>100</v>
      </c>
      <c r="BO68" s="9" t="s">
        <v>101</v>
      </c>
      <c r="BP68" s="9" t="s">
        <v>101</v>
      </c>
      <c r="BQ68" s="9" t="s">
        <v>522</v>
      </c>
      <c r="BR68" s="7"/>
      <c r="BS68" s="9">
        <f>IF(Q68&lt;=1600,Q68*18,IF(Q68&lt;=2500,Q68*19,IF(Q68&gt;2500,Q68*24,20000)))</f>
        <v>17964</v>
      </c>
      <c r="BT68" s="7" t="s">
        <v>140</v>
      </c>
      <c r="BU68" s="22"/>
      <c r="BV68" s="9"/>
      <c r="BW68" s="14"/>
      <c r="BX68" s="9"/>
      <c r="BY68" s="9">
        <f>BX68*BW68</f>
        <v>0</v>
      </c>
      <c r="BZ68" s="9">
        <f>BY68-BV68</f>
        <v>0</v>
      </c>
      <c r="CA68" s="27">
        <v>0</v>
      </c>
      <c r="CB68" s="87"/>
      <c r="CC68" s="15" t="s">
        <v>91</v>
      </c>
      <c r="CD68" s="15" t="s">
        <v>91</v>
      </c>
      <c r="CE68" s="9">
        <v>330900</v>
      </c>
      <c r="CF68" s="9">
        <f>U68*12</f>
        <v>60</v>
      </c>
      <c r="CG68" s="9">
        <f>CF68*CE68</f>
        <v>19854000</v>
      </c>
      <c r="CH68" s="9"/>
      <c r="CI68" s="9"/>
      <c r="CJ68" s="9">
        <v>2506900</v>
      </c>
      <c r="CK68" s="51">
        <v>-1.2E-2</v>
      </c>
      <c r="CL68" s="48">
        <v>0.04</v>
      </c>
      <c r="CM68" s="16" t="s">
        <v>268</v>
      </c>
      <c r="CN68" s="34"/>
      <c r="CO68" s="9"/>
      <c r="CP68" s="27">
        <v>0.03</v>
      </c>
      <c r="CQ68" s="38"/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 t="str">
        <f>IF(DD68="정수원 실장","기아", IF(DD68="박현식 부장", "현대", IF(DD68="김성진 팀장", "한성", IF(DD68="전석영 부장", "한성", IF(DD68= "박봉호 부장", "모토원",IF(DD68="정원철 부장", "한성"))))))</f>
        <v>기아</v>
      </c>
      <c r="DD68" s="24" t="s">
        <v>121</v>
      </c>
      <c r="DE68" s="24" t="str">
        <f>IF(DD68="정수원 실장","렌트베네핏", IF(DD68="박현식 부장", "렌트베네핏", IF(DD68="김성진 팀장", "청담", IF(DD68="전석영 부장", "방배", IF(DD68= "박봉호 부장", "일산",IF(DD112="정원철 부장", "청담"))))))</f>
        <v>렌트베네핏</v>
      </c>
      <c r="DF68" s="24"/>
      <c r="DG68" s="24"/>
      <c r="DH68" s="24"/>
      <c r="DI68" s="24" t="s">
        <v>269</v>
      </c>
      <c r="DJ68" s="22" t="s">
        <v>1610</v>
      </c>
      <c r="DK68" s="38">
        <v>0.3</v>
      </c>
      <c r="DL68" s="76">
        <v>0.2</v>
      </c>
      <c r="DM68" s="24"/>
      <c r="DN68" s="46"/>
      <c r="DO68" s="24"/>
      <c r="DP68" s="24"/>
      <c r="DQ68" s="38"/>
    </row>
    <row r="69" spans="2:121">
      <c r="B69" s="7">
        <v>65</v>
      </c>
      <c r="C69" s="7" t="s">
        <v>597</v>
      </c>
      <c r="D69" s="36" t="s">
        <v>1585</v>
      </c>
      <c r="E69" s="7" t="s">
        <v>598</v>
      </c>
      <c r="F69" s="7" t="s">
        <v>599</v>
      </c>
      <c r="G69" s="7" t="s">
        <v>600</v>
      </c>
      <c r="H69" s="7" t="s">
        <v>601</v>
      </c>
      <c r="I69" s="7" t="s">
        <v>88</v>
      </c>
      <c r="J69" s="9">
        <v>229320000</v>
      </c>
      <c r="K69" s="7">
        <v>2022</v>
      </c>
      <c r="L69" s="6" t="s">
        <v>89</v>
      </c>
      <c r="M69" s="6" t="s">
        <v>90</v>
      </c>
      <c r="N69" s="7" t="s">
        <v>602</v>
      </c>
      <c r="O69" s="21" t="s">
        <v>603</v>
      </c>
      <c r="P69" s="7" t="s">
        <v>98</v>
      </c>
      <c r="Q69" s="33">
        <v>3982</v>
      </c>
      <c r="R69" s="11">
        <v>44623</v>
      </c>
      <c r="S69" s="11">
        <v>44620</v>
      </c>
      <c r="T69" s="11">
        <v>44628</v>
      </c>
      <c r="U69" s="12" t="s">
        <v>91</v>
      </c>
      <c r="V69" s="11">
        <f>IFERROR(T69+AD69, "-")</f>
        <v>46453</v>
      </c>
      <c r="W69" s="7">
        <f ca="1">IFERROR(DATEDIF(TODAY(), V69, "m"), "-")</f>
        <v>6</v>
      </c>
      <c r="X69" s="13">
        <v>20000</v>
      </c>
      <c r="Y69" s="7" t="s">
        <v>599</v>
      </c>
      <c r="Z69" s="7" t="s">
        <v>600</v>
      </c>
      <c r="AA69" s="9"/>
      <c r="AB69" s="9" t="s">
        <v>604</v>
      </c>
      <c r="AC69" s="11">
        <v>44645</v>
      </c>
      <c r="AD69" s="7">
        <f>365*U69</f>
        <v>1825</v>
      </c>
      <c r="AE69" s="7">
        <f ca="1">V69-TODAY()</f>
        <v>201</v>
      </c>
      <c r="AF69" s="7" t="e">
        <f>VLOOKUP($C69,#REF!, 4, FALSE)</f>
        <v>#REF!</v>
      </c>
      <c r="AG69" s="9">
        <v>220147200</v>
      </c>
      <c r="AH69" s="9">
        <f>AG69*4%</f>
        <v>8805888</v>
      </c>
      <c r="AI69" s="9">
        <f>AG69-AH69</f>
        <v>211341312</v>
      </c>
      <c r="AJ69" s="9"/>
      <c r="AK69" s="9"/>
      <c r="AL69" s="9">
        <v>8005350</v>
      </c>
      <c r="AM69" s="9">
        <v>716058</v>
      </c>
      <c r="AN69" s="9">
        <v>5000</v>
      </c>
      <c r="AO69" s="9">
        <v>21500</v>
      </c>
      <c r="AP69" s="9">
        <v>30000</v>
      </c>
      <c r="AQ69" s="9">
        <v>0</v>
      </c>
      <c r="AR69" s="9"/>
      <c r="AS69" s="9" t="s">
        <v>145</v>
      </c>
      <c r="AT69" s="9">
        <v>240000</v>
      </c>
      <c r="AU69" s="9" t="s">
        <v>146</v>
      </c>
      <c r="AV69" s="9">
        <f>8777908</f>
        <v>8777908</v>
      </c>
      <c r="AW69" s="19">
        <f>SUM(AJ69,AK69,AN69,AO69,AP69, AR69,AT69+AL69+AM69)</f>
        <v>9017908</v>
      </c>
      <c r="AX69" s="18" t="s">
        <v>92</v>
      </c>
      <c r="AY69" s="53">
        <v>44628</v>
      </c>
      <c r="AZ69" s="9">
        <f>8205580-1172880</f>
        <v>7032700</v>
      </c>
      <c r="BA69" s="9">
        <f>1160880</f>
        <v>1160880</v>
      </c>
      <c r="BB69" s="9"/>
      <c r="BC69" s="9"/>
      <c r="BD69" s="9"/>
      <c r="BE69" s="9" t="s">
        <v>93</v>
      </c>
      <c r="BF69" s="9" t="s">
        <v>94</v>
      </c>
      <c r="BG69" s="9" t="s">
        <v>95</v>
      </c>
      <c r="BH69" s="9" t="s">
        <v>96</v>
      </c>
      <c r="BI69" s="9" t="s">
        <v>97</v>
      </c>
      <c r="BJ69" s="9" t="s">
        <v>127</v>
      </c>
      <c r="BK69" s="7" t="s">
        <v>130</v>
      </c>
      <c r="BL69" s="9" t="s">
        <v>99</v>
      </c>
      <c r="BM69" s="9" t="s">
        <v>148</v>
      </c>
      <c r="BN69" s="9" t="s">
        <v>100</v>
      </c>
      <c r="BO69" s="9" t="s">
        <v>101</v>
      </c>
      <c r="BP69" s="9" t="s">
        <v>101</v>
      </c>
      <c r="BQ69" s="9"/>
      <c r="BR69" s="7"/>
      <c r="BS69" s="9">
        <f>IF(Q69&lt;=1600,Q69*18,IF(Q69&lt;=2500,Q69*19,IF(Q69&gt;2500,Q69*24,20000)))</f>
        <v>95568</v>
      </c>
      <c r="BT69" s="7" t="s">
        <v>140</v>
      </c>
      <c r="BU69" s="22"/>
      <c r="BV69" s="9"/>
      <c r="BW69" s="14"/>
      <c r="BX69" s="9"/>
      <c r="BY69" s="9"/>
      <c r="BZ69" s="9"/>
      <c r="CA69" s="27">
        <v>0</v>
      </c>
      <c r="CB69" s="1"/>
      <c r="CC69" s="15" t="s">
        <v>154</v>
      </c>
      <c r="CD69" s="15" t="s">
        <v>154</v>
      </c>
      <c r="CE69" s="9">
        <v>1828200</v>
      </c>
      <c r="CF69" s="9">
        <f>U69*12</f>
        <v>60</v>
      </c>
      <c r="CG69" s="9">
        <f>CF69*CE69</f>
        <v>109692000</v>
      </c>
      <c r="CH69" s="9">
        <v>84848400</v>
      </c>
      <c r="CI69" s="9">
        <v>98607600</v>
      </c>
      <c r="CJ69" s="9">
        <v>84848400</v>
      </c>
      <c r="CK69" s="51">
        <v>3.2000000000000001E-2</v>
      </c>
      <c r="CL69" s="48">
        <v>0.06</v>
      </c>
      <c r="CM69" s="16" t="s">
        <v>605</v>
      </c>
      <c r="CN69" s="9"/>
      <c r="CO69" s="9"/>
      <c r="CP69" s="27">
        <v>0.03</v>
      </c>
      <c r="CQ69" s="38"/>
      <c r="CR69" s="24">
        <v>0</v>
      </c>
      <c r="CS69" s="24">
        <v>0</v>
      </c>
      <c r="CT69" s="24">
        <v>0</v>
      </c>
      <c r="CU69" s="24">
        <v>0</v>
      </c>
      <c r="CV69" s="24">
        <v>0</v>
      </c>
      <c r="CW69" s="24">
        <v>0</v>
      </c>
      <c r="CX69" s="24">
        <v>0</v>
      </c>
      <c r="CY69" s="24">
        <v>0</v>
      </c>
      <c r="CZ69" s="24">
        <v>0</v>
      </c>
      <c r="DA69" s="24">
        <v>0</v>
      </c>
      <c r="DB69" s="24">
        <v>0</v>
      </c>
      <c r="DC69" s="24" t="str">
        <f>IF(DD69="정수원 실장","기아", IF(DD69="박현식 부장", "현대", IF(DD69="김성진 팀장", "한성", IF(DD69="전석영 부장", "한성", IF(DD69= "박봉호 부장", "모토원",IF(DD69="정원철 부장", "한성"))))))</f>
        <v>한성</v>
      </c>
      <c r="DD69" s="24" t="s">
        <v>107</v>
      </c>
      <c r="DE69" s="24" t="str">
        <f>IF(DD69="정수원 실장","렌트베네핏", IF(DD69="박현식 부장", "렌트베네핏", IF(DD69="김성진 팀장", "청담", IF(DD69="전석영 부장", "방배", IF(DD69= "박봉호 부장", "일산",IF(DD113="정원철 부장", "청담"))))))</f>
        <v>청담</v>
      </c>
      <c r="DF69" s="24"/>
      <c r="DG69" s="24"/>
      <c r="DH69" s="24"/>
      <c r="DI69" s="24" t="s">
        <v>606</v>
      </c>
      <c r="DJ69" s="22" t="s">
        <v>604</v>
      </c>
      <c r="DK69" s="38">
        <v>0.3</v>
      </c>
      <c r="DL69" s="76">
        <v>0.2</v>
      </c>
      <c r="DM69" s="24"/>
      <c r="DN69" s="46"/>
      <c r="DO69" s="24"/>
      <c r="DP69" s="24"/>
      <c r="DQ69" s="38"/>
    </row>
    <row r="70" spans="2:121">
      <c r="B70" s="7">
        <v>66</v>
      </c>
      <c r="C70" s="7" t="s">
        <v>607</v>
      </c>
      <c r="D70" s="36" t="s">
        <v>1585</v>
      </c>
      <c r="E70" s="7" t="s">
        <v>608</v>
      </c>
      <c r="F70" s="7" t="s">
        <v>609</v>
      </c>
      <c r="G70" s="7" t="s">
        <v>610</v>
      </c>
      <c r="H70" s="7" t="s">
        <v>199</v>
      </c>
      <c r="I70" s="7" t="s">
        <v>200</v>
      </c>
      <c r="J70" s="9">
        <v>38450000</v>
      </c>
      <c r="K70" s="7">
        <v>2022</v>
      </c>
      <c r="L70" s="6" t="s">
        <v>201</v>
      </c>
      <c r="M70" s="6" t="s">
        <v>90</v>
      </c>
      <c r="N70" s="7" t="s">
        <v>611</v>
      </c>
      <c r="O70" s="7" t="s">
        <v>612</v>
      </c>
      <c r="P70" s="7" t="s">
        <v>98</v>
      </c>
      <c r="Q70" s="33">
        <v>2497</v>
      </c>
      <c r="R70" s="11">
        <v>44642</v>
      </c>
      <c r="S70" s="11">
        <v>44575</v>
      </c>
      <c r="T70" s="11">
        <v>44645</v>
      </c>
      <c r="U70" s="12" t="s">
        <v>91</v>
      </c>
      <c r="V70" s="11">
        <f>IFERROR(T70+AD70, "-")</f>
        <v>46470</v>
      </c>
      <c r="W70" s="7">
        <f ca="1">IFERROR(DATEDIF(TODAY(), V70, "m"), "-")</f>
        <v>7</v>
      </c>
      <c r="X70" s="13">
        <v>50000</v>
      </c>
      <c r="Y70" s="9" t="s">
        <v>613</v>
      </c>
      <c r="Z70" s="9" t="s">
        <v>614</v>
      </c>
      <c r="AA70" s="9"/>
      <c r="AB70" s="9" t="s">
        <v>615</v>
      </c>
      <c r="AC70" s="11">
        <v>44666</v>
      </c>
      <c r="AD70" s="7">
        <f>365*U70</f>
        <v>1825</v>
      </c>
      <c r="AE70" s="7">
        <f ca="1">V70-TODAY()</f>
        <v>218</v>
      </c>
      <c r="AF70" s="7" t="e">
        <f>VLOOKUP($C70,#REF!, 4, FALSE)</f>
        <v>#REF!</v>
      </c>
      <c r="AG70" s="9">
        <v>36037286</v>
      </c>
      <c r="AH70" s="9">
        <v>1538000</v>
      </c>
      <c r="AI70" s="9">
        <f>AG70-AH70</f>
        <v>34499286</v>
      </c>
      <c r="AJ70" s="9"/>
      <c r="AK70" s="9"/>
      <c r="AL70" s="9">
        <v>1310370</v>
      </c>
      <c r="AM70" s="9">
        <v>123060</v>
      </c>
      <c r="AN70" s="9">
        <v>2000</v>
      </c>
      <c r="AO70" s="9">
        <v>4500</v>
      </c>
      <c r="AP70" s="9">
        <v>50000</v>
      </c>
      <c r="AQ70" s="9">
        <v>1148000</v>
      </c>
      <c r="AR70" s="9">
        <v>132000</v>
      </c>
      <c r="AS70" s="9" t="s">
        <v>116</v>
      </c>
      <c r="AT70" s="9">
        <v>198000</v>
      </c>
      <c r="AU70" s="9" t="s">
        <v>616</v>
      </c>
      <c r="AV70" s="9">
        <f>1530430</f>
        <v>1530430</v>
      </c>
      <c r="AW70" s="19">
        <f>SUM(AJ70,AK70,AN70,AO70,AP70, AR70,AT70+AL70+AM70)</f>
        <v>1819930</v>
      </c>
      <c r="AX70" s="7" t="s">
        <v>196</v>
      </c>
      <c r="AY70" s="53">
        <v>44642</v>
      </c>
      <c r="AZ70" s="9">
        <f>2222740-693000</f>
        <v>1529740</v>
      </c>
      <c r="BA70" s="9"/>
      <c r="BB70" s="9"/>
      <c r="BC70" s="9"/>
      <c r="BD70" s="9"/>
      <c r="BE70" s="9" t="s">
        <v>93</v>
      </c>
      <c r="BF70" s="9" t="s">
        <v>94</v>
      </c>
      <c r="BG70" s="9" t="s">
        <v>117</v>
      </c>
      <c r="BH70" s="9" t="s">
        <v>118</v>
      </c>
      <c r="BI70" s="9" t="s">
        <v>97</v>
      </c>
      <c r="BJ70" s="9" t="s">
        <v>119</v>
      </c>
      <c r="BK70" s="7" t="s">
        <v>130</v>
      </c>
      <c r="BL70" s="9" t="s">
        <v>99</v>
      </c>
      <c r="BM70" s="9" t="s">
        <v>148</v>
      </c>
      <c r="BN70" s="9" t="s">
        <v>148</v>
      </c>
      <c r="BO70" s="9" t="s">
        <v>148</v>
      </c>
      <c r="BP70" s="9" t="s">
        <v>617</v>
      </c>
      <c r="BQ70" s="9" t="s">
        <v>202</v>
      </c>
      <c r="BR70" s="7"/>
      <c r="BS70" s="9">
        <f>IF(Q70&lt;=1600,Q70*18,IF(Q70&lt;=2500,Q70*19,IF(Q70&gt;2500,Q70*24,20000)))</f>
        <v>47443</v>
      </c>
      <c r="BT70" s="7" t="s">
        <v>140</v>
      </c>
      <c r="BU70" s="22"/>
      <c r="BV70" s="9"/>
      <c r="BW70" s="14"/>
      <c r="BX70" s="9"/>
      <c r="BY70" s="9"/>
      <c r="BZ70" s="9"/>
      <c r="CA70" s="27">
        <v>0</v>
      </c>
      <c r="CB70" s="87"/>
      <c r="CC70" s="15" t="s">
        <v>147</v>
      </c>
      <c r="CD70" s="15" t="s">
        <v>147</v>
      </c>
      <c r="CE70" s="9">
        <v>830000</v>
      </c>
      <c r="CF70" s="9">
        <f>U70*12</f>
        <v>60</v>
      </c>
      <c r="CG70" s="9">
        <f>CF70*CE70</f>
        <v>49800000</v>
      </c>
      <c r="CH70" s="9">
        <v>7690000</v>
      </c>
      <c r="CI70" s="9">
        <v>0</v>
      </c>
      <c r="CJ70" s="9">
        <v>10112350</v>
      </c>
      <c r="CK70" s="51">
        <v>0</v>
      </c>
      <c r="CL70" s="48">
        <v>0.06</v>
      </c>
      <c r="CM70" s="16" t="s">
        <v>618</v>
      </c>
      <c r="CN70" s="9"/>
      <c r="CO70" s="9"/>
      <c r="CP70" s="27">
        <v>0.03</v>
      </c>
      <c r="CQ70" s="38"/>
      <c r="CR70" s="24" t="s">
        <v>1343</v>
      </c>
      <c r="CS70" s="24">
        <v>34100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214100</v>
      </c>
      <c r="DC70" s="24" t="str">
        <f>IF(DD70="정수원 실장","기아", IF(DD70="박현식 부장", "현대", IF(DD70="김성진 팀장", "한성", IF(DD70="전석영 부장", "한성", IF(DD70= "박봉호 부장", "모토원",IF(DD70="정원철 부장", "한성"))))))</f>
        <v>기아</v>
      </c>
      <c r="DD70" s="24" t="s">
        <v>121</v>
      </c>
      <c r="DE70" s="24" t="str">
        <f>IF(DD70="정수원 실장","렌트베네핏", IF(DD70="박현식 부장", "렌트베네핏", IF(DD70="김성진 팀장", "청담", IF(DD70="전석영 부장", "방배", IF(DD70= "박봉호 부장", "일산",IF(DD114="정원철 부장", "청담"))))))</f>
        <v>렌트베네핏</v>
      </c>
      <c r="DF70" s="24"/>
      <c r="DG70" s="24" t="s">
        <v>219</v>
      </c>
      <c r="DH70" s="24" t="s">
        <v>619</v>
      </c>
      <c r="DI70" s="24" t="s">
        <v>620</v>
      </c>
      <c r="DJ70" s="24" t="s">
        <v>621</v>
      </c>
      <c r="DK70" s="38">
        <v>0.3</v>
      </c>
      <c r="DL70" s="76">
        <v>0.2</v>
      </c>
      <c r="DM70" s="24"/>
      <c r="DN70" s="46"/>
      <c r="DO70" s="24"/>
      <c r="DP70" s="24"/>
      <c r="DQ70" s="38"/>
    </row>
    <row r="71" spans="2:121">
      <c r="B71" s="7">
        <v>67</v>
      </c>
      <c r="C71" s="7" t="s">
        <v>1572</v>
      </c>
      <c r="D71" s="7" t="s">
        <v>1588</v>
      </c>
      <c r="E71" s="7" t="s">
        <v>1376</v>
      </c>
      <c r="F71" s="7" t="s">
        <v>1377</v>
      </c>
      <c r="G71" s="7" t="s">
        <v>624</v>
      </c>
      <c r="H71" s="7" t="s">
        <v>625</v>
      </c>
      <c r="I71" s="7" t="s">
        <v>626</v>
      </c>
      <c r="J71" s="9">
        <v>87000000</v>
      </c>
      <c r="K71" s="7">
        <v>2022</v>
      </c>
      <c r="L71" s="6" t="s">
        <v>627</v>
      </c>
      <c r="M71" s="6" t="s">
        <v>90</v>
      </c>
      <c r="N71" s="7" t="s">
        <v>628</v>
      </c>
      <c r="O71" s="7" t="s">
        <v>629</v>
      </c>
      <c r="P71" s="7" t="s">
        <v>98</v>
      </c>
      <c r="Q71" s="33">
        <v>3342</v>
      </c>
      <c r="R71" s="11">
        <v>44652</v>
      </c>
      <c r="S71" s="11">
        <v>44649</v>
      </c>
      <c r="T71" s="11">
        <v>44652</v>
      </c>
      <c r="U71" s="12" t="s">
        <v>496</v>
      </c>
      <c r="V71" s="11">
        <f>IFERROR(T71+AD71, "-")</f>
        <v>46112</v>
      </c>
      <c r="W71" s="7" t="str">
        <f ca="1">IFERROR(DATEDIF(TODAY(), V71, "m"), "-")</f>
        <v>-</v>
      </c>
      <c r="X71" s="13">
        <v>20000</v>
      </c>
      <c r="Y71" s="7" t="s">
        <v>623</v>
      </c>
      <c r="Z71" s="7" t="s">
        <v>624</v>
      </c>
      <c r="AA71" s="9"/>
      <c r="AB71" s="9" t="s">
        <v>630</v>
      </c>
      <c r="AC71" s="11">
        <v>44676</v>
      </c>
      <c r="AD71" s="7">
        <f>365*U71</f>
        <v>1460</v>
      </c>
      <c r="AE71" s="7">
        <f ca="1">V71-TODAY()</f>
        <v>-140</v>
      </c>
      <c r="AF71" s="7" t="e">
        <f>VLOOKUP($C71,#REF!, 4, FALSE)</f>
        <v>#REF!</v>
      </c>
      <c r="AG71" s="9">
        <v>81586141</v>
      </c>
      <c r="AH71" s="9">
        <v>5509859</v>
      </c>
      <c r="AI71" s="9">
        <f>AG71-AH71</f>
        <v>76076282</v>
      </c>
      <c r="AJ71" s="9">
        <v>94000</v>
      </c>
      <c r="AK71" s="9">
        <v>2000</v>
      </c>
      <c r="AL71" s="9">
        <v>2966690</v>
      </c>
      <c r="AM71" s="9">
        <v>311500</v>
      </c>
      <c r="AN71" s="9">
        <v>2000</v>
      </c>
      <c r="AO71" s="9">
        <v>47000</v>
      </c>
      <c r="AP71" s="9">
        <v>50000</v>
      </c>
      <c r="AQ71" s="9">
        <v>2235000</v>
      </c>
      <c r="AR71" s="9">
        <v>132000</v>
      </c>
      <c r="AS71" s="9" t="s">
        <v>116</v>
      </c>
      <c r="AT71" s="9">
        <v>220000</v>
      </c>
      <c r="AU71" s="9" t="s">
        <v>146</v>
      </c>
      <c r="AV71" s="9">
        <f>3381140</f>
        <v>3381140</v>
      </c>
      <c r="AW71" s="19">
        <f>SUM(AJ71,AK71,AN71,AO71,AP71, AR71,AT71+AL71+AM71)</f>
        <v>3825190</v>
      </c>
      <c r="AX71" s="7" t="s">
        <v>196</v>
      </c>
      <c r="AY71" s="53">
        <v>44652</v>
      </c>
      <c r="AZ71" s="9">
        <f>3716280-1705650</f>
        <v>2010630</v>
      </c>
      <c r="BA71" s="9"/>
      <c r="BB71" s="9"/>
      <c r="BC71" s="9"/>
      <c r="BD71" s="9"/>
      <c r="BE71" s="9" t="s">
        <v>93</v>
      </c>
      <c r="BF71" s="9" t="s">
        <v>94</v>
      </c>
      <c r="BG71" s="9" t="s">
        <v>95</v>
      </c>
      <c r="BH71" s="9" t="s">
        <v>96</v>
      </c>
      <c r="BI71" s="9" t="s">
        <v>97</v>
      </c>
      <c r="BJ71" s="9" t="s">
        <v>127</v>
      </c>
      <c r="BK71" s="7" t="s">
        <v>631</v>
      </c>
      <c r="BL71" s="9" t="s">
        <v>99</v>
      </c>
      <c r="BM71" s="9" t="s">
        <v>148</v>
      </c>
      <c r="BN71" s="9" t="s">
        <v>148</v>
      </c>
      <c r="BO71" s="9" t="s">
        <v>148</v>
      </c>
      <c r="BP71" s="9" t="s">
        <v>148</v>
      </c>
      <c r="BQ71" s="9" t="s">
        <v>632</v>
      </c>
      <c r="BR71" s="7"/>
      <c r="BS71" s="9">
        <f>IF(Q71&lt;=1600,Q71*18,IF(Q71&lt;=2500,Q71*19,IF(Q71&gt;2500,Q71*24,20000)))</f>
        <v>80208</v>
      </c>
      <c r="BT71" s="7" t="s">
        <v>140</v>
      </c>
      <c r="BU71" s="22"/>
      <c r="BV71" s="9"/>
      <c r="BW71" s="14"/>
      <c r="BX71" s="9"/>
      <c r="BY71" s="9"/>
      <c r="BZ71" s="9"/>
      <c r="CA71" s="27">
        <v>0</v>
      </c>
      <c r="CB71" s="87"/>
      <c r="CC71" s="15" t="s">
        <v>154</v>
      </c>
      <c r="CD71" s="15" t="s">
        <v>154</v>
      </c>
      <c r="CE71" s="9">
        <v>1690000</v>
      </c>
      <c r="CF71" s="9">
        <f>U71*12</f>
        <v>48</v>
      </c>
      <c r="CG71" s="9">
        <f>CF71*CE71</f>
        <v>81120000</v>
      </c>
      <c r="CH71" s="9">
        <v>0</v>
      </c>
      <c r="CI71" s="9">
        <v>0</v>
      </c>
      <c r="CJ71" s="9">
        <v>39000000</v>
      </c>
      <c r="CK71" s="51">
        <v>0</v>
      </c>
      <c r="CL71" s="48">
        <v>0.06</v>
      </c>
      <c r="CM71" s="16" t="s">
        <v>633</v>
      </c>
      <c r="CN71" s="9"/>
      <c r="CO71" s="9"/>
      <c r="CP71" s="27">
        <v>0.03</v>
      </c>
      <c r="CQ71" s="38"/>
      <c r="CR71" s="24">
        <v>0</v>
      </c>
      <c r="CS71" s="24">
        <v>0</v>
      </c>
      <c r="CT71" s="24">
        <v>0</v>
      </c>
      <c r="CU71" s="24">
        <v>0</v>
      </c>
      <c r="CV71" s="24">
        <v>0</v>
      </c>
      <c r="CW71" s="24">
        <v>0</v>
      </c>
      <c r="CX71" s="24">
        <v>0</v>
      </c>
      <c r="CY71" s="24">
        <v>0</v>
      </c>
      <c r="CZ71" s="24">
        <v>0</v>
      </c>
      <c r="DA71" s="24">
        <v>0</v>
      </c>
      <c r="DB71" s="24">
        <v>220000</v>
      </c>
      <c r="DC71" s="24" t="str">
        <f>IF(DD71="정수원 실장","기아", IF(DD71="박현식 부장", "현대", IF(DD71="김성진 팀장", "한성", IF(DD71="전석영 부장", "한성", IF(DD71= "박봉호 부장", "모토원",IF(DD71="정원철 부장", "한성"))))))</f>
        <v>기아</v>
      </c>
      <c r="DD71" s="24" t="s">
        <v>121</v>
      </c>
      <c r="DE71" s="24" t="str">
        <f>IF(DD71="정수원 실장","렌트베네핏", IF(DD71="박현식 부장", "렌트베네핏", IF(DD71="김성진 팀장", "청담", IF(DD71="전석영 부장", "방배", IF(DD71= "박봉호 부장", "일산",IF(DD115="정원철 부장", "청담"))))))</f>
        <v>렌트베네핏</v>
      </c>
      <c r="DF71" s="24"/>
      <c r="DG71" s="24"/>
      <c r="DH71" s="24"/>
      <c r="DI71" s="24" t="s">
        <v>269</v>
      </c>
      <c r="DJ71" s="22" t="s">
        <v>1610</v>
      </c>
      <c r="DK71" s="38">
        <v>0.3</v>
      </c>
      <c r="DL71" s="76">
        <v>0.2</v>
      </c>
      <c r="DM71" s="24"/>
      <c r="DN71" s="46"/>
      <c r="DO71" s="24"/>
      <c r="DP71" s="24"/>
      <c r="DQ71" s="38"/>
    </row>
    <row r="72" spans="2:121">
      <c r="B72" s="7">
        <v>68</v>
      </c>
      <c r="C72" s="7" t="s">
        <v>634</v>
      </c>
      <c r="D72" s="36" t="s">
        <v>1585</v>
      </c>
      <c r="E72" s="7" t="s">
        <v>635</v>
      </c>
      <c r="F72" s="7" t="s">
        <v>635</v>
      </c>
      <c r="G72" s="7" t="s">
        <v>636</v>
      </c>
      <c r="H72" s="7" t="s">
        <v>108</v>
      </c>
      <c r="I72" s="7" t="s">
        <v>109</v>
      </c>
      <c r="J72" s="9">
        <v>245600000</v>
      </c>
      <c r="K72" s="7">
        <v>2021</v>
      </c>
      <c r="L72" s="6" t="s">
        <v>110</v>
      </c>
      <c r="M72" s="6" t="s">
        <v>90</v>
      </c>
      <c r="N72" s="7" t="s">
        <v>637</v>
      </c>
      <c r="O72" s="7" t="s">
        <v>638</v>
      </c>
      <c r="P72" s="7" t="s">
        <v>98</v>
      </c>
      <c r="Q72" s="33">
        <v>3982</v>
      </c>
      <c r="R72" s="11">
        <v>44655</v>
      </c>
      <c r="S72" s="11">
        <v>44655</v>
      </c>
      <c r="T72" s="11">
        <v>45751</v>
      </c>
      <c r="U72" s="12" t="s">
        <v>639</v>
      </c>
      <c r="V72" s="11">
        <f>IFERROR(T72+AD72, "-")</f>
        <v>46481</v>
      </c>
      <c r="W72" s="7">
        <f ca="1">IFERROR(DATEDIF(TODAY(), V72, "m"), "-")</f>
        <v>7</v>
      </c>
      <c r="X72" s="13">
        <v>20000</v>
      </c>
      <c r="Y72" s="7" t="s">
        <v>635</v>
      </c>
      <c r="Z72" s="7" t="s">
        <v>636</v>
      </c>
      <c r="AA72" s="9"/>
      <c r="AB72" s="9" t="s">
        <v>640</v>
      </c>
      <c r="AC72" s="11">
        <v>45772</v>
      </c>
      <c r="AD72" s="7">
        <f>365*U72</f>
        <v>730</v>
      </c>
      <c r="AE72" s="7">
        <f ca="1">V72-TODAY()</f>
        <v>229</v>
      </c>
      <c r="AF72" s="7" t="e">
        <f>VLOOKUP($C72,#REF!, 4, FALSE)</f>
        <v>#REF!</v>
      </c>
      <c r="AG72" s="9">
        <v>245600000</v>
      </c>
      <c r="AH72" s="9"/>
      <c r="AI72" s="9">
        <f>AG72-AH72</f>
        <v>245600000</v>
      </c>
      <c r="AJ72" s="9"/>
      <c r="AK72" s="9">
        <v>2000</v>
      </c>
      <c r="AL72" s="9">
        <v>8930900</v>
      </c>
      <c r="AM72" s="9">
        <v>656053</v>
      </c>
      <c r="AN72" s="9">
        <v>5000</v>
      </c>
      <c r="AO72" s="9">
        <v>21500</v>
      </c>
      <c r="AP72" s="9">
        <v>30000</v>
      </c>
      <c r="AQ72" s="9">
        <v>0</v>
      </c>
      <c r="AR72" s="9"/>
      <c r="AS72" s="9" t="s">
        <v>145</v>
      </c>
      <c r="AT72" s="9"/>
      <c r="AU72" s="9" t="s">
        <v>146</v>
      </c>
      <c r="AV72" s="9">
        <f>9643453</f>
        <v>9643453</v>
      </c>
      <c r="AW72" s="19">
        <f>SUM(AJ72,AK72,AN72,AO72,AP72, AR72,AT72+AL72+AM72)</f>
        <v>9645453</v>
      </c>
      <c r="AX72" s="18" t="s">
        <v>92</v>
      </c>
      <c r="AY72" s="53">
        <v>44655</v>
      </c>
      <c r="AZ72" s="9">
        <f>8766060-5296620</f>
        <v>3469440</v>
      </c>
      <c r="BA72" s="9"/>
      <c r="BB72" s="9"/>
      <c r="BC72" s="9"/>
      <c r="BD72" s="9"/>
      <c r="BE72" s="9" t="s">
        <v>93</v>
      </c>
      <c r="BF72" s="9" t="s">
        <v>94</v>
      </c>
      <c r="BG72" s="9" t="s">
        <v>95</v>
      </c>
      <c r="BH72" s="9" t="s">
        <v>96</v>
      </c>
      <c r="BI72" s="9" t="s">
        <v>97</v>
      </c>
      <c r="BJ72" s="9" t="s">
        <v>127</v>
      </c>
      <c r="BK72" s="7" t="s">
        <v>190</v>
      </c>
      <c r="BL72" s="9" t="s">
        <v>99</v>
      </c>
      <c r="BM72" s="9" t="s">
        <v>148</v>
      </c>
      <c r="BN72" s="9" t="s">
        <v>100</v>
      </c>
      <c r="BO72" s="9" t="s">
        <v>101</v>
      </c>
      <c r="BP72" s="9" t="s">
        <v>101</v>
      </c>
      <c r="BQ72" s="9" t="s">
        <v>111</v>
      </c>
      <c r="BR72" s="7"/>
      <c r="BS72" s="9">
        <f>IF(Q72&lt;=1600,Q72*18,IF(Q72&lt;=2500,Q72*19,IF(Q72&gt;2500,Q72*24,20000)))</f>
        <v>95568</v>
      </c>
      <c r="BT72" s="7" t="s">
        <v>140</v>
      </c>
      <c r="BU72" s="22"/>
      <c r="BV72" s="9"/>
      <c r="BW72" s="14"/>
      <c r="BX72" s="9"/>
      <c r="BY72" s="9"/>
      <c r="BZ72" s="9"/>
      <c r="CA72" s="27">
        <v>0</v>
      </c>
      <c r="CB72" s="1"/>
      <c r="CC72" s="15" t="s">
        <v>154</v>
      </c>
      <c r="CD72" s="15" t="s">
        <v>154</v>
      </c>
      <c r="CE72" s="9">
        <v>469000</v>
      </c>
      <c r="CF72" s="9">
        <f>U72*12</f>
        <v>24</v>
      </c>
      <c r="CG72" s="9">
        <f>CF72*CE72</f>
        <v>11256000</v>
      </c>
      <c r="CH72" s="9">
        <v>90872000</v>
      </c>
      <c r="CI72" s="9">
        <v>0</v>
      </c>
      <c r="CJ72" s="9">
        <v>90872000</v>
      </c>
      <c r="CK72" s="51">
        <v>2.5999999999999999E-2</v>
      </c>
      <c r="CL72" s="48">
        <v>0.06</v>
      </c>
      <c r="CM72" s="9" t="s">
        <v>641</v>
      </c>
      <c r="CN72" s="9"/>
      <c r="CO72" s="9"/>
      <c r="CP72" s="27">
        <v>0.03</v>
      </c>
      <c r="CQ72" s="38"/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 t="str">
        <f>IF(DD72="정수원 실장","기아", IF(DD72="박현식 부장", "현대", IF(DD72="김성진 팀장", "한성", IF(DD72="전석영 부장", "한성", IF(DD72= "박봉호 부장", "모토원",IF(DD72="정원철 부장", "한성"))))))</f>
        <v>한성</v>
      </c>
      <c r="DD72" s="26" t="s">
        <v>205</v>
      </c>
      <c r="DE72" s="24" t="str">
        <f>IF(DD72="정수원 실장","렌트베네핏", IF(DD72="박현식 부장", "렌트베네핏", IF(DD72="김성진 팀장", "청담", IF(DD72="전석영 부장", "방배", IF(DD72= "박봉호 부장", "일산",IF(DD116="정원철 부장", "청담"))))))</f>
        <v>방배</v>
      </c>
      <c r="DF72" s="26"/>
      <c r="DG72" s="26" t="s">
        <v>642</v>
      </c>
      <c r="DH72" s="24" t="s">
        <v>643</v>
      </c>
      <c r="DI72" s="24" t="s">
        <v>644</v>
      </c>
      <c r="DJ72" s="22" t="s">
        <v>1610</v>
      </c>
      <c r="DK72" s="38">
        <v>0.3</v>
      </c>
      <c r="DL72" s="76">
        <v>0.2</v>
      </c>
      <c r="DM72" s="24"/>
      <c r="DN72" s="46"/>
      <c r="DO72" s="24"/>
      <c r="DP72" s="24"/>
      <c r="DQ72" s="38"/>
    </row>
    <row r="73" spans="2:121">
      <c r="B73" s="7">
        <v>69</v>
      </c>
      <c r="C73" s="7" t="s">
        <v>645</v>
      </c>
      <c r="D73" s="36" t="s">
        <v>1585</v>
      </c>
      <c r="E73" s="7" t="s">
        <v>1376</v>
      </c>
      <c r="F73" s="7" t="s">
        <v>1377</v>
      </c>
      <c r="G73" s="7" t="s">
        <v>1751</v>
      </c>
      <c r="H73" s="7" t="s">
        <v>132</v>
      </c>
      <c r="I73" s="7" t="s">
        <v>139</v>
      </c>
      <c r="J73" s="9">
        <v>12750000</v>
      </c>
      <c r="K73" s="7">
        <v>2022</v>
      </c>
      <c r="L73" s="6" t="s">
        <v>134</v>
      </c>
      <c r="M73" s="6" t="s">
        <v>90</v>
      </c>
      <c r="N73" s="7" t="s">
        <v>646</v>
      </c>
      <c r="O73" s="7" t="s">
        <v>647</v>
      </c>
      <c r="P73" s="7" t="s">
        <v>98</v>
      </c>
      <c r="Q73" s="33">
        <v>998</v>
      </c>
      <c r="R73" s="11">
        <v>44503</v>
      </c>
      <c r="S73" s="11">
        <v>44666</v>
      </c>
      <c r="T73" s="11">
        <v>44669</v>
      </c>
      <c r="U73" s="12" t="s">
        <v>91</v>
      </c>
      <c r="V73" s="11">
        <f>IFERROR(T73+AD73, "-")</f>
        <v>46494</v>
      </c>
      <c r="W73" s="7">
        <f ca="1">IFERROR(DATEDIF(TODAY(), V73, "m"), "-")</f>
        <v>7</v>
      </c>
      <c r="X73" s="13">
        <v>20000</v>
      </c>
      <c r="Y73" s="7" t="s">
        <v>261</v>
      </c>
      <c r="Z73" s="7" t="s">
        <v>262</v>
      </c>
      <c r="AA73" s="9" t="s">
        <v>590</v>
      </c>
      <c r="AB73" s="9" t="s">
        <v>591</v>
      </c>
      <c r="AC73" s="11">
        <v>44686</v>
      </c>
      <c r="AD73" s="7">
        <f>365*U73</f>
        <v>1825</v>
      </c>
      <c r="AE73" s="7">
        <f ca="1">V73-TODAY()</f>
        <v>242</v>
      </c>
      <c r="AF73" s="7" t="e">
        <f>VLOOKUP($C73,#REF!, 4, FALSE)</f>
        <v>#REF!</v>
      </c>
      <c r="AG73" s="9">
        <v>13209603</v>
      </c>
      <c r="AH73" s="9">
        <v>200000</v>
      </c>
      <c r="AI73" s="9">
        <v>12681000</v>
      </c>
      <c r="AJ73" s="9">
        <v>0</v>
      </c>
      <c r="AK73" s="9">
        <v>2000</v>
      </c>
      <c r="AL73" s="9">
        <v>461120</v>
      </c>
      <c r="AM73" s="9">
        <v>0</v>
      </c>
      <c r="AN73" s="9">
        <v>2000</v>
      </c>
      <c r="AO73" s="9">
        <v>27000</v>
      </c>
      <c r="AP73" s="9">
        <v>30000</v>
      </c>
      <c r="AQ73" s="9">
        <v>430000</v>
      </c>
      <c r="AR73" s="9">
        <v>0</v>
      </c>
      <c r="AS73" s="9" t="s">
        <v>195</v>
      </c>
      <c r="AT73" s="9">
        <v>0</v>
      </c>
      <c r="AU73" s="9" t="s">
        <v>135</v>
      </c>
      <c r="AV73" s="9"/>
      <c r="AW73" s="19">
        <f>SUM(AJ73,AK73,AN73,AO73,AP73, AR73,AT73+AL73+AM73)</f>
        <v>522120</v>
      </c>
      <c r="AX73" s="7" t="s">
        <v>196</v>
      </c>
      <c r="AY73" s="53">
        <v>44503</v>
      </c>
      <c r="AZ73" s="9">
        <v>1153090</v>
      </c>
      <c r="BA73" s="9">
        <f>1035460</f>
        <v>1035460</v>
      </c>
      <c r="BB73" s="9"/>
      <c r="BC73" s="9"/>
      <c r="BD73" s="9"/>
      <c r="BE73" s="9" t="s">
        <v>93</v>
      </c>
      <c r="BF73" s="9" t="s">
        <v>94</v>
      </c>
      <c r="BG73" s="9" t="s">
        <v>117</v>
      </c>
      <c r="BH73" s="9" t="s">
        <v>118</v>
      </c>
      <c r="BI73" s="9" t="s">
        <v>97</v>
      </c>
      <c r="BJ73" s="9" t="s">
        <v>119</v>
      </c>
      <c r="BK73" s="7" t="s">
        <v>130</v>
      </c>
      <c r="BL73" s="9" t="s">
        <v>99</v>
      </c>
      <c r="BM73" s="9" t="s">
        <v>148</v>
      </c>
      <c r="BN73" s="9" t="s">
        <v>100</v>
      </c>
      <c r="BO73" s="9" t="s">
        <v>101</v>
      </c>
      <c r="BP73" s="9" t="s">
        <v>101</v>
      </c>
      <c r="BQ73" s="9" t="s">
        <v>522</v>
      </c>
      <c r="BR73" s="7"/>
      <c r="BS73" s="9">
        <f>IF(Q73&lt;=1600,Q73*18,IF(Q73&lt;=2500,Q73*19,IF(Q73&gt;2500,Q73*24,20000)))</f>
        <v>17964</v>
      </c>
      <c r="BT73" s="7" t="s">
        <v>140</v>
      </c>
      <c r="BU73" s="22"/>
      <c r="BV73" s="9"/>
      <c r="BW73" s="14"/>
      <c r="BX73" s="9"/>
      <c r="BY73" s="9">
        <f>BX73*BW73</f>
        <v>0</v>
      </c>
      <c r="BZ73" s="9">
        <f>BY73-BV73</f>
        <v>0</v>
      </c>
      <c r="CA73" s="27">
        <v>0</v>
      </c>
      <c r="CB73" s="87"/>
      <c r="CC73" s="15" t="s">
        <v>91</v>
      </c>
      <c r="CD73" s="15" t="s">
        <v>91</v>
      </c>
      <c r="CE73" s="9">
        <v>330900</v>
      </c>
      <c r="CF73" s="9">
        <f>U73*12</f>
        <v>60</v>
      </c>
      <c r="CG73" s="9">
        <f>CF73*CE73</f>
        <v>19854000</v>
      </c>
      <c r="CH73" s="9"/>
      <c r="CI73" s="9"/>
      <c r="CJ73" s="9">
        <v>2506900</v>
      </c>
      <c r="CK73" s="51">
        <v>-1.2E-2</v>
      </c>
      <c r="CL73" s="48">
        <v>0.04</v>
      </c>
      <c r="CM73" s="16" t="s">
        <v>268</v>
      </c>
      <c r="CN73" s="34"/>
      <c r="CO73" s="9"/>
      <c r="CP73" s="27">
        <v>0.03</v>
      </c>
      <c r="CQ73" s="38"/>
      <c r="CR73" s="24">
        <v>0</v>
      </c>
      <c r="CS73" s="24">
        <v>0</v>
      </c>
      <c r="CT73" s="24">
        <v>0</v>
      </c>
      <c r="CU73" s="24">
        <v>0</v>
      </c>
      <c r="CV73" s="24">
        <v>0</v>
      </c>
      <c r="CW73" s="24">
        <v>0</v>
      </c>
      <c r="CX73" s="24">
        <v>0</v>
      </c>
      <c r="CY73" s="24">
        <v>0</v>
      </c>
      <c r="CZ73" s="24">
        <v>0</v>
      </c>
      <c r="DA73" s="24">
        <v>0</v>
      </c>
      <c r="DB73" s="24">
        <v>0</v>
      </c>
      <c r="DC73" s="24" t="str">
        <f>IF(DD73="정수원 실장","기아", IF(DD73="박현식 부장", "현대", IF(DD73="김성진 팀장", "한성", IF(DD73="전석영 부장", "한성", IF(DD73= "박봉호 부장", "모토원",IF(DD73="정원철 부장", "한성"))))))</f>
        <v>기아</v>
      </c>
      <c r="DD73" s="24" t="s">
        <v>121</v>
      </c>
      <c r="DE73" s="24" t="str">
        <f>IF(DD73="정수원 실장","렌트베네핏", IF(DD73="박현식 부장", "렌트베네핏", IF(DD73="김성진 팀장", "청담", IF(DD73="전석영 부장", "방배", IF(DD73= "박봉호 부장", "일산",IF(DD117="정원철 부장", "청담"))))))</f>
        <v>렌트베네핏</v>
      </c>
      <c r="DF73" s="24"/>
      <c r="DG73" s="24"/>
      <c r="DH73" s="24"/>
      <c r="DI73" s="24" t="s">
        <v>269</v>
      </c>
      <c r="DJ73" s="22" t="s">
        <v>1610</v>
      </c>
      <c r="DK73" s="38">
        <v>0.3</v>
      </c>
      <c r="DL73" s="76">
        <v>0.2</v>
      </c>
      <c r="DM73" s="24"/>
      <c r="DN73" s="46"/>
      <c r="DO73" s="24"/>
      <c r="DP73" s="24"/>
      <c r="DQ73" s="38"/>
    </row>
    <row r="74" spans="2:121">
      <c r="B74" s="7">
        <v>70</v>
      </c>
      <c r="C74" s="7" t="s">
        <v>648</v>
      </c>
      <c r="D74" s="36" t="s">
        <v>1585</v>
      </c>
      <c r="E74" s="7" t="s">
        <v>1376</v>
      </c>
      <c r="F74" s="7" t="s">
        <v>1377</v>
      </c>
      <c r="G74" s="7" t="s">
        <v>1751</v>
      </c>
      <c r="H74" s="7" t="s">
        <v>132</v>
      </c>
      <c r="I74" s="7" t="s">
        <v>139</v>
      </c>
      <c r="J74" s="9">
        <v>12750000</v>
      </c>
      <c r="K74" s="7">
        <v>2022</v>
      </c>
      <c r="L74" s="6" t="s">
        <v>134</v>
      </c>
      <c r="M74" s="6" t="s">
        <v>90</v>
      </c>
      <c r="N74" s="7" t="s">
        <v>649</v>
      </c>
      <c r="O74" s="7" t="s">
        <v>650</v>
      </c>
      <c r="P74" s="7" t="s">
        <v>98</v>
      </c>
      <c r="Q74" s="33">
        <v>998</v>
      </c>
      <c r="R74" s="11">
        <v>44503</v>
      </c>
      <c r="S74" s="11">
        <v>44666</v>
      </c>
      <c r="T74" s="11">
        <v>44669</v>
      </c>
      <c r="U74" s="12" t="s">
        <v>91</v>
      </c>
      <c r="V74" s="11">
        <f>IFERROR(T74+AD74, "-")</f>
        <v>46494</v>
      </c>
      <c r="W74" s="7">
        <f ca="1">IFERROR(DATEDIF(TODAY(), V74, "m"), "-")</f>
        <v>7</v>
      </c>
      <c r="X74" s="13">
        <v>20000</v>
      </c>
      <c r="Y74" s="7" t="s">
        <v>261</v>
      </c>
      <c r="Z74" s="7" t="s">
        <v>262</v>
      </c>
      <c r="AA74" s="9" t="s">
        <v>590</v>
      </c>
      <c r="AB74" s="9" t="s">
        <v>591</v>
      </c>
      <c r="AC74" s="11">
        <v>44686</v>
      </c>
      <c r="AD74" s="7">
        <f>365*U74</f>
        <v>1825</v>
      </c>
      <c r="AE74" s="7">
        <f ca="1">V74-TODAY()</f>
        <v>242</v>
      </c>
      <c r="AF74" s="7" t="e">
        <f>VLOOKUP($C74,#REF!, 4, FALSE)</f>
        <v>#REF!</v>
      </c>
      <c r="AG74" s="9">
        <v>13209603</v>
      </c>
      <c r="AH74" s="9">
        <v>200000</v>
      </c>
      <c r="AI74" s="9">
        <v>12688000</v>
      </c>
      <c r="AJ74" s="9">
        <v>0</v>
      </c>
      <c r="AK74" s="9">
        <v>2000</v>
      </c>
      <c r="AL74" s="9">
        <v>461380</v>
      </c>
      <c r="AM74" s="9">
        <v>0</v>
      </c>
      <c r="AN74" s="9">
        <v>2000</v>
      </c>
      <c r="AO74" s="9">
        <v>27000</v>
      </c>
      <c r="AP74" s="9">
        <v>30000</v>
      </c>
      <c r="AQ74" s="9">
        <v>430000</v>
      </c>
      <c r="AR74" s="9">
        <v>0</v>
      </c>
      <c r="AS74" s="9" t="s">
        <v>195</v>
      </c>
      <c r="AT74" s="9">
        <v>0</v>
      </c>
      <c r="AU74" s="9" t="s">
        <v>135</v>
      </c>
      <c r="AV74" s="9"/>
      <c r="AW74" s="19">
        <f>SUM(AJ74,AK74,AN74,AO74,AP74, AR74,AT74+AL74+AM74)</f>
        <v>522380</v>
      </c>
      <c r="AX74" s="7" t="s">
        <v>196</v>
      </c>
      <c r="AY74" s="53">
        <v>44503</v>
      </c>
      <c r="AZ74" s="9">
        <v>1153090</v>
      </c>
      <c r="BA74" s="9">
        <f>1042640</f>
        <v>1042640</v>
      </c>
      <c r="BB74" s="9"/>
      <c r="BC74" s="9"/>
      <c r="BD74" s="9"/>
      <c r="BE74" s="9" t="s">
        <v>93</v>
      </c>
      <c r="BF74" s="9" t="s">
        <v>94</v>
      </c>
      <c r="BG74" s="9" t="s">
        <v>117</v>
      </c>
      <c r="BH74" s="9" t="s">
        <v>118</v>
      </c>
      <c r="BI74" s="9" t="s">
        <v>97</v>
      </c>
      <c r="BJ74" s="9" t="s">
        <v>119</v>
      </c>
      <c r="BK74" s="7" t="s">
        <v>130</v>
      </c>
      <c r="BL74" s="9" t="s">
        <v>99</v>
      </c>
      <c r="BM74" s="9" t="s">
        <v>148</v>
      </c>
      <c r="BN74" s="9" t="s">
        <v>100</v>
      </c>
      <c r="BO74" s="9" t="s">
        <v>101</v>
      </c>
      <c r="BP74" s="9" t="s">
        <v>101</v>
      </c>
      <c r="BQ74" s="9" t="s">
        <v>522</v>
      </c>
      <c r="BR74" s="7"/>
      <c r="BS74" s="9">
        <f>IF(Q74&lt;=1600,Q74*18,IF(Q74&lt;=2500,Q74*19,IF(Q74&gt;2500,Q74*24,20000)))</f>
        <v>17964</v>
      </c>
      <c r="BT74" s="7" t="s">
        <v>140</v>
      </c>
      <c r="BU74" s="22"/>
      <c r="BV74" s="9"/>
      <c r="BW74" s="14"/>
      <c r="BX74" s="9"/>
      <c r="BY74" s="9">
        <f>BX74*BW74</f>
        <v>0</v>
      </c>
      <c r="BZ74" s="9">
        <f>BY74-BV74</f>
        <v>0</v>
      </c>
      <c r="CA74" s="27">
        <v>0</v>
      </c>
      <c r="CB74" s="87"/>
      <c r="CC74" s="15" t="s">
        <v>91</v>
      </c>
      <c r="CD74" s="15" t="s">
        <v>91</v>
      </c>
      <c r="CE74" s="9">
        <v>330900</v>
      </c>
      <c r="CF74" s="9">
        <f>U74*12</f>
        <v>60</v>
      </c>
      <c r="CG74" s="9">
        <f>CF74*CE74</f>
        <v>19854000</v>
      </c>
      <c r="CH74" s="9"/>
      <c r="CI74" s="9"/>
      <c r="CJ74" s="9">
        <v>2056900</v>
      </c>
      <c r="CK74" s="51">
        <v>-1.2E-2</v>
      </c>
      <c r="CL74" s="48">
        <v>0.04</v>
      </c>
      <c r="CM74" s="16" t="s">
        <v>268</v>
      </c>
      <c r="CN74" s="9"/>
      <c r="CO74" s="9"/>
      <c r="CP74" s="27">
        <v>0.03</v>
      </c>
      <c r="CQ74" s="38"/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 t="str">
        <f>IF(DD74="정수원 실장","기아", IF(DD74="박현식 부장", "현대", IF(DD74="김성진 팀장", "한성", IF(DD74="전석영 부장", "한성", IF(DD74= "박봉호 부장", "모토원",IF(DD74="정원철 부장", "한성"))))))</f>
        <v>기아</v>
      </c>
      <c r="DD74" s="24" t="s">
        <v>121</v>
      </c>
      <c r="DE74" s="24" t="str">
        <f>IF(DD74="정수원 실장","렌트베네핏", IF(DD74="박현식 부장", "렌트베네핏", IF(DD74="김성진 팀장", "청담", IF(DD74="전석영 부장", "방배", IF(DD74= "박봉호 부장", "일산",IF(DD118="정원철 부장", "청담"))))))</f>
        <v>렌트베네핏</v>
      </c>
      <c r="DF74" s="24"/>
      <c r="DG74" s="24"/>
      <c r="DH74" s="24"/>
      <c r="DI74" s="24" t="s">
        <v>269</v>
      </c>
      <c r="DJ74" s="22" t="s">
        <v>1610</v>
      </c>
      <c r="DK74" s="38">
        <v>0.3</v>
      </c>
      <c r="DL74" s="76">
        <v>0.2</v>
      </c>
      <c r="DM74" s="24"/>
      <c r="DN74" s="46"/>
      <c r="DO74" s="24"/>
      <c r="DP74" s="24"/>
      <c r="DQ74" s="38"/>
    </row>
    <row r="75" spans="2:121">
      <c r="B75" s="7">
        <v>71</v>
      </c>
      <c r="C75" s="7" t="s">
        <v>651</v>
      </c>
      <c r="D75" s="36" t="s">
        <v>1585</v>
      </c>
      <c r="E75" s="7" t="s">
        <v>1376</v>
      </c>
      <c r="F75" s="7" t="s">
        <v>1377</v>
      </c>
      <c r="G75" s="7" t="s">
        <v>1751</v>
      </c>
      <c r="H75" s="7" t="s">
        <v>132</v>
      </c>
      <c r="I75" s="7" t="s">
        <v>139</v>
      </c>
      <c r="J75" s="9">
        <v>12750000</v>
      </c>
      <c r="K75" s="7">
        <v>2022</v>
      </c>
      <c r="L75" s="6" t="s">
        <v>134</v>
      </c>
      <c r="M75" s="6" t="s">
        <v>90</v>
      </c>
      <c r="N75" s="7" t="s">
        <v>652</v>
      </c>
      <c r="O75" s="7" t="s">
        <v>653</v>
      </c>
      <c r="P75" s="7" t="s">
        <v>98</v>
      </c>
      <c r="Q75" s="33">
        <v>998</v>
      </c>
      <c r="R75" s="11">
        <v>44503</v>
      </c>
      <c r="S75" s="11">
        <v>44666</v>
      </c>
      <c r="T75" s="11">
        <v>44669</v>
      </c>
      <c r="U75" s="12" t="s">
        <v>91</v>
      </c>
      <c r="V75" s="11">
        <f>IFERROR(T75+AD75, "-")</f>
        <v>46494</v>
      </c>
      <c r="W75" s="7">
        <f ca="1">IFERROR(DATEDIF(TODAY(), V75, "m"), "-")</f>
        <v>7</v>
      </c>
      <c r="X75" s="13">
        <v>20000</v>
      </c>
      <c r="Y75" s="7" t="s">
        <v>261</v>
      </c>
      <c r="Z75" s="7" t="s">
        <v>262</v>
      </c>
      <c r="AA75" s="9" t="s">
        <v>590</v>
      </c>
      <c r="AB75" s="9" t="s">
        <v>591</v>
      </c>
      <c r="AC75" s="11">
        <v>44686</v>
      </c>
      <c r="AD75" s="7">
        <f>365*U75</f>
        <v>1825</v>
      </c>
      <c r="AE75" s="7">
        <f ca="1">V75-TODAY()</f>
        <v>242</v>
      </c>
      <c r="AF75" s="7" t="e">
        <f>VLOOKUP($C75,#REF!, 4, FALSE)</f>
        <v>#REF!</v>
      </c>
      <c r="AG75" s="9">
        <v>13209603</v>
      </c>
      <c r="AH75" s="9">
        <v>200000</v>
      </c>
      <c r="AI75" s="9">
        <v>12688000</v>
      </c>
      <c r="AJ75" s="9">
        <v>0</v>
      </c>
      <c r="AK75" s="9">
        <v>2000</v>
      </c>
      <c r="AL75" s="9">
        <v>461380</v>
      </c>
      <c r="AM75" s="9">
        <v>0</v>
      </c>
      <c r="AN75" s="9">
        <v>2000</v>
      </c>
      <c r="AO75" s="9">
        <v>27000</v>
      </c>
      <c r="AP75" s="9">
        <v>30000</v>
      </c>
      <c r="AQ75" s="9">
        <v>430000</v>
      </c>
      <c r="AR75" s="9">
        <v>0</v>
      </c>
      <c r="AS75" s="9" t="s">
        <v>195</v>
      </c>
      <c r="AT75" s="9">
        <v>0</v>
      </c>
      <c r="AU75" s="9" t="s">
        <v>135</v>
      </c>
      <c r="AV75" s="9"/>
      <c r="AW75" s="19">
        <f>SUM(AJ75,AK75,AN75,AO75,AP75, AR75,AT75+AL75+AM75)</f>
        <v>522380</v>
      </c>
      <c r="AX75" s="7" t="s">
        <v>196</v>
      </c>
      <c r="AY75" s="53">
        <v>44503</v>
      </c>
      <c r="AZ75" s="9">
        <v>1153090</v>
      </c>
      <c r="BA75" s="9">
        <f>1035460</f>
        <v>1035460</v>
      </c>
      <c r="BB75" s="9"/>
      <c r="BC75" s="9"/>
      <c r="BD75" s="9"/>
      <c r="BE75" s="9" t="s">
        <v>93</v>
      </c>
      <c r="BF75" s="9" t="s">
        <v>94</v>
      </c>
      <c r="BG75" s="9" t="s">
        <v>117</v>
      </c>
      <c r="BH75" s="9" t="s">
        <v>118</v>
      </c>
      <c r="BI75" s="9" t="s">
        <v>97</v>
      </c>
      <c r="BJ75" s="9" t="s">
        <v>119</v>
      </c>
      <c r="BK75" s="7" t="s">
        <v>130</v>
      </c>
      <c r="BL75" s="9" t="s">
        <v>99</v>
      </c>
      <c r="BM75" s="9" t="s">
        <v>148</v>
      </c>
      <c r="BN75" s="9" t="s">
        <v>100</v>
      </c>
      <c r="BO75" s="9" t="s">
        <v>101</v>
      </c>
      <c r="BP75" s="9" t="s">
        <v>101</v>
      </c>
      <c r="BQ75" s="9" t="s">
        <v>522</v>
      </c>
      <c r="BR75" s="7"/>
      <c r="BS75" s="9">
        <f>IF(Q75&lt;=1600,Q75*18,IF(Q75&lt;=2500,Q75*19,IF(Q75&gt;2500,Q75*24,20000)))</f>
        <v>17964</v>
      </c>
      <c r="BT75" s="7" t="s">
        <v>140</v>
      </c>
      <c r="BU75" s="22"/>
      <c r="BV75" s="9"/>
      <c r="BW75" s="14"/>
      <c r="BX75" s="9"/>
      <c r="BY75" s="9">
        <f>BX75*BW75</f>
        <v>0</v>
      </c>
      <c r="BZ75" s="9">
        <f>BY75-BV75</f>
        <v>0</v>
      </c>
      <c r="CA75" s="27">
        <v>0</v>
      </c>
      <c r="CB75" s="87"/>
      <c r="CC75" s="15" t="s">
        <v>91</v>
      </c>
      <c r="CD75" s="15" t="s">
        <v>91</v>
      </c>
      <c r="CE75" s="9">
        <v>330900</v>
      </c>
      <c r="CF75" s="9">
        <f>U75*12</f>
        <v>60</v>
      </c>
      <c r="CG75" s="9">
        <f>CF75*CE75</f>
        <v>19854000</v>
      </c>
      <c r="CH75" s="9"/>
      <c r="CI75" s="9"/>
      <c r="CJ75" s="9">
        <v>2506900</v>
      </c>
      <c r="CK75" s="51">
        <v>-1.2E-2</v>
      </c>
      <c r="CL75" s="48">
        <v>0.04</v>
      </c>
      <c r="CM75" s="16" t="s">
        <v>268</v>
      </c>
      <c r="CN75" s="9"/>
      <c r="CO75" s="9"/>
      <c r="CP75" s="27">
        <v>0.03</v>
      </c>
      <c r="CQ75" s="38"/>
      <c r="CR75" s="24">
        <v>0</v>
      </c>
      <c r="CS75" s="24">
        <v>0</v>
      </c>
      <c r="CT75" s="24">
        <v>0</v>
      </c>
      <c r="CU75" s="24">
        <v>0</v>
      </c>
      <c r="CV75" s="24">
        <v>0</v>
      </c>
      <c r="CW75" s="24">
        <v>0</v>
      </c>
      <c r="CX75" s="24">
        <v>0</v>
      </c>
      <c r="CY75" s="24">
        <v>0</v>
      </c>
      <c r="CZ75" s="24">
        <v>0</v>
      </c>
      <c r="DA75" s="24">
        <v>0</v>
      </c>
      <c r="DB75" s="24">
        <v>0</v>
      </c>
      <c r="DC75" s="24" t="str">
        <f>IF(DD75="정수원 실장","기아", IF(DD75="박현식 부장", "현대", IF(DD75="김성진 팀장", "한성", IF(DD75="전석영 부장", "한성", IF(DD75= "박봉호 부장", "모토원",IF(DD75="정원철 부장", "한성"))))))</f>
        <v>기아</v>
      </c>
      <c r="DD75" s="24" t="s">
        <v>121</v>
      </c>
      <c r="DE75" s="24" t="str">
        <f>IF(DD75="정수원 실장","렌트베네핏", IF(DD75="박현식 부장", "렌트베네핏", IF(DD75="김성진 팀장", "청담", IF(DD75="전석영 부장", "방배", IF(DD75= "박봉호 부장", "일산",IF(DD119="정원철 부장", "청담"))))))</f>
        <v>렌트베네핏</v>
      </c>
      <c r="DF75" s="24"/>
      <c r="DG75" s="24"/>
      <c r="DH75" s="24"/>
      <c r="DI75" s="24" t="s">
        <v>269</v>
      </c>
      <c r="DJ75" s="22" t="s">
        <v>1610</v>
      </c>
      <c r="DK75" s="38">
        <v>0.3</v>
      </c>
      <c r="DL75" s="76">
        <v>0.2</v>
      </c>
      <c r="DM75" s="24"/>
      <c r="DN75" s="46"/>
      <c r="DO75" s="24"/>
      <c r="DP75" s="24"/>
      <c r="DQ75" s="38"/>
    </row>
    <row r="76" spans="2:121">
      <c r="B76" s="7">
        <v>72</v>
      </c>
      <c r="C76" s="7" t="s">
        <v>654</v>
      </c>
      <c r="D76" s="36" t="s">
        <v>1585</v>
      </c>
      <c r="E76" s="7" t="s">
        <v>655</v>
      </c>
      <c r="F76" s="7" t="s">
        <v>655</v>
      </c>
      <c r="G76" s="7" t="s">
        <v>656</v>
      </c>
      <c r="H76" s="7" t="s">
        <v>222</v>
      </c>
      <c r="I76" s="7" t="s">
        <v>657</v>
      </c>
      <c r="J76" s="9">
        <v>85220000</v>
      </c>
      <c r="K76" s="7">
        <v>2022</v>
      </c>
      <c r="L76" s="6" t="s">
        <v>658</v>
      </c>
      <c r="M76" s="6" t="s">
        <v>90</v>
      </c>
      <c r="N76" s="7" t="s">
        <v>659</v>
      </c>
      <c r="O76" s="7" t="s">
        <v>660</v>
      </c>
      <c r="P76" s="7" t="s">
        <v>98</v>
      </c>
      <c r="Q76" s="33">
        <v>1991</v>
      </c>
      <c r="R76" s="11">
        <v>44680</v>
      </c>
      <c r="S76" s="11">
        <v>44673</v>
      </c>
      <c r="T76" s="11">
        <v>44680</v>
      </c>
      <c r="U76" s="12" t="s">
        <v>91</v>
      </c>
      <c r="V76" s="11">
        <f>IFERROR(T76+AD76, "-")</f>
        <v>46505</v>
      </c>
      <c r="W76" s="7">
        <f ca="1">IFERROR(DATEDIF(TODAY(), V76, "m"), "-")</f>
        <v>8</v>
      </c>
      <c r="X76" s="13">
        <v>20000</v>
      </c>
      <c r="Y76" s="7" t="s">
        <v>655</v>
      </c>
      <c r="Z76" s="7" t="s">
        <v>656</v>
      </c>
      <c r="AA76" s="9"/>
      <c r="AB76" s="9" t="s">
        <v>661</v>
      </c>
      <c r="AC76" s="11">
        <v>44706</v>
      </c>
      <c r="AD76" s="7">
        <f>365*U76</f>
        <v>1825</v>
      </c>
      <c r="AE76" s="7">
        <f ca="1">V76-TODAY()</f>
        <v>253</v>
      </c>
      <c r="AF76" s="7" t="e">
        <f>VLOOKUP($C76,#REF!, 4, FALSE)</f>
        <v>#REF!</v>
      </c>
      <c r="AG76" s="9">
        <v>81811700</v>
      </c>
      <c r="AH76" s="9"/>
      <c r="AI76" s="9">
        <f>AG76-AH76</f>
        <v>81811700</v>
      </c>
      <c r="AJ76" s="9"/>
      <c r="AK76" s="9"/>
      <c r="AL76" s="9">
        <f>AI76/1.1*0.04</f>
        <v>2974970.9090909087</v>
      </c>
      <c r="AM76" s="9">
        <v>210144</v>
      </c>
      <c r="AN76" s="9">
        <v>5000</v>
      </c>
      <c r="AO76" s="9">
        <v>21500</v>
      </c>
      <c r="AP76" s="9">
        <v>30000</v>
      </c>
      <c r="AQ76" s="9">
        <v>0</v>
      </c>
      <c r="AR76" s="9"/>
      <c r="AS76" s="9" t="s">
        <v>145</v>
      </c>
      <c r="AT76" s="9"/>
      <c r="AU76" s="9" t="s">
        <v>146</v>
      </c>
      <c r="AV76" s="9">
        <f>3378080</f>
        <v>3378080</v>
      </c>
      <c r="AW76" s="19">
        <f>SUM(AJ76,AK76,AN76,AO76,AP76, AR76,AT76+AL76+AM76)</f>
        <v>3241614.9090909087</v>
      </c>
      <c r="AX76" s="7" t="s">
        <v>196</v>
      </c>
      <c r="AY76" s="53">
        <v>44680</v>
      </c>
      <c r="AZ76" s="9">
        <f>3804290-1997580</f>
        <v>1806710</v>
      </c>
      <c r="BA76" s="9"/>
      <c r="BB76" s="9"/>
      <c r="BC76" s="9"/>
      <c r="BD76" s="9"/>
      <c r="BE76" s="9" t="s">
        <v>93</v>
      </c>
      <c r="BF76" s="9" t="s">
        <v>94</v>
      </c>
      <c r="BG76" s="9" t="s">
        <v>95</v>
      </c>
      <c r="BH76" s="9" t="s">
        <v>96</v>
      </c>
      <c r="BI76" s="9" t="s">
        <v>97</v>
      </c>
      <c r="BJ76" s="9" t="s">
        <v>127</v>
      </c>
      <c r="BK76" s="7" t="s">
        <v>631</v>
      </c>
      <c r="BL76" s="9" t="s">
        <v>99</v>
      </c>
      <c r="BM76" s="9" t="s">
        <v>148</v>
      </c>
      <c r="BN76" s="9" t="s">
        <v>100</v>
      </c>
      <c r="BO76" s="9" t="s">
        <v>101</v>
      </c>
      <c r="BP76" s="9" t="s">
        <v>101</v>
      </c>
      <c r="BQ76" s="9"/>
      <c r="BR76" s="7"/>
      <c r="BS76" s="9">
        <f>IF(Q76&lt;=1600,Q76*18,IF(Q76&lt;=2500,Q76*19,IF(Q76&gt;2500,Q76*24,20000)))</f>
        <v>37829</v>
      </c>
      <c r="BT76" s="7" t="s">
        <v>140</v>
      </c>
      <c r="BU76" s="22"/>
      <c r="BV76" s="9"/>
      <c r="BW76" s="14"/>
      <c r="BX76" s="9"/>
      <c r="BY76" s="9"/>
      <c r="BZ76" s="9"/>
      <c r="CA76" s="27">
        <v>0</v>
      </c>
      <c r="CB76" s="87"/>
      <c r="CC76" s="15" t="s">
        <v>154</v>
      </c>
      <c r="CD76" s="15" t="s">
        <v>154</v>
      </c>
      <c r="CE76" s="9">
        <v>1404000</v>
      </c>
      <c r="CF76" s="9">
        <f>U76*12</f>
        <v>60</v>
      </c>
      <c r="CG76" s="9">
        <f>CF76*CE76</f>
        <v>84240000</v>
      </c>
      <c r="CH76" s="9">
        <v>20000000</v>
      </c>
      <c r="CI76" s="9"/>
      <c r="CJ76" s="9">
        <v>35616000</v>
      </c>
      <c r="CK76" s="51">
        <v>4.4999999999999998E-2</v>
      </c>
      <c r="CL76" s="48">
        <v>0.06</v>
      </c>
      <c r="CM76" s="16" t="s">
        <v>662</v>
      </c>
      <c r="CN76" s="16" t="s">
        <v>663</v>
      </c>
      <c r="CO76" s="16"/>
      <c r="CP76" s="27">
        <v>0.03</v>
      </c>
      <c r="CQ76" s="38"/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 t="str">
        <f>IF(DD76="정수원 실장","기아", IF(DD76="박현식 부장", "현대", IF(DD76="김성진 팀장", "한성", IF(DD76="전석영 부장", "한성", IF(DD76= "박봉호 부장", "모토원",IF(DD76="정원철 부장", "한성"))))))</f>
        <v>한성</v>
      </c>
      <c r="DD76" s="24" t="s">
        <v>205</v>
      </c>
      <c r="DE76" s="24" t="str">
        <f>IF(DD76="정수원 실장","렌트베네핏", IF(DD76="박현식 부장", "렌트베네핏", IF(DD76="김성진 팀장", "청담", IF(DD76="전석영 부장", "방배", IF(DD76= "박봉호 부장", "일산",IF(DD120="정원철 부장", "청담"))))))</f>
        <v>방배</v>
      </c>
      <c r="DF76" s="24"/>
      <c r="DG76" s="24"/>
      <c r="DH76" s="24"/>
      <c r="DI76" s="24" t="s">
        <v>664</v>
      </c>
      <c r="DJ76" s="22" t="s">
        <v>1610</v>
      </c>
      <c r="DK76" s="38">
        <v>0.3</v>
      </c>
      <c r="DL76" s="76">
        <v>0.2</v>
      </c>
      <c r="DM76" s="24"/>
      <c r="DN76" s="46"/>
      <c r="DO76" s="24"/>
      <c r="DP76" s="24"/>
      <c r="DQ76" s="38"/>
    </row>
    <row r="77" spans="2:121">
      <c r="B77" s="7">
        <v>73</v>
      </c>
      <c r="C77" s="7" t="s">
        <v>665</v>
      </c>
      <c r="D77" s="36" t="s">
        <v>1585</v>
      </c>
      <c r="E77" s="7" t="s">
        <v>666</v>
      </c>
      <c r="F77" s="7" t="s">
        <v>667</v>
      </c>
      <c r="G77" s="7" t="s">
        <v>668</v>
      </c>
      <c r="H77" s="7" t="s">
        <v>108</v>
      </c>
      <c r="I77" s="7" t="s">
        <v>98</v>
      </c>
      <c r="J77" s="9">
        <v>217600000</v>
      </c>
      <c r="K77" s="7">
        <v>2021</v>
      </c>
      <c r="L77" s="6" t="s">
        <v>152</v>
      </c>
      <c r="M77" s="6" t="s">
        <v>90</v>
      </c>
      <c r="N77" s="7" t="s">
        <v>669</v>
      </c>
      <c r="O77" s="7" t="s">
        <v>670</v>
      </c>
      <c r="P77" s="7" t="s">
        <v>98</v>
      </c>
      <c r="Q77" s="33">
        <v>3982</v>
      </c>
      <c r="R77" s="11">
        <v>44683</v>
      </c>
      <c r="S77" s="11">
        <v>45401</v>
      </c>
      <c r="T77" s="11">
        <v>45414</v>
      </c>
      <c r="U77" s="12" t="s">
        <v>153</v>
      </c>
      <c r="V77" s="11">
        <f>IFERROR(T77+AD77, "-")</f>
        <v>46509</v>
      </c>
      <c r="W77" s="7">
        <f ca="1">IFERROR(DATEDIF(TODAY(), V77, "m"), "-")</f>
        <v>8</v>
      </c>
      <c r="X77" s="13">
        <v>20000</v>
      </c>
      <c r="Y77" s="9" t="s">
        <v>671</v>
      </c>
      <c r="Z77" s="9" t="s">
        <v>672</v>
      </c>
      <c r="AA77" s="9"/>
      <c r="AB77" s="9" t="s">
        <v>361</v>
      </c>
      <c r="AC77" s="11">
        <v>45437</v>
      </c>
      <c r="AD77" s="7">
        <f>365*U77</f>
        <v>1095</v>
      </c>
      <c r="AE77" s="7">
        <f ca="1">V77-TODAY()</f>
        <v>257</v>
      </c>
      <c r="AF77" s="7" t="e">
        <f>VLOOKUP($C77,#REF!, 4, FALSE)</f>
        <v>#REF!</v>
      </c>
      <c r="AG77" s="9">
        <v>217600000</v>
      </c>
      <c r="AH77" s="9"/>
      <c r="AI77" s="9">
        <f>AG77-AH77</f>
        <v>217600000</v>
      </c>
      <c r="AJ77" s="9"/>
      <c r="AK77" s="9"/>
      <c r="AL77" s="9">
        <f>AI77/1.1*0.04</f>
        <v>7912727.2727272725</v>
      </c>
      <c r="AM77" s="9">
        <v>411087</v>
      </c>
      <c r="AN77" s="9">
        <v>5000</v>
      </c>
      <c r="AO77" s="9">
        <v>21500</v>
      </c>
      <c r="AP77" s="9">
        <v>30000</v>
      </c>
      <c r="AQ77" s="9">
        <v>0</v>
      </c>
      <c r="AR77" s="9"/>
      <c r="AS77" s="9" t="s">
        <v>145</v>
      </c>
      <c r="AT77" s="9"/>
      <c r="AU77" s="9" t="s">
        <v>146</v>
      </c>
      <c r="AV77" s="9">
        <f>7582918</f>
        <v>7582918</v>
      </c>
      <c r="AW77" s="19">
        <f>SUM(AJ77,AK77,AN77,AO77,AP77, AR77,AT77+AL77+AM77)</f>
        <v>8380314.2727272725</v>
      </c>
      <c r="AX77" s="18" t="s">
        <v>92</v>
      </c>
      <c r="AY77" s="53">
        <v>44683</v>
      </c>
      <c r="AZ77" s="9">
        <f>7615480-5054020</f>
        <v>2561460</v>
      </c>
      <c r="BA77" s="9"/>
      <c r="BB77" s="9"/>
      <c r="BC77" s="9"/>
      <c r="BD77" s="9"/>
      <c r="BE77" s="9" t="s">
        <v>93</v>
      </c>
      <c r="BF77" s="9" t="s">
        <v>94</v>
      </c>
      <c r="BG77" s="9" t="s">
        <v>95</v>
      </c>
      <c r="BH77" s="9" t="s">
        <v>96</v>
      </c>
      <c r="BI77" s="9" t="s">
        <v>97</v>
      </c>
      <c r="BJ77" s="9" t="s">
        <v>127</v>
      </c>
      <c r="BK77" s="7" t="s">
        <v>130</v>
      </c>
      <c r="BL77" s="9" t="s">
        <v>99</v>
      </c>
      <c r="BM77" s="9" t="s">
        <v>148</v>
      </c>
      <c r="BN77" s="9" t="s">
        <v>100</v>
      </c>
      <c r="BO77" s="9" t="s">
        <v>101</v>
      </c>
      <c r="BP77" s="9" t="s">
        <v>101</v>
      </c>
      <c r="BQ77" s="9"/>
      <c r="BR77" s="7"/>
      <c r="BS77" s="9">
        <f>IF(Q77&lt;=1600,Q77*18,IF(Q77&lt;=2500,Q77*19,IF(Q77&gt;2500,Q77*24,20000)))</f>
        <v>95568</v>
      </c>
      <c r="BT77" s="7" t="s">
        <v>140</v>
      </c>
      <c r="BU77" s="22"/>
      <c r="BV77" s="9"/>
      <c r="BW77" s="14"/>
      <c r="BX77" s="9"/>
      <c r="BY77" s="9"/>
      <c r="BZ77" s="9"/>
      <c r="CA77" s="27">
        <v>0</v>
      </c>
      <c r="CB77" s="1"/>
      <c r="CC77" s="15" t="s">
        <v>154</v>
      </c>
      <c r="CD77" s="15" t="s">
        <v>154</v>
      </c>
      <c r="CE77" s="9">
        <v>3916000</v>
      </c>
      <c r="CF77" s="9">
        <f>U77*12</f>
        <v>36</v>
      </c>
      <c r="CG77" s="9">
        <f>CF77*CE77</f>
        <v>140976000</v>
      </c>
      <c r="CH77" s="9">
        <v>65280000</v>
      </c>
      <c r="CI77" s="9">
        <v>0</v>
      </c>
      <c r="CJ77" s="9">
        <v>65280000</v>
      </c>
      <c r="CK77" s="51">
        <v>0.02</v>
      </c>
      <c r="CL77" s="48">
        <v>0.06</v>
      </c>
      <c r="CM77" s="16" t="s">
        <v>673</v>
      </c>
      <c r="CN77" s="9" t="s">
        <v>674</v>
      </c>
      <c r="CO77" s="9" t="s">
        <v>672</v>
      </c>
      <c r="CP77" s="27">
        <v>0.03</v>
      </c>
      <c r="CQ77" s="38"/>
      <c r="CR77" s="24">
        <v>0</v>
      </c>
      <c r="CS77" s="24">
        <v>0</v>
      </c>
      <c r="CT77" s="24">
        <v>0</v>
      </c>
      <c r="CU77" s="24">
        <v>0</v>
      </c>
      <c r="CV77" s="24">
        <v>0</v>
      </c>
      <c r="CW77" s="24">
        <v>0</v>
      </c>
      <c r="CX77" s="24">
        <v>0</v>
      </c>
      <c r="CY77" s="24">
        <v>0</v>
      </c>
      <c r="CZ77" s="24">
        <v>0</v>
      </c>
      <c r="DA77" s="24">
        <v>0</v>
      </c>
      <c r="DB77" s="24">
        <v>0</v>
      </c>
      <c r="DC77" s="24" t="str">
        <f>IF(DD77="정수원 실장","기아", IF(DD77="박현식 부장", "현대", IF(DD77="김성진 팀장", "한성", IF(DD77="전석영 부장", "한성", IF(DD77= "박봉호 부장", "모토원",IF(DD77="정원철 부장", "한성"))))))</f>
        <v>한성</v>
      </c>
      <c r="DD77" s="24" t="s">
        <v>107</v>
      </c>
      <c r="DE77" s="24" t="str">
        <f>IF(DD77="정수원 실장","렌트베네핏", IF(DD77="박현식 부장", "렌트베네핏", IF(DD77="김성진 팀장", "청담", IF(DD77="전석영 부장", "방배", IF(DD77= "박봉호 부장", "일산",IF(DD121="정원철 부장", "청담"))))))</f>
        <v>청담</v>
      </c>
      <c r="DF77" s="24"/>
      <c r="DG77" s="24" t="s">
        <v>376</v>
      </c>
      <c r="DH77" s="24" t="s">
        <v>675</v>
      </c>
      <c r="DI77" s="24" t="s">
        <v>676</v>
      </c>
      <c r="DJ77" s="24" t="s">
        <v>677</v>
      </c>
      <c r="DK77" s="38">
        <v>0.3</v>
      </c>
      <c r="DL77" s="76">
        <v>0.2</v>
      </c>
      <c r="DM77" s="24"/>
      <c r="DN77" s="46"/>
      <c r="DO77" s="24"/>
      <c r="DP77" s="24"/>
      <c r="DQ77" s="38"/>
    </row>
    <row r="78" spans="2:121">
      <c r="B78" s="7">
        <v>74</v>
      </c>
      <c r="C78" s="7" t="s">
        <v>678</v>
      </c>
      <c r="D78" s="36" t="s">
        <v>1585</v>
      </c>
      <c r="E78" s="7" t="s">
        <v>679</v>
      </c>
      <c r="F78" s="7" t="s">
        <v>680</v>
      </c>
      <c r="G78" s="7" t="s">
        <v>681</v>
      </c>
      <c r="H78" s="7" t="s">
        <v>682</v>
      </c>
      <c r="I78" s="7" t="s">
        <v>151</v>
      </c>
      <c r="J78" s="9">
        <v>116320000</v>
      </c>
      <c r="K78" s="7">
        <v>2022</v>
      </c>
      <c r="L78" s="6" t="s">
        <v>658</v>
      </c>
      <c r="M78" s="6" t="s">
        <v>90</v>
      </c>
      <c r="N78" s="7" t="s">
        <v>683</v>
      </c>
      <c r="O78" s="7" t="s">
        <v>684</v>
      </c>
      <c r="P78" s="7" t="s">
        <v>98</v>
      </c>
      <c r="Q78" s="33">
        <v>1991</v>
      </c>
      <c r="R78" s="11">
        <v>44700</v>
      </c>
      <c r="S78" s="11">
        <v>44693</v>
      </c>
      <c r="T78" s="11">
        <v>44701</v>
      </c>
      <c r="U78" s="12" t="s">
        <v>91</v>
      </c>
      <c r="V78" s="11">
        <f>IFERROR(T78+AD78, "-")</f>
        <v>46526</v>
      </c>
      <c r="W78" s="7">
        <f ca="1">IFERROR(DATEDIF(TODAY(), V78, "m"), "-")</f>
        <v>9</v>
      </c>
      <c r="X78" s="13">
        <v>20000</v>
      </c>
      <c r="Y78" s="7" t="s">
        <v>680</v>
      </c>
      <c r="Z78" s="7" t="s">
        <v>681</v>
      </c>
      <c r="AA78" s="9"/>
      <c r="AB78" s="9" t="s">
        <v>685</v>
      </c>
      <c r="AC78" s="11">
        <v>44706</v>
      </c>
      <c r="AD78" s="7">
        <f>365*U78</f>
        <v>1825</v>
      </c>
      <c r="AE78" s="7">
        <f ca="1">V78-TODAY()</f>
        <v>274</v>
      </c>
      <c r="AF78" s="7" t="e">
        <f>VLOOKUP($C78,#REF!, 4, FALSE)</f>
        <v>#REF!</v>
      </c>
      <c r="AG78" s="9">
        <v>111667200</v>
      </c>
      <c r="AH78" s="9">
        <f>AG78*4%</f>
        <v>4466688</v>
      </c>
      <c r="AI78" s="9">
        <f>AG78-AH78</f>
        <v>107200512</v>
      </c>
      <c r="AJ78" s="9"/>
      <c r="AK78" s="9"/>
      <c r="AL78" s="9">
        <v>4060620</v>
      </c>
      <c r="AM78" s="9">
        <v>330932</v>
      </c>
      <c r="AN78" s="9">
        <v>5000</v>
      </c>
      <c r="AO78" s="9">
        <v>21500</v>
      </c>
      <c r="AP78" s="9">
        <v>30000</v>
      </c>
      <c r="AQ78" s="9">
        <v>0</v>
      </c>
      <c r="AR78" s="9"/>
      <c r="AS78" s="9" t="s">
        <v>145</v>
      </c>
      <c r="AT78" s="9"/>
      <c r="AU78" s="9" t="s">
        <v>146</v>
      </c>
      <c r="AV78" s="9">
        <f>4448052</f>
        <v>4448052</v>
      </c>
      <c r="AW78" s="19">
        <f>SUM(AJ78,AK78,AN78,AO78,AP78, AR78,AT78+AL78+AM78)</f>
        <v>4448052</v>
      </c>
      <c r="AX78" s="18" t="s">
        <v>189</v>
      </c>
      <c r="AY78" s="53">
        <v>44699</v>
      </c>
      <c r="AZ78" s="9">
        <f>4715540-2794740</f>
        <v>1920800</v>
      </c>
      <c r="BA78" s="9"/>
      <c r="BB78" s="9"/>
      <c r="BC78" s="9"/>
      <c r="BD78" s="9"/>
      <c r="BE78" s="9" t="s">
        <v>93</v>
      </c>
      <c r="BF78" s="9" t="s">
        <v>94</v>
      </c>
      <c r="BG78" s="9" t="s">
        <v>95</v>
      </c>
      <c r="BH78" s="9" t="s">
        <v>96</v>
      </c>
      <c r="BI78" s="9" t="s">
        <v>97</v>
      </c>
      <c r="BJ78" s="9" t="s">
        <v>127</v>
      </c>
      <c r="BK78" s="7" t="s">
        <v>631</v>
      </c>
      <c r="BL78" s="9" t="s">
        <v>99</v>
      </c>
      <c r="BM78" s="9" t="s">
        <v>148</v>
      </c>
      <c r="BN78" s="9" t="s">
        <v>100</v>
      </c>
      <c r="BO78" s="9" t="s">
        <v>101</v>
      </c>
      <c r="BP78" s="9" t="s">
        <v>101</v>
      </c>
      <c r="BQ78" s="9"/>
      <c r="BR78" s="7"/>
      <c r="BS78" s="9">
        <f>IF(Q78&lt;=1600,Q78*18,IF(Q78&lt;=2500,Q78*19,IF(Q78&gt;2500,Q78*24,20000)))</f>
        <v>37829</v>
      </c>
      <c r="BT78" s="7" t="s">
        <v>140</v>
      </c>
      <c r="BU78" s="22"/>
      <c r="BV78" s="9"/>
      <c r="BW78" s="14"/>
      <c r="BX78" s="9"/>
      <c r="BY78" s="9"/>
      <c r="BZ78" s="9"/>
      <c r="CA78" s="27">
        <v>0</v>
      </c>
      <c r="CB78" s="87"/>
      <c r="CC78" s="15" t="s">
        <v>154</v>
      </c>
      <c r="CD78" s="15" t="s">
        <v>154</v>
      </c>
      <c r="CE78" s="9">
        <v>1558000</v>
      </c>
      <c r="CF78" s="9">
        <f>U78*12</f>
        <v>60</v>
      </c>
      <c r="CG78" s="9">
        <f>CF78*CE78</f>
        <v>93480000</v>
      </c>
      <c r="CH78" s="9">
        <v>32351000</v>
      </c>
      <c r="CI78" s="9">
        <v>25510000</v>
      </c>
      <c r="CJ78" s="9">
        <v>32351000</v>
      </c>
      <c r="CK78" s="51">
        <v>-2.1600000000000001E-2</v>
      </c>
      <c r="CL78" s="48">
        <v>0.06</v>
      </c>
      <c r="CM78" s="16" t="s">
        <v>686</v>
      </c>
      <c r="CN78" s="9"/>
      <c r="CO78" s="9"/>
      <c r="CP78" s="27">
        <v>0.03</v>
      </c>
      <c r="CQ78" s="38"/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 t="str">
        <f>IF(DD78="정수원 실장","기아", IF(DD78="박현식 부장", "현대", IF(DD78="김성진 팀장", "한성", IF(DD78="전석영 부장", "한성", IF(DD78= "박봉호 부장", "모토원",IF(DD78="정원철 부장", "한성"))))))</f>
        <v>한성</v>
      </c>
      <c r="DD78" s="24" t="s">
        <v>205</v>
      </c>
      <c r="DE78" s="24" t="str">
        <f>IF(DD78="정수원 실장","렌트베네핏", IF(DD78="박현식 부장", "렌트베네핏", IF(DD78="김성진 팀장", "청담", IF(DD78="전석영 부장", "방배", IF(DD78= "박봉호 부장", "일산",IF(DD122="정원철 부장", "청담"))))))</f>
        <v>방배</v>
      </c>
      <c r="DF78" s="24"/>
      <c r="DG78" s="24"/>
      <c r="DH78" s="24"/>
      <c r="DI78" s="24" t="s">
        <v>687</v>
      </c>
      <c r="DJ78" s="22" t="s">
        <v>1610</v>
      </c>
      <c r="DK78" s="38">
        <v>0.3</v>
      </c>
      <c r="DL78" s="76">
        <v>0.2</v>
      </c>
      <c r="DM78" s="24"/>
      <c r="DN78" s="46"/>
      <c r="DO78" s="24"/>
      <c r="DP78" s="24"/>
      <c r="DQ78" s="38"/>
    </row>
    <row r="79" spans="2:121">
      <c r="B79" s="7">
        <v>75</v>
      </c>
      <c r="C79" s="7" t="s">
        <v>1599</v>
      </c>
      <c r="D79" s="36" t="s">
        <v>1585</v>
      </c>
      <c r="E79" s="7" t="s">
        <v>689</v>
      </c>
      <c r="F79" s="7" t="s">
        <v>690</v>
      </c>
      <c r="G79" s="7" t="s">
        <v>695</v>
      </c>
      <c r="H79" s="7" t="s">
        <v>122</v>
      </c>
      <c r="I79" s="7" t="s">
        <v>123</v>
      </c>
      <c r="J79" s="9">
        <v>119200000</v>
      </c>
      <c r="K79" s="7">
        <v>2022</v>
      </c>
      <c r="L79" s="6" t="s">
        <v>124</v>
      </c>
      <c r="M79" s="6" t="s">
        <v>90</v>
      </c>
      <c r="N79" s="7" t="s">
        <v>691</v>
      </c>
      <c r="O79" s="7" t="s">
        <v>692</v>
      </c>
      <c r="P79" s="7" t="s">
        <v>98</v>
      </c>
      <c r="Q79" s="33">
        <v>3470</v>
      </c>
      <c r="R79" s="11">
        <v>44735</v>
      </c>
      <c r="S79" s="11">
        <v>45401</v>
      </c>
      <c r="T79" s="11">
        <v>45406</v>
      </c>
      <c r="U79" s="12" t="s">
        <v>693</v>
      </c>
      <c r="V79" s="11">
        <f>IFERROR(T79+AD79, "-")</f>
        <v>46196.83309</v>
      </c>
      <c r="W79" s="7">
        <v>26</v>
      </c>
      <c r="X79" s="13">
        <v>30000</v>
      </c>
      <c r="Y79" s="9" t="s">
        <v>694</v>
      </c>
      <c r="Z79" s="9" t="s">
        <v>695</v>
      </c>
      <c r="AA79" s="9"/>
      <c r="AB79" s="9" t="s">
        <v>696</v>
      </c>
      <c r="AC79" s="11">
        <v>45437</v>
      </c>
      <c r="AD79" s="7">
        <f>365*U79</f>
        <v>790.83309000000008</v>
      </c>
      <c r="AE79" s="7">
        <f ca="1">V79-TODAY()</f>
        <v>-55.166909999999916</v>
      </c>
      <c r="AF79" s="7" t="e">
        <f>VLOOKUP($C79,#REF!, 4, FALSE)</f>
        <v>#REF!</v>
      </c>
      <c r="AG79" s="9">
        <v>112227883</v>
      </c>
      <c r="AH79" s="9">
        <f>AG79*4%</f>
        <v>4489115.32</v>
      </c>
      <c r="AI79" s="9">
        <f>AG79-AH79</f>
        <v>107738767.68000001</v>
      </c>
      <c r="AJ79" s="9">
        <v>303000</v>
      </c>
      <c r="AK79" s="9">
        <v>2000</v>
      </c>
      <c r="AL79" s="9">
        <v>4081010</v>
      </c>
      <c r="AM79" s="9">
        <v>575914</v>
      </c>
      <c r="AN79" s="9">
        <v>5000</v>
      </c>
      <c r="AO79" s="9">
        <v>21500</v>
      </c>
      <c r="AP79" s="9">
        <v>100000</v>
      </c>
      <c r="AQ79" s="9">
        <v>2315000</v>
      </c>
      <c r="AR79" s="9">
        <v>330000</v>
      </c>
      <c r="AS79" s="9" t="s">
        <v>697</v>
      </c>
      <c r="AT79" s="9">
        <v>420000</v>
      </c>
      <c r="AU79" s="9" t="s">
        <v>698</v>
      </c>
      <c r="AV79" s="43">
        <v>4800000</v>
      </c>
      <c r="AW79" s="19">
        <f>SUM(AJ79,AK79,AN79,AO79,AP79, AR79,AT79+AL79+AM79)</f>
        <v>5838424</v>
      </c>
      <c r="AX79" s="7" t="s">
        <v>196</v>
      </c>
      <c r="AY79" s="53">
        <v>44735</v>
      </c>
      <c r="AZ79" s="9">
        <f>4479070-3128010</f>
        <v>1351060</v>
      </c>
      <c r="BA79" s="9"/>
      <c r="BB79" s="9" t="s">
        <v>699</v>
      </c>
      <c r="BC79" s="9"/>
      <c r="BD79" s="9"/>
      <c r="BE79" s="9" t="s">
        <v>93</v>
      </c>
      <c r="BF79" s="9" t="s">
        <v>94</v>
      </c>
      <c r="BG79" s="9" t="s">
        <v>95</v>
      </c>
      <c r="BH79" s="9" t="s">
        <v>96</v>
      </c>
      <c r="BI79" s="9" t="s">
        <v>97</v>
      </c>
      <c r="BJ79" s="9" t="s">
        <v>127</v>
      </c>
      <c r="BK79" s="39" t="s">
        <v>130</v>
      </c>
      <c r="BL79" s="9" t="s">
        <v>99</v>
      </c>
      <c r="BM79" s="9" t="s">
        <v>148</v>
      </c>
      <c r="BN79" s="9" t="s">
        <v>148</v>
      </c>
      <c r="BO79" s="9" t="s">
        <v>148</v>
      </c>
      <c r="BP79" s="9" t="s">
        <v>101</v>
      </c>
      <c r="BQ79" s="9" t="s">
        <v>700</v>
      </c>
      <c r="BR79" s="7"/>
      <c r="BS79" s="9">
        <f>IF(Q79&lt;=1600,Q79*18,IF(Q79&lt;=2500,Q79*19,IF(Q79&gt;2500,Q79*24,20000)))</f>
        <v>83280</v>
      </c>
      <c r="BT79" s="7" t="s">
        <v>140</v>
      </c>
      <c r="BU79" s="22"/>
      <c r="BV79" s="9"/>
      <c r="BW79" s="14"/>
      <c r="BX79" s="9"/>
      <c r="BY79" s="9"/>
      <c r="BZ79" s="9"/>
      <c r="CA79" s="27">
        <v>0</v>
      </c>
      <c r="CB79" s="1"/>
      <c r="CC79" s="15" t="s">
        <v>154</v>
      </c>
      <c r="CD79" s="15" t="s">
        <v>154</v>
      </c>
      <c r="CE79" s="9">
        <v>2170000</v>
      </c>
      <c r="CF79" s="9">
        <f>U79*12</f>
        <v>25.999992000000002</v>
      </c>
      <c r="CG79" s="9">
        <f>CF79*CE79</f>
        <v>56419982.640000008</v>
      </c>
      <c r="CH79" s="9">
        <v>0</v>
      </c>
      <c r="CI79" s="9">
        <v>0</v>
      </c>
      <c r="CJ79" s="43" t="s">
        <v>248</v>
      </c>
      <c r="CK79" s="51">
        <v>0</v>
      </c>
      <c r="CL79" s="48">
        <v>0.06</v>
      </c>
      <c r="CM79" s="16" t="s">
        <v>701</v>
      </c>
      <c r="CN79" s="9"/>
      <c r="CO79" s="9"/>
      <c r="CP79" s="27">
        <v>0.03</v>
      </c>
      <c r="CQ79" s="38"/>
      <c r="CR79" s="24">
        <v>0</v>
      </c>
      <c r="CS79" s="24">
        <v>0</v>
      </c>
      <c r="CT79" s="24">
        <v>0</v>
      </c>
      <c r="CU79" s="24">
        <v>0</v>
      </c>
      <c r="CV79" s="24">
        <v>0</v>
      </c>
      <c r="CW79" s="24">
        <v>0</v>
      </c>
      <c r="CX79" s="24">
        <v>0</v>
      </c>
      <c r="CY79" s="24">
        <v>0</v>
      </c>
      <c r="CZ79" s="24">
        <v>0</v>
      </c>
      <c r="DA79" s="24">
        <v>0</v>
      </c>
      <c r="DB79" s="24">
        <v>0</v>
      </c>
      <c r="DC79" s="24" t="str">
        <f>IF(DD79="정수원 실장","기아", IF(DD79="박현식 부장", "현대", IF(DD79="김성진 팀장", "한성", IF(DD79="전석영 부장", "한성", IF(DD79= "박봉호 부장", "모토원",IF(DD79="정원철 부장", "한성"))))))</f>
        <v>현대</v>
      </c>
      <c r="DD79" s="24" t="s">
        <v>129</v>
      </c>
      <c r="DE79" s="24" t="str">
        <f>IF(DD79="정수원 실장","렌트베네핏", IF(DD79="박현식 부장", "렌트베네핏", IF(DD79="김성진 팀장", "청담", IF(DD79="전석영 부장", "방배", IF(DD79= "박봉호 부장", "일산",IF(DD124="정원철 부장", "청담"))))))</f>
        <v>렌트베네핏</v>
      </c>
      <c r="DF79" s="24"/>
      <c r="DG79" s="24" t="s">
        <v>702</v>
      </c>
      <c r="DH79" s="24" t="s">
        <v>703</v>
      </c>
      <c r="DI79" s="24" t="s">
        <v>704</v>
      </c>
      <c r="DJ79" s="24" t="s">
        <v>705</v>
      </c>
      <c r="DK79" s="38">
        <v>0.3</v>
      </c>
      <c r="DL79" s="76">
        <v>0.2</v>
      </c>
      <c r="DM79" s="24"/>
      <c r="DN79" s="46"/>
      <c r="DO79" s="24"/>
      <c r="DP79" s="24"/>
      <c r="DQ79" s="38"/>
    </row>
    <row r="80" spans="2:121">
      <c r="B80" s="7">
        <v>75</v>
      </c>
      <c r="C80" s="7" t="s">
        <v>688</v>
      </c>
      <c r="D80" s="36" t="s">
        <v>178</v>
      </c>
      <c r="E80" s="7" t="s">
        <v>177</v>
      </c>
      <c r="F80" s="7" t="s">
        <v>178</v>
      </c>
      <c r="G80" s="7" t="s">
        <v>179</v>
      </c>
      <c r="H80" s="7" t="s">
        <v>122</v>
      </c>
      <c r="I80" s="7" t="s">
        <v>123</v>
      </c>
      <c r="J80" s="9">
        <v>119200000</v>
      </c>
      <c r="K80" s="7">
        <v>2022</v>
      </c>
      <c r="L80" s="6" t="s">
        <v>124</v>
      </c>
      <c r="M80" s="6" t="s">
        <v>90</v>
      </c>
      <c r="N80" s="7" t="s">
        <v>691</v>
      </c>
      <c r="O80" s="7" t="s">
        <v>692</v>
      </c>
      <c r="P80" s="7" t="s">
        <v>98</v>
      </c>
      <c r="Q80" s="33">
        <v>3470</v>
      </c>
      <c r="R80" s="11">
        <v>44735</v>
      </c>
      <c r="S80" s="11">
        <v>45401</v>
      </c>
      <c r="T80" s="11">
        <v>45406</v>
      </c>
      <c r="U80" s="12" t="s">
        <v>91</v>
      </c>
      <c r="V80" s="11">
        <f>IFERROR(T80+AD80, "-")</f>
        <v>47231</v>
      </c>
      <c r="W80" s="7">
        <f ca="1">IFERROR(DATEDIF(TODAY(), V80, "m"), "-")</f>
        <v>32</v>
      </c>
      <c r="X80" s="13">
        <v>30000</v>
      </c>
      <c r="Y80" s="9" t="s">
        <v>694</v>
      </c>
      <c r="Z80" s="9" t="s">
        <v>695</v>
      </c>
      <c r="AA80" s="9"/>
      <c r="AB80" s="9" t="s">
        <v>696</v>
      </c>
      <c r="AC80" s="11">
        <v>45437</v>
      </c>
      <c r="AD80" s="7">
        <f>365*U80</f>
        <v>1825</v>
      </c>
      <c r="AE80" s="7">
        <f ca="1">V80-TODAY()</f>
        <v>979</v>
      </c>
      <c r="AF80" s="7" t="e">
        <f>VLOOKUP($C80,#REF!, 4, FALSE)</f>
        <v>#REF!</v>
      </c>
      <c r="AG80" s="9">
        <v>112227883</v>
      </c>
      <c r="AH80" s="9">
        <f>AG80*4%</f>
        <v>4489115.32</v>
      </c>
      <c r="AI80" s="9">
        <f>AG80-AH80</f>
        <v>107738767.68000001</v>
      </c>
      <c r="AJ80" s="9">
        <v>303000</v>
      </c>
      <c r="AK80" s="9">
        <v>2000</v>
      </c>
      <c r="AL80" s="9">
        <v>4081010</v>
      </c>
      <c r="AM80" s="9">
        <v>575914</v>
      </c>
      <c r="AN80" s="9">
        <v>5000</v>
      </c>
      <c r="AO80" s="9">
        <v>21500</v>
      </c>
      <c r="AP80" s="9">
        <v>100000</v>
      </c>
      <c r="AQ80" s="9">
        <v>2315000</v>
      </c>
      <c r="AR80" s="9">
        <v>330000</v>
      </c>
      <c r="AS80" s="9" t="s">
        <v>697</v>
      </c>
      <c r="AT80" s="9">
        <v>420000</v>
      </c>
      <c r="AU80" s="9" t="s">
        <v>698</v>
      </c>
      <c r="AV80" s="43">
        <v>4800000</v>
      </c>
      <c r="AW80" s="19">
        <f>SUM(AJ80,AK80,AN80,AO80,AP80, AR80,AT80+AL80+AM80)</f>
        <v>5838424</v>
      </c>
      <c r="AX80" s="7" t="s">
        <v>196</v>
      </c>
      <c r="AY80" s="53">
        <v>44735</v>
      </c>
      <c r="AZ80" s="9">
        <f>4479070-3128010</f>
        <v>1351060</v>
      </c>
      <c r="BA80" s="9"/>
      <c r="BB80" s="9" t="s">
        <v>699</v>
      </c>
      <c r="BC80" s="9"/>
      <c r="BD80" s="9"/>
      <c r="BE80" s="9" t="s">
        <v>93</v>
      </c>
      <c r="BF80" s="9" t="s">
        <v>94</v>
      </c>
      <c r="BG80" s="9" t="s">
        <v>95</v>
      </c>
      <c r="BH80" s="9" t="s">
        <v>96</v>
      </c>
      <c r="BI80" s="9" t="s">
        <v>97</v>
      </c>
      <c r="BJ80" s="9" t="s">
        <v>127</v>
      </c>
      <c r="BK80" s="39" t="s">
        <v>130</v>
      </c>
      <c r="BL80" s="9" t="s">
        <v>99</v>
      </c>
      <c r="BM80" s="9" t="s">
        <v>148</v>
      </c>
      <c r="BN80" s="9" t="s">
        <v>148</v>
      </c>
      <c r="BO80" s="9" t="s">
        <v>148</v>
      </c>
      <c r="BP80" s="9" t="s">
        <v>101</v>
      </c>
      <c r="BQ80" s="9" t="s">
        <v>700</v>
      </c>
      <c r="BR80" s="7"/>
      <c r="BS80" s="9">
        <f>IF(Q80&lt;=1600,Q80*18,IF(Q80&lt;=2500,Q80*19,IF(Q80&gt;2500,Q80*24,20000)))</f>
        <v>83280</v>
      </c>
      <c r="BT80" s="7" t="s">
        <v>140</v>
      </c>
      <c r="BU80" s="22"/>
      <c r="BV80" s="9"/>
      <c r="BW80" s="14"/>
      <c r="BX80" s="9"/>
      <c r="BY80" s="9"/>
      <c r="BZ80" s="9"/>
      <c r="CA80" s="27">
        <v>0</v>
      </c>
      <c r="CB80" s="1"/>
      <c r="CC80" s="15" t="s">
        <v>154</v>
      </c>
      <c r="CD80" s="15" t="s">
        <v>154</v>
      </c>
      <c r="CE80" s="9">
        <v>2170000</v>
      </c>
      <c r="CF80" s="9">
        <f>U80*12</f>
        <v>60</v>
      </c>
      <c r="CG80" s="9">
        <f>CF80*CE80</f>
        <v>130200000</v>
      </c>
      <c r="CH80" s="9">
        <v>0</v>
      </c>
      <c r="CI80" s="9">
        <v>0</v>
      </c>
      <c r="CJ80" s="43" t="s">
        <v>248</v>
      </c>
      <c r="CK80" s="51">
        <v>0</v>
      </c>
      <c r="CL80" s="48">
        <v>0.06</v>
      </c>
      <c r="CM80" s="16" t="s">
        <v>701</v>
      </c>
      <c r="CN80" s="9"/>
      <c r="CO80" s="9"/>
      <c r="CP80" s="27">
        <v>0.03</v>
      </c>
      <c r="CQ80" s="38"/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 t="str">
        <f>IF(DD80="정수원 실장","기아", IF(DD80="박현식 부장", "현대", IF(DD80="김성진 팀장", "한성", IF(DD80="전석영 부장", "한성", IF(DD80= "박봉호 부장", "모토원",IF(DD80="정원철 부장", "한성"))))))</f>
        <v>현대</v>
      </c>
      <c r="DD80" s="24" t="s">
        <v>129</v>
      </c>
      <c r="DE80" s="24" t="str">
        <f>IF(DD80="정수원 실장","렌트베네핏", IF(DD80="박현식 부장", "렌트베네핏", IF(DD80="김성진 팀장", "청담", IF(DD80="전석영 부장", "방배", IF(DD80= "박봉호 부장", "일산",IF(DC123="정원철 부장", "청담"))))))</f>
        <v>렌트베네핏</v>
      </c>
      <c r="DF80" s="24"/>
      <c r="DG80" s="24" t="s">
        <v>702</v>
      </c>
      <c r="DH80" s="24" t="s">
        <v>703</v>
      </c>
      <c r="DI80" s="24" t="s">
        <v>704</v>
      </c>
      <c r="DJ80" s="24" t="s">
        <v>705</v>
      </c>
      <c r="DK80" s="38">
        <v>0.3</v>
      </c>
      <c r="DL80" s="84"/>
      <c r="DM80" s="22"/>
      <c r="DN80" s="22"/>
      <c r="DO80" s="22"/>
      <c r="DP80" s="22"/>
      <c r="DQ80" s="22"/>
    </row>
    <row r="81" spans="2:121">
      <c r="B81" s="7">
        <v>76</v>
      </c>
      <c r="C81" s="7" t="s">
        <v>706</v>
      </c>
      <c r="D81" s="36" t="s">
        <v>103</v>
      </c>
      <c r="E81" s="7" t="s">
        <v>707</v>
      </c>
      <c r="F81" s="7" t="s">
        <v>708</v>
      </c>
      <c r="G81" s="7" t="s">
        <v>709</v>
      </c>
      <c r="H81" s="7" t="s">
        <v>122</v>
      </c>
      <c r="I81" s="7" t="s">
        <v>123</v>
      </c>
      <c r="J81" s="9">
        <v>119200000</v>
      </c>
      <c r="K81" s="7">
        <v>2022</v>
      </c>
      <c r="L81" s="6" t="s">
        <v>124</v>
      </c>
      <c r="M81" s="6" t="s">
        <v>90</v>
      </c>
      <c r="N81" s="7" t="s">
        <v>710</v>
      </c>
      <c r="O81" s="7" t="s">
        <v>711</v>
      </c>
      <c r="P81" s="7" t="s">
        <v>98</v>
      </c>
      <c r="Q81" s="33">
        <v>3470</v>
      </c>
      <c r="R81" s="11">
        <v>44735</v>
      </c>
      <c r="S81" s="11">
        <v>44735</v>
      </c>
      <c r="T81" s="11">
        <v>44736</v>
      </c>
      <c r="U81" s="12" t="s">
        <v>496</v>
      </c>
      <c r="V81" s="11">
        <f>IFERROR(T81+AD81, "-")</f>
        <v>46196</v>
      </c>
      <c r="W81" s="7" t="str">
        <f ca="1">IFERROR(DATEDIF(TODAY(), V81, "m"), "-")</f>
        <v>-</v>
      </c>
      <c r="X81" s="13">
        <v>30000</v>
      </c>
      <c r="Y81" s="7" t="s">
        <v>708</v>
      </c>
      <c r="Z81" s="7" t="s">
        <v>709</v>
      </c>
      <c r="AA81" s="9"/>
      <c r="AB81" s="9" t="s">
        <v>712</v>
      </c>
      <c r="AC81" s="11">
        <v>44767</v>
      </c>
      <c r="AD81" s="7">
        <f>365*U81</f>
        <v>1460</v>
      </c>
      <c r="AE81" s="7">
        <f ca="1">V81-TODAY()</f>
        <v>-56</v>
      </c>
      <c r="AF81" s="7" t="e">
        <f>VLOOKUP($C81,#REF!, 4, FALSE)</f>
        <v>#REF!</v>
      </c>
      <c r="AG81" s="9">
        <v>112227883</v>
      </c>
      <c r="AH81" s="9">
        <f>AG81*4%</f>
        <v>4489115.32</v>
      </c>
      <c r="AI81" s="9">
        <f>AG81-AH81</f>
        <v>107738767.68000001</v>
      </c>
      <c r="AJ81" s="9">
        <v>303000</v>
      </c>
      <c r="AK81" s="9">
        <v>2000</v>
      </c>
      <c r="AL81" s="9">
        <v>4081010</v>
      </c>
      <c r="AM81" s="9">
        <v>575914</v>
      </c>
      <c r="AN81" s="9">
        <v>5000</v>
      </c>
      <c r="AO81" s="9">
        <v>21500</v>
      </c>
      <c r="AP81" s="9">
        <v>100000</v>
      </c>
      <c r="AQ81" s="9">
        <v>2315000</v>
      </c>
      <c r="AR81" s="9">
        <v>330000</v>
      </c>
      <c r="AS81" s="9" t="s">
        <v>697</v>
      </c>
      <c r="AT81" s="9">
        <v>420000</v>
      </c>
      <c r="AU81" s="9" t="s">
        <v>698</v>
      </c>
      <c r="AV81" s="43">
        <v>4800000</v>
      </c>
      <c r="AW81" s="19">
        <f>SUM(AJ81,AK81,AN81,AO81,AP81, AR81,AT81+AL81+AM81)</f>
        <v>5838424</v>
      </c>
      <c r="AX81" s="7" t="s">
        <v>196</v>
      </c>
      <c r="AY81" s="53">
        <v>44735</v>
      </c>
      <c r="AZ81" s="9">
        <f>4440730-3156840</f>
        <v>1283890</v>
      </c>
      <c r="BA81" s="9"/>
      <c r="BB81" s="9"/>
      <c r="BC81" s="9"/>
      <c r="BD81" s="9"/>
      <c r="BE81" s="9" t="s">
        <v>93</v>
      </c>
      <c r="BF81" s="9" t="s">
        <v>94</v>
      </c>
      <c r="BG81" s="9" t="s">
        <v>95</v>
      </c>
      <c r="BH81" s="9" t="s">
        <v>96</v>
      </c>
      <c r="BI81" s="9" t="s">
        <v>97</v>
      </c>
      <c r="BJ81" s="9" t="s">
        <v>127</v>
      </c>
      <c r="BK81" s="7" t="s">
        <v>130</v>
      </c>
      <c r="BL81" s="9" t="s">
        <v>99</v>
      </c>
      <c r="BM81" s="9" t="s">
        <v>148</v>
      </c>
      <c r="BN81" s="9" t="s">
        <v>148</v>
      </c>
      <c r="BO81" s="9" t="s">
        <v>148</v>
      </c>
      <c r="BP81" s="9" t="s">
        <v>713</v>
      </c>
      <c r="BQ81" s="9" t="s">
        <v>700</v>
      </c>
      <c r="BR81" s="7"/>
      <c r="BS81" s="9">
        <f>IF(Q81&lt;=1600,Q81*18,IF(Q81&lt;=2500,Q81*19,IF(Q81&gt;2500,Q81*24,20000)))</f>
        <v>83280</v>
      </c>
      <c r="BT81" s="7" t="s">
        <v>140</v>
      </c>
      <c r="BU81" s="22"/>
      <c r="BV81" s="9"/>
      <c r="BW81" s="14"/>
      <c r="BX81" s="9"/>
      <c r="BY81" s="9"/>
      <c r="BZ81" s="9"/>
      <c r="CA81" s="27">
        <v>0</v>
      </c>
      <c r="CB81" s="1"/>
      <c r="CC81" s="15" t="s">
        <v>154</v>
      </c>
      <c r="CD81" s="15" t="s">
        <v>154</v>
      </c>
      <c r="CE81" s="9">
        <v>2707000</v>
      </c>
      <c r="CF81" s="9">
        <f>U81*12</f>
        <v>48</v>
      </c>
      <c r="CG81" s="9">
        <f>CF81*CE81</f>
        <v>129936000</v>
      </c>
      <c r="CH81" s="9">
        <v>35760000</v>
      </c>
      <c r="CI81" s="9">
        <v>0</v>
      </c>
      <c r="CJ81" s="9">
        <v>35760000</v>
      </c>
      <c r="CK81" s="51">
        <v>9.8799999999999999E-2</v>
      </c>
      <c r="CL81" s="48">
        <v>0.06</v>
      </c>
      <c r="CM81" s="16" t="s">
        <v>714</v>
      </c>
      <c r="CN81" s="9"/>
      <c r="CO81" s="9"/>
      <c r="CP81" s="27">
        <v>0.03</v>
      </c>
      <c r="CQ81" s="38"/>
      <c r="CR81" s="24">
        <v>0</v>
      </c>
      <c r="CS81" s="24">
        <v>0</v>
      </c>
      <c r="CT81" s="24">
        <v>0</v>
      </c>
      <c r="CU81" s="24">
        <v>0</v>
      </c>
      <c r="CV81" s="24">
        <v>0</v>
      </c>
      <c r="CW81" s="24">
        <v>0</v>
      </c>
      <c r="CX81" s="24">
        <v>0</v>
      </c>
      <c r="CY81" s="24">
        <v>0</v>
      </c>
      <c r="CZ81" s="24">
        <v>0</v>
      </c>
      <c r="DA81" s="24">
        <v>0</v>
      </c>
      <c r="DB81" s="24">
        <v>0</v>
      </c>
      <c r="DC81" s="24" t="s">
        <v>128</v>
      </c>
      <c r="DD81" s="24" t="s">
        <v>129</v>
      </c>
      <c r="DE81" s="24" t="s">
        <v>113</v>
      </c>
      <c r="DF81" s="24"/>
      <c r="DG81" s="24"/>
      <c r="DH81" s="24"/>
      <c r="DI81" s="24" t="s">
        <v>715</v>
      </c>
      <c r="DJ81" s="9" t="s">
        <v>712</v>
      </c>
      <c r="DK81" s="38">
        <v>0.3</v>
      </c>
      <c r="DL81" s="76">
        <v>0.2</v>
      </c>
      <c r="DM81" s="24"/>
      <c r="DN81" s="46"/>
      <c r="DO81" s="24"/>
      <c r="DP81" s="24"/>
      <c r="DQ81" s="38"/>
    </row>
    <row r="82" spans="2:121">
      <c r="B82" s="7">
        <v>77</v>
      </c>
      <c r="C82" s="7" t="s">
        <v>716</v>
      </c>
      <c r="D82" s="36" t="s">
        <v>1585</v>
      </c>
      <c r="E82" s="7" t="s">
        <v>1376</v>
      </c>
      <c r="F82" s="7" t="s">
        <v>1377</v>
      </c>
      <c r="G82" s="7" t="s">
        <v>1751</v>
      </c>
      <c r="H82" s="7" t="s">
        <v>132</v>
      </c>
      <c r="I82" s="7" t="s">
        <v>133</v>
      </c>
      <c r="J82" s="9">
        <v>13150000</v>
      </c>
      <c r="K82" s="7">
        <v>2022</v>
      </c>
      <c r="L82" s="6" t="s">
        <v>134</v>
      </c>
      <c r="M82" s="6" t="s">
        <v>90</v>
      </c>
      <c r="N82" s="7" t="s">
        <v>717</v>
      </c>
      <c r="O82" s="7" t="s">
        <v>718</v>
      </c>
      <c r="P82" s="7" t="s">
        <v>98</v>
      </c>
      <c r="Q82" s="33">
        <v>998</v>
      </c>
      <c r="R82" s="11">
        <v>44735</v>
      </c>
      <c r="S82" s="11">
        <v>44666</v>
      </c>
      <c r="T82" s="11">
        <v>44740</v>
      </c>
      <c r="U82" s="12" t="s">
        <v>91</v>
      </c>
      <c r="V82" s="11">
        <f>IFERROR(T82+AD82, "-")</f>
        <v>46565</v>
      </c>
      <c r="W82" s="7">
        <f ca="1">IFERROR(DATEDIF(TODAY(), V82, "m"), "-")</f>
        <v>10</v>
      </c>
      <c r="X82" s="13">
        <v>20000</v>
      </c>
      <c r="Y82" s="7" t="s">
        <v>261</v>
      </c>
      <c r="Z82" s="7" t="s">
        <v>262</v>
      </c>
      <c r="AA82" s="9" t="s">
        <v>719</v>
      </c>
      <c r="AB82" s="9" t="s">
        <v>274</v>
      </c>
      <c r="AC82" s="11">
        <v>44747</v>
      </c>
      <c r="AD82" s="7">
        <f>365*U82</f>
        <v>1825</v>
      </c>
      <c r="AE82" s="7">
        <f ca="1">V82-TODAY()</f>
        <v>313</v>
      </c>
      <c r="AF82" s="7" t="e">
        <f>VLOOKUP($C82,#REF!, 4, FALSE)</f>
        <v>#REF!</v>
      </c>
      <c r="AG82" s="9">
        <v>13118375</v>
      </c>
      <c r="AH82" s="9">
        <v>0</v>
      </c>
      <c r="AI82" s="9">
        <f>AG82-AH82</f>
        <v>13118375</v>
      </c>
      <c r="AJ82" s="9"/>
      <c r="AK82" s="9">
        <v>2000</v>
      </c>
      <c r="AL82" s="9">
        <f>AI82/1.1*0.04</f>
        <v>477031.81818181812</v>
      </c>
      <c r="AM82" s="9">
        <v>0</v>
      </c>
      <c r="AN82" s="9">
        <v>2000</v>
      </c>
      <c r="AO82" s="9">
        <v>27000</v>
      </c>
      <c r="AP82" s="9">
        <v>30000</v>
      </c>
      <c r="AQ82" s="9">
        <v>430000</v>
      </c>
      <c r="AR82" s="9">
        <v>0</v>
      </c>
      <c r="AS82" s="9" t="s">
        <v>195</v>
      </c>
      <c r="AT82" s="9">
        <v>0</v>
      </c>
      <c r="AU82" s="9" t="s">
        <v>135</v>
      </c>
      <c r="AV82" s="9">
        <f>477028</f>
        <v>477028</v>
      </c>
      <c r="AW82" s="19">
        <f>SUM(AJ82,AK82,AN82,AO82,AP82, AR82,AT82+AL82+AM82)</f>
        <v>538031.81818181812</v>
      </c>
      <c r="AX82" s="7" t="s">
        <v>196</v>
      </c>
      <c r="AY82" s="53">
        <v>44735</v>
      </c>
      <c r="AZ82" s="9">
        <v>1182390</v>
      </c>
      <c r="BA82" s="9"/>
      <c r="BB82" s="9"/>
      <c r="BC82" s="9"/>
      <c r="BD82" s="9"/>
      <c r="BE82" s="9" t="s">
        <v>93</v>
      </c>
      <c r="BF82" s="9" t="s">
        <v>94</v>
      </c>
      <c r="BG82" s="9" t="s">
        <v>117</v>
      </c>
      <c r="BH82" s="9" t="s">
        <v>118</v>
      </c>
      <c r="BI82" s="9" t="s">
        <v>97</v>
      </c>
      <c r="BJ82" s="9" t="s">
        <v>119</v>
      </c>
      <c r="BK82" s="7" t="s">
        <v>130</v>
      </c>
      <c r="BL82" s="9" t="s">
        <v>99</v>
      </c>
      <c r="BM82" s="9" t="s">
        <v>148</v>
      </c>
      <c r="BN82" s="9" t="s">
        <v>100</v>
      </c>
      <c r="BO82" s="9" t="s">
        <v>101</v>
      </c>
      <c r="BP82" s="9" t="s">
        <v>101</v>
      </c>
      <c r="BQ82" s="9" t="s">
        <v>522</v>
      </c>
      <c r="BR82" s="7"/>
      <c r="BS82" s="9">
        <f>IF(Q82&lt;=1600,Q82*18,IF(Q82&lt;=2500,Q82*19,IF(Q82&gt;2500,Q82*24,20000)))</f>
        <v>17964</v>
      </c>
      <c r="BT82" s="7" t="s">
        <v>140</v>
      </c>
      <c r="BU82" s="22"/>
      <c r="BV82" s="9"/>
      <c r="BW82" s="14"/>
      <c r="BX82" s="9"/>
      <c r="BY82" s="9"/>
      <c r="BZ82" s="9"/>
      <c r="CA82" s="27">
        <v>0</v>
      </c>
      <c r="CB82" s="87"/>
      <c r="CC82" s="15" t="s">
        <v>91</v>
      </c>
      <c r="CD82" s="15" t="s">
        <v>91</v>
      </c>
      <c r="CE82" s="9">
        <v>340700</v>
      </c>
      <c r="CF82" s="9">
        <f>U82*12</f>
        <v>60</v>
      </c>
      <c r="CG82" s="9">
        <f>CF82*CE82</f>
        <v>20442000</v>
      </c>
      <c r="CH82" s="9"/>
      <c r="CI82" s="9"/>
      <c r="CJ82" s="9">
        <v>2506900</v>
      </c>
      <c r="CK82" s="51">
        <v>0.01</v>
      </c>
      <c r="CL82" s="48">
        <v>0.04</v>
      </c>
      <c r="CM82" s="16" t="s">
        <v>268</v>
      </c>
      <c r="CN82" s="9"/>
      <c r="CO82" s="9"/>
      <c r="CP82" s="27">
        <v>0.03</v>
      </c>
      <c r="CQ82" s="38"/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 t="str">
        <f>IF(DD82="정수원 실장","기아", IF(DD82="박현식 부장", "현대", IF(DD82="김성진 팀장", "한성", IF(DD82="전석영 부장", "한성", IF(DD82= "박봉호 부장", "모토원",IF(DD82="정원철 부장", "한성"))))))</f>
        <v>기아</v>
      </c>
      <c r="DD82" s="24" t="s">
        <v>121</v>
      </c>
      <c r="DE82" s="24" t="str">
        <f>IF(DD82="정수원 실장","렌트베네핏", IF(DD82="박현식 부장", "렌트베네핏", IF(DD82="김성진 팀장", "청담", IF(DD82="전석영 부장", "방배", IF(DD82= "박봉호 부장", "일산",IF(DD127="정원철 부장", "청담"))))))</f>
        <v>렌트베네핏</v>
      </c>
      <c r="DF82" s="24"/>
      <c r="DG82" s="24"/>
      <c r="DH82" s="24"/>
      <c r="DI82" s="24" t="s">
        <v>269</v>
      </c>
      <c r="DJ82" s="22" t="s">
        <v>1610</v>
      </c>
      <c r="DK82" s="38">
        <v>0.3</v>
      </c>
      <c r="DL82" s="76">
        <v>0.2</v>
      </c>
      <c r="DM82" s="24"/>
      <c r="DN82" s="46"/>
      <c r="DO82" s="24"/>
      <c r="DP82" s="24"/>
      <c r="DQ82" s="38"/>
    </row>
    <row r="83" spans="2:121">
      <c r="B83" s="7">
        <v>78</v>
      </c>
      <c r="C83" s="7" t="s">
        <v>720</v>
      </c>
      <c r="D83" s="36" t="s">
        <v>1585</v>
      </c>
      <c r="E83" s="7" t="s">
        <v>1376</v>
      </c>
      <c r="F83" s="7" t="s">
        <v>1377</v>
      </c>
      <c r="G83" s="7" t="s">
        <v>1751</v>
      </c>
      <c r="H83" s="7" t="s">
        <v>132</v>
      </c>
      <c r="I83" s="7" t="s">
        <v>133</v>
      </c>
      <c r="J83" s="9">
        <v>13150000</v>
      </c>
      <c r="K83" s="7">
        <v>2022</v>
      </c>
      <c r="L83" s="6" t="s">
        <v>134</v>
      </c>
      <c r="M83" s="6" t="s">
        <v>90</v>
      </c>
      <c r="N83" s="7" t="s">
        <v>721</v>
      </c>
      <c r="O83" s="7" t="s">
        <v>722</v>
      </c>
      <c r="P83" s="7" t="s">
        <v>98</v>
      </c>
      <c r="Q83" s="33">
        <v>998</v>
      </c>
      <c r="R83" s="11">
        <v>44735</v>
      </c>
      <c r="S83" s="11">
        <v>44666</v>
      </c>
      <c r="T83" s="11">
        <v>44740</v>
      </c>
      <c r="U83" s="12" t="s">
        <v>91</v>
      </c>
      <c r="V83" s="11">
        <f>IFERROR(T83+AD83, "-")</f>
        <v>46565</v>
      </c>
      <c r="W83" s="7">
        <f ca="1">IFERROR(DATEDIF(TODAY(), V83, "m"), "-")</f>
        <v>10</v>
      </c>
      <c r="X83" s="13">
        <v>20000</v>
      </c>
      <c r="Y83" s="7" t="s">
        <v>261</v>
      </c>
      <c r="Z83" s="7" t="s">
        <v>262</v>
      </c>
      <c r="AA83" s="9" t="s">
        <v>723</v>
      </c>
      <c r="AB83" s="9" t="s">
        <v>591</v>
      </c>
      <c r="AC83" s="11">
        <v>44747</v>
      </c>
      <c r="AD83" s="7">
        <f>365*U83</f>
        <v>1825</v>
      </c>
      <c r="AE83" s="7">
        <f ca="1">V83-TODAY()</f>
        <v>313</v>
      </c>
      <c r="AF83" s="7" t="e">
        <f>VLOOKUP($C83,#REF!, 4, FALSE)</f>
        <v>#REF!</v>
      </c>
      <c r="AG83" s="9">
        <v>13118375</v>
      </c>
      <c r="AH83" s="9">
        <v>0</v>
      </c>
      <c r="AI83" s="9">
        <f>AG83-AH83</f>
        <v>13118375</v>
      </c>
      <c r="AJ83" s="9"/>
      <c r="AK83" s="9">
        <v>2000</v>
      </c>
      <c r="AL83" s="9">
        <f>AI83/1.1*0.04</f>
        <v>477031.81818181812</v>
      </c>
      <c r="AM83" s="9">
        <v>0</v>
      </c>
      <c r="AN83" s="9">
        <v>2000</v>
      </c>
      <c r="AO83" s="9">
        <v>27000</v>
      </c>
      <c r="AP83" s="9">
        <v>30000</v>
      </c>
      <c r="AQ83" s="9">
        <v>430000</v>
      </c>
      <c r="AR83" s="9">
        <v>0</v>
      </c>
      <c r="AS83" s="9" t="s">
        <v>195</v>
      </c>
      <c r="AT83" s="9">
        <v>0</v>
      </c>
      <c r="AU83" s="9" t="s">
        <v>135</v>
      </c>
      <c r="AV83" s="9">
        <f>477028</f>
        <v>477028</v>
      </c>
      <c r="AW83" s="19">
        <f>SUM(AJ83,AK83,AN83,AO83,AP83, AR83,AT83+AL83+AM83)</f>
        <v>538031.81818181812</v>
      </c>
      <c r="AX83" s="7" t="s">
        <v>196</v>
      </c>
      <c r="AY83" s="53">
        <v>44735</v>
      </c>
      <c r="AZ83" s="9">
        <v>1182390</v>
      </c>
      <c r="BA83" s="9"/>
      <c r="BB83" s="9"/>
      <c r="BC83" s="9"/>
      <c r="BD83" s="9"/>
      <c r="BE83" s="9" t="s">
        <v>93</v>
      </c>
      <c r="BF83" s="9" t="s">
        <v>94</v>
      </c>
      <c r="BG83" s="9" t="s">
        <v>117</v>
      </c>
      <c r="BH83" s="9" t="s">
        <v>118</v>
      </c>
      <c r="BI83" s="9" t="s">
        <v>97</v>
      </c>
      <c r="BJ83" s="9" t="s">
        <v>119</v>
      </c>
      <c r="BK83" s="7" t="s">
        <v>130</v>
      </c>
      <c r="BL83" s="9" t="s">
        <v>99</v>
      </c>
      <c r="BM83" s="9" t="s">
        <v>148</v>
      </c>
      <c r="BN83" s="9" t="s">
        <v>100</v>
      </c>
      <c r="BO83" s="9" t="s">
        <v>101</v>
      </c>
      <c r="BP83" s="9" t="s">
        <v>101</v>
      </c>
      <c r="BQ83" s="9" t="s">
        <v>522</v>
      </c>
      <c r="BR83" s="7"/>
      <c r="BS83" s="9">
        <f>IF(Q83&lt;=1600,Q83*18,IF(Q83&lt;=2500,Q83*19,IF(Q83&gt;2500,Q83*24,20000)))</f>
        <v>17964</v>
      </c>
      <c r="BT83" s="7" t="s">
        <v>140</v>
      </c>
      <c r="BU83" s="22"/>
      <c r="BV83" s="9"/>
      <c r="BW83" s="14"/>
      <c r="BX83" s="9"/>
      <c r="BY83" s="9"/>
      <c r="BZ83" s="9"/>
      <c r="CA83" s="27">
        <v>0</v>
      </c>
      <c r="CB83" s="87"/>
      <c r="CC83" s="15" t="s">
        <v>91</v>
      </c>
      <c r="CD83" s="15" t="s">
        <v>91</v>
      </c>
      <c r="CE83" s="9">
        <v>340700</v>
      </c>
      <c r="CF83" s="9">
        <f>U83*12</f>
        <v>60</v>
      </c>
      <c r="CG83" s="9">
        <f>CF83*CE83</f>
        <v>20442000</v>
      </c>
      <c r="CH83" s="9"/>
      <c r="CI83" s="9"/>
      <c r="CJ83" s="9">
        <v>2506900</v>
      </c>
      <c r="CK83" s="51">
        <v>0.01</v>
      </c>
      <c r="CL83" s="48">
        <v>0.04</v>
      </c>
      <c r="CM83" s="16" t="s">
        <v>268</v>
      </c>
      <c r="CN83" s="9"/>
      <c r="CO83" s="9"/>
      <c r="CP83" s="27">
        <v>0.03</v>
      </c>
      <c r="CQ83" s="38"/>
      <c r="CR83" s="24">
        <v>0</v>
      </c>
      <c r="CS83" s="24">
        <v>0</v>
      </c>
      <c r="CT83" s="24">
        <v>0</v>
      </c>
      <c r="CU83" s="24">
        <v>0</v>
      </c>
      <c r="CV83" s="24">
        <v>0</v>
      </c>
      <c r="CW83" s="24">
        <v>0</v>
      </c>
      <c r="CX83" s="24">
        <v>0</v>
      </c>
      <c r="CY83" s="24">
        <v>0</v>
      </c>
      <c r="CZ83" s="24">
        <v>0</v>
      </c>
      <c r="DA83" s="24">
        <v>0</v>
      </c>
      <c r="DB83" s="24">
        <v>0</v>
      </c>
      <c r="DC83" s="24" t="str">
        <f>IF(DD83="정수원 실장","기아", IF(DD83="박현식 부장", "현대", IF(DD83="김성진 팀장", "한성", IF(DD83="전석영 부장", "한성", IF(DD83= "박봉호 부장", "모토원",IF(DD83="정원철 부장", "한성"))))))</f>
        <v>기아</v>
      </c>
      <c r="DD83" s="24" t="s">
        <v>121</v>
      </c>
      <c r="DE83" s="24" t="str">
        <f>IF(DD83="정수원 실장","렌트베네핏", IF(DD83="박현식 부장", "렌트베네핏", IF(DD83="김성진 팀장", "청담", IF(DD83="전석영 부장", "방배", IF(DD83= "박봉호 부장", "일산",IF(DD128="정원철 부장", "청담"))))))</f>
        <v>렌트베네핏</v>
      </c>
      <c r="DF83" s="24"/>
      <c r="DG83" s="24"/>
      <c r="DH83" s="24"/>
      <c r="DI83" s="24" t="s">
        <v>269</v>
      </c>
      <c r="DJ83" s="22" t="s">
        <v>1610</v>
      </c>
      <c r="DK83" s="38">
        <v>0.3</v>
      </c>
      <c r="DL83" s="76">
        <v>0.2</v>
      </c>
      <c r="DM83" s="24"/>
      <c r="DN83" s="46"/>
      <c r="DO83" s="24"/>
      <c r="DP83" s="24"/>
      <c r="DQ83" s="38"/>
    </row>
    <row r="84" spans="2:121">
      <c r="B84" s="7">
        <v>79</v>
      </c>
      <c r="C84" s="7" t="s">
        <v>724</v>
      </c>
      <c r="D84" s="36" t="s">
        <v>1585</v>
      </c>
      <c r="E84" s="7" t="s">
        <v>1376</v>
      </c>
      <c r="F84" s="7" t="s">
        <v>1377</v>
      </c>
      <c r="G84" s="7" t="s">
        <v>1751</v>
      </c>
      <c r="H84" s="7" t="s">
        <v>132</v>
      </c>
      <c r="I84" s="7" t="s">
        <v>133</v>
      </c>
      <c r="J84" s="9">
        <v>13150000</v>
      </c>
      <c r="K84" s="7">
        <v>2022</v>
      </c>
      <c r="L84" s="6" t="s">
        <v>134</v>
      </c>
      <c r="M84" s="6" t="s">
        <v>90</v>
      </c>
      <c r="N84" s="7" t="s">
        <v>725</v>
      </c>
      <c r="O84" s="7" t="s">
        <v>726</v>
      </c>
      <c r="P84" s="7" t="s">
        <v>98</v>
      </c>
      <c r="Q84" s="33">
        <v>998</v>
      </c>
      <c r="R84" s="11">
        <v>44735</v>
      </c>
      <c r="S84" s="11">
        <v>44666</v>
      </c>
      <c r="T84" s="11">
        <v>44740</v>
      </c>
      <c r="U84" s="12" t="s">
        <v>91</v>
      </c>
      <c r="V84" s="11">
        <f>IFERROR(T84+AD84, "-")</f>
        <v>46565</v>
      </c>
      <c r="W84" s="7">
        <f ca="1">IFERROR(DATEDIF(TODAY(), V84, "m"), "-")</f>
        <v>10</v>
      </c>
      <c r="X84" s="13">
        <v>20000</v>
      </c>
      <c r="Y84" s="7" t="s">
        <v>261</v>
      </c>
      <c r="Z84" s="7" t="s">
        <v>262</v>
      </c>
      <c r="AA84" s="9" t="s">
        <v>727</v>
      </c>
      <c r="AB84" s="9" t="s">
        <v>728</v>
      </c>
      <c r="AC84" s="11">
        <v>44747</v>
      </c>
      <c r="AD84" s="7">
        <f>365*U84</f>
        <v>1825</v>
      </c>
      <c r="AE84" s="7">
        <f ca="1">V84-TODAY()</f>
        <v>313</v>
      </c>
      <c r="AF84" s="7" t="e">
        <f>VLOOKUP($C84,#REF!, 4, FALSE)</f>
        <v>#REF!</v>
      </c>
      <c r="AG84" s="9">
        <v>13118375</v>
      </c>
      <c r="AH84" s="9">
        <v>0</v>
      </c>
      <c r="AI84" s="9">
        <f>AG84-AH84</f>
        <v>13118375</v>
      </c>
      <c r="AJ84" s="9"/>
      <c r="AK84" s="9">
        <v>2000</v>
      </c>
      <c r="AL84" s="9">
        <f>AI84/1.1*0.04</f>
        <v>477031.81818181812</v>
      </c>
      <c r="AM84" s="9">
        <v>0</v>
      </c>
      <c r="AN84" s="9">
        <v>2000</v>
      </c>
      <c r="AO84" s="9">
        <v>27000</v>
      </c>
      <c r="AP84" s="9">
        <v>30000</v>
      </c>
      <c r="AQ84" s="9">
        <v>430000</v>
      </c>
      <c r="AR84" s="9">
        <v>0</v>
      </c>
      <c r="AS84" s="9" t="s">
        <v>195</v>
      </c>
      <c r="AT84" s="9">
        <v>0</v>
      </c>
      <c r="AU84" s="9" t="s">
        <v>135</v>
      </c>
      <c r="AV84" s="9">
        <f>477028</f>
        <v>477028</v>
      </c>
      <c r="AW84" s="19">
        <f>SUM(AJ84,AK84,AN84,AO84,AP84, AR84,AT84+AL84+AM84)</f>
        <v>538031.81818181812</v>
      </c>
      <c r="AX84" s="7" t="s">
        <v>196</v>
      </c>
      <c r="AY84" s="53">
        <v>44735</v>
      </c>
      <c r="AZ84" s="9">
        <v>1182390</v>
      </c>
      <c r="BA84" s="9"/>
      <c r="BB84" s="9"/>
      <c r="BC84" s="9"/>
      <c r="BD84" s="9"/>
      <c r="BE84" s="9" t="s">
        <v>93</v>
      </c>
      <c r="BF84" s="9" t="s">
        <v>94</v>
      </c>
      <c r="BG84" s="9" t="s">
        <v>117</v>
      </c>
      <c r="BH84" s="9" t="s">
        <v>118</v>
      </c>
      <c r="BI84" s="9" t="s">
        <v>97</v>
      </c>
      <c r="BJ84" s="9" t="s">
        <v>119</v>
      </c>
      <c r="BK84" s="7" t="s">
        <v>130</v>
      </c>
      <c r="BL84" s="9" t="s">
        <v>99</v>
      </c>
      <c r="BM84" s="9" t="s">
        <v>148</v>
      </c>
      <c r="BN84" s="9" t="s">
        <v>100</v>
      </c>
      <c r="BO84" s="9" t="s">
        <v>101</v>
      </c>
      <c r="BP84" s="9" t="s">
        <v>101</v>
      </c>
      <c r="BQ84" s="9" t="s">
        <v>522</v>
      </c>
      <c r="BR84" s="7"/>
      <c r="BS84" s="9">
        <f>IF(Q84&lt;=1600,Q84*18,IF(Q84&lt;=2500,Q84*19,IF(Q84&gt;2500,Q84*24,20000)))</f>
        <v>17964</v>
      </c>
      <c r="BT84" s="7" t="s">
        <v>140</v>
      </c>
      <c r="BU84" s="22"/>
      <c r="BV84" s="9"/>
      <c r="BW84" s="14"/>
      <c r="BX84" s="9"/>
      <c r="BY84" s="9"/>
      <c r="BZ84" s="9"/>
      <c r="CA84" s="27">
        <v>0</v>
      </c>
      <c r="CB84" s="87"/>
      <c r="CC84" s="15" t="s">
        <v>91</v>
      </c>
      <c r="CD84" s="15" t="s">
        <v>91</v>
      </c>
      <c r="CE84" s="9">
        <v>340700</v>
      </c>
      <c r="CF84" s="9">
        <f>U84*12</f>
        <v>60</v>
      </c>
      <c r="CG84" s="9">
        <f>CF84*CE84</f>
        <v>20442000</v>
      </c>
      <c r="CH84" s="9"/>
      <c r="CI84" s="9"/>
      <c r="CJ84" s="9">
        <v>2506900</v>
      </c>
      <c r="CK84" s="51">
        <v>0.01</v>
      </c>
      <c r="CL84" s="48">
        <v>0.04</v>
      </c>
      <c r="CM84" s="16" t="s">
        <v>268</v>
      </c>
      <c r="CN84" s="9"/>
      <c r="CO84" s="9"/>
      <c r="CP84" s="27">
        <v>0.03</v>
      </c>
      <c r="CQ84" s="38"/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 t="str">
        <f>IF(DD84="정수원 실장","기아", IF(DD84="박현식 부장", "현대", IF(DD84="김성진 팀장", "한성", IF(DD84="전석영 부장", "한성", IF(DD84= "박봉호 부장", "모토원",IF(DD84="정원철 부장", "한성"))))))</f>
        <v>기아</v>
      </c>
      <c r="DD84" s="24" t="s">
        <v>121</v>
      </c>
      <c r="DE84" s="24" t="str">
        <f>IF(DD84="정수원 실장","렌트베네핏", IF(DD84="박현식 부장", "렌트베네핏", IF(DD84="김성진 팀장", "청담", IF(DD84="전석영 부장", "방배", IF(DD84= "박봉호 부장", "일산",IF(DD129="정원철 부장", "청담"))))))</f>
        <v>렌트베네핏</v>
      </c>
      <c r="DF84" s="24"/>
      <c r="DG84" s="24"/>
      <c r="DH84" s="24"/>
      <c r="DI84" s="24" t="s">
        <v>269</v>
      </c>
      <c r="DJ84" s="22" t="s">
        <v>1610</v>
      </c>
      <c r="DK84" s="38">
        <v>0.3</v>
      </c>
      <c r="DL84" s="76">
        <v>0.2</v>
      </c>
      <c r="DM84" s="24"/>
      <c r="DN84" s="46"/>
      <c r="DO84" s="24"/>
      <c r="DP84" s="24"/>
      <c r="DQ84" s="38"/>
    </row>
    <row r="85" spans="2:121">
      <c r="B85" s="7">
        <v>80</v>
      </c>
      <c r="C85" s="7" t="s">
        <v>729</v>
      </c>
      <c r="D85" s="36" t="s">
        <v>1585</v>
      </c>
      <c r="E85" s="7" t="s">
        <v>1376</v>
      </c>
      <c r="F85" s="7" t="s">
        <v>1377</v>
      </c>
      <c r="G85" s="7" t="s">
        <v>1751</v>
      </c>
      <c r="H85" s="7" t="s">
        <v>132</v>
      </c>
      <c r="I85" s="7" t="s">
        <v>133</v>
      </c>
      <c r="J85" s="9">
        <v>13150000</v>
      </c>
      <c r="K85" s="7">
        <v>2022</v>
      </c>
      <c r="L85" s="6" t="s">
        <v>134</v>
      </c>
      <c r="M85" s="6" t="s">
        <v>90</v>
      </c>
      <c r="N85" s="7" t="s">
        <v>730</v>
      </c>
      <c r="O85" s="7" t="s">
        <v>731</v>
      </c>
      <c r="P85" s="7" t="s">
        <v>98</v>
      </c>
      <c r="Q85" s="33">
        <v>998</v>
      </c>
      <c r="R85" s="11">
        <v>44735</v>
      </c>
      <c r="S85" s="11">
        <v>44666</v>
      </c>
      <c r="T85" s="11">
        <v>44740</v>
      </c>
      <c r="U85" s="12" t="s">
        <v>91</v>
      </c>
      <c r="V85" s="11">
        <f>IFERROR(T85+AD85, "-")</f>
        <v>46565</v>
      </c>
      <c r="W85" s="7">
        <f ca="1">IFERROR(DATEDIF(TODAY(), V85, "m"), "-")</f>
        <v>10</v>
      </c>
      <c r="X85" s="13">
        <v>20000</v>
      </c>
      <c r="Y85" s="7" t="s">
        <v>261</v>
      </c>
      <c r="Z85" s="7" t="s">
        <v>262</v>
      </c>
      <c r="AA85" s="9" t="s">
        <v>732</v>
      </c>
      <c r="AB85" s="9" t="s">
        <v>733</v>
      </c>
      <c r="AC85" s="11">
        <v>44747</v>
      </c>
      <c r="AD85" s="7">
        <f>365*U85</f>
        <v>1825</v>
      </c>
      <c r="AE85" s="7">
        <f ca="1">V85-TODAY()</f>
        <v>313</v>
      </c>
      <c r="AF85" s="7" t="e">
        <f>VLOOKUP($C85,#REF!, 4, FALSE)</f>
        <v>#REF!</v>
      </c>
      <c r="AG85" s="9">
        <v>13118375</v>
      </c>
      <c r="AH85" s="9">
        <v>0</v>
      </c>
      <c r="AI85" s="9">
        <f>AG85-AH85</f>
        <v>13118375</v>
      </c>
      <c r="AJ85" s="9"/>
      <c r="AK85" s="9">
        <v>2000</v>
      </c>
      <c r="AL85" s="9">
        <f>AI85/1.1*0.04</f>
        <v>477031.81818181812</v>
      </c>
      <c r="AM85" s="9">
        <v>0</v>
      </c>
      <c r="AN85" s="9">
        <v>2000</v>
      </c>
      <c r="AO85" s="9">
        <v>27000</v>
      </c>
      <c r="AP85" s="9">
        <v>30000</v>
      </c>
      <c r="AQ85" s="9">
        <v>430000</v>
      </c>
      <c r="AR85" s="9">
        <v>0</v>
      </c>
      <c r="AS85" s="9" t="s">
        <v>195</v>
      </c>
      <c r="AT85" s="9">
        <v>0</v>
      </c>
      <c r="AU85" s="9" t="s">
        <v>135</v>
      </c>
      <c r="AV85" s="9">
        <f>477028</f>
        <v>477028</v>
      </c>
      <c r="AW85" s="19">
        <f>SUM(AJ85,AK85,AN85,AO85,AP85, AR85,AT85+AL85+AM85)</f>
        <v>538031.81818181812</v>
      </c>
      <c r="AX85" s="7" t="s">
        <v>196</v>
      </c>
      <c r="AY85" s="53">
        <v>44735</v>
      </c>
      <c r="AZ85" s="9">
        <v>1182390</v>
      </c>
      <c r="BA85" s="9"/>
      <c r="BB85" s="9"/>
      <c r="BC85" s="9"/>
      <c r="BD85" s="9"/>
      <c r="BE85" s="9" t="s">
        <v>93</v>
      </c>
      <c r="BF85" s="9" t="s">
        <v>94</v>
      </c>
      <c r="BG85" s="9" t="s">
        <v>117</v>
      </c>
      <c r="BH85" s="9" t="s">
        <v>118</v>
      </c>
      <c r="BI85" s="9" t="s">
        <v>97</v>
      </c>
      <c r="BJ85" s="9" t="s">
        <v>119</v>
      </c>
      <c r="BK85" s="7" t="s">
        <v>130</v>
      </c>
      <c r="BL85" s="9" t="s">
        <v>99</v>
      </c>
      <c r="BM85" s="9" t="s">
        <v>148</v>
      </c>
      <c r="BN85" s="9" t="s">
        <v>100</v>
      </c>
      <c r="BO85" s="9" t="s">
        <v>101</v>
      </c>
      <c r="BP85" s="9" t="s">
        <v>101</v>
      </c>
      <c r="BQ85" s="9" t="s">
        <v>734</v>
      </c>
      <c r="BR85" s="7"/>
      <c r="BS85" s="9">
        <f>IF(Q85&lt;=1600,Q85*18,IF(Q85&lt;=2500,Q85*19,IF(Q85&gt;2500,Q85*24,20000)))</f>
        <v>17964</v>
      </c>
      <c r="BT85" s="7" t="s">
        <v>140</v>
      </c>
      <c r="BU85" s="22"/>
      <c r="BV85" s="9"/>
      <c r="BW85" s="14"/>
      <c r="BX85" s="9"/>
      <c r="BY85" s="9"/>
      <c r="BZ85" s="9"/>
      <c r="CA85" s="27">
        <v>0</v>
      </c>
      <c r="CB85" s="87"/>
      <c r="CC85" s="15" t="s">
        <v>91</v>
      </c>
      <c r="CD85" s="15" t="s">
        <v>91</v>
      </c>
      <c r="CE85" s="9">
        <v>340700</v>
      </c>
      <c r="CF85" s="9">
        <f>U85*12</f>
        <v>60</v>
      </c>
      <c r="CG85" s="9">
        <f>CF85*CE85</f>
        <v>20442000</v>
      </c>
      <c r="CH85" s="9"/>
      <c r="CI85" s="9"/>
      <c r="CJ85" s="9">
        <v>2506900</v>
      </c>
      <c r="CK85" s="51">
        <v>0.01</v>
      </c>
      <c r="CL85" s="48">
        <v>0.04</v>
      </c>
      <c r="CM85" s="16" t="s">
        <v>268</v>
      </c>
      <c r="CN85" s="9"/>
      <c r="CO85" s="9"/>
      <c r="CP85" s="27">
        <v>0.03</v>
      </c>
      <c r="CQ85" s="38"/>
      <c r="CR85" s="24">
        <v>0</v>
      </c>
      <c r="CS85" s="24">
        <v>0</v>
      </c>
      <c r="CT85" s="24">
        <v>0</v>
      </c>
      <c r="CU85" s="24">
        <v>0</v>
      </c>
      <c r="CV85" s="24">
        <v>0</v>
      </c>
      <c r="CW85" s="24">
        <v>0</v>
      </c>
      <c r="CX85" s="24">
        <v>0</v>
      </c>
      <c r="CY85" s="24">
        <v>0</v>
      </c>
      <c r="CZ85" s="24">
        <v>0</v>
      </c>
      <c r="DA85" s="24">
        <v>0</v>
      </c>
      <c r="DB85" s="24">
        <v>0</v>
      </c>
      <c r="DC85" s="24" t="str">
        <f>IF(DD85="정수원 실장","기아", IF(DD85="박현식 부장", "현대", IF(DD85="김성진 팀장", "한성", IF(DD85="전석영 부장", "한성", IF(DD85= "박봉호 부장", "모토원",IF(DD85="정원철 부장", "한성"))))))</f>
        <v>기아</v>
      </c>
      <c r="DD85" s="24" t="s">
        <v>121</v>
      </c>
      <c r="DE85" s="24" t="str">
        <f>IF(DD85="정수원 실장","렌트베네핏", IF(DD85="박현식 부장", "렌트베네핏", IF(DD85="김성진 팀장", "청담", IF(DD85="전석영 부장", "방배", IF(DD85= "박봉호 부장", "일산",IF(DD130="정원철 부장", "청담"))))))</f>
        <v>렌트베네핏</v>
      </c>
      <c r="DF85" s="24"/>
      <c r="DG85" s="24"/>
      <c r="DH85" s="24"/>
      <c r="DI85" s="24" t="s">
        <v>269</v>
      </c>
      <c r="DJ85" s="22" t="s">
        <v>1610</v>
      </c>
      <c r="DK85" s="38">
        <v>0.3</v>
      </c>
      <c r="DL85" s="76">
        <v>0.2</v>
      </c>
      <c r="DM85" s="24"/>
      <c r="DN85" s="46"/>
      <c r="DO85" s="24"/>
      <c r="DP85" s="24"/>
      <c r="DQ85" s="38"/>
    </row>
    <row r="86" spans="2:121">
      <c r="B86" s="7">
        <v>81</v>
      </c>
      <c r="C86" s="7" t="s">
        <v>735</v>
      </c>
      <c r="D86" s="36" t="s">
        <v>1585</v>
      </c>
      <c r="E86" s="7" t="s">
        <v>1376</v>
      </c>
      <c r="F86" s="7" t="s">
        <v>1377</v>
      </c>
      <c r="G86" s="7" t="s">
        <v>1751</v>
      </c>
      <c r="H86" s="7" t="s">
        <v>132</v>
      </c>
      <c r="I86" s="7" t="s">
        <v>133</v>
      </c>
      <c r="J86" s="9">
        <v>13150000</v>
      </c>
      <c r="K86" s="7">
        <v>2022</v>
      </c>
      <c r="L86" s="6" t="s">
        <v>134</v>
      </c>
      <c r="M86" s="6" t="s">
        <v>90</v>
      </c>
      <c r="N86" s="7" t="s">
        <v>736</v>
      </c>
      <c r="O86" s="7" t="s">
        <v>737</v>
      </c>
      <c r="P86" s="7" t="s">
        <v>98</v>
      </c>
      <c r="Q86" s="33">
        <v>998</v>
      </c>
      <c r="R86" s="11">
        <v>44735</v>
      </c>
      <c r="S86" s="11">
        <v>44666</v>
      </c>
      <c r="T86" s="11">
        <v>44741</v>
      </c>
      <c r="U86" s="12" t="s">
        <v>91</v>
      </c>
      <c r="V86" s="11">
        <f>IFERROR(T86+AD86, "-")</f>
        <v>46566</v>
      </c>
      <c r="W86" s="7">
        <f ca="1">IFERROR(DATEDIF(TODAY(), V86, "m"), "-")</f>
        <v>10</v>
      </c>
      <c r="X86" s="13">
        <v>20000</v>
      </c>
      <c r="Y86" s="7" t="s">
        <v>261</v>
      </c>
      <c r="Z86" s="7" t="s">
        <v>262</v>
      </c>
      <c r="AA86" s="9" t="s">
        <v>719</v>
      </c>
      <c r="AB86" s="9" t="s">
        <v>274</v>
      </c>
      <c r="AC86" s="11">
        <v>44747</v>
      </c>
      <c r="AD86" s="7">
        <f>365*U86</f>
        <v>1825</v>
      </c>
      <c r="AE86" s="7">
        <f ca="1">V86-TODAY()</f>
        <v>314</v>
      </c>
      <c r="AF86" s="7" t="e">
        <f>VLOOKUP($C86,#REF!, 4, FALSE)</f>
        <v>#REF!</v>
      </c>
      <c r="AG86" s="9">
        <v>13118375</v>
      </c>
      <c r="AH86" s="9">
        <v>0</v>
      </c>
      <c r="AI86" s="9">
        <f>AG86-AH86</f>
        <v>13118375</v>
      </c>
      <c r="AJ86" s="9"/>
      <c r="AK86" s="9">
        <v>2000</v>
      </c>
      <c r="AL86" s="9">
        <f>AI86/1.1*0.04</f>
        <v>477031.81818181812</v>
      </c>
      <c r="AM86" s="9">
        <v>0</v>
      </c>
      <c r="AN86" s="9">
        <v>2000</v>
      </c>
      <c r="AO86" s="9">
        <v>27000</v>
      </c>
      <c r="AP86" s="9">
        <v>30000</v>
      </c>
      <c r="AQ86" s="9">
        <v>430000</v>
      </c>
      <c r="AR86" s="9">
        <v>0</v>
      </c>
      <c r="AS86" s="9" t="s">
        <v>195</v>
      </c>
      <c r="AT86" s="9">
        <v>0</v>
      </c>
      <c r="AU86" s="9" t="s">
        <v>135</v>
      </c>
      <c r="AV86" s="9">
        <f>477028</f>
        <v>477028</v>
      </c>
      <c r="AW86" s="19">
        <f>SUM(AJ86,AK86,AN86,AO86,AP86, AR86,AT86+AL86+AM86)</f>
        <v>538031.81818181812</v>
      </c>
      <c r="AX86" s="7" t="s">
        <v>196</v>
      </c>
      <c r="AY86" s="53">
        <v>44735</v>
      </c>
      <c r="AZ86" s="9">
        <v>1182390</v>
      </c>
      <c r="BA86" s="9"/>
      <c r="BB86" s="9"/>
      <c r="BC86" s="9"/>
      <c r="BD86" s="9"/>
      <c r="BE86" s="9" t="s">
        <v>93</v>
      </c>
      <c r="BF86" s="9" t="s">
        <v>94</v>
      </c>
      <c r="BG86" s="9" t="s">
        <v>117</v>
      </c>
      <c r="BH86" s="9" t="s">
        <v>118</v>
      </c>
      <c r="BI86" s="9" t="s">
        <v>97</v>
      </c>
      <c r="BJ86" s="9" t="s">
        <v>119</v>
      </c>
      <c r="BK86" s="7" t="s">
        <v>130</v>
      </c>
      <c r="BL86" s="9" t="s">
        <v>99</v>
      </c>
      <c r="BM86" s="9" t="s">
        <v>148</v>
      </c>
      <c r="BN86" s="9" t="s">
        <v>100</v>
      </c>
      <c r="BO86" s="9" t="s">
        <v>101</v>
      </c>
      <c r="BP86" s="9" t="s">
        <v>101</v>
      </c>
      <c r="BQ86" s="9" t="s">
        <v>522</v>
      </c>
      <c r="BR86" s="7"/>
      <c r="BS86" s="9">
        <f>IF(Q86&lt;=1600,Q86*18,IF(Q86&lt;=2500,Q86*19,IF(Q86&gt;2500,Q86*24,20000)))</f>
        <v>17964</v>
      </c>
      <c r="BT86" s="7" t="s">
        <v>140</v>
      </c>
      <c r="BU86" s="22"/>
      <c r="BV86" s="9"/>
      <c r="BW86" s="14"/>
      <c r="BX86" s="9"/>
      <c r="BY86" s="9"/>
      <c r="BZ86" s="9"/>
      <c r="CA86" s="27">
        <v>0</v>
      </c>
      <c r="CB86" s="87"/>
      <c r="CC86" s="15" t="s">
        <v>91</v>
      </c>
      <c r="CD86" s="15" t="s">
        <v>91</v>
      </c>
      <c r="CE86" s="9">
        <v>340700</v>
      </c>
      <c r="CF86" s="9">
        <f>U86*12</f>
        <v>60</v>
      </c>
      <c r="CG86" s="9">
        <f>CF86*CE86</f>
        <v>20442000</v>
      </c>
      <c r="CH86" s="9"/>
      <c r="CI86" s="9"/>
      <c r="CJ86" s="9">
        <v>2506900</v>
      </c>
      <c r="CK86" s="51">
        <v>0.01</v>
      </c>
      <c r="CL86" s="48">
        <v>0.04</v>
      </c>
      <c r="CM86" s="16" t="s">
        <v>268</v>
      </c>
      <c r="CN86" s="9"/>
      <c r="CO86" s="9"/>
      <c r="CP86" s="27">
        <v>0.03</v>
      </c>
      <c r="CQ86" s="38"/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 t="str">
        <f>IF(DD86="정수원 실장","기아", IF(DD86="박현식 부장", "현대", IF(DD86="김성진 팀장", "한성", IF(DD86="전석영 부장", "한성", IF(DD86= "박봉호 부장", "모토원",IF(DD86="정원철 부장", "한성"))))))</f>
        <v>기아</v>
      </c>
      <c r="DD86" s="24" t="s">
        <v>121</v>
      </c>
      <c r="DE86" s="24" t="str">
        <f>IF(DD86="정수원 실장","렌트베네핏", IF(DD86="박현식 부장", "렌트베네핏", IF(DD86="김성진 팀장", "청담", IF(DD86="전석영 부장", "방배", IF(DD86= "박봉호 부장", "일산",IF(DD131="정원철 부장", "청담"))))))</f>
        <v>렌트베네핏</v>
      </c>
      <c r="DF86" s="24"/>
      <c r="DG86" s="24"/>
      <c r="DH86" s="24"/>
      <c r="DI86" s="24" t="s">
        <v>269</v>
      </c>
      <c r="DJ86" s="22" t="s">
        <v>1610</v>
      </c>
      <c r="DK86" s="38">
        <v>0.3</v>
      </c>
      <c r="DL86" s="76">
        <v>0.2</v>
      </c>
      <c r="DM86" s="24"/>
      <c r="DN86" s="46"/>
      <c r="DO86" s="24"/>
      <c r="DP86" s="24"/>
      <c r="DQ86" s="38"/>
    </row>
    <row r="87" spans="2:121">
      <c r="B87" s="7">
        <v>82</v>
      </c>
      <c r="C87" s="7" t="s">
        <v>738</v>
      </c>
      <c r="D87" s="36" t="s">
        <v>1588</v>
      </c>
      <c r="E87" s="7" t="s">
        <v>739</v>
      </c>
      <c r="F87" s="7" t="s">
        <v>740</v>
      </c>
      <c r="G87" s="7" t="s">
        <v>741</v>
      </c>
      <c r="H87" s="7" t="s">
        <v>199</v>
      </c>
      <c r="I87" s="7" t="s">
        <v>200</v>
      </c>
      <c r="J87" s="9">
        <v>35100000</v>
      </c>
      <c r="K87" s="7">
        <v>2022</v>
      </c>
      <c r="L87" s="6" t="s">
        <v>201</v>
      </c>
      <c r="M87" s="6" t="s">
        <v>90</v>
      </c>
      <c r="N87" s="7" t="s">
        <v>742</v>
      </c>
      <c r="O87" s="7" t="s">
        <v>743</v>
      </c>
      <c r="P87" s="7" t="s">
        <v>98</v>
      </c>
      <c r="Q87" s="33">
        <v>2497</v>
      </c>
      <c r="R87" s="11">
        <v>44742</v>
      </c>
      <c r="S87" s="11">
        <v>44617</v>
      </c>
      <c r="T87" s="11">
        <v>44743</v>
      </c>
      <c r="U87" s="12" t="s">
        <v>496</v>
      </c>
      <c r="V87" s="11">
        <f>IFERROR(T87+AD87, "-")</f>
        <v>46203</v>
      </c>
      <c r="W87" s="7" t="str">
        <f ca="1">IFERROR(DATEDIF(TODAY(), V87, "m"), "-")</f>
        <v>-</v>
      </c>
      <c r="X87" s="13">
        <v>20000</v>
      </c>
      <c r="Y87" s="9" t="s">
        <v>744</v>
      </c>
      <c r="Z87" s="9" t="s">
        <v>745</v>
      </c>
      <c r="AA87" s="9"/>
      <c r="AB87" s="9" t="s">
        <v>746</v>
      </c>
      <c r="AC87" s="11">
        <v>44747</v>
      </c>
      <c r="AD87" s="7">
        <f>365*U87</f>
        <v>1460</v>
      </c>
      <c r="AE87" s="7">
        <f ca="1">V87-TODAY()</f>
        <v>-49</v>
      </c>
      <c r="AF87" s="7" t="e">
        <f>VLOOKUP($C87,#REF!, 4, FALSE)</f>
        <v>#REF!</v>
      </c>
      <c r="AG87" s="9">
        <v>34310404</v>
      </c>
      <c r="AH87" s="9">
        <f>AG87*6%</f>
        <v>2058624.24</v>
      </c>
      <c r="AI87" s="9">
        <f>AG87-AH87</f>
        <v>32251779.760000002</v>
      </c>
      <c r="AJ87" s="9"/>
      <c r="AK87" s="9"/>
      <c r="AL87" s="9">
        <v>1310370</v>
      </c>
      <c r="AM87" s="9">
        <v>123060</v>
      </c>
      <c r="AN87" s="9">
        <v>2000</v>
      </c>
      <c r="AO87" s="9">
        <v>4500</v>
      </c>
      <c r="AP87" s="9">
        <v>50000</v>
      </c>
      <c r="AQ87" s="9">
        <v>1087000</v>
      </c>
      <c r="AR87" s="9">
        <v>154000</v>
      </c>
      <c r="AS87" s="9" t="s">
        <v>747</v>
      </c>
      <c r="AT87" s="9">
        <v>198000</v>
      </c>
      <c r="AU87" s="9" t="s">
        <v>616</v>
      </c>
      <c r="AV87" s="9">
        <f>1510350</f>
        <v>1510350</v>
      </c>
      <c r="AW87" s="19">
        <f>SUM(AJ87,AK87,AN87,AO87,AP87, AR87,AT87+AL87+AM87)</f>
        <v>1841930</v>
      </c>
      <c r="AX87" s="7" t="s">
        <v>196</v>
      </c>
      <c r="AY87" s="53">
        <v>44742</v>
      </c>
      <c r="AZ87" s="9">
        <v>1182390</v>
      </c>
      <c r="BA87" s="9"/>
      <c r="BB87" s="9"/>
      <c r="BC87" s="9"/>
      <c r="BD87" s="9"/>
      <c r="BE87" s="9" t="s">
        <v>93</v>
      </c>
      <c r="BF87" s="9" t="s">
        <v>94</v>
      </c>
      <c r="BG87" s="9" t="s">
        <v>117</v>
      </c>
      <c r="BH87" s="9" t="s">
        <v>118</v>
      </c>
      <c r="BI87" s="9" t="s">
        <v>97</v>
      </c>
      <c r="BJ87" s="9" t="s">
        <v>119</v>
      </c>
      <c r="BK87" s="7" t="s">
        <v>130</v>
      </c>
      <c r="BL87" s="9" t="s">
        <v>99</v>
      </c>
      <c r="BM87" s="9" t="s">
        <v>148</v>
      </c>
      <c r="BN87" s="9" t="s">
        <v>100</v>
      </c>
      <c r="BO87" s="9" t="s">
        <v>101</v>
      </c>
      <c r="BP87" s="9" t="s">
        <v>101</v>
      </c>
      <c r="BQ87" s="9"/>
      <c r="BR87" s="7"/>
      <c r="BS87" s="9">
        <f>IF(Q87&lt;=1600,Q87*18,IF(Q87&lt;=2500,Q87*19,IF(Q87&gt;2500,Q87*24,20000)))</f>
        <v>47443</v>
      </c>
      <c r="BT87" s="7" t="s">
        <v>140</v>
      </c>
      <c r="BU87" s="22"/>
      <c r="BV87" s="9"/>
      <c r="BW87" s="14"/>
      <c r="BX87" s="9"/>
      <c r="BY87" s="9"/>
      <c r="BZ87" s="9"/>
      <c r="CA87" s="27">
        <v>0</v>
      </c>
      <c r="CB87" s="87"/>
      <c r="CC87" s="15" t="s">
        <v>91</v>
      </c>
      <c r="CD87" s="15" t="s">
        <v>91</v>
      </c>
      <c r="CE87" s="9">
        <v>563530</v>
      </c>
      <c r="CF87" s="9">
        <f>U87*12</f>
        <v>48</v>
      </c>
      <c r="CG87" s="9">
        <f>CF87*CE87</f>
        <v>27049440</v>
      </c>
      <c r="CH87" s="9">
        <v>7020000</v>
      </c>
      <c r="CI87" s="9">
        <v>0</v>
      </c>
      <c r="CJ87" s="9">
        <v>19269900</v>
      </c>
      <c r="CK87" s="51">
        <v>-0.10979999999999999</v>
      </c>
      <c r="CL87" s="48">
        <v>0.06</v>
      </c>
      <c r="CM87" s="16" t="s">
        <v>748</v>
      </c>
      <c r="CN87" s="9"/>
      <c r="CO87" s="9"/>
      <c r="CP87" s="27">
        <v>0.03</v>
      </c>
      <c r="CQ87" s="38"/>
      <c r="CR87" s="24">
        <v>0</v>
      </c>
      <c r="CS87" s="24">
        <v>0</v>
      </c>
      <c r="CT87" s="24">
        <v>0</v>
      </c>
      <c r="CU87" s="24">
        <v>0</v>
      </c>
      <c r="CV87" s="24">
        <v>0</v>
      </c>
      <c r="CW87" s="24">
        <v>0</v>
      </c>
      <c r="CX87" s="24">
        <v>0</v>
      </c>
      <c r="CY87" s="24">
        <v>0</v>
      </c>
      <c r="CZ87" s="24">
        <v>0</v>
      </c>
      <c r="DA87" s="24">
        <v>0</v>
      </c>
      <c r="DB87" s="24">
        <v>0</v>
      </c>
      <c r="DC87" s="24" t="str">
        <f>IF(DD87="정수원 실장","기아", IF(DD87="박현식 부장", "현대", IF(DD87="김성진 팀장", "한성", IF(DD87="전석영 부장", "한성", IF(DD87= "박봉호 부장", "모토원",IF(DD87="정원철 부장", "한성"))))))</f>
        <v>기아</v>
      </c>
      <c r="DD87" s="24" t="s">
        <v>121</v>
      </c>
      <c r="DE87" s="24" t="str">
        <f>IF(DD87="정수원 실장","렌트베네핏", IF(DD87="박현식 부장", "렌트베네핏", IF(DD87="김성진 팀장", "청담", IF(DD87="전석영 부장", "방배", IF(DD87= "박봉호 부장", "일산",IF(DD132="정원철 부장", "청담"))))))</f>
        <v>렌트베네핏</v>
      </c>
      <c r="DF87" s="24"/>
      <c r="DG87" s="24"/>
      <c r="DH87" s="24"/>
      <c r="DI87" s="24" t="s">
        <v>749</v>
      </c>
      <c r="DJ87" s="9" t="s">
        <v>746</v>
      </c>
      <c r="DK87" s="38">
        <v>0.3</v>
      </c>
      <c r="DL87" s="76">
        <v>0.2</v>
      </c>
      <c r="DM87" s="24"/>
      <c r="DN87" s="46"/>
      <c r="DO87" s="24"/>
      <c r="DP87" s="24"/>
      <c r="DQ87" s="38"/>
    </row>
    <row r="88" spans="2:121">
      <c r="B88" s="7">
        <v>83</v>
      </c>
      <c r="C88" s="7" t="s">
        <v>750</v>
      </c>
      <c r="D88" s="36" t="s">
        <v>1585</v>
      </c>
      <c r="E88" s="7" t="s">
        <v>751</v>
      </c>
      <c r="F88" s="7" t="s">
        <v>752</v>
      </c>
      <c r="G88" s="7" t="s">
        <v>212</v>
      </c>
      <c r="H88" s="7" t="s">
        <v>213</v>
      </c>
      <c r="I88" s="7" t="s">
        <v>214</v>
      </c>
      <c r="J88" s="9">
        <v>22980000</v>
      </c>
      <c r="K88" s="7">
        <v>2022</v>
      </c>
      <c r="L88" s="6" t="s">
        <v>215</v>
      </c>
      <c r="M88" s="6" t="s">
        <v>90</v>
      </c>
      <c r="N88" s="7" t="s">
        <v>753</v>
      </c>
      <c r="O88" s="7" t="s">
        <v>754</v>
      </c>
      <c r="P88" s="7" t="s">
        <v>98</v>
      </c>
      <c r="Q88" s="33">
        <v>1597</v>
      </c>
      <c r="R88" s="11">
        <v>44866</v>
      </c>
      <c r="S88" s="11">
        <v>44638</v>
      </c>
      <c r="T88" s="11">
        <v>44867</v>
      </c>
      <c r="U88" s="12" t="s">
        <v>496</v>
      </c>
      <c r="V88" s="11">
        <f>IFERROR(T88+AD88, "-")</f>
        <v>46327</v>
      </c>
      <c r="W88" s="7">
        <f ca="1">IFERROR(DATEDIF(TODAY(), V88, "m"), "-")</f>
        <v>2</v>
      </c>
      <c r="X88" s="13">
        <v>20000</v>
      </c>
      <c r="Y88" s="7" t="s">
        <v>755</v>
      </c>
      <c r="Z88" s="7" t="s">
        <v>756</v>
      </c>
      <c r="AA88" s="9" t="s">
        <v>757</v>
      </c>
      <c r="AB88" s="9" t="s">
        <v>758</v>
      </c>
      <c r="AC88" s="11">
        <v>44875</v>
      </c>
      <c r="AD88" s="7">
        <f>365*U88</f>
        <v>1460</v>
      </c>
      <c r="AE88" s="7">
        <f ca="1">V88-TODAY()</f>
        <v>75</v>
      </c>
      <c r="AF88" s="7" t="e">
        <f>VLOOKUP($C88,#REF!, 4, FALSE)</f>
        <v>#REF!</v>
      </c>
      <c r="AG88" s="9">
        <v>21745464</v>
      </c>
      <c r="AH88" s="9">
        <f>AG88*6%</f>
        <v>1304727.8399999999</v>
      </c>
      <c r="AI88" s="9">
        <f>AG88-AH88</f>
        <v>20440736.16</v>
      </c>
      <c r="AJ88" s="9"/>
      <c r="AK88" s="9"/>
      <c r="AL88" s="9">
        <f>AI88/1.1*0.04</f>
        <v>743299.49672727275</v>
      </c>
      <c r="AM88" s="9">
        <v>100000</v>
      </c>
      <c r="AN88" s="9">
        <v>2000</v>
      </c>
      <c r="AO88" s="9">
        <v>47000</v>
      </c>
      <c r="AP88" s="9">
        <v>50000</v>
      </c>
      <c r="AQ88" s="9"/>
      <c r="AR88" s="9">
        <v>154000</v>
      </c>
      <c r="AS88" s="9" t="s">
        <v>216</v>
      </c>
      <c r="AT88" s="9">
        <v>66000</v>
      </c>
      <c r="AU88" s="9" t="s">
        <v>217</v>
      </c>
      <c r="AV88" s="9">
        <f>1033404</f>
        <v>1033404</v>
      </c>
      <c r="AW88" s="19">
        <f>SUM(AJ88,AK88,AN88,AO88,AP88, AR88,AT88+AL88+AM88)</f>
        <v>1162299.4967272729</v>
      </c>
      <c r="AX88" s="7" t="s">
        <v>196</v>
      </c>
      <c r="AY88" s="53"/>
      <c r="AZ88" s="9">
        <v>1189980</v>
      </c>
      <c r="BA88" s="9"/>
      <c r="BB88" s="9"/>
      <c r="BC88" s="9"/>
      <c r="BD88" s="9"/>
      <c r="BE88" s="9" t="s">
        <v>93</v>
      </c>
      <c r="BF88" s="9" t="s">
        <v>94</v>
      </c>
      <c r="BG88" s="9" t="s">
        <v>117</v>
      </c>
      <c r="BH88" s="9" t="s">
        <v>118</v>
      </c>
      <c r="BI88" s="9" t="s">
        <v>97</v>
      </c>
      <c r="BJ88" s="9" t="s">
        <v>119</v>
      </c>
      <c r="BK88" s="7" t="s">
        <v>130</v>
      </c>
      <c r="BL88" s="9" t="s">
        <v>99</v>
      </c>
      <c r="BM88" s="9" t="s">
        <v>148</v>
      </c>
      <c r="BN88" s="9" t="s">
        <v>100</v>
      </c>
      <c r="BO88" s="9" t="s">
        <v>101</v>
      </c>
      <c r="BP88" s="9" t="s">
        <v>101</v>
      </c>
      <c r="BQ88" s="9"/>
      <c r="BR88" s="7"/>
      <c r="BS88" s="9">
        <f>IF(Q88&lt;=1600,Q88*18,IF(Q88&lt;=2500,Q88*19,IF(Q88&gt;2500,Q88*24,20000)))</f>
        <v>28746</v>
      </c>
      <c r="BT88" s="7" t="s">
        <v>140</v>
      </c>
      <c r="BU88" s="22"/>
      <c r="BV88" s="9"/>
      <c r="BW88" s="14"/>
      <c r="BX88" s="9"/>
      <c r="BY88" s="9"/>
      <c r="BZ88" s="9"/>
      <c r="CA88" s="27">
        <v>0</v>
      </c>
      <c r="CB88" s="1"/>
      <c r="CC88" s="15" t="s">
        <v>141</v>
      </c>
      <c r="CD88" s="15" t="s">
        <v>141</v>
      </c>
      <c r="CE88" s="9">
        <v>400000</v>
      </c>
      <c r="CF88" s="9">
        <f>U88*12</f>
        <v>48</v>
      </c>
      <c r="CG88" s="9">
        <f>CF88*CE88</f>
        <v>19200000</v>
      </c>
      <c r="CH88" s="9"/>
      <c r="CI88" s="9"/>
      <c r="CJ88" s="9">
        <v>15600000</v>
      </c>
      <c r="CK88" s="51">
        <v>0</v>
      </c>
      <c r="CL88" s="48">
        <v>0.06</v>
      </c>
      <c r="CM88" s="16" t="s">
        <v>759</v>
      </c>
      <c r="CN88" s="16" t="s">
        <v>760</v>
      </c>
      <c r="CO88" s="9" t="s">
        <v>756</v>
      </c>
      <c r="CP88" s="27">
        <v>0.03</v>
      </c>
      <c r="CQ88" s="38"/>
      <c r="CR88" s="24" t="s">
        <v>218</v>
      </c>
      <c r="CS88" s="24">
        <v>47300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 t="str">
        <f>IF(DD88="정수원 실장","기아", IF(DD88="박현식 부장", "현대", IF(DD88="김성진 팀장", "한성", IF(DD88="전석영 부장", "한성", IF(DD88= "박봉호 부장", "모토원",IF(DD88="정원철 부장", "한성"))))))</f>
        <v>현대</v>
      </c>
      <c r="DD88" s="24" t="s">
        <v>129</v>
      </c>
      <c r="DE88" s="24" t="str">
        <f>IF(DD88="정수원 실장","렌트베네핏", IF(DD88="박현식 부장", "렌트베네핏", IF(DD88="김성진 팀장", "청담", IF(DD88="전석영 부장", "방배", IF(DD88= "박봉호 부장", "일산",IF(DD137="정원철 부장", "청담"))))))</f>
        <v>렌트베네핏</v>
      </c>
      <c r="DF88" s="24"/>
      <c r="DG88" s="24" t="s">
        <v>702</v>
      </c>
      <c r="DH88" s="24" t="s">
        <v>761</v>
      </c>
      <c r="DI88" s="24" t="s">
        <v>762</v>
      </c>
      <c r="DJ88" s="9" t="s">
        <v>758</v>
      </c>
      <c r="DK88" s="38">
        <v>0.3</v>
      </c>
      <c r="DL88" s="76">
        <v>0.2</v>
      </c>
      <c r="DM88" s="24"/>
      <c r="DN88" s="46"/>
      <c r="DO88" s="24"/>
      <c r="DP88" s="9"/>
      <c r="DQ88" s="38"/>
    </row>
    <row r="89" spans="2:121">
      <c r="B89" s="7">
        <v>84</v>
      </c>
      <c r="C89" s="7" t="s">
        <v>763</v>
      </c>
      <c r="D89" s="36" t="s">
        <v>178</v>
      </c>
      <c r="E89" s="7" t="s">
        <v>764</v>
      </c>
      <c r="F89" s="7" t="s">
        <v>752</v>
      </c>
      <c r="G89" s="7" t="s">
        <v>212</v>
      </c>
      <c r="H89" s="7" t="s">
        <v>213</v>
      </c>
      <c r="I89" s="7" t="s">
        <v>214</v>
      </c>
      <c r="J89" s="9">
        <v>22980000</v>
      </c>
      <c r="K89" s="7">
        <v>2022</v>
      </c>
      <c r="L89" s="6" t="s">
        <v>765</v>
      </c>
      <c r="M89" s="6" t="s">
        <v>90</v>
      </c>
      <c r="N89" s="7" t="s">
        <v>766</v>
      </c>
      <c r="O89" s="7" t="s">
        <v>767</v>
      </c>
      <c r="P89" s="7" t="s">
        <v>98</v>
      </c>
      <c r="Q89" s="33">
        <v>1597</v>
      </c>
      <c r="R89" s="11">
        <v>44921</v>
      </c>
      <c r="S89" s="11">
        <v>44638</v>
      </c>
      <c r="T89" s="11">
        <v>44922</v>
      </c>
      <c r="U89" s="12" t="s">
        <v>496</v>
      </c>
      <c r="V89" s="11">
        <f>IFERROR(T89+AD89, "-")</f>
        <v>46382</v>
      </c>
      <c r="W89" s="7">
        <f ca="1">IFERROR(DATEDIF(TODAY(), V89, "m"), "-")</f>
        <v>4</v>
      </c>
      <c r="X89" s="13">
        <v>20000</v>
      </c>
      <c r="Y89" s="7" t="s">
        <v>768</v>
      </c>
      <c r="Z89" s="7" t="s">
        <v>769</v>
      </c>
      <c r="AA89" s="9" t="s">
        <v>770</v>
      </c>
      <c r="AB89" s="9" t="s">
        <v>771</v>
      </c>
      <c r="AC89" s="11">
        <v>44941</v>
      </c>
      <c r="AD89" s="7">
        <f>365*U89</f>
        <v>1460</v>
      </c>
      <c r="AE89" s="7">
        <f ca="1">V89-TODAY()</f>
        <v>130</v>
      </c>
      <c r="AF89" s="7" t="e">
        <f>VLOOKUP($C89,#REF!, 4, FALSE)</f>
        <v>#REF!</v>
      </c>
      <c r="AG89" s="9">
        <v>21745465</v>
      </c>
      <c r="AH89" s="9">
        <f>AG89*6%</f>
        <v>1304727.8999999999</v>
      </c>
      <c r="AI89" s="9">
        <f>AG89-AH89</f>
        <v>20440737.100000001</v>
      </c>
      <c r="AJ89" s="9"/>
      <c r="AK89" s="9"/>
      <c r="AL89" s="9">
        <f>AI89/1.1*0.04</f>
        <v>743299.530909091</v>
      </c>
      <c r="AM89" s="9">
        <v>100000</v>
      </c>
      <c r="AN89" s="9">
        <v>2000</v>
      </c>
      <c r="AO89" s="9">
        <v>47000</v>
      </c>
      <c r="AP89" s="9">
        <v>50000</v>
      </c>
      <c r="AQ89" s="9"/>
      <c r="AR89" s="9">
        <v>170000</v>
      </c>
      <c r="AS89" s="9" t="s">
        <v>216</v>
      </c>
      <c r="AT89" s="9">
        <v>66000</v>
      </c>
      <c r="AU89" s="9" t="s">
        <v>772</v>
      </c>
      <c r="AV89" s="9">
        <f>900000</f>
        <v>900000</v>
      </c>
      <c r="AW89" s="19">
        <f>SUM(AJ89,AK89,AN89,AO89,AP89, AR89,AT89+AL89+AM89)</f>
        <v>1178299.530909091</v>
      </c>
      <c r="AX89" s="7" t="s">
        <v>196</v>
      </c>
      <c r="AY89" s="53">
        <v>44921</v>
      </c>
      <c r="AZ89" s="9">
        <v>1036500</v>
      </c>
      <c r="BA89" s="9"/>
      <c r="BB89" s="9"/>
      <c r="BC89" s="9"/>
      <c r="BD89" s="9"/>
      <c r="BE89" s="9" t="s">
        <v>93</v>
      </c>
      <c r="BF89" s="9" t="s">
        <v>94</v>
      </c>
      <c r="BG89" s="9" t="s">
        <v>117</v>
      </c>
      <c r="BH89" s="9" t="s">
        <v>118</v>
      </c>
      <c r="BI89" s="9" t="s">
        <v>97</v>
      </c>
      <c r="BJ89" s="9" t="s">
        <v>119</v>
      </c>
      <c r="BK89" s="7" t="s">
        <v>130</v>
      </c>
      <c r="BL89" s="9" t="s">
        <v>99</v>
      </c>
      <c r="BM89" s="9" t="s">
        <v>148</v>
      </c>
      <c r="BN89" s="9" t="s">
        <v>100</v>
      </c>
      <c r="BO89" s="9" t="s">
        <v>101</v>
      </c>
      <c r="BP89" s="9" t="s">
        <v>101</v>
      </c>
      <c r="BQ89" s="9"/>
      <c r="BR89" s="7"/>
      <c r="BS89" s="9">
        <f>IF(Q89&lt;=1600,Q89*18,IF(Q89&lt;=2500,Q89*19,IF(Q89&gt;2500,Q89*24,20000)))</f>
        <v>28746</v>
      </c>
      <c r="BT89" s="7" t="s">
        <v>140</v>
      </c>
      <c r="BU89" s="22"/>
      <c r="BV89" s="9"/>
      <c r="BW89" s="14"/>
      <c r="BX89" s="9"/>
      <c r="BY89" s="9"/>
      <c r="BZ89" s="9"/>
      <c r="CA89" s="27">
        <v>0</v>
      </c>
      <c r="CB89" s="1"/>
      <c r="CC89" s="15" t="s">
        <v>147</v>
      </c>
      <c r="CD89" s="15" t="s">
        <v>147</v>
      </c>
      <c r="CE89" s="9">
        <v>400000</v>
      </c>
      <c r="CF89" s="9">
        <f>U89*12</f>
        <v>48</v>
      </c>
      <c r="CG89" s="9">
        <f>CF89*CE89</f>
        <v>19200000</v>
      </c>
      <c r="CH89" s="9"/>
      <c r="CI89" s="9"/>
      <c r="CJ89" s="9">
        <v>15600000</v>
      </c>
      <c r="CK89" s="51">
        <v>0</v>
      </c>
      <c r="CL89" s="48">
        <v>0.06</v>
      </c>
      <c r="CM89" s="16" t="s">
        <v>773</v>
      </c>
      <c r="CN89" s="9"/>
      <c r="CO89" s="9" t="s">
        <v>769</v>
      </c>
      <c r="CP89" s="27">
        <v>0.03</v>
      </c>
      <c r="CQ89" s="38"/>
      <c r="CR89" s="24" t="s">
        <v>218</v>
      </c>
      <c r="CS89" s="24">
        <v>30000</v>
      </c>
      <c r="CT89" s="24">
        <v>0</v>
      </c>
      <c r="CU89" s="24">
        <v>0</v>
      </c>
      <c r="CV89" s="24">
        <v>0</v>
      </c>
      <c r="CW89" s="24">
        <v>0</v>
      </c>
      <c r="CX89" s="24">
        <v>0</v>
      </c>
      <c r="CY89" s="24">
        <v>0</v>
      </c>
      <c r="CZ89" s="24">
        <v>0</v>
      </c>
      <c r="DA89" s="24">
        <v>0</v>
      </c>
      <c r="DB89" s="24">
        <v>0</v>
      </c>
      <c r="DC89" s="24" t="str">
        <f>IF(DD89="정수원 실장","기아", IF(DD89="박현식 부장", "현대", IF(DD89="김성진 팀장", "한성", IF(DD89="전석영 부장", "한성", IF(DD89= "박봉호 부장", "모토원",IF(DD89="정원철 부장", "한성"))))))</f>
        <v>현대</v>
      </c>
      <c r="DD89" s="24" t="s">
        <v>129</v>
      </c>
      <c r="DE89" s="24" t="str">
        <f>IF(DD89="정수원 실장","렌트베네핏", IF(DD89="박현식 부장", "렌트베네핏", IF(DD89="김성진 팀장", "청담", IF(DD89="전석영 부장", "방배", IF(DD89= "박봉호 부장", "일산",IF(DD139="정원철 부장", "청담"))))))</f>
        <v>렌트베네핏</v>
      </c>
      <c r="DF89" s="24"/>
      <c r="DG89" s="24" t="s">
        <v>702</v>
      </c>
      <c r="DH89" s="24" t="s">
        <v>774</v>
      </c>
      <c r="DI89" s="24" t="s">
        <v>775</v>
      </c>
      <c r="DJ89" s="9" t="s">
        <v>771</v>
      </c>
      <c r="DK89" s="38">
        <v>0.3</v>
      </c>
      <c r="DL89" s="76">
        <v>0.2</v>
      </c>
      <c r="DM89" s="24"/>
      <c r="DN89" s="46"/>
      <c r="DO89" s="24"/>
      <c r="DP89" s="9"/>
      <c r="DQ89" s="38"/>
    </row>
    <row r="90" spans="2:121">
      <c r="B90" s="7">
        <v>85</v>
      </c>
      <c r="C90" s="7" t="s">
        <v>1380</v>
      </c>
      <c r="D90" s="7" t="s">
        <v>1588</v>
      </c>
      <c r="E90" s="7" t="s">
        <v>777</v>
      </c>
      <c r="F90" s="7" t="s">
        <v>778</v>
      </c>
      <c r="G90" s="7" t="s">
        <v>779</v>
      </c>
      <c r="H90" s="7" t="s">
        <v>180</v>
      </c>
      <c r="I90" s="7" t="s">
        <v>780</v>
      </c>
      <c r="J90" s="9">
        <v>62000000</v>
      </c>
      <c r="K90" s="7">
        <v>2022</v>
      </c>
      <c r="L90" s="6" t="s">
        <v>781</v>
      </c>
      <c r="M90" s="6" t="s">
        <v>90</v>
      </c>
      <c r="N90" s="7" t="s">
        <v>782</v>
      </c>
      <c r="O90" s="7" t="s">
        <v>783</v>
      </c>
      <c r="P90" s="7" t="s">
        <v>98</v>
      </c>
      <c r="Q90" s="33">
        <v>2497</v>
      </c>
      <c r="R90" s="11">
        <v>44777</v>
      </c>
      <c r="S90" s="11">
        <v>44767</v>
      </c>
      <c r="T90" s="11">
        <v>44777</v>
      </c>
      <c r="U90" s="12" t="s">
        <v>496</v>
      </c>
      <c r="V90" s="11">
        <f>IFERROR(T90+AD90, "-")</f>
        <v>46237</v>
      </c>
      <c r="W90" s="7" t="str">
        <f ca="1">IFERROR(DATEDIF(TODAY(), V90, "m"), "-")</f>
        <v>-</v>
      </c>
      <c r="X90" s="13">
        <v>20000</v>
      </c>
      <c r="Y90" s="7" t="s">
        <v>778</v>
      </c>
      <c r="Z90" s="7" t="s">
        <v>779</v>
      </c>
      <c r="AA90" s="9"/>
      <c r="AB90" s="9" t="s">
        <v>784</v>
      </c>
      <c r="AC90" s="11">
        <v>44798</v>
      </c>
      <c r="AD90" s="7">
        <f>365*U90</f>
        <v>1460</v>
      </c>
      <c r="AE90" s="7">
        <f ca="1">V90-TODAY()</f>
        <v>-15</v>
      </c>
      <c r="AF90" s="7" t="e">
        <f>VLOOKUP($C90,#REF!, 4, FALSE)</f>
        <v>#REF!</v>
      </c>
      <c r="AG90" s="9">
        <v>58547962</v>
      </c>
      <c r="AH90" s="9">
        <v>3784038</v>
      </c>
      <c r="AI90" s="9">
        <f>AG90-AH90+AJ90</f>
        <v>55095924</v>
      </c>
      <c r="AJ90" s="9">
        <v>332000</v>
      </c>
      <c r="AK90" s="9">
        <v>2000</v>
      </c>
      <c r="AL90" s="9">
        <v>2129010</v>
      </c>
      <c r="AM90" s="9">
        <v>250318</v>
      </c>
      <c r="AN90" s="9">
        <v>2000</v>
      </c>
      <c r="AO90" s="9">
        <v>45000</v>
      </c>
      <c r="AP90" s="9">
        <v>50000</v>
      </c>
      <c r="AQ90" s="9"/>
      <c r="AR90" s="9">
        <v>154000</v>
      </c>
      <c r="AS90" s="9" t="s">
        <v>785</v>
      </c>
      <c r="AT90" s="9">
        <v>198000</v>
      </c>
      <c r="AU90" s="9" t="s">
        <v>786</v>
      </c>
      <c r="AV90" s="9">
        <f>2479328</f>
        <v>2479328</v>
      </c>
      <c r="AW90" s="19">
        <f>SUM(AJ90,AK90,AN90,AO90,AP90, AR90,AT90+AL90+AM90)</f>
        <v>3162328</v>
      </c>
      <c r="AX90" s="7" t="s">
        <v>196</v>
      </c>
      <c r="AY90" s="53">
        <v>44777</v>
      </c>
      <c r="AZ90" s="9">
        <v>1299680</v>
      </c>
      <c r="BA90" s="9"/>
      <c r="BB90" s="9"/>
      <c r="BC90" s="9"/>
      <c r="BD90" s="9"/>
      <c r="BE90" s="9" t="s">
        <v>93</v>
      </c>
      <c r="BF90" s="9" t="s">
        <v>94</v>
      </c>
      <c r="BG90" s="9" t="s">
        <v>95</v>
      </c>
      <c r="BH90" s="9" t="s">
        <v>96</v>
      </c>
      <c r="BI90" s="9" t="s">
        <v>97</v>
      </c>
      <c r="BJ90" s="9" t="s">
        <v>127</v>
      </c>
      <c r="BK90" s="7" t="s">
        <v>130</v>
      </c>
      <c r="BL90" s="9" t="s">
        <v>99</v>
      </c>
      <c r="BM90" s="9" t="s">
        <v>148</v>
      </c>
      <c r="BN90" s="9" t="s">
        <v>100</v>
      </c>
      <c r="BO90" s="9" t="s">
        <v>101</v>
      </c>
      <c r="BP90" s="9" t="s">
        <v>101</v>
      </c>
      <c r="BQ90" s="9"/>
      <c r="BR90" s="7"/>
      <c r="BS90" s="9">
        <f>IF(Q90&lt;=1600,Q90*18,IF(Q90&lt;=2500,Q90*19,IF(Q90&gt;2500,Q90*24,20000)))</f>
        <v>47443</v>
      </c>
      <c r="BT90" s="7" t="s">
        <v>140</v>
      </c>
      <c r="BU90" s="22"/>
      <c r="BV90" s="9"/>
      <c r="BW90" s="14"/>
      <c r="BX90" s="9"/>
      <c r="BY90" s="9"/>
      <c r="BZ90" s="9"/>
      <c r="CA90" s="27">
        <v>0</v>
      </c>
      <c r="CB90" s="1"/>
      <c r="CC90" s="15" t="s">
        <v>154</v>
      </c>
      <c r="CD90" s="15" t="s">
        <v>154</v>
      </c>
      <c r="CE90" s="9">
        <v>1285000</v>
      </c>
      <c r="CF90" s="9">
        <f>U90*12</f>
        <v>48</v>
      </c>
      <c r="CG90" s="9">
        <f>CF90*CE90</f>
        <v>61680000</v>
      </c>
      <c r="CH90" s="9">
        <v>18600000</v>
      </c>
      <c r="CI90" s="9">
        <v>0</v>
      </c>
      <c r="CJ90" s="9">
        <v>18600000</v>
      </c>
      <c r="CK90" s="51">
        <v>0</v>
      </c>
      <c r="CL90" s="48">
        <v>0.06</v>
      </c>
      <c r="CM90" s="16" t="s">
        <v>787</v>
      </c>
      <c r="CN90" s="9"/>
      <c r="CO90" s="9"/>
      <c r="CP90" s="27">
        <v>0.03</v>
      </c>
      <c r="CQ90" s="38"/>
      <c r="CR90" s="24" t="s">
        <v>218</v>
      </c>
      <c r="CS90" s="24">
        <v>52800</v>
      </c>
      <c r="CT90" s="24" t="s">
        <v>788</v>
      </c>
      <c r="CU90" s="24">
        <v>15000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 t="s">
        <v>128</v>
      </c>
      <c r="DD90" s="24" t="s">
        <v>129</v>
      </c>
      <c r="DE90" s="24" t="s">
        <v>113</v>
      </c>
      <c r="DF90" s="24"/>
      <c r="DG90" s="24"/>
      <c r="DH90" s="24"/>
      <c r="DI90" s="24" t="s">
        <v>789</v>
      </c>
      <c r="DJ90" s="22" t="s">
        <v>1610</v>
      </c>
      <c r="DK90" s="38">
        <v>0.3</v>
      </c>
      <c r="DL90" s="76">
        <v>0.2</v>
      </c>
      <c r="DM90" s="24"/>
      <c r="DN90" s="46"/>
      <c r="DO90" s="24"/>
      <c r="DP90" s="24"/>
      <c r="DQ90" s="38"/>
    </row>
    <row r="91" spans="2:121">
      <c r="B91" s="7">
        <v>86</v>
      </c>
      <c r="C91" s="7" t="s">
        <v>1745</v>
      </c>
      <c r="D91" s="7" t="s">
        <v>1588</v>
      </c>
      <c r="E91" s="7" t="s">
        <v>791</v>
      </c>
      <c r="F91" s="7" t="s">
        <v>792</v>
      </c>
      <c r="G91" s="7" t="s">
        <v>793</v>
      </c>
      <c r="H91" s="7" t="s">
        <v>122</v>
      </c>
      <c r="I91" s="7" t="s">
        <v>123</v>
      </c>
      <c r="J91" s="9">
        <v>119200000</v>
      </c>
      <c r="K91" s="7">
        <v>2022</v>
      </c>
      <c r="L91" s="6" t="s">
        <v>124</v>
      </c>
      <c r="M91" s="6" t="s">
        <v>90</v>
      </c>
      <c r="N91" s="7" t="s">
        <v>794</v>
      </c>
      <c r="O91" s="7" t="s">
        <v>795</v>
      </c>
      <c r="P91" s="7" t="s">
        <v>98</v>
      </c>
      <c r="Q91" s="33">
        <v>3470</v>
      </c>
      <c r="R91" s="11">
        <v>44788</v>
      </c>
      <c r="S91" s="11">
        <v>44782</v>
      </c>
      <c r="T91" s="11">
        <v>44789</v>
      </c>
      <c r="U91" s="12" t="s">
        <v>496</v>
      </c>
      <c r="V91" s="11">
        <f>IFERROR(T91+AD91, "-")</f>
        <v>46249</v>
      </c>
      <c r="W91" s="7" t="str">
        <f ca="1">IFERROR(DATEDIF(TODAY(), V91, "m"), "-")</f>
        <v>-</v>
      </c>
      <c r="X91" s="13">
        <v>30000</v>
      </c>
      <c r="Y91" s="7" t="s">
        <v>792</v>
      </c>
      <c r="Z91" s="7" t="s">
        <v>793</v>
      </c>
      <c r="AA91" s="9"/>
      <c r="AB91" s="9" t="s">
        <v>796</v>
      </c>
      <c r="AC91" s="11">
        <v>44798</v>
      </c>
      <c r="AD91" s="7">
        <f>365*U91</f>
        <v>1460</v>
      </c>
      <c r="AE91" s="7">
        <f ca="1">V91-TODAY()</f>
        <v>-3</v>
      </c>
      <c r="AF91" s="7" t="e">
        <f>VLOOKUP($C91,#REF!, 4, FALSE)</f>
        <v>#REF!</v>
      </c>
      <c r="AG91" s="9">
        <v>112256882</v>
      </c>
      <c r="AH91" s="9">
        <f>AG91*4%</f>
        <v>4490275.28</v>
      </c>
      <c r="AI91" s="9">
        <f>AG91-AH91</f>
        <v>107766606.72</v>
      </c>
      <c r="AJ91" s="9">
        <v>332000</v>
      </c>
      <c r="AK91" s="9">
        <v>2000</v>
      </c>
      <c r="AL91" s="9">
        <v>4081010</v>
      </c>
      <c r="AM91" s="9">
        <v>575914</v>
      </c>
      <c r="AN91" s="9">
        <v>5000</v>
      </c>
      <c r="AO91" s="9">
        <v>21500</v>
      </c>
      <c r="AP91" s="9">
        <v>100000</v>
      </c>
      <c r="AQ91" s="9">
        <v>2315000</v>
      </c>
      <c r="AR91" s="9">
        <v>330000</v>
      </c>
      <c r="AS91" s="9" t="s">
        <v>697</v>
      </c>
      <c r="AT91" s="9">
        <v>420000</v>
      </c>
      <c r="AU91" s="9" t="s">
        <v>698</v>
      </c>
      <c r="AV91" s="9">
        <f>4681260</f>
        <v>4681260</v>
      </c>
      <c r="AW91" s="19">
        <f>SUM(AJ91,AK91,AN91,AO91,AP91, AR91,AT91+AL91+AM91)</f>
        <v>5867424</v>
      </c>
      <c r="AX91" s="7" t="s">
        <v>196</v>
      </c>
      <c r="AY91" s="53">
        <v>44789</v>
      </c>
      <c r="AZ91" s="9">
        <v>1188980</v>
      </c>
      <c r="BA91" s="9"/>
      <c r="BB91" s="9"/>
      <c r="BC91" s="9"/>
      <c r="BD91" s="9"/>
      <c r="BE91" s="9" t="s">
        <v>93</v>
      </c>
      <c r="BF91" s="9" t="s">
        <v>94</v>
      </c>
      <c r="BG91" s="9" t="s">
        <v>95</v>
      </c>
      <c r="BH91" s="9" t="s">
        <v>96</v>
      </c>
      <c r="BI91" s="9" t="s">
        <v>97</v>
      </c>
      <c r="BJ91" s="9" t="s">
        <v>127</v>
      </c>
      <c r="BK91" s="7" t="s">
        <v>130</v>
      </c>
      <c r="BL91" s="9" t="s">
        <v>99</v>
      </c>
      <c r="BM91" s="9" t="s">
        <v>148</v>
      </c>
      <c r="BN91" s="9" t="s">
        <v>148</v>
      </c>
      <c r="BO91" s="9" t="s">
        <v>148</v>
      </c>
      <c r="BP91" s="9" t="s">
        <v>713</v>
      </c>
      <c r="BQ91" s="9" t="s">
        <v>700</v>
      </c>
      <c r="BR91" s="7"/>
      <c r="BS91" s="9">
        <f>IF(Q91&lt;=1600,Q91*18,IF(Q91&lt;=2500,Q91*19,IF(Q91&gt;2500,Q91*24,20000)))</f>
        <v>83280</v>
      </c>
      <c r="BT91" s="7" t="s">
        <v>140</v>
      </c>
      <c r="BU91" s="22"/>
      <c r="BV91" s="9"/>
      <c r="BW91" s="14"/>
      <c r="BX91" s="9"/>
      <c r="BY91" s="9"/>
      <c r="BZ91" s="9"/>
      <c r="CA91" s="27">
        <v>0</v>
      </c>
      <c r="CB91" s="1"/>
      <c r="CC91" s="15" t="s">
        <v>154</v>
      </c>
      <c r="CD91" s="15" t="s">
        <v>154</v>
      </c>
      <c r="CE91" s="9">
        <v>2399000</v>
      </c>
      <c r="CF91" s="9">
        <f>U91*12</f>
        <v>48</v>
      </c>
      <c r="CG91" s="9">
        <f>CF91*CE91</f>
        <v>115152000</v>
      </c>
      <c r="CH91" s="9">
        <v>35760000</v>
      </c>
      <c r="CI91" s="9">
        <v>14240000</v>
      </c>
      <c r="CJ91" s="9">
        <v>35760000</v>
      </c>
      <c r="CK91" s="51">
        <v>9.8799999999999999E-2</v>
      </c>
      <c r="CL91" s="48">
        <v>0.06</v>
      </c>
      <c r="CM91" s="16" t="s">
        <v>797</v>
      </c>
      <c r="CN91" s="9"/>
      <c r="CO91" s="9"/>
      <c r="CP91" s="27">
        <v>0.03</v>
      </c>
      <c r="CQ91" s="38"/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 t="s">
        <v>128</v>
      </c>
      <c r="DD91" s="24" t="s">
        <v>129</v>
      </c>
      <c r="DE91" s="24" t="s">
        <v>113</v>
      </c>
      <c r="DF91" s="24"/>
      <c r="DG91" s="24"/>
      <c r="DH91" s="24"/>
      <c r="DI91" s="24" t="s">
        <v>798</v>
      </c>
      <c r="DJ91" s="18" t="s">
        <v>796</v>
      </c>
      <c r="DK91" s="38">
        <v>0.3</v>
      </c>
      <c r="DL91" s="76">
        <v>0.2</v>
      </c>
      <c r="DM91" s="24"/>
      <c r="DN91" s="46"/>
      <c r="DO91" s="24"/>
      <c r="DP91" s="24"/>
      <c r="DQ91" s="38"/>
    </row>
    <row r="92" spans="2:121">
      <c r="B92" s="7">
        <v>87</v>
      </c>
      <c r="C92" s="7" t="s">
        <v>799</v>
      </c>
      <c r="D92" s="36" t="s">
        <v>1585</v>
      </c>
      <c r="E92" s="7" t="s">
        <v>800</v>
      </c>
      <c r="F92" s="7" t="s">
        <v>800</v>
      </c>
      <c r="G92" s="7" t="s">
        <v>801</v>
      </c>
      <c r="H92" s="7" t="s">
        <v>802</v>
      </c>
      <c r="I92" s="7" t="s">
        <v>98</v>
      </c>
      <c r="J92" s="9">
        <v>163584000</v>
      </c>
      <c r="K92" s="7">
        <v>2022</v>
      </c>
      <c r="L92" s="6" t="s">
        <v>803</v>
      </c>
      <c r="M92" s="6" t="s">
        <v>90</v>
      </c>
      <c r="N92" s="7" t="s">
        <v>804</v>
      </c>
      <c r="O92" s="7" t="s">
        <v>805</v>
      </c>
      <c r="P92" s="7" t="s">
        <v>98</v>
      </c>
      <c r="Q92" s="33">
        <v>2925</v>
      </c>
      <c r="R92" s="11">
        <v>44784</v>
      </c>
      <c r="S92" s="11">
        <v>44782</v>
      </c>
      <c r="T92" s="11">
        <v>44785</v>
      </c>
      <c r="U92" s="12" t="s">
        <v>91</v>
      </c>
      <c r="V92" s="11">
        <f>IFERROR(T92+AD92, "-")</f>
        <v>46610</v>
      </c>
      <c r="W92" s="7">
        <f ca="1">IFERROR(DATEDIF(TODAY(), V92, "m"), "-")</f>
        <v>11</v>
      </c>
      <c r="X92" s="13">
        <v>30000</v>
      </c>
      <c r="Y92" s="7" t="s">
        <v>800</v>
      </c>
      <c r="Z92" s="7" t="s">
        <v>801</v>
      </c>
      <c r="AA92" s="9"/>
      <c r="AB92" s="9" t="s">
        <v>806</v>
      </c>
      <c r="AC92" s="11">
        <v>44798</v>
      </c>
      <c r="AD92" s="7">
        <f>365*U92</f>
        <v>1825</v>
      </c>
      <c r="AE92" s="7">
        <f ca="1">V92-TODAY()</f>
        <v>358</v>
      </c>
      <c r="AF92" s="7" t="e">
        <f>VLOOKUP($C92,#REF!, 4, FALSE)</f>
        <v>#REF!</v>
      </c>
      <c r="AG92" s="9">
        <v>163584000</v>
      </c>
      <c r="AH92" s="9"/>
      <c r="AI92" s="9">
        <v>148712728</v>
      </c>
      <c r="AJ92" s="9"/>
      <c r="AK92" s="9"/>
      <c r="AL92" s="9">
        <v>5948500</v>
      </c>
      <c r="AM92" s="9">
        <v>709570</v>
      </c>
      <c r="AN92" s="9">
        <v>5000</v>
      </c>
      <c r="AO92" s="9">
        <v>21500</v>
      </c>
      <c r="AP92" s="9">
        <v>65000</v>
      </c>
      <c r="AQ92" s="9"/>
      <c r="AR92" s="9"/>
      <c r="AS92" s="9" t="s">
        <v>145</v>
      </c>
      <c r="AT92" s="9"/>
      <c r="AU92" s="9" t="s">
        <v>807</v>
      </c>
      <c r="AV92" s="9">
        <f>6749590</f>
        <v>6749590</v>
      </c>
      <c r="AW92" s="19">
        <f>SUM(AJ92,AK92,AN92,AO92,AP92, AR92,AT92+AL92+AM92)</f>
        <v>6749570</v>
      </c>
      <c r="AX92" s="18" t="s">
        <v>92</v>
      </c>
      <c r="AY92" s="53">
        <v>44784</v>
      </c>
      <c r="AZ92" s="9">
        <v>1307320</v>
      </c>
      <c r="BA92" s="9"/>
      <c r="BB92" s="9"/>
      <c r="BC92" s="9"/>
      <c r="BD92" s="9"/>
      <c r="BE92" s="9" t="s">
        <v>93</v>
      </c>
      <c r="BF92" s="9" t="s">
        <v>94</v>
      </c>
      <c r="BG92" s="9" t="s">
        <v>95</v>
      </c>
      <c r="BH92" s="9" t="s">
        <v>96</v>
      </c>
      <c r="BI92" s="9" t="s">
        <v>97</v>
      </c>
      <c r="BJ92" s="9" t="s">
        <v>127</v>
      </c>
      <c r="BK92" s="7" t="s">
        <v>631</v>
      </c>
      <c r="BL92" s="9" t="s">
        <v>99</v>
      </c>
      <c r="BM92" s="9" t="s">
        <v>148</v>
      </c>
      <c r="BN92" s="9" t="s">
        <v>100</v>
      </c>
      <c r="BO92" s="9" t="s">
        <v>101</v>
      </c>
      <c r="BP92" s="9" t="s">
        <v>101</v>
      </c>
      <c r="BQ92" s="9"/>
      <c r="BR92" s="7"/>
      <c r="BS92" s="9">
        <f>IF(Q92&lt;=1600,Q92*18,IF(Q92&lt;=2500,Q92*19,IF(Q92&gt;2500,Q92*24,20000)))</f>
        <v>70200</v>
      </c>
      <c r="BT92" s="7" t="s">
        <v>140</v>
      </c>
      <c r="BU92" s="22"/>
      <c r="BV92" s="9"/>
      <c r="BW92" s="14"/>
      <c r="BX92" s="9"/>
      <c r="BY92" s="9"/>
      <c r="BZ92" s="9"/>
      <c r="CA92" s="27">
        <v>0</v>
      </c>
      <c r="CB92" s="1"/>
      <c r="CC92" s="15" t="s">
        <v>154</v>
      </c>
      <c r="CD92" s="15" t="s">
        <v>154</v>
      </c>
      <c r="CE92" s="9">
        <v>2737000</v>
      </c>
      <c r="CF92" s="9">
        <f>U92*12</f>
        <v>60</v>
      </c>
      <c r="CG92" s="9">
        <f>CF92*CE92</f>
        <v>164220000</v>
      </c>
      <c r="CH92" s="9">
        <v>51120000</v>
      </c>
      <c r="CI92" s="9">
        <v>0</v>
      </c>
      <c r="CJ92" s="9">
        <v>63048000</v>
      </c>
      <c r="CK92" s="51">
        <v>1.34E-2</v>
      </c>
      <c r="CL92" s="48">
        <v>0.06</v>
      </c>
      <c r="CM92" s="16" t="s">
        <v>808</v>
      </c>
      <c r="CN92" s="9"/>
      <c r="CO92" s="9"/>
      <c r="CP92" s="27">
        <v>0.03</v>
      </c>
      <c r="CQ92" s="38"/>
      <c r="CR92" s="24">
        <v>0</v>
      </c>
      <c r="CS92" s="24">
        <v>0</v>
      </c>
      <c r="CT92" s="24">
        <v>0</v>
      </c>
      <c r="CU92" s="24">
        <v>0</v>
      </c>
      <c r="CV92" s="24">
        <v>0</v>
      </c>
      <c r="CW92" s="24">
        <v>0</v>
      </c>
      <c r="CX92" s="24">
        <v>0</v>
      </c>
      <c r="CY92" s="24">
        <v>0</v>
      </c>
      <c r="CZ92" s="24">
        <v>0</v>
      </c>
      <c r="DA92" s="24">
        <v>0</v>
      </c>
      <c r="DB92" s="24">
        <v>0</v>
      </c>
      <c r="DC92" s="24" t="s">
        <v>809</v>
      </c>
      <c r="DD92" s="24" t="s">
        <v>489</v>
      </c>
      <c r="DE92" s="24" t="s">
        <v>810</v>
      </c>
      <c r="DF92" s="24"/>
      <c r="DG92" s="24"/>
      <c r="DH92" s="24"/>
      <c r="DI92" s="24" t="s">
        <v>811</v>
      </c>
      <c r="DJ92" s="22" t="s">
        <v>1610</v>
      </c>
      <c r="DK92" s="38">
        <v>0.3</v>
      </c>
      <c r="DL92" s="76">
        <v>0.2</v>
      </c>
      <c r="DM92" s="24"/>
      <c r="DN92" s="46"/>
      <c r="DO92" s="24"/>
      <c r="DP92" s="24"/>
      <c r="DQ92" s="38"/>
    </row>
    <row r="93" spans="2:121">
      <c r="B93" s="7">
        <v>88</v>
      </c>
      <c r="C93" s="7" t="s">
        <v>1419</v>
      </c>
      <c r="D93" s="7" t="s">
        <v>1588</v>
      </c>
      <c r="E93" s="7" t="s">
        <v>813</v>
      </c>
      <c r="F93" s="7" t="s">
        <v>814</v>
      </c>
      <c r="G93" s="7" t="s">
        <v>815</v>
      </c>
      <c r="H93" s="7" t="s">
        <v>180</v>
      </c>
      <c r="I93" s="7" t="s">
        <v>816</v>
      </c>
      <c r="J93" s="9">
        <v>64000000</v>
      </c>
      <c r="K93" s="7">
        <v>2023</v>
      </c>
      <c r="L93" s="6" t="s">
        <v>124</v>
      </c>
      <c r="M93" s="6" t="s">
        <v>90</v>
      </c>
      <c r="N93" s="7" t="s">
        <v>817</v>
      </c>
      <c r="O93" s="7" t="s">
        <v>818</v>
      </c>
      <c r="P93" s="7" t="s">
        <v>98</v>
      </c>
      <c r="Q93" s="33">
        <v>2497</v>
      </c>
      <c r="R93" s="11">
        <v>44881</v>
      </c>
      <c r="S93" s="11">
        <v>44858</v>
      </c>
      <c r="T93" s="11">
        <v>44896</v>
      </c>
      <c r="U93" s="12" t="s">
        <v>496</v>
      </c>
      <c r="V93" s="11">
        <f>IFERROR(T93+AD93, "-")</f>
        <v>46356</v>
      </c>
      <c r="W93" s="7">
        <f ca="1">IFERROR(DATEDIF(TODAY(), V93, "m"), "-")</f>
        <v>3</v>
      </c>
      <c r="X93" s="13">
        <v>30000</v>
      </c>
      <c r="Y93" s="7" t="s">
        <v>814</v>
      </c>
      <c r="Z93" s="7" t="s">
        <v>815</v>
      </c>
      <c r="AA93" s="9"/>
      <c r="AB93" s="9" t="s">
        <v>819</v>
      </c>
      <c r="AC93" s="11">
        <v>44920</v>
      </c>
      <c r="AD93" s="7">
        <f>365*U93</f>
        <v>1460</v>
      </c>
      <c r="AE93" s="7">
        <f ca="1">V93-TODAY()</f>
        <v>104</v>
      </c>
      <c r="AF93" s="7" t="e">
        <f>VLOOKUP($C93,#REF!, 4, FALSE)</f>
        <v>#REF!</v>
      </c>
      <c r="AG93" s="9">
        <v>59925897</v>
      </c>
      <c r="AH93" s="9">
        <v>3906103</v>
      </c>
      <c r="AI93" s="9">
        <f>AG93-AH93</f>
        <v>56019794</v>
      </c>
      <c r="AJ93" s="9">
        <v>332000</v>
      </c>
      <c r="AK93" s="9">
        <v>2000</v>
      </c>
      <c r="AL93" s="9">
        <v>2197300</v>
      </c>
      <c r="AM93" s="9">
        <v>348768</v>
      </c>
      <c r="AN93" s="9">
        <v>2000</v>
      </c>
      <c r="AO93" s="9">
        <v>45000</v>
      </c>
      <c r="AP93" s="9">
        <v>50000</v>
      </c>
      <c r="AQ93" s="9"/>
      <c r="AR93" s="9">
        <v>154000</v>
      </c>
      <c r="AS93" s="9" t="s">
        <v>820</v>
      </c>
      <c r="AT93" s="9">
        <v>198000</v>
      </c>
      <c r="AU93" s="9" t="s">
        <v>126</v>
      </c>
      <c r="AV93" s="9">
        <v>2633068</v>
      </c>
      <c r="AW93" s="19">
        <f>SUM(AJ93,AK93,AN93,AO93,AP93, AR93,AT93+AL93+AM93)</f>
        <v>3329068</v>
      </c>
      <c r="AX93" s="7" t="s">
        <v>196</v>
      </c>
      <c r="AY93" s="53">
        <v>44881</v>
      </c>
      <c r="AZ93" s="9">
        <v>1053080</v>
      </c>
      <c r="BA93" s="9"/>
      <c r="BB93" s="9"/>
      <c r="BC93" s="9"/>
      <c r="BD93" s="9"/>
      <c r="BE93" s="9" t="s">
        <v>93</v>
      </c>
      <c r="BF93" s="9" t="s">
        <v>94</v>
      </c>
      <c r="BG93" s="9" t="s">
        <v>95</v>
      </c>
      <c r="BH93" s="9" t="s">
        <v>96</v>
      </c>
      <c r="BI93" s="9" t="s">
        <v>97</v>
      </c>
      <c r="BJ93" s="9" t="s">
        <v>127</v>
      </c>
      <c r="BK93" s="7" t="s">
        <v>130</v>
      </c>
      <c r="BL93" s="9" t="s">
        <v>99</v>
      </c>
      <c r="BM93" s="9" t="s">
        <v>148</v>
      </c>
      <c r="BN93" s="9" t="s">
        <v>100</v>
      </c>
      <c r="BO93" s="9" t="s">
        <v>101</v>
      </c>
      <c r="BP93" s="9" t="s">
        <v>101</v>
      </c>
      <c r="BQ93" s="9"/>
      <c r="BR93" s="7"/>
      <c r="BS93" s="9">
        <f>IF(Q93&lt;=1600,Q93*18,IF(Q93&lt;=2500,Q93*19,IF(Q93&gt;2500,Q93*24,20000)))</f>
        <v>47443</v>
      </c>
      <c r="BT93" s="7" t="s">
        <v>140</v>
      </c>
      <c r="BU93" s="22"/>
      <c r="BV93" s="9"/>
      <c r="BW93" s="14"/>
      <c r="BX93" s="9"/>
      <c r="BY93" s="9"/>
      <c r="BZ93" s="9"/>
      <c r="CA93" s="27">
        <v>0</v>
      </c>
      <c r="CB93" s="1"/>
      <c r="CC93" s="15" t="s">
        <v>154</v>
      </c>
      <c r="CD93" s="15" t="s">
        <v>154</v>
      </c>
      <c r="CE93" s="9">
        <v>1208000</v>
      </c>
      <c r="CF93" s="9">
        <f>U93*12</f>
        <v>48</v>
      </c>
      <c r="CG93" s="9">
        <f>CF93*CE93</f>
        <v>57984000</v>
      </c>
      <c r="CH93" s="9">
        <v>27389000</v>
      </c>
      <c r="CI93" s="9">
        <v>0</v>
      </c>
      <c r="CJ93" s="9">
        <v>27389000</v>
      </c>
      <c r="CK93" s="51">
        <v>7.6999999999999999E-2</v>
      </c>
      <c r="CL93" s="48">
        <v>0.06</v>
      </c>
      <c r="CM93" s="16" t="s">
        <v>821</v>
      </c>
      <c r="CN93" s="9"/>
      <c r="CO93" s="9" t="s">
        <v>822</v>
      </c>
      <c r="CP93" s="27">
        <v>0.03</v>
      </c>
      <c r="CQ93" s="38"/>
      <c r="CR93" s="24" t="s">
        <v>218</v>
      </c>
      <c r="CS93" s="24">
        <v>52800</v>
      </c>
      <c r="CT93" s="24" t="s">
        <v>823</v>
      </c>
      <c r="CU93" s="24">
        <v>40000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 t="s">
        <v>128</v>
      </c>
      <c r="DD93" s="24" t="s">
        <v>129</v>
      </c>
      <c r="DE93" s="24" t="s">
        <v>113</v>
      </c>
      <c r="DF93" s="24"/>
      <c r="DG93" s="24" t="s">
        <v>824</v>
      </c>
      <c r="DH93" s="24" t="s">
        <v>825</v>
      </c>
      <c r="DI93" s="24" t="s">
        <v>1411</v>
      </c>
      <c r="DJ93" s="24" t="s">
        <v>826</v>
      </c>
      <c r="DK93" s="38">
        <v>0.35</v>
      </c>
      <c r="DL93" s="76">
        <v>0.2</v>
      </c>
      <c r="DM93" s="24"/>
      <c r="DN93" s="46"/>
      <c r="DO93" s="24"/>
      <c r="DP93" s="24"/>
      <c r="DQ93" s="38"/>
    </row>
    <row r="94" spans="2:121">
      <c r="B94" s="7">
        <v>89</v>
      </c>
      <c r="C94" s="7" t="s">
        <v>827</v>
      </c>
      <c r="D94" s="36" t="s">
        <v>1585</v>
      </c>
      <c r="E94" s="7" t="s">
        <v>828</v>
      </c>
      <c r="F94" s="7" t="s">
        <v>1566</v>
      </c>
      <c r="G94" s="7" t="s">
        <v>830</v>
      </c>
      <c r="H94" s="7" t="s">
        <v>831</v>
      </c>
      <c r="I94" s="7" t="s">
        <v>832</v>
      </c>
      <c r="J94" s="9">
        <v>50830000</v>
      </c>
      <c r="K94" s="7">
        <v>2023</v>
      </c>
      <c r="L94" s="6" t="s">
        <v>833</v>
      </c>
      <c r="M94" s="6" t="s">
        <v>90</v>
      </c>
      <c r="N94" s="7" t="s">
        <v>834</v>
      </c>
      <c r="O94" s="7" t="s">
        <v>835</v>
      </c>
      <c r="P94" s="7" t="s">
        <v>98</v>
      </c>
      <c r="Q94" s="33">
        <v>1598</v>
      </c>
      <c r="R94" s="11">
        <v>44963</v>
      </c>
      <c r="S94" s="11">
        <v>45217</v>
      </c>
      <c r="T94" s="11">
        <v>45217</v>
      </c>
      <c r="U94" s="12" t="s">
        <v>91</v>
      </c>
      <c r="V94" s="11">
        <f>IFERROR(T94+AD94, "-")</f>
        <v>47042</v>
      </c>
      <c r="W94" s="7">
        <f ca="1">IFERROR(DATEDIF(TODAY(), V94, "m"), "-")</f>
        <v>25</v>
      </c>
      <c r="X94" s="9">
        <v>20000</v>
      </c>
      <c r="Y94" s="7" t="s">
        <v>829</v>
      </c>
      <c r="Z94" s="7" t="s">
        <v>830</v>
      </c>
      <c r="AA94" s="9"/>
      <c r="AB94" s="9" t="s">
        <v>836</v>
      </c>
      <c r="AC94" s="11">
        <v>45255</v>
      </c>
      <c r="AD94" s="7">
        <f>365*U94</f>
        <v>1825</v>
      </c>
      <c r="AE94" s="7">
        <f ca="1">V94-TODAY()</f>
        <v>790</v>
      </c>
      <c r="AF94" s="7" t="e">
        <f>VLOOKUP($C94,#REF!, 4, FALSE)</f>
        <v>#REF!</v>
      </c>
      <c r="AG94" s="9">
        <v>47779700</v>
      </c>
      <c r="AH94" s="9">
        <v>3102300</v>
      </c>
      <c r="AI94" s="9">
        <f>AG94-AH94</f>
        <v>44677400</v>
      </c>
      <c r="AJ94" s="9">
        <v>152000</v>
      </c>
      <c r="AK94" s="9">
        <v>2000</v>
      </c>
      <c r="AL94" s="9"/>
      <c r="AM94" s="9"/>
      <c r="AN94" s="9"/>
      <c r="AO94" s="9"/>
      <c r="AP94" s="9"/>
      <c r="AQ94" s="9">
        <v>1410000</v>
      </c>
      <c r="AR94" s="9"/>
      <c r="AS94" s="38" t="s">
        <v>187</v>
      </c>
      <c r="AT94" s="9"/>
      <c r="AU94" s="9" t="s">
        <v>837</v>
      </c>
      <c r="AV94" s="9">
        <f>1838070</f>
        <v>1838070</v>
      </c>
      <c r="AW94" s="19"/>
      <c r="AX94" s="7" t="s">
        <v>189</v>
      </c>
      <c r="AY94" s="53"/>
      <c r="AZ94" s="9">
        <f>1000360</f>
        <v>1000360</v>
      </c>
      <c r="BA94" s="9"/>
      <c r="BB94" s="9"/>
      <c r="BC94" s="9"/>
      <c r="BD94" s="9"/>
      <c r="BE94" s="9" t="s">
        <v>93</v>
      </c>
      <c r="BF94" s="9" t="s">
        <v>94</v>
      </c>
      <c r="BG94" s="9" t="s">
        <v>117</v>
      </c>
      <c r="BH94" s="9" t="s">
        <v>118</v>
      </c>
      <c r="BI94" s="9" t="s">
        <v>97</v>
      </c>
      <c r="BJ94" s="9" t="s">
        <v>119</v>
      </c>
      <c r="BK94" s="7" t="s">
        <v>130</v>
      </c>
      <c r="BL94" s="9" t="s">
        <v>99</v>
      </c>
      <c r="BM94" s="9" t="s">
        <v>148</v>
      </c>
      <c r="BN94" s="9" t="s">
        <v>100</v>
      </c>
      <c r="BO94" s="9" t="s">
        <v>101</v>
      </c>
      <c r="BP94" s="9" t="s">
        <v>101</v>
      </c>
      <c r="BQ94" s="9"/>
      <c r="BR94" s="7"/>
      <c r="BS94" s="9">
        <f>IF(Q94&lt;=1600,Q94*18,IF(Q94&lt;=2500,Q94*19,IF(Q94&gt;2500,Q94*24,20000)))</f>
        <v>28764</v>
      </c>
      <c r="BT94" s="7" t="s">
        <v>140</v>
      </c>
      <c r="BU94" s="22"/>
      <c r="BV94" s="9"/>
      <c r="BW94" s="14"/>
      <c r="BX94" s="9"/>
      <c r="BY94" s="9"/>
      <c r="BZ94" s="9"/>
      <c r="CA94" s="27">
        <v>0</v>
      </c>
      <c r="CB94" s="1"/>
      <c r="CC94" s="15" t="s">
        <v>154</v>
      </c>
      <c r="CD94" s="15" t="s">
        <v>154</v>
      </c>
      <c r="CE94" s="9">
        <v>897000</v>
      </c>
      <c r="CF94" s="9">
        <f>U94*12</f>
        <v>60</v>
      </c>
      <c r="CG94" s="9">
        <f>CF94*CE94</f>
        <v>53820000</v>
      </c>
      <c r="CH94" s="9">
        <v>9984000</v>
      </c>
      <c r="CI94" s="9">
        <v>0</v>
      </c>
      <c r="CJ94" s="9">
        <v>17472000</v>
      </c>
      <c r="CK94" s="51">
        <v>0</v>
      </c>
      <c r="CL94" s="48">
        <v>0.06</v>
      </c>
      <c r="CM94" s="16" t="s">
        <v>838</v>
      </c>
      <c r="CN94" s="9"/>
      <c r="CO94" s="9"/>
      <c r="CP94" s="27">
        <v>0.03</v>
      </c>
      <c r="CQ94" s="38"/>
      <c r="CR94" s="24" t="s">
        <v>839</v>
      </c>
      <c r="CS94" s="24">
        <v>198000</v>
      </c>
      <c r="CT94" s="24" t="s">
        <v>218</v>
      </c>
      <c r="CU94" s="24">
        <v>53300</v>
      </c>
      <c r="CV94" s="24" t="s">
        <v>840</v>
      </c>
      <c r="CW94" s="24">
        <v>132000</v>
      </c>
      <c r="CX94" s="24" t="s">
        <v>39</v>
      </c>
      <c r="CY94" s="24"/>
      <c r="CZ94" s="24"/>
      <c r="DA94" s="24"/>
      <c r="DB94" s="24"/>
      <c r="DC94" s="24" t="s">
        <v>128</v>
      </c>
      <c r="DD94" s="24" t="s">
        <v>129</v>
      </c>
      <c r="DE94" s="24" t="str">
        <f>IF(DD94="정수원 실장","렌트베네핏", IF(DD94="박현식 부장", "렌트베네핏", IF(DD94="김성진 팀장", "청담", IF(DD94="전석영 부장", "방배", IF(DD94= "박봉호 부장", "일산",IF(DD142="정원철 부장", "청담"))))))</f>
        <v>렌트베네핏</v>
      </c>
      <c r="DF94" s="24"/>
      <c r="DG94" s="24" t="s">
        <v>702</v>
      </c>
      <c r="DH94" s="24" t="s">
        <v>841</v>
      </c>
      <c r="DI94" s="24" t="s">
        <v>842</v>
      </c>
      <c r="DJ94" s="24" t="s">
        <v>843</v>
      </c>
      <c r="DK94" s="38">
        <v>0.35</v>
      </c>
      <c r="DL94" s="76">
        <v>0.2</v>
      </c>
      <c r="DM94" s="24"/>
      <c r="DN94" s="46"/>
      <c r="DO94" s="24"/>
      <c r="DP94" s="24"/>
      <c r="DQ94" s="38"/>
    </row>
    <row r="95" spans="2:121">
      <c r="B95" s="7">
        <v>90</v>
      </c>
      <c r="C95" s="7" t="s">
        <v>844</v>
      </c>
      <c r="D95" s="36" t="s">
        <v>1585</v>
      </c>
      <c r="E95" s="7" t="s">
        <v>845</v>
      </c>
      <c r="F95" s="7" t="s">
        <v>846</v>
      </c>
      <c r="G95" s="7" t="s">
        <v>847</v>
      </c>
      <c r="H95" s="7" t="s">
        <v>848</v>
      </c>
      <c r="I95" s="7" t="s">
        <v>849</v>
      </c>
      <c r="J95" s="9">
        <v>67460000</v>
      </c>
      <c r="K95" s="7">
        <v>2023</v>
      </c>
      <c r="L95" s="6" t="s">
        <v>658</v>
      </c>
      <c r="M95" s="6" t="s">
        <v>90</v>
      </c>
      <c r="N95" s="7" t="s">
        <v>850</v>
      </c>
      <c r="O95" s="7" t="s">
        <v>851</v>
      </c>
      <c r="P95" s="7" t="s">
        <v>98</v>
      </c>
      <c r="Q95" s="33">
        <v>1999</v>
      </c>
      <c r="R95" s="11">
        <v>45016</v>
      </c>
      <c r="S95" s="11">
        <v>45012</v>
      </c>
      <c r="T95" s="11">
        <v>45016</v>
      </c>
      <c r="U95" s="12" t="s">
        <v>91</v>
      </c>
      <c r="V95" s="11">
        <f>IFERROR(T95+AD95, "-")</f>
        <v>46841</v>
      </c>
      <c r="W95" s="7">
        <f ca="1">IFERROR(DATEDIF(TODAY(), V95, "m"), "-")</f>
        <v>19</v>
      </c>
      <c r="X95" s="13">
        <v>20000</v>
      </c>
      <c r="Y95" s="7" t="s">
        <v>846</v>
      </c>
      <c r="Z95" s="7" t="s">
        <v>847</v>
      </c>
      <c r="AA95" s="9"/>
      <c r="AB95" s="9" t="s">
        <v>852</v>
      </c>
      <c r="AC95" s="11">
        <v>45041</v>
      </c>
      <c r="AD95" s="7">
        <f>365*U95</f>
        <v>1825</v>
      </c>
      <c r="AE95" s="7">
        <f ca="1">V95-TODAY()</f>
        <v>589</v>
      </c>
      <c r="AF95" s="7" t="e">
        <f>VLOOKUP($C95,#REF!, 4, FALSE)</f>
        <v>#REF!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 t="s">
        <v>145</v>
      </c>
      <c r="AT95" s="9"/>
      <c r="AU95" s="9" t="s">
        <v>853</v>
      </c>
      <c r="AV95" s="9"/>
      <c r="AW95" s="19"/>
      <c r="AX95" s="7" t="s">
        <v>189</v>
      </c>
      <c r="AY95" s="53"/>
      <c r="AZ95" s="9"/>
      <c r="BA95" s="9"/>
      <c r="BB95" s="9"/>
      <c r="BC95" s="9"/>
      <c r="BD95" s="9"/>
      <c r="BE95" s="9" t="s">
        <v>93</v>
      </c>
      <c r="BF95" s="9" t="s">
        <v>94</v>
      </c>
      <c r="BG95" s="9" t="s">
        <v>95</v>
      </c>
      <c r="BH95" s="9" t="s">
        <v>96</v>
      </c>
      <c r="BI95" s="9" t="s">
        <v>97</v>
      </c>
      <c r="BJ95" s="9" t="s">
        <v>127</v>
      </c>
      <c r="BK95" s="7" t="s">
        <v>130</v>
      </c>
      <c r="BL95" s="9" t="s">
        <v>99</v>
      </c>
      <c r="BM95" s="9" t="s">
        <v>148</v>
      </c>
      <c r="BN95" s="9" t="s">
        <v>100</v>
      </c>
      <c r="BO95" s="9" t="s">
        <v>101</v>
      </c>
      <c r="BP95" s="9" t="s">
        <v>101</v>
      </c>
      <c r="BQ95" s="44" t="s">
        <v>854</v>
      </c>
      <c r="BR95" s="7"/>
      <c r="BS95" s="9">
        <f>IF(Q95&lt;=1600,Q95*18,IF(Q95&lt;=2500,Q95*19,IF(Q95&gt;2500,Q95*24,20000)))</f>
        <v>37981</v>
      </c>
      <c r="BT95" s="7" t="s">
        <v>140</v>
      </c>
      <c r="BU95" s="22"/>
      <c r="BV95" s="9"/>
      <c r="BW95" s="14"/>
      <c r="BX95" s="9"/>
      <c r="BY95" s="9"/>
      <c r="BZ95" s="9"/>
      <c r="CA95" s="27"/>
      <c r="CB95" s="87"/>
      <c r="CC95" s="15" t="s">
        <v>154</v>
      </c>
      <c r="CD95" s="15" t="s">
        <v>154</v>
      </c>
      <c r="CE95" s="9">
        <v>1398000</v>
      </c>
      <c r="CF95" s="9">
        <v>60</v>
      </c>
      <c r="CG95" s="9">
        <f>CF95*CE95</f>
        <v>83880000</v>
      </c>
      <c r="CH95" s="9">
        <v>20238000</v>
      </c>
      <c r="CI95" s="9">
        <v>0</v>
      </c>
      <c r="CJ95" s="9">
        <v>20238000</v>
      </c>
      <c r="CK95" s="51">
        <v>0.11600000000000001</v>
      </c>
      <c r="CL95" s="48">
        <v>0.06</v>
      </c>
      <c r="CM95" s="16" t="s">
        <v>855</v>
      </c>
      <c r="CN95" s="9"/>
      <c r="CO95" s="9" t="s">
        <v>847</v>
      </c>
      <c r="CP95" s="27">
        <v>0.03</v>
      </c>
      <c r="CQ95" s="38"/>
      <c r="CR95" s="24" t="s">
        <v>856</v>
      </c>
      <c r="CS95" s="24"/>
      <c r="CT95" s="24" t="s">
        <v>788</v>
      </c>
      <c r="CU95" s="24"/>
      <c r="CV95" s="24" t="s">
        <v>857</v>
      </c>
      <c r="CW95" s="24"/>
      <c r="CX95" s="24" t="s">
        <v>858</v>
      </c>
      <c r="CY95" s="24"/>
      <c r="CZ95" s="24" t="s">
        <v>859</v>
      </c>
      <c r="DA95" s="24"/>
      <c r="DB95" s="24"/>
      <c r="DC95" s="24" t="s">
        <v>860</v>
      </c>
      <c r="DD95" s="25" t="s">
        <v>112</v>
      </c>
      <c r="DE95" s="24" t="s">
        <v>861</v>
      </c>
      <c r="DF95" s="24"/>
      <c r="DG95" s="24" t="s">
        <v>824</v>
      </c>
      <c r="DH95" s="24" t="s">
        <v>862</v>
      </c>
      <c r="DI95" s="24" t="s">
        <v>863</v>
      </c>
      <c r="DJ95" s="24" t="s">
        <v>864</v>
      </c>
      <c r="DK95" s="38">
        <v>0.35</v>
      </c>
      <c r="DL95" s="76">
        <v>0.2</v>
      </c>
      <c r="DM95" s="24"/>
      <c r="DN95" s="46"/>
      <c r="DO95" s="24"/>
      <c r="DP95" s="24"/>
      <c r="DQ95" s="38"/>
    </row>
    <row r="96" spans="2:121">
      <c r="B96" s="7">
        <v>91</v>
      </c>
      <c r="C96" s="7" t="s">
        <v>865</v>
      </c>
      <c r="D96" s="36" t="s">
        <v>1585</v>
      </c>
      <c r="E96" s="7" t="s">
        <v>866</v>
      </c>
      <c r="F96" s="7" t="s">
        <v>866</v>
      </c>
      <c r="G96" s="7" t="s">
        <v>867</v>
      </c>
      <c r="H96" s="7" t="s">
        <v>114</v>
      </c>
      <c r="I96" s="7" t="s">
        <v>115</v>
      </c>
      <c r="J96" s="9">
        <v>43335800</v>
      </c>
      <c r="K96" s="7">
        <v>2023</v>
      </c>
      <c r="L96" s="45" t="s">
        <v>868</v>
      </c>
      <c r="M96" s="6" t="s">
        <v>90</v>
      </c>
      <c r="N96" s="7" t="s">
        <v>869</v>
      </c>
      <c r="O96" s="7" t="s">
        <v>870</v>
      </c>
      <c r="P96" s="7" t="s">
        <v>98</v>
      </c>
      <c r="Q96" s="33">
        <v>3470</v>
      </c>
      <c r="R96" s="11">
        <v>45037</v>
      </c>
      <c r="S96" s="11">
        <f>IFERROR(Q96+AA96, "-")</f>
        <v>3470</v>
      </c>
      <c r="T96" s="11">
        <v>45271</v>
      </c>
      <c r="U96" s="12" t="s">
        <v>91</v>
      </c>
      <c r="V96" s="11">
        <f>IFERROR(T96+AD96, "-")</f>
        <v>47096</v>
      </c>
      <c r="W96" s="7">
        <f ca="1">IFERROR(DATEDIF(TODAY(), V96, "m"), "-")</f>
        <v>27</v>
      </c>
      <c r="X96" s="13">
        <v>20000</v>
      </c>
      <c r="Y96" s="9" t="s">
        <v>866</v>
      </c>
      <c r="Z96" s="9" t="s">
        <v>98</v>
      </c>
      <c r="AA96" s="9"/>
      <c r="AB96" s="9" t="s">
        <v>186</v>
      </c>
      <c r="AC96" s="11">
        <v>45316</v>
      </c>
      <c r="AD96" s="7">
        <f>365*U96</f>
        <v>1825</v>
      </c>
      <c r="AE96" s="7">
        <f ca="1">V96-TODAY()</f>
        <v>844</v>
      </c>
      <c r="AF96" s="7" t="e">
        <f>VLOOKUP($C96,#REF!, 4, FALSE)</f>
        <v>#REF!</v>
      </c>
      <c r="AG96" s="9">
        <v>43335800</v>
      </c>
      <c r="AH96" s="9"/>
      <c r="AI96" s="9"/>
      <c r="AJ96" s="9">
        <v>103000</v>
      </c>
      <c r="AK96" s="9">
        <v>2000</v>
      </c>
      <c r="AL96" s="9"/>
      <c r="AM96" s="9"/>
      <c r="AN96" s="9"/>
      <c r="AO96" s="9"/>
      <c r="AP96" s="9"/>
      <c r="AQ96" s="9"/>
      <c r="AR96" s="9"/>
      <c r="AS96" s="38" t="s">
        <v>187</v>
      </c>
      <c r="AT96" s="9"/>
      <c r="AU96" s="9" t="s">
        <v>126</v>
      </c>
      <c r="AV96" s="9"/>
      <c r="AW96" s="19"/>
      <c r="AX96" s="7" t="s">
        <v>189</v>
      </c>
      <c r="AY96" s="53"/>
      <c r="AZ96" s="9"/>
      <c r="BA96" s="9"/>
      <c r="BB96" s="9"/>
      <c r="BC96" s="9"/>
      <c r="BD96" s="9"/>
      <c r="BE96" s="9" t="s">
        <v>93</v>
      </c>
      <c r="BF96" s="9" t="s">
        <v>94</v>
      </c>
      <c r="BG96" s="9" t="s">
        <v>117</v>
      </c>
      <c r="BH96" s="9" t="s">
        <v>118</v>
      </c>
      <c r="BI96" s="9" t="s">
        <v>97</v>
      </c>
      <c r="BJ96" s="9" t="s">
        <v>119</v>
      </c>
      <c r="BK96" s="7" t="s">
        <v>190</v>
      </c>
      <c r="BL96" s="9" t="s">
        <v>99</v>
      </c>
      <c r="BM96" s="9" t="s">
        <v>148</v>
      </c>
      <c r="BN96" s="9" t="s">
        <v>148</v>
      </c>
      <c r="BO96" s="9" t="s">
        <v>101</v>
      </c>
      <c r="BP96" s="9" t="s">
        <v>101</v>
      </c>
      <c r="BQ96" s="9"/>
      <c r="BR96" s="7"/>
      <c r="BS96" s="9">
        <f>IF(Q96&lt;=1600,Q96*18,IF(Q96&lt;=2500,Q96*19,IF(Q96&gt;2500,Q96*24,20000)))</f>
        <v>83280</v>
      </c>
      <c r="BT96" s="7" t="s">
        <v>140</v>
      </c>
      <c r="BU96" s="22"/>
      <c r="BV96" s="9"/>
      <c r="BW96" s="14"/>
      <c r="BX96" s="9"/>
      <c r="BY96" s="9"/>
      <c r="BZ96" s="9"/>
      <c r="CA96" s="27"/>
      <c r="CB96" s="87"/>
      <c r="CC96" s="15" t="s">
        <v>154</v>
      </c>
      <c r="CD96" s="15" t="s">
        <v>154</v>
      </c>
      <c r="CE96" s="9">
        <v>539000</v>
      </c>
      <c r="CF96" s="9">
        <v>96</v>
      </c>
      <c r="CG96" s="9">
        <f>CF96*CE96</f>
        <v>51744000</v>
      </c>
      <c r="CH96" s="9">
        <v>0</v>
      </c>
      <c r="CI96" s="9">
        <v>4000000</v>
      </c>
      <c r="CJ96" s="9">
        <v>21666500</v>
      </c>
      <c r="CK96" s="51">
        <v>0</v>
      </c>
      <c r="CL96" s="48">
        <v>0.06</v>
      </c>
      <c r="CM96" s="9"/>
      <c r="CN96" s="9"/>
      <c r="CO96" s="9"/>
      <c r="CP96" s="27">
        <v>0.03</v>
      </c>
      <c r="CQ96" s="38"/>
      <c r="CR96" s="38" t="s">
        <v>218</v>
      </c>
      <c r="CS96" s="24">
        <v>147400</v>
      </c>
      <c r="CT96" s="24" t="s">
        <v>823</v>
      </c>
      <c r="CU96" s="24">
        <f>40000*1.1</f>
        <v>44000</v>
      </c>
      <c r="CV96" s="24"/>
      <c r="CW96" s="24"/>
      <c r="CX96" s="24"/>
      <c r="CY96" s="24"/>
      <c r="CZ96" s="24"/>
      <c r="DA96" s="24"/>
      <c r="DB96" s="24"/>
      <c r="DC96" s="24" t="str">
        <f>IF(DD96="정수원 실장","기아", IF(DD96="박현식 부장", "현대", IF(DD96="김성진 팀장", "한성", IF(DD96="전석영 부장", "한성", IF(DD96= "박봉호 부장", "모토원",IF(DD96="정원철 부장", "한성"))))))</f>
        <v>기아</v>
      </c>
      <c r="DD96" s="24" t="s">
        <v>121</v>
      </c>
      <c r="DE96" s="24" t="str">
        <f>IF(DD96="정수원 실장","렌트베네핏", IF(DD96="박현식 부장", "렌트베네핏", IF(DD96="김성진 팀장", "청담", IF(DD96="전석영 부장", "방배", IF(DD96= "박봉호 부장", "일산",IF(DD141="정원철 부장", "청담"))))))</f>
        <v>렌트베네핏</v>
      </c>
      <c r="DF96" s="26"/>
      <c r="DG96" s="26"/>
      <c r="DH96" s="24"/>
      <c r="DI96" s="24"/>
      <c r="DJ96" s="22" t="s">
        <v>1610</v>
      </c>
      <c r="DK96" s="38">
        <v>0.35</v>
      </c>
      <c r="DL96" s="76">
        <v>0.2</v>
      </c>
      <c r="DM96" s="24"/>
      <c r="DN96" s="46"/>
      <c r="DO96" s="24"/>
      <c r="DP96" s="24"/>
      <c r="DQ96" s="38"/>
    </row>
    <row r="97" spans="1:121">
      <c r="B97" s="7">
        <v>92</v>
      </c>
      <c r="C97" s="38" t="s">
        <v>871</v>
      </c>
      <c r="D97" s="36" t="s">
        <v>1585</v>
      </c>
      <c r="E97" s="7" t="s">
        <v>1376</v>
      </c>
      <c r="F97" s="7" t="s">
        <v>1377</v>
      </c>
      <c r="G97" s="7" t="s">
        <v>624</v>
      </c>
      <c r="H97" s="38" t="s">
        <v>872</v>
      </c>
      <c r="I97" s="38" t="s">
        <v>873</v>
      </c>
      <c r="J97" s="46">
        <v>35790000</v>
      </c>
      <c r="K97" s="7">
        <v>2023</v>
      </c>
      <c r="L97" s="38" t="s">
        <v>874</v>
      </c>
      <c r="M97" s="38" t="s">
        <v>90</v>
      </c>
      <c r="N97" s="38" t="s">
        <v>875</v>
      </c>
      <c r="O97" s="38" t="s">
        <v>876</v>
      </c>
      <c r="P97" s="7" t="s">
        <v>98</v>
      </c>
      <c r="Q97" s="33">
        <v>1598</v>
      </c>
      <c r="R97" s="11">
        <v>45134</v>
      </c>
      <c r="S97" s="11">
        <v>45134</v>
      </c>
      <c r="T97" s="11">
        <v>45135</v>
      </c>
      <c r="U97" s="12" t="s">
        <v>496</v>
      </c>
      <c r="V97" s="11">
        <f>IFERROR(T97+AD97, "-")</f>
        <v>46595</v>
      </c>
      <c r="W97" s="7">
        <f ca="1">IFERROR(DATEDIF(TODAY(), V97, "m"), "-")</f>
        <v>11</v>
      </c>
      <c r="X97" s="13">
        <v>20000</v>
      </c>
      <c r="Y97" s="7" t="s">
        <v>623</v>
      </c>
      <c r="Z97" s="7" t="s">
        <v>624</v>
      </c>
      <c r="AA97" s="38" t="s">
        <v>98</v>
      </c>
      <c r="AB97" s="9" t="s">
        <v>630</v>
      </c>
      <c r="AC97" s="11">
        <v>45163</v>
      </c>
      <c r="AD97" s="7">
        <f>365*U97</f>
        <v>1460</v>
      </c>
      <c r="AE97" s="7">
        <f ca="1">V97-TODAY()</f>
        <v>343</v>
      </c>
      <c r="AF97" s="7" t="e">
        <f>VLOOKUP($C97,#REF!, 4, FALSE)</f>
        <v>#REF!</v>
      </c>
      <c r="AG97" s="9">
        <v>35540000</v>
      </c>
      <c r="AH97" s="46">
        <v>1798426</v>
      </c>
      <c r="AI97" s="9">
        <f>AG97-AH97</f>
        <v>33741574</v>
      </c>
      <c r="AJ97" s="9">
        <v>254000</v>
      </c>
      <c r="AK97" s="9">
        <v>2000</v>
      </c>
      <c r="AL97" s="38" t="s">
        <v>98</v>
      </c>
      <c r="AM97" s="38" t="s">
        <v>98</v>
      </c>
      <c r="AN97" s="38" t="s">
        <v>98</v>
      </c>
      <c r="AO97" s="38" t="s">
        <v>98</v>
      </c>
      <c r="AP97" s="38" t="s">
        <v>98</v>
      </c>
      <c r="AQ97" s="38" t="s">
        <v>98</v>
      </c>
      <c r="AR97" s="46">
        <f>140000*1.1</f>
        <v>154000</v>
      </c>
      <c r="AS97" s="38" t="s">
        <v>877</v>
      </c>
      <c r="AT97" s="46">
        <f>180000*1.1</f>
        <v>198000.00000000003</v>
      </c>
      <c r="AU97" s="38" t="s">
        <v>878</v>
      </c>
      <c r="AV97" s="38" t="s">
        <v>98</v>
      </c>
      <c r="AW97" s="38" t="s">
        <v>98</v>
      </c>
      <c r="AX97" s="38" t="s">
        <v>189</v>
      </c>
      <c r="AY97" s="53" t="s">
        <v>98</v>
      </c>
      <c r="AZ97" s="38" t="s">
        <v>98</v>
      </c>
      <c r="BA97" s="38" t="s">
        <v>98</v>
      </c>
      <c r="BB97" s="38" t="s">
        <v>98</v>
      </c>
      <c r="BC97" s="38" t="s">
        <v>98</v>
      </c>
      <c r="BD97" s="38"/>
      <c r="BE97" s="9" t="s">
        <v>93</v>
      </c>
      <c r="BF97" s="9" t="s">
        <v>94</v>
      </c>
      <c r="BG97" s="9" t="s">
        <v>117</v>
      </c>
      <c r="BH97" s="9" t="s">
        <v>118</v>
      </c>
      <c r="BI97" s="9" t="s">
        <v>97</v>
      </c>
      <c r="BJ97" s="9" t="s">
        <v>119</v>
      </c>
      <c r="BK97" s="7" t="s">
        <v>130</v>
      </c>
      <c r="BL97" s="9" t="s">
        <v>99</v>
      </c>
      <c r="BM97" s="9" t="s">
        <v>148</v>
      </c>
      <c r="BN97" s="9" t="s">
        <v>148</v>
      </c>
      <c r="BO97" s="9" t="s">
        <v>148</v>
      </c>
      <c r="BP97" s="9" t="s">
        <v>713</v>
      </c>
      <c r="BQ97" s="38" t="s">
        <v>879</v>
      </c>
      <c r="BR97" s="38"/>
      <c r="BS97" s="9">
        <f>IF(Q97&lt;=1600,Q97*18,IF(Q97&lt;=2500,Q97*19,IF(Q97&gt;2500,Q97*24,20000)))</f>
        <v>28764</v>
      </c>
      <c r="BT97" s="7" t="s">
        <v>140</v>
      </c>
      <c r="BU97" s="38" t="s">
        <v>98</v>
      </c>
      <c r="BV97" s="38" t="s">
        <v>98</v>
      </c>
      <c r="BW97" s="38" t="s">
        <v>98</v>
      </c>
      <c r="BX97" s="38" t="s">
        <v>98</v>
      </c>
      <c r="BY97" s="38" t="s">
        <v>98</v>
      </c>
      <c r="BZ97" s="38" t="s">
        <v>98</v>
      </c>
      <c r="CA97" s="38" t="s">
        <v>98</v>
      </c>
      <c r="CB97" s="38"/>
      <c r="CC97" s="15" t="s">
        <v>154</v>
      </c>
      <c r="CD97" s="15" t="s">
        <v>154</v>
      </c>
      <c r="CE97" s="46">
        <v>689000</v>
      </c>
      <c r="CF97" s="9">
        <v>48</v>
      </c>
      <c r="CG97" s="9">
        <f>CF97*CE97</f>
        <v>33072000</v>
      </c>
      <c r="CH97" s="46">
        <v>10737000</v>
      </c>
      <c r="CI97" s="9">
        <v>0</v>
      </c>
      <c r="CJ97" s="9">
        <v>17179200</v>
      </c>
      <c r="CK97" s="50">
        <v>0</v>
      </c>
      <c r="CL97" s="50">
        <v>0.06</v>
      </c>
      <c r="CM97" s="16" t="s">
        <v>633</v>
      </c>
      <c r="CN97" s="16" t="s">
        <v>633</v>
      </c>
      <c r="CO97" s="38" t="s">
        <v>98</v>
      </c>
      <c r="CP97" s="27">
        <v>0.03</v>
      </c>
      <c r="CQ97" s="38"/>
      <c r="CR97" s="38" t="s">
        <v>218</v>
      </c>
      <c r="CS97" s="46">
        <v>53300</v>
      </c>
      <c r="CT97" s="24" t="s">
        <v>823</v>
      </c>
      <c r="CU97" s="24">
        <f>40000*1.1</f>
        <v>44000</v>
      </c>
      <c r="CV97" s="38" t="s">
        <v>98</v>
      </c>
      <c r="CW97" s="38" t="s">
        <v>98</v>
      </c>
      <c r="CX97" s="38" t="s">
        <v>98</v>
      </c>
      <c r="CY97" s="38" t="s">
        <v>98</v>
      </c>
      <c r="CZ97" s="38" t="s">
        <v>98</v>
      </c>
      <c r="DA97" s="38" t="s">
        <v>98</v>
      </c>
      <c r="DB97" s="38" t="s">
        <v>98</v>
      </c>
      <c r="DC97" s="24" t="str">
        <f>IF(DD97="정수원 실장","기아", IF(DD97="박현식 부장", "현대", IF(DD97="김성진 팀장", "한성", IF(DD97="전석영 부장", "한성", IF(DD97= "박봉호 부장", "모토원",IF(DD97="정원철 부장", "한성"))))))</f>
        <v>기아</v>
      </c>
      <c r="DD97" s="24" t="s">
        <v>121</v>
      </c>
      <c r="DE97" s="24" t="str">
        <f>IF(DD97="정수원 실장","렌트베네핏", IF(DD97="박현식 부장", "렌트베네핏", IF(DD97="김성진 팀장", "청담", IF(DD97="전석영 부장", "방배", IF(DD97= "박봉호 부장", "일산",IF(DD142="정원철 부장", "청담"))))))</f>
        <v>렌트베네핏</v>
      </c>
      <c r="DF97" s="38"/>
      <c r="DG97" s="38" t="s">
        <v>702</v>
      </c>
      <c r="DH97" s="38" t="s">
        <v>880</v>
      </c>
      <c r="DI97" s="38" t="s">
        <v>881</v>
      </c>
      <c r="DJ97" s="38" t="s">
        <v>882</v>
      </c>
      <c r="DK97" s="38">
        <v>0.35</v>
      </c>
      <c r="DL97" s="76">
        <v>0.2</v>
      </c>
      <c r="DM97" s="38"/>
      <c r="DN97" s="46">
        <v>443035</v>
      </c>
      <c r="DO97" s="38"/>
      <c r="DP97" s="38"/>
      <c r="DQ97" s="38"/>
    </row>
    <row r="98" spans="1:121">
      <c r="B98" s="7">
        <v>93</v>
      </c>
      <c r="C98" s="7" t="s">
        <v>883</v>
      </c>
      <c r="D98" s="36" t="s">
        <v>1585</v>
      </c>
      <c r="E98" s="7" t="s">
        <v>884</v>
      </c>
      <c r="F98" s="7" t="s">
        <v>885</v>
      </c>
      <c r="G98" s="38" t="s">
        <v>886</v>
      </c>
      <c r="H98" s="38" t="s">
        <v>199</v>
      </c>
      <c r="I98" s="46" t="s">
        <v>887</v>
      </c>
      <c r="J98" s="18">
        <v>49030000</v>
      </c>
      <c r="K98" s="7">
        <v>2023</v>
      </c>
      <c r="L98" s="38" t="s">
        <v>888</v>
      </c>
      <c r="M98" s="38" t="s">
        <v>90</v>
      </c>
      <c r="N98" s="38" t="s">
        <v>889</v>
      </c>
      <c r="O98" s="7" t="s">
        <v>890</v>
      </c>
      <c r="P98" s="7" t="s">
        <v>98</v>
      </c>
      <c r="Q98" s="33">
        <v>1598</v>
      </c>
      <c r="R98" s="11">
        <v>45156</v>
      </c>
      <c r="S98" s="11">
        <v>45149</v>
      </c>
      <c r="T98" s="11">
        <v>45156</v>
      </c>
      <c r="U98" s="12" t="s">
        <v>91</v>
      </c>
      <c r="V98" s="11">
        <f>IFERROR(T98+AD98, "-")</f>
        <v>46981</v>
      </c>
      <c r="W98" s="13">
        <f ca="1">IFERROR(DATEDIF(TODAY(), V98, "m"), "-")</f>
        <v>23</v>
      </c>
      <c r="X98" s="13">
        <v>50000</v>
      </c>
      <c r="Y98" s="7" t="s">
        <v>885</v>
      </c>
      <c r="Z98" s="38" t="s">
        <v>886</v>
      </c>
      <c r="AA98" s="38" t="s">
        <v>98</v>
      </c>
      <c r="AB98" s="11" t="s">
        <v>98</v>
      </c>
      <c r="AC98" s="11">
        <v>45163</v>
      </c>
      <c r="AD98" s="7">
        <f>365*U98</f>
        <v>1825</v>
      </c>
      <c r="AE98" s="7">
        <f ca="1">V98-TODAY()</f>
        <v>729</v>
      </c>
      <c r="AF98" s="7" t="e">
        <f>VLOOKUP($C98,#REF!, 4, FALSE)</f>
        <v>#REF!</v>
      </c>
      <c r="AG98" s="46">
        <v>49030000</v>
      </c>
      <c r="AH98" s="9">
        <v>0</v>
      </c>
      <c r="AI98" s="9">
        <f>AG98-AH98</f>
        <v>49030000</v>
      </c>
      <c r="AJ98" s="9" t="s">
        <v>98</v>
      </c>
      <c r="AK98" s="9">
        <v>2000</v>
      </c>
      <c r="AL98" s="38" t="s">
        <v>98</v>
      </c>
      <c r="AM98" s="38" t="s">
        <v>98</v>
      </c>
      <c r="AN98" s="38" t="s">
        <v>98</v>
      </c>
      <c r="AO98" s="38" t="s">
        <v>98</v>
      </c>
      <c r="AP98" s="38" t="s">
        <v>98</v>
      </c>
      <c r="AQ98" s="46" t="s">
        <v>98</v>
      </c>
      <c r="AR98" s="38" t="s">
        <v>98</v>
      </c>
      <c r="AS98" s="9" t="s">
        <v>187</v>
      </c>
      <c r="AT98" s="46">
        <v>300000</v>
      </c>
      <c r="AU98" s="38" t="s">
        <v>891</v>
      </c>
      <c r="AV98" s="38" t="s">
        <v>98</v>
      </c>
      <c r="AW98" s="38" t="s">
        <v>98</v>
      </c>
      <c r="AX98" s="38" t="s">
        <v>189</v>
      </c>
      <c r="AY98" s="53" t="s">
        <v>98</v>
      </c>
      <c r="AZ98" s="38" t="s">
        <v>98</v>
      </c>
      <c r="BA98" s="38" t="s">
        <v>98</v>
      </c>
      <c r="BB98" s="38" t="s">
        <v>98</v>
      </c>
      <c r="BC98" s="38" t="s">
        <v>98</v>
      </c>
      <c r="BD98" s="9"/>
      <c r="BE98" s="9" t="s">
        <v>93</v>
      </c>
      <c r="BF98" s="9" t="s">
        <v>94</v>
      </c>
      <c r="BG98" s="9" t="s">
        <v>117</v>
      </c>
      <c r="BH98" s="9" t="s">
        <v>118</v>
      </c>
      <c r="BI98" s="9" t="s">
        <v>97</v>
      </c>
      <c r="BJ98" s="9" t="s">
        <v>119</v>
      </c>
      <c r="BK98" s="7" t="s">
        <v>130</v>
      </c>
      <c r="BL98" s="9" t="s">
        <v>99</v>
      </c>
      <c r="BM98" s="9" t="s">
        <v>148</v>
      </c>
      <c r="BN98" s="9" t="s">
        <v>100</v>
      </c>
      <c r="BO98" s="9" t="s">
        <v>101</v>
      </c>
      <c r="BP98" s="9" t="s">
        <v>101</v>
      </c>
      <c r="BQ98" s="38" t="s">
        <v>98</v>
      </c>
      <c r="BR98" s="38"/>
      <c r="BS98" s="9">
        <f>IF(Q98&lt;=1600,Q98*18,IF(Q98&lt;=2500,Q98*19,IF(Q98&gt;2500,Q98*24,20000)))</f>
        <v>28764</v>
      </c>
      <c r="BT98" s="7" t="s">
        <v>140</v>
      </c>
      <c r="BU98" s="38" t="s">
        <v>98</v>
      </c>
      <c r="BV98" s="38" t="s">
        <v>98</v>
      </c>
      <c r="BW98" s="38" t="s">
        <v>98</v>
      </c>
      <c r="BX98" s="38" t="s">
        <v>98</v>
      </c>
      <c r="BY98" s="38" t="s">
        <v>98</v>
      </c>
      <c r="BZ98" s="38" t="s">
        <v>98</v>
      </c>
      <c r="CA98" s="38" t="s">
        <v>98</v>
      </c>
      <c r="CB98" s="15"/>
      <c r="CC98" s="15" t="s">
        <v>154</v>
      </c>
      <c r="CD98" s="15" t="s">
        <v>154</v>
      </c>
      <c r="CE98" s="46">
        <v>910000</v>
      </c>
      <c r="CF98" s="9">
        <v>60</v>
      </c>
      <c r="CG98" s="9">
        <f>CF98*CE98</f>
        <v>54600000</v>
      </c>
      <c r="CH98" s="9">
        <v>9806000</v>
      </c>
      <c r="CI98" s="9">
        <v>0</v>
      </c>
      <c r="CJ98" s="9">
        <v>18631400</v>
      </c>
      <c r="CK98" s="50">
        <v>8.09E-2</v>
      </c>
      <c r="CL98" s="52">
        <v>0.06</v>
      </c>
      <c r="CM98" s="16" t="s">
        <v>838</v>
      </c>
      <c r="CN98" s="38" t="s">
        <v>98</v>
      </c>
      <c r="CO98" s="46" t="s">
        <v>892</v>
      </c>
      <c r="CP98" s="27">
        <v>0.03</v>
      </c>
      <c r="CQ98" s="38"/>
      <c r="CR98" s="38" t="s">
        <v>218</v>
      </c>
      <c r="CS98" s="46">
        <v>53300</v>
      </c>
      <c r="CT98" s="24" t="s">
        <v>823</v>
      </c>
      <c r="CU98" s="24">
        <f>40000*1.1</f>
        <v>44000</v>
      </c>
      <c r="CV98" s="38" t="s">
        <v>98</v>
      </c>
      <c r="CW98" s="38" t="s">
        <v>98</v>
      </c>
      <c r="CX98" s="38" t="s">
        <v>98</v>
      </c>
      <c r="CY98" s="38" t="s">
        <v>98</v>
      </c>
      <c r="CZ98" s="38" t="s">
        <v>98</v>
      </c>
      <c r="DA98" s="38" t="s">
        <v>98</v>
      </c>
      <c r="DB98" s="24" t="s">
        <v>98</v>
      </c>
      <c r="DC98" s="24" t="str">
        <f>IF(DD98="정수원 실장","기아", IF(DD98="박현식 부장", "현대", IF(DD98="김성진 팀장", "한성", IF(DD98="전석영 부장", "한성", IF(DD98= "박봉호 부장", "모토원",IF(DD98="정원철 부장", "한성"))))))</f>
        <v>기아</v>
      </c>
      <c r="DD98" s="24" t="s">
        <v>121</v>
      </c>
      <c r="DE98" s="24" t="str">
        <f>IF(DD98="정수원 실장","렌트베네핏", IF(DD98="박현식 부장", "렌트베네핏", IF(DD98="김성진 팀장", "청담", IF(DD98="전석영 부장", "방배", IF(DD98= "박봉호 부장", "일산",IF(DD143="정원철 부장", "청담"))))))</f>
        <v>렌트베네핏</v>
      </c>
      <c r="DF98" s="38"/>
      <c r="DG98" s="38" t="s">
        <v>702</v>
      </c>
      <c r="DH98" s="24" t="s">
        <v>893</v>
      </c>
      <c r="DI98" s="24" t="s">
        <v>894</v>
      </c>
      <c r="DJ98" s="38" t="s">
        <v>895</v>
      </c>
      <c r="DK98" s="38">
        <v>0.35</v>
      </c>
      <c r="DL98" s="76">
        <v>0.2</v>
      </c>
      <c r="DM98" s="24"/>
      <c r="DN98" s="46">
        <v>1225825</v>
      </c>
      <c r="DO98" s="24"/>
      <c r="DP98" s="38"/>
      <c r="DQ98" s="38"/>
    </row>
    <row r="99" spans="1:121">
      <c r="B99" s="7">
        <v>94</v>
      </c>
      <c r="C99" s="7" t="s">
        <v>896</v>
      </c>
      <c r="D99" s="36" t="s">
        <v>1585</v>
      </c>
      <c r="E99" s="7" t="s">
        <v>897</v>
      </c>
      <c r="F99" s="7" t="s">
        <v>898</v>
      </c>
      <c r="G99" s="7" t="s">
        <v>899</v>
      </c>
      <c r="H99" s="7" t="s">
        <v>831</v>
      </c>
      <c r="I99" s="7" t="s">
        <v>900</v>
      </c>
      <c r="J99" s="9">
        <v>42280000</v>
      </c>
      <c r="K99" s="7">
        <v>2022</v>
      </c>
      <c r="L99" s="6" t="s">
        <v>901</v>
      </c>
      <c r="M99" s="6" t="s">
        <v>90</v>
      </c>
      <c r="N99" s="7" t="s">
        <v>902</v>
      </c>
      <c r="O99" s="7" t="s">
        <v>903</v>
      </c>
      <c r="P99" s="7" t="s">
        <v>98</v>
      </c>
      <c r="Q99" s="33">
        <v>2359</v>
      </c>
      <c r="R99" s="11">
        <v>44748</v>
      </c>
      <c r="S99" s="11">
        <v>45209</v>
      </c>
      <c r="T99" s="11">
        <v>45209</v>
      </c>
      <c r="U99" s="12" t="s">
        <v>153</v>
      </c>
      <c r="V99" s="11">
        <f>IFERROR(T99+AD99, "-")</f>
        <v>46304</v>
      </c>
      <c r="W99" s="7">
        <f ca="1">IFERROR(DATEDIF(TODAY(), V99, "m"), "-")</f>
        <v>1</v>
      </c>
      <c r="X99" s="9">
        <v>20000</v>
      </c>
      <c r="Y99" s="7" t="s">
        <v>898</v>
      </c>
      <c r="Z99" s="7" t="s">
        <v>899</v>
      </c>
      <c r="AA99" s="9"/>
      <c r="AB99" s="9" t="s">
        <v>186</v>
      </c>
      <c r="AC99" s="11">
        <v>45224</v>
      </c>
      <c r="AD99" s="7">
        <f>365*U99</f>
        <v>1095</v>
      </c>
      <c r="AE99" s="7">
        <f ca="1">V99-TODAY()</f>
        <v>52</v>
      </c>
      <c r="AF99" s="7" t="e">
        <f>VLOOKUP($C99,#REF!, 4, FALSE)</f>
        <v>#REF!</v>
      </c>
      <c r="AG99" s="9">
        <v>39738531</v>
      </c>
      <c r="AH99" s="9">
        <v>2580469</v>
      </c>
      <c r="AI99" s="9">
        <f>AG99-AH99</f>
        <v>37158062</v>
      </c>
      <c r="AJ99" s="9">
        <v>139000</v>
      </c>
      <c r="AK99" s="9">
        <v>2000</v>
      </c>
      <c r="AL99" s="9">
        <v>1048670</v>
      </c>
      <c r="AM99" s="9">
        <v>0</v>
      </c>
      <c r="AN99" s="9">
        <v>2000</v>
      </c>
      <c r="AO99" s="9">
        <v>45000</v>
      </c>
      <c r="AP99" s="9">
        <v>50000</v>
      </c>
      <c r="AQ99" s="9">
        <v>1173000</v>
      </c>
      <c r="AR99" s="9">
        <v>154000</v>
      </c>
      <c r="AS99" s="9" t="s">
        <v>747</v>
      </c>
      <c r="AT99" s="9">
        <v>198000</v>
      </c>
      <c r="AU99" s="9" t="s">
        <v>616</v>
      </c>
      <c r="AV99" s="41">
        <v>1145670</v>
      </c>
      <c r="AW99" s="18">
        <f>SUM(AJ99,AK99,AN99,AO99,AP99, AR99,AT99+AL99+AM99)</f>
        <v>1638670</v>
      </c>
      <c r="AX99" s="18" t="s">
        <v>196</v>
      </c>
      <c r="AY99" s="53">
        <v>44748</v>
      </c>
      <c r="AZ99" s="41">
        <v>1182390</v>
      </c>
      <c r="BA99" s="9"/>
      <c r="BB99" s="9"/>
      <c r="BC99" s="9"/>
      <c r="BD99" s="9"/>
      <c r="BE99" s="9" t="s">
        <v>93</v>
      </c>
      <c r="BF99" s="9" t="s">
        <v>94</v>
      </c>
      <c r="BG99" s="9" t="s">
        <v>117</v>
      </c>
      <c r="BH99" s="9" t="s">
        <v>118</v>
      </c>
      <c r="BI99" s="9" t="s">
        <v>97</v>
      </c>
      <c r="BJ99" s="9" t="s">
        <v>119</v>
      </c>
      <c r="BK99" s="7" t="s">
        <v>190</v>
      </c>
      <c r="BL99" s="9" t="s">
        <v>99</v>
      </c>
      <c r="BM99" s="9" t="s">
        <v>148</v>
      </c>
      <c r="BN99" s="9" t="s">
        <v>148</v>
      </c>
      <c r="BO99" s="9" t="s">
        <v>101</v>
      </c>
      <c r="BP99" s="9" t="s">
        <v>101</v>
      </c>
      <c r="BQ99" s="9"/>
      <c r="BR99" s="7"/>
      <c r="BS99" s="9">
        <f>IF(Q99&lt;=1600,Q99*18,IF(Q99&lt;=2500,Q99*19,IF(Q99&gt;2500,Q99*24,20000)))</f>
        <v>44821</v>
      </c>
      <c r="BT99" s="7" t="s">
        <v>140</v>
      </c>
      <c r="BU99" s="22"/>
      <c r="BV99" s="9"/>
      <c r="BW99" s="14"/>
      <c r="BX99" s="9"/>
      <c r="BY99" s="9"/>
      <c r="BZ99" s="9"/>
      <c r="CA99" s="27">
        <v>0</v>
      </c>
      <c r="CB99" s="87"/>
      <c r="CC99" s="15" t="s">
        <v>154</v>
      </c>
      <c r="CD99" s="15" t="s">
        <v>154</v>
      </c>
      <c r="CE99" s="9">
        <v>0</v>
      </c>
      <c r="CF99" s="9">
        <v>24</v>
      </c>
      <c r="CG99" s="9">
        <f>CF99*CE99</f>
        <v>0</v>
      </c>
      <c r="CH99" s="9">
        <v>0</v>
      </c>
      <c r="CI99" s="9">
        <v>23063000</v>
      </c>
      <c r="CJ99" s="9" t="s">
        <v>248</v>
      </c>
      <c r="CK99" s="51">
        <v>0</v>
      </c>
      <c r="CL99" s="48">
        <v>0.06</v>
      </c>
      <c r="CM99" s="16" t="s">
        <v>904</v>
      </c>
      <c r="CN99" s="9"/>
      <c r="CO99" s="9"/>
      <c r="CP99" s="27">
        <v>0.03</v>
      </c>
      <c r="CQ99" s="38"/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 t="s">
        <v>128</v>
      </c>
      <c r="DD99" s="24" t="s">
        <v>129</v>
      </c>
      <c r="DE99" s="24" t="s">
        <v>113</v>
      </c>
      <c r="DF99" s="24"/>
      <c r="DG99" s="24" t="s">
        <v>905</v>
      </c>
      <c r="DH99" s="24" t="s">
        <v>906</v>
      </c>
      <c r="DI99" s="24" t="s">
        <v>907</v>
      </c>
      <c r="DJ99" s="22" t="s">
        <v>1610</v>
      </c>
      <c r="DK99" s="38">
        <v>0.3</v>
      </c>
      <c r="DL99" s="76">
        <v>0.2</v>
      </c>
      <c r="DM99" s="24"/>
      <c r="DN99" s="46"/>
      <c r="DO99" s="24"/>
      <c r="DP99" s="24"/>
      <c r="DQ99" s="38"/>
    </row>
    <row r="100" spans="1:121">
      <c r="B100" s="7">
        <v>95</v>
      </c>
      <c r="C100" s="7" t="s">
        <v>908</v>
      </c>
      <c r="D100" s="36" t="s">
        <v>1585</v>
      </c>
      <c r="E100" s="7" t="s">
        <v>909</v>
      </c>
      <c r="F100" s="7" t="s">
        <v>1377</v>
      </c>
      <c r="G100" s="7" t="s">
        <v>624</v>
      </c>
      <c r="H100" s="38" t="s">
        <v>910</v>
      </c>
      <c r="I100" s="46" t="s">
        <v>911</v>
      </c>
      <c r="J100" s="18">
        <f>50050000+940000</f>
        <v>50990000</v>
      </c>
      <c r="K100" s="7">
        <v>2023</v>
      </c>
      <c r="L100" s="38" t="s">
        <v>912</v>
      </c>
      <c r="M100" s="38" t="s">
        <v>913</v>
      </c>
      <c r="N100" s="38" t="s">
        <v>914</v>
      </c>
      <c r="O100" s="7" t="s">
        <v>915</v>
      </c>
      <c r="P100" s="7" t="s">
        <v>98</v>
      </c>
      <c r="Q100" s="33">
        <v>180</v>
      </c>
      <c r="R100" s="11">
        <v>45219</v>
      </c>
      <c r="S100" s="11">
        <v>45187</v>
      </c>
      <c r="T100" s="11">
        <v>45222</v>
      </c>
      <c r="U100" s="12" t="s">
        <v>496</v>
      </c>
      <c r="V100" s="11">
        <f>IFERROR(T100+AD100, "-")</f>
        <v>46682</v>
      </c>
      <c r="W100" s="13">
        <f ca="1">IFERROR(DATEDIF(TODAY(), V100, "m"), "-")</f>
        <v>14</v>
      </c>
      <c r="X100" s="9">
        <v>20000</v>
      </c>
      <c r="Y100" s="38" t="s">
        <v>916</v>
      </c>
      <c r="Z100" s="38" t="s">
        <v>917</v>
      </c>
      <c r="AA100" s="38" t="s">
        <v>98</v>
      </c>
      <c r="AB100" s="9" t="s">
        <v>630</v>
      </c>
      <c r="AC100" s="11">
        <v>45255</v>
      </c>
      <c r="AD100" s="7">
        <f>365*U100</f>
        <v>1460</v>
      </c>
      <c r="AE100" s="7">
        <f ca="1">V100-TODAY()</f>
        <v>430</v>
      </c>
      <c r="AF100" s="7" t="e">
        <f>VLOOKUP($C100,#REF!, 4, FALSE)</f>
        <v>#REF!</v>
      </c>
      <c r="AG100" s="46">
        <f>50050000+940000</f>
        <v>50990000</v>
      </c>
      <c r="AH100" s="9">
        <f>2580240+9000000</f>
        <v>11580240</v>
      </c>
      <c r="AI100" s="9">
        <f>AG100-AH100+AJ100</f>
        <v>39691760</v>
      </c>
      <c r="AJ100" s="9">
        <v>282000</v>
      </c>
      <c r="AK100" s="9">
        <v>2000</v>
      </c>
      <c r="AL100" s="46">
        <v>326970</v>
      </c>
      <c r="AM100" s="46">
        <v>0</v>
      </c>
      <c r="AN100" s="46">
        <v>2000</v>
      </c>
      <c r="AO100" s="46">
        <v>50000</v>
      </c>
      <c r="AP100" s="46">
        <v>33000</v>
      </c>
      <c r="AQ100" s="46" t="s">
        <v>98</v>
      </c>
      <c r="AR100" s="46" t="s">
        <v>98</v>
      </c>
      <c r="AS100" s="46" t="s">
        <v>187</v>
      </c>
      <c r="AT100" s="46">
        <v>200000</v>
      </c>
      <c r="AU100" s="46" t="s">
        <v>918</v>
      </c>
      <c r="AV100" s="46" t="s">
        <v>98</v>
      </c>
      <c r="AW100" s="46" t="s">
        <v>98</v>
      </c>
      <c r="AX100" s="46" t="s">
        <v>189</v>
      </c>
      <c r="AY100" s="53" t="s">
        <v>98</v>
      </c>
      <c r="AZ100" s="46" t="s">
        <v>98</v>
      </c>
      <c r="BA100" s="46" t="s">
        <v>98</v>
      </c>
      <c r="BB100" s="46" t="s">
        <v>98</v>
      </c>
      <c r="BC100" s="46" t="s">
        <v>98</v>
      </c>
      <c r="BD100" s="9"/>
      <c r="BE100" s="9" t="s">
        <v>93</v>
      </c>
      <c r="BF100" s="9" t="s">
        <v>94</v>
      </c>
      <c r="BG100" s="9" t="s">
        <v>117</v>
      </c>
      <c r="BH100" s="9" t="s">
        <v>118</v>
      </c>
      <c r="BI100" s="9" t="s">
        <v>97</v>
      </c>
      <c r="BJ100" s="9" t="s">
        <v>119</v>
      </c>
      <c r="BK100" s="7" t="s">
        <v>130</v>
      </c>
      <c r="BL100" s="9" t="s">
        <v>99</v>
      </c>
      <c r="BM100" s="9" t="s">
        <v>148</v>
      </c>
      <c r="BN100" s="9" t="s">
        <v>148</v>
      </c>
      <c r="BO100" s="9" t="s">
        <v>148</v>
      </c>
      <c r="BP100" s="9" t="s">
        <v>713</v>
      </c>
      <c r="BQ100" s="46" t="s">
        <v>98</v>
      </c>
      <c r="BR100" s="38"/>
      <c r="BS100" s="9">
        <f>IF(Q100&lt;=1600,Q100*18,IF(Q100&lt;=2500,Q100*19,IF(Q100&gt;2500,Q100*24,20000)))</f>
        <v>3240</v>
      </c>
      <c r="BT100" s="7" t="s">
        <v>140</v>
      </c>
      <c r="BU100" s="38" t="s">
        <v>98</v>
      </c>
      <c r="BV100" s="38" t="s">
        <v>98</v>
      </c>
      <c r="BW100" s="38" t="s">
        <v>98</v>
      </c>
      <c r="BX100" s="38" t="s">
        <v>98</v>
      </c>
      <c r="BY100" s="38" t="s">
        <v>98</v>
      </c>
      <c r="BZ100" s="38" t="s">
        <v>98</v>
      </c>
      <c r="CA100" s="38" t="s">
        <v>98</v>
      </c>
      <c r="CB100" s="15"/>
      <c r="CC100" s="15" t="s">
        <v>154</v>
      </c>
      <c r="CD100" s="15" t="s">
        <v>154</v>
      </c>
      <c r="CE100" s="46">
        <v>670000</v>
      </c>
      <c r="CF100" s="9">
        <v>48</v>
      </c>
      <c r="CG100" s="9">
        <f>CF100*CE100</f>
        <v>32160000</v>
      </c>
      <c r="CH100" s="9">
        <v>15297000</v>
      </c>
      <c r="CI100" s="9">
        <v>0</v>
      </c>
      <c r="CJ100" s="46">
        <v>24985100</v>
      </c>
      <c r="CK100" s="50">
        <v>2.8199999999999999E-2</v>
      </c>
      <c r="CL100" s="48">
        <v>0.06</v>
      </c>
      <c r="CM100" s="16" t="s">
        <v>919</v>
      </c>
      <c r="CN100" s="38" t="s">
        <v>98</v>
      </c>
      <c r="CO100" s="38" t="s">
        <v>98</v>
      </c>
      <c r="CP100" s="27">
        <v>0.03</v>
      </c>
      <c r="CQ100" s="38"/>
      <c r="CR100" s="38" t="s">
        <v>218</v>
      </c>
      <c r="CS100" s="46">
        <v>53300</v>
      </c>
      <c r="CT100" s="24" t="s">
        <v>98</v>
      </c>
      <c r="CU100" s="38" t="s">
        <v>98</v>
      </c>
      <c r="CV100" s="38" t="s">
        <v>98</v>
      </c>
      <c r="CW100" s="38" t="s">
        <v>98</v>
      </c>
      <c r="CX100" s="38" t="s">
        <v>98</v>
      </c>
      <c r="CY100" s="38" t="s">
        <v>98</v>
      </c>
      <c r="CZ100" s="38" t="s">
        <v>98</v>
      </c>
      <c r="DA100" s="38" t="s">
        <v>98</v>
      </c>
      <c r="DB100" s="24" t="s">
        <v>98</v>
      </c>
      <c r="DC100" s="24" t="s">
        <v>128</v>
      </c>
      <c r="DD100" s="24" t="s">
        <v>129</v>
      </c>
      <c r="DE100" s="24" t="s">
        <v>113</v>
      </c>
      <c r="DF100" s="38"/>
      <c r="DG100" s="38" t="s">
        <v>702</v>
      </c>
      <c r="DH100" s="38" t="s">
        <v>880</v>
      </c>
      <c r="DI100" s="38" t="s">
        <v>881</v>
      </c>
      <c r="DJ100" s="38" t="s">
        <v>882</v>
      </c>
      <c r="DK100" s="47">
        <v>0.35</v>
      </c>
      <c r="DL100" s="76">
        <v>0.2</v>
      </c>
      <c r="DM100" s="38"/>
      <c r="DN100" s="46"/>
      <c r="DO100" s="38"/>
      <c r="DP100" s="38"/>
      <c r="DQ100" s="47"/>
    </row>
    <row r="101" spans="1:121">
      <c r="B101" s="7">
        <v>96</v>
      </c>
      <c r="C101" s="7" t="s">
        <v>920</v>
      </c>
      <c r="D101" s="36" t="s">
        <v>1585</v>
      </c>
      <c r="E101" s="7" t="s">
        <v>921</v>
      </c>
      <c r="F101" s="7" t="s">
        <v>922</v>
      </c>
      <c r="G101" s="7" t="s">
        <v>923</v>
      </c>
      <c r="H101" s="38" t="s">
        <v>924</v>
      </c>
      <c r="I101" s="46"/>
      <c r="J101" s="18">
        <v>73900000</v>
      </c>
      <c r="K101" s="7">
        <v>2023</v>
      </c>
      <c r="L101" s="38" t="s">
        <v>925</v>
      </c>
      <c r="M101" s="6" t="s">
        <v>90</v>
      </c>
      <c r="N101" s="38" t="s">
        <v>926</v>
      </c>
      <c r="O101" s="7" t="s">
        <v>927</v>
      </c>
      <c r="P101" s="7" t="s">
        <v>98</v>
      </c>
      <c r="Q101" s="33">
        <v>1999</v>
      </c>
      <c r="R101" s="11">
        <v>45246</v>
      </c>
      <c r="S101" s="11">
        <v>45239</v>
      </c>
      <c r="T101" s="11">
        <v>45247</v>
      </c>
      <c r="U101" s="12" t="s">
        <v>91</v>
      </c>
      <c r="V101" s="11">
        <f>IFERROR(T101+AD101, "-")</f>
        <v>47072</v>
      </c>
      <c r="W101" s="13">
        <f ca="1">IFERROR(DATEDIF(TODAY(), V101, "m"), "-")</f>
        <v>26</v>
      </c>
      <c r="X101" s="9">
        <v>20000</v>
      </c>
      <c r="Y101" s="7" t="s">
        <v>928</v>
      </c>
      <c r="Z101" s="7" t="s">
        <v>929</v>
      </c>
      <c r="AA101" s="38"/>
      <c r="AB101" s="11" t="s">
        <v>930</v>
      </c>
      <c r="AC101" s="11">
        <v>45255</v>
      </c>
      <c r="AD101" s="7">
        <f>365*U101</f>
        <v>1825</v>
      </c>
      <c r="AE101" s="7">
        <f ca="1">V101-TODAY()</f>
        <v>820</v>
      </c>
      <c r="AF101" s="7">
        <v>22090033</v>
      </c>
      <c r="AG101" s="46">
        <v>73900000</v>
      </c>
      <c r="AH101" s="9">
        <v>7895000</v>
      </c>
      <c r="AI101" s="9">
        <f>AG101-AH101+AJ101</f>
        <v>66005000</v>
      </c>
      <c r="AJ101" s="9">
        <v>0</v>
      </c>
      <c r="AK101" s="9"/>
      <c r="AL101" s="46"/>
      <c r="AM101" s="46"/>
      <c r="AN101" s="46"/>
      <c r="AO101" s="46"/>
      <c r="AP101" s="46"/>
      <c r="AQ101" s="46"/>
      <c r="AR101" s="46" t="s">
        <v>98</v>
      </c>
      <c r="AS101" s="9" t="s">
        <v>145</v>
      </c>
      <c r="AT101" s="46"/>
      <c r="AU101" s="46" t="s">
        <v>931</v>
      </c>
      <c r="AV101" s="46"/>
      <c r="AW101" s="46"/>
      <c r="AX101" s="46" t="s">
        <v>189</v>
      </c>
      <c r="AY101" s="53"/>
      <c r="AZ101" s="46"/>
      <c r="BA101" s="46"/>
      <c r="BB101" s="46"/>
      <c r="BC101" s="46"/>
      <c r="BD101" s="9"/>
      <c r="BE101" s="9" t="s">
        <v>93</v>
      </c>
      <c r="BF101" s="9" t="s">
        <v>94</v>
      </c>
      <c r="BG101" s="9" t="s">
        <v>95</v>
      </c>
      <c r="BH101" s="9" t="s">
        <v>96</v>
      </c>
      <c r="BI101" s="9" t="s">
        <v>97</v>
      </c>
      <c r="BJ101" s="9" t="s">
        <v>127</v>
      </c>
      <c r="BK101" s="7" t="s">
        <v>130</v>
      </c>
      <c r="BL101" s="9" t="s">
        <v>99</v>
      </c>
      <c r="BM101" s="9" t="s">
        <v>148</v>
      </c>
      <c r="BN101" s="9" t="s">
        <v>100</v>
      </c>
      <c r="BO101" s="9" t="s">
        <v>101</v>
      </c>
      <c r="BP101" s="9" t="s">
        <v>101</v>
      </c>
      <c r="BQ101" s="46"/>
      <c r="BR101" s="38"/>
      <c r="BS101" s="9">
        <f>IF(Q101&lt;=1600,Q101*18,IF(Q101&lt;=2500,Q101*19,IF(Q101&gt;2500,Q101*24,20000)))</f>
        <v>37981</v>
      </c>
      <c r="BT101" s="7" t="s">
        <v>140</v>
      </c>
      <c r="BU101" s="38"/>
      <c r="BV101" s="38"/>
      <c r="BW101" s="38"/>
      <c r="BX101" s="38"/>
      <c r="BY101" s="38"/>
      <c r="BZ101" s="38"/>
      <c r="CA101" s="38"/>
      <c r="CB101" s="15"/>
      <c r="CC101" s="15" t="s">
        <v>154</v>
      </c>
      <c r="CD101" s="15" t="s">
        <v>154</v>
      </c>
      <c r="CE101" s="46">
        <v>1367000</v>
      </c>
      <c r="CF101" s="9">
        <v>60</v>
      </c>
      <c r="CG101" s="9">
        <f>CF101*CE101</f>
        <v>82020000</v>
      </c>
      <c r="CH101" s="9">
        <v>11085000</v>
      </c>
      <c r="CI101" s="9">
        <v>0</v>
      </c>
      <c r="CJ101" s="46">
        <v>22170000</v>
      </c>
      <c r="CK101" s="50">
        <v>8.4199999999999997E-2</v>
      </c>
      <c r="CL101" s="48">
        <v>0.06</v>
      </c>
      <c r="CM101" s="16" t="s">
        <v>932</v>
      </c>
      <c r="CN101" s="38"/>
      <c r="CO101" s="38" t="s">
        <v>933</v>
      </c>
      <c r="CP101" s="27">
        <v>0.03</v>
      </c>
      <c r="CQ101" s="38"/>
      <c r="CR101" s="38" t="s">
        <v>934</v>
      </c>
      <c r="CS101" s="46"/>
      <c r="CT101" s="24"/>
      <c r="CU101" s="38"/>
      <c r="CV101" s="38"/>
      <c r="CW101" s="38"/>
      <c r="CX101" s="38"/>
      <c r="CY101" s="38"/>
      <c r="CZ101" s="38"/>
      <c r="DA101" s="38"/>
      <c r="DB101" s="24"/>
      <c r="DC101" s="24" t="s">
        <v>935</v>
      </c>
      <c r="DD101" s="24" t="s">
        <v>936</v>
      </c>
      <c r="DE101" s="24" t="s">
        <v>113</v>
      </c>
      <c r="DF101" s="24"/>
      <c r="DG101" s="24" t="s">
        <v>824</v>
      </c>
      <c r="DH101" s="38" t="s">
        <v>937</v>
      </c>
      <c r="DI101" s="38" t="s">
        <v>938</v>
      </c>
      <c r="DJ101" s="38" t="s">
        <v>939</v>
      </c>
      <c r="DK101" s="47">
        <v>0.35</v>
      </c>
      <c r="DL101" s="76">
        <v>0.2</v>
      </c>
      <c r="DM101" s="38"/>
      <c r="DN101" s="46"/>
      <c r="DO101" s="38"/>
      <c r="DP101" s="38"/>
      <c r="DQ101" s="47"/>
    </row>
    <row r="102" spans="1:121">
      <c r="B102" s="7">
        <v>97</v>
      </c>
      <c r="C102" s="7" t="s">
        <v>940</v>
      </c>
      <c r="D102" s="36" t="s">
        <v>1585</v>
      </c>
      <c r="E102" s="7" t="s">
        <v>1376</v>
      </c>
      <c r="F102" s="7" t="s">
        <v>1377</v>
      </c>
      <c r="G102" s="7" t="s">
        <v>624</v>
      </c>
      <c r="H102" s="7" t="s">
        <v>831</v>
      </c>
      <c r="I102" s="46" t="s">
        <v>941</v>
      </c>
      <c r="J102" s="18">
        <v>44090000</v>
      </c>
      <c r="K102" s="7">
        <v>2023</v>
      </c>
      <c r="L102" s="38" t="s">
        <v>942</v>
      </c>
      <c r="M102" s="6" t="s">
        <v>90</v>
      </c>
      <c r="N102" s="38" t="s">
        <v>943</v>
      </c>
      <c r="O102" s="7" t="s">
        <v>944</v>
      </c>
      <c r="P102" s="7" t="s">
        <v>98</v>
      </c>
      <c r="Q102" s="33">
        <v>1598</v>
      </c>
      <c r="R102" s="11">
        <v>45244</v>
      </c>
      <c r="S102" s="11">
        <v>45244</v>
      </c>
      <c r="T102" s="11">
        <v>45244</v>
      </c>
      <c r="U102" s="12" t="s">
        <v>496</v>
      </c>
      <c r="V102" s="11">
        <f>IFERROR(T102+AD102, "-")</f>
        <v>46704</v>
      </c>
      <c r="W102" s="13">
        <f ca="1">IFERROR(DATEDIF(TODAY(), V102, "m"), "-")</f>
        <v>14</v>
      </c>
      <c r="X102" s="9">
        <v>20000</v>
      </c>
      <c r="Y102" s="7" t="s">
        <v>261</v>
      </c>
      <c r="Z102" s="7" t="s">
        <v>262</v>
      </c>
      <c r="AA102" s="38"/>
      <c r="AB102" s="9" t="s">
        <v>630</v>
      </c>
      <c r="AC102" s="11">
        <v>45265</v>
      </c>
      <c r="AD102" s="7">
        <f>365*U102</f>
        <v>1460</v>
      </c>
      <c r="AE102" s="7">
        <f ca="1">V102-TODAY()</f>
        <v>452</v>
      </c>
      <c r="AF102" s="7" t="e">
        <f>VLOOKUP($C102,#REF!, 4, FALSE)</f>
        <v>#REF!</v>
      </c>
      <c r="AG102" s="46">
        <v>44090000</v>
      </c>
      <c r="AH102" s="9">
        <v>2236141</v>
      </c>
      <c r="AI102" s="9">
        <f>AG102-AH102+AJ102</f>
        <v>42015859</v>
      </c>
      <c r="AJ102" s="9">
        <v>162000</v>
      </c>
      <c r="AK102" s="9">
        <v>2000</v>
      </c>
      <c r="AL102" s="46">
        <v>1128030</v>
      </c>
      <c r="AM102" s="46" t="s">
        <v>98</v>
      </c>
      <c r="AN102" s="46">
        <v>2000</v>
      </c>
      <c r="AO102" s="46">
        <v>45000</v>
      </c>
      <c r="AP102" s="46">
        <v>50000</v>
      </c>
      <c r="AQ102" s="46" t="s">
        <v>98</v>
      </c>
      <c r="AR102" s="46">
        <v>143000</v>
      </c>
      <c r="AS102" s="9" t="s">
        <v>747</v>
      </c>
      <c r="AT102" s="46">
        <v>198000</v>
      </c>
      <c r="AU102" s="9" t="s">
        <v>616</v>
      </c>
      <c r="AV102" s="46"/>
      <c r="AW102" s="46"/>
      <c r="AX102" s="46" t="s">
        <v>189</v>
      </c>
      <c r="AY102" s="53"/>
      <c r="AZ102" s="46"/>
      <c r="BA102" s="46"/>
      <c r="BB102" s="46"/>
      <c r="BC102" s="46"/>
      <c r="BD102" s="9"/>
      <c r="BE102" s="9" t="s">
        <v>93</v>
      </c>
      <c r="BF102" s="9" t="s">
        <v>94</v>
      </c>
      <c r="BG102" s="9" t="s">
        <v>117</v>
      </c>
      <c r="BH102" s="9" t="s">
        <v>118</v>
      </c>
      <c r="BI102" s="9" t="s">
        <v>97</v>
      </c>
      <c r="BJ102" s="9" t="s">
        <v>119</v>
      </c>
      <c r="BK102" s="7" t="s">
        <v>130</v>
      </c>
      <c r="BL102" s="9" t="s">
        <v>99</v>
      </c>
      <c r="BM102" s="9" t="s">
        <v>148</v>
      </c>
      <c r="BN102" s="9" t="s">
        <v>148</v>
      </c>
      <c r="BO102" s="9" t="s">
        <v>148</v>
      </c>
      <c r="BP102" s="9" t="s">
        <v>713</v>
      </c>
      <c r="BQ102" s="46"/>
      <c r="BR102" s="38"/>
      <c r="BS102" s="9">
        <f>IF(Q102&lt;=1600,Q102*18,IF(Q102&lt;=2500,Q102*19,IF(Q102&gt;2500,Q102*24,20000)))</f>
        <v>28764</v>
      </c>
      <c r="BT102" s="7" t="s">
        <v>140</v>
      </c>
      <c r="BU102" s="38"/>
      <c r="BV102" s="38"/>
      <c r="BW102" s="38"/>
      <c r="BX102" s="38"/>
      <c r="BY102" s="38"/>
      <c r="BZ102" s="38"/>
      <c r="CA102" s="38"/>
      <c r="CB102" s="15"/>
      <c r="CC102" s="15" t="s">
        <v>91</v>
      </c>
      <c r="CD102" s="15" t="s">
        <v>91</v>
      </c>
      <c r="CE102" s="46">
        <v>732000</v>
      </c>
      <c r="CF102" s="9">
        <v>48</v>
      </c>
      <c r="CG102" s="9">
        <f>CF102*CE102</f>
        <v>35136000</v>
      </c>
      <c r="CH102" s="9">
        <v>13227000</v>
      </c>
      <c r="CI102" s="9"/>
      <c r="CJ102" s="46">
        <v>22045000</v>
      </c>
      <c r="CK102" s="50">
        <v>-6.8000000000000005E-2</v>
      </c>
      <c r="CL102" s="48">
        <v>0.06</v>
      </c>
      <c r="CM102" s="16" t="s">
        <v>945</v>
      </c>
      <c r="CN102" s="38"/>
      <c r="CO102" s="38"/>
      <c r="CP102" s="27">
        <v>0.03</v>
      </c>
      <c r="CQ102" s="38"/>
      <c r="CR102" s="38" t="s">
        <v>218</v>
      </c>
      <c r="CS102" s="46">
        <v>53300</v>
      </c>
      <c r="CT102" s="24" t="s">
        <v>823</v>
      </c>
      <c r="CU102" s="24">
        <f>40000*1.1</f>
        <v>44000</v>
      </c>
      <c r="CV102" s="38"/>
      <c r="CW102" s="38"/>
      <c r="CX102" s="38"/>
      <c r="CY102" s="38"/>
      <c r="CZ102" s="38"/>
      <c r="DA102" s="38"/>
      <c r="DB102" s="24"/>
      <c r="DC102" s="24" t="s">
        <v>128</v>
      </c>
      <c r="DD102" s="24" t="s">
        <v>129</v>
      </c>
      <c r="DE102" s="24" t="s">
        <v>113</v>
      </c>
      <c r="DF102" s="38"/>
      <c r="DG102" s="38" t="s">
        <v>702</v>
      </c>
      <c r="DH102" s="38" t="s">
        <v>946</v>
      </c>
      <c r="DI102" s="38" t="s">
        <v>947</v>
      </c>
      <c r="DJ102" s="38" t="s">
        <v>948</v>
      </c>
      <c r="DK102" s="47">
        <v>0.35</v>
      </c>
      <c r="DL102" s="76">
        <v>0.2</v>
      </c>
      <c r="DM102" s="38"/>
      <c r="DN102" s="46">
        <v>922490</v>
      </c>
      <c r="DO102" s="38"/>
      <c r="DP102" s="38"/>
      <c r="DQ102" s="47"/>
    </row>
    <row r="103" spans="1:121">
      <c r="B103" s="7">
        <v>98</v>
      </c>
      <c r="C103" s="7" t="s">
        <v>949</v>
      </c>
      <c r="D103" s="36" t="s">
        <v>1585</v>
      </c>
      <c r="E103" s="7" t="s">
        <v>950</v>
      </c>
      <c r="F103" s="7" t="s">
        <v>951</v>
      </c>
      <c r="G103" s="7" t="s">
        <v>952</v>
      </c>
      <c r="H103" s="38" t="s">
        <v>122</v>
      </c>
      <c r="I103" s="46" t="s">
        <v>123</v>
      </c>
      <c r="J103" s="18">
        <v>127880000</v>
      </c>
      <c r="K103" s="7">
        <v>2023</v>
      </c>
      <c r="L103" s="38" t="s">
        <v>953</v>
      </c>
      <c r="M103" s="6" t="s">
        <v>90</v>
      </c>
      <c r="N103" s="38" t="s">
        <v>954</v>
      </c>
      <c r="O103" s="7" t="s">
        <v>955</v>
      </c>
      <c r="P103" s="7" t="s">
        <v>98</v>
      </c>
      <c r="Q103" s="33">
        <v>3470</v>
      </c>
      <c r="R103" s="11">
        <v>45281</v>
      </c>
      <c r="S103" s="11">
        <v>45282</v>
      </c>
      <c r="T103" s="11">
        <v>45282</v>
      </c>
      <c r="U103" s="12" t="s">
        <v>496</v>
      </c>
      <c r="V103" s="11">
        <f>IFERROR(T103+AD103, "-")</f>
        <v>46742</v>
      </c>
      <c r="W103" s="13">
        <f ca="1">IFERROR(DATEDIF(TODAY(), V103, "m"), "-")</f>
        <v>16</v>
      </c>
      <c r="X103" s="9">
        <v>40000</v>
      </c>
      <c r="Y103" s="7" t="s">
        <v>951</v>
      </c>
      <c r="Z103" s="7" t="s">
        <v>952</v>
      </c>
      <c r="AA103" s="38"/>
      <c r="AB103" s="11" t="s">
        <v>956</v>
      </c>
      <c r="AC103" s="11">
        <v>45306</v>
      </c>
      <c r="AD103" s="7">
        <f>365*U103</f>
        <v>1460</v>
      </c>
      <c r="AE103" s="7">
        <f ca="1">V103-TODAY()</f>
        <v>490</v>
      </c>
      <c r="AF103" s="7" t="e">
        <f>VLOOKUP($C103,#REF!, 4, FALSE)</f>
        <v>#REF!</v>
      </c>
      <c r="AG103" s="46">
        <v>127880000</v>
      </c>
      <c r="AH103" s="9">
        <v>6471095</v>
      </c>
      <c r="AI103" s="9">
        <f>AG103-AH103+AJ103</f>
        <v>121740905</v>
      </c>
      <c r="AJ103" s="9">
        <v>332000</v>
      </c>
      <c r="AK103" s="9">
        <v>1900</v>
      </c>
      <c r="AL103" s="46">
        <v>4426940</v>
      </c>
      <c r="AM103" s="46">
        <v>311679</v>
      </c>
      <c r="AN103" s="46">
        <v>2000</v>
      </c>
      <c r="AO103" s="46">
        <v>45000</v>
      </c>
      <c r="AP103" s="46">
        <v>50000</v>
      </c>
      <c r="AQ103" s="46"/>
      <c r="AR103" s="46"/>
      <c r="AS103" s="46" t="s">
        <v>957</v>
      </c>
      <c r="AT103" s="46">
        <v>198000</v>
      </c>
      <c r="AU103" s="9" t="s">
        <v>616</v>
      </c>
      <c r="AV103" s="46"/>
      <c r="AW103" s="46"/>
      <c r="AX103" s="46" t="s">
        <v>189</v>
      </c>
      <c r="AY103" s="53"/>
      <c r="AZ103" s="46"/>
      <c r="BA103" s="46"/>
      <c r="BB103" s="46"/>
      <c r="BC103" s="46"/>
      <c r="BD103" s="9"/>
      <c r="BE103" s="9" t="s">
        <v>93</v>
      </c>
      <c r="BF103" s="9" t="s">
        <v>94</v>
      </c>
      <c r="BG103" s="9" t="s">
        <v>95</v>
      </c>
      <c r="BH103" s="9" t="s">
        <v>96</v>
      </c>
      <c r="BI103" s="9" t="s">
        <v>97</v>
      </c>
      <c r="BJ103" s="9" t="s">
        <v>127</v>
      </c>
      <c r="BK103" s="7" t="s">
        <v>130</v>
      </c>
      <c r="BL103" s="9" t="s">
        <v>99</v>
      </c>
      <c r="BM103" s="9" t="s">
        <v>148</v>
      </c>
      <c r="BN103" s="9" t="s">
        <v>148</v>
      </c>
      <c r="BO103" s="9" t="s">
        <v>148</v>
      </c>
      <c r="BP103" s="9" t="s">
        <v>958</v>
      </c>
      <c r="BQ103" s="9" t="s">
        <v>700</v>
      </c>
      <c r="BR103" s="38"/>
      <c r="BS103" s="9">
        <f>IF(Q103&lt;=1600,Q103*18,IF(Q103&lt;=2500,Q103*19,IF(Q103&gt;2500,Q103*24,20000)))</f>
        <v>83280</v>
      </c>
      <c r="BT103" s="7" t="s">
        <v>140</v>
      </c>
      <c r="BU103" s="38"/>
      <c r="BV103" s="38"/>
      <c r="BW103" s="38"/>
      <c r="BX103" s="38"/>
      <c r="BY103" s="38"/>
      <c r="BZ103" s="38"/>
      <c r="CA103" s="38"/>
      <c r="CB103" s="15"/>
      <c r="CC103" s="15" t="s">
        <v>147</v>
      </c>
      <c r="CD103" s="15" t="s">
        <v>147</v>
      </c>
      <c r="CE103" s="46">
        <v>1765000</v>
      </c>
      <c r="CF103" s="9">
        <v>48</v>
      </c>
      <c r="CG103" s="9">
        <f>CF103*CE103</f>
        <v>84720000</v>
      </c>
      <c r="CH103" s="9">
        <v>0</v>
      </c>
      <c r="CI103" s="9">
        <v>38364000</v>
      </c>
      <c r="CJ103" s="46">
        <v>53709600</v>
      </c>
      <c r="CK103" s="50">
        <v>3.2800000000000003E-2</v>
      </c>
      <c r="CL103" s="48">
        <v>0.06</v>
      </c>
      <c r="CM103" s="16" t="s">
        <v>959</v>
      </c>
      <c r="CN103" s="38"/>
      <c r="CO103" s="38"/>
      <c r="CP103" s="27">
        <v>0.03</v>
      </c>
      <c r="CQ103" s="38"/>
      <c r="CR103" s="38" t="s">
        <v>39</v>
      </c>
      <c r="CS103" s="46">
        <v>220000</v>
      </c>
      <c r="CT103" s="24" t="s">
        <v>960</v>
      </c>
      <c r="CU103" s="24">
        <v>132000</v>
      </c>
      <c r="CV103" s="38" t="s">
        <v>218</v>
      </c>
      <c r="CW103" s="46">
        <v>53300</v>
      </c>
      <c r="CX103" s="38"/>
      <c r="CY103" s="38"/>
      <c r="CZ103" s="38"/>
      <c r="DA103" s="38"/>
      <c r="DB103" s="24"/>
      <c r="DC103" s="24" t="s">
        <v>128</v>
      </c>
      <c r="DD103" s="24" t="s">
        <v>129</v>
      </c>
      <c r="DE103" s="24" t="s">
        <v>113</v>
      </c>
      <c r="DF103" s="24"/>
      <c r="DG103" s="24" t="s">
        <v>824</v>
      </c>
      <c r="DH103" s="38" t="s">
        <v>961</v>
      </c>
      <c r="DI103" s="38" t="s">
        <v>962</v>
      </c>
      <c r="DJ103" s="38" t="s">
        <v>956</v>
      </c>
      <c r="DK103" s="47">
        <v>0.35</v>
      </c>
      <c r="DL103" s="76">
        <v>0.2</v>
      </c>
      <c r="DM103" s="38"/>
      <c r="DN103" s="46">
        <v>7392980</v>
      </c>
      <c r="DO103" s="38"/>
      <c r="DP103" s="38"/>
      <c r="DQ103" s="47"/>
    </row>
    <row r="104" spans="1:121">
      <c r="B104" s="7">
        <v>99</v>
      </c>
      <c r="C104" s="7" t="s">
        <v>963</v>
      </c>
      <c r="D104" s="36" t="s">
        <v>1585</v>
      </c>
      <c r="E104" s="7" t="s">
        <v>950</v>
      </c>
      <c r="F104" s="7" t="s">
        <v>964</v>
      </c>
      <c r="G104" s="7" t="s">
        <v>965</v>
      </c>
      <c r="H104" s="38" t="s">
        <v>966</v>
      </c>
      <c r="I104" s="46" t="s">
        <v>123</v>
      </c>
      <c r="J104" s="18">
        <v>107700000</v>
      </c>
      <c r="K104" s="7">
        <v>2024</v>
      </c>
      <c r="L104" s="38" t="s">
        <v>967</v>
      </c>
      <c r="M104" s="6" t="s">
        <v>90</v>
      </c>
      <c r="N104" s="38" t="s">
        <v>968</v>
      </c>
      <c r="O104" s="7" t="s">
        <v>969</v>
      </c>
      <c r="P104" s="7" t="s">
        <v>98</v>
      </c>
      <c r="Q104" s="33">
        <v>3470</v>
      </c>
      <c r="R104" s="11">
        <v>45373</v>
      </c>
      <c r="S104" s="11">
        <v>45282</v>
      </c>
      <c r="T104" s="11">
        <v>45282</v>
      </c>
      <c r="U104" s="12" t="s">
        <v>970</v>
      </c>
      <c r="V104" s="11">
        <f>IFERROR(T104+AD104, "-")</f>
        <v>46833.25</v>
      </c>
      <c r="W104" s="13">
        <f ca="1">IFERROR(DATEDIF(TODAY(), V104, "m"), "-")</f>
        <v>19</v>
      </c>
      <c r="X104" s="9">
        <v>40000</v>
      </c>
      <c r="Y104" s="7" t="s">
        <v>964</v>
      </c>
      <c r="Z104" s="7" t="s">
        <v>952</v>
      </c>
      <c r="AA104" s="38"/>
      <c r="AB104" s="11" t="s">
        <v>956</v>
      </c>
      <c r="AC104" s="11">
        <v>45306</v>
      </c>
      <c r="AD104" s="7">
        <f>365*U104</f>
        <v>1551.25</v>
      </c>
      <c r="AE104" s="7">
        <f ca="1">V104-TODAY()</f>
        <v>581.25</v>
      </c>
      <c r="AF104" s="7" t="e">
        <f>VLOOKUP($C104,#REF!, 4, FALSE)</f>
        <v>#REF!</v>
      </c>
      <c r="AG104" s="46">
        <f>107700000</f>
        <v>107700000</v>
      </c>
      <c r="AH104" s="9">
        <v>5449929</v>
      </c>
      <c r="AI104" s="9">
        <f>AG104-AH104+AJ104</f>
        <v>102610071</v>
      </c>
      <c r="AJ104" s="9">
        <v>360000</v>
      </c>
      <c r="AK104" s="9">
        <v>1900</v>
      </c>
      <c r="AL104" s="46">
        <v>3731270</v>
      </c>
      <c r="AM104" s="46">
        <v>178550</v>
      </c>
      <c r="AN104" s="46">
        <v>2000</v>
      </c>
      <c r="AO104" s="46">
        <v>45000</v>
      </c>
      <c r="AP104" s="46">
        <v>50000</v>
      </c>
      <c r="AQ104" s="46"/>
      <c r="AR104" s="46"/>
      <c r="AS104" s="46" t="s">
        <v>187</v>
      </c>
      <c r="AT104" s="46">
        <v>198000</v>
      </c>
      <c r="AU104" s="9" t="s">
        <v>616</v>
      </c>
      <c r="AV104" s="46"/>
      <c r="AW104" s="46"/>
      <c r="AX104" s="46" t="s">
        <v>189</v>
      </c>
      <c r="AY104" s="53">
        <v>45373</v>
      </c>
      <c r="AZ104" s="46">
        <v>950000</v>
      </c>
      <c r="BA104" s="46">
        <v>1370727</v>
      </c>
      <c r="BB104" s="46">
        <v>1200000</v>
      </c>
      <c r="BC104" s="46">
        <v>2400000</v>
      </c>
      <c r="BD104" s="9"/>
      <c r="BE104" s="9" t="s">
        <v>93</v>
      </c>
      <c r="BF104" s="9" t="s">
        <v>94</v>
      </c>
      <c r="BG104" s="9" t="s">
        <v>95</v>
      </c>
      <c r="BH104" s="9" t="s">
        <v>96</v>
      </c>
      <c r="BI104" s="9" t="s">
        <v>97</v>
      </c>
      <c r="BJ104" s="9" t="s">
        <v>127</v>
      </c>
      <c r="BK104" s="7" t="s">
        <v>130</v>
      </c>
      <c r="BL104" s="9" t="s">
        <v>99</v>
      </c>
      <c r="BM104" s="9" t="s">
        <v>148</v>
      </c>
      <c r="BN104" s="9" t="s">
        <v>148</v>
      </c>
      <c r="BO104" s="9" t="s">
        <v>148</v>
      </c>
      <c r="BP104" s="9" t="s">
        <v>958</v>
      </c>
      <c r="BQ104" s="9" t="s">
        <v>971</v>
      </c>
      <c r="BR104" s="38"/>
      <c r="BS104" s="9">
        <f>IF(Q104&lt;=1600,Q104*18,IF(Q104&lt;=2500,Q104*19,IF(Q104&gt;2500,Q104*24,20000)))</f>
        <v>83280</v>
      </c>
      <c r="BT104" s="7" t="s">
        <v>140</v>
      </c>
      <c r="BU104" s="38"/>
      <c r="BV104" s="38"/>
      <c r="BW104" s="38"/>
      <c r="BX104" s="38"/>
      <c r="BY104" s="38"/>
      <c r="BZ104" s="38"/>
      <c r="CA104" s="38"/>
      <c r="CB104" s="15"/>
      <c r="CC104" s="15" t="s">
        <v>147</v>
      </c>
      <c r="CD104" s="15" t="s">
        <v>147</v>
      </c>
      <c r="CE104" s="46">
        <v>1347360</v>
      </c>
      <c r="CF104" s="9">
        <v>51</v>
      </c>
      <c r="CG104" s="9">
        <f>CF104*CE104</f>
        <v>68715360</v>
      </c>
      <c r="CH104" s="9">
        <v>0</v>
      </c>
      <c r="CI104" s="9">
        <v>29280000</v>
      </c>
      <c r="CJ104" s="46">
        <v>48312000</v>
      </c>
      <c r="CK104" s="50">
        <v>0.03</v>
      </c>
      <c r="CL104" s="49">
        <v>0.06</v>
      </c>
      <c r="CM104" s="54" t="s">
        <v>959</v>
      </c>
      <c r="CN104" s="38"/>
      <c r="CO104" s="38"/>
      <c r="CP104" s="27">
        <v>0.03</v>
      </c>
      <c r="CQ104" s="38"/>
      <c r="CR104" s="38"/>
      <c r="CS104" s="46"/>
      <c r="CT104" s="24" t="s">
        <v>960</v>
      </c>
      <c r="CU104" s="24">
        <v>132000</v>
      </c>
      <c r="CV104" s="38" t="s">
        <v>218</v>
      </c>
      <c r="CW104" s="46">
        <v>53300</v>
      </c>
      <c r="CX104" s="38"/>
      <c r="CY104" s="38"/>
      <c r="CZ104" s="38"/>
      <c r="DA104" s="38"/>
      <c r="DB104" s="24"/>
      <c r="DC104" s="24" t="s">
        <v>128</v>
      </c>
      <c r="DD104" s="24" t="s">
        <v>129</v>
      </c>
      <c r="DE104" s="24" t="s">
        <v>113</v>
      </c>
      <c r="DF104" s="24"/>
      <c r="DG104" s="24" t="s">
        <v>824</v>
      </c>
      <c r="DH104" s="38" t="s">
        <v>961</v>
      </c>
      <c r="DI104" s="38" t="s">
        <v>962</v>
      </c>
      <c r="DJ104" s="38" t="s">
        <v>956</v>
      </c>
      <c r="DK104" s="47">
        <v>0.35</v>
      </c>
      <c r="DL104" s="76">
        <v>0.2</v>
      </c>
      <c r="DM104" s="38"/>
      <c r="DN104" s="46">
        <v>6129505</v>
      </c>
      <c r="DO104" s="38"/>
      <c r="DP104" s="38"/>
      <c r="DQ104" s="47"/>
    </row>
    <row r="105" spans="1:121">
      <c r="B105" s="7">
        <v>100</v>
      </c>
      <c r="C105" s="7" t="s">
        <v>972</v>
      </c>
      <c r="D105" s="36" t="s">
        <v>103</v>
      </c>
      <c r="E105" s="7" t="s">
        <v>973</v>
      </c>
      <c r="F105" s="7" t="s">
        <v>973</v>
      </c>
      <c r="G105" s="7" t="s">
        <v>974</v>
      </c>
      <c r="H105" s="38" t="s">
        <v>122</v>
      </c>
      <c r="I105" s="46" t="s">
        <v>123</v>
      </c>
      <c r="J105" s="18">
        <v>131350000</v>
      </c>
      <c r="K105" s="7">
        <v>2023</v>
      </c>
      <c r="L105" s="38" t="s">
        <v>975</v>
      </c>
      <c r="M105" s="6" t="s">
        <v>90</v>
      </c>
      <c r="N105" s="38" t="s">
        <v>976</v>
      </c>
      <c r="O105" s="7" t="s">
        <v>977</v>
      </c>
      <c r="P105" s="7" t="s">
        <v>98</v>
      </c>
      <c r="Q105" s="33">
        <v>3470</v>
      </c>
      <c r="R105" s="11">
        <v>45288</v>
      </c>
      <c r="S105" s="11">
        <v>45288</v>
      </c>
      <c r="T105" s="11">
        <v>45288</v>
      </c>
      <c r="U105" s="12" t="s">
        <v>153</v>
      </c>
      <c r="V105" s="11">
        <f>IFERROR(T105+AD105, "-")</f>
        <v>46383</v>
      </c>
      <c r="W105" s="13">
        <f ca="1">IFERROR(DATEDIF(TODAY(), V105, "m"), "-")</f>
        <v>4</v>
      </c>
      <c r="X105" s="9">
        <v>20000</v>
      </c>
      <c r="Y105" s="7" t="s">
        <v>973</v>
      </c>
      <c r="Z105" s="7" t="s">
        <v>974</v>
      </c>
      <c r="AA105" s="38"/>
      <c r="AB105" s="11" t="s">
        <v>978</v>
      </c>
      <c r="AC105" s="11">
        <v>45306</v>
      </c>
      <c r="AD105" s="7">
        <f>365*U105</f>
        <v>1095</v>
      </c>
      <c r="AE105" s="7">
        <f ca="1">V105-TODAY()</f>
        <v>131</v>
      </c>
      <c r="AF105" s="7" t="e">
        <f>VLOOKUP($C105,#REF!, 4, FALSE)</f>
        <v>#REF!</v>
      </c>
      <c r="AG105" s="46">
        <v>131350000</v>
      </c>
      <c r="AH105" s="9">
        <v>6646687</v>
      </c>
      <c r="AI105" s="9">
        <f>AG105-AH105+AJ105</f>
        <v>125035313</v>
      </c>
      <c r="AJ105" s="9">
        <v>332000</v>
      </c>
      <c r="AK105" s="9">
        <v>1900</v>
      </c>
      <c r="AL105" s="46">
        <v>4546730</v>
      </c>
      <c r="AM105" s="46">
        <v>309896</v>
      </c>
      <c r="AN105" s="46">
        <v>2000</v>
      </c>
      <c r="AO105" s="46">
        <v>45000</v>
      </c>
      <c r="AP105" s="46">
        <v>50000</v>
      </c>
      <c r="AQ105" s="46">
        <v>2598000</v>
      </c>
      <c r="AR105" s="46"/>
      <c r="AS105" s="46" t="s">
        <v>979</v>
      </c>
      <c r="AT105" s="46">
        <v>0</v>
      </c>
      <c r="AU105" s="9" t="s">
        <v>980</v>
      </c>
      <c r="AV105" s="46"/>
      <c r="AW105" s="46"/>
      <c r="AX105" s="46" t="s">
        <v>189</v>
      </c>
      <c r="AY105" s="53"/>
      <c r="AZ105" s="46"/>
      <c r="BA105" s="46"/>
      <c r="BB105" s="46"/>
      <c r="BC105" s="46"/>
      <c r="BD105" s="9"/>
      <c r="BE105" s="9" t="s">
        <v>93</v>
      </c>
      <c r="BF105" s="9" t="s">
        <v>94</v>
      </c>
      <c r="BG105" s="9" t="s">
        <v>95</v>
      </c>
      <c r="BH105" s="9" t="s">
        <v>96</v>
      </c>
      <c r="BI105" s="9" t="s">
        <v>97</v>
      </c>
      <c r="BJ105" s="9" t="s">
        <v>127</v>
      </c>
      <c r="BK105" s="7" t="s">
        <v>631</v>
      </c>
      <c r="BL105" s="9" t="s">
        <v>99</v>
      </c>
      <c r="BM105" s="9" t="s">
        <v>148</v>
      </c>
      <c r="BN105" s="9" t="s">
        <v>148</v>
      </c>
      <c r="BO105" s="9" t="s">
        <v>148</v>
      </c>
      <c r="BP105" s="9" t="s">
        <v>713</v>
      </c>
      <c r="BQ105" s="9" t="s">
        <v>700</v>
      </c>
      <c r="BR105" s="38"/>
      <c r="BS105" s="9">
        <f>IF(Q105&lt;=1600,Q105*18,IF(Q105&lt;=2500,Q105*19,IF(Q105&gt;2500,Q105*24,20000)))</f>
        <v>83280</v>
      </c>
      <c r="BT105" s="7" t="s">
        <v>140</v>
      </c>
      <c r="BU105" s="38"/>
      <c r="BV105" s="38"/>
      <c r="BW105" s="38"/>
      <c r="BX105" s="38"/>
      <c r="BY105" s="38"/>
      <c r="BZ105" s="38"/>
      <c r="CA105" s="38"/>
      <c r="CB105" s="15"/>
      <c r="CC105" s="15" t="s">
        <v>147</v>
      </c>
      <c r="CD105" s="15" t="s">
        <v>147</v>
      </c>
      <c r="CE105" s="46">
        <v>3487000</v>
      </c>
      <c r="CF105" s="9">
        <v>36</v>
      </c>
      <c r="CG105" s="9">
        <f>CF105*CE105</f>
        <v>125532000</v>
      </c>
      <c r="CH105" s="9">
        <v>0</v>
      </c>
      <c r="CI105" s="9">
        <v>0</v>
      </c>
      <c r="CJ105" s="46">
        <v>55167000</v>
      </c>
      <c r="CK105" s="50">
        <v>9.7000000000000003E-2</v>
      </c>
      <c r="CL105" s="48">
        <v>0.06</v>
      </c>
      <c r="CM105" s="16" t="s">
        <v>981</v>
      </c>
      <c r="CN105" s="38"/>
      <c r="CO105" s="38"/>
      <c r="CP105" s="27">
        <v>0.03</v>
      </c>
      <c r="CQ105" s="38"/>
      <c r="CR105" s="38" t="s">
        <v>39</v>
      </c>
      <c r="CS105" s="46">
        <v>220000</v>
      </c>
      <c r="CT105" s="24" t="s">
        <v>960</v>
      </c>
      <c r="CU105" s="24">
        <v>132000</v>
      </c>
      <c r="CV105" s="38" t="s">
        <v>218</v>
      </c>
      <c r="CW105" s="46">
        <v>53300</v>
      </c>
      <c r="CX105" s="38"/>
      <c r="CY105" s="38"/>
      <c r="CZ105" s="38"/>
      <c r="DA105" s="38"/>
      <c r="DB105" s="24"/>
      <c r="DC105" s="24" t="s">
        <v>128</v>
      </c>
      <c r="DD105" s="24" t="s">
        <v>129</v>
      </c>
      <c r="DE105" s="24" t="s">
        <v>113</v>
      </c>
      <c r="DF105" s="24"/>
      <c r="DG105" s="24" t="s">
        <v>219</v>
      </c>
      <c r="DH105" s="38" t="s">
        <v>982</v>
      </c>
      <c r="DI105" s="38" t="s">
        <v>983</v>
      </c>
      <c r="DJ105" s="38" t="s">
        <v>978</v>
      </c>
      <c r="DK105" s="47">
        <v>0.35</v>
      </c>
      <c r="DL105" s="38">
        <v>0.25</v>
      </c>
      <c r="DM105" s="38"/>
      <c r="DN105" s="46"/>
      <c r="DO105" s="38"/>
      <c r="DP105" s="38"/>
      <c r="DQ105" s="47"/>
    </row>
    <row r="106" spans="1:121">
      <c r="B106" s="7">
        <v>101</v>
      </c>
      <c r="C106" s="7" t="s">
        <v>984</v>
      </c>
      <c r="D106" s="36" t="s">
        <v>1585</v>
      </c>
      <c r="E106" s="7" t="s">
        <v>985</v>
      </c>
      <c r="F106" s="7" t="s">
        <v>1377</v>
      </c>
      <c r="G106" s="7" t="s">
        <v>624</v>
      </c>
      <c r="H106" s="38" t="s">
        <v>180</v>
      </c>
      <c r="I106" s="46" t="s">
        <v>816</v>
      </c>
      <c r="J106" s="18">
        <v>83690000</v>
      </c>
      <c r="K106" s="7">
        <v>2024</v>
      </c>
      <c r="L106" s="38" t="s">
        <v>986</v>
      </c>
      <c r="M106" s="38" t="s">
        <v>90</v>
      </c>
      <c r="N106" s="38" t="s">
        <v>987</v>
      </c>
      <c r="O106" s="7" t="s">
        <v>988</v>
      </c>
      <c r="P106" s="7" t="s">
        <v>98</v>
      </c>
      <c r="Q106" s="33">
        <v>2497</v>
      </c>
      <c r="R106" s="11">
        <v>45359</v>
      </c>
      <c r="S106" s="11">
        <v>45366</v>
      </c>
      <c r="T106" s="11">
        <v>45366</v>
      </c>
      <c r="U106" s="12" t="s">
        <v>496</v>
      </c>
      <c r="V106" s="11">
        <f>IFERROR(T106+AD106, "-")</f>
        <v>46826</v>
      </c>
      <c r="W106" s="13">
        <f ca="1">IFERROR(DATEDIF(TODAY(), V106, "m"), "-")</f>
        <v>18</v>
      </c>
      <c r="X106" s="9">
        <v>20000</v>
      </c>
      <c r="Y106" s="7" t="s">
        <v>623</v>
      </c>
      <c r="Z106" s="7" t="s">
        <v>624</v>
      </c>
      <c r="AA106" s="38"/>
      <c r="AB106" s="11" t="s">
        <v>989</v>
      </c>
      <c r="AC106" s="11">
        <v>45376</v>
      </c>
      <c r="AD106" s="7">
        <f>365*U106</f>
        <v>1460</v>
      </c>
      <c r="AE106" s="7">
        <f ca="1">V106-TODAY()</f>
        <v>574</v>
      </c>
      <c r="AF106" s="7" t="e">
        <f>VLOOKUP($C106,#REF!, 4, FALSE)</f>
        <v>#REF!</v>
      </c>
      <c r="AG106" s="46">
        <v>83690000</v>
      </c>
      <c r="AH106" s="9">
        <v>4234954</v>
      </c>
      <c r="AI106" s="9">
        <f>AG106-AH106+AJ106</f>
        <v>79812046</v>
      </c>
      <c r="AJ106" s="9">
        <v>357000</v>
      </c>
      <c r="AK106" s="9">
        <v>1900</v>
      </c>
      <c r="AL106" s="46">
        <v>2902250</v>
      </c>
      <c r="AM106" s="46">
        <v>208307</v>
      </c>
      <c r="AN106" s="46">
        <v>2000</v>
      </c>
      <c r="AO106" s="46">
        <v>45000</v>
      </c>
      <c r="AP106" s="46">
        <v>50000</v>
      </c>
      <c r="AQ106" s="46">
        <v>2034000</v>
      </c>
      <c r="AR106" s="46">
        <v>0</v>
      </c>
      <c r="AS106" s="46" t="s">
        <v>187</v>
      </c>
      <c r="AT106" s="46">
        <v>198000</v>
      </c>
      <c r="AU106" s="9" t="s">
        <v>990</v>
      </c>
      <c r="AV106" s="46"/>
      <c r="AW106" s="46"/>
      <c r="AX106" s="46" t="s">
        <v>189</v>
      </c>
      <c r="AY106" s="53">
        <v>45359</v>
      </c>
      <c r="AZ106" s="46">
        <v>950000</v>
      </c>
      <c r="BA106" s="46">
        <v>1171600</v>
      </c>
      <c r="BB106" s="46">
        <v>2000000</v>
      </c>
      <c r="BC106" s="46">
        <v>2400000</v>
      </c>
      <c r="BD106" s="9"/>
      <c r="BE106" s="9" t="s">
        <v>93</v>
      </c>
      <c r="BF106" s="9" t="s">
        <v>94</v>
      </c>
      <c r="BG106" s="9" t="s">
        <v>95</v>
      </c>
      <c r="BH106" s="9" t="s">
        <v>96</v>
      </c>
      <c r="BI106" s="9" t="s">
        <v>97</v>
      </c>
      <c r="BJ106" s="9" t="s">
        <v>127</v>
      </c>
      <c r="BK106" s="7" t="s">
        <v>130</v>
      </c>
      <c r="BL106" s="9" t="s">
        <v>99</v>
      </c>
      <c r="BM106" s="9" t="s">
        <v>148</v>
      </c>
      <c r="BN106" s="9" t="s">
        <v>148</v>
      </c>
      <c r="BO106" s="9" t="s">
        <v>148</v>
      </c>
      <c r="BP106" s="9" t="s">
        <v>713</v>
      </c>
      <c r="BQ106" s="46" t="s">
        <v>991</v>
      </c>
      <c r="BR106" s="38"/>
      <c r="BS106" s="9">
        <f>IF(Q106&lt;=1600,Q106*18,IF(Q106&lt;=2500,Q106*19,IF(Q106&gt;2500,Q106*24,20000)))</f>
        <v>47443</v>
      </c>
      <c r="BT106" s="7" t="s">
        <v>140</v>
      </c>
      <c r="BU106" s="38"/>
      <c r="BV106" s="38"/>
      <c r="BW106" s="38"/>
      <c r="BX106" s="38"/>
      <c r="BY106" s="38"/>
      <c r="BZ106" s="38"/>
      <c r="CA106" s="38"/>
      <c r="CB106" s="15"/>
      <c r="CC106" s="15" t="s">
        <v>154</v>
      </c>
      <c r="CD106" s="15" t="s">
        <v>154</v>
      </c>
      <c r="CE106" s="46">
        <v>1961000</v>
      </c>
      <c r="CF106" s="9">
        <v>48</v>
      </c>
      <c r="CG106" s="9">
        <f>CF106*CE106</f>
        <v>94128000</v>
      </c>
      <c r="CH106" s="9">
        <v>26361000</v>
      </c>
      <c r="CI106" s="9"/>
      <c r="CJ106" s="9">
        <v>26361000</v>
      </c>
      <c r="CK106" s="50">
        <v>0.03</v>
      </c>
      <c r="CL106" s="49">
        <v>0.06</v>
      </c>
      <c r="CM106" s="16" t="s">
        <v>633</v>
      </c>
      <c r="CN106" s="38"/>
      <c r="CO106" s="38"/>
      <c r="CP106" s="27">
        <v>0.03</v>
      </c>
      <c r="CQ106" s="38"/>
      <c r="CR106" s="38"/>
      <c r="CS106" s="46"/>
      <c r="CT106" s="24" t="s">
        <v>823</v>
      </c>
      <c r="CU106" s="24">
        <f>40000*1.1</f>
        <v>44000</v>
      </c>
      <c r="CV106" s="38" t="s">
        <v>218</v>
      </c>
      <c r="CW106" s="46">
        <v>53300</v>
      </c>
      <c r="CX106" s="38"/>
      <c r="CY106" s="38"/>
      <c r="CZ106" s="38"/>
      <c r="DA106" s="38"/>
      <c r="DB106" s="24"/>
      <c r="DC106" s="24" t="s">
        <v>128</v>
      </c>
      <c r="DD106" s="24" t="s">
        <v>129</v>
      </c>
      <c r="DE106" s="24" t="s">
        <v>113</v>
      </c>
      <c r="DF106" s="38"/>
      <c r="DG106" s="38" t="s">
        <v>702</v>
      </c>
      <c r="DH106" s="38" t="s">
        <v>880</v>
      </c>
      <c r="DI106" s="38" t="s">
        <v>881</v>
      </c>
      <c r="DJ106" s="38" t="s">
        <v>882</v>
      </c>
      <c r="DK106" s="47">
        <v>0.35</v>
      </c>
      <c r="DL106" s="38">
        <v>0.25</v>
      </c>
      <c r="DM106" s="38"/>
      <c r="DN106" s="46"/>
      <c r="DO106" s="38"/>
      <c r="DP106" s="38"/>
      <c r="DQ106" s="47"/>
    </row>
    <row r="107" spans="1:121">
      <c r="B107" s="7">
        <v>102</v>
      </c>
      <c r="C107" s="7" t="s">
        <v>992</v>
      </c>
      <c r="D107" s="36" t="s">
        <v>1585</v>
      </c>
      <c r="E107" s="7" t="s">
        <v>993</v>
      </c>
      <c r="F107" s="7" t="s">
        <v>994</v>
      </c>
      <c r="G107" s="7" t="s">
        <v>995</v>
      </c>
      <c r="H107" s="38" t="s">
        <v>996</v>
      </c>
      <c r="I107" s="46" t="s">
        <v>997</v>
      </c>
      <c r="J107" s="18">
        <f>56380000+2230000</f>
        <v>58610000</v>
      </c>
      <c r="K107" s="7">
        <v>2024</v>
      </c>
      <c r="L107" s="38" t="s">
        <v>998</v>
      </c>
      <c r="M107" s="38" t="s">
        <v>106</v>
      </c>
      <c r="N107" s="38" t="s">
        <v>999</v>
      </c>
      <c r="O107" s="7" t="s">
        <v>1000</v>
      </c>
      <c r="P107" s="7" t="s">
        <v>98</v>
      </c>
      <c r="Q107" s="33">
        <v>2959</v>
      </c>
      <c r="R107" s="11">
        <v>45362</v>
      </c>
      <c r="S107" s="11">
        <v>45358</v>
      </c>
      <c r="T107" s="11">
        <v>45362</v>
      </c>
      <c r="U107" s="12" t="s">
        <v>91</v>
      </c>
      <c r="V107" s="11">
        <f>IFERROR(T107+AD107, "-")</f>
        <v>47187</v>
      </c>
      <c r="W107" s="13">
        <f ca="1">IFERROR(DATEDIF(TODAY(), V107, "m"), "-")</f>
        <v>30</v>
      </c>
      <c r="X107" s="9">
        <v>40000</v>
      </c>
      <c r="Y107" s="38" t="s">
        <v>1001</v>
      </c>
      <c r="Z107" s="38" t="s">
        <v>1002</v>
      </c>
      <c r="AA107" s="38" t="s">
        <v>98</v>
      </c>
      <c r="AB107" s="11" t="s">
        <v>1003</v>
      </c>
      <c r="AC107" s="11">
        <v>45376</v>
      </c>
      <c r="AD107" s="7">
        <f>365*U107</f>
        <v>1825</v>
      </c>
      <c r="AE107" s="7">
        <f ca="1">V107-TODAY()</f>
        <v>935</v>
      </c>
      <c r="AF107" s="7" t="e">
        <f>VLOOKUP($C107,#REF!, 4, FALSE)</f>
        <v>#REF!</v>
      </c>
      <c r="AG107" s="46">
        <v>58610000</v>
      </c>
      <c r="AH107" s="9">
        <f>2965834+3000000</f>
        <v>5965834</v>
      </c>
      <c r="AI107" s="9">
        <f>AG107-AH107+AJ107</f>
        <v>52810166</v>
      </c>
      <c r="AJ107" s="9">
        <f>158000+8000</f>
        <v>166000</v>
      </c>
      <c r="AK107" s="9">
        <v>1900</v>
      </c>
      <c r="AL107" s="46">
        <v>1920360</v>
      </c>
      <c r="AM107" s="46">
        <v>88415</v>
      </c>
      <c r="AN107" s="46">
        <v>2000</v>
      </c>
      <c r="AO107" s="46">
        <v>45000</v>
      </c>
      <c r="AP107" s="46">
        <v>50000</v>
      </c>
      <c r="AQ107" s="46"/>
      <c r="AR107" s="46">
        <v>220000</v>
      </c>
      <c r="AS107" s="46" t="s">
        <v>957</v>
      </c>
      <c r="AT107" s="46">
        <v>198000</v>
      </c>
      <c r="AU107" s="9" t="s">
        <v>1004</v>
      </c>
      <c r="AV107" s="46"/>
      <c r="AW107" s="46"/>
      <c r="AX107" s="46" t="s">
        <v>189</v>
      </c>
      <c r="AY107" s="53">
        <v>45362</v>
      </c>
      <c r="AZ107" s="46">
        <v>950000</v>
      </c>
      <c r="BA107" s="46">
        <v>879150</v>
      </c>
      <c r="BB107" s="46">
        <v>1200000</v>
      </c>
      <c r="BC107" s="46">
        <v>3000000</v>
      </c>
      <c r="BD107" s="9"/>
      <c r="BE107" s="9" t="s">
        <v>93</v>
      </c>
      <c r="BF107" s="9" t="s">
        <v>94</v>
      </c>
      <c r="BG107" s="9" t="s">
        <v>1005</v>
      </c>
      <c r="BH107" s="9" t="s">
        <v>118</v>
      </c>
      <c r="BI107" s="9" t="s">
        <v>97</v>
      </c>
      <c r="BJ107" s="9" t="s">
        <v>119</v>
      </c>
      <c r="BK107" s="7" t="s">
        <v>130</v>
      </c>
      <c r="BL107" s="9" t="s">
        <v>99</v>
      </c>
      <c r="BM107" s="9" t="s">
        <v>148</v>
      </c>
      <c r="BN107" s="9" t="s">
        <v>148</v>
      </c>
      <c r="BO107" s="9" t="s">
        <v>148</v>
      </c>
      <c r="BP107" s="9" t="s">
        <v>958</v>
      </c>
      <c r="BQ107" s="46" t="s">
        <v>1006</v>
      </c>
      <c r="BR107" s="38"/>
      <c r="BS107" s="9">
        <f>IF(Q107&lt;=1600,Q107*18,IF(Q107&lt;=2500,Q107*19,IF(Q107&gt;2500,Q107*24,20000)))</f>
        <v>71016</v>
      </c>
      <c r="BT107" s="7" t="s">
        <v>140</v>
      </c>
      <c r="BU107" s="38"/>
      <c r="BV107" s="38"/>
      <c r="BW107" s="38"/>
      <c r="BX107" s="38"/>
      <c r="BY107" s="38"/>
      <c r="BZ107" s="38"/>
      <c r="CA107" s="38"/>
      <c r="CB107" s="15"/>
      <c r="CC107" s="15" t="s">
        <v>154</v>
      </c>
      <c r="CD107" s="15" t="s">
        <v>154</v>
      </c>
      <c r="CE107" s="46">
        <v>1040000</v>
      </c>
      <c r="CF107" s="9">
        <v>60</v>
      </c>
      <c r="CG107" s="9">
        <f>CF107*CE107</f>
        <v>62400000</v>
      </c>
      <c r="CH107" s="9">
        <v>11722000</v>
      </c>
      <c r="CI107" s="9">
        <v>0</v>
      </c>
      <c r="CJ107" s="46" t="s">
        <v>248</v>
      </c>
      <c r="CK107" s="50">
        <v>-2.6200000000000001E-2</v>
      </c>
      <c r="CL107" s="49">
        <v>0.06</v>
      </c>
      <c r="CM107" s="16" t="s">
        <v>1007</v>
      </c>
      <c r="CN107" s="38"/>
      <c r="CO107" s="38"/>
      <c r="CP107" s="27">
        <v>0.03</v>
      </c>
      <c r="CQ107" s="38"/>
      <c r="CR107" s="38" t="s">
        <v>39</v>
      </c>
      <c r="CS107" s="46">
        <v>220000</v>
      </c>
      <c r="CT107" s="24" t="s">
        <v>823</v>
      </c>
      <c r="CU107" s="24">
        <f>40000*1.1</f>
        <v>44000</v>
      </c>
      <c r="CV107" s="38" t="s">
        <v>218</v>
      </c>
      <c r="CW107" s="46">
        <v>53300</v>
      </c>
      <c r="CX107" s="38"/>
      <c r="CY107" s="38"/>
      <c r="CZ107" s="38"/>
      <c r="DA107" s="38"/>
      <c r="DB107" s="24"/>
      <c r="DC107" s="24" t="s">
        <v>120</v>
      </c>
      <c r="DD107" s="24" t="s">
        <v>121</v>
      </c>
      <c r="DE107" s="24" t="s">
        <v>113</v>
      </c>
      <c r="DF107" s="38"/>
      <c r="DG107" s="38" t="s">
        <v>219</v>
      </c>
      <c r="DH107" s="38" t="s">
        <v>1008</v>
      </c>
      <c r="DI107" s="38" t="s">
        <v>1009</v>
      </c>
      <c r="DJ107" s="38" t="s">
        <v>1010</v>
      </c>
      <c r="DK107" s="47">
        <v>0.35</v>
      </c>
      <c r="DL107" s="38">
        <v>0.25</v>
      </c>
      <c r="DM107" s="38"/>
      <c r="DN107" s="46">
        <v>3154615</v>
      </c>
      <c r="DO107" s="38"/>
      <c r="DP107" s="38"/>
      <c r="DQ107" s="47"/>
    </row>
    <row r="108" spans="1:121">
      <c r="B108" s="7">
        <v>103</v>
      </c>
      <c r="C108" s="7" t="s">
        <v>1011</v>
      </c>
      <c r="D108" s="36" t="s">
        <v>1585</v>
      </c>
      <c r="E108" s="7" t="s">
        <v>1475</v>
      </c>
      <c r="F108" s="7" t="s">
        <v>516</v>
      </c>
      <c r="G108" s="7" t="s">
        <v>517</v>
      </c>
      <c r="H108" s="7" t="s">
        <v>180</v>
      </c>
      <c r="I108" s="7" t="s">
        <v>1012</v>
      </c>
      <c r="J108" s="9">
        <f>65900000+11400000</f>
        <v>77300000</v>
      </c>
      <c r="K108" s="7">
        <v>2024</v>
      </c>
      <c r="L108" s="6" t="s">
        <v>1013</v>
      </c>
      <c r="M108" s="38" t="s">
        <v>90</v>
      </c>
      <c r="N108" s="7" t="s">
        <v>1014</v>
      </c>
      <c r="O108" s="21" t="s">
        <v>1015</v>
      </c>
      <c r="P108" s="7" t="s">
        <v>98</v>
      </c>
      <c r="Q108" s="33">
        <v>2497</v>
      </c>
      <c r="R108" s="11">
        <v>45407</v>
      </c>
      <c r="S108" s="11">
        <v>45372</v>
      </c>
      <c r="T108" s="11">
        <v>45408</v>
      </c>
      <c r="U108" s="12" t="s">
        <v>496</v>
      </c>
      <c r="V108" s="11">
        <f>IFERROR(T108+AD108, "-")</f>
        <v>46868</v>
      </c>
      <c r="W108" s="7">
        <f ca="1">IFERROR(DATEDIF(TODAY(), V108, "m"), "-")</f>
        <v>20</v>
      </c>
      <c r="X108" s="9">
        <v>20000</v>
      </c>
      <c r="Y108" s="9" t="s">
        <v>520</v>
      </c>
      <c r="Z108" s="7" t="s">
        <v>521</v>
      </c>
      <c r="AA108" s="9"/>
      <c r="AB108" s="9" t="s">
        <v>1476</v>
      </c>
      <c r="AC108" s="11">
        <v>45412</v>
      </c>
      <c r="AD108" s="7">
        <f>365*U108</f>
        <v>1460</v>
      </c>
      <c r="AE108" s="7">
        <f ca="1">V108-TODAY()</f>
        <v>616</v>
      </c>
      <c r="AF108" s="7" t="e">
        <f>VLOOKUP($C108,#REF!, 4, FALSE)</f>
        <v>#REF!</v>
      </c>
      <c r="AG108" s="41">
        <f>65900000+11400000</f>
        <v>77300000</v>
      </c>
      <c r="AH108" s="9">
        <v>3911602</v>
      </c>
      <c r="AI108" s="9">
        <f>AG108-AH108+AJ108</f>
        <v>73737398</v>
      </c>
      <c r="AJ108" s="9">
        <v>349000</v>
      </c>
      <c r="AK108" s="9">
        <v>1900</v>
      </c>
      <c r="AL108" s="9">
        <v>2681350</v>
      </c>
      <c r="AM108" s="9">
        <v>215775</v>
      </c>
      <c r="AN108" s="9">
        <v>2000</v>
      </c>
      <c r="AO108" s="9">
        <v>45000</v>
      </c>
      <c r="AP108" s="9">
        <v>50000</v>
      </c>
      <c r="AQ108" s="9">
        <v>1878644</v>
      </c>
      <c r="AR108" s="9">
        <v>0</v>
      </c>
      <c r="AS108" s="9" t="s">
        <v>187</v>
      </c>
      <c r="AT108" s="46">
        <v>198000</v>
      </c>
      <c r="AU108" s="9" t="s">
        <v>1004</v>
      </c>
      <c r="AV108" s="9"/>
      <c r="AW108" s="18"/>
      <c r="AX108" s="46" t="s">
        <v>189</v>
      </c>
      <c r="AY108" s="53">
        <v>45407</v>
      </c>
      <c r="AZ108" s="46">
        <v>950000</v>
      </c>
      <c r="BA108" s="41">
        <v>1062875</v>
      </c>
      <c r="BB108" s="46">
        <v>2000000</v>
      </c>
      <c r="BC108" s="46">
        <v>2400000</v>
      </c>
      <c r="BD108" s="9"/>
      <c r="BE108" s="9" t="s">
        <v>93</v>
      </c>
      <c r="BF108" s="9" t="s">
        <v>94</v>
      </c>
      <c r="BG108" s="9" t="s">
        <v>95</v>
      </c>
      <c r="BH108" s="9" t="s">
        <v>96</v>
      </c>
      <c r="BI108" s="9" t="s">
        <v>97</v>
      </c>
      <c r="BJ108" s="9" t="s">
        <v>127</v>
      </c>
      <c r="BK108" s="7" t="s">
        <v>130</v>
      </c>
      <c r="BL108" s="9" t="s">
        <v>99</v>
      </c>
      <c r="BM108" s="9" t="s">
        <v>148</v>
      </c>
      <c r="BN108" s="9" t="s">
        <v>148</v>
      </c>
      <c r="BO108" s="9" t="s">
        <v>148</v>
      </c>
      <c r="BP108" s="9" t="s">
        <v>958</v>
      </c>
      <c r="BQ108" s="9" t="s">
        <v>1016</v>
      </c>
      <c r="BR108" s="7"/>
      <c r="BS108" s="9">
        <f>IF(Q108&lt;=1600,Q108*18,IF(Q108&lt;=2500,Q108*19,IF(Q108&gt;2500,Q108*24,20000)))</f>
        <v>47443</v>
      </c>
      <c r="BT108" s="7" t="s">
        <v>140</v>
      </c>
      <c r="BU108" s="22"/>
      <c r="BV108" s="9"/>
      <c r="BW108" s="14"/>
      <c r="BX108" s="9"/>
      <c r="BY108" s="9"/>
      <c r="BZ108" s="9"/>
      <c r="CA108" s="27"/>
      <c r="CB108" s="87"/>
      <c r="CC108" s="15" t="s">
        <v>149</v>
      </c>
      <c r="CD108" s="15" t="s">
        <v>149</v>
      </c>
      <c r="CE108" s="9">
        <v>1577000</v>
      </c>
      <c r="CF108" s="9">
        <v>48</v>
      </c>
      <c r="CG108" s="9">
        <f>CF108*CE108</f>
        <v>75696000</v>
      </c>
      <c r="CH108" s="9">
        <v>15220000</v>
      </c>
      <c r="CI108" s="9">
        <v>0</v>
      </c>
      <c r="CJ108" s="9">
        <v>30440000</v>
      </c>
      <c r="CK108" s="51">
        <v>0.03</v>
      </c>
      <c r="CL108" s="48">
        <v>0.06</v>
      </c>
      <c r="CM108" s="16" t="s">
        <v>523</v>
      </c>
      <c r="CN108" s="9"/>
      <c r="CO108" s="9"/>
      <c r="CP108" s="27">
        <v>0.03</v>
      </c>
      <c r="CQ108" s="38"/>
      <c r="CR108" s="24" t="s">
        <v>218</v>
      </c>
      <c r="CS108" s="24">
        <v>53300</v>
      </c>
      <c r="CT108" s="24" t="s">
        <v>960</v>
      </c>
      <c r="CU108" s="24">
        <v>132000</v>
      </c>
      <c r="CV108" s="24" t="s">
        <v>1017</v>
      </c>
      <c r="CW108" s="24">
        <v>165000</v>
      </c>
      <c r="CX108" s="24"/>
      <c r="CY108" s="24"/>
      <c r="CZ108" s="24"/>
      <c r="DA108" s="24"/>
      <c r="DB108" s="24"/>
      <c r="DC108" s="24" t="s">
        <v>128</v>
      </c>
      <c r="DD108" s="24" t="s">
        <v>129</v>
      </c>
      <c r="DE108" s="24" t="s">
        <v>113</v>
      </c>
      <c r="DF108" s="24"/>
      <c r="DG108" s="24" t="s">
        <v>824</v>
      </c>
      <c r="DH108" s="24" t="s">
        <v>1018</v>
      </c>
      <c r="DI108" s="24" t="s">
        <v>524</v>
      </c>
      <c r="DJ108" s="24" t="s">
        <v>1476</v>
      </c>
      <c r="DK108" s="38">
        <v>0.3</v>
      </c>
      <c r="DL108" s="38">
        <v>0.25</v>
      </c>
      <c r="DM108" s="24"/>
      <c r="DN108" s="46">
        <v>4333185</v>
      </c>
      <c r="DO108" s="38"/>
      <c r="DP108" s="38"/>
      <c r="DQ108" s="47"/>
    </row>
    <row r="109" spans="1:121">
      <c r="B109" s="7">
        <v>104</v>
      </c>
      <c r="C109" s="7" t="s">
        <v>1019</v>
      </c>
      <c r="D109" s="36" t="s">
        <v>1585</v>
      </c>
      <c r="E109" s="7" t="s">
        <v>1020</v>
      </c>
      <c r="F109" s="7" t="s">
        <v>1021</v>
      </c>
      <c r="G109" s="7" t="s">
        <v>1022</v>
      </c>
      <c r="H109" s="38" t="s">
        <v>199</v>
      </c>
      <c r="I109" s="46" t="s">
        <v>1023</v>
      </c>
      <c r="J109" s="18">
        <f>42560000+2750000</f>
        <v>45310000</v>
      </c>
      <c r="K109" s="7">
        <v>2024</v>
      </c>
      <c r="L109" s="38" t="s">
        <v>1024</v>
      </c>
      <c r="M109" s="38" t="s">
        <v>90</v>
      </c>
      <c r="N109" s="38" t="s">
        <v>1025</v>
      </c>
      <c r="O109" s="7" t="s">
        <v>1026</v>
      </c>
      <c r="P109" s="7" t="s">
        <v>1027</v>
      </c>
      <c r="Q109" s="33">
        <v>1598</v>
      </c>
      <c r="R109" s="11">
        <v>45432</v>
      </c>
      <c r="S109" s="11">
        <v>45401</v>
      </c>
      <c r="T109" s="11">
        <v>45433</v>
      </c>
      <c r="U109" s="12" t="s">
        <v>91</v>
      </c>
      <c r="V109" s="11">
        <f>IFERROR(T109+AD109, "-")</f>
        <v>47258</v>
      </c>
      <c r="W109" s="7">
        <f ca="1">IFERROR(DATEDIF(TODAY(), V109, "m"), "-")</f>
        <v>33</v>
      </c>
      <c r="X109" s="9">
        <v>25000</v>
      </c>
      <c r="Y109" s="38" t="s">
        <v>1028</v>
      </c>
      <c r="Z109" s="38" t="s">
        <v>1029</v>
      </c>
      <c r="AA109" s="38"/>
      <c r="AB109" s="11" t="s">
        <v>1030</v>
      </c>
      <c r="AC109" s="11">
        <v>45458</v>
      </c>
      <c r="AD109" s="7">
        <f>365*U109</f>
        <v>1825</v>
      </c>
      <c r="AE109" s="7">
        <f ca="1">V109-TODAY()</f>
        <v>1006</v>
      </c>
      <c r="AF109" s="7" t="e">
        <f>VLOOKUP($C109,#REF!, 4, FALSE)</f>
        <v>#REF!</v>
      </c>
      <c r="AG109" s="46">
        <f>42560000+2750000</f>
        <v>45310000</v>
      </c>
      <c r="AH109" s="9">
        <f>2292816+100000</f>
        <v>2392816</v>
      </c>
      <c r="AI109" s="9">
        <f>AG109-AH109+AJ109</f>
        <v>43071184</v>
      </c>
      <c r="AJ109" s="9">
        <v>154000</v>
      </c>
      <c r="AK109" s="9">
        <v>1900</v>
      </c>
      <c r="AL109" s="46">
        <v>1566220</v>
      </c>
      <c r="AM109" s="46">
        <v>113028</v>
      </c>
      <c r="AN109" s="9">
        <v>2000</v>
      </c>
      <c r="AO109" s="9">
        <v>45000</v>
      </c>
      <c r="AP109" s="9">
        <v>50000</v>
      </c>
      <c r="AQ109" s="46"/>
      <c r="AR109" s="46">
        <v>0</v>
      </c>
      <c r="AS109" s="9" t="s">
        <v>187</v>
      </c>
      <c r="AT109" s="46">
        <v>198000</v>
      </c>
      <c r="AU109" s="9" t="s">
        <v>1004</v>
      </c>
      <c r="AV109" s="46"/>
      <c r="AW109" s="46"/>
      <c r="AX109" s="46" t="s">
        <v>189</v>
      </c>
      <c r="AY109" s="53">
        <v>45432</v>
      </c>
      <c r="AZ109" s="46">
        <v>950000</v>
      </c>
      <c r="BA109" s="46"/>
      <c r="BB109" s="46"/>
      <c r="BC109" s="46"/>
      <c r="BD109" s="9"/>
      <c r="BE109" s="9" t="s">
        <v>93</v>
      </c>
      <c r="BF109" s="9" t="s">
        <v>1031</v>
      </c>
      <c r="BG109" s="9" t="s">
        <v>1032</v>
      </c>
      <c r="BH109" s="9" t="s">
        <v>1033</v>
      </c>
      <c r="BI109" s="9" t="s">
        <v>97</v>
      </c>
      <c r="BJ109" s="9" t="s">
        <v>119</v>
      </c>
      <c r="BK109" s="7" t="s">
        <v>130</v>
      </c>
      <c r="BL109" s="9" t="s">
        <v>99</v>
      </c>
      <c r="BM109" s="9" t="s">
        <v>148</v>
      </c>
      <c r="BN109" s="9" t="s">
        <v>100</v>
      </c>
      <c r="BO109" s="9" t="s">
        <v>100</v>
      </c>
      <c r="BP109" s="9" t="s">
        <v>1034</v>
      </c>
      <c r="BQ109" s="46" t="s">
        <v>1035</v>
      </c>
      <c r="BR109" s="38"/>
      <c r="BS109" s="9">
        <f>IF(Q109&lt;=1600,Q109*18,IF(Q109&lt;=2500,Q109*19,IF(Q109&gt;2500,Q109*24,20000)))</f>
        <v>28764</v>
      </c>
      <c r="BT109" s="7" t="s">
        <v>140</v>
      </c>
      <c r="BU109" s="38"/>
      <c r="BV109" s="38"/>
      <c r="BW109" s="38"/>
      <c r="BX109" s="38"/>
      <c r="BY109" s="38"/>
      <c r="BZ109" s="38"/>
      <c r="CA109" s="38"/>
      <c r="CB109" s="15"/>
      <c r="CC109" s="15" t="s">
        <v>147</v>
      </c>
      <c r="CD109" s="15" t="s">
        <v>147</v>
      </c>
      <c r="CE109" s="46">
        <v>747000</v>
      </c>
      <c r="CF109" s="9">
        <v>60</v>
      </c>
      <c r="CG109" s="9">
        <f>CF109*CE109</f>
        <v>44820000</v>
      </c>
      <c r="CH109" s="9">
        <v>4388000</v>
      </c>
      <c r="CI109" s="9">
        <v>0</v>
      </c>
      <c r="CJ109" s="46">
        <v>19622000</v>
      </c>
      <c r="CK109" s="50">
        <v>-0.03</v>
      </c>
      <c r="CL109" s="48">
        <v>0.06</v>
      </c>
      <c r="CM109" s="16" t="s">
        <v>1036</v>
      </c>
      <c r="CN109" s="38"/>
      <c r="CO109" s="38"/>
      <c r="CP109" s="27">
        <v>0.03</v>
      </c>
      <c r="CQ109" s="38"/>
      <c r="CR109" s="24" t="s">
        <v>218</v>
      </c>
      <c r="CS109" s="24">
        <v>53300</v>
      </c>
      <c r="CT109" s="24" t="s">
        <v>823</v>
      </c>
      <c r="CU109" s="24">
        <f>40000*1.1</f>
        <v>44000</v>
      </c>
      <c r="CV109" s="38"/>
      <c r="CW109" s="38"/>
      <c r="CX109" s="38"/>
      <c r="CY109" s="38"/>
      <c r="CZ109" s="38"/>
      <c r="DA109" s="38"/>
      <c r="DB109" s="24"/>
      <c r="DC109" s="24" t="s">
        <v>120</v>
      </c>
      <c r="DD109" s="24" t="s">
        <v>121</v>
      </c>
      <c r="DE109" s="24" t="s">
        <v>113</v>
      </c>
      <c r="DF109" s="38"/>
      <c r="DG109" s="38" t="s">
        <v>250</v>
      </c>
      <c r="DH109" s="38" t="s">
        <v>1037</v>
      </c>
      <c r="DI109" s="38" t="s">
        <v>1038</v>
      </c>
      <c r="DJ109" s="38" t="s">
        <v>1030</v>
      </c>
      <c r="DK109" s="47">
        <v>0.35</v>
      </c>
      <c r="DL109" s="38">
        <v>0.25</v>
      </c>
      <c r="DM109" s="38"/>
      <c r="DN109" s="46">
        <v>954415</v>
      </c>
      <c r="DO109" s="38"/>
      <c r="DP109" s="38"/>
      <c r="DQ109" s="47"/>
    </row>
    <row r="110" spans="1:121">
      <c r="A110" s="86"/>
      <c r="B110" s="7">
        <v>105</v>
      </c>
      <c r="C110" s="7" t="s">
        <v>1039</v>
      </c>
      <c r="D110" s="36" t="s">
        <v>1585</v>
      </c>
      <c r="E110" s="7" t="s">
        <v>1020</v>
      </c>
      <c r="F110" s="7" t="s">
        <v>1021</v>
      </c>
      <c r="G110" s="7" t="s">
        <v>1022</v>
      </c>
      <c r="H110" s="38" t="s">
        <v>199</v>
      </c>
      <c r="I110" s="46" t="s">
        <v>1023</v>
      </c>
      <c r="J110" s="18">
        <f>42560000+2750000</f>
        <v>45310000</v>
      </c>
      <c r="K110" s="7">
        <v>2024</v>
      </c>
      <c r="L110" s="38" t="s">
        <v>1024</v>
      </c>
      <c r="M110" s="38" t="s">
        <v>90</v>
      </c>
      <c r="N110" s="38" t="s">
        <v>1040</v>
      </c>
      <c r="O110" s="7" t="s">
        <v>1041</v>
      </c>
      <c r="P110" s="7" t="s">
        <v>1027</v>
      </c>
      <c r="Q110" s="33">
        <v>1598</v>
      </c>
      <c r="R110" s="11">
        <v>45442</v>
      </c>
      <c r="S110" s="11">
        <v>45401</v>
      </c>
      <c r="T110" s="11">
        <v>45443</v>
      </c>
      <c r="U110" s="12" t="s">
        <v>91</v>
      </c>
      <c r="V110" s="11">
        <f>IFERROR(T110+AD110, "-")</f>
        <v>47268</v>
      </c>
      <c r="W110" s="7">
        <f ca="1">IFERROR(DATEDIF(TODAY(), V110, "m"), "-")</f>
        <v>33</v>
      </c>
      <c r="X110" s="9">
        <v>20000</v>
      </c>
      <c r="Y110" s="38" t="s">
        <v>1028</v>
      </c>
      <c r="Z110" s="38" t="s">
        <v>1029</v>
      </c>
      <c r="AA110" s="38"/>
      <c r="AB110" s="11" t="s">
        <v>1030</v>
      </c>
      <c r="AC110" s="11">
        <v>45458</v>
      </c>
      <c r="AD110" s="7">
        <f>365*U110</f>
        <v>1825</v>
      </c>
      <c r="AE110" s="7">
        <f ca="1">V110-TODAY()</f>
        <v>1016</v>
      </c>
      <c r="AF110" s="7" t="e">
        <f>VLOOKUP($C110,#REF!, 4, FALSE)</f>
        <v>#REF!</v>
      </c>
      <c r="AG110" s="46">
        <f>42560000+2750000</f>
        <v>45310000</v>
      </c>
      <c r="AH110" s="9">
        <f>2292816+100000</f>
        <v>2392816</v>
      </c>
      <c r="AI110" s="9">
        <f>AG110-AH110+AJ110</f>
        <v>43071184</v>
      </c>
      <c r="AJ110" s="9">
        <v>154000</v>
      </c>
      <c r="AK110" s="9">
        <v>1900</v>
      </c>
      <c r="AL110" s="46">
        <v>1166220</v>
      </c>
      <c r="AM110" s="46">
        <v>0</v>
      </c>
      <c r="AN110" s="9">
        <v>2000</v>
      </c>
      <c r="AO110" s="9">
        <v>45000</v>
      </c>
      <c r="AP110" s="9">
        <v>50000</v>
      </c>
      <c r="AQ110" s="46"/>
      <c r="AR110" s="46">
        <v>0</v>
      </c>
      <c r="AS110" s="9" t="s">
        <v>187</v>
      </c>
      <c r="AT110" s="46">
        <v>198000</v>
      </c>
      <c r="AU110" s="9" t="s">
        <v>1004</v>
      </c>
      <c r="AV110" s="46"/>
      <c r="AW110" s="46"/>
      <c r="AX110" s="46" t="s">
        <v>189</v>
      </c>
      <c r="AY110" s="53">
        <v>45442</v>
      </c>
      <c r="AZ110" s="46">
        <v>950000</v>
      </c>
      <c r="BA110" s="46"/>
      <c r="BB110" s="46"/>
      <c r="BC110" s="46"/>
      <c r="BD110" s="9"/>
      <c r="BE110" s="9" t="s">
        <v>93</v>
      </c>
      <c r="BF110" s="9" t="s">
        <v>1031</v>
      </c>
      <c r="BG110" s="9" t="s">
        <v>1032</v>
      </c>
      <c r="BH110" s="9" t="s">
        <v>1033</v>
      </c>
      <c r="BI110" s="9" t="s">
        <v>97</v>
      </c>
      <c r="BJ110" s="9" t="s">
        <v>119</v>
      </c>
      <c r="BK110" s="7" t="s">
        <v>130</v>
      </c>
      <c r="BL110" s="9" t="s">
        <v>99</v>
      </c>
      <c r="BM110" s="9" t="s">
        <v>148</v>
      </c>
      <c r="BN110" s="9" t="s">
        <v>100</v>
      </c>
      <c r="BO110" s="9" t="s">
        <v>100</v>
      </c>
      <c r="BP110" s="9" t="s">
        <v>1034</v>
      </c>
      <c r="BQ110" s="46" t="s">
        <v>1035</v>
      </c>
      <c r="BR110" s="38"/>
      <c r="BS110" s="9">
        <f>IF(Q110&lt;=1600,Q110*18,IF(Q110&lt;=2500,Q110*19,IF(Q110&gt;2500,Q110*24,20000)))</f>
        <v>28764</v>
      </c>
      <c r="BT110" s="7" t="s">
        <v>140</v>
      </c>
      <c r="BU110" s="38"/>
      <c r="BV110" s="38"/>
      <c r="BW110" s="38"/>
      <c r="BX110" s="38"/>
      <c r="BY110" s="38"/>
      <c r="BZ110" s="38"/>
      <c r="CA110" s="38"/>
      <c r="CB110" s="15"/>
      <c r="CC110" s="15" t="s">
        <v>147</v>
      </c>
      <c r="CD110" s="15" t="s">
        <v>147</v>
      </c>
      <c r="CE110" s="46">
        <v>718000</v>
      </c>
      <c r="CF110" s="9">
        <v>60</v>
      </c>
      <c r="CG110" s="9">
        <f>CF110*CE110</f>
        <v>43080000</v>
      </c>
      <c r="CH110" s="9">
        <v>4388000</v>
      </c>
      <c r="CI110" s="9">
        <v>0</v>
      </c>
      <c r="CJ110" s="46">
        <v>21374000</v>
      </c>
      <c r="CK110" s="50">
        <v>-0.03</v>
      </c>
      <c r="CL110" s="48">
        <v>0.06</v>
      </c>
      <c r="CM110" s="16" t="s">
        <v>1036</v>
      </c>
      <c r="CN110" s="38"/>
      <c r="CO110" s="38"/>
      <c r="CP110" s="27">
        <v>0.03</v>
      </c>
      <c r="CQ110" s="38"/>
      <c r="CR110" s="24" t="s">
        <v>218</v>
      </c>
      <c r="CS110" s="24">
        <v>53300</v>
      </c>
      <c r="CT110" s="24" t="s">
        <v>823</v>
      </c>
      <c r="CU110" s="24">
        <f>40000*1.1</f>
        <v>44000</v>
      </c>
      <c r="CV110" s="38"/>
      <c r="CW110" s="38"/>
      <c r="CX110" s="38"/>
      <c r="CY110" s="38"/>
      <c r="CZ110" s="38"/>
      <c r="DA110" s="38"/>
      <c r="DB110" s="24"/>
      <c r="DC110" s="24" t="s">
        <v>120</v>
      </c>
      <c r="DD110" s="24" t="s">
        <v>121</v>
      </c>
      <c r="DE110" s="24" t="s">
        <v>113</v>
      </c>
      <c r="DF110" s="38"/>
      <c r="DG110" s="38" t="s">
        <v>250</v>
      </c>
      <c r="DH110" s="38" t="s">
        <v>1037</v>
      </c>
      <c r="DI110" s="38" t="s">
        <v>1038</v>
      </c>
      <c r="DJ110" s="38" t="s">
        <v>1030</v>
      </c>
      <c r="DK110" s="47">
        <v>0.35</v>
      </c>
      <c r="DL110" s="38">
        <v>0.25</v>
      </c>
      <c r="DM110" s="38"/>
      <c r="DN110" s="46">
        <v>954415</v>
      </c>
      <c r="DO110" s="38"/>
      <c r="DP110" s="38"/>
      <c r="DQ110" s="47"/>
    </row>
    <row r="111" spans="1:121">
      <c r="B111" s="7">
        <v>106</v>
      </c>
      <c r="C111" s="7" t="s">
        <v>1042</v>
      </c>
      <c r="D111" s="36" t="s">
        <v>1585</v>
      </c>
      <c r="E111" s="7" t="s">
        <v>985</v>
      </c>
      <c r="F111" s="7" t="s">
        <v>623</v>
      </c>
      <c r="G111" s="7" t="s">
        <v>624</v>
      </c>
      <c r="H111" s="38" t="s">
        <v>180</v>
      </c>
      <c r="I111" s="46" t="s">
        <v>1043</v>
      </c>
      <c r="J111" s="18">
        <v>86140000</v>
      </c>
      <c r="K111" s="7">
        <v>2024</v>
      </c>
      <c r="L111" s="46" t="s">
        <v>1044</v>
      </c>
      <c r="M111" s="38" t="s">
        <v>90</v>
      </c>
      <c r="N111" s="38" t="s">
        <v>1045</v>
      </c>
      <c r="O111" s="7" t="s">
        <v>1046</v>
      </c>
      <c r="P111" s="7" t="s">
        <v>98</v>
      </c>
      <c r="Q111" s="33">
        <v>3470</v>
      </c>
      <c r="R111" s="11">
        <v>45545</v>
      </c>
      <c r="S111" s="11">
        <v>45501</v>
      </c>
      <c r="T111" s="11">
        <v>45545</v>
      </c>
      <c r="U111" s="12" t="s">
        <v>91</v>
      </c>
      <c r="V111" s="11">
        <f>IFERROR(T111+AD111, "-")</f>
        <v>47370</v>
      </c>
      <c r="W111" s="7">
        <f ca="1">IFERROR(DATEDIF(TODAY(), V111, "m"), "-")</f>
        <v>36</v>
      </c>
      <c r="X111" s="9">
        <v>20000</v>
      </c>
      <c r="Y111" s="7" t="s">
        <v>623</v>
      </c>
      <c r="Z111" s="7" t="s">
        <v>624</v>
      </c>
      <c r="AA111" s="38" t="s">
        <v>98</v>
      </c>
      <c r="AB111" s="18" t="s">
        <v>630</v>
      </c>
      <c r="AC111" s="11">
        <v>45560</v>
      </c>
      <c r="AD111" s="7">
        <f>365*U111</f>
        <v>1825</v>
      </c>
      <c r="AE111" s="7">
        <f ca="1">V111-TODAY()</f>
        <v>1118</v>
      </c>
      <c r="AF111" s="7" t="e">
        <f>VLOOKUP($C111,#REF!, 4, FALSE)</f>
        <v>#REF!</v>
      </c>
      <c r="AG111" s="46">
        <v>86140000</v>
      </c>
      <c r="AH111" s="9">
        <v>4358931</v>
      </c>
      <c r="AI111" s="9">
        <f>AG111-AH111+AJ111</f>
        <v>82138069</v>
      </c>
      <c r="AJ111" s="9">
        <v>357000</v>
      </c>
      <c r="AK111" s="9">
        <v>1900</v>
      </c>
      <c r="AL111" s="46">
        <v>2986830</v>
      </c>
      <c r="AM111" s="46">
        <v>154784</v>
      </c>
      <c r="AN111" s="46">
        <v>2000</v>
      </c>
      <c r="AO111" s="46">
        <v>45000</v>
      </c>
      <c r="AP111" s="46">
        <v>50000</v>
      </c>
      <c r="AQ111" s="46"/>
      <c r="AR111" s="46"/>
      <c r="AS111" s="18" t="s">
        <v>187</v>
      </c>
      <c r="AT111" s="46">
        <v>308000</v>
      </c>
      <c r="AU111" s="18" t="s">
        <v>1047</v>
      </c>
      <c r="AV111" s="46"/>
      <c r="AW111" s="46"/>
      <c r="AX111" s="46" t="s">
        <v>189</v>
      </c>
      <c r="AY111" s="53">
        <v>45545</v>
      </c>
      <c r="AZ111" s="46">
        <v>950000</v>
      </c>
      <c r="BA111" s="46"/>
      <c r="BB111" s="46"/>
      <c r="BC111" s="46"/>
      <c r="BD111" s="9"/>
      <c r="BE111" s="9" t="s">
        <v>93</v>
      </c>
      <c r="BF111" s="9" t="s">
        <v>1031</v>
      </c>
      <c r="BG111" s="9" t="s">
        <v>95</v>
      </c>
      <c r="BH111" s="9" t="s">
        <v>96</v>
      </c>
      <c r="BI111" s="9" t="s">
        <v>97</v>
      </c>
      <c r="BJ111" s="9" t="s">
        <v>127</v>
      </c>
      <c r="BK111" s="7" t="s">
        <v>130</v>
      </c>
      <c r="BL111" s="9" t="s">
        <v>99</v>
      </c>
      <c r="BM111" s="9" t="s">
        <v>148</v>
      </c>
      <c r="BN111" s="9" t="s">
        <v>148</v>
      </c>
      <c r="BO111" s="9" t="s">
        <v>148</v>
      </c>
      <c r="BP111" s="9" t="s">
        <v>713</v>
      </c>
      <c r="BQ111" s="46" t="s">
        <v>991</v>
      </c>
      <c r="BR111" s="38"/>
      <c r="BS111" s="18">
        <f>IF(Q110&lt;=1600,Q110*18,IF(Q110&lt;=2500,Q110*19,IF(Q110&gt;2500,Q110*24,20000)))</f>
        <v>28764</v>
      </c>
      <c r="BT111" s="7" t="s">
        <v>140</v>
      </c>
      <c r="BU111" s="38"/>
      <c r="BV111" s="38"/>
      <c r="BW111" s="38"/>
      <c r="BX111" s="38"/>
      <c r="BY111" s="38"/>
      <c r="BZ111" s="38"/>
      <c r="CA111" s="38"/>
      <c r="CB111" s="15"/>
      <c r="CC111" s="15" t="s">
        <v>154</v>
      </c>
      <c r="CD111" s="15" t="s">
        <v>154</v>
      </c>
      <c r="CE111" s="46">
        <v>1499000</v>
      </c>
      <c r="CF111" s="18">
        <v>60</v>
      </c>
      <c r="CG111" s="9">
        <f>CF111*CE111</f>
        <v>89940000</v>
      </c>
      <c r="CH111" s="9">
        <v>25842000</v>
      </c>
      <c r="CI111" s="9">
        <v>0</v>
      </c>
      <c r="CJ111" s="46">
        <v>30149000</v>
      </c>
      <c r="CK111" s="50">
        <v>0.03</v>
      </c>
      <c r="CL111" s="49">
        <v>0.06</v>
      </c>
      <c r="CM111" s="16" t="s">
        <v>633</v>
      </c>
      <c r="CN111" s="38"/>
      <c r="CO111" s="38"/>
      <c r="CP111" s="27">
        <v>0.03</v>
      </c>
      <c r="CQ111" s="38"/>
      <c r="CR111" s="55" t="s">
        <v>218</v>
      </c>
      <c r="CS111" s="55">
        <v>53300</v>
      </c>
      <c r="CT111" s="24" t="s">
        <v>960</v>
      </c>
      <c r="CU111" s="55">
        <v>165000</v>
      </c>
      <c r="CV111" s="38"/>
      <c r="CW111" s="38"/>
      <c r="CX111" s="38"/>
      <c r="CY111" s="38"/>
      <c r="CZ111" s="38"/>
      <c r="DA111" s="38"/>
      <c r="DB111" s="24"/>
      <c r="DC111" s="24" t="s">
        <v>128</v>
      </c>
      <c r="DD111" s="24" t="s">
        <v>129</v>
      </c>
      <c r="DE111" s="24" t="s">
        <v>113</v>
      </c>
      <c r="DF111" s="38"/>
      <c r="DG111" s="38" t="s">
        <v>702</v>
      </c>
      <c r="DH111" s="38" t="s">
        <v>880</v>
      </c>
      <c r="DI111" s="38" t="s">
        <v>881</v>
      </c>
      <c r="DJ111" s="38" t="s">
        <v>882</v>
      </c>
      <c r="DK111" s="47">
        <v>0.35</v>
      </c>
      <c r="DL111" s="38">
        <v>0.25</v>
      </c>
      <c r="DM111" s="38"/>
      <c r="DN111" s="46"/>
      <c r="DO111" s="38"/>
      <c r="DP111" s="38"/>
      <c r="DQ111" s="47"/>
    </row>
    <row r="112" spans="1:121">
      <c r="B112" s="7">
        <v>107</v>
      </c>
      <c r="C112" s="7" t="s">
        <v>1351</v>
      </c>
      <c r="D112" s="7" t="s">
        <v>1588</v>
      </c>
      <c r="E112" s="7" t="s">
        <v>354</v>
      </c>
      <c r="F112" s="9" t="s">
        <v>355</v>
      </c>
      <c r="G112" s="7" t="s">
        <v>356</v>
      </c>
      <c r="H112" s="7" t="s">
        <v>357</v>
      </c>
      <c r="I112" s="7" t="s">
        <v>223</v>
      </c>
      <c r="J112" s="9">
        <v>45114000</v>
      </c>
      <c r="K112" s="7">
        <v>2021</v>
      </c>
      <c r="L112" s="6" t="s">
        <v>358</v>
      </c>
      <c r="M112" s="6" t="s">
        <v>90</v>
      </c>
      <c r="N112" s="7" t="s">
        <v>359</v>
      </c>
      <c r="O112" s="7" t="s">
        <v>360</v>
      </c>
      <c r="P112" s="7" t="s">
        <v>98</v>
      </c>
      <c r="Q112" s="33">
        <v>2999</v>
      </c>
      <c r="R112" s="11">
        <v>44512</v>
      </c>
      <c r="S112" s="11">
        <v>45605</v>
      </c>
      <c r="T112" s="11">
        <v>45609</v>
      </c>
      <c r="U112" s="12" t="s">
        <v>1049</v>
      </c>
      <c r="V112" s="11">
        <f>IFERROR(T112+AD112, "-")</f>
        <v>45974</v>
      </c>
      <c r="W112" s="7" t="str">
        <f ca="1">IFERROR(DATEDIF(TODAY(), V112, "m"), "-")</f>
        <v>-</v>
      </c>
      <c r="X112" s="9">
        <v>20000</v>
      </c>
      <c r="Y112" s="9" t="s">
        <v>355</v>
      </c>
      <c r="Z112" s="7" t="s">
        <v>356</v>
      </c>
      <c r="AA112" s="9"/>
      <c r="AB112" s="9" t="s">
        <v>361</v>
      </c>
      <c r="AC112" s="11">
        <v>45651</v>
      </c>
      <c r="AD112" s="7">
        <f>365*U112</f>
        <v>365</v>
      </c>
      <c r="AE112" s="7">
        <f ca="1">V112-TODAY()</f>
        <v>-278</v>
      </c>
      <c r="AF112" s="7" t="e">
        <f>VLOOKUP($C112,#REF!, 4, FALSE)</f>
        <v>#REF!</v>
      </c>
      <c r="AG112" s="41">
        <v>113856000</v>
      </c>
      <c r="AH112" s="9">
        <f>AG112-AI112</f>
        <v>0</v>
      </c>
      <c r="AI112" s="9">
        <v>113856000</v>
      </c>
      <c r="AJ112" s="9">
        <v>0</v>
      </c>
      <c r="AK112" s="9">
        <v>0</v>
      </c>
      <c r="AL112" s="9">
        <v>4140210</v>
      </c>
      <c r="AM112" s="9">
        <v>201254</v>
      </c>
      <c r="AN112" s="9">
        <v>5000</v>
      </c>
      <c r="AO112" s="9">
        <v>21500</v>
      </c>
      <c r="AP112" s="9">
        <v>30000</v>
      </c>
      <c r="AQ112" s="9">
        <v>0</v>
      </c>
      <c r="AR112" s="9">
        <v>0</v>
      </c>
      <c r="AS112" s="9" t="s">
        <v>145</v>
      </c>
      <c r="AT112" s="9">
        <v>0</v>
      </c>
      <c r="AU112" s="9" t="s">
        <v>146</v>
      </c>
      <c r="AV112" s="41">
        <v>4397964</v>
      </c>
      <c r="AW112" s="18">
        <f>SUM(AJ112,AK112,AN112,AO112,AP112, AR112,AT112+AL112+AM112)</f>
        <v>4397964</v>
      </c>
      <c r="AX112" s="18" t="s">
        <v>189</v>
      </c>
      <c r="AY112" s="53">
        <v>44512</v>
      </c>
      <c r="AZ112" s="41">
        <f>4776960-702160</f>
        <v>4074800</v>
      </c>
      <c r="BA112" s="42">
        <v>1134440</v>
      </c>
      <c r="BB112" s="9"/>
      <c r="BC112" s="9"/>
      <c r="BD112" s="9"/>
      <c r="BE112" s="9" t="s">
        <v>93</v>
      </c>
      <c r="BF112" s="9" t="s">
        <v>94</v>
      </c>
      <c r="BG112" s="9" t="s">
        <v>95</v>
      </c>
      <c r="BH112" s="9" t="s">
        <v>96</v>
      </c>
      <c r="BI112" s="9" t="s">
        <v>97</v>
      </c>
      <c r="BJ112" s="9" t="s">
        <v>127</v>
      </c>
      <c r="BK112" s="7" t="s">
        <v>130</v>
      </c>
      <c r="BL112" s="9" t="s">
        <v>99</v>
      </c>
      <c r="BM112" s="9" t="s">
        <v>148</v>
      </c>
      <c r="BN112" s="9" t="s">
        <v>100</v>
      </c>
      <c r="BO112" s="9" t="s">
        <v>101</v>
      </c>
      <c r="BP112" s="9" t="s">
        <v>101</v>
      </c>
      <c r="BQ112" s="9" t="s">
        <v>362</v>
      </c>
      <c r="BR112" s="7"/>
      <c r="BS112" s="9">
        <f>IF(Q112&lt;=1600,Q112*18,IF(Q112&lt;=2500,Q112*19,IF(Q112&gt;2500,Q112*24,20000)))</f>
        <v>71976</v>
      </c>
      <c r="BT112" s="7" t="s">
        <v>203</v>
      </c>
      <c r="BU112" s="22">
        <v>44511</v>
      </c>
      <c r="BV112" s="9">
        <v>101571000</v>
      </c>
      <c r="BW112" s="14" t="s">
        <v>363</v>
      </c>
      <c r="BX112" s="9">
        <v>3067700</v>
      </c>
      <c r="BY112" s="9">
        <v>111382117</v>
      </c>
      <c r="BZ112" s="9">
        <v>9811117</v>
      </c>
      <c r="CA112" s="27">
        <v>3.0599999999999999E-2</v>
      </c>
      <c r="CB112" s="87"/>
      <c r="CC112" s="15" t="s">
        <v>154</v>
      </c>
      <c r="CD112" s="15" t="s">
        <v>154</v>
      </c>
      <c r="CE112" s="9">
        <v>2025000</v>
      </c>
      <c r="CF112" s="18">
        <f>U112*12</f>
        <v>12</v>
      </c>
      <c r="CG112" s="9">
        <f>CF112*CE112</f>
        <v>24300000</v>
      </c>
      <c r="CH112" s="9">
        <v>12360000</v>
      </c>
      <c r="CI112" s="9">
        <v>0</v>
      </c>
      <c r="CJ112" s="9">
        <v>31579800</v>
      </c>
      <c r="CK112" s="51">
        <v>0</v>
      </c>
      <c r="CL112" s="48">
        <v>0</v>
      </c>
      <c r="CM112" s="16" t="s">
        <v>364</v>
      </c>
      <c r="CN112" s="16" t="s">
        <v>365</v>
      </c>
      <c r="CO112" s="16"/>
      <c r="CP112" s="27">
        <v>0.03</v>
      </c>
      <c r="CQ112" s="38"/>
      <c r="CR112" s="24">
        <v>0</v>
      </c>
      <c r="CS112" s="24">
        <v>0</v>
      </c>
      <c r="CT112" s="24">
        <v>0</v>
      </c>
      <c r="CU112" s="24">
        <v>0</v>
      </c>
      <c r="CV112" s="24">
        <v>0</v>
      </c>
      <c r="CW112" s="24">
        <v>0</v>
      </c>
      <c r="CX112" s="24">
        <v>0</v>
      </c>
      <c r="CY112" s="24">
        <v>0</v>
      </c>
      <c r="CZ112" s="24">
        <v>0</v>
      </c>
      <c r="DA112" s="24">
        <v>0</v>
      </c>
      <c r="DB112" s="24">
        <v>0</v>
      </c>
      <c r="DC112" s="24" t="str">
        <f>IF(DD112="정수원 실장","기아", IF(DD112="박현식 부장", "현대", IF(DD112="김성진 팀장", "한성", IF(DD112="전석영 부장", "한성", IF(DD112= "박봉호 부장", "모토원",IF(DD112="정원철 부장", "한성"))))))</f>
        <v>한성</v>
      </c>
      <c r="DD112" s="24" t="s">
        <v>104</v>
      </c>
      <c r="DE112" s="24" t="b">
        <f>IF(DD112="정수원 실장","렌트베네핏", IF(DD112="박현식 부장", "렌트베네핏", IF(DD112="김성진 팀장", "청담", IF(DD112="전석영 부장", "방배", IF(DD112= "박봉호 부장", "일산",IF(DD171="정원철 부장", "청담"))))))</f>
        <v>0</v>
      </c>
      <c r="DF112" s="24"/>
      <c r="DG112" s="24" t="s">
        <v>642</v>
      </c>
      <c r="DH112" s="24" t="s">
        <v>1050</v>
      </c>
      <c r="DI112" s="24" t="s">
        <v>366</v>
      </c>
      <c r="DJ112" s="22" t="s">
        <v>1610</v>
      </c>
      <c r="DK112" s="38">
        <v>0.35</v>
      </c>
      <c r="DL112" s="38">
        <v>0.25</v>
      </c>
      <c r="DM112" s="24"/>
      <c r="DN112" s="46"/>
      <c r="DO112" s="24"/>
      <c r="DP112" s="24"/>
      <c r="DQ112" s="38"/>
    </row>
    <row r="113" spans="1:121">
      <c r="B113" s="7">
        <v>108</v>
      </c>
      <c r="C113" s="7" t="s">
        <v>1051</v>
      </c>
      <c r="D113" s="36" t="s">
        <v>1585</v>
      </c>
      <c r="E113" s="7" t="s">
        <v>1052</v>
      </c>
      <c r="F113" s="7" t="s">
        <v>1053</v>
      </c>
      <c r="G113" s="7" t="s">
        <v>1054</v>
      </c>
      <c r="H113" s="38" t="s">
        <v>1055</v>
      </c>
      <c r="I113" s="46" t="s">
        <v>1056</v>
      </c>
      <c r="J113" s="18">
        <f>32150000+2670000</f>
        <v>34820000</v>
      </c>
      <c r="K113" s="7">
        <v>2025</v>
      </c>
      <c r="L113" s="46" t="s">
        <v>1057</v>
      </c>
      <c r="M113" s="6" t="s">
        <v>90</v>
      </c>
      <c r="N113" s="38" t="s">
        <v>1058</v>
      </c>
      <c r="O113" s="7" t="s">
        <v>1059</v>
      </c>
      <c r="P113" s="7" t="s">
        <v>1060</v>
      </c>
      <c r="Q113" s="33">
        <v>1580</v>
      </c>
      <c r="R113" s="11">
        <v>45672</v>
      </c>
      <c r="S113" s="11">
        <v>45644</v>
      </c>
      <c r="T113" s="11">
        <v>45672</v>
      </c>
      <c r="U113" s="12" t="s">
        <v>91</v>
      </c>
      <c r="V113" s="11">
        <f>IFERROR(T113+AD113, "-")</f>
        <v>47497</v>
      </c>
      <c r="W113" s="7">
        <f ca="1">IFERROR(DATEDIF(TODAY(), V113, "m"), "-")</f>
        <v>40</v>
      </c>
      <c r="X113" s="9">
        <v>20000</v>
      </c>
      <c r="Y113" s="38" t="s">
        <v>1061</v>
      </c>
      <c r="Z113" s="38" t="s">
        <v>1062</v>
      </c>
      <c r="AA113" s="38"/>
      <c r="AB113" s="11" t="s">
        <v>1063</v>
      </c>
      <c r="AC113" s="11">
        <v>45682</v>
      </c>
      <c r="AD113" s="7">
        <f>365*U113</f>
        <v>1825</v>
      </c>
      <c r="AE113" s="7">
        <f ca="1">V113-TODAY()</f>
        <v>1245</v>
      </c>
      <c r="AF113" s="7" t="e">
        <f>VLOOKUP($C113,#REF!, 4, FALSE)</f>
        <v>#REF!</v>
      </c>
      <c r="AG113" s="46">
        <f>32150000+2670000</f>
        <v>34820000</v>
      </c>
      <c r="AH113" s="9">
        <v>1761992</v>
      </c>
      <c r="AI113" s="9">
        <f>AG113-AH113+AJ113</f>
        <v>33208008</v>
      </c>
      <c r="AJ113" s="9">
        <v>150000</v>
      </c>
      <c r="AK113" s="9">
        <v>1900</v>
      </c>
      <c r="AL113" s="46">
        <v>1207650</v>
      </c>
      <c r="AM113" s="46">
        <v>0</v>
      </c>
      <c r="AN113" s="46">
        <v>2000</v>
      </c>
      <c r="AO113" s="46">
        <v>45000</v>
      </c>
      <c r="AP113" s="46">
        <v>50000</v>
      </c>
      <c r="AQ113" s="46"/>
      <c r="AR113" s="46"/>
      <c r="AS113" s="46" t="s">
        <v>187</v>
      </c>
      <c r="AT113" s="46">
        <v>198000</v>
      </c>
      <c r="AU113" s="18" t="s">
        <v>1004</v>
      </c>
      <c r="AV113" s="46"/>
      <c r="AW113" s="46"/>
      <c r="AX113" s="18" t="s">
        <v>189</v>
      </c>
      <c r="AY113" s="53">
        <v>45672</v>
      </c>
      <c r="AZ113" s="46">
        <v>900000</v>
      </c>
      <c r="BA113" s="46">
        <v>580333</v>
      </c>
      <c r="BB113" s="46">
        <v>400000</v>
      </c>
      <c r="BC113" s="46">
        <v>1800000</v>
      </c>
      <c r="BD113" s="9"/>
      <c r="BE113" s="9" t="s">
        <v>93</v>
      </c>
      <c r="BF113" s="9" t="s">
        <v>94</v>
      </c>
      <c r="BG113" s="9" t="s">
        <v>95</v>
      </c>
      <c r="BH113" s="9" t="s">
        <v>96</v>
      </c>
      <c r="BI113" s="9" t="s">
        <v>97</v>
      </c>
      <c r="BJ113" s="9" t="s">
        <v>119</v>
      </c>
      <c r="BK113" s="7" t="s">
        <v>130</v>
      </c>
      <c r="BL113" s="9" t="s">
        <v>99</v>
      </c>
      <c r="BM113" s="9" t="s">
        <v>148</v>
      </c>
      <c r="BN113" s="9" t="s">
        <v>148</v>
      </c>
      <c r="BO113" s="9" t="s">
        <v>148</v>
      </c>
      <c r="BP113" s="9" t="s">
        <v>713</v>
      </c>
      <c r="BQ113" s="46" t="s">
        <v>1064</v>
      </c>
      <c r="BR113" s="38"/>
      <c r="BS113" s="7">
        <f>IF(Q113&lt;=1600,Q113*18,IF(Q113&lt;=2500,Q113*19,IF(Q113&gt;2500,Q113*24,20000)))</f>
        <v>28440</v>
      </c>
      <c r="BT113" s="7" t="s">
        <v>140</v>
      </c>
      <c r="BU113" s="38"/>
      <c r="BV113" s="38"/>
      <c r="BW113" s="38"/>
      <c r="BX113" s="38"/>
      <c r="BY113" s="38"/>
      <c r="BZ113" s="38"/>
      <c r="CA113" s="38"/>
      <c r="CB113" s="15"/>
      <c r="CC113" s="15" t="s">
        <v>154</v>
      </c>
      <c r="CD113" s="15" t="s">
        <v>154</v>
      </c>
      <c r="CE113" s="46">
        <v>638000</v>
      </c>
      <c r="CF113" s="18">
        <v>60</v>
      </c>
      <c r="CG113" s="9">
        <f>CF113*CE113</f>
        <v>38280000</v>
      </c>
      <c r="CH113" s="9">
        <v>16017200</v>
      </c>
      <c r="CI113" s="9">
        <v>0</v>
      </c>
      <c r="CJ113" s="18">
        <v>16017200</v>
      </c>
      <c r="CK113" s="50">
        <v>0.03</v>
      </c>
      <c r="CL113" s="49">
        <v>0.06</v>
      </c>
      <c r="CM113" s="54" t="s">
        <v>1065</v>
      </c>
      <c r="CN113" s="38"/>
      <c r="CO113" s="38"/>
      <c r="CP113" s="27">
        <v>0.03</v>
      </c>
      <c r="CQ113" s="38"/>
      <c r="CR113" s="38" t="s">
        <v>1066</v>
      </c>
      <c r="CS113" s="46">
        <v>58500</v>
      </c>
      <c r="CT113" s="24" t="s">
        <v>960</v>
      </c>
      <c r="CU113" s="55">
        <v>165000</v>
      </c>
      <c r="CV113" s="38"/>
      <c r="CW113" s="38"/>
      <c r="CX113" s="38"/>
      <c r="CY113" s="38"/>
      <c r="CZ113" s="38"/>
      <c r="DA113" s="38"/>
      <c r="DB113" s="24"/>
      <c r="DC113" s="24" t="s">
        <v>120</v>
      </c>
      <c r="DD113" s="24" t="s">
        <v>121</v>
      </c>
      <c r="DE113" s="24" t="s">
        <v>113</v>
      </c>
      <c r="DF113" s="38"/>
      <c r="DG113" s="38" t="s">
        <v>219</v>
      </c>
      <c r="DH113" s="55" t="s">
        <v>1067</v>
      </c>
      <c r="DI113" s="55" t="s">
        <v>1068</v>
      </c>
      <c r="DJ113" s="38" t="s">
        <v>1069</v>
      </c>
      <c r="DK113" s="56">
        <v>0.35</v>
      </c>
      <c r="DL113" s="38">
        <v>0.25</v>
      </c>
      <c r="DM113" s="55"/>
      <c r="DN113" s="46">
        <v>216352</v>
      </c>
      <c r="DO113" s="38"/>
      <c r="DP113" s="38"/>
      <c r="DQ113" s="47"/>
    </row>
    <row r="114" spans="1:121">
      <c r="B114" s="7">
        <v>109</v>
      </c>
      <c r="C114" s="7" t="s">
        <v>1070</v>
      </c>
      <c r="D114" s="7" t="s">
        <v>1588</v>
      </c>
      <c r="E114" s="7" t="s">
        <v>529</v>
      </c>
      <c r="F114" s="7" t="s">
        <v>530</v>
      </c>
      <c r="G114" s="7" t="s">
        <v>531</v>
      </c>
      <c r="H114" s="7" t="s">
        <v>132</v>
      </c>
      <c r="I114" s="7" t="s">
        <v>139</v>
      </c>
      <c r="J114" s="9">
        <v>4065000</v>
      </c>
      <c r="K114" s="7">
        <v>2022</v>
      </c>
      <c r="L114" s="6" t="s">
        <v>134</v>
      </c>
      <c r="M114" s="6" t="s">
        <v>90</v>
      </c>
      <c r="N114" s="7" t="s">
        <v>532</v>
      </c>
      <c r="O114" s="21" t="s">
        <v>533</v>
      </c>
      <c r="P114" s="7" t="s">
        <v>98</v>
      </c>
      <c r="Q114" s="33">
        <v>998</v>
      </c>
      <c r="R114" s="11">
        <v>44503</v>
      </c>
      <c r="S114" s="11">
        <v>45677</v>
      </c>
      <c r="T114" s="11">
        <v>45677</v>
      </c>
      <c r="U114" s="12" t="s">
        <v>1049</v>
      </c>
      <c r="V114" s="11">
        <f>IFERROR(T114+AD114, "-")</f>
        <v>46042</v>
      </c>
      <c r="W114" s="7" t="str">
        <f ca="1">IFERROR(DATEDIF(TODAY(), V114, "m"), "-")</f>
        <v>-</v>
      </c>
      <c r="X114" s="9">
        <v>20000</v>
      </c>
      <c r="Y114" s="9" t="s">
        <v>534</v>
      </c>
      <c r="Z114" s="7" t="s">
        <v>535</v>
      </c>
      <c r="AA114" s="9"/>
      <c r="AB114" s="9" t="s">
        <v>536</v>
      </c>
      <c r="AC114" s="11">
        <v>45682</v>
      </c>
      <c r="AD114" s="7">
        <f>365*U114</f>
        <v>365</v>
      </c>
      <c r="AE114" s="7">
        <f ca="1">V114-TODAY()</f>
        <v>-210</v>
      </c>
      <c r="AF114" s="7" t="e">
        <f>VLOOKUP($C114,#REF!, 4, FALSE)</f>
        <v>#REF!</v>
      </c>
      <c r="AG114" s="41">
        <v>13209603</v>
      </c>
      <c r="AH114" s="9">
        <v>200000</v>
      </c>
      <c r="AI114" s="9">
        <v>12688000</v>
      </c>
      <c r="AJ114" s="9">
        <v>0</v>
      </c>
      <c r="AK114" s="9">
        <v>2000</v>
      </c>
      <c r="AL114" s="9">
        <v>461380</v>
      </c>
      <c r="AM114" s="9">
        <v>0</v>
      </c>
      <c r="AN114" s="9">
        <v>2000</v>
      </c>
      <c r="AO114" s="9">
        <v>27000</v>
      </c>
      <c r="AP114" s="9">
        <v>30000</v>
      </c>
      <c r="AQ114" s="9">
        <v>430000</v>
      </c>
      <c r="AR114" s="9">
        <v>0</v>
      </c>
      <c r="AS114" s="9" t="s">
        <v>195</v>
      </c>
      <c r="AT114" s="9">
        <v>0</v>
      </c>
      <c r="AU114" s="9" t="s">
        <v>135</v>
      </c>
      <c r="AV114" s="9"/>
      <c r="AW114" s="18">
        <f>SUM(AJ114,AK114,AN114,AO114,AP114, AR114,AT114+AL114+AM114)</f>
        <v>522380</v>
      </c>
      <c r="AX114" s="18" t="s">
        <v>196</v>
      </c>
      <c r="AY114" s="53">
        <v>44503</v>
      </c>
      <c r="AZ114" s="41">
        <v>1153090</v>
      </c>
      <c r="BA114" s="41">
        <v>1035460</v>
      </c>
      <c r="BB114" s="9"/>
      <c r="BC114" s="9"/>
      <c r="BD114" s="9"/>
      <c r="BE114" s="9" t="s">
        <v>93</v>
      </c>
      <c r="BF114" s="9" t="s">
        <v>94</v>
      </c>
      <c r="BG114" s="9" t="s">
        <v>117</v>
      </c>
      <c r="BH114" s="9" t="s">
        <v>118</v>
      </c>
      <c r="BI114" s="9" t="s">
        <v>97</v>
      </c>
      <c r="BJ114" s="9" t="s">
        <v>119</v>
      </c>
      <c r="BK114" s="7" t="s">
        <v>130</v>
      </c>
      <c r="BL114" s="9" t="s">
        <v>99</v>
      </c>
      <c r="BM114" s="9" t="s">
        <v>148</v>
      </c>
      <c r="BN114" s="9" t="s">
        <v>100</v>
      </c>
      <c r="BO114" s="9" t="s">
        <v>101</v>
      </c>
      <c r="BP114" s="9" t="s">
        <v>101</v>
      </c>
      <c r="BQ114" s="9" t="s">
        <v>522</v>
      </c>
      <c r="BR114" s="7"/>
      <c r="BS114" s="9">
        <f>IF(Q114&lt;=1600,Q114*18,IF(Q114&lt;=2500,Q114*19,IF(Q114&gt;2500,Q114*24,20000)))</f>
        <v>17964</v>
      </c>
      <c r="BT114" s="7" t="s">
        <v>140</v>
      </c>
      <c r="BU114" s="22"/>
      <c r="BV114" s="9"/>
      <c r="BW114" s="14"/>
      <c r="BX114" s="9"/>
      <c r="BY114" s="9">
        <f>BX114*BW114</f>
        <v>0</v>
      </c>
      <c r="BZ114" s="9">
        <f>BY114-BV114</f>
        <v>0</v>
      </c>
      <c r="CA114" s="27">
        <v>0</v>
      </c>
      <c r="CB114" s="1"/>
      <c r="CC114" s="15" t="s">
        <v>154</v>
      </c>
      <c r="CD114" s="15" t="s">
        <v>154</v>
      </c>
      <c r="CE114" s="9">
        <v>230000</v>
      </c>
      <c r="CF114" s="18">
        <f>U114*12</f>
        <v>12</v>
      </c>
      <c r="CG114" s="9">
        <f>CF114*CE114</f>
        <v>2760000</v>
      </c>
      <c r="CH114" s="9">
        <v>0</v>
      </c>
      <c r="CI114" s="9"/>
      <c r="CJ114" s="9">
        <v>3455250</v>
      </c>
      <c r="CK114" s="51">
        <v>-0.02</v>
      </c>
      <c r="CL114" s="48">
        <v>0.04</v>
      </c>
      <c r="CM114" s="16" t="s">
        <v>537</v>
      </c>
      <c r="CN114" s="9"/>
      <c r="CO114" s="9"/>
      <c r="CP114" s="27">
        <v>0.03</v>
      </c>
      <c r="CQ114" s="38"/>
      <c r="CR114" s="24">
        <v>0</v>
      </c>
      <c r="CS114" s="24">
        <v>0</v>
      </c>
      <c r="CT114" s="24">
        <v>0</v>
      </c>
      <c r="CU114" s="24">
        <v>0</v>
      </c>
      <c r="CV114" s="24">
        <v>0</v>
      </c>
      <c r="CW114" s="24">
        <v>0</v>
      </c>
      <c r="CX114" s="24">
        <v>0</v>
      </c>
      <c r="CY114" s="24">
        <v>0</v>
      </c>
      <c r="CZ114" s="24">
        <v>0</v>
      </c>
      <c r="DA114" s="24">
        <v>0</v>
      </c>
      <c r="DB114" s="24">
        <v>0</v>
      </c>
      <c r="DC114" s="24" t="str">
        <f>IF(DD114="정수원 실장","기아", IF(DD114="박현식 부장", "현대", IF(DD114="김성진 팀장", "한성", IF(DD114="전석영 부장", "한성", IF(DD114= "박봉호 부장", "모토원",IF(DD114="정원철 부장", "한성"))))))</f>
        <v>기아</v>
      </c>
      <c r="DD114" s="24" t="s">
        <v>121</v>
      </c>
      <c r="DE114" s="24" t="s">
        <v>501</v>
      </c>
      <c r="DF114" s="24"/>
      <c r="DG114" s="24" t="s">
        <v>824</v>
      </c>
      <c r="DH114" s="24" t="s">
        <v>1071</v>
      </c>
      <c r="DI114" s="24" t="s">
        <v>538</v>
      </c>
      <c r="DJ114" s="24" t="s">
        <v>1072</v>
      </c>
      <c r="DK114" s="38">
        <v>0.3</v>
      </c>
      <c r="DL114" s="38">
        <v>0.25</v>
      </c>
      <c r="DM114" s="24"/>
      <c r="DN114" s="46"/>
      <c r="DO114" s="24"/>
      <c r="DP114" s="24"/>
      <c r="DQ114" s="38"/>
    </row>
    <row r="115" spans="1:121">
      <c r="B115" s="7">
        <v>110</v>
      </c>
      <c r="C115" s="7" t="s">
        <v>1073</v>
      </c>
      <c r="D115" s="36" t="s">
        <v>1585</v>
      </c>
      <c r="E115" s="7" t="s">
        <v>529</v>
      </c>
      <c r="F115" s="7" t="s">
        <v>530</v>
      </c>
      <c r="G115" s="7" t="s">
        <v>531</v>
      </c>
      <c r="H115" s="38" t="s">
        <v>1074</v>
      </c>
      <c r="I115" s="46" t="s">
        <v>1075</v>
      </c>
      <c r="J115" s="18">
        <v>61640000</v>
      </c>
      <c r="K115" s="7">
        <v>2025</v>
      </c>
      <c r="L115" s="38" t="s">
        <v>1076</v>
      </c>
      <c r="M115" s="6" t="s">
        <v>90</v>
      </c>
      <c r="N115" s="38" t="s">
        <v>1077</v>
      </c>
      <c r="O115" s="7" t="s">
        <v>1078</v>
      </c>
      <c r="P115" s="7" t="s">
        <v>1079</v>
      </c>
      <c r="Q115" s="33">
        <v>2497</v>
      </c>
      <c r="R115" s="11">
        <v>45706</v>
      </c>
      <c r="S115" s="11">
        <v>45706</v>
      </c>
      <c r="T115" s="11">
        <v>45706</v>
      </c>
      <c r="U115" s="12" t="s">
        <v>91</v>
      </c>
      <c r="V115" s="11">
        <f>IFERROR(T115+AD115, "-")</f>
        <v>47531</v>
      </c>
      <c r="W115" s="7">
        <f ca="1">IFERROR(DATEDIF(TODAY(), V115, "m"), "-")</f>
        <v>41</v>
      </c>
      <c r="X115" s="9">
        <v>20000</v>
      </c>
      <c r="Y115" s="9" t="s">
        <v>534</v>
      </c>
      <c r="Z115" s="7" t="s">
        <v>535</v>
      </c>
      <c r="AA115" s="38"/>
      <c r="AB115" s="9" t="s">
        <v>536</v>
      </c>
      <c r="AC115" s="11">
        <v>45741</v>
      </c>
      <c r="AD115" s="7">
        <f>365*U115</f>
        <v>1825</v>
      </c>
      <c r="AE115" s="7">
        <f ca="1">V115-TODAY()</f>
        <v>1279</v>
      </c>
      <c r="AF115" s="7" t="s">
        <v>1080</v>
      </c>
      <c r="AG115" s="46">
        <v>60340000</v>
      </c>
      <c r="AH115" s="9">
        <v>3154582</v>
      </c>
      <c r="AI115" s="9">
        <f>AG115-AH115+AJ115</f>
        <v>57517418</v>
      </c>
      <c r="AJ115" s="9">
        <v>332000</v>
      </c>
      <c r="AK115" s="9">
        <v>2500</v>
      </c>
      <c r="AL115" s="46">
        <v>2164260</v>
      </c>
      <c r="AM115" s="46">
        <v>9100</v>
      </c>
      <c r="AN115" s="46">
        <v>2000</v>
      </c>
      <c r="AO115" s="46">
        <v>40000</v>
      </c>
      <c r="AP115" s="46">
        <v>33000</v>
      </c>
      <c r="AQ115" s="46"/>
      <c r="AR115" s="46"/>
      <c r="AS115" s="46" t="s">
        <v>187</v>
      </c>
      <c r="AT115" s="46">
        <v>900000</v>
      </c>
      <c r="AU115" s="46" t="s">
        <v>1081</v>
      </c>
      <c r="AV115" s="46"/>
      <c r="AW115" s="46"/>
      <c r="AX115" s="18" t="s">
        <v>196</v>
      </c>
      <c r="AY115" s="53">
        <v>45706</v>
      </c>
      <c r="AZ115" s="46"/>
      <c r="BA115" s="46"/>
      <c r="BB115" s="46"/>
      <c r="BC115" s="46"/>
      <c r="BD115" s="9"/>
      <c r="BE115" s="9" t="s">
        <v>93</v>
      </c>
      <c r="BF115" s="9" t="s">
        <v>94</v>
      </c>
      <c r="BG115" s="9" t="s">
        <v>117</v>
      </c>
      <c r="BH115" s="9" t="s">
        <v>118</v>
      </c>
      <c r="BI115" s="9" t="s">
        <v>97</v>
      </c>
      <c r="BJ115" s="9" t="s">
        <v>119</v>
      </c>
      <c r="BK115" s="7" t="s">
        <v>130</v>
      </c>
      <c r="BL115" s="9" t="s">
        <v>99</v>
      </c>
      <c r="BM115" s="9" t="s">
        <v>148</v>
      </c>
      <c r="BN115" s="9" t="s">
        <v>100</v>
      </c>
      <c r="BO115" s="9" t="s">
        <v>101</v>
      </c>
      <c r="BP115" s="9" t="s">
        <v>101</v>
      </c>
      <c r="BQ115" s="46" t="s">
        <v>1082</v>
      </c>
      <c r="BR115" s="38"/>
      <c r="BS115" s="9">
        <f>IF(Q115&lt;=1600,Q115*18,IF(Q115&lt;=2500,Q115*19,IF(Q115&gt;2500,Q115*24,20000)))</f>
        <v>47443</v>
      </c>
      <c r="BT115" s="7" t="s">
        <v>140</v>
      </c>
      <c r="BU115" s="38"/>
      <c r="BV115" s="38"/>
      <c r="BW115" s="38"/>
      <c r="BX115" s="38"/>
      <c r="BY115" s="38"/>
      <c r="BZ115" s="38"/>
      <c r="CA115" s="38"/>
      <c r="CB115" s="15"/>
      <c r="CC115" s="15" t="s">
        <v>154</v>
      </c>
      <c r="CD115" s="15" t="s">
        <v>154</v>
      </c>
      <c r="CE115" s="46">
        <v>1054000</v>
      </c>
      <c r="CF115" s="18">
        <v>60</v>
      </c>
      <c r="CG115" s="9">
        <f>CF115*CE115</f>
        <v>63240000</v>
      </c>
      <c r="CH115" s="9">
        <v>18492000</v>
      </c>
      <c r="CI115" s="9">
        <v>0</v>
      </c>
      <c r="CJ115" s="46">
        <v>20957600</v>
      </c>
      <c r="CK115" s="50"/>
      <c r="CL115" s="49"/>
      <c r="CM115" s="54" t="s">
        <v>537</v>
      </c>
      <c r="CN115" s="38"/>
      <c r="CO115" s="38"/>
      <c r="CP115" s="27">
        <v>0.03</v>
      </c>
      <c r="CQ115" s="38"/>
      <c r="CR115" s="38" t="s">
        <v>187</v>
      </c>
      <c r="CS115" s="46">
        <v>700000</v>
      </c>
      <c r="CT115" s="24" t="s">
        <v>1083</v>
      </c>
      <c r="CU115" s="46">
        <v>100000</v>
      </c>
      <c r="CV115" s="38" t="s">
        <v>1084</v>
      </c>
      <c r="CW115" s="46">
        <v>100000</v>
      </c>
      <c r="CX115" s="38" t="s">
        <v>1085</v>
      </c>
      <c r="CY115" s="46">
        <v>100000</v>
      </c>
      <c r="CZ115" s="38" t="s">
        <v>1086</v>
      </c>
      <c r="DA115" s="46">
        <v>120000</v>
      </c>
      <c r="DB115" s="24"/>
      <c r="DC115" s="24" t="s">
        <v>128</v>
      </c>
      <c r="DD115" s="24" t="s">
        <v>129</v>
      </c>
      <c r="DE115" s="24" t="s">
        <v>113</v>
      </c>
      <c r="DF115" s="24"/>
      <c r="DG115" s="24" t="s">
        <v>824</v>
      </c>
      <c r="DH115" s="24" t="s">
        <v>1071</v>
      </c>
      <c r="DI115" s="24" t="s">
        <v>538</v>
      </c>
      <c r="DJ115" s="24" t="s">
        <v>1072</v>
      </c>
      <c r="DK115" s="38">
        <v>0.35</v>
      </c>
      <c r="DL115" s="38">
        <v>0.25</v>
      </c>
      <c r="DM115" s="24"/>
      <c r="DN115" s="46">
        <v>2018698</v>
      </c>
      <c r="DO115" s="38"/>
      <c r="DP115" s="38"/>
      <c r="DQ115" s="47"/>
    </row>
    <row r="116" spans="1:121">
      <c r="B116" s="7">
        <v>111</v>
      </c>
      <c r="C116" s="7" t="s">
        <v>1087</v>
      </c>
      <c r="D116" s="36" t="s">
        <v>1585</v>
      </c>
      <c r="E116" s="7" t="s">
        <v>1088</v>
      </c>
      <c r="F116" s="7" t="s">
        <v>1089</v>
      </c>
      <c r="G116" s="7" t="s">
        <v>1090</v>
      </c>
      <c r="H116" s="38" t="s">
        <v>1091</v>
      </c>
      <c r="I116" s="46" t="s">
        <v>1092</v>
      </c>
      <c r="J116" s="18">
        <v>47760000</v>
      </c>
      <c r="K116" s="7">
        <v>2025</v>
      </c>
      <c r="L116" s="38" t="s">
        <v>1093</v>
      </c>
      <c r="M116" s="38" t="s">
        <v>90</v>
      </c>
      <c r="N116" s="38" t="s">
        <v>1094</v>
      </c>
      <c r="O116" s="7" t="s">
        <v>1095</v>
      </c>
      <c r="P116" s="7" t="s">
        <v>1096</v>
      </c>
      <c r="Q116" s="33">
        <v>1598</v>
      </c>
      <c r="R116" s="11">
        <v>45750</v>
      </c>
      <c r="S116" s="11">
        <v>45740</v>
      </c>
      <c r="T116" s="11">
        <v>45740</v>
      </c>
      <c r="U116" s="12" t="s">
        <v>496</v>
      </c>
      <c r="V116" s="11">
        <f>IFERROR(T116+AD116, "-")</f>
        <v>47200</v>
      </c>
      <c r="W116" s="7">
        <f ca="1">IFERROR(DATEDIF(TODAY(), V116, "m"), "-")</f>
        <v>31</v>
      </c>
      <c r="X116" s="9">
        <v>20000</v>
      </c>
      <c r="Y116" s="38" t="s">
        <v>1097</v>
      </c>
      <c r="Z116" s="38" t="s">
        <v>1098</v>
      </c>
      <c r="AA116" s="38"/>
      <c r="AB116" s="11" t="s">
        <v>1099</v>
      </c>
      <c r="AC116" s="11">
        <v>45747</v>
      </c>
      <c r="AD116" s="7">
        <f>365*U116</f>
        <v>1460</v>
      </c>
      <c r="AE116" s="7">
        <f ca="1">V116-TODAY()</f>
        <v>948</v>
      </c>
      <c r="AF116" s="7" t="e">
        <f>VLOOKUP($C116,#REF!, 4, FALSE)</f>
        <v>#REF!</v>
      </c>
      <c r="AG116" s="46">
        <v>44340000</v>
      </c>
      <c r="AH116" s="9">
        <v>2416793</v>
      </c>
      <c r="AI116" s="9">
        <f>AG116-AH116+AJ116</f>
        <v>42099207</v>
      </c>
      <c r="AJ116" s="9">
        <v>176000</v>
      </c>
      <c r="AK116" s="9">
        <v>1900</v>
      </c>
      <c r="AL116" s="46">
        <v>1655240</v>
      </c>
      <c r="AM116" s="46">
        <v>0</v>
      </c>
      <c r="AN116" s="46">
        <v>2000</v>
      </c>
      <c r="AO116" s="46">
        <v>45000</v>
      </c>
      <c r="AP116" s="46">
        <v>50000</v>
      </c>
      <c r="AQ116" s="46"/>
      <c r="AR116" s="46"/>
      <c r="AS116" s="46" t="s">
        <v>187</v>
      </c>
      <c r="AT116" s="46"/>
      <c r="AU116" s="46" t="s">
        <v>1100</v>
      </c>
      <c r="AV116" s="46"/>
      <c r="AW116" s="46"/>
      <c r="AX116" s="18" t="s">
        <v>196</v>
      </c>
      <c r="AY116" s="53"/>
      <c r="AZ116" s="46"/>
      <c r="BA116" s="46"/>
      <c r="BB116" s="46"/>
      <c r="BC116" s="46"/>
      <c r="BD116" s="9"/>
      <c r="BE116" s="9" t="s">
        <v>93</v>
      </c>
      <c r="BF116" s="9" t="s">
        <v>94</v>
      </c>
      <c r="BG116" s="9" t="s">
        <v>117</v>
      </c>
      <c r="BH116" s="9" t="s">
        <v>118</v>
      </c>
      <c r="BI116" s="9" t="s">
        <v>97</v>
      </c>
      <c r="BJ116" s="9" t="s">
        <v>119</v>
      </c>
      <c r="BK116" s="7" t="s">
        <v>1101</v>
      </c>
      <c r="BL116" s="9" t="s">
        <v>99</v>
      </c>
      <c r="BM116" s="9" t="s">
        <v>148</v>
      </c>
      <c r="BN116" s="9" t="s">
        <v>148</v>
      </c>
      <c r="BO116" s="9" t="s">
        <v>148</v>
      </c>
      <c r="BP116" s="9" t="s">
        <v>713</v>
      </c>
      <c r="BQ116" s="46" t="s">
        <v>1102</v>
      </c>
      <c r="BR116" s="38"/>
      <c r="BS116" s="9">
        <f>IF(Q116&lt;=1600,Q116*18,IF(Q116&lt;=2500,Q116*19,IF(Q116&gt;2500,Q116*24,20000)))</f>
        <v>28764</v>
      </c>
      <c r="BT116" s="7" t="s">
        <v>140</v>
      </c>
      <c r="BU116" s="38"/>
      <c r="BV116" s="38"/>
      <c r="BW116" s="38"/>
      <c r="BX116" s="38"/>
      <c r="BY116" s="38"/>
      <c r="BZ116" s="38"/>
      <c r="CA116" s="38"/>
      <c r="CB116" s="15"/>
      <c r="CC116" s="15" t="s">
        <v>149</v>
      </c>
      <c r="CD116" s="15" t="s">
        <v>149</v>
      </c>
      <c r="CE116" s="46">
        <v>846000</v>
      </c>
      <c r="CF116" s="18">
        <v>48</v>
      </c>
      <c r="CG116" s="9">
        <f>CF116*CE116</f>
        <v>40608000</v>
      </c>
      <c r="CH116" s="9">
        <v>10000000</v>
      </c>
      <c r="CI116" s="9">
        <v>0</v>
      </c>
      <c r="CJ116" s="46">
        <v>23880000</v>
      </c>
      <c r="CK116" s="50">
        <v>8.7999999999999995E-2</v>
      </c>
      <c r="CL116" s="49">
        <v>0.06</v>
      </c>
      <c r="CM116" s="16" t="s">
        <v>1103</v>
      </c>
      <c r="CN116" s="38"/>
      <c r="CO116" s="38"/>
      <c r="CP116" s="27">
        <v>0.03</v>
      </c>
      <c r="CQ116" s="38"/>
      <c r="CR116" s="38" t="s">
        <v>187</v>
      </c>
      <c r="CS116" s="46"/>
      <c r="CT116" s="24" t="s">
        <v>823</v>
      </c>
      <c r="CU116" s="46">
        <v>50000</v>
      </c>
      <c r="CV116" s="38"/>
      <c r="CW116" s="38"/>
      <c r="CX116" s="38"/>
      <c r="CY116" s="38"/>
      <c r="CZ116" s="38"/>
      <c r="DA116" s="38"/>
      <c r="DB116" s="24"/>
      <c r="DC116" s="24" t="s">
        <v>128</v>
      </c>
      <c r="DD116" s="24" t="s">
        <v>129</v>
      </c>
      <c r="DE116" s="24" t="s">
        <v>113</v>
      </c>
      <c r="DF116" s="24"/>
      <c r="DG116" s="24" t="s">
        <v>376</v>
      </c>
      <c r="DH116" s="24" t="s">
        <v>1104</v>
      </c>
      <c r="DI116" s="24" t="s">
        <v>1105</v>
      </c>
      <c r="DJ116" s="38" t="s">
        <v>1099</v>
      </c>
      <c r="DK116" s="38">
        <v>0.35</v>
      </c>
      <c r="DL116" s="38">
        <v>0.25</v>
      </c>
      <c r="DM116" s="24"/>
      <c r="DN116" s="46"/>
      <c r="DO116" s="38"/>
      <c r="DP116" s="38"/>
      <c r="DQ116" s="47"/>
    </row>
    <row r="117" spans="1:121">
      <c r="B117" s="7">
        <v>112</v>
      </c>
      <c r="C117" s="7" t="s">
        <v>1106</v>
      </c>
      <c r="D117" s="36" t="s">
        <v>1585</v>
      </c>
      <c r="E117" s="7" t="s">
        <v>1107</v>
      </c>
      <c r="F117" s="7" t="s">
        <v>1108</v>
      </c>
      <c r="G117" s="7" t="s">
        <v>1109</v>
      </c>
      <c r="H117" s="38" t="s">
        <v>1110</v>
      </c>
      <c r="I117" s="46" t="s">
        <v>1111</v>
      </c>
      <c r="J117" s="18">
        <v>56530000</v>
      </c>
      <c r="K117" s="7">
        <v>2025</v>
      </c>
      <c r="L117" s="38" t="s">
        <v>1112</v>
      </c>
      <c r="M117" s="38" t="s">
        <v>90</v>
      </c>
      <c r="N117" s="38" t="s">
        <v>1113</v>
      </c>
      <c r="O117" s="7" t="s">
        <v>1114</v>
      </c>
      <c r="P117" s="7" t="s">
        <v>1115</v>
      </c>
      <c r="Q117" s="33">
        <v>2497</v>
      </c>
      <c r="R117" s="11">
        <v>45756</v>
      </c>
      <c r="S117" s="11">
        <v>45756</v>
      </c>
      <c r="T117" s="11">
        <v>45756</v>
      </c>
      <c r="U117" s="12" t="s">
        <v>91</v>
      </c>
      <c r="V117" s="11">
        <f>IFERROR(T117+AD117, "-")</f>
        <v>47581</v>
      </c>
      <c r="W117" s="7">
        <f ca="1">IFERROR(DATEDIF(TODAY(), V117, "m"), "-")</f>
        <v>43</v>
      </c>
      <c r="X117" s="9">
        <v>20000</v>
      </c>
      <c r="Y117" s="38" t="s">
        <v>1116</v>
      </c>
      <c r="Z117" s="38" t="s">
        <v>1117</v>
      </c>
      <c r="AA117" s="38"/>
      <c r="AB117" s="57" t="str">
        <f>DJ117</f>
        <v>서울시 마포구 방울내로11길 37, 2층 2272호(망원동, 프리마빌딩)</v>
      </c>
      <c r="AC117" s="11">
        <v>45772</v>
      </c>
      <c r="AD117" s="7">
        <f>365*U117</f>
        <v>1825</v>
      </c>
      <c r="AE117" s="7">
        <f ca="1">V117-TODAY()</f>
        <v>1329</v>
      </c>
      <c r="AF117" s="7" t="e">
        <f>VLOOKUP($C117,#REF!, 4, FALSE)</f>
        <v>#REF!</v>
      </c>
      <c r="AG117" s="46">
        <v>56530000</v>
      </c>
      <c r="AH117" s="9">
        <f>1089907+2904604</f>
        <v>3994511</v>
      </c>
      <c r="AI117" s="9">
        <f>AG117-AH117+AJ117</f>
        <v>52880489</v>
      </c>
      <c r="AJ117" s="9">
        <v>345000</v>
      </c>
      <c r="AK117" s="9">
        <v>1900</v>
      </c>
      <c r="AL117" s="46">
        <v>1954560</v>
      </c>
      <c r="AM117" s="46">
        <v>45051</v>
      </c>
      <c r="AN117" s="46">
        <v>2000</v>
      </c>
      <c r="AO117" s="46">
        <v>45000</v>
      </c>
      <c r="AP117" s="46">
        <v>50000</v>
      </c>
      <c r="AQ117" s="46"/>
      <c r="AR117" s="46">
        <f>190000*1.1</f>
        <v>209000.00000000003</v>
      </c>
      <c r="AS117" s="46" t="s">
        <v>125</v>
      </c>
      <c r="AT117" s="46"/>
      <c r="AU117" s="46" t="s">
        <v>1118</v>
      </c>
      <c r="AV117" s="46"/>
      <c r="AW117" s="46"/>
      <c r="AX117" s="18" t="s">
        <v>196</v>
      </c>
      <c r="AY117" s="53"/>
      <c r="AZ117" s="46"/>
      <c r="BA117" s="46"/>
      <c r="BB117" s="46"/>
      <c r="BC117" s="46"/>
      <c r="BD117" s="28"/>
      <c r="BE117" s="9" t="s">
        <v>93</v>
      </c>
      <c r="BF117" s="9" t="s">
        <v>94</v>
      </c>
      <c r="BG117" s="9" t="s">
        <v>117</v>
      </c>
      <c r="BH117" s="9" t="s">
        <v>118</v>
      </c>
      <c r="BI117" s="9" t="s">
        <v>97</v>
      </c>
      <c r="BJ117" s="9" t="s">
        <v>119</v>
      </c>
      <c r="BK117" s="7" t="s">
        <v>130</v>
      </c>
      <c r="BL117" s="9" t="s">
        <v>99</v>
      </c>
      <c r="BM117" s="9" t="s">
        <v>148</v>
      </c>
      <c r="BN117" s="9" t="s">
        <v>148</v>
      </c>
      <c r="BO117" s="9" t="s">
        <v>148</v>
      </c>
      <c r="BP117" s="9" t="s">
        <v>713</v>
      </c>
      <c r="BQ117" s="46" t="s">
        <v>1119</v>
      </c>
      <c r="BR117" s="38"/>
      <c r="BS117" s="9">
        <f>IF(Q117&lt;=1600,Q117*18,IF(Q117&lt;=2500,Q117*19,IF(Q117&gt;2500,Q117*24,20000)))</f>
        <v>47443</v>
      </c>
      <c r="BT117" s="7" t="s">
        <v>140</v>
      </c>
      <c r="BU117" s="38"/>
      <c r="BV117" s="38"/>
      <c r="BW117" s="38"/>
      <c r="BX117" s="38"/>
      <c r="BY117" s="38"/>
      <c r="BZ117" s="38"/>
      <c r="CA117" s="38"/>
      <c r="CB117" s="15"/>
      <c r="CC117" s="15" t="s">
        <v>154</v>
      </c>
      <c r="CD117" s="15" t="s">
        <v>154</v>
      </c>
      <c r="CE117" s="46">
        <v>873000</v>
      </c>
      <c r="CF117" s="18">
        <v>60</v>
      </c>
      <c r="CG117" s="9">
        <f>CF117*CE117</f>
        <v>52380000</v>
      </c>
      <c r="CH117" s="9">
        <v>16959000</v>
      </c>
      <c r="CI117" s="9">
        <v>0</v>
      </c>
      <c r="CJ117" s="46">
        <v>28265000</v>
      </c>
      <c r="CK117" s="50"/>
      <c r="CL117" s="49"/>
      <c r="CM117" s="16" t="s">
        <v>1120</v>
      </c>
      <c r="CN117" s="38"/>
      <c r="CO117" s="38"/>
      <c r="CP117" s="27">
        <v>0.03</v>
      </c>
      <c r="CQ117" s="38"/>
      <c r="CR117" s="38" t="s">
        <v>125</v>
      </c>
      <c r="CS117" s="46">
        <f>190000*1.1</f>
        <v>209000.00000000003</v>
      </c>
      <c r="CT117" s="24" t="s">
        <v>960</v>
      </c>
      <c r="CU117" s="55">
        <v>165000</v>
      </c>
      <c r="CV117" s="38" t="s">
        <v>1084</v>
      </c>
      <c r="CW117" s="38"/>
      <c r="CX117" s="38"/>
      <c r="CY117" s="38"/>
      <c r="CZ117" s="38"/>
      <c r="DA117" s="38"/>
      <c r="DB117" s="24"/>
      <c r="DC117" s="24" t="s">
        <v>128</v>
      </c>
      <c r="DD117" s="24" t="s">
        <v>129</v>
      </c>
      <c r="DE117" s="24" t="s">
        <v>113</v>
      </c>
      <c r="DF117" s="38"/>
      <c r="DG117" s="38" t="s">
        <v>219</v>
      </c>
      <c r="DH117" s="38" t="s">
        <v>1121</v>
      </c>
      <c r="DI117" s="38" t="s">
        <v>1122</v>
      </c>
      <c r="DJ117" s="38" t="s">
        <v>1123</v>
      </c>
      <c r="DK117" s="47">
        <v>0.35</v>
      </c>
      <c r="DL117" s="38">
        <v>0.25</v>
      </c>
      <c r="DM117" s="38"/>
      <c r="DN117" s="46"/>
      <c r="DO117" s="38"/>
      <c r="DP117" s="38"/>
      <c r="DQ117" s="47"/>
    </row>
    <row r="118" spans="1:121">
      <c r="B118" s="7">
        <v>113</v>
      </c>
      <c r="C118" s="7" t="s">
        <v>1124</v>
      </c>
      <c r="D118" s="36" t="s">
        <v>1585</v>
      </c>
      <c r="E118" s="7" t="s">
        <v>1125</v>
      </c>
      <c r="F118" s="7" t="s">
        <v>1126</v>
      </c>
      <c r="G118" s="7" t="s">
        <v>1127</v>
      </c>
      <c r="H118" s="38" t="s">
        <v>180</v>
      </c>
      <c r="I118" s="46" t="s">
        <v>1128</v>
      </c>
      <c r="J118" s="18">
        <v>67250000</v>
      </c>
      <c r="K118" s="7">
        <v>2025</v>
      </c>
      <c r="L118" s="38" t="s">
        <v>1129</v>
      </c>
      <c r="M118" s="38" t="s">
        <v>90</v>
      </c>
      <c r="N118" s="38" t="s">
        <v>1130</v>
      </c>
      <c r="O118" s="7" t="s">
        <v>1131</v>
      </c>
      <c r="P118" s="7" t="s">
        <v>1132</v>
      </c>
      <c r="Q118" s="33">
        <v>2497</v>
      </c>
      <c r="R118" s="11">
        <v>45790</v>
      </c>
      <c r="S118" s="11">
        <v>45791</v>
      </c>
      <c r="T118" s="11">
        <v>45791</v>
      </c>
      <c r="U118" s="12" t="s">
        <v>496</v>
      </c>
      <c r="V118" s="11">
        <f>IFERROR(T118+AD118, "-")</f>
        <v>47251</v>
      </c>
      <c r="W118" s="7">
        <f ca="1">IFERROR(DATEDIF(TODAY(), V118, "m"), "-")</f>
        <v>32</v>
      </c>
      <c r="X118" s="9">
        <v>30000</v>
      </c>
      <c r="Y118" s="38" t="s">
        <v>1133</v>
      </c>
      <c r="Z118" s="38" t="s">
        <v>1134</v>
      </c>
      <c r="AA118" s="38"/>
      <c r="AB118" s="57" t="s">
        <v>1135</v>
      </c>
      <c r="AC118" s="11">
        <v>45802</v>
      </c>
      <c r="AD118" s="7">
        <f>365*U118</f>
        <v>1460</v>
      </c>
      <c r="AE118" s="7">
        <f ca="1">V118-TODAY()</f>
        <v>999</v>
      </c>
      <c r="AF118" s="7" t="e">
        <f>VLOOKUP($C118,#REF!, 4, FALSE)</f>
        <v>#REF!</v>
      </c>
      <c r="AG118" s="46">
        <v>67250000</v>
      </c>
      <c r="AH118" s="9">
        <v>5403043</v>
      </c>
      <c r="AI118" s="9">
        <f>AG118-AH118+AJ118</f>
        <v>62195957</v>
      </c>
      <c r="AJ118" s="9">
        <v>349000</v>
      </c>
      <c r="AK118" s="9">
        <v>1900</v>
      </c>
      <c r="AL118" s="46">
        <v>2261790</v>
      </c>
      <c r="AM118" s="46">
        <v>69569</v>
      </c>
      <c r="AN118" s="46">
        <v>2000</v>
      </c>
      <c r="AO118" s="46">
        <v>45000</v>
      </c>
      <c r="AP118" s="46">
        <v>50000</v>
      </c>
      <c r="AQ118" s="46"/>
      <c r="AR118" s="46"/>
      <c r="AS118" s="46" t="s">
        <v>187</v>
      </c>
      <c r="AT118" s="46">
        <v>198000</v>
      </c>
      <c r="AU118" s="46" t="s">
        <v>1100</v>
      </c>
      <c r="AV118" s="46"/>
      <c r="AW118" s="46"/>
      <c r="AX118" s="18" t="s">
        <v>196</v>
      </c>
      <c r="AY118" s="53"/>
      <c r="AZ118" s="46"/>
      <c r="BA118" s="46"/>
      <c r="BB118" s="46"/>
      <c r="BC118" s="46"/>
      <c r="BD118" s="28"/>
      <c r="BE118" s="9" t="s">
        <v>93</v>
      </c>
      <c r="BF118" s="9" t="s">
        <v>94</v>
      </c>
      <c r="BG118" s="9" t="s">
        <v>95</v>
      </c>
      <c r="BH118" s="9" t="s">
        <v>96</v>
      </c>
      <c r="BI118" s="9" t="s">
        <v>97</v>
      </c>
      <c r="BJ118" s="9" t="s">
        <v>127</v>
      </c>
      <c r="BK118" s="7" t="s">
        <v>130</v>
      </c>
      <c r="BL118" s="9" t="s">
        <v>99</v>
      </c>
      <c r="BM118" s="9" t="s">
        <v>148</v>
      </c>
      <c r="BN118" s="9" t="s">
        <v>148</v>
      </c>
      <c r="BO118" s="9" t="s">
        <v>148</v>
      </c>
      <c r="BP118" s="9" t="s">
        <v>713</v>
      </c>
      <c r="BQ118" s="46" t="s">
        <v>1136</v>
      </c>
      <c r="BR118" s="38"/>
      <c r="BS118" s="9">
        <f>IF(Q118&lt;=1600,Q118*18,IF(Q118&lt;=2500,Q118*19,IF(Q118&gt;2500,Q118*24,20000)))</f>
        <v>47443</v>
      </c>
      <c r="BT118" s="7" t="s">
        <v>140</v>
      </c>
      <c r="BU118" s="38"/>
      <c r="BV118" s="38"/>
      <c r="BW118" s="38"/>
      <c r="BX118" s="38"/>
      <c r="BY118" s="38"/>
      <c r="BZ118" s="38"/>
      <c r="CA118" s="38"/>
      <c r="CB118" s="15"/>
      <c r="CC118" s="15" t="s">
        <v>154</v>
      </c>
      <c r="CD118" s="15" t="s">
        <v>154</v>
      </c>
      <c r="CE118" s="46">
        <v>1150500</v>
      </c>
      <c r="CF118" s="18">
        <v>48</v>
      </c>
      <c r="CG118" s="9">
        <f>CF118*CE118</f>
        <v>55224000</v>
      </c>
      <c r="CH118" s="9">
        <v>20175000</v>
      </c>
      <c r="CI118" s="9">
        <v>0</v>
      </c>
      <c r="CJ118" s="46">
        <v>31607500</v>
      </c>
      <c r="CK118" s="50">
        <v>0.03</v>
      </c>
      <c r="CL118" s="49">
        <v>0.06</v>
      </c>
      <c r="CM118" s="16" t="s">
        <v>1137</v>
      </c>
      <c r="CN118" s="38"/>
      <c r="CO118" s="38"/>
      <c r="CP118" s="27">
        <v>0.03</v>
      </c>
      <c r="CQ118" s="38"/>
      <c r="CR118" s="55" t="s">
        <v>218</v>
      </c>
      <c r="CS118" s="55">
        <v>53300</v>
      </c>
      <c r="CT118" s="24" t="s">
        <v>960</v>
      </c>
      <c r="CU118" s="55">
        <v>165000</v>
      </c>
      <c r="CV118" s="38"/>
      <c r="CW118" s="38"/>
      <c r="CX118" s="38"/>
      <c r="CY118" s="38"/>
      <c r="CZ118" s="38"/>
      <c r="DA118" s="38"/>
      <c r="DB118" s="24"/>
      <c r="DC118" s="24" t="s">
        <v>128</v>
      </c>
      <c r="DD118" s="24" t="s">
        <v>129</v>
      </c>
      <c r="DE118" s="24" t="s">
        <v>113</v>
      </c>
      <c r="DF118" s="38"/>
      <c r="DG118" s="38" t="s">
        <v>219</v>
      </c>
      <c r="DH118" s="38" t="s">
        <v>1138</v>
      </c>
      <c r="DI118" s="38" t="s">
        <v>1139</v>
      </c>
      <c r="DJ118" s="38" t="s">
        <v>1135</v>
      </c>
      <c r="DK118" s="47">
        <v>0.35</v>
      </c>
      <c r="DL118" s="38">
        <v>0.25</v>
      </c>
      <c r="DM118" s="38" t="s">
        <v>1140</v>
      </c>
      <c r="DN118" s="46"/>
      <c r="DO118" s="38"/>
      <c r="DP118" s="38"/>
      <c r="DQ118" s="47"/>
    </row>
    <row r="119" spans="1:121">
      <c r="B119" s="7">
        <v>114</v>
      </c>
      <c r="C119" s="7" t="s">
        <v>1141</v>
      </c>
      <c r="D119" s="36" t="s">
        <v>1585</v>
      </c>
      <c r="E119" s="7" t="s">
        <v>1142</v>
      </c>
      <c r="F119" s="7" t="s">
        <v>1143</v>
      </c>
      <c r="G119" s="7" t="s">
        <v>1144</v>
      </c>
      <c r="H119" s="38" t="s">
        <v>1145</v>
      </c>
      <c r="I119" s="46" t="s">
        <v>98</v>
      </c>
      <c r="J119" s="18">
        <v>97430000</v>
      </c>
      <c r="K119" s="7">
        <v>2025</v>
      </c>
      <c r="L119" s="38" t="s">
        <v>1146</v>
      </c>
      <c r="M119" s="38" t="s">
        <v>90</v>
      </c>
      <c r="N119" s="38" t="s">
        <v>1147</v>
      </c>
      <c r="O119" s="7" t="s">
        <v>1148</v>
      </c>
      <c r="P119" s="7" t="s">
        <v>98</v>
      </c>
      <c r="Q119" s="33">
        <v>2487</v>
      </c>
      <c r="R119" s="11">
        <v>45796</v>
      </c>
      <c r="S119" s="11">
        <v>45796</v>
      </c>
      <c r="T119" s="11">
        <v>45796</v>
      </c>
      <c r="U119" s="12" t="s">
        <v>91</v>
      </c>
      <c r="V119" s="11">
        <f>IFERROR(T119+AD119, "-")</f>
        <v>47621</v>
      </c>
      <c r="W119" s="13">
        <f ca="1">IFERROR(DATEDIF(TODAY(), V119, "m"), "-")</f>
        <v>45</v>
      </c>
      <c r="X119" s="9">
        <v>20000</v>
      </c>
      <c r="Y119" s="7" t="s">
        <v>1143</v>
      </c>
      <c r="Z119" s="7" t="s">
        <v>1144</v>
      </c>
      <c r="AA119" s="38"/>
      <c r="AB119" s="11" t="s">
        <v>1149</v>
      </c>
      <c r="AC119" s="11">
        <v>45823</v>
      </c>
      <c r="AD119" s="7">
        <f>365*U119</f>
        <v>1825</v>
      </c>
      <c r="AE119" s="7">
        <f ca="1">V119-TODAY()</f>
        <v>1369</v>
      </c>
      <c r="AF119" s="7" t="e">
        <f>VLOOKUP($C119,#REF!, 4, FALSE)</f>
        <v>#REF!</v>
      </c>
      <c r="AG119" s="46">
        <v>97430000</v>
      </c>
      <c r="AH119" s="9">
        <f>AG119-93100000</f>
        <v>4330000</v>
      </c>
      <c r="AI119" s="9">
        <f>AG119-AH119+AJ119</f>
        <v>93100000</v>
      </c>
      <c r="AJ119" s="9">
        <v>0</v>
      </c>
      <c r="AK119" s="9"/>
      <c r="AL119" s="46">
        <v>3400000</v>
      </c>
      <c r="AM119" s="46">
        <v>12254</v>
      </c>
      <c r="AN119" s="46">
        <v>2000</v>
      </c>
      <c r="AO119" s="46">
        <v>45000</v>
      </c>
      <c r="AP119" s="46">
        <v>35000</v>
      </c>
      <c r="AQ119" s="46"/>
      <c r="AR119" s="46"/>
      <c r="AS119" s="46" t="s">
        <v>1150</v>
      </c>
      <c r="AT119" s="46">
        <v>0</v>
      </c>
      <c r="AU119" s="58" t="s">
        <v>1151</v>
      </c>
      <c r="AV119" s="46"/>
      <c r="AW119" s="46"/>
      <c r="AX119" s="18" t="s">
        <v>196</v>
      </c>
      <c r="AY119" s="53"/>
      <c r="AZ119" s="46"/>
      <c r="BA119" s="46"/>
      <c r="BB119" s="46"/>
      <c r="BC119" s="46"/>
      <c r="BD119" s="28"/>
      <c r="BE119" s="9" t="s">
        <v>93</v>
      </c>
      <c r="BF119" s="9" t="s">
        <v>94</v>
      </c>
      <c r="BG119" s="9" t="s">
        <v>95</v>
      </c>
      <c r="BH119" s="9" t="s">
        <v>96</v>
      </c>
      <c r="BI119" s="9" t="s">
        <v>97</v>
      </c>
      <c r="BJ119" s="9" t="s">
        <v>127</v>
      </c>
      <c r="BK119" s="7" t="s">
        <v>130</v>
      </c>
      <c r="BL119" s="9" t="s">
        <v>99</v>
      </c>
      <c r="BM119" s="9" t="s">
        <v>148</v>
      </c>
      <c r="BN119" s="9" t="s">
        <v>100</v>
      </c>
      <c r="BO119" s="9" t="s">
        <v>100</v>
      </c>
      <c r="BP119" s="9" t="s">
        <v>101</v>
      </c>
      <c r="BQ119" s="7" t="s">
        <v>1152</v>
      </c>
      <c r="BR119" s="28"/>
      <c r="BS119" s="9">
        <f>IF(Q119&lt;=1600,Q119*18,IF(Q119&lt;=2500,Q119*19,IF(Q119&gt;2500,Q119*24,20000)))</f>
        <v>47253</v>
      </c>
      <c r="BT119" s="7" t="s">
        <v>140</v>
      </c>
      <c r="BU119" s="28"/>
      <c r="BV119" s="28"/>
      <c r="BW119" s="7"/>
      <c r="BX119" s="28"/>
      <c r="BY119" s="28"/>
      <c r="BZ119" s="28"/>
      <c r="CA119" s="28"/>
      <c r="CB119" s="28"/>
      <c r="CC119" s="15" t="s">
        <v>147</v>
      </c>
      <c r="CD119" s="15" t="s">
        <v>147</v>
      </c>
      <c r="CE119" s="46">
        <v>1646000</v>
      </c>
      <c r="CF119" s="18">
        <v>60</v>
      </c>
      <c r="CG119" s="9">
        <f>CF119*CE119</f>
        <v>98760000</v>
      </c>
      <c r="CH119" s="9">
        <v>0</v>
      </c>
      <c r="CI119" s="9">
        <v>0</v>
      </c>
      <c r="CJ119" s="46">
        <v>33050500</v>
      </c>
      <c r="CK119" s="50">
        <v>0.03</v>
      </c>
      <c r="CL119" s="49">
        <v>0.06</v>
      </c>
      <c r="CM119" s="20" t="s">
        <v>1153</v>
      </c>
      <c r="CN119" s="7"/>
      <c r="CO119" s="7"/>
      <c r="CP119" s="27">
        <v>0.03</v>
      </c>
      <c r="CQ119" s="28"/>
      <c r="CR119" s="28"/>
      <c r="CS119" s="28"/>
      <c r="CT119" s="24" t="s">
        <v>960</v>
      </c>
      <c r="CU119" s="28"/>
      <c r="CV119" s="28"/>
      <c r="CW119" s="28"/>
      <c r="CX119" s="28"/>
      <c r="CY119" s="28"/>
      <c r="CZ119" s="28"/>
      <c r="DA119" s="28"/>
      <c r="DB119" s="28"/>
      <c r="DC119" s="24" t="s">
        <v>1154</v>
      </c>
      <c r="DD119" s="24" t="s">
        <v>1155</v>
      </c>
      <c r="DE119" s="24" t="s">
        <v>113</v>
      </c>
      <c r="DF119" s="38"/>
      <c r="DG119" s="38" t="s">
        <v>219</v>
      </c>
      <c r="DH119" s="38" t="s">
        <v>1156</v>
      </c>
      <c r="DI119" s="38" t="s">
        <v>1157</v>
      </c>
      <c r="DJ119" s="38" t="s">
        <v>1149</v>
      </c>
      <c r="DK119" s="47">
        <v>0.35</v>
      </c>
      <c r="DL119" s="38">
        <v>0.25</v>
      </c>
      <c r="DM119" s="38"/>
      <c r="DN119" s="29"/>
      <c r="DO119" s="28"/>
      <c r="DP119" s="28"/>
      <c r="DQ119" s="28"/>
    </row>
    <row r="120" spans="1:121">
      <c r="B120" s="7">
        <v>115</v>
      </c>
      <c r="C120" s="7" t="s">
        <v>1158</v>
      </c>
      <c r="D120" s="36" t="s">
        <v>1585</v>
      </c>
      <c r="E120" s="7" t="s">
        <v>1125</v>
      </c>
      <c r="F120" s="7" t="s">
        <v>1126</v>
      </c>
      <c r="G120" s="7" t="s">
        <v>1127</v>
      </c>
      <c r="H120" s="38" t="s">
        <v>1159</v>
      </c>
      <c r="I120" s="46" t="s">
        <v>98</v>
      </c>
      <c r="J120" s="18">
        <v>100490000</v>
      </c>
      <c r="K120" s="7">
        <v>2025</v>
      </c>
      <c r="L120" s="38" t="s">
        <v>1160</v>
      </c>
      <c r="M120" s="38" t="s">
        <v>90</v>
      </c>
      <c r="N120" s="38" t="s">
        <v>1161</v>
      </c>
      <c r="O120" s="7" t="s">
        <v>1162</v>
      </c>
      <c r="P120" s="7" t="s">
        <v>98</v>
      </c>
      <c r="Q120" s="33">
        <v>2487</v>
      </c>
      <c r="R120" s="11">
        <v>45806</v>
      </c>
      <c r="S120" s="11">
        <v>45806</v>
      </c>
      <c r="T120" s="11">
        <v>45806</v>
      </c>
      <c r="U120" s="12" t="s">
        <v>153</v>
      </c>
      <c r="V120" s="11">
        <f>IFERROR(T120+AD120, "-")</f>
        <v>46901</v>
      </c>
      <c r="W120" s="13">
        <f ca="1">IFERROR(DATEDIF(TODAY(), V120, "m"), "-")</f>
        <v>21</v>
      </c>
      <c r="X120" s="9">
        <v>30000</v>
      </c>
      <c r="Y120" s="38" t="s">
        <v>1133</v>
      </c>
      <c r="Z120" s="38" t="s">
        <v>1163</v>
      </c>
      <c r="AA120" s="38"/>
      <c r="AB120" s="57" t="s">
        <v>1135</v>
      </c>
      <c r="AC120" s="11">
        <v>45833</v>
      </c>
      <c r="AD120" s="7">
        <f>365*U120</f>
        <v>1095</v>
      </c>
      <c r="AE120" s="7">
        <f ca="1">V120-TODAY()</f>
        <v>649</v>
      </c>
      <c r="AF120" s="7" t="e">
        <f>VLOOKUP($C120,#REF!, 4, FALSE)</f>
        <v>#REF!</v>
      </c>
      <c r="AG120" s="46">
        <f>J120</f>
        <v>100490000</v>
      </c>
      <c r="AH120" s="9">
        <v>3215680</v>
      </c>
      <c r="AI120" s="9">
        <f>AG120-AH120+AJ120</f>
        <v>97274320</v>
      </c>
      <c r="AJ120" s="9">
        <v>0</v>
      </c>
      <c r="AK120" s="9">
        <v>0</v>
      </c>
      <c r="AL120" s="46">
        <v>3543270</v>
      </c>
      <c r="AM120" s="46">
        <v>5569</v>
      </c>
      <c r="AN120" s="46">
        <v>5000</v>
      </c>
      <c r="AO120" s="46">
        <v>40000</v>
      </c>
      <c r="AP120" s="46">
        <v>50000</v>
      </c>
      <c r="AQ120" s="46"/>
      <c r="AR120" s="46"/>
      <c r="AS120" s="46" t="s">
        <v>1164</v>
      </c>
      <c r="AT120" s="46">
        <v>0</v>
      </c>
      <c r="AU120" s="58" t="s">
        <v>1165</v>
      </c>
      <c r="AV120" s="46"/>
      <c r="AW120" s="46"/>
      <c r="AX120" s="18" t="s">
        <v>196</v>
      </c>
      <c r="AY120" s="53"/>
      <c r="AZ120" s="46"/>
      <c r="BA120" s="46"/>
      <c r="BB120" s="46"/>
      <c r="BC120" s="46"/>
      <c r="BD120" s="28"/>
      <c r="BE120" s="9" t="s">
        <v>93</v>
      </c>
      <c r="BF120" s="9" t="s">
        <v>94</v>
      </c>
      <c r="BG120" s="9" t="s">
        <v>95</v>
      </c>
      <c r="BH120" s="9" t="s">
        <v>96</v>
      </c>
      <c r="BI120" s="9" t="s">
        <v>97</v>
      </c>
      <c r="BJ120" s="9" t="s">
        <v>127</v>
      </c>
      <c r="BK120" s="7" t="s">
        <v>130</v>
      </c>
      <c r="BL120" s="9" t="s">
        <v>99</v>
      </c>
      <c r="BM120" s="9" t="s">
        <v>148</v>
      </c>
      <c r="BN120" s="9" t="s">
        <v>100</v>
      </c>
      <c r="BO120" s="9" t="s">
        <v>100</v>
      </c>
      <c r="BP120" s="9" t="s">
        <v>101</v>
      </c>
      <c r="BQ120" s="9" t="s">
        <v>1166</v>
      </c>
      <c r="BR120" s="28"/>
      <c r="BS120" s="9">
        <f>IF(Q120&lt;=1600,Q120*18,IF(Q120&lt;=2500,Q120*19,IF(Q120&gt;2500,Q120*24,20000)))</f>
        <v>47253</v>
      </c>
      <c r="BT120" s="7" t="s">
        <v>140</v>
      </c>
      <c r="BU120" s="28"/>
      <c r="BV120" s="28"/>
      <c r="BW120" s="7"/>
      <c r="BX120" s="28"/>
      <c r="BY120" s="28"/>
      <c r="BZ120" s="28"/>
      <c r="CA120" s="28"/>
      <c r="CB120" s="28"/>
      <c r="CC120" s="15" t="s">
        <v>154</v>
      </c>
      <c r="CD120" s="15" t="s">
        <v>154</v>
      </c>
      <c r="CE120" s="46">
        <v>1735000</v>
      </c>
      <c r="CF120" s="18">
        <v>36</v>
      </c>
      <c r="CG120" s="9">
        <f>CF120*CE120</f>
        <v>62460000</v>
      </c>
      <c r="CH120" s="9">
        <v>30147000</v>
      </c>
      <c r="CI120" s="9">
        <v>0</v>
      </c>
      <c r="CJ120" s="46">
        <v>60294000</v>
      </c>
      <c r="CK120" s="50">
        <v>0.03</v>
      </c>
      <c r="CL120" s="49">
        <v>0.06</v>
      </c>
      <c r="CM120" s="16" t="s">
        <v>1137</v>
      </c>
      <c r="CN120" s="7"/>
      <c r="CO120" s="7"/>
      <c r="CP120" s="27">
        <v>0.03</v>
      </c>
      <c r="CQ120" s="28"/>
      <c r="CR120" s="28"/>
      <c r="CS120" s="28"/>
      <c r="CT120" s="24" t="s">
        <v>960</v>
      </c>
      <c r="CU120" s="28"/>
      <c r="CV120" s="28"/>
      <c r="CW120" s="28"/>
      <c r="CX120" s="28"/>
      <c r="CY120" s="28"/>
      <c r="CZ120" s="28"/>
      <c r="DA120" s="28"/>
      <c r="DB120" s="28"/>
      <c r="DC120" s="24" t="s">
        <v>1167</v>
      </c>
      <c r="DD120" s="24" t="s">
        <v>1168</v>
      </c>
      <c r="DE120" s="24" t="s">
        <v>113</v>
      </c>
      <c r="DF120" s="38" t="s">
        <v>1169</v>
      </c>
      <c r="DG120" s="38" t="s">
        <v>219</v>
      </c>
      <c r="DH120" s="38" t="s">
        <v>1138</v>
      </c>
      <c r="DI120" s="38" t="s">
        <v>1139</v>
      </c>
      <c r="DJ120" s="38" t="s">
        <v>1135</v>
      </c>
      <c r="DK120" s="47">
        <v>0.35</v>
      </c>
      <c r="DL120" s="38">
        <v>0.25</v>
      </c>
      <c r="DM120" s="38" t="s">
        <v>1140</v>
      </c>
      <c r="DN120" s="29"/>
      <c r="DO120" s="28"/>
      <c r="DP120" s="28"/>
      <c r="DQ120" s="28"/>
    </row>
    <row r="121" spans="1:121">
      <c r="B121" s="7">
        <v>116</v>
      </c>
      <c r="C121" s="7" t="s">
        <v>1170</v>
      </c>
      <c r="D121" s="36" t="s">
        <v>1585</v>
      </c>
      <c r="E121" s="7" t="s">
        <v>1171</v>
      </c>
      <c r="F121" s="7" t="s">
        <v>1171</v>
      </c>
      <c r="G121" s="38" t="s">
        <v>1172</v>
      </c>
      <c r="H121" s="38" t="s">
        <v>1173</v>
      </c>
      <c r="I121" s="46" t="s">
        <v>1174</v>
      </c>
      <c r="J121" s="18">
        <f>44301173+2356827</f>
        <v>46658000</v>
      </c>
      <c r="K121" s="7">
        <v>2025</v>
      </c>
      <c r="L121" s="38" t="s">
        <v>1175</v>
      </c>
      <c r="M121" s="38" t="s">
        <v>90</v>
      </c>
      <c r="N121" s="38" t="s">
        <v>1176</v>
      </c>
      <c r="O121" s="7" t="s">
        <v>1177</v>
      </c>
      <c r="P121" s="7" t="s">
        <v>1178</v>
      </c>
      <c r="Q121" s="33">
        <v>1499</v>
      </c>
      <c r="R121" s="11">
        <v>45812</v>
      </c>
      <c r="S121" s="11">
        <v>45812</v>
      </c>
      <c r="T121" s="11">
        <v>45812</v>
      </c>
      <c r="U121" s="12" t="s">
        <v>496</v>
      </c>
      <c r="V121" s="11">
        <f>IFERROR(T121+AD121, "-")</f>
        <v>47272</v>
      </c>
      <c r="W121" s="13">
        <f ca="1">IFERROR(DATEDIF(TODAY(), V121, "m"), "-")</f>
        <v>33</v>
      </c>
      <c r="X121" s="9">
        <v>15000</v>
      </c>
      <c r="Y121" s="38" t="s">
        <v>1171</v>
      </c>
      <c r="Z121" s="38" t="s">
        <v>1172</v>
      </c>
      <c r="AA121" s="38"/>
      <c r="AB121" s="11"/>
      <c r="AC121" s="11">
        <v>45833</v>
      </c>
      <c r="AD121" s="7">
        <f>365*U121</f>
        <v>1460</v>
      </c>
      <c r="AE121" s="7">
        <f ca="1">V121-TODAY()</f>
        <v>1020</v>
      </c>
      <c r="AF121" s="7" t="e">
        <f>VLOOKUP($C121,#REF!, 4, FALSE)</f>
        <v>#REF!</v>
      </c>
      <c r="AG121" s="46">
        <v>43200000</v>
      </c>
      <c r="AH121" s="9">
        <f>2356827+300000</f>
        <v>2656827</v>
      </c>
      <c r="AI121" s="9">
        <f>300000+2850000+225000</f>
        <v>3375000</v>
      </c>
      <c r="AJ121" s="9">
        <v>383000</v>
      </c>
      <c r="AK121" s="9">
        <v>1900</v>
      </c>
      <c r="AL121" s="46">
        <v>1610950</v>
      </c>
      <c r="AM121" s="46">
        <v>0</v>
      </c>
      <c r="AN121" s="46">
        <v>2000</v>
      </c>
      <c r="AO121" s="46">
        <v>45000</v>
      </c>
      <c r="AP121" s="46">
        <v>50000</v>
      </c>
      <c r="AQ121" s="46"/>
      <c r="AR121" s="46"/>
      <c r="AS121" s="46" t="s">
        <v>1179</v>
      </c>
      <c r="AT121" s="46">
        <v>219000</v>
      </c>
      <c r="AU121" s="46" t="s">
        <v>1100</v>
      </c>
      <c r="AV121" s="46"/>
      <c r="AW121" s="46"/>
      <c r="AX121" s="18" t="s">
        <v>196</v>
      </c>
      <c r="AY121" s="53"/>
      <c r="AZ121" s="46"/>
      <c r="BA121" s="46"/>
      <c r="BB121" s="46"/>
      <c r="BC121" s="46"/>
      <c r="BD121" s="28"/>
      <c r="BE121" s="9" t="s">
        <v>93</v>
      </c>
      <c r="BF121" s="9" t="s">
        <v>94</v>
      </c>
      <c r="BG121" s="9" t="s">
        <v>117</v>
      </c>
      <c r="BH121" s="9" t="s">
        <v>118</v>
      </c>
      <c r="BI121" s="9" t="s">
        <v>97</v>
      </c>
      <c r="BJ121" s="9" t="s">
        <v>119</v>
      </c>
      <c r="BK121" s="7" t="s">
        <v>130</v>
      </c>
      <c r="BL121" s="9" t="s">
        <v>99</v>
      </c>
      <c r="BM121" s="9" t="s">
        <v>148</v>
      </c>
      <c r="BN121" s="9" t="s">
        <v>100</v>
      </c>
      <c r="BO121" s="9" t="s">
        <v>101</v>
      </c>
      <c r="BP121" s="9" t="s">
        <v>101</v>
      </c>
      <c r="BQ121" s="9"/>
      <c r="BR121" s="28"/>
      <c r="BS121" s="9">
        <f>IF(Q121&lt;=1600,Q121*18,IF(Q121&lt;=2500,Q121*19,IF(Q121&gt;2500,Q121*24,20000)))</f>
        <v>26982</v>
      </c>
      <c r="BT121" s="7" t="s">
        <v>140</v>
      </c>
      <c r="BU121" s="28"/>
      <c r="BV121" s="28"/>
      <c r="BW121" s="7"/>
      <c r="BX121" s="28"/>
      <c r="BY121" s="28"/>
      <c r="BZ121" s="28"/>
      <c r="CA121" s="28"/>
      <c r="CB121" s="28"/>
      <c r="CC121" s="15" t="s">
        <v>154</v>
      </c>
      <c r="CD121" s="15" t="s">
        <v>154</v>
      </c>
      <c r="CE121" s="46">
        <v>500000</v>
      </c>
      <c r="CF121" s="18">
        <v>48</v>
      </c>
      <c r="CG121" s="9">
        <f>CF121*CE121</f>
        <v>24000000</v>
      </c>
      <c r="CH121" s="9">
        <v>0</v>
      </c>
      <c r="CI121" s="9">
        <v>5000000</v>
      </c>
      <c r="CJ121" s="46">
        <v>26538200</v>
      </c>
      <c r="CK121" s="28">
        <v>0</v>
      </c>
      <c r="CL121" s="28">
        <v>0</v>
      </c>
      <c r="CM121" s="7"/>
      <c r="CN121" s="7"/>
      <c r="CO121" s="7"/>
      <c r="CP121" s="27">
        <v>0</v>
      </c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7" t="s">
        <v>1180</v>
      </c>
      <c r="DD121" s="7" t="s">
        <v>1181</v>
      </c>
      <c r="DE121" s="24" t="s">
        <v>113</v>
      </c>
      <c r="DF121" s="7" t="s">
        <v>1182</v>
      </c>
      <c r="DG121" s="7"/>
      <c r="DH121" s="7"/>
      <c r="DI121" s="7"/>
      <c r="DJ121" s="22" t="s">
        <v>1610</v>
      </c>
      <c r="DK121" s="47">
        <v>0.35</v>
      </c>
      <c r="DL121" s="38">
        <v>0.25</v>
      </c>
      <c r="DM121" s="7"/>
      <c r="DN121" s="29"/>
      <c r="DO121" s="28"/>
      <c r="DP121" s="28"/>
      <c r="DQ121" s="28"/>
    </row>
    <row r="122" spans="1:121">
      <c r="B122" s="7">
        <v>117</v>
      </c>
      <c r="C122" s="7" t="s">
        <v>1183</v>
      </c>
      <c r="D122" s="36" t="s">
        <v>1585</v>
      </c>
      <c r="E122" s="7" t="s">
        <v>1125</v>
      </c>
      <c r="F122" s="7" t="s">
        <v>1126</v>
      </c>
      <c r="G122" s="7" t="s">
        <v>1127</v>
      </c>
      <c r="H122" s="38" t="s">
        <v>1184</v>
      </c>
      <c r="I122" s="46" t="s">
        <v>1185</v>
      </c>
      <c r="J122" s="18">
        <v>39410000</v>
      </c>
      <c r="K122" s="7">
        <v>2026</v>
      </c>
      <c r="L122" s="38" t="s">
        <v>1186</v>
      </c>
      <c r="M122" s="38" t="s">
        <v>90</v>
      </c>
      <c r="N122" s="38" t="s">
        <v>1187</v>
      </c>
      <c r="O122" s="7" t="s">
        <v>1188</v>
      </c>
      <c r="P122" s="7" t="s">
        <v>1189</v>
      </c>
      <c r="Q122" s="33">
        <v>2487</v>
      </c>
      <c r="R122" s="11">
        <v>45842</v>
      </c>
      <c r="S122" s="11">
        <v>45852</v>
      </c>
      <c r="T122" s="11">
        <v>45852</v>
      </c>
      <c r="U122" s="12" t="s">
        <v>496</v>
      </c>
      <c r="V122" s="11">
        <f>IFERROR(T122+AD122, "-")</f>
        <v>47312</v>
      </c>
      <c r="W122" s="13">
        <f ca="1">IFERROR(DATEDIF(TODAY(), V122, "m"), "-")</f>
        <v>34</v>
      </c>
      <c r="X122" s="9">
        <v>30000</v>
      </c>
      <c r="Y122" s="38" t="s">
        <v>1133</v>
      </c>
      <c r="Z122" s="38" t="s">
        <v>1163</v>
      </c>
      <c r="AA122" s="38"/>
      <c r="AB122" s="57" t="s">
        <v>1135</v>
      </c>
      <c r="AC122" s="11">
        <v>45863</v>
      </c>
      <c r="AD122" s="7">
        <f>365*U122</f>
        <v>1460</v>
      </c>
      <c r="AE122" s="7">
        <f ca="1">V122-TODAY()</f>
        <v>1060</v>
      </c>
      <c r="AF122" s="7" t="e">
        <f>VLOOKUP($C122,#REF!, 4, FALSE)</f>
        <v>#REF!</v>
      </c>
      <c r="AG122" s="46">
        <f>J122</f>
        <v>39410000</v>
      </c>
      <c r="AH122" s="9">
        <v>1994259</v>
      </c>
      <c r="AI122" s="9">
        <f>AG122-AH122+AJ122</f>
        <v>37591741</v>
      </c>
      <c r="AJ122" s="9">
        <v>176000</v>
      </c>
      <c r="AK122" s="9">
        <v>1900</v>
      </c>
      <c r="AL122" s="46"/>
      <c r="AM122" s="46"/>
      <c r="AN122" s="46"/>
      <c r="AO122" s="46"/>
      <c r="AP122" s="46"/>
      <c r="AQ122" s="46"/>
      <c r="AR122" s="46"/>
      <c r="AS122" s="46" t="s">
        <v>1179</v>
      </c>
      <c r="AT122" s="46">
        <v>219000</v>
      </c>
      <c r="AU122" s="46" t="s">
        <v>1100</v>
      </c>
      <c r="AV122" s="46"/>
      <c r="AW122" s="46"/>
      <c r="AX122" s="18" t="s">
        <v>196</v>
      </c>
      <c r="AY122" s="53"/>
      <c r="AZ122" s="46"/>
      <c r="BA122" s="46"/>
      <c r="BB122" s="46"/>
      <c r="BC122" s="46"/>
      <c r="BD122" s="28"/>
      <c r="BE122" s="9" t="s">
        <v>93</v>
      </c>
      <c r="BF122" s="9" t="s">
        <v>94</v>
      </c>
      <c r="BG122" s="9" t="s">
        <v>1032</v>
      </c>
      <c r="BH122" s="9" t="s">
        <v>1033</v>
      </c>
      <c r="BI122" s="9" t="s">
        <v>97</v>
      </c>
      <c r="BJ122" s="9" t="s">
        <v>119</v>
      </c>
      <c r="BK122" s="7" t="s">
        <v>130</v>
      </c>
      <c r="BL122" s="9" t="s">
        <v>99</v>
      </c>
      <c r="BM122" s="9" t="s">
        <v>148</v>
      </c>
      <c r="BN122" s="9" t="s">
        <v>148</v>
      </c>
      <c r="BO122" s="9" t="s">
        <v>148</v>
      </c>
      <c r="BP122" s="9" t="s">
        <v>713</v>
      </c>
      <c r="BQ122" s="46" t="s">
        <v>1190</v>
      </c>
      <c r="BR122" s="28"/>
      <c r="BS122" s="9">
        <f>IF(Q122&lt;=1600,Q122*18,IF(Q122&lt;=2500,Q122*19,IF(Q122&gt;2500,Q122*24,20000)))</f>
        <v>47253</v>
      </c>
      <c r="BT122" s="7" t="s">
        <v>140</v>
      </c>
      <c r="BU122" s="28"/>
      <c r="BV122" s="28"/>
      <c r="BW122" s="7"/>
      <c r="BX122" s="28"/>
      <c r="BY122" s="28"/>
      <c r="BZ122" s="28"/>
      <c r="CA122" s="28"/>
      <c r="CB122" s="28"/>
      <c r="CC122" s="15" t="s">
        <v>154</v>
      </c>
      <c r="CD122" s="15" t="s">
        <v>154</v>
      </c>
      <c r="CE122" s="46">
        <v>700000</v>
      </c>
      <c r="CF122" s="18">
        <v>48</v>
      </c>
      <c r="CG122" s="9">
        <f>CF122*CE122</f>
        <v>33600000</v>
      </c>
      <c r="CH122" s="9">
        <v>11823000</v>
      </c>
      <c r="CI122" s="9">
        <v>0</v>
      </c>
      <c r="CJ122" s="46">
        <v>20493200</v>
      </c>
      <c r="CK122" s="50">
        <v>0.03</v>
      </c>
      <c r="CL122" s="49">
        <v>0.06</v>
      </c>
      <c r="CM122" s="16" t="s">
        <v>1137</v>
      </c>
      <c r="CN122" s="7"/>
      <c r="CO122" s="7"/>
      <c r="CP122" s="27">
        <v>0.03</v>
      </c>
      <c r="CQ122" s="28"/>
      <c r="CR122" s="28"/>
      <c r="CS122" s="28"/>
      <c r="CT122" s="24" t="s">
        <v>960</v>
      </c>
      <c r="CU122" s="28"/>
      <c r="CV122" s="28"/>
      <c r="CW122" s="28"/>
      <c r="CX122" s="28"/>
      <c r="CY122" s="28"/>
      <c r="CZ122" s="28"/>
      <c r="DA122" s="28"/>
      <c r="DB122" s="28"/>
      <c r="DC122" s="24" t="s">
        <v>128</v>
      </c>
      <c r="DD122" s="24" t="s">
        <v>129</v>
      </c>
      <c r="DE122" s="24" t="s">
        <v>113</v>
      </c>
      <c r="DF122" s="38" t="s">
        <v>1169</v>
      </c>
      <c r="DG122" s="38" t="s">
        <v>219</v>
      </c>
      <c r="DH122" s="38" t="s">
        <v>1138</v>
      </c>
      <c r="DI122" s="38" t="s">
        <v>1139</v>
      </c>
      <c r="DJ122" s="38" t="s">
        <v>1135</v>
      </c>
      <c r="DK122" s="47">
        <v>0.35</v>
      </c>
      <c r="DL122" s="38">
        <v>0.25</v>
      </c>
      <c r="DM122" s="38" t="s">
        <v>1140</v>
      </c>
      <c r="DN122" s="29"/>
      <c r="DO122" s="28"/>
      <c r="DP122" s="28"/>
      <c r="DQ122" s="28"/>
    </row>
    <row r="123" spans="1:121">
      <c r="B123" s="7">
        <v>118</v>
      </c>
      <c r="C123" s="7" t="s">
        <v>1191</v>
      </c>
      <c r="D123" s="36" t="s">
        <v>1585</v>
      </c>
      <c r="E123" s="7" t="s">
        <v>1192</v>
      </c>
      <c r="F123" s="7" t="s">
        <v>1193</v>
      </c>
      <c r="G123" s="7" t="s">
        <v>1194</v>
      </c>
      <c r="H123" s="38" t="s">
        <v>1195</v>
      </c>
      <c r="I123" s="46" t="s">
        <v>1196</v>
      </c>
      <c r="J123" s="18">
        <v>39420000</v>
      </c>
      <c r="K123" s="7">
        <v>2025</v>
      </c>
      <c r="L123" s="38" t="s">
        <v>1197</v>
      </c>
      <c r="M123" s="38" t="s">
        <v>90</v>
      </c>
      <c r="N123" s="38" t="s">
        <v>1198</v>
      </c>
      <c r="O123" s="7" t="s">
        <v>1199</v>
      </c>
      <c r="P123" s="7" t="s">
        <v>1200</v>
      </c>
      <c r="Q123" s="33">
        <v>3470</v>
      </c>
      <c r="R123" s="11">
        <v>45848</v>
      </c>
      <c r="S123" s="11">
        <v>45846</v>
      </c>
      <c r="T123" s="11">
        <v>45853</v>
      </c>
      <c r="U123" s="12" t="s">
        <v>496</v>
      </c>
      <c r="V123" s="11">
        <f>IFERROR(T123+AD123, "-")</f>
        <v>47313</v>
      </c>
      <c r="W123" s="13">
        <f ca="1">IFERROR(DATEDIF(TODAY(), V123, "m"), "-")</f>
        <v>34</v>
      </c>
      <c r="X123" s="9">
        <v>30000</v>
      </c>
      <c r="Y123" s="7" t="s">
        <v>1201</v>
      </c>
      <c r="Z123" s="7" t="s">
        <v>1194</v>
      </c>
      <c r="AA123" s="38"/>
      <c r="AB123" s="11" t="s">
        <v>1202</v>
      </c>
      <c r="AC123" s="11">
        <v>45869</v>
      </c>
      <c r="AD123" s="7">
        <f>365*U123</f>
        <v>1460</v>
      </c>
      <c r="AE123" s="7">
        <f ca="1">V123-TODAY()</f>
        <v>1061</v>
      </c>
      <c r="AF123" s="7" t="e">
        <f>VLOOKUP($C123,#REF!, 4, FALSE)</f>
        <v>#REF!</v>
      </c>
      <c r="AG123" s="18">
        <v>39420000</v>
      </c>
      <c r="AH123" s="9"/>
      <c r="AI123" s="9"/>
      <c r="AJ123" s="9"/>
      <c r="AK123" s="9"/>
      <c r="AL123" s="46"/>
      <c r="AM123" s="46"/>
      <c r="AN123" s="46"/>
      <c r="AO123" s="46"/>
      <c r="AP123" s="46"/>
      <c r="AQ123" s="46"/>
      <c r="AR123" s="46"/>
      <c r="AS123" s="46" t="s">
        <v>1179</v>
      </c>
      <c r="AT123" s="46">
        <f>190000*1.1</f>
        <v>209000.00000000003</v>
      </c>
      <c r="AU123" s="46" t="s">
        <v>1203</v>
      </c>
      <c r="AV123" s="46"/>
      <c r="AW123" s="46"/>
      <c r="AX123" s="18" t="s">
        <v>196</v>
      </c>
      <c r="AY123" s="53"/>
      <c r="AZ123" s="46"/>
      <c r="BA123" s="46"/>
      <c r="BB123" s="46"/>
      <c r="BC123" s="46"/>
      <c r="BD123" s="28"/>
      <c r="BE123" s="9" t="s">
        <v>93</v>
      </c>
      <c r="BF123" s="9" t="s">
        <v>94</v>
      </c>
      <c r="BG123" s="9" t="s">
        <v>1032</v>
      </c>
      <c r="BH123" s="9" t="s">
        <v>1033</v>
      </c>
      <c r="BI123" s="9" t="s">
        <v>97</v>
      </c>
      <c r="BJ123" s="9" t="s">
        <v>119</v>
      </c>
      <c r="BK123" s="7" t="s">
        <v>130</v>
      </c>
      <c r="BL123" s="9" t="s">
        <v>99</v>
      </c>
      <c r="BM123" s="9" t="s">
        <v>148</v>
      </c>
      <c r="BN123" s="9" t="s">
        <v>148</v>
      </c>
      <c r="BO123" s="9" t="s">
        <v>148</v>
      </c>
      <c r="BP123" s="9" t="s">
        <v>713</v>
      </c>
      <c r="BQ123" s="7"/>
      <c r="BR123" s="28"/>
      <c r="BS123" s="9">
        <f>IF(Q123&lt;=1600,Q123*18,IF(Q123&lt;=2500,Q123*19,IF(Q123&gt;2500,Q123*24,20000)))</f>
        <v>83280</v>
      </c>
      <c r="BT123" s="7" t="s">
        <v>140</v>
      </c>
      <c r="BU123" s="28"/>
      <c r="BV123" s="28"/>
      <c r="BW123" s="7"/>
      <c r="BX123" s="28"/>
      <c r="BY123" s="28"/>
      <c r="BZ123" s="28"/>
      <c r="CA123" s="28"/>
      <c r="CB123" s="28"/>
      <c r="CC123" s="7" t="s">
        <v>1204</v>
      </c>
      <c r="CD123" s="7" t="s">
        <v>1204</v>
      </c>
      <c r="CE123" s="29">
        <v>643000</v>
      </c>
      <c r="CF123" s="18">
        <v>48</v>
      </c>
      <c r="CG123" s="9">
        <f>CF123*CE123</f>
        <v>30864000</v>
      </c>
      <c r="CH123" s="9">
        <v>0</v>
      </c>
      <c r="CI123" s="29">
        <v>7884000</v>
      </c>
      <c r="CJ123" s="29">
        <v>17739000</v>
      </c>
      <c r="CK123" s="50">
        <v>0.03</v>
      </c>
      <c r="CL123" s="49">
        <v>0.06</v>
      </c>
      <c r="CM123" s="20" t="s">
        <v>1339</v>
      </c>
      <c r="CN123" s="20" t="s">
        <v>1205</v>
      </c>
      <c r="CO123" s="7"/>
      <c r="CP123" s="27">
        <v>0.03</v>
      </c>
      <c r="CQ123" s="28"/>
      <c r="CR123" s="28" t="s">
        <v>960</v>
      </c>
      <c r="CS123" s="28">
        <f>120000*1.1</f>
        <v>132000</v>
      </c>
      <c r="CT123" s="28"/>
      <c r="CU123" s="28"/>
      <c r="CV123" s="28"/>
      <c r="CW123" s="28"/>
      <c r="CX123" s="28"/>
      <c r="CY123" s="28"/>
      <c r="CZ123" s="28"/>
      <c r="DA123" s="28"/>
      <c r="DB123" s="28"/>
      <c r="DC123" s="24" t="str">
        <f>IF(DD123="정수원 실장","기아", IF(DD123="박현식 부장", "현대", IF(DD123="김성진 팀장", "한성", IF(DD123="전석영 부장", "한성", IF(DD123= "박봉호 부장", "모토원",IF(DD123="정원철 부장", "한성"))))))</f>
        <v>기아</v>
      </c>
      <c r="DD123" s="24" t="s">
        <v>121</v>
      </c>
      <c r="DE123" s="24" t="s">
        <v>501</v>
      </c>
      <c r="DF123" s="7" t="s">
        <v>1192</v>
      </c>
      <c r="DG123" s="7" t="s">
        <v>1206</v>
      </c>
      <c r="DH123" s="7" t="s">
        <v>1207</v>
      </c>
      <c r="DI123" s="7" t="s">
        <v>1208</v>
      </c>
      <c r="DJ123" s="7" t="s">
        <v>1209</v>
      </c>
      <c r="DK123" s="47">
        <v>0.35</v>
      </c>
      <c r="DL123" s="38">
        <v>0.25</v>
      </c>
      <c r="DM123" s="7" t="s">
        <v>1210</v>
      </c>
      <c r="DN123" s="29"/>
      <c r="DO123" s="28"/>
      <c r="DP123" s="28"/>
      <c r="DQ123" s="28"/>
    </row>
    <row r="124" spans="1:121">
      <c r="B124" s="7">
        <v>119</v>
      </c>
      <c r="C124" s="7" t="s">
        <v>1211</v>
      </c>
      <c r="D124" s="36" t="s">
        <v>1585</v>
      </c>
      <c r="E124" s="7" t="s">
        <v>1212</v>
      </c>
      <c r="F124" s="7" t="s">
        <v>1212</v>
      </c>
      <c r="G124" s="7" t="s">
        <v>1213</v>
      </c>
      <c r="H124" s="38" t="s">
        <v>1214</v>
      </c>
      <c r="I124" s="46" t="s">
        <v>1215</v>
      </c>
      <c r="J124" s="18">
        <v>30300000</v>
      </c>
      <c r="K124" s="7">
        <v>2025</v>
      </c>
      <c r="L124" s="38" t="s">
        <v>1216</v>
      </c>
      <c r="M124" s="38" t="s">
        <v>1217</v>
      </c>
      <c r="N124" s="38" t="s">
        <v>1218</v>
      </c>
      <c r="O124" s="7" t="s">
        <v>1219</v>
      </c>
      <c r="P124" s="7" t="s">
        <v>1220</v>
      </c>
      <c r="Q124" s="33">
        <v>1999</v>
      </c>
      <c r="R124" s="11">
        <v>45856</v>
      </c>
      <c r="S124" s="11">
        <v>45859</v>
      </c>
      <c r="T124" s="11">
        <v>45859</v>
      </c>
      <c r="U124" s="12" t="s">
        <v>496</v>
      </c>
      <c r="V124" s="11">
        <f>IFERROR(T124+AD124, "-")</f>
        <v>47319</v>
      </c>
      <c r="W124" s="13">
        <f ca="1">IFERROR(DATEDIF(TODAY(), V124, "m"), "-")</f>
        <v>35</v>
      </c>
      <c r="X124" s="9">
        <v>20000</v>
      </c>
      <c r="Y124" s="7" t="s">
        <v>1212</v>
      </c>
      <c r="Z124" s="7" t="s">
        <v>1213</v>
      </c>
      <c r="AA124" s="38"/>
      <c r="AB124" s="11" t="s">
        <v>1221</v>
      </c>
      <c r="AC124" s="11">
        <v>45863</v>
      </c>
      <c r="AD124" s="7">
        <f>365*U124</f>
        <v>1460</v>
      </c>
      <c r="AE124" s="7">
        <f ca="1">V124-TODAY()</f>
        <v>1067</v>
      </c>
      <c r="AF124" s="7" t="e">
        <f>VLOOKUP($C124,#REF!, 4, FALSE)</f>
        <v>#REF!</v>
      </c>
      <c r="AG124" s="18">
        <v>30300000</v>
      </c>
      <c r="AH124" s="9"/>
      <c r="AI124" s="9"/>
      <c r="AJ124" s="9"/>
      <c r="AK124" s="9"/>
      <c r="AL124" s="46">
        <v>1052130</v>
      </c>
      <c r="AM124" s="46">
        <v>40157</v>
      </c>
      <c r="AN124" s="46">
        <v>2000</v>
      </c>
      <c r="AO124" s="46">
        <v>45000</v>
      </c>
      <c r="AP124" s="46">
        <v>50000</v>
      </c>
      <c r="AQ124" s="46"/>
      <c r="AR124" s="46"/>
      <c r="AS124" s="46" t="s">
        <v>1179</v>
      </c>
      <c r="AT124" s="46">
        <v>198000</v>
      </c>
      <c r="AU124" s="46" t="s">
        <v>837</v>
      </c>
      <c r="AV124" s="46"/>
      <c r="AW124" s="46"/>
      <c r="AX124" s="18" t="s">
        <v>196</v>
      </c>
      <c r="AY124" s="53"/>
      <c r="AZ124" s="46"/>
      <c r="BA124" s="46"/>
      <c r="BB124" s="46"/>
      <c r="BC124" s="46"/>
      <c r="BD124" s="28"/>
      <c r="BE124" s="9" t="s">
        <v>93</v>
      </c>
      <c r="BF124" s="9" t="s">
        <v>94</v>
      </c>
      <c r="BG124" s="9" t="s">
        <v>1032</v>
      </c>
      <c r="BH124" s="9" t="s">
        <v>1033</v>
      </c>
      <c r="BI124" s="9" t="s">
        <v>97</v>
      </c>
      <c r="BJ124" s="9" t="s">
        <v>119</v>
      </c>
      <c r="BK124" s="7" t="s">
        <v>130</v>
      </c>
      <c r="BL124" s="9" t="s">
        <v>99</v>
      </c>
      <c r="BM124" s="9" t="s">
        <v>148</v>
      </c>
      <c r="BN124" s="9" t="s">
        <v>148</v>
      </c>
      <c r="BO124" s="9" t="s">
        <v>148</v>
      </c>
      <c r="BP124" s="9" t="s">
        <v>713</v>
      </c>
      <c r="BQ124" s="7" t="s">
        <v>1222</v>
      </c>
      <c r="BR124" s="28"/>
      <c r="BS124" s="9">
        <f>IF(Q124&lt;=1600,Q124*18,IF(Q124&lt;=2500,Q124*19,IF(Q124&gt;2500,Q124*24,20000)))</f>
        <v>37981</v>
      </c>
      <c r="BT124" s="7" t="s">
        <v>140</v>
      </c>
      <c r="BU124" s="28"/>
      <c r="BV124" s="28"/>
      <c r="BW124" s="7"/>
      <c r="BX124" s="28"/>
      <c r="BY124" s="28"/>
      <c r="BZ124" s="28"/>
      <c r="CA124" s="28"/>
      <c r="CB124" s="28"/>
      <c r="CC124" s="15" t="s">
        <v>154</v>
      </c>
      <c r="CD124" s="15" t="s">
        <v>154</v>
      </c>
      <c r="CE124" s="29">
        <v>554000</v>
      </c>
      <c r="CF124" s="18">
        <v>48</v>
      </c>
      <c r="CG124" s="9">
        <f>CF124*CE124</f>
        <v>26592000</v>
      </c>
      <c r="CH124" s="29">
        <v>9024000</v>
      </c>
      <c r="CI124" s="29">
        <v>0</v>
      </c>
      <c r="CJ124" s="29">
        <v>15641600</v>
      </c>
      <c r="CK124" s="50">
        <v>0.03</v>
      </c>
      <c r="CL124" s="49">
        <v>0.06</v>
      </c>
      <c r="CM124" s="20" t="s">
        <v>1223</v>
      </c>
      <c r="CN124" s="7"/>
      <c r="CO124" s="7"/>
      <c r="CP124" s="27">
        <v>0.03</v>
      </c>
      <c r="CQ124" s="28"/>
      <c r="CR124" s="28" t="s">
        <v>823</v>
      </c>
      <c r="CS124" s="28">
        <v>40000</v>
      </c>
      <c r="CT124" s="28"/>
      <c r="CU124" s="28"/>
      <c r="CV124" s="28"/>
      <c r="CW124" s="28"/>
      <c r="CX124" s="28"/>
      <c r="CY124" s="28"/>
      <c r="CZ124" s="28"/>
      <c r="DA124" s="28"/>
      <c r="DB124" s="28"/>
      <c r="DC124" s="24" t="s">
        <v>128</v>
      </c>
      <c r="DD124" s="24" t="s">
        <v>129</v>
      </c>
      <c r="DE124" s="24" t="s">
        <v>113</v>
      </c>
      <c r="DF124" s="7" t="s">
        <v>1224</v>
      </c>
      <c r="DG124" s="7" t="s">
        <v>642</v>
      </c>
      <c r="DH124" s="7" t="s">
        <v>1225</v>
      </c>
      <c r="DI124" s="7" t="s">
        <v>1226</v>
      </c>
      <c r="DJ124" s="11" t="s">
        <v>1221</v>
      </c>
      <c r="DK124" s="47">
        <v>0.35</v>
      </c>
      <c r="DL124" s="38">
        <v>0.25</v>
      </c>
      <c r="DM124" s="7"/>
      <c r="DN124" s="29"/>
      <c r="DO124" s="28"/>
      <c r="DP124" s="28"/>
      <c r="DQ124" s="28"/>
    </row>
    <row r="125" spans="1:121">
      <c r="B125" s="7">
        <v>120</v>
      </c>
      <c r="C125" s="7" t="s">
        <v>1227</v>
      </c>
      <c r="D125" s="36" t="s">
        <v>1585</v>
      </c>
      <c r="E125" s="7" t="s">
        <v>1228</v>
      </c>
      <c r="F125" s="7" t="s">
        <v>1229</v>
      </c>
      <c r="G125" s="7" t="s">
        <v>1230</v>
      </c>
      <c r="H125" s="38" t="s">
        <v>1231</v>
      </c>
      <c r="I125" s="46" t="s">
        <v>1232</v>
      </c>
      <c r="J125" s="18">
        <v>80500000</v>
      </c>
      <c r="K125" s="7">
        <v>2025</v>
      </c>
      <c r="L125" s="38" t="s">
        <v>1233</v>
      </c>
      <c r="M125" s="38" t="s">
        <v>90</v>
      </c>
      <c r="N125" s="38" t="s">
        <v>1234</v>
      </c>
      <c r="O125" s="7" t="s">
        <v>1235</v>
      </c>
      <c r="P125" s="7" t="s">
        <v>98</v>
      </c>
      <c r="Q125" s="33">
        <v>1999</v>
      </c>
      <c r="R125" s="11">
        <v>45852</v>
      </c>
      <c r="S125" s="11">
        <v>45845</v>
      </c>
      <c r="T125" s="11">
        <v>45862</v>
      </c>
      <c r="U125" s="12" t="s">
        <v>91</v>
      </c>
      <c r="V125" s="11">
        <f>IFERROR(T125+AD125, "-")</f>
        <v>47687</v>
      </c>
      <c r="W125" s="13">
        <f ca="1">IFERROR(DATEDIF(TODAY(), V125, "m"), "-")</f>
        <v>47</v>
      </c>
      <c r="X125" s="9">
        <v>20000</v>
      </c>
      <c r="Y125" s="7" t="s">
        <v>1229</v>
      </c>
      <c r="Z125" s="7" t="s">
        <v>1230</v>
      </c>
      <c r="AA125" s="38"/>
      <c r="AB125" s="11" t="s">
        <v>1236</v>
      </c>
      <c r="AC125" s="11">
        <v>45884</v>
      </c>
      <c r="AD125" s="7">
        <f>365*U125</f>
        <v>1825</v>
      </c>
      <c r="AE125" s="7">
        <f ca="1">V125-TODAY()</f>
        <v>1435</v>
      </c>
      <c r="AF125" s="7" t="e">
        <f>VLOOKUP($C125,#REF!, 4, FALSE)</f>
        <v>#REF!</v>
      </c>
      <c r="AG125" s="46">
        <v>80500000</v>
      </c>
      <c r="AH125" s="9"/>
      <c r="AI125" s="9"/>
      <c r="AJ125" s="9"/>
      <c r="AK125" s="9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 t="s">
        <v>1237</v>
      </c>
      <c r="AV125" s="46"/>
      <c r="AW125" s="46"/>
      <c r="AX125" s="18" t="s">
        <v>196</v>
      </c>
      <c r="AY125" s="53"/>
      <c r="AZ125" s="46"/>
      <c r="BA125" s="46"/>
      <c r="BB125" s="46"/>
      <c r="BC125" s="46"/>
      <c r="BD125" s="28"/>
      <c r="BE125" s="9" t="s">
        <v>93</v>
      </c>
      <c r="BF125" s="9" t="s">
        <v>94</v>
      </c>
      <c r="BG125" s="9" t="s">
        <v>95</v>
      </c>
      <c r="BH125" s="9" t="s">
        <v>96</v>
      </c>
      <c r="BI125" s="9" t="s">
        <v>97</v>
      </c>
      <c r="BJ125" s="9" t="s">
        <v>127</v>
      </c>
      <c r="BK125" s="7" t="s">
        <v>1238</v>
      </c>
      <c r="BL125" s="9" t="s">
        <v>99</v>
      </c>
      <c r="BM125" s="9" t="s">
        <v>148</v>
      </c>
      <c r="BN125" s="9" t="s">
        <v>100</v>
      </c>
      <c r="BO125" s="9" t="s">
        <v>100</v>
      </c>
      <c r="BP125" s="9" t="s">
        <v>101</v>
      </c>
      <c r="BQ125" s="7"/>
      <c r="BR125" s="28"/>
      <c r="BS125" s="9">
        <f>IF(Q125&lt;=1600,Q125*18,IF(Q125&lt;=2500,Q125*19,IF(Q125&gt;2500,Q125*24,20000)))</f>
        <v>37981</v>
      </c>
      <c r="BT125" s="7" t="s">
        <v>140</v>
      </c>
      <c r="BU125" s="28"/>
      <c r="BV125" s="28"/>
      <c r="BW125" s="7"/>
      <c r="BX125" s="28"/>
      <c r="BY125" s="28"/>
      <c r="BZ125" s="28"/>
      <c r="CA125" s="28"/>
      <c r="CB125" s="28"/>
      <c r="CC125" s="15" t="s">
        <v>147</v>
      </c>
      <c r="CD125" s="15" t="s">
        <v>147</v>
      </c>
      <c r="CE125" s="29">
        <v>1416000</v>
      </c>
      <c r="CF125" s="18">
        <v>60</v>
      </c>
      <c r="CG125" s="9">
        <f>CF125*CE125</f>
        <v>84960000</v>
      </c>
      <c r="CH125" s="9">
        <v>8050000</v>
      </c>
      <c r="CI125" s="29">
        <v>0</v>
      </c>
      <c r="CJ125" s="29">
        <v>24150000</v>
      </c>
      <c r="CK125" s="50">
        <v>0.02</v>
      </c>
      <c r="CL125" s="49">
        <v>0.06</v>
      </c>
      <c r="CM125" s="20" t="s">
        <v>1239</v>
      </c>
      <c r="CN125" s="7"/>
      <c r="CO125" s="7"/>
      <c r="CP125" s="27">
        <v>0.03</v>
      </c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7" t="s">
        <v>860</v>
      </c>
      <c r="DD125" s="7" t="s">
        <v>1240</v>
      </c>
      <c r="DE125" s="7" t="s">
        <v>113</v>
      </c>
      <c r="DF125" s="7" t="s">
        <v>1241</v>
      </c>
      <c r="DG125" s="7" t="s">
        <v>642</v>
      </c>
      <c r="DH125" s="7" t="s">
        <v>1242</v>
      </c>
      <c r="DI125" s="7" t="s">
        <v>1243</v>
      </c>
      <c r="DJ125" s="7" t="s">
        <v>1244</v>
      </c>
      <c r="DK125" s="47">
        <v>0.35</v>
      </c>
      <c r="DL125" s="38">
        <v>0.25</v>
      </c>
      <c r="DM125" s="7" t="s">
        <v>98</v>
      </c>
      <c r="DN125" s="29"/>
      <c r="DO125" s="28"/>
      <c r="DP125" s="28"/>
      <c r="DQ125" s="28"/>
    </row>
    <row r="126" spans="1:121">
      <c r="B126" s="7">
        <v>121</v>
      </c>
      <c r="C126" s="7" t="s">
        <v>1245</v>
      </c>
      <c r="D126" s="36" t="s">
        <v>1585</v>
      </c>
      <c r="E126" s="7" t="s">
        <v>1246</v>
      </c>
      <c r="F126" s="7" t="s">
        <v>1247</v>
      </c>
      <c r="G126" s="7" t="s">
        <v>1248</v>
      </c>
      <c r="H126" s="38" t="s">
        <v>122</v>
      </c>
      <c r="I126" s="46" t="s">
        <v>1249</v>
      </c>
      <c r="J126" s="18">
        <v>126100000</v>
      </c>
      <c r="K126" s="7">
        <v>2025</v>
      </c>
      <c r="L126" s="38" t="s">
        <v>1250</v>
      </c>
      <c r="M126" s="38" t="s">
        <v>90</v>
      </c>
      <c r="N126" s="38" t="s">
        <v>1295</v>
      </c>
      <c r="O126" s="7" t="s">
        <v>1296</v>
      </c>
      <c r="P126" s="7" t="s">
        <v>1251</v>
      </c>
      <c r="Q126" s="33">
        <v>3470</v>
      </c>
      <c r="R126" s="11">
        <v>45894</v>
      </c>
      <c r="S126" s="11">
        <v>45888</v>
      </c>
      <c r="T126" s="11">
        <v>45895</v>
      </c>
      <c r="U126" s="12" t="s">
        <v>496</v>
      </c>
      <c r="V126" s="11">
        <f>IFERROR(T126+AD126, "-")</f>
        <v>47355</v>
      </c>
      <c r="W126" s="13">
        <f ca="1">IFERROR(DATEDIF(TODAY(), V126, "m"), "-")</f>
        <v>36</v>
      </c>
      <c r="X126" s="9">
        <v>20000</v>
      </c>
      <c r="Y126" s="38" t="s">
        <v>1252</v>
      </c>
      <c r="Z126" s="38" t="s">
        <v>1253</v>
      </c>
      <c r="AA126" s="38"/>
      <c r="AB126" s="11" t="s">
        <v>1297</v>
      </c>
      <c r="AC126" s="11">
        <v>45930</v>
      </c>
      <c r="AD126" s="7">
        <f>365*U126</f>
        <v>1460</v>
      </c>
      <c r="AE126" s="7">
        <f ca="1">V126-TODAY()</f>
        <v>1103</v>
      </c>
      <c r="AF126" s="7" t="e">
        <f>VLOOKUP($C126,#REF!, 4, FALSE)</f>
        <v>#REF!</v>
      </c>
      <c r="AG126" s="46">
        <v>126100000</v>
      </c>
      <c r="AH126" s="9">
        <v>6381021</v>
      </c>
      <c r="AI126" s="9">
        <f>AG126-AH126+AJ126</f>
        <v>120083979</v>
      </c>
      <c r="AJ126" s="9">
        <v>365000</v>
      </c>
      <c r="AK126" s="9">
        <v>1900</v>
      </c>
      <c r="AL126" s="46">
        <v>4366690</v>
      </c>
      <c r="AM126" s="46">
        <v>155353</v>
      </c>
      <c r="AN126" s="46">
        <v>2000</v>
      </c>
      <c r="AO126" s="46">
        <v>45000</v>
      </c>
      <c r="AP126" s="46">
        <v>50000</v>
      </c>
      <c r="AQ126" s="46"/>
      <c r="AR126" s="46"/>
      <c r="AS126" s="46"/>
      <c r="AT126" s="46">
        <v>198000</v>
      </c>
      <c r="AU126" s="9" t="s">
        <v>1298</v>
      </c>
      <c r="AV126" s="46"/>
      <c r="AW126" s="46"/>
      <c r="AX126" s="18" t="s">
        <v>196</v>
      </c>
      <c r="AY126" s="53"/>
      <c r="AZ126" s="46"/>
      <c r="BA126" s="46"/>
      <c r="BB126" s="46"/>
      <c r="BC126" s="46"/>
      <c r="BD126" s="28"/>
      <c r="BE126" s="9" t="s">
        <v>93</v>
      </c>
      <c r="BF126" s="9" t="s">
        <v>94</v>
      </c>
      <c r="BG126" s="9" t="s">
        <v>95</v>
      </c>
      <c r="BH126" s="9" t="s">
        <v>96</v>
      </c>
      <c r="BI126" s="9" t="s">
        <v>97</v>
      </c>
      <c r="BJ126" s="9" t="s">
        <v>127</v>
      </c>
      <c r="BK126" s="7" t="s">
        <v>130</v>
      </c>
      <c r="BL126" s="9" t="s">
        <v>99</v>
      </c>
      <c r="BM126" s="9" t="s">
        <v>148</v>
      </c>
      <c r="BN126" s="9" t="s">
        <v>148</v>
      </c>
      <c r="BO126" s="9" t="s">
        <v>148</v>
      </c>
      <c r="BP126" s="9" t="s">
        <v>713</v>
      </c>
      <c r="BQ126" s="7"/>
      <c r="BR126" s="28"/>
      <c r="BS126" s="9">
        <f>IF(Q126&lt;=1600,Q126*18,IF(Q126&lt;=2500,Q126*19,IF(Q126&gt;2500,Q126*24,20000)))</f>
        <v>83280</v>
      </c>
      <c r="BT126" s="28"/>
      <c r="BU126" s="28"/>
      <c r="BV126" s="28"/>
      <c r="BW126" s="7"/>
      <c r="BX126" s="28"/>
      <c r="BY126" s="28"/>
      <c r="BZ126" s="28"/>
      <c r="CA126" s="28"/>
      <c r="CB126" s="28"/>
      <c r="CC126" s="7" t="s">
        <v>1204</v>
      </c>
      <c r="CD126" s="7" t="s">
        <v>1204</v>
      </c>
      <c r="CE126" s="29">
        <v>2160000</v>
      </c>
      <c r="CF126" s="18">
        <v>48</v>
      </c>
      <c r="CG126" s="9">
        <f>CF126*CE126</f>
        <v>103680000</v>
      </c>
      <c r="CH126" s="29">
        <v>37830000</v>
      </c>
      <c r="CI126" s="29">
        <v>0</v>
      </c>
      <c r="CJ126" s="29">
        <v>54223000</v>
      </c>
      <c r="CK126" s="50">
        <v>0.03</v>
      </c>
      <c r="CL126" s="49">
        <v>0.06</v>
      </c>
      <c r="CM126" s="20" t="s">
        <v>1641</v>
      </c>
      <c r="CN126" s="20" t="s">
        <v>1642</v>
      </c>
      <c r="CO126" s="7"/>
      <c r="CP126" s="27">
        <v>0.03</v>
      </c>
      <c r="CQ126" s="28"/>
      <c r="CR126" s="28" t="s">
        <v>960</v>
      </c>
      <c r="CS126" s="28">
        <f>120000*1.1</f>
        <v>132000</v>
      </c>
      <c r="CT126" s="28"/>
      <c r="CU126" s="28"/>
      <c r="CV126" s="28"/>
      <c r="CW126" s="28"/>
      <c r="CX126" s="28"/>
      <c r="CY126" s="28"/>
      <c r="CZ126" s="28"/>
      <c r="DA126" s="28"/>
      <c r="DB126" s="28"/>
      <c r="DC126" s="24" t="s">
        <v>128</v>
      </c>
      <c r="DD126" s="24" t="s">
        <v>129</v>
      </c>
      <c r="DE126" s="24" t="s">
        <v>113</v>
      </c>
      <c r="DF126" s="7" t="s">
        <v>1254</v>
      </c>
      <c r="DG126" s="7" t="s">
        <v>376</v>
      </c>
      <c r="DH126" s="7" t="s">
        <v>1255</v>
      </c>
      <c r="DI126" s="7" t="s">
        <v>1256</v>
      </c>
      <c r="DJ126" s="7" t="s">
        <v>1257</v>
      </c>
      <c r="DK126" s="47">
        <v>0.35</v>
      </c>
      <c r="DL126" s="38">
        <v>0.25</v>
      </c>
      <c r="DM126" s="7" t="s">
        <v>1258</v>
      </c>
      <c r="DN126" s="29"/>
      <c r="DO126" s="28"/>
      <c r="DP126" s="28"/>
      <c r="DQ126" s="28"/>
    </row>
    <row r="127" spans="1:121">
      <c r="A127" s="86"/>
      <c r="B127" s="7">
        <v>122</v>
      </c>
      <c r="C127" s="7" t="s">
        <v>1259</v>
      </c>
      <c r="D127" s="36" t="s">
        <v>1585</v>
      </c>
      <c r="E127" s="7" t="s">
        <v>1246</v>
      </c>
      <c r="F127" s="7" t="s">
        <v>1247</v>
      </c>
      <c r="G127" s="7" t="s">
        <v>1248</v>
      </c>
      <c r="H127" s="38" t="s">
        <v>122</v>
      </c>
      <c r="I127" s="46" t="s">
        <v>1260</v>
      </c>
      <c r="J127" s="18">
        <v>104400000</v>
      </c>
      <c r="K127" s="7">
        <v>2025</v>
      </c>
      <c r="L127" s="38" t="s">
        <v>1250</v>
      </c>
      <c r="M127" s="38" t="s">
        <v>90</v>
      </c>
      <c r="N127" s="38" t="s">
        <v>1321</v>
      </c>
      <c r="O127" s="7" t="s">
        <v>1320</v>
      </c>
      <c r="P127" s="7" t="s">
        <v>1261</v>
      </c>
      <c r="Q127" s="33">
        <v>3470</v>
      </c>
      <c r="R127" s="11">
        <v>45903</v>
      </c>
      <c r="S127" s="11">
        <v>45888</v>
      </c>
      <c r="T127" s="11">
        <v>45904</v>
      </c>
      <c r="U127" s="12" t="s">
        <v>496</v>
      </c>
      <c r="V127" s="11">
        <f>IFERROR(T127+AD127, "-")</f>
        <v>47364</v>
      </c>
      <c r="W127" s="13">
        <f ca="1">IFERROR(DATEDIF(TODAY(), V127, "m"), "-")</f>
        <v>36</v>
      </c>
      <c r="X127" s="9">
        <v>20000</v>
      </c>
      <c r="Y127" s="38" t="s">
        <v>1252</v>
      </c>
      <c r="Z127" s="38" t="s">
        <v>1253</v>
      </c>
      <c r="AA127" s="38"/>
      <c r="AB127" s="11" t="s">
        <v>1297</v>
      </c>
      <c r="AC127" s="11">
        <v>45930</v>
      </c>
      <c r="AD127" s="7">
        <f>365*U127</f>
        <v>1460</v>
      </c>
      <c r="AE127" s="7">
        <f ca="1">V127-TODAY()</f>
        <v>1112</v>
      </c>
      <c r="AF127" s="7" t="e">
        <f>VLOOKUP($C127,#REF!, 4, FALSE)</f>
        <v>#REF!</v>
      </c>
      <c r="AG127" s="46">
        <v>104400000</v>
      </c>
      <c r="AH127" s="9">
        <v>5282939</v>
      </c>
      <c r="AI127" s="9">
        <f>AG127-AH127+AJ127</f>
        <v>99504061</v>
      </c>
      <c r="AJ127" s="9">
        <v>387000</v>
      </c>
      <c r="AK127" s="9">
        <v>1900</v>
      </c>
      <c r="AL127" s="46">
        <v>3617380</v>
      </c>
      <c r="AM127" s="46">
        <v>127848</v>
      </c>
      <c r="AN127" s="46"/>
      <c r="AO127" s="46"/>
      <c r="AP127" s="46">
        <v>80000</v>
      </c>
      <c r="AQ127" s="46"/>
      <c r="AR127" s="46"/>
      <c r="AS127" s="46"/>
      <c r="AT127" s="46">
        <v>198000</v>
      </c>
      <c r="AU127" s="9" t="s">
        <v>1298</v>
      </c>
      <c r="AV127" s="46"/>
      <c r="AW127" s="46"/>
      <c r="AX127" s="46" t="s">
        <v>189</v>
      </c>
      <c r="AY127" s="53"/>
      <c r="AZ127" s="46"/>
      <c r="BA127" s="46"/>
      <c r="BB127" s="46"/>
      <c r="BC127" s="46"/>
      <c r="BD127" s="28"/>
      <c r="BE127" s="9" t="s">
        <v>93</v>
      </c>
      <c r="BF127" s="9" t="s">
        <v>94</v>
      </c>
      <c r="BG127" s="9" t="s">
        <v>95</v>
      </c>
      <c r="BH127" s="9" t="s">
        <v>96</v>
      </c>
      <c r="BI127" s="9" t="s">
        <v>97</v>
      </c>
      <c r="BJ127" s="9" t="s">
        <v>127</v>
      </c>
      <c r="BK127" s="7" t="s">
        <v>130</v>
      </c>
      <c r="BL127" s="9" t="s">
        <v>99</v>
      </c>
      <c r="BM127" s="9" t="s">
        <v>148</v>
      </c>
      <c r="BN127" s="9" t="s">
        <v>148</v>
      </c>
      <c r="BO127" s="9" t="s">
        <v>148</v>
      </c>
      <c r="BP127" s="9" t="s">
        <v>713</v>
      </c>
      <c r="BQ127" s="7"/>
      <c r="BR127" s="28"/>
      <c r="BS127" s="9">
        <f>IF(Q127&lt;=1600,Q127*18,IF(Q127&lt;=2500,Q127*19,IF(Q127&gt;2500,Q127*24,20000)))</f>
        <v>83280</v>
      </c>
      <c r="BT127" s="28"/>
      <c r="BU127" s="28"/>
      <c r="BV127" s="28"/>
      <c r="BW127" s="7"/>
      <c r="BX127" s="28"/>
      <c r="BY127" s="28"/>
      <c r="BZ127" s="28"/>
      <c r="CA127" s="28"/>
      <c r="CB127" s="28"/>
      <c r="CC127" s="7" t="s">
        <v>1204</v>
      </c>
      <c r="CD127" s="7" t="s">
        <v>1204</v>
      </c>
      <c r="CE127" s="29">
        <v>1818000</v>
      </c>
      <c r="CF127" s="18">
        <v>48</v>
      </c>
      <c r="CG127" s="9">
        <f>CF127*CE127</f>
        <v>87264000</v>
      </c>
      <c r="CH127" s="29">
        <v>31320000</v>
      </c>
      <c r="CI127" s="29">
        <v>0</v>
      </c>
      <c r="CJ127" s="29">
        <v>46657000</v>
      </c>
      <c r="CK127" s="50">
        <v>0.03</v>
      </c>
      <c r="CL127" s="49">
        <v>0.06</v>
      </c>
      <c r="CM127" s="20" t="s">
        <v>1641</v>
      </c>
      <c r="CN127" s="20" t="s">
        <v>1641</v>
      </c>
      <c r="CO127" s="7"/>
      <c r="CP127" s="27">
        <v>0.03</v>
      </c>
      <c r="CQ127" s="28"/>
      <c r="CR127" s="28" t="s">
        <v>960</v>
      </c>
      <c r="CS127" s="28">
        <f>120000*1.1</f>
        <v>132000</v>
      </c>
      <c r="CT127" s="28"/>
      <c r="CU127" s="28"/>
      <c r="CV127" s="28"/>
      <c r="CW127" s="28"/>
      <c r="CX127" s="28"/>
      <c r="CY127" s="28"/>
      <c r="CZ127" s="28"/>
      <c r="DA127" s="28"/>
      <c r="DB127" s="28"/>
      <c r="DC127" s="24" t="s">
        <v>128</v>
      </c>
      <c r="DD127" s="24" t="s">
        <v>129</v>
      </c>
      <c r="DE127" s="24" t="s">
        <v>113</v>
      </c>
      <c r="DF127" s="7" t="s">
        <v>1254</v>
      </c>
      <c r="DG127" s="7" t="s">
        <v>376</v>
      </c>
      <c r="DH127" s="7" t="s">
        <v>1255</v>
      </c>
      <c r="DI127" s="7" t="s">
        <v>1256</v>
      </c>
      <c r="DJ127" s="7" t="s">
        <v>1257</v>
      </c>
      <c r="DK127" s="47">
        <v>0.35</v>
      </c>
      <c r="DL127" s="38">
        <v>0.25</v>
      </c>
      <c r="DM127" s="7" t="s">
        <v>1258</v>
      </c>
      <c r="DN127" s="29"/>
      <c r="DO127" s="28"/>
      <c r="DP127" s="28"/>
      <c r="DQ127" s="28"/>
    </row>
    <row r="128" spans="1:121">
      <c r="B128" s="7">
        <v>123</v>
      </c>
      <c r="C128" s="7" t="s">
        <v>1289</v>
      </c>
      <c r="D128" s="36" t="s">
        <v>1585</v>
      </c>
      <c r="E128" s="7" t="s">
        <v>1192</v>
      </c>
      <c r="F128" s="7" t="s">
        <v>1193</v>
      </c>
      <c r="G128" s="7" t="s">
        <v>1194</v>
      </c>
      <c r="H128" s="38" t="s">
        <v>138</v>
      </c>
      <c r="I128" s="46" t="s">
        <v>1262</v>
      </c>
      <c r="J128" s="18">
        <v>76700000</v>
      </c>
      <c r="K128" s="7">
        <v>2025</v>
      </c>
      <c r="L128" s="38" t="s">
        <v>1263</v>
      </c>
      <c r="M128" s="38" t="s">
        <v>90</v>
      </c>
      <c r="N128" s="38" t="s">
        <v>1291</v>
      </c>
      <c r="O128" s="7" t="s">
        <v>1292</v>
      </c>
      <c r="P128" s="7" t="s">
        <v>1264</v>
      </c>
      <c r="Q128" s="33">
        <v>2487</v>
      </c>
      <c r="R128" s="11">
        <v>45890</v>
      </c>
      <c r="S128" s="11">
        <v>45887</v>
      </c>
      <c r="T128" s="11">
        <v>45891</v>
      </c>
      <c r="U128" s="12" t="s">
        <v>496</v>
      </c>
      <c r="V128" s="11">
        <f>IFERROR(T128+AD128, "-")</f>
        <v>47351</v>
      </c>
      <c r="W128" s="13">
        <f ca="1">IFERROR(DATEDIF(TODAY(), V128, "m"), "-")</f>
        <v>36</v>
      </c>
      <c r="X128" s="9">
        <v>30000</v>
      </c>
      <c r="Y128" s="7" t="s">
        <v>1290</v>
      </c>
      <c r="Z128" s="7" t="s">
        <v>1194</v>
      </c>
      <c r="AA128" s="38"/>
      <c r="AB128" s="11" t="s">
        <v>1202</v>
      </c>
      <c r="AC128" s="11">
        <v>45900</v>
      </c>
      <c r="AD128" s="7">
        <f>365*U128</f>
        <v>1460</v>
      </c>
      <c r="AE128" s="7">
        <f ca="1">V128-TODAY()</f>
        <v>1099</v>
      </c>
      <c r="AF128" s="7" t="e">
        <f>VLOOKUP($C128,#REF!, 4, FALSE)</f>
        <v>#REF!</v>
      </c>
      <c r="AG128" s="46">
        <v>76700000</v>
      </c>
      <c r="AH128" s="9">
        <v>3881240</v>
      </c>
      <c r="AI128" s="9">
        <f>AG128-AH128+AJ128</f>
        <v>73178760</v>
      </c>
      <c r="AJ128" s="9">
        <v>360000</v>
      </c>
      <c r="AK128" s="9">
        <v>1900</v>
      </c>
      <c r="AL128" s="46">
        <v>2595970</v>
      </c>
      <c r="AM128" s="46">
        <v>60530</v>
      </c>
      <c r="AN128" s="46">
        <v>2000</v>
      </c>
      <c r="AO128" s="46">
        <v>45000</v>
      </c>
      <c r="AP128" s="46">
        <v>50000</v>
      </c>
      <c r="AQ128" s="46"/>
      <c r="AR128" s="46"/>
      <c r="AS128" s="46"/>
      <c r="AT128" s="46">
        <v>451000</v>
      </c>
      <c r="AU128" s="46" t="s">
        <v>1299</v>
      </c>
      <c r="AV128" s="46"/>
      <c r="AW128" s="46"/>
      <c r="AX128" s="46" t="s">
        <v>189</v>
      </c>
      <c r="AY128" s="53">
        <v>45889</v>
      </c>
      <c r="AZ128" s="46">
        <v>840060</v>
      </c>
      <c r="BA128" s="46"/>
      <c r="BB128" s="46"/>
      <c r="BC128" s="46"/>
      <c r="BD128" s="28"/>
      <c r="BE128" s="9" t="s">
        <v>93</v>
      </c>
      <c r="BF128" s="9" t="s">
        <v>94</v>
      </c>
      <c r="BG128" s="9" t="s">
        <v>95</v>
      </c>
      <c r="BH128" s="9" t="s">
        <v>96</v>
      </c>
      <c r="BI128" s="9" t="s">
        <v>97</v>
      </c>
      <c r="BJ128" s="9" t="s">
        <v>127</v>
      </c>
      <c r="BK128" s="7" t="s">
        <v>130</v>
      </c>
      <c r="BL128" s="9" t="s">
        <v>99</v>
      </c>
      <c r="BM128" s="9" t="s">
        <v>148</v>
      </c>
      <c r="BN128" s="9" t="s">
        <v>148</v>
      </c>
      <c r="BO128" s="9" t="s">
        <v>148</v>
      </c>
      <c r="BP128" s="9" t="s">
        <v>713</v>
      </c>
      <c r="BQ128" s="7"/>
      <c r="BR128" s="28"/>
      <c r="BS128" s="9">
        <f>IF(Q128&lt;=1600,Q128*18,IF(Q128&lt;=2500,Q128*19,IF(Q128&gt;2500,Q128*24,20000)))</f>
        <v>47253</v>
      </c>
      <c r="BT128" s="28"/>
      <c r="BU128" s="28"/>
      <c r="BV128" s="28"/>
      <c r="BW128" s="7"/>
      <c r="BX128" s="28"/>
      <c r="BY128" s="28"/>
      <c r="BZ128" s="28"/>
      <c r="CA128" s="28"/>
      <c r="CB128" s="28"/>
      <c r="CC128" s="7" t="s">
        <v>1204</v>
      </c>
      <c r="CD128" s="7" t="s">
        <v>1204</v>
      </c>
      <c r="CE128" s="29">
        <v>1071000</v>
      </c>
      <c r="CF128" s="18">
        <v>48</v>
      </c>
      <c r="CG128" s="9">
        <f>CF128*CE128</f>
        <v>51408000</v>
      </c>
      <c r="CH128" s="29">
        <v>0</v>
      </c>
      <c r="CI128" s="29">
        <v>15340000</v>
      </c>
      <c r="CJ128" s="29">
        <v>41418000</v>
      </c>
      <c r="CK128" s="50">
        <v>0.03</v>
      </c>
      <c r="CL128" s="49">
        <v>0.06</v>
      </c>
      <c r="CM128" s="20" t="s">
        <v>1339</v>
      </c>
      <c r="CN128" s="20" t="s">
        <v>1205</v>
      </c>
      <c r="CO128" s="7"/>
      <c r="CP128" s="27">
        <v>0.03</v>
      </c>
      <c r="CQ128" s="28"/>
      <c r="CR128" s="28" t="s">
        <v>960</v>
      </c>
      <c r="CS128" s="28">
        <f>100000*1.1</f>
        <v>110000.00000000001</v>
      </c>
      <c r="CT128" s="28"/>
      <c r="CU128" s="28"/>
      <c r="CV128" s="28"/>
      <c r="CW128" s="28"/>
      <c r="CX128" s="28"/>
      <c r="CY128" s="28"/>
      <c r="CZ128" s="28"/>
      <c r="DA128" s="28"/>
      <c r="DB128" s="28"/>
      <c r="DC128" s="24" t="s">
        <v>128</v>
      </c>
      <c r="DD128" s="24" t="s">
        <v>129</v>
      </c>
      <c r="DE128" s="24" t="s">
        <v>113</v>
      </c>
      <c r="DF128" s="7" t="s">
        <v>1192</v>
      </c>
      <c r="DG128" s="7" t="s">
        <v>1206</v>
      </c>
      <c r="DH128" s="7" t="s">
        <v>1207</v>
      </c>
      <c r="DI128" s="7" t="s">
        <v>1208</v>
      </c>
      <c r="DJ128" s="7" t="s">
        <v>1209</v>
      </c>
      <c r="DK128" s="47">
        <v>0.35</v>
      </c>
      <c r="DL128" s="38">
        <v>0.25</v>
      </c>
      <c r="DM128" s="7" t="s">
        <v>1210</v>
      </c>
      <c r="DN128" s="29"/>
      <c r="DO128" s="28"/>
      <c r="DP128" s="28"/>
      <c r="DQ128" s="28"/>
    </row>
    <row r="129" spans="1:121">
      <c r="B129" s="7">
        <v>124</v>
      </c>
      <c r="C129" s="7" t="s">
        <v>1265</v>
      </c>
      <c r="D129" s="36" t="s">
        <v>1585</v>
      </c>
      <c r="E129" s="7" t="s">
        <v>1266</v>
      </c>
      <c r="F129" s="7" t="s">
        <v>1266</v>
      </c>
      <c r="G129" s="7" t="s">
        <v>1267</v>
      </c>
      <c r="H129" s="38" t="s">
        <v>122</v>
      </c>
      <c r="I129" s="46" t="s">
        <v>1268</v>
      </c>
      <c r="J129" s="18">
        <v>127000000</v>
      </c>
      <c r="K129" s="7">
        <v>2025</v>
      </c>
      <c r="L129" s="38" t="s">
        <v>1269</v>
      </c>
      <c r="M129" s="38" t="s">
        <v>90</v>
      </c>
      <c r="N129" s="38" t="s">
        <v>1293</v>
      </c>
      <c r="O129" s="7" t="s">
        <v>1294</v>
      </c>
      <c r="P129" s="7" t="s">
        <v>1270</v>
      </c>
      <c r="Q129" s="33">
        <v>3470</v>
      </c>
      <c r="R129" s="11">
        <v>45896</v>
      </c>
      <c r="S129" s="11">
        <v>45865</v>
      </c>
      <c r="T129" s="11">
        <v>45898</v>
      </c>
      <c r="U129" s="12" t="s">
        <v>91</v>
      </c>
      <c r="V129" s="11">
        <f>IFERROR(T129+AD129, "-")</f>
        <v>47723</v>
      </c>
      <c r="W129" s="13">
        <f ca="1">IFERROR(DATEDIF(TODAY(), V129, "m"), "-")</f>
        <v>48</v>
      </c>
      <c r="X129" s="9">
        <v>20000</v>
      </c>
      <c r="Y129" s="7" t="s">
        <v>1266</v>
      </c>
      <c r="Z129" s="7" t="s">
        <v>1267</v>
      </c>
      <c r="AA129" s="38"/>
      <c r="AB129" s="11" t="s">
        <v>1319</v>
      </c>
      <c r="AC129" s="11">
        <v>45930</v>
      </c>
      <c r="AD129" s="7">
        <f>365*U129</f>
        <v>1825</v>
      </c>
      <c r="AE129" s="7">
        <f ca="1">V129-TODAY()</f>
        <v>1471</v>
      </c>
      <c r="AF129" s="7" t="e">
        <f>VLOOKUP($C129,#REF!, 4, FALSE)</f>
        <v>#REF!</v>
      </c>
      <c r="AG129" s="46">
        <v>127000000</v>
      </c>
      <c r="AH129" s="9">
        <v>6426565</v>
      </c>
      <c r="AI129" s="9">
        <f>AG129-AH129+AJ129</f>
        <v>120934435</v>
      </c>
      <c r="AJ129" s="9">
        <v>361000</v>
      </c>
      <c r="AK129" s="9">
        <v>1900</v>
      </c>
      <c r="AL129" s="46">
        <v>4397610</v>
      </c>
      <c r="AM129" s="46">
        <v>151416</v>
      </c>
      <c r="AN129" s="46"/>
      <c r="AO129" s="46"/>
      <c r="AP129" s="46">
        <v>67000</v>
      </c>
      <c r="AQ129" s="46"/>
      <c r="AR129" s="46"/>
      <c r="AS129" s="46"/>
      <c r="AT129" s="46">
        <v>198000</v>
      </c>
      <c r="AU129" s="9" t="s">
        <v>1298</v>
      </c>
      <c r="AV129" s="46">
        <v>4616026</v>
      </c>
      <c r="AW129" s="46"/>
      <c r="AX129" s="46" t="s">
        <v>189</v>
      </c>
      <c r="AY129" s="53">
        <v>45890</v>
      </c>
      <c r="AZ129" s="46">
        <v>845850</v>
      </c>
      <c r="BA129" s="46"/>
      <c r="BB129" s="46"/>
      <c r="BC129" s="46"/>
      <c r="BD129" s="28"/>
      <c r="BE129" s="9" t="s">
        <v>93</v>
      </c>
      <c r="BF129" s="9" t="s">
        <v>94</v>
      </c>
      <c r="BG129" s="9" t="s">
        <v>95</v>
      </c>
      <c r="BH129" s="9" t="s">
        <v>96</v>
      </c>
      <c r="BI129" s="9" t="s">
        <v>97</v>
      </c>
      <c r="BJ129" s="9" t="s">
        <v>127</v>
      </c>
      <c r="BK129" s="7" t="s">
        <v>130</v>
      </c>
      <c r="BL129" s="9" t="s">
        <v>99</v>
      </c>
      <c r="BM129" s="9" t="s">
        <v>148</v>
      </c>
      <c r="BN129" s="9" t="s">
        <v>148</v>
      </c>
      <c r="BO129" s="9" t="s">
        <v>148</v>
      </c>
      <c r="BP129" s="9" t="s">
        <v>713</v>
      </c>
      <c r="BQ129" s="7"/>
      <c r="BR129" s="28"/>
      <c r="BS129" s="9">
        <f>IF(Q129&lt;=1600,Q129*18,IF(Q129&lt;=2500,Q129*19,IF(Q129&gt;2500,Q129*24,20000)))</f>
        <v>83280</v>
      </c>
      <c r="BT129" s="28"/>
      <c r="BU129" s="28"/>
      <c r="BV129" s="28"/>
      <c r="BW129" s="7"/>
      <c r="BX129" s="28"/>
      <c r="BY129" s="28"/>
      <c r="BZ129" s="28"/>
      <c r="CA129" s="28"/>
      <c r="CB129" s="28"/>
      <c r="CC129" s="7" t="s">
        <v>1204</v>
      </c>
      <c r="CD129" s="7" t="s">
        <v>1204</v>
      </c>
      <c r="CE129" s="29">
        <v>1473000</v>
      </c>
      <c r="CF129" s="18">
        <v>60</v>
      </c>
      <c r="CG129" s="9">
        <f>CF129*CE129</f>
        <v>88380000</v>
      </c>
      <c r="CH129" s="29">
        <v>38100000</v>
      </c>
      <c r="CI129" s="29">
        <v>38100000</v>
      </c>
      <c r="CJ129" s="29">
        <v>38100000</v>
      </c>
      <c r="CK129" s="50">
        <v>0.03</v>
      </c>
      <c r="CL129" s="49">
        <v>0.06</v>
      </c>
      <c r="CM129" s="7"/>
      <c r="CN129" s="7"/>
      <c r="CO129" s="7"/>
      <c r="CP129" s="27">
        <v>0.03</v>
      </c>
      <c r="CQ129" s="28"/>
      <c r="CR129" s="28" t="s">
        <v>960</v>
      </c>
      <c r="CS129" s="28">
        <f>120000*1.1</f>
        <v>132000</v>
      </c>
      <c r="CT129" s="28"/>
      <c r="CU129" s="28"/>
      <c r="CV129" s="28"/>
      <c r="CW129" s="28"/>
      <c r="CX129" s="28"/>
      <c r="CY129" s="28"/>
      <c r="CZ129" s="28"/>
      <c r="DA129" s="28"/>
      <c r="DB129" s="28"/>
      <c r="DC129" s="24" t="s">
        <v>128</v>
      </c>
      <c r="DD129" s="24" t="s">
        <v>129</v>
      </c>
      <c r="DE129" s="24" t="s">
        <v>501</v>
      </c>
      <c r="DF129" s="7"/>
      <c r="DG129" s="7"/>
      <c r="DH129" s="7"/>
      <c r="DI129" s="7" t="s">
        <v>1271</v>
      </c>
      <c r="DJ129" s="7" t="s">
        <v>1272</v>
      </c>
      <c r="DK129" s="47">
        <v>0.35</v>
      </c>
      <c r="DL129" s="38">
        <v>0.25</v>
      </c>
      <c r="DM129" s="7"/>
      <c r="DN129" s="29"/>
      <c r="DO129" s="28"/>
      <c r="DP129" s="28"/>
      <c r="DQ129" s="28"/>
    </row>
    <row r="130" spans="1:121">
      <c r="B130" s="7">
        <v>125</v>
      </c>
      <c r="C130" s="7" t="s">
        <v>1273</v>
      </c>
      <c r="D130" s="36" t="s">
        <v>1585</v>
      </c>
      <c r="E130" s="7" t="s">
        <v>1274</v>
      </c>
      <c r="F130" s="7" t="s">
        <v>1275</v>
      </c>
      <c r="G130" s="7" t="s">
        <v>1276</v>
      </c>
      <c r="H130" s="38" t="s">
        <v>1277</v>
      </c>
      <c r="I130" s="46" t="s">
        <v>1278</v>
      </c>
      <c r="J130" s="18">
        <v>34770000</v>
      </c>
      <c r="K130" s="7">
        <v>2025</v>
      </c>
      <c r="L130" s="38" t="s">
        <v>1279</v>
      </c>
      <c r="M130" s="38" t="s">
        <v>90</v>
      </c>
      <c r="N130" s="38" t="s">
        <v>1301</v>
      </c>
      <c r="O130" s="7" t="s">
        <v>1317</v>
      </c>
      <c r="P130" s="7" t="s">
        <v>1280</v>
      </c>
      <c r="Q130" s="33">
        <v>1580</v>
      </c>
      <c r="R130" s="11">
        <v>45902</v>
      </c>
      <c r="S130" s="11">
        <v>45879</v>
      </c>
      <c r="T130" s="11">
        <v>45902</v>
      </c>
      <c r="U130" s="12" t="s">
        <v>91</v>
      </c>
      <c r="V130" s="11">
        <f>IFERROR(T130+AD130, "-")</f>
        <v>47727</v>
      </c>
      <c r="W130" s="13">
        <f ca="1">IFERROR(DATEDIF(TODAY(), V130, "m"), "-")</f>
        <v>48</v>
      </c>
      <c r="X130" s="9">
        <v>20000</v>
      </c>
      <c r="Y130" s="7" t="s">
        <v>1275</v>
      </c>
      <c r="Z130" s="7" t="s">
        <v>1276</v>
      </c>
      <c r="AA130" s="38"/>
      <c r="AB130" s="11" t="s">
        <v>1318</v>
      </c>
      <c r="AC130" s="11">
        <v>45925</v>
      </c>
      <c r="AD130" s="7">
        <f>365*U130</f>
        <v>1825</v>
      </c>
      <c r="AE130" s="7">
        <f ca="1">V130-TODAY()</f>
        <v>1475</v>
      </c>
      <c r="AF130" s="7" t="e">
        <f>VLOOKUP($C130,#REF!, 4, FALSE)</f>
        <v>#REF!</v>
      </c>
      <c r="AG130" s="46">
        <v>30680000</v>
      </c>
      <c r="AH130" s="9">
        <v>465750</v>
      </c>
      <c r="AI130" s="9">
        <f>AG130-AH130+AJ130</f>
        <v>30680000</v>
      </c>
      <c r="AJ130" s="9">
        <v>465750</v>
      </c>
      <c r="AK130" s="9">
        <v>1900</v>
      </c>
      <c r="AL130" s="46">
        <v>1212780</v>
      </c>
      <c r="AM130" s="46"/>
      <c r="AN130" s="46"/>
      <c r="AO130" s="46"/>
      <c r="AP130" s="46">
        <v>80000</v>
      </c>
      <c r="AQ130" s="46"/>
      <c r="AR130" s="46"/>
      <c r="AS130" s="46"/>
      <c r="AT130" s="46">
        <v>198000</v>
      </c>
      <c r="AU130" s="9" t="s">
        <v>1298</v>
      </c>
      <c r="AV130" s="46"/>
      <c r="AW130" s="46"/>
      <c r="AX130" s="18" t="s">
        <v>196</v>
      </c>
      <c r="AY130" s="53"/>
      <c r="AZ130" s="46"/>
      <c r="BA130" s="46"/>
      <c r="BB130" s="46"/>
      <c r="BC130" s="46"/>
      <c r="BD130" s="28"/>
      <c r="BE130" s="9" t="s">
        <v>93</v>
      </c>
      <c r="BF130" s="9" t="s">
        <v>94</v>
      </c>
      <c r="BG130" s="9" t="s">
        <v>1032</v>
      </c>
      <c r="BH130" s="9" t="s">
        <v>1033</v>
      </c>
      <c r="BI130" s="9" t="s">
        <v>97</v>
      </c>
      <c r="BJ130" s="9" t="s">
        <v>119</v>
      </c>
      <c r="BK130" s="7" t="s">
        <v>130</v>
      </c>
      <c r="BL130" s="9" t="s">
        <v>99</v>
      </c>
      <c r="BM130" s="9" t="s">
        <v>148</v>
      </c>
      <c r="BN130" s="9" t="s">
        <v>148</v>
      </c>
      <c r="BO130" s="9" t="s">
        <v>148</v>
      </c>
      <c r="BP130" s="9" t="s">
        <v>713</v>
      </c>
      <c r="BQ130" s="7"/>
      <c r="BR130" s="28"/>
      <c r="BS130" s="9">
        <f>IF(Q130&lt;=1600,Q130*18,IF(Q130&lt;=2500,Q130*19,IF(Q130&gt;2500,Q130*24,20000)))</f>
        <v>28440</v>
      </c>
      <c r="BT130" s="28"/>
      <c r="BU130" s="28"/>
      <c r="BV130" s="28"/>
      <c r="BW130" s="7"/>
      <c r="BX130" s="28"/>
      <c r="BY130" s="28"/>
      <c r="BZ130" s="28"/>
      <c r="CA130" s="28"/>
      <c r="CB130" s="28"/>
      <c r="CC130" s="7" t="s">
        <v>1300</v>
      </c>
      <c r="CD130" s="7" t="s">
        <v>1300</v>
      </c>
      <c r="CE130" s="29">
        <v>622000</v>
      </c>
      <c r="CF130" s="18">
        <v>60</v>
      </c>
      <c r="CG130" s="9">
        <f>CF130*CE130</f>
        <v>37320000</v>
      </c>
      <c r="CH130" s="29">
        <v>0</v>
      </c>
      <c r="CI130" s="29">
        <v>0</v>
      </c>
      <c r="CJ130" s="29">
        <v>18428100</v>
      </c>
      <c r="CK130" s="50">
        <v>0.03</v>
      </c>
      <c r="CL130" s="49">
        <v>0.06</v>
      </c>
      <c r="CM130" s="20" t="s">
        <v>1281</v>
      </c>
      <c r="CN130" s="7"/>
      <c r="CO130" s="7"/>
      <c r="CP130" s="27">
        <v>0.03</v>
      </c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4" t="s">
        <v>128</v>
      </c>
      <c r="DD130" s="24" t="s">
        <v>129</v>
      </c>
      <c r="DE130" s="24" t="s">
        <v>501</v>
      </c>
      <c r="DF130" s="7" t="s">
        <v>1282</v>
      </c>
      <c r="DG130" s="7" t="s">
        <v>376</v>
      </c>
      <c r="DH130" s="7" t="s">
        <v>1283</v>
      </c>
      <c r="DI130" s="7" t="s">
        <v>1284</v>
      </c>
      <c r="DJ130" s="7" t="s">
        <v>1285</v>
      </c>
      <c r="DK130" s="47">
        <v>0.35</v>
      </c>
      <c r="DL130" s="38">
        <v>0.25</v>
      </c>
      <c r="DM130" s="7" t="s">
        <v>98</v>
      </c>
      <c r="DN130" s="29"/>
      <c r="DO130" s="28"/>
      <c r="DP130" s="28"/>
      <c r="DQ130" s="28"/>
    </row>
    <row r="131" spans="1:121">
      <c r="B131" s="7">
        <v>126</v>
      </c>
      <c r="C131" s="7" t="s">
        <v>1286</v>
      </c>
      <c r="D131" s="36" t="s">
        <v>1585</v>
      </c>
      <c r="E131" s="7" t="s">
        <v>1125</v>
      </c>
      <c r="F131" s="7" t="s">
        <v>1126</v>
      </c>
      <c r="G131" s="7" t="s">
        <v>1127</v>
      </c>
      <c r="H131" s="38" t="s">
        <v>1184</v>
      </c>
      <c r="I131" s="46" t="s">
        <v>1185</v>
      </c>
      <c r="J131" s="18">
        <v>39410000</v>
      </c>
      <c r="K131" s="7">
        <v>2026</v>
      </c>
      <c r="L131" s="38" t="s">
        <v>1312</v>
      </c>
      <c r="M131" s="38" t="s">
        <v>90</v>
      </c>
      <c r="N131" s="38" t="s">
        <v>1313</v>
      </c>
      <c r="O131" s="7" t="s">
        <v>1316</v>
      </c>
      <c r="P131" s="7" t="s">
        <v>1314</v>
      </c>
      <c r="Q131" s="33">
        <v>2487</v>
      </c>
      <c r="R131" s="11">
        <v>45898</v>
      </c>
      <c r="S131" s="11">
        <v>45879</v>
      </c>
      <c r="T131" s="11">
        <v>45916</v>
      </c>
      <c r="U131" s="12" t="s">
        <v>496</v>
      </c>
      <c r="V131" s="11">
        <f>IFERROR(T131+AD131, "-")</f>
        <v>47376</v>
      </c>
      <c r="W131" s="13">
        <f ca="1">IFERROR(DATEDIF(TODAY(), V131, "m"), "-")</f>
        <v>36</v>
      </c>
      <c r="X131" s="9">
        <v>30000</v>
      </c>
      <c r="Y131" s="38" t="s">
        <v>1133</v>
      </c>
      <c r="Z131" s="38" t="s">
        <v>1163</v>
      </c>
      <c r="AA131" s="38"/>
      <c r="AB131" s="57" t="s">
        <v>1135</v>
      </c>
      <c r="AC131" s="11">
        <v>45925</v>
      </c>
      <c r="AD131" s="7">
        <f>365*U131</f>
        <v>1460</v>
      </c>
      <c r="AE131" s="7">
        <f ca="1">V131-TODAY()</f>
        <v>1124</v>
      </c>
      <c r="AF131" s="7" t="e">
        <f>VLOOKUP($C131,#REF!, 4, FALSE)</f>
        <v>#REF!</v>
      </c>
      <c r="AG131" s="46">
        <v>39410000</v>
      </c>
      <c r="AH131" s="9">
        <v>1994259</v>
      </c>
      <c r="AI131" s="9">
        <f>AG131-AH131+AJ131</f>
        <v>37591741</v>
      </c>
      <c r="AJ131" s="9">
        <v>176000</v>
      </c>
      <c r="AK131" s="9">
        <v>1900</v>
      </c>
      <c r="AL131" s="46">
        <v>1366970</v>
      </c>
      <c r="AM131" s="46">
        <v>45368</v>
      </c>
      <c r="AN131" s="46"/>
      <c r="AO131" s="46"/>
      <c r="AP131" s="46">
        <v>80000</v>
      </c>
      <c r="AQ131" s="46"/>
      <c r="AR131" s="46">
        <v>220000</v>
      </c>
      <c r="AS131" s="46" t="s">
        <v>1315</v>
      </c>
      <c r="AT131" s="46">
        <v>198000</v>
      </c>
      <c r="AU131" s="46" t="s">
        <v>1100</v>
      </c>
      <c r="AV131" s="46"/>
      <c r="AW131" s="46"/>
      <c r="AX131" s="18" t="s">
        <v>196</v>
      </c>
      <c r="AY131" s="53"/>
      <c r="AZ131" s="46"/>
      <c r="BA131" s="46"/>
      <c r="BB131" s="46"/>
      <c r="BC131" s="46"/>
      <c r="BD131" s="28"/>
      <c r="BE131" s="9" t="s">
        <v>93</v>
      </c>
      <c r="BF131" s="9" t="s">
        <v>94</v>
      </c>
      <c r="BG131" s="9" t="s">
        <v>1032</v>
      </c>
      <c r="BH131" s="9" t="s">
        <v>1033</v>
      </c>
      <c r="BI131" s="9" t="s">
        <v>97</v>
      </c>
      <c r="BJ131" s="9" t="s">
        <v>119</v>
      </c>
      <c r="BK131" s="7" t="s">
        <v>130</v>
      </c>
      <c r="BL131" s="9" t="s">
        <v>99</v>
      </c>
      <c r="BM131" s="9" t="s">
        <v>148</v>
      </c>
      <c r="BN131" s="9" t="s">
        <v>148</v>
      </c>
      <c r="BO131" s="9" t="s">
        <v>148</v>
      </c>
      <c r="BP131" s="9" t="s">
        <v>713</v>
      </c>
      <c r="BQ131" s="46" t="s">
        <v>1190</v>
      </c>
      <c r="BR131" s="28"/>
      <c r="BS131" s="9">
        <f>IF(Q131&lt;=1600,Q131*18,IF(Q131&lt;=2500,Q131*19,IF(Q131&gt;2500,Q131*24,20000)))</f>
        <v>47253</v>
      </c>
      <c r="BT131" s="7" t="s">
        <v>140</v>
      </c>
      <c r="BU131" s="28"/>
      <c r="BV131" s="28"/>
      <c r="BW131" s="7"/>
      <c r="BX131" s="28"/>
      <c r="BY131" s="28"/>
      <c r="BZ131" s="28"/>
      <c r="CA131" s="28"/>
      <c r="CB131" s="28"/>
      <c r="CC131" s="15" t="s">
        <v>154</v>
      </c>
      <c r="CD131" s="15" t="s">
        <v>154</v>
      </c>
      <c r="CE131" s="46">
        <v>700000</v>
      </c>
      <c r="CF131" s="18">
        <v>48</v>
      </c>
      <c r="CG131" s="9">
        <f>CF131*CE131</f>
        <v>33600000</v>
      </c>
      <c r="CH131" s="9">
        <v>11823000</v>
      </c>
      <c r="CI131" s="9">
        <v>0</v>
      </c>
      <c r="CJ131" s="46">
        <v>20493200</v>
      </c>
      <c r="CK131" s="50">
        <v>0.03</v>
      </c>
      <c r="CL131" s="49">
        <v>0.06</v>
      </c>
      <c r="CM131" s="16" t="s">
        <v>1137</v>
      </c>
      <c r="CN131" s="7"/>
      <c r="CO131" s="7"/>
      <c r="CP131" s="27">
        <v>0.03</v>
      </c>
      <c r="CQ131" s="28"/>
      <c r="CR131" s="28"/>
      <c r="CS131" s="28"/>
      <c r="CT131" s="24" t="s">
        <v>960</v>
      </c>
      <c r="CU131" s="28"/>
      <c r="CV131" s="28"/>
      <c r="CW131" s="28"/>
      <c r="CX131" s="28"/>
      <c r="CY131" s="28"/>
      <c r="CZ131" s="28"/>
      <c r="DA131" s="28"/>
      <c r="DB131" s="28"/>
      <c r="DC131" s="24" t="s">
        <v>128</v>
      </c>
      <c r="DD131" s="24" t="s">
        <v>129</v>
      </c>
      <c r="DE131" s="24" t="s">
        <v>113</v>
      </c>
      <c r="DF131" s="38" t="s">
        <v>1169</v>
      </c>
      <c r="DG131" s="38" t="s">
        <v>219</v>
      </c>
      <c r="DH131" s="38" t="s">
        <v>1138</v>
      </c>
      <c r="DI131" s="38" t="s">
        <v>1139</v>
      </c>
      <c r="DJ131" s="38" t="s">
        <v>1135</v>
      </c>
      <c r="DK131" s="47">
        <v>0.35</v>
      </c>
      <c r="DL131" s="38">
        <v>0.25</v>
      </c>
      <c r="DM131" s="38" t="s">
        <v>1140</v>
      </c>
      <c r="DN131" s="29"/>
      <c r="DO131" s="28"/>
      <c r="DP131" s="28"/>
      <c r="DQ131" s="28"/>
    </row>
    <row r="132" spans="1:121">
      <c r="B132" s="7">
        <v>127</v>
      </c>
      <c r="C132" s="7" t="s">
        <v>1302</v>
      </c>
      <c r="D132" s="36" t="s">
        <v>1585</v>
      </c>
      <c r="E132" s="7" t="s">
        <v>1311</v>
      </c>
      <c r="F132" s="7" t="s">
        <v>1323</v>
      </c>
      <c r="G132" s="7" t="s">
        <v>1303</v>
      </c>
      <c r="H132" s="38" t="s">
        <v>143</v>
      </c>
      <c r="I132" s="46" t="s">
        <v>223</v>
      </c>
      <c r="J132" s="18">
        <v>209100000</v>
      </c>
      <c r="K132" s="7">
        <v>2025</v>
      </c>
      <c r="L132" s="38" t="s">
        <v>1304</v>
      </c>
      <c r="M132" s="38" t="s">
        <v>90</v>
      </c>
      <c r="N132" s="38" t="s">
        <v>1305</v>
      </c>
      <c r="O132" s="7" t="s">
        <v>1373</v>
      </c>
      <c r="P132" s="7" t="s">
        <v>98</v>
      </c>
      <c r="Q132" s="33">
        <v>2999</v>
      </c>
      <c r="R132" s="11">
        <v>45903</v>
      </c>
      <c r="S132" s="11">
        <v>45898</v>
      </c>
      <c r="T132" s="11">
        <v>45908</v>
      </c>
      <c r="U132" s="12" t="s">
        <v>91</v>
      </c>
      <c r="V132" s="11">
        <f>IFERROR(T132+AD132, "-")</f>
        <v>47733</v>
      </c>
      <c r="W132" s="13">
        <f ca="1">IFERROR(DATEDIF(TODAY(), V132, "m"), "-")</f>
        <v>48</v>
      </c>
      <c r="X132" s="9">
        <v>20000</v>
      </c>
      <c r="Y132" s="38" t="s">
        <v>1323</v>
      </c>
      <c r="Z132" s="38" t="s">
        <v>1303</v>
      </c>
      <c r="AA132" s="38"/>
      <c r="AB132" s="11" t="s">
        <v>1322</v>
      </c>
      <c r="AC132" s="11">
        <v>45930</v>
      </c>
      <c r="AD132" s="7">
        <f>365*U132</f>
        <v>1825</v>
      </c>
      <c r="AE132" s="7">
        <f ca="1">V132-TODAY()</f>
        <v>1481</v>
      </c>
      <c r="AF132" s="7" t="e">
        <f>VLOOKUP($C132,#REF!, 4, FALSE)</f>
        <v>#REF!</v>
      </c>
      <c r="AG132" s="46">
        <v>209100000</v>
      </c>
      <c r="AH132" s="9">
        <v>25092000</v>
      </c>
      <c r="AI132" s="9">
        <f>AG132-AH132+AJ132</f>
        <v>184008000</v>
      </c>
      <c r="AJ132" s="9">
        <v>0</v>
      </c>
      <c r="AK132" s="9">
        <v>0</v>
      </c>
      <c r="AL132" s="46">
        <v>6691200</v>
      </c>
      <c r="AM132" s="46">
        <v>237801</v>
      </c>
      <c r="AN132" s="46">
        <v>5000</v>
      </c>
      <c r="AO132" s="46">
        <v>40000</v>
      </c>
      <c r="AP132" s="46">
        <v>50000</v>
      </c>
      <c r="AQ132" s="46"/>
      <c r="AR132" s="46"/>
      <c r="AS132" s="46"/>
      <c r="AT132" s="46">
        <v>200000</v>
      </c>
      <c r="AU132" s="46" t="s">
        <v>1237</v>
      </c>
      <c r="AV132" s="46"/>
      <c r="AW132" s="46"/>
      <c r="AX132" s="18" t="s">
        <v>196</v>
      </c>
      <c r="AY132" s="53"/>
      <c r="AZ132" s="46"/>
      <c r="BA132" s="46"/>
      <c r="BB132" s="46"/>
      <c r="BC132" s="46"/>
      <c r="BD132" s="28"/>
      <c r="BE132" s="9" t="s">
        <v>93</v>
      </c>
      <c r="BF132" s="9" t="s">
        <v>94</v>
      </c>
      <c r="BG132" s="9" t="s">
        <v>95</v>
      </c>
      <c r="BH132" s="9" t="s">
        <v>96</v>
      </c>
      <c r="BI132" s="9" t="s">
        <v>97</v>
      </c>
      <c r="BJ132" s="9" t="s">
        <v>127</v>
      </c>
      <c r="BK132" s="7" t="s">
        <v>1238</v>
      </c>
      <c r="BL132" s="9" t="s">
        <v>99</v>
      </c>
      <c r="BM132" s="9" t="s">
        <v>148</v>
      </c>
      <c r="BN132" s="9" t="s">
        <v>100</v>
      </c>
      <c r="BO132" s="9" t="s">
        <v>100</v>
      </c>
      <c r="BP132" s="9" t="s">
        <v>101</v>
      </c>
      <c r="BQ132" s="7"/>
      <c r="BR132" s="28"/>
      <c r="BS132" s="9">
        <f>IF(Q132&lt;=1600,Q132*18,IF(Q132&lt;=2500,Q132*19,IF(Q132&gt;2500,Q132*24,20000)))</f>
        <v>71976</v>
      </c>
      <c r="BT132" s="28"/>
      <c r="BU132" s="28"/>
      <c r="BV132" s="28"/>
      <c r="BW132" s="7"/>
      <c r="BX132" s="28"/>
      <c r="BY132" s="28"/>
      <c r="BZ132" s="28"/>
      <c r="CA132" s="28"/>
      <c r="CB132" s="28"/>
      <c r="CC132" s="7" t="s">
        <v>1204</v>
      </c>
      <c r="CD132" s="7" t="s">
        <v>1204</v>
      </c>
      <c r="CE132" s="29">
        <v>3014000</v>
      </c>
      <c r="CF132" s="18">
        <v>60</v>
      </c>
      <c r="CG132" s="29">
        <f>CF132*CE132</f>
        <v>180840000</v>
      </c>
      <c r="CH132" s="29">
        <v>62730000</v>
      </c>
      <c r="CI132" s="29"/>
      <c r="CJ132" s="29">
        <v>62730000</v>
      </c>
      <c r="CK132" s="50">
        <v>0.03</v>
      </c>
      <c r="CL132" s="49">
        <v>0.06</v>
      </c>
      <c r="CM132" s="20" t="s">
        <v>1310</v>
      </c>
      <c r="CN132" s="7"/>
      <c r="CO132" s="7"/>
      <c r="CP132" s="27">
        <v>0.03</v>
      </c>
      <c r="CQ132" s="28"/>
      <c r="CR132" s="28" t="s">
        <v>960</v>
      </c>
      <c r="CS132" s="28">
        <v>100000</v>
      </c>
      <c r="CT132" s="28" t="s">
        <v>856</v>
      </c>
      <c r="CU132" s="28">
        <v>300000</v>
      </c>
      <c r="CV132" s="28"/>
      <c r="CW132" s="28"/>
      <c r="CX132" s="28"/>
      <c r="CY132" s="28"/>
      <c r="CZ132" s="28"/>
      <c r="DA132" s="28"/>
      <c r="DB132" s="28"/>
      <c r="DC132" s="7" t="s">
        <v>809</v>
      </c>
      <c r="DD132" s="7" t="s">
        <v>155</v>
      </c>
      <c r="DE132" s="24" t="s">
        <v>113</v>
      </c>
      <c r="DF132" s="7" t="s">
        <v>1306</v>
      </c>
      <c r="DG132" s="7" t="s">
        <v>219</v>
      </c>
      <c r="DH132" s="7" t="s">
        <v>1307</v>
      </c>
      <c r="DI132" s="7" t="s">
        <v>1308</v>
      </c>
      <c r="DJ132" s="7" t="s">
        <v>1309</v>
      </c>
      <c r="DK132" s="47">
        <v>0.35</v>
      </c>
      <c r="DL132" s="38">
        <v>0.25</v>
      </c>
      <c r="DM132" s="7" t="s">
        <v>98</v>
      </c>
      <c r="DN132" s="29"/>
      <c r="DO132" s="28"/>
      <c r="DP132" s="28"/>
      <c r="DQ132" s="28"/>
    </row>
    <row r="133" spans="1:121">
      <c r="B133" s="7">
        <v>128</v>
      </c>
      <c r="C133" s="7" t="s">
        <v>1328</v>
      </c>
      <c r="D133" s="36" t="s">
        <v>1585</v>
      </c>
      <c r="E133" s="7" t="s">
        <v>1246</v>
      </c>
      <c r="F133" s="7" t="s">
        <v>1247</v>
      </c>
      <c r="G133" s="7" t="s">
        <v>1248</v>
      </c>
      <c r="H133" s="38" t="s">
        <v>1330</v>
      </c>
      <c r="I133" s="46" t="s">
        <v>1331</v>
      </c>
      <c r="J133" s="18">
        <v>51150000</v>
      </c>
      <c r="K133" s="7">
        <v>2026</v>
      </c>
      <c r="L133" s="38" t="s">
        <v>1216</v>
      </c>
      <c r="M133" s="38" t="s">
        <v>913</v>
      </c>
      <c r="N133" s="38" t="s">
        <v>1337</v>
      </c>
      <c r="O133" s="7" t="s">
        <v>1341</v>
      </c>
      <c r="P133" s="7" t="s">
        <v>98</v>
      </c>
      <c r="Q133" s="33"/>
      <c r="R133" s="11">
        <v>45931</v>
      </c>
      <c r="S133" s="11">
        <v>45915</v>
      </c>
      <c r="T133" s="11">
        <v>45945</v>
      </c>
      <c r="U133" s="12" t="s">
        <v>496</v>
      </c>
      <c r="V133" s="11">
        <f>IFERROR(T133+AD133, "-")</f>
        <v>47405</v>
      </c>
      <c r="W133" s="13">
        <f ca="1">IFERROR(DATEDIF(TODAY(), V133, "m"), "-")</f>
        <v>37</v>
      </c>
      <c r="X133" s="9">
        <v>20000</v>
      </c>
      <c r="Y133" s="38" t="s">
        <v>1332</v>
      </c>
      <c r="Z133" s="78" t="s">
        <v>1333</v>
      </c>
      <c r="AA133" s="38"/>
      <c r="AB133" s="11" t="s">
        <v>1347</v>
      </c>
      <c r="AC133" s="11">
        <v>45961</v>
      </c>
      <c r="AD133" s="7">
        <f>365*U133</f>
        <v>1460</v>
      </c>
      <c r="AE133" s="7">
        <f ca="1">V133-TODAY()</f>
        <v>1153</v>
      </c>
      <c r="AF133" s="7" t="e">
        <f>VLOOKUP($C133,#REF!, 4, FALSE)</f>
        <v>#REF!</v>
      </c>
      <c r="AG133" s="46">
        <v>51230000</v>
      </c>
      <c r="AH133" s="9">
        <v>2592385</v>
      </c>
      <c r="AI133" s="9">
        <f>AG133-AH133+AJ133</f>
        <v>48824615</v>
      </c>
      <c r="AJ133" s="9">
        <v>187000</v>
      </c>
      <c r="AK133" s="9">
        <v>1900</v>
      </c>
      <c r="AL133" s="46"/>
      <c r="AM133" s="46"/>
      <c r="AN133" s="46"/>
      <c r="AO133" s="46"/>
      <c r="AP133" s="46"/>
      <c r="AQ133" s="46"/>
      <c r="AR133" s="46">
        <v>220000</v>
      </c>
      <c r="AS133" s="46" t="s">
        <v>1315</v>
      </c>
      <c r="AT133" s="46">
        <v>198000</v>
      </c>
      <c r="AU133" s="9" t="s">
        <v>1298</v>
      </c>
      <c r="AV133" s="46"/>
      <c r="AW133" s="46"/>
      <c r="AX133" s="18" t="s">
        <v>196</v>
      </c>
      <c r="AY133" s="53"/>
      <c r="AZ133" s="46"/>
      <c r="BA133" s="46"/>
      <c r="BB133" s="46"/>
      <c r="BC133" s="46"/>
      <c r="BD133" s="28"/>
      <c r="BE133" s="9" t="s">
        <v>93</v>
      </c>
      <c r="BF133" s="9" t="s">
        <v>94</v>
      </c>
      <c r="BG133" s="9" t="s">
        <v>1032</v>
      </c>
      <c r="BH133" s="9" t="s">
        <v>1033</v>
      </c>
      <c r="BI133" s="9" t="s">
        <v>97</v>
      </c>
      <c r="BJ133" s="9" t="s">
        <v>119</v>
      </c>
      <c r="BK133" s="7" t="s">
        <v>130</v>
      </c>
      <c r="BL133" s="9" t="s">
        <v>99</v>
      </c>
      <c r="BM133" s="9" t="s">
        <v>148</v>
      </c>
      <c r="BN133" s="9" t="s">
        <v>148</v>
      </c>
      <c r="BO133" s="9" t="s">
        <v>148</v>
      </c>
      <c r="BP133" s="9" t="s">
        <v>713</v>
      </c>
      <c r="BQ133" s="7"/>
      <c r="BR133" s="28"/>
      <c r="BS133" s="9">
        <f>IF(Q133&lt;=1600,Q133*18,IF(Q133&lt;=2500,Q133*19,IF(Q133&gt;2500,Q133*24,20000)))</f>
        <v>0</v>
      </c>
      <c r="BT133" s="28"/>
      <c r="BU133" s="28"/>
      <c r="BV133" s="28"/>
      <c r="BW133" s="7"/>
      <c r="BX133" s="28"/>
      <c r="BY133" s="28"/>
      <c r="BZ133" s="28"/>
      <c r="CA133" s="28"/>
      <c r="CB133" s="28"/>
      <c r="CC133" s="7" t="s">
        <v>1204</v>
      </c>
      <c r="CD133" s="7" t="s">
        <v>1204</v>
      </c>
      <c r="CE133" s="29">
        <v>785000</v>
      </c>
      <c r="CF133" s="18">
        <v>48</v>
      </c>
      <c r="CG133" s="29">
        <f>CF133*CE133</f>
        <v>37680000</v>
      </c>
      <c r="CH133" s="29">
        <v>15369000</v>
      </c>
      <c r="CI133" s="29"/>
      <c r="CJ133" s="29">
        <v>20492000</v>
      </c>
      <c r="CK133" s="50">
        <v>0.04</v>
      </c>
      <c r="CL133" s="49">
        <v>0.06</v>
      </c>
      <c r="CM133" s="20" t="s">
        <v>1641</v>
      </c>
      <c r="CN133" s="7"/>
      <c r="CO133" s="7"/>
      <c r="CP133" s="27">
        <v>0.03</v>
      </c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4" t="s">
        <v>128</v>
      </c>
      <c r="DD133" s="24" t="s">
        <v>129</v>
      </c>
      <c r="DE133" s="24" t="s">
        <v>501</v>
      </c>
      <c r="DF133" s="7" t="s">
        <v>1254</v>
      </c>
      <c r="DG133" s="7" t="s">
        <v>376</v>
      </c>
      <c r="DH133" s="7" t="s">
        <v>1255</v>
      </c>
      <c r="DI133" s="7" t="s">
        <v>1256</v>
      </c>
      <c r="DJ133" s="7" t="s">
        <v>1257</v>
      </c>
      <c r="DK133" s="47">
        <v>0.35</v>
      </c>
      <c r="DL133" s="38">
        <v>0.25</v>
      </c>
      <c r="DM133" s="7" t="s">
        <v>1258</v>
      </c>
      <c r="DN133" s="29"/>
      <c r="DO133" s="28"/>
      <c r="DP133" s="28"/>
      <c r="DQ133" s="28"/>
    </row>
    <row r="134" spans="1:121">
      <c r="A134" s="80"/>
      <c r="B134" s="7">
        <v>129</v>
      </c>
      <c r="C134" s="7" t="s">
        <v>1329</v>
      </c>
      <c r="D134" s="36" t="s">
        <v>1585</v>
      </c>
      <c r="E134" s="7" t="s">
        <v>1246</v>
      </c>
      <c r="F134" s="7" t="s">
        <v>1247</v>
      </c>
      <c r="G134" s="7" t="s">
        <v>1248</v>
      </c>
      <c r="H134" s="38" t="s">
        <v>1330</v>
      </c>
      <c r="I134" s="46" t="s">
        <v>1331</v>
      </c>
      <c r="J134" s="18">
        <v>51150000</v>
      </c>
      <c r="K134" s="7">
        <v>2026</v>
      </c>
      <c r="L134" s="38" t="s">
        <v>1216</v>
      </c>
      <c r="M134" s="38" t="s">
        <v>913</v>
      </c>
      <c r="N134" s="38" t="s">
        <v>1338</v>
      </c>
      <c r="O134" s="7" t="s">
        <v>1340</v>
      </c>
      <c r="P134" s="7" t="s">
        <v>98</v>
      </c>
      <c r="Q134" s="33"/>
      <c r="R134" s="11">
        <v>45931</v>
      </c>
      <c r="S134" s="11">
        <v>45915</v>
      </c>
      <c r="T134" s="11">
        <v>45931</v>
      </c>
      <c r="U134" s="12" t="s">
        <v>496</v>
      </c>
      <c r="V134" s="11">
        <f>IFERROR(T134+AD134, "-")</f>
        <v>47391</v>
      </c>
      <c r="W134" s="13">
        <f ca="1">IFERROR(DATEDIF(TODAY(), V134, "m"), "-")</f>
        <v>37</v>
      </c>
      <c r="X134" s="9">
        <v>20000</v>
      </c>
      <c r="Y134" s="38" t="s">
        <v>1332</v>
      </c>
      <c r="Z134" s="78" t="s">
        <v>1333</v>
      </c>
      <c r="AA134" s="38"/>
      <c r="AB134" s="11" t="s">
        <v>1342</v>
      </c>
      <c r="AC134" s="11">
        <v>45961</v>
      </c>
      <c r="AD134" s="7">
        <f>365*U134</f>
        <v>1460</v>
      </c>
      <c r="AE134" s="7">
        <f ca="1">V134-TODAY()</f>
        <v>1139</v>
      </c>
      <c r="AF134" s="7" t="e">
        <f>VLOOKUP($C134,#REF!, 4, FALSE)</f>
        <v>#REF!</v>
      </c>
      <c r="AG134" s="46">
        <v>51230000</v>
      </c>
      <c r="AH134" s="9">
        <v>2592385</v>
      </c>
      <c r="AI134" s="9">
        <f>AG134-AH134+AJ134</f>
        <v>48824615</v>
      </c>
      <c r="AJ134" s="9">
        <v>187000</v>
      </c>
      <c r="AK134" s="9">
        <v>1900</v>
      </c>
      <c r="AL134" s="46"/>
      <c r="AM134" s="46"/>
      <c r="AN134" s="46"/>
      <c r="AO134" s="46"/>
      <c r="AP134" s="46"/>
      <c r="AQ134" s="46"/>
      <c r="AR134" s="46">
        <v>220000</v>
      </c>
      <c r="AS134" s="46" t="s">
        <v>1315</v>
      </c>
      <c r="AT134" s="46">
        <v>198000</v>
      </c>
      <c r="AU134" s="9" t="s">
        <v>1298</v>
      </c>
      <c r="AV134" s="46"/>
      <c r="AW134" s="46"/>
      <c r="AX134" s="18" t="s">
        <v>196</v>
      </c>
      <c r="AY134" s="53"/>
      <c r="AZ134" s="46"/>
      <c r="BA134" s="46"/>
      <c r="BB134" s="46"/>
      <c r="BC134" s="46"/>
      <c r="BD134" s="28"/>
      <c r="BE134" s="9" t="s">
        <v>93</v>
      </c>
      <c r="BF134" s="9" t="s">
        <v>94</v>
      </c>
      <c r="BG134" s="9" t="s">
        <v>1032</v>
      </c>
      <c r="BH134" s="9" t="s">
        <v>1033</v>
      </c>
      <c r="BI134" s="9" t="s">
        <v>97</v>
      </c>
      <c r="BJ134" s="9" t="s">
        <v>119</v>
      </c>
      <c r="BK134" s="7" t="s">
        <v>130</v>
      </c>
      <c r="BL134" s="9" t="s">
        <v>99</v>
      </c>
      <c r="BM134" s="9" t="s">
        <v>148</v>
      </c>
      <c r="BN134" s="9" t="s">
        <v>148</v>
      </c>
      <c r="BO134" s="9" t="s">
        <v>148</v>
      </c>
      <c r="BP134" s="9" t="s">
        <v>713</v>
      </c>
      <c r="BQ134" s="7"/>
      <c r="BR134" s="28"/>
      <c r="BS134" s="9">
        <f>IF(Q134&lt;=1600,Q134*18,IF(Q134&lt;=2500,Q134*19,IF(Q134&gt;2500,Q134*24,20000)))</f>
        <v>0</v>
      </c>
      <c r="BT134" s="28"/>
      <c r="BU134" s="28"/>
      <c r="BV134" s="28"/>
      <c r="BW134" s="7"/>
      <c r="BX134" s="28"/>
      <c r="BY134" s="28"/>
      <c r="BZ134" s="28"/>
      <c r="CA134" s="28"/>
      <c r="CB134" s="28"/>
      <c r="CC134" s="7" t="s">
        <v>1204</v>
      </c>
      <c r="CD134" s="7" t="s">
        <v>1204</v>
      </c>
      <c r="CE134" s="29">
        <v>785000</v>
      </c>
      <c r="CF134" s="18">
        <v>48</v>
      </c>
      <c r="CG134" s="29">
        <f>CF134*CE134</f>
        <v>37680000</v>
      </c>
      <c r="CH134" s="29">
        <v>15369000</v>
      </c>
      <c r="CI134" s="29"/>
      <c r="CJ134" s="29">
        <v>20492000</v>
      </c>
      <c r="CK134" s="50">
        <v>0.04</v>
      </c>
      <c r="CL134" s="49">
        <v>0.06</v>
      </c>
      <c r="CM134" s="20" t="s">
        <v>1641</v>
      </c>
      <c r="CN134" s="7"/>
      <c r="CO134" s="7"/>
      <c r="CP134" s="27">
        <v>0.03</v>
      </c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4" t="s">
        <v>128</v>
      </c>
      <c r="DD134" s="24" t="s">
        <v>129</v>
      </c>
      <c r="DE134" s="24" t="s">
        <v>501</v>
      </c>
      <c r="DF134" s="7" t="s">
        <v>1254</v>
      </c>
      <c r="DG134" s="7" t="s">
        <v>376</v>
      </c>
      <c r="DH134" s="7" t="s">
        <v>1255</v>
      </c>
      <c r="DI134" s="7" t="s">
        <v>1256</v>
      </c>
      <c r="DJ134" s="7" t="s">
        <v>1257</v>
      </c>
      <c r="DK134" s="47">
        <v>0.35</v>
      </c>
      <c r="DL134" s="38">
        <v>0.25</v>
      </c>
      <c r="DM134" s="7" t="s">
        <v>1258</v>
      </c>
      <c r="DN134" s="29"/>
      <c r="DO134" s="28"/>
      <c r="DP134" s="28"/>
      <c r="DQ134" s="28"/>
    </row>
    <row r="135" spans="1:121">
      <c r="B135" s="7">
        <v>130</v>
      </c>
      <c r="C135" s="7" t="s">
        <v>353</v>
      </c>
      <c r="D135" s="36" t="s">
        <v>1585</v>
      </c>
      <c r="E135" s="7" t="s">
        <v>354</v>
      </c>
      <c r="F135" s="9" t="s">
        <v>1354</v>
      </c>
      <c r="G135" s="7" t="s">
        <v>98</v>
      </c>
      <c r="H135" s="7" t="s">
        <v>357</v>
      </c>
      <c r="I135" s="7" t="s">
        <v>223</v>
      </c>
      <c r="J135" s="9">
        <v>31579800</v>
      </c>
      <c r="K135" s="7">
        <v>2021</v>
      </c>
      <c r="L135" s="6" t="s">
        <v>358</v>
      </c>
      <c r="M135" s="6" t="s">
        <v>90</v>
      </c>
      <c r="N135" s="7" t="s">
        <v>359</v>
      </c>
      <c r="O135" s="7" t="s">
        <v>360</v>
      </c>
      <c r="P135" s="7" t="s">
        <v>98</v>
      </c>
      <c r="Q135" s="33">
        <v>2999</v>
      </c>
      <c r="R135" s="11">
        <v>44512</v>
      </c>
      <c r="S135" s="11">
        <v>45966</v>
      </c>
      <c r="T135" s="11">
        <v>45974</v>
      </c>
      <c r="U135" s="12" t="s">
        <v>1049</v>
      </c>
      <c r="V135" s="11">
        <f>IFERROR(T135+AD135, "-")</f>
        <v>46339</v>
      </c>
      <c r="W135" s="7">
        <f ca="1">IFERROR(DATEDIF(TODAY(), V135, "m"), "-")</f>
        <v>2</v>
      </c>
      <c r="X135" s="9">
        <v>20000</v>
      </c>
      <c r="Y135" s="9" t="s">
        <v>1356</v>
      </c>
      <c r="Z135" s="7" t="s">
        <v>1357</v>
      </c>
      <c r="AA135" s="9"/>
      <c r="AB135" s="9" t="s">
        <v>361</v>
      </c>
      <c r="AC135" s="11">
        <v>46016</v>
      </c>
      <c r="AD135" s="7">
        <f>365*U135</f>
        <v>365</v>
      </c>
      <c r="AE135" s="7">
        <f ca="1">V135-TODAY()</f>
        <v>87</v>
      </c>
      <c r="AF135" s="7" t="e">
        <f>VLOOKUP($C135,#REF!, 4, FALSE)</f>
        <v>#REF!</v>
      </c>
      <c r="AG135" s="41">
        <v>113856000</v>
      </c>
      <c r="AH135" s="9">
        <f>AG135-AI135</f>
        <v>0</v>
      </c>
      <c r="AI135" s="9">
        <v>113856000</v>
      </c>
      <c r="AJ135" s="9">
        <v>0</v>
      </c>
      <c r="AK135" s="9">
        <v>0</v>
      </c>
      <c r="AL135" s="9">
        <v>4140210</v>
      </c>
      <c r="AM135" s="9">
        <v>201254</v>
      </c>
      <c r="AN135" s="9">
        <v>5000</v>
      </c>
      <c r="AO135" s="9">
        <v>21500</v>
      </c>
      <c r="AP135" s="9">
        <v>30000</v>
      </c>
      <c r="AQ135" s="9">
        <v>0</v>
      </c>
      <c r="AR135" s="9">
        <v>0</v>
      </c>
      <c r="AS135" s="9" t="s">
        <v>145</v>
      </c>
      <c r="AT135" s="9">
        <v>0</v>
      </c>
      <c r="AU135" s="9" t="s">
        <v>146</v>
      </c>
      <c r="AV135" s="41">
        <v>4397964</v>
      </c>
      <c r="AW135" s="18">
        <f>SUM(AJ135,AK135,AN135,AO135,AP135, AR135,AT135+AL135+AM135)</f>
        <v>4397964</v>
      </c>
      <c r="AX135" s="18" t="s">
        <v>189</v>
      </c>
      <c r="AY135" s="53">
        <v>44512</v>
      </c>
      <c r="AZ135" s="41">
        <f>4776960-702160</f>
        <v>4074800</v>
      </c>
      <c r="BA135" s="42">
        <v>1134440</v>
      </c>
      <c r="BB135" s="9"/>
      <c r="BC135" s="9"/>
      <c r="BD135" s="9"/>
      <c r="BE135" s="9" t="s">
        <v>93</v>
      </c>
      <c r="BF135" s="9" t="s">
        <v>94</v>
      </c>
      <c r="BG135" s="9" t="s">
        <v>95</v>
      </c>
      <c r="BH135" s="9" t="s">
        <v>96</v>
      </c>
      <c r="BI135" s="9" t="s">
        <v>97</v>
      </c>
      <c r="BJ135" s="9" t="s">
        <v>127</v>
      </c>
      <c r="BK135" s="7" t="s">
        <v>130</v>
      </c>
      <c r="BL135" s="9" t="s">
        <v>99</v>
      </c>
      <c r="BM135" s="9" t="s">
        <v>148</v>
      </c>
      <c r="BN135" s="9" t="s">
        <v>100</v>
      </c>
      <c r="BO135" s="9" t="s">
        <v>101</v>
      </c>
      <c r="BP135" s="9" t="s">
        <v>101</v>
      </c>
      <c r="BQ135" s="9" t="s">
        <v>362</v>
      </c>
      <c r="BR135" s="7"/>
      <c r="BS135" s="9">
        <f>IF(Q135&lt;=1600,Q135*18,IF(Q135&lt;=2500,Q135*19,IF(Q135&gt;2500,Q135*24,20000)))</f>
        <v>71976</v>
      </c>
      <c r="BT135" s="7" t="s">
        <v>203</v>
      </c>
      <c r="BU135" s="22">
        <v>44511</v>
      </c>
      <c r="BV135" s="9">
        <v>101571000</v>
      </c>
      <c r="BW135" s="14" t="s">
        <v>363</v>
      </c>
      <c r="BX135" s="9">
        <v>3067700</v>
      </c>
      <c r="BY135" s="9">
        <v>111382117</v>
      </c>
      <c r="BZ135" s="9">
        <v>9811117</v>
      </c>
      <c r="CA135" s="27">
        <v>3.0599999999999999E-2</v>
      </c>
      <c r="CB135" s="1"/>
      <c r="CC135" s="15" t="s">
        <v>154</v>
      </c>
      <c r="CD135" s="15" t="s">
        <v>154</v>
      </c>
      <c r="CE135" s="9">
        <v>1357000</v>
      </c>
      <c r="CF135" s="18">
        <f>U135*12</f>
        <v>12</v>
      </c>
      <c r="CG135" s="9">
        <f>CF135*CE135</f>
        <v>16284000</v>
      </c>
      <c r="CH135" s="9">
        <v>12360000</v>
      </c>
      <c r="CI135" s="9">
        <v>0</v>
      </c>
      <c r="CJ135" s="9">
        <v>22105860</v>
      </c>
      <c r="CK135" s="51">
        <v>0</v>
      </c>
      <c r="CL135" s="48">
        <v>0</v>
      </c>
      <c r="CM135" s="85" t="s">
        <v>1570</v>
      </c>
      <c r="CN135" s="16" t="s">
        <v>365</v>
      </c>
      <c r="CO135" s="16"/>
      <c r="CP135" s="27">
        <v>0.03</v>
      </c>
      <c r="CQ135" s="38"/>
      <c r="CR135" s="24">
        <v>0</v>
      </c>
      <c r="CS135" s="24">
        <v>0</v>
      </c>
      <c r="CT135" s="24">
        <v>0</v>
      </c>
      <c r="CU135" s="24">
        <v>0</v>
      </c>
      <c r="CV135" s="24">
        <v>0</v>
      </c>
      <c r="CW135" s="24">
        <v>0</v>
      </c>
      <c r="CX135" s="24">
        <v>0</v>
      </c>
      <c r="CY135" s="24">
        <v>0</v>
      </c>
      <c r="CZ135" s="24">
        <v>0</v>
      </c>
      <c r="DA135" s="24">
        <v>0</v>
      </c>
      <c r="DB135" s="24">
        <v>0</v>
      </c>
      <c r="DC135" s="24" t="str">
        <f>IF(DD135="정수원 실장","기아", IF(DD135="박현식 부장", "현대", IF(DD135="김성진 팀장", "한성", IF(DD135="전석영 부장", "한성", IF(DD135= "박봉호 부장", "모토원",IF(DD135="정원철 부장", "한성"))))))</f>
        <v>한성</v>
      </c>
      <c r="DD135" s="24" t="s">
        <v>104</v>
      </c>
      <c r="DE135" s="24" t="s">
        <v>1355</v>
      </c>
      <c r="DF135" s="24" t="s">
        <v>354</v>
      </c>
      <c r="DG135" s="24" t="s">
        <v>642</v>
      </c>
      <c r="DH135" s="24" t="s">
        <v>1050</v>
      </c>
      <c r="DI135" s="24" t="s">
        <v>366</v>
      </c>
      <c r="DJ135" s="24" t="s">
        <v>1353</v>
      </c>
      <c r="DK135" s="38">
        <v>0.35</v>
      </c>
      <c r="DL135" s="38">
        <v>0.25</v>
      </c>
      <c r="DM135" s="24" t="s">
        <v>1352</v>
      </c>
      <c r="DN135" s="46"/>
      <c r="DO135" s="24"/>
      <c r="DP135" s="24"/>
      <c r="DQ135" s="38"/>
    </row>
    <row r="136" spans="1:121">
      <c r="B136" s="7">
        <v>131</v>
      </c>
      <c r="C136" s="7" t="s">
        <v>1359</v>
      </c>
      <c r="D136" s="36" t="s">
        <v>1585</v>
      </c>
      <c r="E136" s="7" t="s">
        <v>813</v>
      </c>
      <c r="F136" s="7" t="s">
        <v>814</v>
      </c>
      <c r="G136" s="7" t="s">
        <v>815</v>
      </c>
      <c r="H136" s="7" t="s">
        <v>180</v>
      </c>
      <c r="I136" s="7" t="s">
        <v>816</v>
      </c>
      <c r="J136" s="9">
        <v>65250000</v>
      </c>
      <c r="K136" s="7">
        <v>2025</v>
      </c>
      <c r="L136" s="6" t="s">
        <v>1365</v>
      </c>
      <c r="M136" s="6" t="s">
        <v>90</v>
      </c>
      <c r="N136" s="7" t="s">
        <v>1378</v>
      </c>
      <c r="O136" s="7" t="s">
        <v>1379</v>
      </c>
      <c r="P136" s="7" t="s">
        <v>1370</v>
      </c>
      <c r="Q136" s="33">
        <v>2497</v>
      </c>
      <c r="R136" s="11">
        <v>45985</v>
      </c>
      <c r="S136" s="11">
        <v>45979</v>
      </c>
      <c r="T136" s="11">
        <v>45987</v>
      </c>
      <c r="U136" s="12" t="s">
        <v>496</v>
      </c>
      <c r="V136" s="11">
        <f>IFERROR(T136+AD136, "-")</f>
        <v>47447</v>
      </c>
      <c r="W136" s="7">
        <f ca="1">IFERROR(DATEDIF(TODAY(), V136, "m"), "-")</f>
        <v>39</v>
      </c>
      <c r="X136" s="9">
        <v>20000</v>
      </c>
      <c r="Y136" s="7" t="s">
        <v>1371</v>
      </c>
      <c r="Z136" s="7" t="s">
        <v>1372</v>
      </c>
      <c r="AA136" s="9"/>
      <c r="AB136" s="9" t="s">
        <v>819</v>
      </c>
      <c r="AC136" s="11">
        <v>46016</v>
      </c>
      <c r="AD136" s="7">
        <f>365*U136</f>
        <v>1460</v>
      </c>
      <c r="AE136" s="7">
        <f ca="1">V136-TODAY()</f>
        <v>1195</v>
      </c>
      <c r="AF136" s="7" t="e">
        <f>VLOOKUP($C136,#REF!, 4, FALSE)</f>
        <v>#REF!</v>
      </c>
      <c r="AG136" s="9">
        <v>59925897</v>
      </c>
      <c r="AH136" s="9">
        <v>3906103</v>
      </c>
      <c r="AI136" s="9">
        <f>AG136-AH136</f>
        <v>56019794</v>
      </c>
      <c r="AJ136" s="9">
        <v>332000</v>
      </c>
      <c r="AK136" s="9">
        <v>2000</v>
      </c>
      <c r="AL136" s="9">
        <v>2197300</v>
      </c>
      <c r="AM136" s="9">
        <v>348768</v>
      </c>
      <c r="AN136" s="9">
        <v>2000</v>
      </c>
      <c r="AO136" s="9">
        <v>45000</v>
      </c>
      <c r="AP136" s="9">
        <v>50000</v>
      </c>
      <c r="AQ136" s="9"/>
      <c r="AR136" s="9"/>
      <c r="AS136" s="9"/>
      <c r="AT136" s="9">
        <v>198000</v>
      </c>
      <c r="AU136" s="9" t="s">
        <v>126</v>
      </c>
      <c r="AV136" s="9"/>
      <c r="AW136" s="19"/>
      <c r="AX136" s="7" t="s">
        <v>196</v>
      </c>
      <c r="AY136" s="53"/>
      <c r="AZ136" s="9"/>
      <c r="BA136" s="9"/>
      <c r="BB136" s="9"/>
      <c r="BC136" s="9"/>
      <c r="BD136" s="9"/>
      <c r="BE136" s="9" t="s">
        <v>93</v>
      </c>
      <c r="BF136" s="9" t="s">
        <v>94</v>
      </c>
      <c r="BG136" s="9" t="s">
        <v>95</v>
      </c>
      <c r="BH136" s="9" t="s">
        <v>96</v>
      </c>
      <c r="BI136" s="9" t="s">
        <v>97</v>
      </c>
      <c r="BJ136" s="9" t="s">
        <v>127</v>
      </c>
      <c r="BK136" s="7" t="s">
        <v>130</v>
      </c>
      <c r="BL136" s="9" t="s">
        <v>99</v>
      </c>
      <c r="BM136" s="9" t="s">
        <v>148</v>
      </c>
      <c r="BN136" s="9" t="s">
        <v>148</v>
      </c>
      <c r="BO136" s="9" t="s">
        <v>101</v>
      </c>
      <c r="BP136" s="9" t="s">
        <v>101</v>
      </c>
      <c r="BQ136" s="9"/>
      <c r="BR136" s="7"/>
      <c r="BS136" s="9">
        <f>IF(Q136&lt;=1600,Q136*18,IF(Q136&lt;=2500,Q136*19,IF(Q136&gt;2500,Q136*24,20000)))</f>
        <v>47443</v>
      </c>
      <c r="BT136" s="7" t="s">
        <v>140</v>
      </c>
      <c r="BU136" s="22"/>
      <c r="BV136" s="9"/>
      <c r="BW136" s="14"/>
      <c r="BX136" s="9"/>
      <c r="BY136" s="9"/>
      <c r="BZ136" s="9"/>
      <c r="CA136" s="27">
        <v>0</v>
      </c>
      <c r="CB136" s="1"/>
      <c r="CC136" s="15" t="s">
        <v>154</v>
      </c>
      <c r="CD136" s="15" t="s">
        <v>154</v>
      </c>
      <c r="CE136" s="9">
        <v>1135000</v>
      </c>
      <c r="CF136" s="9">
        <f>U136*12</f>
        <v>48</v>
      </c>
      <c r="CG136" s="9">
        <f>CF136*CE136</f>
        <v>54480000</v>
      </c>
      <c r="CH136" s="9">
        <v>19575000</v>
      </c>
      <c r="CI136" s="9">
        <v>0</v>
      </c>
      <c r="CJ136" s="9">
        <v>36540000</v>
      </c>
      <c r="CK136" s="51">
        <v>0.03</v>
      </c>
      <c r="CL136" s="48">
        <v>0.06</v>
      </c>
      <c r="CM136" s="16" t="s">
        <v>821</v>
      </c>
      <c r="CN136" s="9"/>
      <c r="CO136" s="9" t="s">
        <v>1366</v>
      </c>
      <c r="CP136" s="27">
        <v>0.03</v>
      </c>
      <c r="CQ136" s="38"/>
      <c r="CR136" s="24" t="s">
        <v>218</v>
      </c>
      <c r="CS136" s="24">
        <v>52800</v>
      </c>
      <c r="CT136" s="24" t="s">
        <v>823</v>
      </c>
      <c r="CU136" s="24">
        <v>40000</v>
      </c>
      <c r="CV136" s="24">
        <v>0</v>
      </c>
      <c r="CW136" s="24">
        <v>0</v>
      </c>
      <c r="CX136" s="24">
        <v>0</v>
      </c>
      <c r="CY136" s="24">
        <v>0</v>
      </c>
      <c r="CZ136" s="24">
        <v>0</v>
      </c>
      <c r="DA136" s="24">
        <v>0</v>
      </c>
      <c r="DB136" s="24">
        <v>0</v>
      </c>
      <c r="DC136" s="24" t="s">
        <v>128</v>
      </c>
      <c r="DD136" s="24" t="s">
        <v>129</v>
      </c>
      <c r="DE136" s="24" t="s">
        <v>113</v>
      </c>
      <c r="DF136" s="24" t="s">
        <v>1367</v>
      </c>
      <c r="DG136" s="24" t="s">
        <v>824</v>
      </c>
      <c r="DH136" s="24" t="s">
        <v>825</v>
      </c>
      <c r="DI136" s="24" t="s">
        <v>1411</v>
      </c>
      <c r="DJ136" s="24" t="s">
        <v>1368</v>
      </c>
      <c r="DK136" s="38">
        <v>0.35</v>
      </c>
      <c r="DL136" s="38">
        <v>0.25</v>
      </c>
      <c r="DM136" s="24" t="s">
        <v>1369</v>
      </c>
      <c r="DN136" s="46">
        <v>3301837</v>
      </c>
      <c r="DO136" s="24"/>
      <c r="DP136" s="24"/>
      <c r="DQ136" s="38"/>
    </row>
    <row r="137" spans="1:121">
      <c r="B137" s="7">
        <v>132</v>
      </c>
      <c r="C137" s="7" t="s">
        <v>573</v>
      </c>
      <c r="D137" s="36" t="s">
        <v>1585</v>
      </c>
      <c r="E137" s="7" t="s">
        <v>574</v>
      </c>
      <c r="F137" s="7" t="s">
        <v>575</v>
      </c>
      <c r="G137" s="7" t="s">
        <v>576</v>
      </c>
      <c r="H137" s="7" t="s">
        <v>143</v>
      </c>
      <c r="I137" s="7" t="s">
        <v>144</v>
      </c>
      <c r="J137" s="9">
        <v>193600000</v>
      </c>
      <c r="K137" s="7">
        <v>2021</v>
      </c>
      <c r="L137" s="6" t="s">
        <v>577</v>
      </c>
      <c r="M137" s="6" t="s">
        <v>90</v>
      </c>
      <c r="N137" s="7" t="s">
        <v>578</v>
      </c>
      <c r="O137" s="21" t="s">
        <v>579</v>
      </c>
      <c r="P137" s="7" t="s">
        <v>98</v>
      </c>
      <c r="Q137" s="33">
        <v>2999</v>
      </c>
      <c r="R137" s="11">
        <v>44503</v>
      </c>
      <c r="S137" s="11">
        <v>44607</v>
      </c>
      <c r="T137" s="11">
        <v>44610</v>
      </c>
      <c r="U137" s="12" t="s">
        <v>91</v>
      </c>
      <c r="V137" s="11">
        <f>IFERROR(T137+AD137, "-")</f>
        <v>46435</v>
      </c>
      <c r="W137" s="7">
        <f ca="1">IFERROR(DATEDIF(TODAY(), V137, "m"), "-")</f>
        <v>5</v>
      </c>
      <c r="X137" s="13">
        <v>20000</v>
      </c>
      <c r="Y137" s="9" t="s">
        <v>580</v>
      </c>
      <c r="Z137" s="7" t="s">
        <v>581</v>
      </c>
      <c r="AA137" s="9"/>
      <c r="AB137" s="9" t="s">
        <v>582</v>
      </c>
      <c r="AC137" s="11">
        <v>44617</v>
      </c>
      <c r="AD137" s="7">
        <f>365*U137</f>
        <v>1825</v>
      </c>
      <c r="AE137" s="7">
        <f ca="1">V137-TODAY()</f>
        <v>183</v>
      </c>
      <c r="AF137" s="7" t="e">
        <f>VLOOKUP($C137,#REF!, 4, FALSE)</f>
        <v>#REF!</v>
      </c>
      <c r="AG137" s="9">
        <v>186816000</v>
      </c>
      <c r="AH137" s="9">
        <f>AG137-AI137</f>
        <v>0</v>
      </c>
      <c r="AI137" s="9">
        <v>186816000</v>
      </c>
      <c r="AJ137" s="9">
        <v>0</v>
      </c>
      <c r="AK137" s="9">
        <v>0</v>
      </c>
      <c r="AL137" s="9">
        <v>6793300</v>
      </c>
      <c r="AM137" s="9">
        <v>548437</v>
      </c>
      <c r="AN137" s="9">
        <v>5000</v>
      </c>
      <c r="AO137" s="9">
        <v>21500</v>
      </c>
      <c r="AP137" s="9">
        <v>30000</v>
      </c>
      <c r="AQ137" s="9">
        <v>0</v>
      </c>
      <c r="AR137" s="9">
        <v>0</v>
      </c>
      <c r="AS137" s="9" t="s">
        <v>145</v>
      </c>
      <c r="AT137" s="9">
        <v>240000</v>
      </c>
      <c r="AU137" s="9" t="s">
        <v>146</v>
      </c>
      <c r="AV137" s="9">
        <f>7398237</f>
        <v>7398237</v>
      </c>
      <c r="AW137" s="19">
        <f>SUM(AJ137,AK137,AN137,AO137,AP137, AR137,AT137+AL137+AM137)</f>
        <v>7638237</v>
      </c>
      <c r="AX137" s="7" t="s">
        <v>196</v>
      </c>
      <c r="AY137" s="53">
        <v>44503</v>
      </c>
      <c r="AZ137" s="9">
        <f>6911210-1172880</f>
        <v>5738330</v>
      </c>
      <c r="BA137" s="9">
        <f>1142540</f>
        <v>1142540</v>
      </c>
      <c r="BB137" s="9"/>
      <c r="BC137" s="9"/>
      <c r="BD137" s="9"/>
      <c r="BE137" s="9" t="s">
        <v>93</v>
      </c>
      <c r="BF137" s="9" t="s">
        <v>94</v>
      </c>
      <c r="BG137" s="9" t="s">
        <v>95</v>
      </c>
      <c r="BH137" s="9" t="s">
        <v>96</v>
      </c>
      <c r="BI137" s="9" t="s">
        <v>583</v>
      </c>
      <c r="BJ137" s="9" t="s">
        <v>127</v>
      </c>
      <c r="BK137" s="7" t="s">
        <v>130</v>
      </c>
      <c r="BL137" s="9" t="s">
        <v>99</v>
      </c>
      <c r="BM137" s="9" t="s">
        <v>148</v>
      </c>
      <c r="BN137" s="9" t="s">
        <v>100</v>
      </c>
      <c r="BO137" s="9" t="s">
        <v>101</v>
      </c>
      <c r="BP137" s="9" t="s">
        <v>101</v>
      </c>
      <c r="BQ137" s="9"/>
      <c r="BR137" s="7"/>
      <c r="BS137" s="9">
        <f>IF(Q137&lt;=1600,Q137*18,IF(Q137&lt;=2500,Q137*19,IF(Q137&gt;2500,Q137*24,20000)))</f>
        <v>71976</v>
      </c>
      <c r="BT137" s="7" t="s">
        <v>140</v>
      </c>
      <c r="BU137" s="22"/>
      <c r="BV137" s="9"/>
      <c r="BW137" s="14"/>
      <c r="BX137" s="9"/>
      <c r="BY137" s="9"/>
      <c r="BZ137" s="9"/>
      <c r="CA137" s="27">
        <v>0</v>
      </c>
      <c r="CB137" s="87"/>
      <c r="CC137" s="15" t="s">
        <v>584</v>
      </c>
      <c r="CD137" s="15" t="s">
        <v>584</v>
      </c>
      <c r="CE137" s="9">
        <v>3383160</v>
      </c>
      <c r="CF137" s="9">
        <f>U137*12</f>
        <v>60</v>
      </c>
      <c r="CG137" s="9">
        <f>CF137*CE137</f>
        <v>202989600</v>
      </c>
      <c r="CH137" s="9">
        <v>54494000</v>
      </c>
      <c r="CI137" s="9"/>
      <c r="CJ137" s="9">
        <v>54494000</v>
      </c>
      <c r="CK137" s="51">
        <v>3.0000000000000001E-3</v>
      </c>
      <c r="CL137" s="48">
        <v>0.06</v>
      </c>
      <c r="CM137" s="23" t="s">
        <v>585</v>
      </c>
      <c r="CN137" s="9"/>
      <c r="CO137" s="9"/>
      <c r="CP137" s="27">
        <v>0.03</v>
      </c>
      <c r="CQ137" s="38"/>
      <c r="CR137" s="24">
        <v>0</v>
      </c>
      <c r="CS137" s="24">
        <v>0</v>
      </c>
      <c r="CT137" s="24">
        <v>0</v>
      </c>
      <c r="CU137" s="24">
        <v>0</v>
      </c>
      <c r="CV137" s="24">
        <v>0</v>
      </c>
      <c r="CW137" s="24">
        <v>0</v>
      </c>
      <c r="CX137" s="24">
        <v>0</v>
      </c>
      <c r="CY137" s="24">
        <v>0</v>
      </c>
      <c r="CZ137" s="24">
        <v>0</v>
      </c>
      <c r="DA137" s="24">
        <v>0</v>
      </c>
      <c r="DB137" s="24">
        <v>0</v>
      </c>
      <c r="DC137" s="24" t="str">
        <f>IF(DD137="정수원 실장","기아", IF(DD137="박현식 부장", "현대", IF(DD137="김성진 팀장", "한성", IF(DD137="전석영 부장", "한성", IF(DD137= "박봉호 부장", "모토원",IF(DD137="정원철 부장", "한성"))))))</f>
        <v>한성</v>
      </c>
      <c r="DD137" s="24" t="s">
        <v>107</v>
      </c>
      <c r="DE137" s="24" t="str">
        <f>IF(DD137="정수원 실장","렌트베네핏", IF(DD137="박현식 부장", "렌트베네핏", IF(DD137="김성진 팀장", "청담", IF(DD137="전석영 부장", "방배", IF(DD137= "박봉호 부장", "일산",IF(DD180="정원철 부장", "청담"))))))</f>
        <v>청담</v>
      </c>
      <c r="DF137" s="24"/>
      <c r="DG137" s="24"/>
      <c r="DH137" s="24"/>
      <c r="DI137" s="24" t="s">
        <v>586</v>
      </c>
      <c r="DJ137" s="22" t="s">
        <v>1610</v>
      </c>
      <c r="DK137" s="38">
        <v>0.3</v>
      </c>
      <c r="DL137" s="76">
        <v>0.2</v>
      </c>
      <c r="DM137" s="24"/>
      <c r="DN137" s="46"/>
      <c r="DO137" s="24"/>
      <c r="DP137" s="24"/>
      <c r="DQ137" s="38"/>
    </row>
    <row r="138" spans="1:121">
      <c r="B138" s="7">
        <v>133</v>
      </c>
      <c r="C138" s="7" t="s">
        <v>776</v>
      </c>
      <c r="D138" s="36" t="s">
        <v>1585</v>
      </c>
      <c r="E138" s="7" t="s">
        <v>1381</v>
      </c>
      <c r="F138" s="7" t="s">
        <v>1382</v>
      </c>
      <c r="G138" s="7" t="s">
        <v>1383</v>
      </c>
      <c r="H138" s="7" t="s">
        <v>180</v>
      </c>
      <c r="I138" s="7" t="s">
        <v>780</v>
      </c>
      <c r="J138" s="9">
        <v>62000000</v>
      </c>
      <c r="K138" s="7">
        <v>2022</v>
      </c>
      <c r="L138" s="6" t="s">
        <v>781</v>
      </c>
      <c r="M138" s="6" t="s">
        <v>90</v>
      </c>
      <c r="N138" s="7" t="s">
        <v>782</v>
      </c>
      <c r="O138" s="7" t="s">
        <v>783</v>
      </c>
      <c r="P138" s="7" t="s">
        <v>98</v>
      </c>
      <c r="Q138" s="33">
        <v>2497</v>
      </c>
      <c r="R138" s="11">
        <v>44777</v>
      </c>
      <c r="S138" s="11">
        <v>44767</v>
      </c>
      <c r="T138" s="11">
        <v>45965</v>
      </c>
      <c r="U138" s="12">
        <v>0.75</v>
      </c>
      <c r="V138" s="11">
        <f>IFERROR(T138+AD138, "-")</f>
        <v>46238.75</v>
      </c>
      <c r="W138" s="7" t="str">
        <f ca="1">IFERROR(DATEDIF(TODAY(), V138, "m"), "-")</f>
        <v>-</v>
      </c>
      <c r="X138" s="13">
        <v>20000</v>
      </c>
      <c r="Y138" s="7" t="s">
        <v>1382</v>
      </c>
      <c r="Z138" s="7" t="s">
        <v>1383</v>
      </c>
      <c r="AA138" s="9"/>
      <c r="AB138" s="9" t="s">
        <v>1384</v>
      </c>
      <c r="AC138" s="11">
        <v>46016</v>
      </c>
      <c r="AD138" s="7">
        <f>365*U138</f>
        <v>273.75</v>
      </c>
      <c r="AE138" s="7">
        <f ca="1">V138-TODAY()</f>
        <v>-13.25</v>
      </c>
      <c r="AF138" s="7" t="e">
        <f>VLOOKUP($C138,#REF!, 4, FALSE)</f>
        <v>#REF!</v>
      </c>
      <c r="AG138" s="9">
        <v>58547962</v>
      </c>
      <c r="AH138" s="9">
        <v>3784038</v>
      </c>
      <c r="AI138" s="9">
        <f>AG138-AH138+AJ138</f>
        <v>55095924</v>
      </c>
      <c r="AJ138" s="9">
        <v>332000</v>
      </c>
      <c r="AK138" s="9">
        <v>2000</v>
      </c>
      <c r="AL138" s="9">
        <v>2129010</v>
      </c>
      <c r="AM138" s="9">
        <v>250318</v>
      </c>
      <c r="AN138" s="9">
        <v>2000</v>
      </c>
      <c r="AO138" s="9">
        <v>45000</v>
      </c>
      <c r="AP138" s="9">
        <v>50000</v>
      </c>
      <c r="AQ138" s="9"/>
      <c r="AR138" s="9">
        <v>154000</v>
      </c>
      <c r="AS138" s="9" t="s">
        <v>785</v>
      </c>
      <c r="AT138" s="9">
        <v>198000</v>
      </c>
      <c r="AU138" s="9" t="s">
        <v>786</v>
      </c>
      <c r="AV138" s="9">
        <f>2479328</f>
        <v>2479328</v>
      </c>
      <c r="AW138" s="19">
        <f>SUM(AJ138,AK138,AN138,AO138,AP138, AR138,AT138+AL138+AM138)</f>
        <v>3162328</v>
      </c>
      <c r="AX138" s="7" t="s">
        <v>196</v>
      </c>
      <c r="AY138" s="53">
        <v>44777</v>
      </c>
      <c r="AZ138" s="9">
        <v>1299680</v>
      </c>
      <c r="BA138" s="9"/>
      <c r="BB138" s="9"/>
      <c r="BC138" s="9"/>
      <c r="BD138" s="9"/>
      <c r="BE138" s="9" t="s">
        <v>93</v>
      </c>
      <c r="BF138" s="9" t="s">
        <v>94</v>
      </c>
      <c r="BG138" s="9" t="s">
        <v>95</v>
      </c>
      <c r="BH138" s="9" t="s">
        <v>96</v>
      </c>
      <c r="BI138" s="9" t="s">
        <v>97</v>
      </c>
      <c r="BJ138" s="9" t="s">
        <v>127</v>
      </c>
      <c r="BK138" s="7" t="s">
        <v>130</v>
      </c>
      <c r="BL138" s="9" t="s">
        <v>99</v>
      </c>
      <c r="BM138" s="9" t="s">
        <v>148</v>
      </c>
      <c r="BN138" s="9" t="s">
        <v>100</v>
      </c>
      <c r="BO138" s="9" t="s">
        <v>101</v>
      </c>
      <c r="BP138" s="9" t="s">
        <v>101</v>
      </c>
      <c r="BQ138" s="9"/>
      <c r="BR138" s="7"/>
      <c r="BS138" s="9">
        <f>IF(Q138&lt;=1600,Q138*18,IF(Q138&lt;=2500,Q138*19,IF(Q138&gt;2500,Q138*24,20000)))</f>
        <v>47443</v>
      </c>
      <c r="BT138" s="7" t="s">
        <v>140</v>
      </c>
      <c r="BU138" s="22"/>
      <c r="BV138" s="9"/>
      <c r="BW138" s="14"/>
      <c r="BX138" s="9"/>
      <c r="BY138" s="9"/>
      <c r="BZ138" s="9"/>
      <c r="CA138" s="27">
        <v>0</v>
      </c>
      <c r="CB138" s="1"/>
      <c r="CC138" s="15" t="s">
        <v>154</v>
      </c>
      <c r="CD138" s="15" t="s">
        <v>154</v>
      </c>
      <c r="CE138" s="9">
        <v>1285000</v>
      </c>
      <c r="CF138" s="9">
        <f>U138*12</f>
        <v>9</v>
      </c>
      <c r="CG138" s="9">
        <f>CF138*CE138</f>
        <v>11565000</v>
      </c>
      <c r="CH138" s="9">
        <v>18600000</v>
      </c>
      <c r="CI138" s="9">
        <v>0</v>
      </c>
      <c r="CJ138" s="9">
        <v>18600000</v>
      </c>
      <c r="CK138" s="51">
        <v>0</v>
      </c>
      <c r="CL138" s="48">
        <v>0.06</v>
      </c>
      <c r="CM138" s="16" t="s">
        <v>787</v>
      </c>
      <c r="CN138" s="9"/>
      <c r="CO138" s="9"/>
      <c r="CP138" s="27">
        <v>0.03</v>
      </c>
      <c r="CQ138" s="38"/>
      <c r="CR138" s="24" t="s">
        <v>218</v>
      </c>
      <c r="CS138" s="24">
        <v>52800</v>
      </c>
      <c r="CT138" s="24" t="s">
        <v>788</v>
      </c>
      <c r="CU138" s="24">
        <v>15000</v>
      </c>
      <c r="CV138" s="24">
        <v>0</v>
      </c>
      <c r="CW138" s="24">
        <v>0</v>
      </c>
      <c r="CX138" s="24">
        <v>0</v>
      </c>
      <c r="CY138" s="24">
        <v>0</v>
      </c>
      <c r="CZ138" s="24">
        <v>0</v>
      </c>
      <c r="DA138" s="24">
        <v>0</v>
      </c>
      <c r="DB138" s="24">
        <v>0</v>
      </c>
      <c r="DC138" s="24" t="s">
        <v>128</v>
      </c>
      <c r="DD138" s="24" t="s">
        <v>129</v>
      </c>
      <c r="DE138" s="24" t="s">
        <v>113</v>
      </c>
      <c r="DF138" s="24" t="s">
        <v>1381</v>
      </c>
      <c r="DG138" s="24" t="s">
        <v>376</v>
      </c>
      <c r="DH138" s="24" t="s">
        <v>1385</v>
      </c>
      <c r="DI138" s="24" t="s">
        <v>1386</v>
      </c>
      <c r="DJ138" s="24" t="s">
        <v>1384</v>
      </c>
      <c r="DK138" s="38">
        <v>0.3</v>
      </c>
      <c r="DL138" s="76">
        <v>0.2</v>
      </c>
      <c r="DM138" s="24"/>
      <c r="DN138" s="46"/>
      <c r="DO138" s="24"/>
      <c r="DP138" s="24"/>
      <c r="DQ138" s="38"/>
    </row>
    <row r="139" spans="1:121">
      <c r="B139" s="7">
        <v>134</v>
      </c>
      <c r="C139" s="7" t="s">
        <v>131</v>
      </c>
      <c r="D139" s="36" t="s">
        <v>1585</v>
      </c>
      <c r="E139" s="7" t="s">
        <v>1399</v>
      </c>
      <c r="F139" s="7" t="s">
        <v>1400</v>
      </c>
      <c r="G139" s="7" t="s">
        <v>1401</v>
      </c>
      <c r="H139" s="38" t="s">
        <v>1402</v>
      </c>
      <c r="I139" s="46" t="s">
        <v>1403</v>
      </c>
      <c r="J139" s="18">
        <f>19030000+1000000</f>
        <v>20030000</v>
      </c>
      <c r="K139" s="7">
        <v>2026</v>
      </c>
      <c r="L139" s="38" t="s">
        <v>1404</v>
      </c>
      <c r="M139" s="38" t="s">
        <v>90</v>
      </c>
      <c r="N139" s="38" t="s">
        <v>1417</v>
      </c>
      <c r="O139" s="7" t="s">
        <v>1416</v>
      </c>
      <c r="P139" s="7" t="s">
        <v>1405</v>
      </c>
      <c r="Q139" s="33">
        <v>998</v>
      </c>
      <c r="R139" s="11">
        <v>46020</v>
      </c>
      <c r="S139" s="11">
        <v>45991</v>
      </c>
      <c r="T139" s="11">
        <v>46021</v>
      </c>
      <c r="U139" s="12" t="s">
        <v>1049</v>
      </c>
      <c r="V139" s="11">
        <f>IFERROR(T139+AD139, "-")</f>
        <v>46386</v>
      </c>
      <c r="W139" s="7">
        <f ca="1">IFERROR(DATEDIF(TODAY(), V139, "m"), "-")</f>
        <v>4</v>
      </c>
      <c r="X139" s="13">
        <v>20000</v>
      </c>
      <c r="Y139" s="7" t="s">
        <v>1400</v>
      </c>
      <c r="Z139" s="7" t="s">
        <v>1401</v>
      </c>
      <c r="AA139" s="38"/>
      <c r="AB139" s="11" t="s">
        <v>1406</v>
      </c>
      <c r="AC139" s="11">
        <v>46047</v>
      </c>
      <c r="AD139" s="7">
        <f>365*U139</f>
        <v>365</v>
      </c>
      <c r="AE139" s="7">
        <f ca="1">V139-TODAY()</f>
        <v>134</v>
      </c>
      <c r="AF139" s="7" t="e">
        <f>VLOOKUP($C139,#REF!, 4, FALSE)</f>
        <v>#REF!</v>
      </c>
      <c r="AG139" s="46">
        <f>19030000+1000000</f>
        <v>20030000</v>
      </c>
      <c r="AH139" s="9">
        <v>0</v>
      </c>
      <c r="AI139" s="9">
        <f>AG139-AH139+AJ139</f>
        <v>20030000</v>
      </c>
      <c r="AJ139" s="9"/>
      <c r="AK139" s="9"/>
      <c r="AL139" s="46"/>
      <c r="AM139" s="46"/>
      <c r="AN139" s="46"/>
      <c r="AO139" s="46"/>
      <c r="AP139" s="46"/>
      <c r="AQ139" s="46"/>
      <c r="AR139" s="46"/>
      <c r="AS139" s="46" t="s">
        <v>125</v>
      </c>
      <c r="AT139" s="9">
        <v>198000</v>
      </c>
      <c r="AU139" s="9" t="s">
        <v>126</v>
      </c>
      <c r="AV139" s="46"/>
      <c r="AW139" s="46"/>
      <c r="AX139" s="7" t="s">
        <v>196</v>
      </c>
      <c r="AY139" s="53"/>
      <c r="AZ139" s="46"/>
      <c r="BA139" s="46"/>
      <c r="BB139" s="46"/>
      <c r="BC139" s="46"/>
      <c r="BD139" s="28"/>
      <c r="BE139" s="9" t="s">
        <v>93</v>
      </c>
      <c r="BF139" s="9" t="s">
        <v>94</v>
      </c>
      <c r="BG139" s="9" t="s">
        <v>1032</v>
      </c>
      <c r="BH139" s="9" t="s">
        <v>1033</v>
      </c>
      <c r="BI139" s="9" t="s">
        <v>97</v>
      </c>
      <c r="BJ139" s="9" t="s">
        <v>119</v>
      </c>
      <c r="BK139" s="7" t="s">
        <v>130</v>
      </c>
      <c r="BL139" s="9" t="s">
        <v>99</v>
      </c>
      <c r="BM139" s="9" t="s">
        <v>100</v>
      </c>
      <c r="BN139" s="9" t="s">
        <v>100</v>
      </c>
      <c r="BO139" s="9" t="s">
        <v>100</v>
      </c>
      <c r="BP139" s="9" t="s">
        <v>101</v>
      </c>
      <c r="BQ139" s="7"/>
      <c r="BR139" s="28"/>
      <c r="BS139" s="28">
        <f>IF(Q139&lt;=1600,Q139*18,IF(Q139&lt;=2500,Q139*19,IF(Q139&gt;2500,Q139*24,20000)))</f>
        <v>17964</v>
      </c>
      <c r="BT139" s="28"/>
      <c r="BU139" s="28"/>
      <c r="BV139" s="28"/>
      <c r="BW139" s="7"/>
      <c r="BX139" s="28"/>
      <c r="BY139" s="28"/>
      <c r="BZ139" s="28"/>
      <c r="CA139" s="28"/>
      <c r="CB139" s="28"/>
      <c r="CC139" s="15" t="s">
        <v>154</v>
      </c>
      <c r="CD139" s="15" t="s">
        <v>154</v>
      </c>
      <c r="CE139" s="29">
        <v>509000</v>
      </c>
      <c r="CF139" s="9">
        <f>U139*12</f>
        <v>12</v>
      </c>
      <c r="CG139" s="9">
        <f>CF139*CE139</f>
        <v>6108000</v>
      </c>
      <c r="CH139" s="29">
        <v>8000000</v>
      </c>
      <c r="CI139" s="29">
        <v>2000000</v>
      </c>
      <c r="CJ139" s="29">
        <v>16024000</v>
      </c>
      <c r="CK139" s="51">
        <v>0.03</v>
      </c>
      <c r="CL139" s="48">
        <v>0.06</v>
      </c>
      <c r="CM139" s="20" t="s">
        <v>1407</v>
      </c>
      <c r="CN139" s="7"/>
      <c r="CO139" s="7"/>
      <c r="CP139" s="27">
        <v>0.03</v>
      </c>
      <c r="CQ139" s="28"/>
      <c r="CR139" s="24" t="s">
        <v>1418</v>
      </c>
      <c r="CS139" s="24">
        <v>209000</v>
      </c>
      <c r="CT139" s="24" t="s">
        <v>218</v>
      </c>
      <c r="CU139" s="24">
        <v>52800</v>
      </c>
      <c r="CV139" s="24" t="s">
        <v>788</v>
      </c>
      <c r="CW139" s="24">
        <v>15000</v>
      </c>
      <c r="CX139" s="28"/>
      <c r="CY139" s="28"/>
      <c r="CZ139" s="28"/>
      <c r="DA139" s="28"/>
      <c r="DB139" s="28"/>
      <c r="DC139" s="24" t="str">
        <f>IF(DD139="정수원 실장","기아", IF(DD139="박현식 부장", "현대", IF(DD139="김성진 팀장", "한성", IF(DD139="전석영 부장", "한성", IF(DD139= "박봉호 부장", "모토원",IF(DD139="정원철 부장", "한성"))))))</f>
        <v>기아</v>
      </c>
      <c r="DD139" s="24" t="s">
        <v>121</v>
      </c>
      <c r="DE139" s="24" t="s">
        <v>501</v>
      </c>
      <c r="DF139" s="7" t="s">
        <v>1399</v>
      </c>
      <c r="DG139" s="7" t="s">
        <v>376</v>
      </c>
      <c r="DH139" s="7" t="s">
        <v>1408</v>
      </c>
      <c r="DI139" s="7" t="s">
        <v>1409</v>
      </c>
      <c r="DJ139" s="7" t="s">
        <v>1410</v>
      </c>
      <c r="DK139" s="38">
        <v>0.35</v>
      </c>
      <c r="DL139" s="38">
        <v>0.25</v>
      </c>
      <c r="DM139" s="7"/>
      <c r="DN139" s="29"/>
      <c r="DO139" s="28"/>
      <c r="DP139" s="28"/>
      <c r="DQ139" s="28"/>
    </row>
    <row r="140" spans="1:121">
      <c r="B140" s="7">
        <v>135</v>
      </c>
      <c r="C140" s="7" t="s">
        <v>812</v>
      </c>
      <c r="D140" s="36" t="s">
        <v>1585</v>
      </c>
      <c r="E140" s="7" t="s">
        <v>1420</v>
      </c>
      <c r="F140" s="7" t="s">
        <v>814</v>
      </c>
      <c r="G140" s="7" t="s">
        <v>815</v>
      </c>
      <c r="H140" s="7" t="s">
        <v>180</v>
      </c>
      <c r="I140" s="7" t="s">
        <v>816</v>
      </c>
      <c r="J140" s="9">
        <v>64000000</v>
      </c>
      <c r="K140" s="7">
        <v>2023</v>
      </c>
      <c r="L140" s="6" t="s">
        <v>124</v>
      </c>
      <c r="M140" s="6" t="s">
        <v>90</v>
      </c>
      <c r="N140" s="7" t="s">
        <v>817</v>
      </c>
      <c r="O140" s="7" t="s">
        <v>818</v>
      </c>
      <c r="P140" s="7" t="s">
        <v>98</v>
      </c>
      <c r="Q140" s="33">
        <v>2497</v>
      </c>
      <c r="R140" s="11">
        <v>44881</v>
      </c>
      <c r="S140" s="11">
        <v>46024</v>
      </c>
      <c r="T140" s="11">
        <v>46023</v>
      </c>
      <c r="U140" s="13">
        <f>11/12</f>
        <v>0.91666666666666663</v>
      </c>
      <c r="V140" s="11">
        <f>IFERROR(T140+AD140, "-")</f>
        <v>46357.583333333336</v>
      </c>
      <c r="W140" s="7">
        <f ca="1">IFERROR(DATEDIF(TODAY(), V140, "m"), "-")</f>
        <v>3</v>
      </c>
      <c r="X140" s="13">
        <v>30000</v>
      </c>
      <c r="Y140" s="7" t="s">
        <v>1424</v>
      </c>
      <c r="Z140" s="7" t="s">
        <v>1422</v>
      </c>
      <c r="AA140" s="9"/>
      <c r="AB140" s="9" t="s">
        <v>1421</v>
      </c>
      <c r="AC140" s="11">
        <v>46047</v>
      </c>
      <c r="AD140" s="7">
        <f>365*U140</f>
        <v>334.58333333333331</v>
      </c>
      <c r="AE140" s="18">
        <f ca="1">V140-TODAY()</f>
        <v>105.58333333333576</v>
      </c>
      <c r="AF140" s="7" t="e">
        <f>VLOOKUP($C140,#REF!, 4, FALSE)</f>
        <v>#REF!</v>
      </c>
      <c r="AG140" s="9">
        <v>59925897</v>
      </c>
      <c r="AH140" s="9">
        <v>3906103</v>
      </c>
      <c r="AI140" s="9">
        <f>AG140-AH140</f>
        <v>56019794</v>
      </c>
      <c r="AJ140" s="9">
        <v>332000</v>
      </c>
      <c r="AK140" s="9">
        <v>2000</v>
      </c>
      <c r="AL140" s="9">
        <v>2197300</v>
      </c>
      <c r="AM140" s="9">
        <v>348768</v>
      </c>
      <c r="AN140" s="9">
        <v>2000</v>
      </c>
      <c r="AO140" s="9">
        <v>45000</v>
      </c>
      <c r="AP140" s="9">
        <v>50000</v>
      </c>
      <c r="AQ140" s="9"/>
      <c r="AR140" s="9">
        <v>154000</v>
      </c>
      <c r="AS140" s="9" t="s">
        <v>820</v>
      </c>
      <c r="AT140" s="9">
        <v>198000</v>
      </c>
      <c r="AU140" s="9" t="s">
        <v>126</v>
      </c>
      <c r="AV140" s="9">
        <v>2633068</v>
      </c>
      <c r="AW140" s="19">
        <f>SUM(AJ140,AK140,AN140,AO140,AP140, AR140,AT140+AL140+AM140)</f>
        <v>3329068</v>
      </c>
      <c r="AX140" s="7" t="s">
        <v>196</v>
      </c>
      <c r="AY140" s="53">
        <v>44881</v>
      </c>
      <c r="AZ140" s="9">
        <v>1053080</v>
      </c>
      <c r="BA140" s="9"/>
      <c r="BB140" s="9"/>
      <c r="BC140" s="9"/>
      <c r="BD140" s="9"/>
      <c r="BE140" s="9" t="s">
        <v>93</v>
      </c>
      <c r="BF140" s="9" t="s">
        <v>94</v>
      </c>
      <c r="BG140" s="9" t="s">
        <v>95</v>
      </c>
      <c r="BH140" s="9" t="s">
        <v>96</v>
      </c>
      <c r="BI140" s="9" t="s">
        <v>97</v>
      </c>
      <c r="BJ140" s="9" t="s">
        <v>127</v>
      </c>
      <c r="BK140" s="7" t="s">
        <v>130</v>
      </c>
      <c r="BL140" s="9" t="s">
        <v>99</v>
      </c>
      <c r="BM140" s="9" t="s">
        <v>148</v>
      </c>
      <c r="BN140" s="9" t="s">
        <v>100</v>
      </c>
      <c r="BO140" s="9" t="s">
        <v>101</v>
      </c>
      <c r="BP140" s="9" t="s">
        <v>101</v>
      </c>
      <c r="BQ140" s="9"/>
      <c r="BR140" s="7"/>
      <c r="BS140" s="9">
        <f>IF(Q140&lt;=1600,Q140*18,IF(Q140&lt;=2500,Q140*19,IF(Q140&gt;2500,Q140*24,20000)))</f>
        <v>47443</v>
      </c>
      <c r="BT140" s="7" t="s">
        <v>140</v>
      </c>
      <c r="BU140" s="22"/>
      <c r="BV140" s="9"/>
      <c r="BW140" s="14"/>
      <c r="BX140" s="9"/>
      <c r="BY140" s="9"/>
      <c r="BZ140" s="9"/>
      <c r="CA140" s="27">
        <v>0</v>
      </c>
      <c r="CB140" s="1"/>
      <c r="CC140" s="15" t="s">
        <v>154</v>
      </c>
      <c r="CD140" s="15" t="s">
        <v>154</v>
      </c>
      <c r="CE140" s="9">
        <v>1208000</v>
      </c>
      <c r="CF140" s="9">
        <f>U140*12</f>
        <v>11</v>
      </c>
      <c r="CG140" s="9">
        <f>CF140*CE140</f>
        <v>13288000</v>
      </c>
      <c r="CH140" s="9">
        <v>27389000</v>
      </c>
      <c r="CI140" s="9">
        <v>0</v>
      </c>
      <c r="CJ140" s="9">
        <v>27389000</v>
      </c>
      <c r="CK140" s="51">
        <v>7.6999999999999999E-2</v>
      </c>
      <c r="CL140" s="48">
        <v>0.06</v>
      </c>
      <c r="CM140" s="16" t="s">
        <v>1428</v>
      </c>
      <c r="CN140" s="9"/>
      <c r="CO140" s="9" t="s">
        <v>1423</v>
      </c>
      <c r="CP140" s="27">
        <v>0.03</v>
      </c>
      <c r="CQ140" s="38"/>
      <c r="CR140" s="24" t="s">
        <v>218</v>
      </c>
      <c r="CS140" s="24">
        <v>52800</v>
      </c>
      <c r="CT140" s="24" t="s">
        <v>823</v>
      </c>
      <c r="CU140" s="24">
        <v>40000</v>
      </c>
      <c r="CV140" s="24">
        <v>0</v>
      </c>
      <c r="CW140" s="24">
        <v>0</v>
      </c>
      <c r="CX140" s="24">
        <v>0</v>
      </c>
      <c r="CY140" s="24">
        <v>0</v>
      </c>
      <c r="CZ140" s="24">
        <v>0</v>
      </c>
      <c r="DA140" s="24">
        <v>0</v>
      </c>
      <c r="DB140" s="24">
        <v>0</v>
      </c>
      <c r="DC140" s="24" t="s">
        <v>128</v>
      </c>
      <c r="DD140" s="24" t="s">
        <v>129</v>
      </c>
      <c r="DE140" s="24" t="s">
        <v>113</v>
      </c>
      <c r="DF140" s="24" t="s">
        <v>1420</v>
      </c>
      <c r="DG140" s="24" t="s">
        <v>824</v>
      </c>
      <c r="DH140" s="24" t="s">
        <v>1427</v>
      </c>
      <c r="DI140" s="24" t="s">
        <v>1425</v>
      </c>
      <c r="DJ140" s="24" t="s">
        <v>1421</v>
      </c>
      <c r="DK140" s="38">
        <v>0.35</v>
      </c>
      <c r="DL140" s="76">
        <v>0.2</v>
      </c>
      <c r="DM140" s="24" t="s">
        <v>1426</v>
      </c>
      <c r="DN140" s="46"/>
      <c r="DO140" s="24"/>
      <c r="DP140" s="24"/>
      <c r="DQ140" s="38"/>
    </row>
    <row r="141" spans="1:121">
      <c r="B141" s="7">
        <v>136</v>
      </c>
      <c r="C141" s="7" t="s">
        <v>1433</v>
      </c>
      <c r="D141" s="36" t="s">
        <v>1585</v>
      </c>
      <c r="E141" s="7" t="s">
        <v>529</v>
      </c>
      <c r="F141" s="7" t="s">
        <v>530</v>
      </c>
      <c r="G141" s="7" t="s">
        <v>531</v>
      </c>
      <c r="H141" s="38" t="s">
        <v>1434</v>
      </c>
      <c r="I141" s="46" t="s">
        <v>1435</v>
      </c>
      <c r="J141" s="18">
        <v>25980000</v>
      </c>
      <c r="K141" s="7">
        <v>2026</v>
      </c>
      <c r="L141" s="38" t="s">
        <v>1436</v>
      </c>
      <c r="M141" s="6" t="s">
        <v>90</v>
      </c>
      <c r="N141" s="38" t="s">
        <v>1443</v>
      </c>
      <c r="O141" s="7" t="s">
        <v>1444</v>
      </c>
      <c r="P141" s="7" t="s">
        <v>1437</v>
      </c>
      <c r="Q141" s="33">
        <v>1580</v>
      </c>
      <c r="R141" s="11">
        <v>46035</v>
      </c>
      <c r="S141" s="11">
        <v>46031</v>
      </c>
      <c r="T141" s="11">
        <v>46036</v>
      </c>
      <c r="U141" s="12" t="s">
        <v>496</v>
      </c>
      <c r="V141" s="11">
        <f>IFERROR(T141+AD141, "-")</f>
        <v>47496</v>
      </c>
      <c r="W141" s="7">
        <f ca="1">IFERROR(DATEDIF(TODAY(), V141, "m"), "-")</f>
        <v>40</v>
      </c>
      <c r="X141" s="82">
        <v>20000</v>
      </c>
      <c r="Y141" s="18" t="s">
        <v>534</v>
      </c>
      <c r="Z141" s="7" t="s">
        <v>535</v>
      </c>
      <c r="AA141" s="38"/>
      <c r="AB141" s="18" t="s">
        <v>536</v>
      </c>
      <c r="AC141" s="11">
        <v>46058</v>
      </c>
      <c r="AD141" s="7">
        <f>365*U141</f>
        <v>1460</v>
      </c>
      <c r="AE141" s="46">
        <f ca="1">V141-TODAY()</f>
        <v>1244</v>
      </c>
      <c r="AF141" s="7" t="e">
        <f>VLOOKUP($C141,#REF!, 4, FALSE)</f>
        <v>#REF!</v>
      </c>
      <c r="AG141" s="46">
        <f>23910000+1980000</f>
        <v>25890000</v>
      </c>
      <c r="AH141" s="9">
        <v>0</v>
      </c>
      <c r="AI141" s="9">
        <f>AG141-AH141</f>
        <v>25890000</v>
      </c>
      <c r="AJ141" s="9">
        <v>300000</v>
      </c>
      <c r="AK141" s="9">
        <v>2000</v>
      </c>
      <c r="AL141" s="46"/>
      <c r="AM141" s="46"/>
      <c r="AN141" s="46"/>
      <c r="AO141" s="46"/>
      <c r="AP141" s="46"/>
      <c r="AQ141" s="46"/>
      <c r="AR141" s="46"/>
      <c r="AS141" s="46"/>
      <c r="AT141" s="46"/>
      <c r="AU141" s="18" t="s">
        <v>126</v>
      </c>
      <c r="AV141" s="46"/>
      <c r="AW141" s="46"/>
      <c r="AX141" s="7" t="s">
        <v>196</v>
      </c>
      <c r="AY141" s="53"/>
      <c r="AZ141" s="46"/>
      <c r="BA141" s="46"/>
      <c r="BB141" s="46"/>
      <c r="BC141" s="46"/>
      <c r="BD141" s="28"/>
      <c r="BE141" s="18" t="s">
        <v>93</v>
      </c>
      <c r="BF141" s="18" t="s">
        <v>94</v>
      </c>
      <c r="BG141" s="18" t="s">
        <v>1032</v>
      </c>
      <c r="BH141" s="18" t="s">
        <v>1033</v>
      </c>
      <c r="BI141" s="18" t="s">
        <v>97</v>
      </c>
      <c r="BJ141" s="18" t="s">
        <v>119</v>
      </c>
      <c r="BK141" s="7" t="s">
        <v>130</v>
      </c>
      <c r="BL141" s="18" t="s">
        <v>99</v>
      </c>
      <c r="BM141" s="18" t="s">
        <v>100</v>
      </c>
      <c r="BN141" s="18" t="s">
        <v>100</v>
      </c>
      <c r="BO141" s="18" t="s">
        <v>1439</v>
      </c>
      <c r="BP141" s="18" t="s">
        <v>101</v>
      </c>
      <c r="BQ141" s="7"/>
      <c r="BR141" s="28"/>
      <c r="BS141" s="18">
        <f>IF(Q141&lt;=1600,Q141*18,IF(Q141&lt;=2500,Q141*19,IF(Q141&gt;2500,Q141*24,20000)))</f>
        <v>28440</v>
      </c>
      <c r="BT141" s="7" t="s">
        <v>140</v>
      </c>
      <c r="BU141" s="28"/>
      <c r="BV141" s="28"/>
      <c r="BW141" s="7"/>
      <c r="BX141" s="28"/>
      <c r="BY141" s="28"/>
      <c r="BZ141" s="28"/>
      <c r="CA141" s="27"/>
      <c r="CB141" s="28"/>
      <c r="CC141" s="15" t="s">
        <v>91</v>
      </c>
      <c r="CD141" s="15" t="s">
        <v>91</v>
      </c>
      <c r="CE141" s="29">
        <v>317400</v>
      </c>
      <c r="CF141" s="18">
        <v>48</v>
      </c>
      <c r="CG141" s="18">
        <f>CF141*CE141</f>
        <v>15235200</v>
      </c>
      <c r="CH141" s="29">
        <v>0</v>
      </c>
      <c r="CI141" s="29">
        <v>7767000</v>
      </c>
      <c r="CJ141" s="29">
        <v>15471000</v>
      </c>
      <c r="CK141" s="48">
        <v>0.03</v>
      </c>
      <c r="CL141" s="48">
        <v>0.06</v>
      </c>
      <c r="CM141" s="83" t="s">
        <v>537</v>
      </c>
      <c r="CN141" s="7"/>
      <c r="CO141" s="7"/>
      <c r="CP141" s="47">
        <v>0.03</v>
      </c>
      <c r="CQ141" s="28"/>
      <c r="CR141" s="55" t="s">
        <v>218</v>
      </c>
      <c r="CS141" s="55">
        <v>52800</v>
      </c>
      <c r="CT141" s="55" t="s">
        <v>823</v>
      </c>
      <c r="CU141" s="55">
        <v>40000</v>
      </c>
      <c r="CV141" s="28"/>
      <c r="CW141" s="28"/>
      <c r="CX141" s="28"/>
      <c r="CY141" s="28"/>
      <c r="CZ141" s="28"/>
      <c r="DA141" s="28"/>
      <c r="DB141" s="28"/>
      <c r="DC141" s="55" t="s">
        <v>128</v>
      </c>
      <c r="DD141" s="55" t="s">
        <v>129</v>
      </c>
      <c r="DE141" s="55" t="s">
        <v>113</v>
      </c>
      <c r="DF141" s="7" t="s">
        <v>1440</v>
      </c>
      <c r="DG141" s="55" t="s">
        <v>824</v>
      </c>
      <c r="DH141" s="55" t="s">
        <v>1071</v>
      </c>
      <c r="DI141" s="55" t="s">
        <v>538</v>
      </c>
      <c r="DJ141" s="55" t="s">
        <v>1072</v>
      </c>
      <c r="DK141" s="56">
        <v>0.35</v>
      </c>
      <c r="DL141" s="38">
        <v>0.25</v>
      </c>
      <c r="DM141" s="7" t="s">
        <v>1438</v>
      </c>
      <c r="DN141" s="29">
        <v>1310108</v>
      </c>
      <c r="DO141" s="28"/>
      <c r="DP141" s="28"/>
      <c r="DQ141" s="28"/>
    </row>
    <row r="142" spans="1:121">
      <c r="B142" s="7">
        <v>137</v>
      </c>
      <c r="C142" s="7" t="s">
        <v>1288</v>
      </c>
      <c r="D142" s="36" t="s">
        <v>1585</v>
      </c>
      <c r="E142" s="7" t="s">
        <v>1445</v>
      </c>
      <c r="F142" s="7" t="s">
        <v>1445</v>
      </c>
      <c r="G142" s="7" t="s">
        <v>1446</v>
      </c>
      <c r="H142" s="38" t="s">
        <v>1447</v>
      </c>
      <c r="I142" s="46" t="s">
        <v>214</v>
      </c>
      <c r="J142" s="18">
        <v>22980000</v>
      </c>
      <c r="K142" s="7">
        <v>2022</v>
      </c>
      <c r="L142" s="38" t="s">
        <v>1448</v>
      </c>
      <c r="M142" s="38" t="s">
        <v>1449</v>
      </c>
      <c r="N142" s="38" t="s">
        <v>1450</v>
      </c>
      <c r="O142" s="7" t="s">
        <v>1451</v>
      </c>
      <c r="P142" s="7" t="s">
        <v>1452</v>
      </c>
      <c r="Q142" s="33">
        <v>1597</v>
      </c>
      <c r="R142" s="11">
        <v>44866</v>
      </c>
      <c r="S142" s="11">
        <v>45992</v>
      </c>
      <c r="T142" s="11">
        <v>45994</v>
      </c>
      <c r="U142" s="12" t="s">
        <v>1453</v>
      </c>
      <c r="V142" s="11">
        <f>IFERROR(T142+AD142, "-")</f>
        <v>47089</v>
      </c>
      <c r="W142" s="7">
        <f ca="1">IFERROR(DATEDIF(TODAY(), V142, "m"), "-")</f>
        <v>27</v>
      </c>
      <c r="X142" s="9">
        <v>20000</v>
      </c>
      <c r="Y142" s="38" t="s">
        <v>1445</v>
      </c>
      <c r="Z142" s="38" t="s">
        <v>1446</v>
      </c>
      <c r="AA142" s="38"/>
      <c r="AB142" s="11"/>
      <c r="AC142" s="11">
        <v>46016</v>
      </c>
      <c r="AD142" s="7">
        <f>365*U142</f>
        <v>1095</v>
      </c>
      <c r="AE142" s="46">
        <f ca="1">V142-TODAY()</f>
        <v>837</v>
      </c>
      <c r="AF142" s="7" t="e">
        <f>VLOOKUP($C142,#REF!, 4, FALSE)</f>
        <v>#REF!</v>
      </c>
      <c r="AG142" s="46"/>
      <c r="AH142" s="9"/>
      <c r="AI142" s="9"/>
      <c r="AJ142" s="9"/>
      <c r="AK142" s="9"/>
      <c r="AL142" s="46"/>
      <c r="AM142" s="46"/>
      <c r="AN142" s="46"/>
      <c r="AO142" s="46"/>
      <c r="AP142" s="46"/>
      <c r="AQ142" s="46"/>
      <c r="AR142" s="9">
        <v>154000</v>
      </c>
      <c r="AS142" s="9" t="s">
        <v>216</v>
      </c>
      <c r="AT142" s="9">
        <v>66000</v>
      </c>
      <c r="AU142" s="9" t="s">
        <v>217</v>
      </c>
      <c r="AV142" s="46">
        <v>1033404</v>
      </c>
      <c r="AW142" s="46"/>
      <c r="AX142" s="46" t="s">
        <v>196</v>
      </c>
      <c r="AY142" s="53"/>
      <c r="AZ142" s="46">
        <v>1189980</v>
      </c>
      <c r="BA142" s="46"/>
      <c r="BB142" s="46"/>
      <c r="BC142" s="46"/>
      <c r="BD142" s="28"/>
      <c r="BE142" s="7" t="s">
        <v>1454</v>
      </c>
      <c r="BF142" s="7" t="s">
        <v>1455</v>
      </c>
      <c r="BG142" s="7" t="s">
        <v>1456</v>
      </c>
      <c r="BH142" s="7" t="s">
        <v>1457</v>
      </c>
      <c r="BI142" s="7" t="s">
        <v>583</v>
      </c>
      <c r="BJ142" s="7" t="s">
        <v>1458</v>
      </c>
      <c r="BK142" s="7" t="s">
        <v>1459</v>
      </c>
      <c r="BL142" s="7" t="s">
        <v>1460</v>
      </c>
      <c r="BM142" s="7" t="s">
        <v>1461</v>
      </c>
      <c r="BN142" s="7" t="s">
        <v>1461</v>
      </c>
      <c r="BO142" s="7" t="s">
        <v>1462</v>
      </c>
      <c r="BP142" s="7" t="s">
        <v>1462</v>
      </c>
      <c r="BQ142" s="7"/>
      <c r="BR142" s="28"/>
      <c r="BS142" s="28">
        <v>28746</v>
      </c>
      <c r="BT142" s="7" t="s">
        <v>1463</v>
      </c>
      <c r="BU142" s="28"/>
      <c r="BV142" s="28"/>
      <c r="BW142" s="7"/>
      <c r="BX142" s="28"/>
      <c r="BY142" s="28"/>
      <c r="BZ142" s="28"/>
      <c r="CA142" s="27">
        <v>0</v>
      </c>
      <c r="CB142" s="28"/>
      <c r="CC142" s="15" t="s">
        <v>154</v>
      </c>
      <c r="CD142" s="15" t="s">
        <v>154</v>
      </c>
      <c r="CE142" s="29">
        <v>270000</v>
      </c>
      <c r="CF142" s="18">
        <v>36</v>
      </c>
      <c r="CG142" s="29">
        <v>9720000</v>
      </c>
      <c r="CH142" s="29">
        <v>0</v>
      </c>
      <c r="CI142" s="29">
        <v>6960000</v>
      </c>
      <c r="CJ142" s="29">
        <v>9570000</v>
      </c>
      <c r="CK142" s="48">
        <v>0.03</v>
      </c>
      <c r="CL142" s="48">
        <v>0.06</v>
      </c>
      <c r="CM142" s="7" t="s">
        <v>1464</v>
      </c>
      <c r="CN142" s="7"/>
      <c r="CO142" s="7"/>
      <c r="CP142" s="47">
        <v>0.03</v>
      </c>
      <c r="CQ142" s="28"/>
      <c r="CR142" s="28" t="s">
        <v>1343</v>
      </c>
      <c r="CS142" s="28">
        <v>47300</v>
      </c>
      <c r="CT142" s="28">
        <v>0</v>
      </c>
      <c r="CU142" s="28">
        <v>0</v>
      </c>
      <c r="CV142" s="28">
        <v>0</v>
      </c>
      <c r="CW142" s="28">
        <v>0</v>
      </c>
      <c r="CX142" s="28">
        <v>0</v>
      </c>
      <c r="CY142" s="28">
        <v>0</v>
      </c>
      <c r="CZ142" s="28">
        <v>0</v>
      </c>
      <c r="DA142" s="28">
        <v>0</v>
      </c>
      <c r="DB142" s="28">
        <v>0</v>
      </c>
      <c r="DC142" s="28" t="s">
        <v>1465</v>
      </c>
      <c r="DD142" s="28" t="s">
        <v>1466</v>
      </c>
      <c r="DE142" s="28" t="s">
        <v>501</v>
      </c>
      <c r="DF142" s="7" t="s">
        <v>1467</v>
      </c>
      <c r="DG142" s="7" t="s">
        <v>1468</v>
      </c>
      <c r="DH142" s="7" t="s">
        <v>1469</v>
      </c>
      <c r="DI142" s="7" t="s">
        <v>1470</v>
      </c>
      <c r="DJ142" s="7" t="s">
        <v>1471</v>
      </c>
      <c r="DK142" s="56">
        <v>0.35</v>
      </c>
      <c r="DL142" s="47">
        <v>0.26</v>
      </c>
      <c r="DM142" s="7"/>
      <c r="DN142" s="29"/>
      <c r="DO142" s="28"/>
      <c r="DP142" s="28"/>
      <c r="DQ142" s="28"/>
    </row>
    <row r="143" spans="1:121">
      <c r="B143" s="7">
        <v>138</v>
      </c>
      <c r="C143" s="7" t="s">
        <v>237</v>
      </c>
      <c r="D143" s="7" t="s">
        <v>178</v>
      </c>
      <c r="E143" s="7" t="s">
        <v>238</v>
      </c>
      <c r="F143" s="7" t="s">
        <v>239</v>
      </c>
      <c r="G143" s="7" t="s">
        <v>240</v>
      </c>
      <c r="H143" s="7" t="s">
        <v>138</v>
      </c>
      <c r="I143" s="7" t="s">
        <v>241</v>
      </c>
      <c r="J143" s="9">
        <v>97440000</v>
      </c>
      <c r="K143" s="7">
        <v>2025</v>
      </c>
      <c r="L143" s="6" t="s">
        <v>242</v>
      </c>
      <c r="M143" s="6" t="s">
        <v>90</v>
      </c>
      <c r="N143" s="7" t="s">
        <v>243</v>
      </c>
      <c r="O143" s="7" t="s">
        <v>244</v>
      </c>
      <c r="P143" s="7" t="s">
        <v>245</v>
      </c>
      <c r="Q143" s="33">
        <v>3470</v>
      </c>
      <c r="R143" s="11">
        <v>45827</v>
      </c>
      <c r="S143" s="11">
        <v>45810</v>
      </c>
      <c r="T143" s="11">
        <v>45828</v>
      </c>
      <c r="U143" s="12" t="s">
        <v>153</v>
      </c>
      <c r="V143" s="11">
        <f>IFERROR(T143+AD143, "-")</f>
        <v>46923</v>
      </c>
      <c r="W143" s="7">
        <f ca="1">IFERROR(DATEDIF(TODAY(), V143, "m"), "-")</f>
        <v>22</v>
      </c>
      <c r="X143" s="13">
        <v>30000</v>
      </c>
      <c r="Y143" s="7" t="s">
        <v>246</v>
      </c>
      <c r="Z143" s="7" t="s">
        <v>247</v>
      </c>
      <c r="AA143" s="38"/>
      <c r="AB143" s="11"/>
      <c r="AC143" s="11">
        <v>45838</v>
      </c>
      <c r="AD143" s="7">
        <f>365*U143</f>
        <v>1095</v>
      </c>
      <c r="AE143" s="46">
        <f ca="1">V143-TODAY()</f>
        <v>671</v>
      </c>
      <c r="AF143" s="7" t="e">
        <f>VLOOKUP($C143,#REF!, 4, FALSE)</f>
        <v>#REF!</v>
      </c>
      <c r="AG143" s="46"/>
      <c r="AH143" s="9"/>
      <c r="AI143" s="9"/>
      <c r="AJ143" s="9"/>
      <c r="AK143" s="9"/>
      <c r="AL143" s="46"/>
      <c r="AM143" s="46"/>
      <c r="AN143" s="46"/>
      <c r="AO143" s="46"/>
      <c r="AP143" s="46"/>
      <c r="AQ143" s="46"/>
      <c r="AR143" s="9"/>
      <c r="AS143" s="9" t="s">
        <v>187</v>
      </c>
      <c r="AT143" s="9">
        <v>190000</v>
      </c>
      <c r="AU143" s="46" t="s">
        <v>232</v>
      </c>
      <c r="AV143" s="41"/>
      <c r="AW143" s="18"/>
      <c r="AX143" s="18" t="s">
        <v>189</v>
      </c>
      <c r="AY143" s="53"/>
      <c r="AZ143" s="41"/>
      <c r="BA143" s="9"/>
      <c r="BB143" s="9"/>
      <c r="BC143" s="9"/>
      <c r="BD143" s="9"/>
      <c r="BE143" s="9" t="s">
        <v>93</v>
      </c>
      <c r="BF143" s="9" t="s">
        <v>94</v>
      </c>
      <c r="BG143" s="9" t="s">
        <v>95</v>
      </c>
      <c r="BH143" s="9" t="s">
        <v>96</v>
      </c>
      <c r="BI143" s="9" t="s">
        <v>97</v>
      </c>
      <c r="BJ143" s="9" t="s">
        <v>127</v>
      </c>
      <c r="BK143" s="7" t="s">
        <v>190</v>
      </c>
      <c r="BL143" s="9" t="s">
        <v>99</v>
      </c>
      <c r="BM143" s="9" t="s">
        <v>148</v>
      </c>
      <c r="BN143" s="9" t="s">
        <v>148</v>
      </c>
      <c r="BO143" s="9" t="s">
        <v>101</v>
      </c>
      <c r="BP143" s="9" t="s">
        <v>101</v>
      </c>
      <c r="BQ143" s="9"/>
      <c r="BR143" s="7"/>
      <c r="BS143" s="9">
        <f>IF(U143&lt;=1600,U143*18,IF(U143&lt;=2500,U143*19,IF(U143&gt;2500,U143*24,20000)))</f>
        <v>72</v>
      </c>
      <c r="BT143" s="7" t="s">
        <v>140</v>
      </c>
      <c r="BU143" s="22"/>
      <c r="BV143" s="9"/>
      <c r="BW143" s="14"/>
      <c r="BX143" s="9"/>
      <c r="BY143" s="9"/>
      <c r="BZ143" s="9"/>
      <c r="CA143" s="27"/>
      <c r="CB143" s="7"/>
      <c r="CC143" s="15" t="s">
        <v>149</v>
      </c>
      <c r="CD143" s="15" t="s">
        <v>149</v>
      </c>
      <c r="CE143" s="9">
        <v>2560000</v>
      </c>
      <c r="CF143" s="9">
        <v>11</v>
      </c>
      <c r="CG143" s="9">
        <f>CF143*CE143</f>
        <v>28160000</v>
      </c>
      <c r="CH143" s="9">
        <v>8100000</v>
      </c>
      <c r="CI143" s="9">
        <v>0</v>
      </c>
      <c r="CJ143" s="9" t="s">
        <v>248</v>
      </c>
      <c r="CK143" s="51">
        <v>0.03</v>
      </c>
      <c r="CL143" s="48">
        <v>0.06</v>
      </c>
      <c r="CM143" s="16" t="s">
        <v>1358</v>
      </c>
      <c r="CN143" s="16" t="s">
        <v>249</v>
      </c>
      <c r="CO143" s="9"/>
      <c r="CP143" s="27">
        <v>0.03</v>
      </c>
      <c r="CQ143" s="38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 t="s">
        <v>128</v>
      </c>
      <c r="DD143" s="24" t="s">
        <v>129</v>
      </c>
      <c r="DE143" s="24" t="s">
        <v>113</v>
      </c>
      <c r="DF143" s="24" t="s">
        <v>238</v>
      </c>
      <c r="DG143" s="24" t="s">
        <v>250</v>
      </c>
      <c r="DH143" s="24" t="s">
        <v>1539</v>
      </c>
      <c r="DI143" s="24" t="s">
        <v>251</v>
      </c>
      <c r="DJ143" s="24" t="s">
        <v>252</v>
      </c>
      <c r="DK143" s="38">
        <v>0.35</v>
      </c>
      <c r="DL143" s="38">
        <v>0.25</v>
      </c>
      <c r="DM143" s="24" t="s">
        <v>253</v>
      </c>
      <c r="DN143" s="46"/>
      <c r="DO143" s="24"/>
      <c r="DP143" s="24"/>
      <c r="DQ143" s="38"/>
    </row>
    <row r="144" spans="1:121">
      <c r="A144" s="86"/>
      <c r="B144" s="7">
        <v>139</v>
      </c>
      <c r="C144" s="7" t="s">
        <v>136</v>
      </c>
      <c r="D144" s="36" t="s">
        <v>1585</v>
      </c>
      <c r="E144" s="7" t="s">
        <v>1475</v>
      </c>
      <c r="F144" s="7" t="s">
        <v>516</v>
      </c>
      <c r="G144" s="7" t="s">
        <v>1474</v>
      </c>
      <c r="H144" s="7" t="s">
        <v>192</v>
      </c>
      <c r="I144" s="7" t="s">
        <v>139</v>
      </c>
      <c r="J144" s="9">
        <v>16650000</v>
      </c>
      <c r="K144" s="7">
        <v>2026</v>
      </c>
      <c r="L144" s="6" t="s">
        <v>134</v>
      </c>
      <c r="M144" s="6" t="s">
        <v>90</v>
      </c>
      <c r="N144" s="7" t="s">
        <v>1484</v>
      </c>
      <c r="O144" s="21" t="s">
        <v>1485</v>
      </c>
      <c r="P144" s="7" t="s">
        <v>1473</v>
      </c>
      <c r="Q144" s="33">
        <v>998</v>
      </c>
      <c r="R144" s="11">
        <v>46055</v>
      </c>
      <c r="S144" s="11">
        <v>46052</v>
      </c>
      <c r="T144" s="11">
        <v>46056</v>
      </c>
      <c r="U144" s="12" t="s">
        <v>91</v>
      </c>
      <c r="V144" s="11">
        <f>IFERROR(T144+AD144, "-")</f>
        <v>47881</v>
      </c>
      <c r="W144" s="7">
        <f ca="1">IFERROR(DATEDIF(TODAY(), V144, "m"), "-")</f>
        <v>53</v>
      </c>
      <c r="X144" s="13">
        <v>20000</v>
      </c>
      <c r="Y144" s="9" t="s">
        <v>1481</v>
      </c>
      <c r="Z144" s="7" t="s">
        <v>1474</v>
      </c>
      <c r="AA144" s="9"/>
      <c r="AB144" s="9" t="s">
        <v>1476</v>
      </c>
      <c r="AC144" s="11">
        <v>46081</v>
      </c>
      <c r="AD144" s="7">
        <f>365*U144</f>
        <v>1825</v>
      </c>
      <c r="AE144" s="7">
        <f ca="1">V144-TODAY()</f>
        <v>1629</v>
      </c>
      <c r="AF144" s="7" t="e">
        <f>VLOOKUP($C144,#REF!, 4, FALSE)</f>
        <v>#REF!</v>
      </c>
      <c r="AG144" s="41">
        <f>14900000+1750000</f>
        <v>16650000</v>
      </c>
      <c r="AH144" s="9">
        <v>0</v>
      </c>
      <c r="AI144" s="9">
        <f>AG144-AH144</f>
        <v>16650000</v>
      </c>
      <c r="AJ144" s="9">
        <v>197000</v>
      </c>
      <c r="AK144" s="9">
        <v>2000</v>
      </c>
      <c r="AL144" s="9">
        <v>612610</v>
      </c>
      <c r="AM144" s="9">
        <v>0</v>
      </c>
      <c r="AN144" s="9">
        <v>2000</v>
      </c>
      <c r="AO144" s="9">
        <v>28000</v>
      </c>
      <c r="AP144" s="9">
        <v>35000</v>
      </c>
      <c r="AQ144" s="9">
        <v>430000</v>
      </c>
      <c r="AR144" s="9">
        <v>0</v>
      </c>
      <c r="AS144" s="9" t="s">
        <v>195</v>
      </c>
      <c r="AT144" s="9">
        <v>200000</v>
      </c>
      <c r="AU144" s="46" t="s">
        <v>232</v>
      </c>
      <c r="AV144" s="9"/>
      <c r="AW144" s="18">
        <f>SUM(AJ144,AK144,AN144,AO144,AP144, AR144,AT144+AL144+AM144)</f>
        <v>1076610</v>
      </c>
      <c r="AX144" s="18" t="s">
        <v>196</v>
      </c>
      <c r="AY144" s="53"/>
      <c r="AZ144" s="41"/>
      <c r="BA144" s="41"/>
      <c r="BB144" s="9"/>
      <c r="BC144" s="9"/>
      <c r="BD144" s="9"/>
      <c r="BE144" s="9" t="s">
        <v>93</v>
      </c>
      <c r="BF144" s="9" t="s">
        <v>94</v>
      </c>
      <c r="BG144" s="9" t="s">
        <v>117</v>
      </c>
      <c r="BH144" s="9" t="s">
        <v>118</v>
      </c>
      <c r="BI144" s="9" t="s">
        <v>97</v>
      </c>
      <c r="BJ144" s="9" t="s">
        <v>119</v>
      </c>
      <c r="BK144" s="7" t="s">
        <v>130</v>
      </c>
      <c r="BL144" s="9" t="s">
        <v>99</v>
      </c>
      <c r="BM144" s="9" t="s">
        <v>148</v>
      </c>
      <c r="BN144" s="9" t="s">
        <v>148</v>
      </c>
      <c r="BO144" s="9" t="s">
        <v>148</v>
      </c>
      <c r="BP144" s="9" t="s">
        <v>713</v>
      </c>
      <c r="BQ144" s="9" t="s">
        <v>522</v>
      </c>
      <c r="BR144" s="7"/>
      <c r="BS144" s="9">
        <f>IF(Q144&lt;=1600,Q144*18,IF(Q144&lt;=2500,Q144*19,IF(Q144&gt;2500,Q144*24,20000)))</f>
        <v>17964</v>
      </c>
      <c r="BT144" s="7" t="s">
        <v>140</v>
      </c>
      <c r="BU144" s="22"/>
      <c r="BV144" s="9"/>
      <c r="BW144" s="14"/>
      <c r="BX144" s="9"/>
      <c r="BY144" s="9">
        <f>BX144*BW144</f>
        <v>0</v>
      </c>
      <c r="BZ144" s="9">
        <f>BY144-BV144</f>
        <v>0</v>
      </c>
      <c r="CA144" s="27">
        <v>0</v>
      </c>
      <c r="CB144" s="87"/>
      <c r="CC144" s="15" t="s">
        <v>149</v>
      </c>
      <c r="CD144" s="15" t="s">
        <v>149</v>
      </c>
      <c r="CE144" s="9">
        <v>375200</v>
      </c>
      <c r="CF144" s="9">
        <f>U144*12</f>
        <v>60</v>
      </c>
      <c r="CG144" s="9">
        <f>CF144*CE144</f>
        <v>22512000</v>
      </c>
      <c r="CH144" s="9">
        <v>4995000</v>
      </c>
      <c r="CI144" s="9">
        <v>0</v>
      </c>
      <c r="CJ144" s="9">
        <v>6993000</v>
      </c>
      <c r="CK144" s="51">
        <v>0.03</v>
      </c>
      <c r="CL144" s="48">
        <v>0.06</v>
      </c>
      <c r="CM144" s="16" t="s">
        <v>523</v>
      </c>
      <c r="CN144" s="9"/>
      <c r="CO144" s="9" t="s">
        <v>1474</v>
      </c>
      <c r="CP144" s="27">
        <v>0.03</v>
      </c>
      <c r="CQ144" s="38"/>
      <c r="CR144" s="24">
        <v>0</v>
      </c>
      <c r="CS144" s="24">
        <v>0</v>
      </c>
      <c r="CT144" s="55" t="s">
        <v>823</v>
      </c>
      <c r="CU144" s="55">
        <v>40000</v>
      </c>
      <c r="CV144" s="24">
        <v>0</v>
      </c>
      <c r="CW144" s="24">
        <v>0</v>
      </c>
      <c r="CX144" s="24">
        <v>0</v>
      </c>
      <c r="CY144" s="24">
        <v>0</v>
      </c>
      <c r="CZ144" s="24">
        <v>0</v>
      </c>
      <c r="DA144" s="24">
        <v>0</v>
      </c>
      <c r="DB144" s="24">
        <v>0</v>
      </c>
      <c r="DC144" s="24" t="str">
        <f>IF(DD144="정수원 실장","기아", IF(DD144="박현식 부장", "현대", IF(DD144="김성진 팀장", "한성", IF(DD144="전석영 부장", "한성", IF(DD144= "박봉호 부장", "모토원",IF(DD144="정원철 부장", "한성"))))))</f>
        <v>기아</v>
      </c>
      <c r="DD144" s="24" t="s">
        <v>121</v>
      </c>
      <c r="DE144" s="24" t="s">
        <v>501</v>
      </c>
      <c r="DF144" s="24" t="s">
        <v>1477</v>
      </c>
      <c r="DG144" s="55" t="s">
        <v>824</v>
      </c>
      <c r="DH144" s="24" t="s">
        <v>1478</v>
      </c>
      <c r="DI144" s="24" t="s">
        <v>1479</v>
      </c>
      <c r="DJ144" s="24" t="s">
        <v>1476</v>
      </c>
      <c r="DK144" s="38">
        <v>0.35</v>
      </c>
      <c r="DL144" s="38">
        <v>0.25</v>
      </c>
      <c r="DM144" s="24" t="s">
        <v>1480</v>
      </c>
      <c r="DN144" s="46">
        <v>0</v>
      </c>
      <c r="DO144" s="24"/>
      <c r="DP144" s="24"/>
      <c r="DQ144" s="38"/>
    </row>
    <row r="145" spans="2:121">
      <c r="B145" s="7">
        <v>140</v>
      </c>
      <c r="C145" s="7" t="s">
        <v>1482</v>
      </c>
      <c r="D145" s="36" t="s">
        <v>1585</v>
      </c>
      <c r="E145" s="7" t="s">
        <v>1490</v>
      </c>
      <c r="F145" s="7" t="s">
        <v>1483</v>
      </c>
      <c r="G145" s="7" t="s">
        <v>1489</v>
      </c>
      <c r="H145" s="38" t="s">
        <v>1091</v>
      </c>
      <c r="I145" s="46" t="s">
        <v>1491</v>
      </c>
      <c r="J145" s="18">
        <v>47600000</v>
      </c>
      <c r="K145" s="7">
        <v>2026</v>
      </c>
      <c r="L145" s="38" t="s">
        <v>1363</v>
      </c>
      <c r="M145" s="38" t="s">
        <v>90</v>
      </c>
      <c r="N145" s="38" t="s">
        <v>1523</v>
      </c>
      <c r="O145" s="7" t="s">
        <v>1553</v>
      </c>
      <c r="P145" s="7" t="s">
        <v>1492</v>
      </c>
      <c r="Q145" s="33">
        <v>1597</v>
      </c>
      <c r="R145" s="11">
        <v>46073</v>
      </c>
      <c r="S145" s="11">
        <v>46056</v>
      </c>
      <c r="T145" s="11">
        <v>46078</v>
      </c>
      <c r="U145" s="12" t="s">
        <v>91</v>
      </c>
      <c r="V145" s="11">
        <f>IFERROR(T145+AD145, "-")</f>
        <v>47903</v>
      </c>
      <c r="W145" s="7">
        <f ca="1">IFERROR(DATEDIF(TODAY(), V145, "m"), "-")</f>
        <v>54</v>
      </c>
      <c r="X145" s="13">
        <v>20000</v>
      </c>
      <c r="Y145" s="7" t="s">
        <v>1483</v>
      </c>
      <c r="Z145" s="7" t="s">
        <v>1489</v>
      </c>
      <c r="AA145" s="38"/>
      <c r="AB145" s="11"/>
      <c r="AC145" s="11">
        <v>46106</v>
      </c>
      <c r="AD145" s="7">
        <f>365*U145</f>
        <v>1825</v>
      </c>
      <c r="AE145" s="7">
        <f ca="1">V145-TODAY()</f>
        <v>1651</v>
      </c>
      <c r="AF145" s="7" t="e">
        <f>VLOOKUP($C145,#REF!, 4, FALSE)</f>
        <v>#REF!</v>
      </c>
      <c r="AG145" s="46">
        <f>45230000+2270000+100000</f>
        <v>47600000</v>
      </c>
      <c r="AH145" s="9">
        <v>1000000</v>
      </c>
      <c r="AI145" s="9">
        <f>AG145-AH145</f>
        <v>46600000</v>
      </c>
      <c r="AJ145" s="9">
        <v>192000</v>
      </c>
      <c r="AK145" s="9">
        <v>1900</v>
      </c>
      <c r="AL145" s="46">
        <v>1613930</v>
      </c>
      <c r="AM145" s="46">
        <v>0</v>
      </c>
      <c r="AN145" s="46">
        <v>2000</v>
      </c>
      <c r="AO145" s="46">
        <v>40000</v>
      </c>
      <c r="AP145" s="46">
        <v>33000</v>
      </c>
      <c r="AQ145" s="46"/>
      <c r="AR145" s="46"/>
      <c r="AS145" s="46" t="s">
        <v>125</v>
      </c>
      <c r="AT145" s="46">
        <v>190000</v>
      </c>
      <c r="AU145" s="46" t="s">
        <v>188</v>
      </c>
      <c r="AV145" s="46"/>
      <c r="AW145" s="46"/>
      <c r="AX145" s="18" t="s">
        <v>196</v>
      </c>
      <c r="AY145" s="53"/>
      <c r="AZ145" s="46"/>
      <c r="BA145" s="46"/>
      <c r="BB145" s="46"/>
      <c r="BC145" s="46"/>
      <c r="BD145" s="28"/>
      <c r="BE145" s="9" t="s">
        <v>93</v>
      </c>
      <c r="BF145" s="9" t="s">
        <v>94</v>
      </c>
      <c r="BG145" s="9" t="s">
        <v>117</v>
      </c>
      <c r="BH145" s="9" t="s">
        <v>118</v>
      </c>
      <c r="BI145" s="9" t="s">
        <v>97</v>
      </c>
      <c r="BJ145" s="9" t="s">
        <v>119</v>
      </c>
      <c r="BK145" s="7" t="s">
        <v>130</v>
      </c>
      <c r="BL145" s="9" t="s">
        <v>99</v>
      </c>
      <c r="BM145" s="9" t="s">
        <v>148</v>
      </c>
      <c r="BN145" s="9" t="s">
        <v>148</v>
      </c>
      <c r="BO145" s="9" t="s">
        <v>148</v>
      </c>
      <c r="BP145" s="9" t="s">
        <v>713</v>
      </c>
      <c r="BQ145" s="7"/>
      <c r="BR145" s="28"/>
      <c r="BS145" s="9">
        <f>IF(Q145&lt;=1600,Q145*18,IF(Q145&lt;=2500,Q145*19,IF(Q145&gt;2500,Q145*24,20000)))</f>
        <v>28746</v>
      </c>
      <c r="BT145" s="7" t="s">
        <v>140</v>
      </c>
      <c r="BU145" s="28"/>
      <c r="BV145" s="28"/>
      <c r="BW145" s="7"/>
      <c r="BX145" s="28"/>
      <c r="BY145" s="28"/>
      <c r="BZ145" s="28"/>
      <c r="CA145" s="28"/>
      <c r="CB145" s="28"/>
      <c r="CC145" s="15" t="s">
        <v>154</v>
      </c>
      <c r="CD145" s="15" t="s">
        <v>154</v>
      </c>
      <c r="CE145" s="29">
        <v>640000</v>
      </c>
      <c r="CF145" s="18">
        <v>60</v>
      </c>
      <c r="CG145" s="9">
        <f>CF145*CE145</f>
        <v>38400000</v>
      </c>
      <c r="CH145" s="29">
        <v>7140000</v>
      </c>
      <c r="CI145" s="29">
        <v>7140000</v>
      </c>
      <c r="CJ145" s="29">
        <v>22848000</v>
      </c>
      <c r="CK145" s="51">
        <v>0.03</v>
      </c>
      <c r="CL145" s="48">
        <v>0.06</v>
      </c>
      <c r="CM145" s="20" t="s">
        <v>1527</v>
      </c>
      <c r="CN145" s="7"/>
      <c r="CO145" s="7"/>
      <c r="CP145" s="27">
        <v>0.03</v>
      </c>
      <c r="CQ145" s="28"/>
      <c r="CR145" s="28" t="s">
        <v>1526</v>
      </c>
      <c r="CS145" s="28"/>
      <c r="CT145" s="28" t="s">
        <v>1554</v>
      </c>
      <c r="CU145" s="28">
        <v>150000</v>
      </c>
      <c r="CV145" s="28"/>
      <c r="CW145" s="28"/>
      <c r="CX145" s="28"/>
      <c r="CY145" s="28"/>
      <c r="CZ145" s="28"/>
      <c r="DA145" s="28"/>
      <c r="DB145" s="28"/>
      <c r="DC145" s="24" t="s">
        <v>128</v>
      </c>
      <c r="DD145" s="24" t="s">
        <v>129</v>
      </c>
      <c r="DE145" s="24" t="s">
        <v>113</v>
      </c>
      <c r="DF145" s="7" t="s">
        <v>1493</v>
      </c>
      <c r="DG145" s="7" t="s">
        <v>219</v>
      </c>
      <c r="DH145" s="7" t="s">
        <v>1494</v>
      </c>
      <c r="DI145" s="7" t="s">
        <v>1495</v>
      </c>
      <c r="DJ145" s="7" t="s">
        <v>1496</v>
      </c>
      <c r="DK145" s="38">
        <v>0.35</v>
      </c>
      <c r="DL145" s="38">
        <v>0.25</v>
      </c>
      <c r="DM145" s="7" t="s">
        <v>1497</v>
      </c>
      <c r="DN145" s="29">
        <v>2408697</v>
      </c>
      <c r="DO145" s="28"/>
      <c r="DP145" s="28"/>
      <c r="DQ145" s="28"/>
    </row>
    <row r="146" spans="2:121">
      <c r="B146" s="7">
        <v>141</v>
      </c>
      <c r="C146" s="7" t="s">
        <v>1486</v>
      </c>
      <c r="D146" s="36" t="s">
        <v>1585</v>
      </c>
      <c r="E146" s="7" t="s">
        <v>1560</v>
      </c>
      <c r="F146" s="7" t="s">
        <v>1565</v>
      </c>
      <c r="G146" s="7" t="s">
        <v>1499</v>
      </c>
      <c r="H146" s="38" t="s">
        <v>1091</v>
      </c>
      <c r="I146" s="46" t="s">
        <v>1491</v>
      </c>
      <c r="J146" s="18">
        <v>48890000</v>
      </c>
      <c r="K146" s="7">
        <v>2026</v>
      </c>
      <c r="L146" s="38" t="s">
        <v>1363</v>
      </c>
      <c r="M146" s="38" t="s">
        <v>90</v>
      </c>
      <c r="N146" s="38" t="s">
        <v>1556</v>
      </c>
      <c r="O146" s="7" t="s">
        <v>1557</v>
      </c>
      <c r="P146" s="7" t="s">
        <v>1500</v>
      </c>
      <c r="Q146" s="33">
        <v>1597</v>
      </c>
      <c r="R146" s="11">
        <v>46084</v>
      </c>
      <c r="S146" s="11">
        <v>46056</v>
      </c>
      <c r="T146" s="11">
        <v>46084</v>
      </c>
      <c r="U146" s="12" t="s">
        <v>91</v>
      </c>
      <c r="V146" s="11">
        <f>IFERROR(T146+AD146, "-")</f>
        <v>47909</v>
      </c>
      <c r="W146" s="7">
        <f ca="1">IFERROR(DATEDIF(TODAY(), V146, "m"), "-")</f>
        <v>54</v>
      </c>
      <c r="X146" s="13">
        <v>20000</v>
      </c>
      <c r="Y146" s="7" t="s">
        <v>1498</v>
      </c>
      <c r="Z146" s="7" t="s">
        <v>1499</v>
      </c>
      <c r="AA146" s="38"/>
      <c r="AB146" s="11" t="s">
        <v>1564</v>
      </c>
      <c r="AC146" s="11">
        <v>46112</v>
      </c>
      <c r="AD146" s="7">
        <f>365*U146</f>
        <v>1825</v>
      </c>
      <c r="AE146" s="7">
        <f ca="1">V146-TODAY()</f>
        <v>1657</v>
      </c>
      <c r="AF146" s="7" t="e">
        <f>VLOOKUP($C146,#REF!, 4, FALSE)</f>
        <v>#REF!</v>
      </c>
      <c r="AG146" s="46">
        <f>45230000+3560000+100000</f>
        <v>48890000</v>
      </c>
      <c r="AH146" s="9">
        <v>1000000</v>
      </c>
      <c r="AI146" s="9">
        <f>AG146-AH146</f>
        <v>47890000</v>
      </c>
      <c r="AJ146" s="9">
        <v>192000</v>
      </c>
      <c r="AK146" s="9">
        <v>1900</v>
      </c>
      <c r="AL146" s="46"/>
      <c r="AM146" s="46">
        <v>0</v>
      </c>
      <c r="AN146" s="46">
        <v>2000</v>
      </c>
      <c r="AO146" s="46">
        <v>40000</v>
      </c>
      <c r="AP146" s="46">
        <v>33000</v>
      </c>
      <c r="AQ146" s="46"/>
      <c r="AR146" s="46"/>
      <c r="AS146" s="9" t="s">
        <v>187</v>
      </c>
      <c r="AT146" s="9">
        <v>190000</v>
      </c>
      <c r="AU146" s="46" t="s">
        <v>188</v>
      </c>
      <c r="AV146" s="46"/>
      <c r="AW146" s="46"/>
      <c r="AX146" s="18" t="s">
        <v>196</v>
      </c>
      <c r="AY146" s="53"/>
      <c r="AZ146" s="46"/>
      <c r="BA146" s="46"/>
      <c r="BB146" s="46"/>
      <c r="BC146" s="46"/>
      <c r="BD146" s="28"/>
      <c r="BE146" s="9" t="s">
        <v>93</v>
      </c>
      <c r="BF146" s="9" t="s">
        <v>94</v>
      </c>
      <c r="BG146" s="9" t="s">
        <v>117</v>
      </c>
      <c r="BH146" s="9" t="s">
        <v>118</v>
      </c>
      <c r="BI146" s="9" t="s">
        <v>97</v>
      </c>
      <c r="BJ146" s="9" t="s">
        <v>119</v>
      </c>
      <c r="BK146" s="7" t="s">
        <v>130</v>
      </c>
      <c r="BL146" s="9" t="s">
        <v>99</v>
      </c>
      <c r="BM146" s="9" t="s">
        <v>148</v>
      </c>
      <c r="BN146" s="9" t="s">
        <v>148</v>
      </c>
      <c r="BO146" s="9" t="s">
        <v>148</v>
      </c>
      <c r="BP146" s="9" t="s">
        <v>713</v>
      </c>
      <c r="BQ146" s="7"/>
      <c r="BR146" s="28"/>
      <c r="BS146" s="9">
        <f>IF(Q146&lt;=1600,Q146*18,IF(Q146&lt;=2500,Q146*19,IF(Q146&gt;2500,Q146*24,20000)))</f>
        <v>28746</v>
      </c>
      <c r="BT146" s="7" t="s">
        <v>140</v>
      </c>
      <c r="BU146" s="28"/>
      <c r="BV146" s="28"/>
      <c r="BW146" s="7"/>
      <c r="BX146" s="28"/>
      <c r="BY146" s="28"/>
      <c r="BZ146" s="28"/>
      <c r="CA146" s="28"/>
      <c r="CB146" s="28"/>
      <c r="CC146" s="15" t="s">
        <v>149</v>
      </c>
      <c r="CD146" s="15" t="s">
        <v>149</v>
      </c>
      <c r="CE146" s="29">
        <v>953000</v>
      </c>
      <c r="CF146" s="18">
        <v>60</v>
      </c>
      <c r="CG146" s="9">
        <f>CF146*CE146</f>
        <v>57180000</v>
      </c>
      <c r="CH146" s="29">
        <v>14667000</v>
      </c>
      <c r="CI146" s="29">
        <v>0</v>
      </c>
      <c r="CJ146" s="29">
        <v>14667000</v>
      </c>
      <c r="CK146" s="51">
        <v>0.03</v>
      </c>
      <c r="CL146" s="48">
        <v>0.06</v>
      </c>
      <c r="CM146" s="20" t="s">
        <v>1569</v>
      </c>
      <c r="CN146" s="7"/>
      <c r="CO146" s="7"/>
      <c r="CP146" s="27">
        <v>0.03</v>
      </c>
      <c r="CQ146" s="28"/>
      <c r="CR146" s="28"/>
      <c r="CS146" s="28"/>
      <c r="CT146" s="28" t="s">
        <v>1554</v>
      </c>
      <c r="CU146" s="28">
        <v>150000</v>
      </c>
      <c r="CV146" s="28"/>
      <c r="CW146" s="28"/>
      <c r="CX146" s="28"/>
      <c r="CY146" s="28"/>
      <c r="CZ146" s="28"/>
      <c r="DA146" s="28"/>
      <c r="DB146" s="28"/>
      <c r="DC146" s="24" t="s">
        <v>128</v>
      </c>
      <c r="DD146" s="24" t="s">
        <v>129</v>
      </c>
      <c r="DE146" s="24" t="s">
        <v>113</v>
      </c>
      <c r="DF146" s="7" t="s">
        <v>1560</v>
      </c>
      <c r="DG146" s="7" t="s">
        <v>1206</v>
      </c>
      <c r="DH146" s="7" t="s">
        <v>1561</v>
      </c>
      <c r="DI146" s="7" t="s">
        <v>1562</v>
      </c>
      <c r="DJ146" s="7" t="s">
        <v>1563</v>
      </c>
      <c r="DK146" s="38">
        <v>0.35</v>
      </c>
      <c r="DL146" s="38">
        <v>0.25</v>
      </c>
      <c r="DM146" s="7" t="s">
        <v>98</v>
      </c>
      <c r="DN146" s="29">
        <v>2473974</v>
      </c>
      <c r="DO146" s="28"/>
      <c r="DP146" s="28"/>
      <c r="DQ146" s="28"/>
    </row>
    <row r="147" spans="2:121">
      <c r="B147" s="7">
        <v>142</v>
      </c>
      <c r="C147" s="7" t="s">
        <v>1487</v>
      </c>
      <c r="D147" s="36" t="s">
        <v>1585</v>
      </c>
      <c r="E147" s="7" t="s">
        <v>1540</v>
      </c>
      <c r="F147" s="7" t="s">
        <v>1502</v>
      </c>
      <c r="G147" s="7" t="s">
        <v>1501</v>
      </c>
      <c r="H147" s="38" t="s">
        <v>1184</v>
      </c>
      <c r="I147" s="46" t="s">
        <v>1503</v>
      </c>
      <c r="J147" s="18">
        <v>50870000</v>
      </c>
      <c r="K147" s="7">
        <v>2026</v>
      </c>
      <c r="L147" s="38" t="s">
        <v>1504</v>
      </c>
      <c r="M147" s="38" t="s">
        <v>90</v>
      </c>
      <c r="N147" s="38" t="s">
        <v>1558</v>
      </c>
      <c r="O147" s="7" t="s">
        <v>1559</v>
      </c>
      <c r="P147" s="7" t="s">
        <v>1505</v>
      </c>
      <c r="Q147" s="33">
        <v>3470</v>
      </c>
      <c r="R147" s="11">
        <v>46086</v>
      </c>
      <c r="S147" s="11">
        <v>46073</v>
      </c>
      <c r="T147" s="11">
        <v>46087</v>
      </c>
      <c r="U147" s="12" t="s">
        <v>91</v>
      </c>
      <c r="V147" s="11">
        <f>IFERROR(T147+AD147, "-")</f>
        <v>47912</v>
      </c>
      <c r="W147" s="7">
        <f ca="1">IFERROR(DATEDIF(TODAY(), V147, "m"), "-")</f>
        <v>54</v>
      </c>
      <c r="X147" s="13">
        <v>30000</v>
      </c>
      <c r="Y147" s="38" t="s">
        <v>1506</v>
      </c>
      <c r="Z147" s="38" t="s">
        <v>1501</v>
      </c>
      <c r="AA147" s="38"/>
      <c r="AB147" s="11" t="s">
        <v>1541</v>
      </c>
      <c r="AC147" s="11">
        <v>46106</v>
      </c>
      <c r="AD147" s="7">
        <f>365*U147</f>
        <v>1825</v>
      </c>
      <c r="AE147" s="7">
        <f ca="1">V147-TODAY()</f>
        <v>1660</v>
      </c>
      <c r="AF147" s="7" t="e">
        <f>VLOOKUP($C147,#REF!, 4, FALSE)</f>
        <v>#REF!</v>
      </c>
      <c r="AG147" s="46">
        <v>50870000</v>
      </c>
      <c r="AH147" s="9"/>
      <c r="AI147" s="9"/>
      <c r="AJ147" s="9"/>
      <c r="AK147" s="9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 t="s">
        <v>188</v>
      </c>
      <c r="AV147" s="46"/>
      <c r="AW147" s="46"/>
      <c r="AX147" s="18" t="s">
        <v>196</v>
      </c>
      <c r="AY147" s="53"/>
      <c r="AZ147" s="46"/>
      <c r="BA147" s="46"/>
      <c r="BB147" s="46"/>
      <c r="BC147" s="46"/>
      <c r="BD147" s="28"/>
      <c r="BE147" s="9" t="s">
        <v>93</v>
      </c>
      <c r="BF147" s="9" t="s">
        <v>94</v>
      </c>
      <c r="BG147" s="9" t="s">
        <v>117</v>
      </c>
      <c r="BH147" s="9" t="s">
        <v>118</v>
      </c>
      <c r="BI147" s="9" t="s">
        <v>97</v>
      </c>
      <c r="BJ147" s="9" t="s">
        <v>119</v>
      </c>
      <c r="BK147" s="7" t="s">
        <v>130</v>
      </c>
      <c r="BL147" s="9" t="s">
        <v>99</v>
      </c>
      <c r="BM147" s="9" t="s">
        <v>100</v>
      </c>
      <c r="BN147" s="9" t="s">
        <v>100</v>
      </c>
      <c r="BO147" s="9" t="s">
        <v>100</v>
      </c>
      <c r="BP147" s="9" t="s">
        <v>101</v>
      </c>
      <c r="BQ147" s="7"/>
      <c r="BR147" s="28"/>
      <c r="BS147" s="9">
        <f>IF(Q147&lt;=1600,Q147*18,IF(Q147&lt;=2500,Q147*19,IF(Q147&gt;2500,Q147*24,20000)))</f>
        <v>83280</v>
      </c>
      <c r="BT147" s="7" t="s">
        <v>140</v>
      </c>
      <c r="BU147" s="28"/>
      <c r="BV147" s="28"/>
      <c r="BW147" s="7"/>
      <c r="BX147" s="28"/>
      <c r="BY147" s="28"/>
      <c r="BZ147" s="28"/>
      <c r="CA147" s="28"/>
      <c r="CB147" s="28"/>
      <c r="CC147" s="15" t="s">
        <v>154</v>
      </c>
      <c r="CD147" s="15" t="s">
        <v>154</v>
      </c>
      <c r="CE147" s="29">
        <v>942000</v>
      </c>
      <c r="CF147" s="18">
        <v>36</v>
      </c>
      <c r="CG147" s="9">
        <f>CF147*CE147</f>
        <v>33912000</v>
      </c>
      <c r="CH147" s="29">
        <v>20348000</v>
      </c>
      <c r="CI147" s="29">
        <v>0</v>
      </c>
      <c r="CJ147" s="29">
        <v>29504600</v>
      </c>
      <c r="CK147" s="51">
        <v>0.03</v>
      </c>
      <c r="CL147" s="48">
        <v>0.06</v>
      </c>
      <c r="CM147" s="20" t="s">
        <v>1542</v>
      </c>
      <c r="CN147" s="7"/>
      <c r="CO147" s="7" t="s">
        <v>1501</v>
      </c>
      <c r="CP147" s="27">
        <v>0.03</v>
      </c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4" t="s">
        <v>128</v>
      </c>
      <c r="DD147" s="24" t="s">
        <v>129</v>
      </c>
      <c r="DE147" s="24" t="s">
        <v>113</v>
      </c>
      <c r="DF147" s="7" t="s">
        <v>1540</v>
      </c>
      <c r="DG147" s="7" t="s">
        <v>376</v>
      </c>
      <c r="DH147" s="7" t="s">
        <v>1543</v>
      </c>
      <c r="DI147" s="7" t="s">
        <v>1544</v>
      </c>
      <c r="DJ147" s="7" t="s">
        <v>1541</v>
      </c>
      <c r="DK147" s="38">
        <v>0.35</v>
      </c>
      <c r="DL147" s="38">
        <v>0.25</v>
      </c>
      <c r="DM147" s="7" t="s">
        <v>1545</v>
      </c>
      <c r="DN147" s="29">
        <v>2574168</v>
      </c>
      <c r="DO147" s="28"/>
      <c r="DP147" s="28"/>
      <c r="DQ147" s="28"/>
    </row>
    <row r="148" spans="2:121">
      <c r="B148" s="7">
        <v>143</v>
      </c>
      <c r="C148" s="7" t="s">
        <v>1488</v>
      </c>
      <c r="D148" s="36" t="s">
        <v>1585</v>
      </c>
      <c r="E148" s="7" t="s">
        <v>1509</v>
      </c>
      <c r="F148" s="7" t="s">
        <v>1510</v>
      </c>
      <c r="G148" s="7" t="s">
        <v>1511</v>
      </c>
      <c r="H148" s="38" t="s">
        <v>180</v>
      </c>
      <c r="I148" s="46" t="s">
        <v>1521</v>
      </c>
      <c r="J148" s="18">
        <v>65250000</v>
      </c>
      <c r="K148" s="7">
        <v>2025</v>
      </c>
      <c r="L148" s="38" t="s">
        <v>1507</v>
      </c>
      <c r="M148" s="38" t="s">
        <v>90</v>
      </c>
      <c r="N148" s="38" t="s">
        <v>1522</v>
      </c>
      <c r="O148" s="7" t="s">
        <v>1524</v>
      </c>
      <c r="P148" s="7" t="s">
        <v>1508</v>
      </c>
      <c r="Q148" s="33">
        <v>2489</v>
      </c>
      <c r="R148" s="11">
        <v>46063</v>
      </c>
      <c r="S148" s="11">
        <v>46056</v>
      </c>
      <c r="T148" s="11">
        <v>46064</v>
      </c>
      <c r="U148" s="12" t="s">
        <v>91</v>
      </c>
      <c r="V148" s="11">
        <f>IFERROR(T148+AD148, "-")</f>
        <v>47889</v>
      </c>
      <c r="W148" s="7">
        <f ca="1">IFERROR(DATEDIF(TODAY(), V148, "m"), "-")</f>
        <v>53</v>
      </c>
      <c r="X148" s="9">
        <v>20000</v>
      </c>
      <c r="Y148" s="38" t="s">
        <v>1512</v>
      </c>
      <c r="Z148" s="38" t="s">
        <v>1511</v>
      </c>
      <c r="AA148" s="38"/>
      <c r="AB148" s="11" t="s">
        <v>1513</v>
      </c>
      <c r="AC148" s="11">
        <v>46078</v>
      </c>
      <c r="AD148" s="7">
        <f>365*U148</f>
        <v>1825</v>
      </c>
      <c r="AE148" s="7">
        <f ca="1">V148-TODAY()</f>
        <v>1637</v>
      </c>
      <c r="AF148" s="7" t="e">
        <f>VLOOKUP($C148,#REF!, 4, FALSE)</f>
        <v>#REF!</v>
      </c>
      <c r="AG148" s="46">
        <f>62700000+2550000</f>
        <v>65250000</v>
      </c>
      <c r="AH148" s="9">
        <v>2610000</v>
      </c>
      <c r="AI148" s="9">
        <f>AG148-AH148</f>
        <v>62640000</v>
      </c>
      <c r="AJ148" s="9">
        <v>380000</v>
      </c>
      <c r="AK148" s="9">
        <v>1900</v>
      </c>
      <c r="AL148" s="46">
        <v>2171560</v>
      </c>
      <c r="AM148" s="46">
        <v>211900</v>
      </c>
      <c r="AN148" s="46">
        <v>2000</v>
      </c>
      <c r="AO148" s="46">
        <v>40000</v>
      </c>
      <c r="AP148" s="46">
        <v>33000</v>
      </c>
      <c r="AQ148" s="46"/>
      <c r="AR148" s="46">
        <v>0</v>
      </c>
      <c r="AS148" s="46" t="s">
        <v>1525</v>
      </c>
      <c r="AT148" s="9">
        <v>200000</v>
      </c>
      <c r="AU148" s="46" t="s">
        <v>232</v>
      </c>
      <c r="AV148" s="46"/>
      <c r="AW148" s="46"/>
      <c r="AX148" s="18" t="s">
        <v>196</v>
      </c>
      <c r="AY148" s="53"/>
      <c r="AZ148" s="46"/>
      <c r="BA148" s="46"/>
      <c r="BB148" s="46"/>
      <c r="BC148" s="46"/>
      <c r="BD148" s="28"/>
      <c r="BE148" s="9" t="s">
        <v>93</v>
      </c>
      <c r="BF148" s="9" t="s">
        <v>94</v>
      </c>
      <c r="BG148" s="9" t="s">
        <v>95</v>
      </c>
      <c r="BH148" s="9" t="s">
        <v>96</v>
      </c>
      <c r="BI148" s="9" t="s">
        <v>97</v>
      </c>
      <c r="BJ148" s="9" t="s">
        <v>127</v>
      </c>
      <c r="BK148" s="7" t="s">
        <v>130</v>
      </c>
      <c r="BL148" s="9" t="s">
        <v>99</v>
      </c>
      <c r="BM148" s="9" t="s">
        <v>100</v>
      </c>
      <c r="BN148" s="9" t="s">
        <v>100</v>
      </c>
      <c r="BO148" s="9" t="s">
        <v>100</v>
      </c>
      <c r="BP148" s="9" t="s">
        <v>101</v>
      </c>
      <c r="BQ148" s="7"/>
      <c r="BR148" s="28"/>
      <c r="BS148" s="9">
        <f>IF(Q148&lt;=1600,Q148*18,IF(Q148&lt;=2500,Q148*19,IF(Q148&gt;2500,Q148*24,20000)))</f>
        <v>47291</v>
      </c>
      <c r="BT148" s="7" t="s">
        <v>140</v>
      </c>
      <c r="BU148" s="28"/>
      <c r="BV148" s="28"/>
      <c r="BW148" s="7"/>
      <c r="BX148" s="28"/>
      <c r="BY148" s="28"/>
      <c r="BZ148" s="28"/>
      <c r="CA148" s="28"/>
      <c r="CB148" s="28"/>
      <c r="CC148" s="15" t="s">
        <v>154</v>
      </c>
      <c r="CD148" s="15" t="s">
        <v>154</v>
      </c>
      <c r="CE148" s="29">
        <v>979000</v>
      </c>
      <c r="CF148" s="18">
        <v>60</v>
      </c>
      <c r="CG148" s="29">
        <f>CF148*CE148</f>
        <v>58740000</v>
      </c>
      <c r="CH148" s="29">
        <v>19575000</v>
      </c>
      <c r="CI148" s="29">
        <v>0</v>
      </c>
      <c r="CJ148" s="29">
        <v>31581000</v>
      </c>
      <c r="CK148" s="51">
        <v>0.03</v>
      </c>
      <c r="CL148" s="48">
        <v>0.06</v>
      </c>
      <c r="CM148" s="20" t="s">
        <v>1514</v>
      </c>
      <c r="CN148" s="7"/>
      <c r="CO148" s="7"/>
      <c r="CP148" s="27">
        <v>0.03</v>
      </c>
      <c r="CQ148" s="28"/>
      <c r="CR148" s="28" t="s">
        <v>1526</v>
      </c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4" t="s">
        <v>128</v>
      </c>
      <c r="DD148" s="24" t="s">
        <v>129</v>
      </c>
      <c r="DE148" s="24" t="s">
        <v>113</v>
      </c>
      <c r="DF148" s="7" t="s">
        <v>1515</v>
      </c>
      <c r="DG148" s="55" t="s">
        <v>824</v>
      </c>
      <c r="DH148" s="7" t="s">
        <v>1516</v>
      </c>
      <c r="DI148" s="7" t="s">
        <v>1517</v>
      </c>
      <c r="DJ148" s="7" t="s">
        <v>1518</v>
      </c>
      <c r="DK148" s="38">
        <v>0.35</v>
      </c>
      <c r="DL148" s="38">
        <v>0.25</v>
      </c>
      <c r="DM148" s="7" t="s">
        <v>1519</v>
      </c>
      <c r="DN148" s="29">
        <v>3301837</v>
      </c>
      <c r="DO148" s="28"/>
      <c r="DP148" s="28"/>
      <c r="DQ148" s="28"/>
    </row>
    <row r="149" spans="2:121">
      <c r="B149" s="7">
        <v>144</v>
      </c>
      <c r="C149" s="7" t="s">
        <v>1528</v>
      </c>
      <c r="D149" s="36" t="s">
        <v>1585</v>
      </c>
      <c r="E149" s="7" t="s">
        <v>1529</v>
      </c>
      <c r="F149" s="7" t="s">
        <v>369</v>
      </c>
      <c r="G149" s="7" t="s">
        <v>1752</v>
      </c>
      <c r="H149" s="38" t="s">
        <v>1531</v>
      </c>
      <c r="I149" s="46" t="s">
        <v>1530</v>
      </c>
      <c r="J149" s="18">
        <v>37410000</v>
      </c>
      <c r="K149" s="7">
        <v>2026</v>
      </c>
      <c r="L149" s="38" t="s">
        <v>1532</v>
      </c>
      <c r="M149" s="38" t="s">
        <v>90</v>
      </c>
      <c r="N149" s="38" t="s">
        <v>1567</v>
      </c>
      <c r="O149" s="7" t="s">
        <v>1568</v>
      </c>
      <c r="P149" s="7" t="s">
        <v>1533</v>
      </c>
      <c r="Q149" s="33">
        <v>1580</v>
      </c>
      <c r="R149" s="11">
        <v>46090</v>
      </c>
      <c r="S149" s="11">
        <v>46072</v>
      </c>
      <c r="T149" s="11">
        <v>46091</v>
      </c>
      <c r="U149" s="12" t="s">
        <v>91</v>
      </c>
      <c r="V149" s="11">
        <f>IFERROR(T149+AD149, "-")</f>
        <v>47916</v>
      </c>
      <c r="W149" s="7">
        <f ca="1">IFERROR(DATEDIF(TODAY(), V149, "m"), "-")</f>
        <v>54</v>
      </c>
      <c r="X149" s="9">
        <v>20000</v>
      </c>
      <c r="Y149" s="38" t="s">
        <v>373</v>
      </c>
      <c r="Z149" s="38" t="s">
        <v>1534</v>
      </c>
      <c r="AA149" s="38"/>
      <c r="AB149" s="11" t="s">
        <v>1535</v>
      </c>
      <c r="AC149" s="11">
        <v>46127</v>
      </c>
      <c r="AD149" s="7">
        <f>365*U149</f>
        <v>1825</v>
      </c>
      <c r="AE149" s="7">
        <f ca="1">V149-TODAY()</f>
        <v>1664</v>
      </c>
      <c r="AF149" s="7" t="e">
        <f>VLOOKUP($C149,#REF!, 4, FALSE)</f>
        <v>#REF!</v>
      </c>
      <c r="AG149" s="46">
        <v>37410000</v>
      </c>
      <c r="AH149" s="9">
        <v>0</v>
      </c>
      <c r="AI149" s="9">
        <f>AG149-AH149</f>
        <v>37410000</v>
      </c>
      <c r="AJ149" s="9">
        <v>380000</v>
      </c>
      <c r="AK149" s="9">
        <v>1900</v>
      </c>
      <c r="AL149" s="46"/>
      <c r="AM149" s="46"/>
      <c r="AN149" s="46"/>
      <c r="AO149" s="46"/>
      <c r="AP149" s="46"/>
      <c r="AQ149" s="46"/>
      <c r="AR149" s="46"/>
      <c r="AS149" s="46" t="s">
        <v>1525</v>
      </c>
      <c r="AT149" s="9">
        <v>200000</v>
      </c>
      <c r="AU149" s="46" t="s">
        <v>188</v>
      </c>
      <c r="AV149" s="46"/>
      <c r="AW149" s="46"/>
      <c r="AX149" s="18" t="s">
        <v>196</v>
      </c>
      <c r="AY149" s="53"/>
      <c r="AZ149" s="46"/>
      <c r="BA149" s="46"/>
      <c r="BB149" s="46"/>
      <c r="BC149" s="46"/>
      <c r="BD149" s="28"/>
      <c r="BE149" s="9" t="s">
        <v>93</v>
      </c>
      <c r="BF149" s="9" t="s">
        <v>94</v>
      </c>
      <c r="BG149" s="9" t="s">
        <v>117</v>
      </c>
      <c r="BH149" s="9" t="s">
        <v>118</v>
      </c>
      <c r="BI149" s="9" t="s">
        <v>97</v>
      </c>
      <c r="BJ149" s="9" t="s">
        <v>119</v>
      </c>
      <c r="BK149" s="7" t="s">
        <v>130</v>
      </c>
      <c r="BL149" s="9" t="s">
        <v>99</v>
      </c>
      <c r="BM149" s="9" t="s">
        <v>100</v>
      </c>
      <c r="BN149" s="9" t="s">
        <v>100</v>
      </c>
      <c r="BO149" s="9" t="s">
        <v>100</v>
      </c>
      <c r="BP149" s="9" t="s">
        <v>101</v>
      </c>
      <c r="BQ149" s="7"/>
      <c r="BR149" s="28"/>
      <c r="BS149" s="9">
        <f>IF(Q149&lt;=1600,Q149*18,IF(Q149&lt;=2500,Q149*19,IF(Q149&gt;2500,Q149*24,20000)))</f>
        <v>28440</v>
      </c>
      <c r="BT149" s="7" t="s">
        <v>140</v>
      </c>
      <c r="BU149" s="28"/>
      <c r="BV149" s="28"/>
      <c r="BW149" s="7"/>
      <c r="BX149" s="28"/>
      <c r="BY149" s="28"/>
      <c r="BZ149" s="28"/>
      <c r="CA149" s="28"/>
      <c r="CB149" s="28"/>
      <c r="CC149" s="15" t="s">
        <v>147</v>
      </c>
      <c r="CD149" s="15" t="s">
        <v>147</v>
      </c>
      <c r="CE149" s="29">
        <v>640000</v>
      </c>
      <c r="CF149" s="18">
        <v>60</v>
      </c>
      <c r="CG149" s="29">
        <f>CF149*CE149</f>
        <v>38400000</v>
      </c>
      <c r="CH149" s="29">
        <v>11223000</v>
      </c>
      <c r="CI149" s="29">
        <v>0</v>
      </c>
      <c r="CJ149" s="29">
        <v>16834500</v>
      </c>
      <c r="CK149" s="51">
        <v>0.03</v>
      </c>
      <c r="CL149" s="48">
        <v>0.06</v>
      </c>
      <c r="CM149" s="16" t="s">
        <v>375</v>
      </c>
      <c r="CN149" s="7"/>
      <c r="CO149" s="7"/>
      <c r="CP149" s="27">
        <v>0.03</v>
      </c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4" t="s">
        <v>128</v>
      </c>
      <c r="DD149" s="24" t="s">
        <v>129</v>
      </c>
      <c r="DE149" s="24" t="s">
        <v>113</v>
      </c>
      <c r="DF149" s="7" t="s">
        <v>1536</v>
      </c>
      <c r="DG149" s="7" t="s">
        <v>376</v>
      </c>
      <c r="DH149" s="7" t="s">
        <v>377</v>
      </c>
      <c r="DI149" s="7" t="s">
        <v>378</v>
      </c>
      <c r="DJ149" s="7" t="s">
        <v>1537</v>
      </c>
      <c r="DK149" s="38">
        <v>0.35</v>
      </c>
      <c r="DL149" s="38">
        <v>0.25</v>
      </c>
      <c r="DM149" s="7" t="s">
        <v>1538</v>
      </c>
      <c r="DN149" s="29">
        <v>1893054</v>
      </c>
      <c r="DO149" s="28"/>
      <c r="DP149" s="28"/>
      <c r="DQ149" s="28"/>
    </row>
    <row r="150" spans="2:121">
      <c r="B150" s="7">
        <v>145</v>
      </c>
      <c r="C150" s="7" t="s">
        <v>1550</v>
      </c>
      <c r="D150" s="36" t="s">
        <v>1585</v>
      </c>
      <c r="E150" s="7" t="s">
        <v>1627</v>
      </c>
      <c r="F150" s="7" t="s">
        <v>1551</v>
      </c>
      <c r="G150" s="7" t="s">
        <v>1552</v>
      </c>
      <c r="H150" s="38" t="s">
        <v>1628</v>
      </c>
      <c r="I150" s="46" t="s">
        <v>1629</v>
      </c>
      <c r="J150" s="18">
        <v>145215000</v>
      </c>
      <c r="K150" s="7">
        <v>2026</v>
      </c>
      <c r="L150" s="38" t="s">
        <v>1630</v>
      </c>
      <c r="M150" s="38" t="s">
        <v>913</v>
      </c>
      <c r="N150" s="38" t="s">
        <v>1632</v>
      </c>
      <c r="O150" s="7" t="s">
        <v>1649</v>
      </c>
      <c r="P150" s="7" t="s">
        <v>1631</v>
      </c>
      <c r="Q150" s="33"/>
      <c r="R150" s="11">
        <v>46181</v>
      </c>
      <c r="S150" s="11">
        <v>46174</v>
      </c>
      <c r="T150" s="11">
        <v>46202</v>
      </c>
      <c r="U150" s="12" t="s">
        <v>91</v>
      </c>
      <c r="V150" s="11">
        <f>IFERROR(T150+AD150, "-")</f>
        <v>48027</v>
      </c>
      <c r="W150" s="7">
        <f ca="1">IFERROR(DATEDIF(TODAY(), V150, "m"), "-")</f>
        <v>58</v>
      </c>
      <c r="X150" s="9">
        <v>20000</v>
      </c>
      <c r="Y150" s="7" t="s">
        <v>1551</v>
      </c>
      <c r="Z150" s="7" t="s">
        <v>1552</v>
      </c>
      <c r="AA150" s="38"/>
      <c r="AB150" s="11" t="s">
        <v>1633</v>
      </c>
      <c r="AC150" s="11">
        <v>46213</v>
      </c>
      <c r="AD150" s="7">
        <f>365*U150</f>
        <v>1825</v>
      </c>
      <c r="AE150" s="7">
        <f ca="1">V150-TODAY()</f>
        <v>1775</v>
      </c>
      <c r="AF150" s="7" t="e">
        <f>VLOOKUP($C150,#REF!, 4, FALSE)</f>
        <v>#REF!</v>
      </c>
      <c r="AG150" s="46">
        <v>145215000</v>
      </c>
      <c r="AH150" s="9">
        <v>0</v>
      </c>
      <c r="AI150" s="9">
        <f>AG150-AH150</f>
        <v>145215000</v>
      </c>
      <c r="AJ150" s="9">
        <v>0</v>
      </c>
      <c r="AK150" s="9"/>
      <c r="AL150" s="46"/>
      <c r="AM150" s="46"/>
      <c r="AN150" s="46"/>
      <c r="AO150" s="46"/>
      <c r="AP150" s="46"/>
      <c r="AQ150" s="46"/>
      <c r="AR150" s="46"/>
      <c r="AS150" s="46" t="s">
        <v>1679</v>
      </c>
      <c r="AT150" s="46">
        <v>700000</v>
      </c>
      <c r="AU150" s="46" t="s">
        <v>1678</v>
      </c>
      <c r="AV150" s="46"/>
      <c r="AW150" s="46"/>
      <c r="AX150" s="18" t="s">
        <v>196</v>
      </c>
      <c r="AY150" s="53"/>
      <c r="AZ150" s="46"/>
      <c r="BA150" s="46"/>
      <c r="BB150" s="46"/>
      <c r="BC150" s="46"/>
      <c r="BD150" s="28"/>
      <c r="BE150" s="9" t="s">
        <v>93</v>
      </c>
      <c r="BF150" s="9" t="s">
        <v>94</v>
      </c>
      <c r="BG150" s="9" t="s">
        <v>95</v>
      </c>
      <c r="BH150" s="9" t="s">
        <v>96</v>
      </c>
      <c r="BI150" s="9" t="s">
        <v>97</v>
      </c>
      <c r="BJ150" s="9" t="s">
        <v>127</v>
      </c>
      <c r="BK150" s="7" t="s">
        <v>130</v>
      </c>
      <c r="BL150" s="9" t="s">
        <v>99</v>
      </c>
      <c r="BM150" s="9" t="s">
        <v>100</v>
      </c>
      <c r="BN150" s="9" t="s">
        <v>100</v>
      </c>
      <c r="BO150" s="9" t="s">
        <v>100</v>
      </c>
      <c r="BP150" s="9" t="s">
        <v>101</v>
      </c>
      <c r="BQ150" s="7"/>
      <c r="BR150" s="28"/>
      <c r="BS150" s="9">
        <f>IF(Q150&lt;=1600,Q150*18,IF(Q150&lt;=2500,Q150*19,IF(Q150&gt;2500,Q150*24,20000)))</f>
        <v>0</v>
      </c>
      <c r="BT150" s="7" t="s">
        <v>140</v>
      </c>
      <c r="BU150" s="28"/>
      <c r="BV150" s="28"/>
      <c r="BW150" s="7"/>
      <c r="BX150" s="28"/>
      <c r="BY150" s="28"/>
      <c r="BZ150" s="28"/>
      <c r="CA150" s="28"/>
      <c r="CB150" s="28"/>
      <c r="CC150" s="15" t="s">
        <v>141</v>
      </c>
      <c r="CD150" s="15" t="s">
        <v>141</v>
      </c>
      <c r="CE150" s="29">
        <v>2265000</v>
      </c>
      <c r="CF150" s="18">
        <v>60</v>
      </c>
      <c r="CG150" s="29">
        <f>CF150*CE150</f>
        <v>135900000</v>
      </c>
      <c r="CH150" s="29">
        <v>43993500</v>
      </c>
      <c r="CI150" s="29">
        <v>0</v>
      </c>
      <c r="CJ150" s="29">
        <v>58658000</v>
      </c>
      <c r="CK150" s="51">
        <v>0.03</v>
      </c>
      <c r="CL150" s="48">
        <v>0.06</v>
      </c>
      <c r="CM150" s="20" t="s">
        <v>1634</v>
      </c>
      <c r="CN150" s="7"/>
      <c r="CO150" s="7"/>
      <c r="CP150" s="27">
        <v>0.03</v>
      </c>
      <c r="CQ150" s="28"/>
      <c r="CR150" s="28" t="s">
        <v>1526</v>
      </c>
      <c r="CS150" s="28"/>
      <c r="CT150" s="28" t="s">
        <v>1554</v>
      </c>
      <c r="CU150" s="28">
        <v>120000</v>
      </c>
      <c r="CV150" s="28"/>
      <c r="CW150" s="28"/>
      <c r="CX150" s="28"/>
      <c r="CY150" s="28"/>
      <c r="CZ150" s="28"/>
      <c r="DA150" s="28"/>
      <c r="DB150" s="28"/>
      <c r="DC150" s="28" t="s">
        <v>1635</v>
      </c>
      <c r="DD150" s="28" t="s">
        <v>1636</v>
      </c>
      <c r="DE150" s="24" t="s">
        <v>113</v>
      </c>
      <c r="DF150" s="7" t="s">
        <v>1627</v>
      </c>
      <c r="DG150" s="55" t="s">
        <v>824</v>
      </c>
      <c r="DH150" s="7" t="s">
        <v>1637</v>
      </c>
      <c r="DI150" s="7" t="s">
        <v>1638</v>
      </c>
      <c r="DJ150" s="22" t="s">
        <v>1639</v>
      </c>
      <c r="DK150" s="38">
        <v>0.35</v>
      </c>
      <c r="DL150" s="38">
        <v>0.25</v>
      </c>
      <c r="DM150" s="7" t="s">
        <v>1640</v>
      </c>
      <c r="DN150" s="29">
        <v>0</v>
      </c>
      <c r="DO150" s="28"/>
      <c r="DP150" s="28"/>
      <c r="DQ150" s="28"/>
    </row>
    <row r="151" spans="2:121">
      <c r="B151" s="7">
        <v>146</v>
      </c>
      <c r="C151" s="7" t="s">
        <v>622</v>
      </c>
      <c r="D151" s="36" t="s">
        <v>1585</v>
      </c>
      <c r="E151" s="7" t="s">
        <v>1376</v>
      </c>
      <c r="F151" s="7" t="s">
        <v>1377</v>
      </c>
      <c r="G151" s="7" t="s">
        <v>624</v>
      </c>
      <c r="H151" s="7" t="s">
        <v>625</v>
      </c>
      <c r="I151" s="7" t="s">
        <v>626</v>
      </c>
      <c r="J151" s="9">
        <v>39150000</v>
      </c>
      <c r="K151" s="7">
        <v>2022</v>
      </c>
      <c r="L151" s="6" t="s">
        <v>627</v>
      </c>
      <c r="M151" s="6" t="s">
        <v>90</v>
      </c>
      <c r="N151" s="7" t="s">
        <v>628</v>
      </c>
      <c r="O151" s="7" t="s">
        <v>629</v>
      </c>
      <c r="P151" s="7" t="s">
        <v>98</v>
      </c>
      <c r="Q151" s="33">
        <v>3342</v>
      </c>
      <c r="R151" s="11">
        <v>44652</v>
      </c>
      <c r="S151" s="11">
        <v>46098</v>
      </c>
      <c r="T151" s="11">
        <v>46112</v>
      </c>
      <c r="U151" s="12" t="s">
        <v>1049</v>
      </c>
      <c r="V151" s="11">
        <f>IFERROR(T151+AD151, "-")</f>
        <v>46477</v>
      </c>
      <c r="W151" s="7">
        <f ca="1">IFERROR(DATEDIF(TODAY(), V151, "m"), "-")</f>
        <v>7</v>
      </c>
      <c r="X151" s="13">
        <v>20000</v>
      </c>
      <c r="Y151" s="7" t="s">
        <v>1579</v>
      </c>
      <c r="Z151" s="7" t="s">
        <v>1580</v>
      </c>
      <c r="AA151" s="9"/>
      <c r="AB151" s="9" t="s">
        <v>630</v>
      </c>
      <c r="AC151" s="11">
        <v>46137</v>
      </c>
      <c r="AD151" s="7">
        <f>365*U151</f>
        <v>365</v>
      </c>
      <c r="AE151" s="7">
        <f ca="1">V151-TODAY()</f>
        <v>225</v>
      </c>
      <c r="AF151" s="7" t="e">
        <f>VLOOKUP($C151,#REF!, 4, FALSE)</f>
        <v>#REF!</v>
      </c>
      <c r="AG151" s="9">
        <v>81586141</v>
      </c>
      <c r="AH151" s="9">
        <v>5509859</v>
      </c>
      <c r="AI151" s="9">
        <f>AG151-AH151</f>
        <v>76076282</v>
      </c>
      <c r="AJ151" s="9">
        <v>94000</v>
      </c>
      <c r="AK151" s="9">
        <v>2000</v>
      </c>
      <c r="AL151" s="9">
        <v>2966690</v>
      </c>
      <c r="AM151" s="9">
        <v>311500</v>
      </c>
      <c r="AN151" s="9">
        <v>2000</v>
      </c>
      <c r="AO151" s="9">
        <v>47000</v>
      </c>
      <c r="AP151" s="9">
        <v>50000</v>
      </c>
      <c r="AQ151" s="9">
        <v>2235000</v>
      </c>
      <c r="AR151" s="9">
        <v>132000</v>
      </c>
      <c r="AS151" s="9" t="s">
        <v>116</v>
      </c>
      <c r="AT151" s="9">
        <v>220000</v>
      </c>
      <c r="AU151" s="9" t="s">
        <v>146</v>
      </c>
      <c r="AV151" s="9">
        <f>3381140</f>
        <v>3381140</v>
      </c>
      <c r="AW151" s="19">
        <f>SUM(AJ151,AK151,AN151,AO151,AP151, AR151,AT151+AL151+AM151)</f>
        <v>3825190</v>
      </c>
      <c r="AX151" s="7" t="s">
        <v>196</v>
      </c>
      <c r="AY151" s="53">
        <v>44652</v>
      </c>
      <c r="AZ151" s="9">
        <f>3716280-1705650</f>
        <v>2010630</v>
      </c>
      <c r="BA151" s="9"/>
      <c r="BB151" s="9"/>
      <c r="BC151" s="9"/>
      <c r="BD151" s="9"/>
      <c r="BE151" s="9" t="s">
        <v>93</v>
      </c>
      <c r="BF151" s="9" t="s">
        <v>94</v>
      </c>
      <c r="BG151" s="9" t="s">
        <v>95</v>
      </c>
      <c r="BH151" s="9" t="s">
        <v>96</v>
      </c>
      <c r="BI151" s="9" t="s">
        <v>97</v>
      </c>
      <c r="BJ151" s="9" t="s">
        <v>127</v>
      </c>
      <c r="BK151" s="7" t="s">
        <v>631</v>
      </c>
      <c r="BL151" s="9" t="s">
        <v>99</v>
      </c>
      <c r="BM151" s="9" t="s">
        <v>148</v>
      </c>
      <c r="BN151" s="9" t="s">
        <v>148</v>
      </c>
      <c r="BO151" s="9" t="s">
        <v>148</v>
      </c>
      <c r="BP151" s="9" t="s">
        <v>148</v>
      </c>
      <c r="BQ151" s="9" t="s">
        <v>632</v>
      </c>
      <c r="BR151" s="7"/>
      <c r="BS151" s="9">
        <f>IF(Q151&lt;=1600,Q151*18,IF(Q151&lt;=2500,Q151*19,IF(Q151&gt;2500,Q151*24,20000)))</f>
        <v>80208</v>
      </c>
      <c r="BT151" s="7" t="s">
        <v>140</v>
      </c>
      <c r="BU151" s="22"/>
      <c r="BV151" s="9"/>
      <c r="BW151" s="14"/>
      <c r="BX151" s="9"/>
      <c r="BY151" s="9"/>
      <c r="BZ151" s="9"/>
      <c r="CA151" s="27">
        <v>0</v>
      </c>
      <c r="CB151" s="1"/>
      <c r="CC151" s="15" t="s">
        <v>154</v>
      </c>
      <c r="CD151" s="15" t="s">
        <v>154</v>
      </c>
      <c r="CE151" s="9">
        <v>1600000</v>
      </c>
      <c r="CF151" s="9">
        <f>U151*12</f>
        <v>12</v>
      </c>
      <c r="CG151" s="9">
        <f>CF151*CE151</f>
        <v>19200000</v>
      </c>
      <c r="CH151" s="9">
        <v>0</v>
      </c>
      <c r="CI151" s="9">
        <v>0</v>
      </c>
      <c r="CJ151" s="9" t="s">
        <v>1573</v>
      </c>
      <c r="CK151" s="51">
        <v>0</v>
      </c>
      <c r="CL151" s="48">
        <v>0.06</v>
      </c>
      <c r="CM151" s="16" t="s">
        <v>633</v>
      </c>
      <c r="CN151" s="9"/>
      <c r="CO151" s="9"/>
      <c r="CP151" s="27">
        <v>0.03</v>
      </c>
      <c r="CQ151" s="38"/>
      <c r="CR151" s="24">
        <v>0</v>
      </c>
      <c r="CS151" s="24">
        <v>0</v>
      </c>
      <c r="CT151" s="24">
        <v>0</v>
      </c>
      <c r="CU151" s="24">
        <v>0</v>
      </c>
      <c r="CV151" s="24">
        <v>0</v>
      </c>
      <c r="CW151" s="24">
        <v>0</v>
      </c>
      <c r="CX151" s="24">
        <v>0</v>
      </c>
      <c r="CY151" s="24">
        <v>0</v>
      </c>
      <c r="CZ151" s="24">
        <v>0</v>
      </c>
      <c r="DA151" s="24">
        <v>0</v>
      </c>
      <c r="DB151" s="24">
        <v>220000</v>
      </c>
      <c r="DC151" s="24" t="str">
        <f>IF(DD151="정수원 실장","기아", IF(DD151="박현식 부장", "현대", IF(DD151="김성진 팀장", "한성", IF(DD151="전석영 부장", "한성", IF(DD151= "박봉호 부장", "모토원",IF(DD151="정원철 부장", "한성"))))))</f>
        <v>기아</v>
      </c>
      <c r="DD151" s="24" t="s">
        <v>121</v>
      </c>
      <c r="DE151" s="24" t="str">
        <f>IF(DD151="정수원 실장","렌트베네핏", IF(DD151="박현식 부장", "렌트베네핏", IF(DD151="김성진 팀장", "청담", IF(DD151="전석영 부장", "방배", IF(DD151= "박봉호 부장", "일산",IF(DD195="정원철 부장", "청담"))))))</f>
        <v>렌트베네핏</v>
      </c>
      <c r="DF151" s="24" t="s">
        <v>1575</v>
      </c>
      <c r="DG151" s="7" t="s">
        <v>1206</v>
      </c>
      <c r="DH151" s="24" t="s">
        <v>1574</v>
      </c>
      <c r="DI151" s="24" t="s">
        <v>1576</v>
      </c>
      <c r="DJ151" s="24" t="s">
        <v>1577</v>
      </c>
      <c r="DK151" s="38">
        <v>0.3</v>
      </c>
      <c r="DL151" s="76">
        <v>0.2</v>
      </c>
      <c r="DM151" s="24" t="s">
        <v>1578</v>
      </c>
      <c r="DN151" s="46"/>
      <c r="DO151" s="24"/>
      <c r="DP151" s="24"/>
      <c r="DQ151" s="38"/>
    </row>
    <row r="152" spans="2:121">
      <c r="B152" s="7">
        <v>147</v>
      </c>
      <c r="C152" s="7" t="s">
        <v>1586</v>
      </c>
      <c r="D152" s="36" t="s">
        <v>1585</v>
      </c>
      <c r="E152" s="7" t="s">
        <v>1125</v>
      </c>
      <c r="F152" s="7" t="s">
        <v>1126</v>
      </c>
      <c r="G152" s="7" t="s">
        <v>1127</v>
      </c>
      <c r="H152" s="38" t="s">
        <v>1184</v>
      </c>
      <c r="I152" s="46" t="s">
        <v>1185</v>
      </c>
      <c r="J152" s="18">
        <v>39410000</v>
      </c>
      <c r="K152" s="7">
        <v>2026</v>
      </c>
      <c r="L152" s="38" t="s">
        <v>1587</v>
      </c>
      <c r="M152" s="38" t="s">
        <v>90</v>
      </c>
      <c r="N152" s="38" t="s">
        <v>1597</v>
      </c>
      <c r="O152" s="7" t="s">
        <v>1598</v>
      </c>
      <c r="P152" s="7" t="s">
        <v>1314</v>
      </c>
      <c r="Q152" s="33">
        <v>2487</v>
      </c>
      <c r="R152" s="11">
        <v>46106</v>
      </c>
      <c r="S152" s="11">
        <v>46100</v>
      </c>
      <c r="T152" s="11">
        <v>46107</v>
      </c>
      <c r="U152" s="12" t="s">
        <v>496</v>
      </c>
      <c r="V152" s="11">
        <f>IFERROR(T152+AD152, "-")</f>
        <v>47567</v>
      </c>
      <c r="W152" s="13">
        <f ca="1">IFERROR(DATEDIF(TODAY(), V152, "m"), "-")</f>
        <v>43</v>
      </c>
      <c r="X152" s="9">
        <v>30000</v>
      </c>
      <c r="Y152" s="38" t="s">
        <v>1133</v>
      </c>
      <c r="Z152" s="38" t="s">
        <v>1163</v>
      </c>
      <c r="AA152" s="38"/>
      <c r="AB152" s="57" t="s">
        <v>1135</v>
      </c>
      <c r="AC152" s="11">
        <v>46137</v>
      </c>
      <c r="AD152" s="7">
        <f>365*U152</f>
        <v>1460</v>
      </c>
      <c r="AE152" s="7">
        <f ca="1">V152-TODAY()</f>
        <v>1315</v>
      </c>
      <c r="AF152" s="7" t="e">
        <f>VLOOKUP($C152,#REF!, 4, FALSE)</f>
        <v>#REF!</v>
      </c>
      <c r="AG152" s="46">
        <v>39410000</v>
      </c>
      <c r="AH152" s="9">
        <v>1994259</v>
      </c>
      <c r="AI152" s="9">
        <f>AG152-AH152+AJ152</f>
        <v>37591741</v>
      </c>
      <c r="AJ152" s="9">
        <v>176000</v>
      </c>
      <c r="AK152" s="9">
        <v>1900</v>
      </c>
      <c r="AL152" s="46">
        <v>1366970</v>
      </c>
      <c r="AM152" s="46">
        <v>45368</v>
      </c>
      <c r="AN152" s="46"/>
      <c r="AO152" s="46"/>
      <c r="AP152" s="46">
        <v>80000</v>
      </c>
      <c r="AQ152" s="46"/>
      <c r="AR152" s="46">
        <v>220000</v>
      </c>
      <c r="AS152" s="46" t="s">
        <v>1315</v>
      </c>
      <c r="AT152" s="46">
        <v>198000</v>
      </c>
      <c r="AU152" s="46" t="s">
        <v>1100</v>
      </c>
      <c r="AV152" s="46"/>
      <c r="AW152" s="46"/>
      <c r="AX152" s="18" t="s">
        <v>196</v>
      </c>
      <c r="AY152" s="53"/>
      <c r="AZ152" s="46"/>
      <c r="BA152" s="46"/>
      <c r="BB152" s="46"/>
      <c r="BC152" s="46"/>
      <c r="BD152" s="28"/>
      <c r="BE152" s="9" t="s">
        <v>93</v>
      </c>
      <c r="BF152" s="9" t="s">
        <v>94</v>
      </c>
      <c r="BG152" s="9" t="s">
        <v>95</v>
      </c>
      <c r="BH152" s="9" t="s">
        <v>96</v>
      </c>
      <c r="BI152" s="9" t="s">
        <v>97</v>
      </c>
      <c r="BJ152" s="9" t="s">
        <v>119</v>
      </c>
      <c r="BK152" s="7" t="s">
        <v>130</v>
      </c>
      <c r="BL152" s="9" t="s">
        <v>99</v>
      </c>
      <c r="BM152" s="9" t="s">
        <v>148</v>
      </c>
      <c r="BN152" s="9" t="s">
        <v>148</v>
      </c>
      <c r="BO152" s="9" t="s">
        <v>148</v>
      </c>
      <c r="BP152" s="9" t="s">
        <v>713</v>
      </c>
      <c r="BQ152" s="46" t="s">
        <v>1190</v>
      </c>
      <c r="BR152" s="28"/>
      <c r="BS152" s="9">
        <f>IF(Q152&lt;=1600,Q152*18,IF(Q152&lt;=2500,Q152*19,IF(Q152&gt;2500,Q152*24,20000)))</f>
        <v>47253</v>
      </c>
      <c r="BT152" s="7" t="s">
        <v>140</v>
      </c>
      <c r="BU152" s="28"/>
      <c r="BV152" s="28"/>
      <c r="BW152" s="7"/>
      <c r="BX152" s="28"/>
      <c r="BY152" s="28"/>
      <c r="BZ152" s="28"/>
      <c r="CA152" s="28"/>
      <c r="CB152" s="28"/>
      <c r="CC152" s="15" t="s">
        <v>154</v>
      </c>
      <c r="CD152" s="15" t="s">
        <v>154</v>
      </c>
      <c r="CE152" s="46">
        <v>734000</v>
      </c>
      <c r="CF152" s="18">
        <v>48</v>
      </c>
      <c r="CG152" s="9">
        <f>CF152*CE152</f>
        <v>35232000</v>
      </c>
      <c r="CH152" s="9">
        <v>11823000</v>
      </c>
      <c r="CI152" s="9">
        <v>0</v>
      </c>
      <c r="CJ152" s="46">
        <v>20493200</v>
      </c>
      <c r="CK152" s="50">
        <v>0.03</v>
      </c>
      <c r="CL152" s="49">
        <v>0.06</v>
      </c>
      <c r="CM152" s="16" t="s">
        <v>1137</v>
      </c>
      <c r="CN152" s="7"/>
      <c r="CO152" s="7"/>
      <c r="CP152" s="27">
        <v>0.03</v>
      </c>
      <c r="CQ152" s="28"/>
      <c r="CR152" s="28"/>
      <c r="CS152" s="28"/>
      <c r="CT152" s="24" t="s">
        <v>960</v>
      </c>
      <c r="CU152" s="28"/>
      <c r="CV152" s="28"/>
      <c r="CW152" s="28"/>
      <c r="CX152" s="28"/>
      <c r="CY152" s="28"/>
      <c r="CZ152" s="28"/>
      <c r="DA152" s="28"/>
      <c r="DB152" s="28"/>
      <c r="DC152" s="24" t="s">
        <v>128</v>
      </c>
      <c r="DD152" s="24" t="s">
        <v>129</v>
      </c>
      <c r="DE152" s="24" t="s">
        <v>113</v>
      </c>
      <c r="DF152" s="38" t="s">
        <v>1169</v>
      </c>
      <c r="DG152" s="38" t="s">
        <v>219</v>
      </c>
      <c r="DH152" s="38" t="s">
        <v>1138</v>
      </c>
      <c r="DI152" s="38" t="s">
        <v>1139</v>
      </c>
      <c r="DJ152" s="38" t="s">
        <v>1135</v>
      </c>
      <c r="DK152" s="47">
        <v>0.35</v>
      </c>
      <c r="DL152" s="38">
        <v>0.25</v>
      </c>
      <c r="DM152" s="38" t="s">
        <v>1140</v>
      </c>
      <c r="DN152" s="29"/>
      <c r="DO152" s="28"/>
      <c r="DP152" s="28"/>
      <c r="DQ152" s="28"/>
    </row>
    <row r="153" spans="2:121">
      <c r="B153" s="7">
        <v>148</v>
      </c>
      <c r="C153" s="7" t="s">
        <v>1571</v>
      </c>
      <c r="D153" s="36" t="s">
        <v>1585</v>
      </c>
      <c r="E153" s="7" t="s">
        <v>1589</v>
      </c>
      <c r="F153" s="7" t="s">
        <v>1589</v>
      </c>
      <c r="G153" s="7" t="s">
        <v>1590</v>
      </c>
      <c r="H153" s="7" t="s">
        <v>1110</v>
      </c>
      <c r="I153" s="7" t="s">
        <v>1111</v>
      </c>
      <c r="J153" s="18">
        <v>63600000</v>
      </c>
      <c r="K153" s="7">
        <v>2026</v>
      </c>
      <c r="L153" s="7" t="s">
        <v>1591</v>
      </c>
      <c r="M153" s="7" t="s">
        <v>90</v>
      </c>
      <c r="N153" s="7" t="s">
        <v>1601</v>
      </c>
      <c r="O153" s="7" t="s">
        <v>1602</v>
      </c>
      <c r="P153" s="7" t="s">
        <v>1592</v>
      </c>
      <c r="Q153" s="33">
        <v>2497</v>
      </c>
      <c r="R153" s="11">
        <v>46118</v>
      </c>
      <c r="S153" s="11">
        <v>46106</v>
      </c>
      <c r="T153" s="11">
        <v>46119</v>
      </c>
      <c r="U153" s="12" t="s">
        <v>153</v>
      </c>
      <c r="V153" s="11">
        <f>IFERROR(T153+AD153, "-")</f>
        <v>47214</v>
      </c>
      <c r="W153" s="7">
        <f ca="1">IFERROR(DATEDIF(TODAY(), V153, "m"), "-")</f>
        <v>31</v>
      </c>
      <c r="X153" s="7">
        <v>20000</v>
      </c>
      <c r="Y153" s="7" t="s">
        <v>1581</v>
      </c>
      <c r="Z153" s="7" t="s">
        <v>1582</v>
      </c>
      <c r="AA153" s="7"/>
      <c r="AB153" s="9" t="s">
        <v>1593</v>
      </c>
      <c r="AC153" s="11">
        <v>46142</v>
      </c>
      <c r="AD153" s="7">
        <f>365*U153</f>
        <v>1095</v>
      </c>
      <c r="AE153" s="7">
        <f ca="1">V153-TODAY()</f>
        <v>962</v>
      </c>
      <c r="AF153" s="7" t="e">
        <f>VLOOKUP($C153,#REF!, 4, FALSE)</f>
        <v>#REF!</v>
      </c>
      <c r="AG153" s="7">
        <v>57000000</v>
      </c>
      <c r="AH153" s="7">
        <v>3218342</v>
      </c>
      <c r="AI153" s="9">
        <f>AG153-AH153+AJ153</f>
        <v>54083658</v>
      </c>
      <c r="AJ153" s="7">
        <v>302000</v>
      </c>
      <c r="AK153" s="7">
        <v>1900</v>
      </c>
      <c r="AL153" s="9">
        <v>2206670</v>
      </c>
      <c r="AM153" s="7">
        <v>154700</v>
      </c>
      <c r="AN153" s="7">
        <v>2000</v>
      </c>
      <c r="AO153" s="7">
        <v>40000</v>
      </c>
      <c r="AP153" s="7">
        <v>80000</v>
      </c>
      <c r="AQ153" s="7"/>
      <c r="AR153" s="7"/>
      <c r="AS153" s="7"/>
      <c r="AT153" s="7">
        <v>170000</v>
      </c>
      <c r="AU153" s="7" t="s">
        <v>1606</v>
      </c>
      <c r="AV153" s="7"/>
      <c r="AW153" s="7"/>
      <c r="AX153" s="18" t="s">
        <v>196</v>
      </c>
      <c r="AY153" s="7"/>
      <c r="AZ153" s="7"/>
      <c r="BA153" s="7"/>
      <c r="BB153" s="7"/>
      <c r="BC153" s="7"/>
      <c r="BD153" s="7"/>
      <c r="BE153" s="9" t="s">
        <v>93</v>
      </c>
      <c r="BF153" s="9" t="s">
        <v>94</v>
      </c>
      <c r="BG153" s="9" t="s">
        <v>95</v>
      </c>
      <c r="BH153" s="9" t="s">
        <v>96</v>
      </c>
      <c r="BI153" s="9" t="s">
        <v>97</v>
      </c>
      <c r="BJ153" s="9" t="s">
        <v>127</v>
      </c>
      <c r="BK153" s="7" t="s">
        <v>130</v>
      </c>
      <c r="BL153" s="9" t="s">
        <v>99</v>
      </c>
      <c r="BM153" s="9" t="s">
        <v>100</v>
      </c>
      <c r="BN153" s="9" t="s">
        <v>100</v>
      </c>
      <c r="BO153" s="9" t="s">
        <v>100</v>
      </c>
      <c r="BP153" s="9" t="s">
        <v>101</v>
      </c>
      <c r="BQ153" s="7" t="s">
        <v>1603</v>
      </c>
      <c r="BR153" s="7"/>
      <c r="BS153" s="9">
        <f>IF(Q153&lt;=1600,Q153*18,IF(Q153&lt;=2500,Q153*19,IF(Q153&gt;2500,Q153*24,20000)))</f>
        <v>47443</v>
      </c>
      <c r="BT153" s="7" t="s">
        <v>140</v>
      </c>
      <c r="BU153" s="7"/>
      <c r="BV153" s="7"/>
      <c r="BW153" s="7"/>
      <c r="BX153" s="7"/>
      <c r="BY153" s="7"/>
      <c r="BZ153" s="7"/>
      <c r="CA153" s="7"/>
      <c r="CB153" s="7"/>
      <c r="CC153" s="7" t="s">
        <v>149</v>
      </c>
      <c r="CD153" s="7" t="s">
        <v>149</v>
      </c>
      <c r="CE153" s="29">
        <v>1196000</v>
      </c>
      <c r="CF153" s="18">
        <v>36</v>
      </c>
      <c r="CG153" s="9">
        <f>CF153*CE153</f>
        <v>43056000</v>
      </c>
      <c r="CH153" s="29">
        <v>19080000</v>
      </c>
      <c r="CI153" s="7">
        <v>0</v>
      </c>
      <c r="CJ153" s="29">
        <v>38160000</v>
      </c>
      <c r="CK153" s="50">
        <v>0.03</v>
      </c>
      <c r="CL153" s="49">
        <v>0.06</v>
      </c>
      <c r="CM153" s="16" t="s">
        <v>1594</v>
      </c>
      <c r="CN153" s="7"/>
      <c r="CO153" s="9"/>
      <c r="CP153" s="27">
        <v>0.03</v>
      </c>
      <c r="CQ153" s="7"/>
      <c r="CR153" s="7"/>
      <c r="CS153" s="7"/>
      <c r="CT153" s="24" t="s">
        <v>960</v>
      </c>
      <c r="CU153" s="7"/>
      <c r="CV153" s="7"/>
      <c r="CW153" s="7"/>
      <c r="CX153" s="7"/>
      <c r="CY153" s="7"/>
      <c r="CZ153" s="7"/>
      <c r="DA153" s="7"/>
      <c r="DB153" s="7"/>
      <c r="DC153" s="24" t="s">
        <v>128</v>
      </c>
      <c r="DD153" s="24" t="s">
        <v>129</v>
      </c>
      <c r="DE153" s="24" t="s">
        <v>113</v>
      </c>
      <c r="DF153" s="24" t="s">
        <v>1604</v>
      </c>
      <c r="DG153" s="55" t="s">
        <v>642</v>
      </c>
      <c r="DH153" s="24" t="s">
        <v>1605</v>
      </c>
      <c r="DI153" s="24" t="s">
        <v>1595</v>
      </c>
      <c r="DJ153" s="18" t="s">
        <v>1596</v>
      </c>
      <c r="DK153" s="47">
        <v>0.35</v>
      </c>
      <c r="DL153" s="38">
        <v>0.25</v>
      </c>
      <c r="DM153" s="24"/>
      <c r="DN153" s="46">
        <v>3218342</v>
      </c>
      <c r="DO153" s="86"/>
      <c r="DP153" s="86"/>
      <c r="DQ153" s="86"/>
    </row>
    <row r="154" spans="2:121">
      <c r="B154" s="7">
        <v>149</v>
      </c>
      <c r="C154" s="7" t="s">
        <v>1608</v>
      </c>
      <c r="D154" s="7" t="s">
        <v>178</v>
      </c>
      <c r="E154" s="7" t="s">
        <v>177</v>
      </c>
      <c r="F154" s="7" t="s">
        <v>178</v>
      </c>
      <c r="G154" s="7" t="s">
        <v>179</v>
      </c>
      <c r="H154" s="38" t="s">
        <v>1609</v>
      </c>
      <c r="I154" s="46" t="s">
        <v>256</v>
      </c>
      <c r="J154" s="18">
        <v>137600000</v>
      </c>
      <c r="K154" s="7">
        <v>2025</v>
      </c>
      <c r="L154" s="38" t="s">
        <v>1613</v>
      </c>
      <c r="M154" s="38" t="s">
        <v>90</v>
      </c>
      <c r="N154" s="38" t="s">
        <v>1612</v>
      </c>
      <c r="O154" s="7" t="s">
        <v>1611</v>
      </c>
      <c r="P154" s="7" t="s">
        <v>98</v>
      </c>
      <c r="Q154" s="33">
        <v>3000</v>
      </c>
      <c r="R154" s="11">
        <v>45826</v>
      </c>
      <c r="S154" s="11" t="s">
        <v>98</v>
      </c>
      <c r="T154" s="11" t="s">
        <v>98</v>
      </c>
      <c r="U154" s="12"/>
      <c r="V154" s="11"/>
      <c r="W154" s="13"/>
      <c r="X154" s="9"/>
      <c r="Y154" s="38"/>
      <c r="Z154" s="38"/>
      <c r="AA154" s="38"/>
      <c r="AB154" s="11"/>
      <c r="AC154" s="11"/>
      <c r="AD154" s="7"/>
      <c r="AE154" s="38"/>
      <c r="AF154" s="7"/>
      <c r="AG154" s="46">
        <f>137600000+420000</f>
        <v>138020000</v>
      </c>
      <c r="AH154" s="9">
        <v>17161400</v>
      </c>
      <c r="AI154" s="9">
        <f>AG154-AH154+AJ154</f>
        <v>120858600</v>
      </c>
      <c r="AJ154" s="9"/>
      <c r="AK154" s="9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53"/>
      <c r="AZ154" s="46"/>
      <c r="BA154" s="46"/>
      <c r="BB154" s="46"/>
      <c r="BC154" s="46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7"/>
      <c r="BR154" s="28"/>
      <c r="BS154" s="28"/>
      <c r="BT154" s="28"/>
      <c r="BU154" s="28"/>
      <c r="BV154" s="28"/>
      <c r="BW154" s="7"/>
      <c r="BX154" s="28"/>
      <c r="BY154" s="28"/>
      <c r="BZ154" s="28"/>
      <c r="CA154" s="28"/>
      <c r="CB154" s="28"/>
      <c r="CC154" s="7"/>
      <c r="CD154" s="7"/>
      <c r="CE154" s="29"/>
      <c r="CF154" s="18"/>
      <c r="CG154" s="29"/>
      <c r="CH154" s="29"/>
      <c r="CI154" s="29"/>
      <c r="CJ154" s="29"/>
      <c r="CK154" s="28"/>
      <c r="CL154" s="28"/>
      <c r="CM154" s="7"/>
      <c r="CN154" s="7"/>
      <c r="CO154" s="7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7"/>
      <c r="DG154" s="7"/>
      <c r="DH154" s="7"/>
      <c r="DI154" s="7"/>
      <c r="DJ154" s="7"/>
      <c r="DK154" s="28"/>
      <c r="DL154" s="28"/>
      <c r="DM154" s="7"/>
      <c r="DN154" s="29"/>
      <c r="DO154" s="28"/>
      <c r="DP154" s="28"/>
      <c r="DQ154" s="28"/>
    </row>
    <row r="155" spans="2:121">
      <c r="B155" s="7">
        <v>150</v>
      </c>
      <c r="C155" s="7" t="s">
        <v>1618</v>
      </c>
      <c r="D155" s="36" t="s">
        <v>1585</v>
      </c>
      <c r="E155" s="7" t="s">
        <v>1125</v>
      </c>
      <c r="F155" s="7" t="s">
        <v>1126</v>
      </c>
      <c r="G155" s="7" t="s">
        <v>1127</v>
      </c>
      <c r="H155" s="38" t="s">
        <v>1622</v>
      </c>
      <c r="I155" s="46" t="s">
        <v>1623</v>
      </c>
      <c r="J155" s="18">
        <v>28470000</v>
      </c>
      <c r="K155" s="7">
        <v>2026</v>
      </c>
      <c r="L155" s="38" t="s">
        <v>1624</v>
      </c>
      <c r="M155" s="38" t="s">
        <v>90</v>
      </c>
      <c r="N155" s="38"/>
      <c r="O155" s="7"/>
      <c r="P155" s="7" t="s">
        <v>1625</v>
      </c>
      <c r="Q155" s="33">
        <v>1597</v>
      </c>
      <c r="R155" s="11"/>
      <c r="S155" s="11"/>
      <c r="T155" s="11"/>
      <c r="U155" s="12" t="s">
        <v>496</v>
      </c>
      <c r="V155" s="11">
        <f>IFERROR(T155+AD155, "-")</f>
        <v>1460</v>
      </c>
      <c r="W155" s="7" t="str">
        <f ca="1">IFERROR(DATEDIF(TODAY(), V155, "m"), "-")</f>
        <v>-</v>
      </c>
      <c r="X155" s="9">
        <v>30000</v>
      </c>
      <c r="Y155" s="38" t="s">
        <v>1133</v>
      </c>
      <c r="Z155" s="38" t="s">
        <v>1134</v>
      </c>
      <c r="AA155" s="38"/>
      <c r="AB155" s="57" t="s">
        <v>1135</v>
      </c>
      <c r="AC155" s="11"/>
      <c r="AD155" s="7">
        <f>365*U155</f>
        <v>1460</v>
      </c>
      <c r="AE155" s="7">
        <f ca="1">V155-TODAY()</f>
        <v>-44792</v>
      </c>
      <c r="AF155" s="7" t="e">
        <f>VLOOKUP($C155,#REF!, 4, FALSE)</f>
        <v>#REF!</v>
      </c>
      <c r="AG155" s="46">
        <v>28470000</v>
      </c>
      <c r="AH155" s="9"/>
      <c r="AI155" s="9">
        <f>AG155-AH155+AJ155</f>
        <v>28819000</v>
      </c>
      <c r="AJ155" s="9">
        <v>349000</v>
      </c>
      <c r="AK155" s="9">
        <v>1900</v>
      </c>
      <c r="AL155" s="46">
        <v>2261790</v>
      </c>
      <c r="AM155" s="46">
        <v>69569</v>
      </c>
      <c r="AN155" s="46">
        <v>2000</v>
      </c>
      <c r="AO155" s="46">
        <v>45000</v>
      </c>
      <c r="AP155" s="46">
        <v>50000</v>
      </c>
      <c r="AQ155" s="46"/>
      <c r="AR155" s="46"/>
      <c r="AS155" s="46"/>
      <c r="AT155" s="46"/>
      <c r="AU155" s="46" t="s">
        <v>1100</v>
      </c>
      <c r="AV155" s="46"/>
      <c r="AW155" s="46"/>
      <c r="AX155" s="18" t="s">
        <v>196</v>
      </c>
      <c r="AY155" s="53"/>
      <c r="AZ155" s="46"/>
      <c r="BA155" s="46"/>
      <c r="BB155" s="46"/>
      <c r="BC155" s="46"/>
      <c r="BD155" s="28"/>
      <c r="BE155" s="9" t="s">
        <v>93</v>
      </c>
      <c r="BF155" s="9" t="s">
        <v>94</v>
      </c>
      <c r="BG155" s="9" t="s">
        <v>95</v>
      </c>
      <c r="BH155" s="9" t="s">
        <v>96</v>
      </c>
      <c r="BI155" s="9" t="s">
        <v>97</v>
      </c>
      <c r="BJ155" s="9" t="s">
        <v>119</v>
      </c>
      <c r="BK155" s="7" t="s">
        <v>130</v>
      </c>
      <c r="BL155" s="9" t="s">
        <v>99</v>
      </c>
      <c r="BM155" s="9" t="s">
        <v>148</v>
      </c>
      <c r="BN155" s="9" t="s">
        <v>148</v>
      </c>
      <c r="BO155" s="9" t="s">
        <v>148</v>
      </c>
      <c r="BP155" s="9" t="s">
        <v>713</v>
      </c>
      <c r="BQ155" s="46"/>
      <c r="BR155" s="38"/>
      <c r="BS155" s="9">
        <f>IF(Q155&lt;=1600,Q155*18,IF(Q155&lt;=2500,Q155*19,IF(Q155&gt;2500,Q155*24,20000)))</f>
        <v>28746</v>
      </c>
      <c r="BT155" s="7" t="s">
        <v>140</v>
      </c>
      <c r="BU155" s="38"/>
      <c r="BV155" s="38"/>
      <c r="BW155" s="38"/>
      <c r="BX155" s="38"/>
      <c r="BY155" s="38"/>
      <c r="BZ155" s="38"/>
      <c r="CA155" s="38"/>
      <c r="CB155" s="15"/>
      <c r="CC155" s="15" t="s">
        <v>154</v>
      </c>
      <c r="CD155" s="15" t="s">
        <v>154</v>
      </c>
      <c r="CE155" s="46">
        <v>491000</v>
      </c>
      <c r="CF155" s="18">
        <v>48</v>
      </c>
      <c r="CG155" s="9">
        <f>CF155*CE155</f>
        <v>23568000</v>
      </c>
      <c r="CH155" s="9">
        <v>8541000</v>
      </c>
      <c r="CI155" s="9">
        <v>0</v>
      </c>
      <c r="CJ155" s="46">
        <v>16637900</v>
      </c>
      <c r="CK155" s="50">
        <v>-0.04</v>
      </c>
      <c r="CL155" s="49">
        <v>0.06</v>
      </c>
      <c r="CM155" s="16" t="s">
        <v>1137</v>
      </c>
      <c r="CN155" s="38"/>
      <c r="CO155" s="38"/>
      <c r="CP155" s="27">
        <v>0.03</v>
      </c>
      <c r="CQ155" s="38"/>
      <c r="CR155" s="55" t="s">
        <v>218</v>
      </c>
      <c r="CS155" s="55"/>
      <c r="CT155" s="24" t="s">
        <v>960</v>
      </c>
      <c r="CU155" s="55"/>
      <c r="CV155" s="38"/>
      <c r="CW155" s="38"/>
      <c r="CX155" s="38"/>
      <c r="CY155" s="38"/>
      <c r="CZ155" s="38"/>
      <c r="DA155" s="38"/>
      <c r="DB155" s="24"/>
      <c r="DC155" s="24" t="str">
        <f>IF(DD155="정수원 실장","기아", IF(DD155="박현식 부장", "현대", IF(DD155="김성진 팀장", "한성", IF(DD155="전석영 부장", "한성", IF(DD155= "박봉호 부장", "모토원",IF(DD155="정원철 부장", "한성"))))))</f>
        <v>기아</v>
      </c>
      <c r="DD155" s="24" t="s">
        <v>121</v>
      </c>
      <c r="DE155" s="24" t="s">
        <v>113</v>
      </c>
      <c r="DF155" s="38"/>
      <c r="DG155" s="38" t="s">
        <v>219</v>
      </c>
      <c r="DH155" s="38" t="s">
        <v>1138</v>
      </c>
      <c r="DI155" s="38" t="s">
        <v>1139</v>
      </c>
      <c r="DJ155" s="38" t="s">
        <v>1135</v>
      </c>
      <c r="DK155" s="47">
        <v>0.35</v>
      </c>
      <c r="DL155" s="38">
        <v>0.25</v>
      </c>
      <c r="DM155" s="38" t="s">
        <v>1140</v>
      </c>
      <c r="DN155" s="46">
        <v>1440664</v>
      </c>
      <c r="DO155" s="38"/>
      <c r="DP155" s="38"/>
      <c r="DQ155" s="47"/>
    </row>
    <row r="156" spans="2:121">
      <c r="B156" s="7">
        <v>151</v>
      </c>
      <c r="C156" s="7" t="s">
        <v>1619</v>
      </c>
      <c r="D156" s="36" t="s">
        <v>1585</v>
      </c>
      <c r="E156" s="7" t="s">
        <v>1125</v>
      </c>
      <c r="F156" s="7" t="s">
        <v>1126</v>
      </c>
      <c r="G156" s="7" t="s">
        <v>1127</v>
      </c>
      <c r="H156" s="38" t="s">
        <v>1622</v>
      </c>
      <c r="I156" s="46" t="s">
        <v>1623</v>
      </c>
      <c r="J156" s="18">
        <v>28470000</v>
      </c>
      <c r="K156" s="7">
        <v>2026</v>
      </c>
      <c r="L156" s="38" t="s">
        <v>1624</v>
      </c>
      <c r="M156" s="38" t="s">
        <v>90</v>
      </c>
      <c r="N156" s="38"/>
      <c r="O156" s="7"/>
      <c r="P156" s="7" t="s">
        <v>1625</v>
      </c>
      <c r="Q156" s="33">
        <v>1597</v>
      </c>
      <c r="R156" s="11"/>
      <c r="S156" s="11"/>
      <c r="T156" s="11"/>
      <c r="U156" s="12" t="s">
        <v>496</v>
      </c>
      <c r="V156" s="11">
        <f>IFERROR(T156+AD156, "-")</f>
        <v>1460</v>
      </c>
      <c r="W156" s="7" t="str">
        <f ca="1">IFERROR(DATEDIF(TODAY(), V156, "m"), "-")</f>
        <v>-</v>
      </c>
      <c r="X156" s="9">
        <v>30000</v>
      </c>
      <c r="Y156" s="38" t="s">
        <v>1133</v>
      </c>
      <c r="Z156" s="38" t="s">
        <v>1134</v>
      </c>
      <c r="AA156" s="38"/>
      <c r="AB156" s="57" t="s">
        <v>1135</v>
      </c>
      <c r="AC156" s="11"/>
      <c r="AD156" s="7">
        <f>365*U156</f>
        <v>1460</v>
      </c>
      <c r="AE156" s="7">
        <f ca="1">V156-TODAY()</f>
        <v>-44792</v>
      </c>
      <c r="AF156" s="7" t="e">
        <f>VLOOKUP($C156,#REF!, 4, FALSE)</f>
        <v>#REF!</v>
      </c>
      <c r="AG156" s="46">
        <v>28470000</v>
      </c>
      <c r="AH156" s="9"/>
      <c r="AI156" s="9">
        <f>AG156-AH156+AJ156</f>
        <v>28819000</v>
      </c>
      <c r="AJ156" s="9">
        <v>349000</v>
      </c>
      <c r="AK156" s="9">
        <v>1900</v>
      </c>
      <c r="AL156" s="46">
        <v>2261790</v>
      </c>
      <c r="AM156" s="46">
        <v>69569</v>
      </c>
      <c r="AN156" s="46">
        <v>2000</v>
      </c>
      <c r="AO156" s="46">
        <v>45000</v>
      </c>
      <c r="AP156" s="46">
        <v>50000</v>
      </c>
      <c r="AQ156" s="46"/>
      <c r="AR156" s="46"/>
      <c r="AS156" s="46"/>
      <c r="AT156" s="46"/>
      <c r="AU156" s="46" t="s">
        <v>1100</v>
      </c>
      <c r="AV156" s="46"/>
      <c r="AW156" s="46"/>
      <c r="AX156" s="18" t="s">
        <v>196</v>
      </c>
      <c r="AY156" s="53"/>
      <c r="AZ156" s="46"/>
      <c r="BA156" s="46"/>
      <c r="BB156" s="46"/>
      <c r="BC156" s="46"/>
      <c r="BD156" s="28"/>
      <c r="BE156" s="9" t="s">
        <v>93</v>
      </c>
      <c r="BF156" s="9" t="s">
        <v>94</v>
      </c>
      <c r="BG156" s="9" t="s">
        <v>95</v>
      </c>
      <c r="BH156" s="9" t="s">
        <v>96</v>
      </c>
      <c r="BI156" s="9" t="s">
        <v>97</v>
      </c>
      <c r="BJ156" s="9" t="s">
        <v>119</v>
      </c>
      <c r="BK156" s="7" t="s">
        <v>130</v>
      </c>
      <c r="BL156" s="9" t="s">
        <v>99</v>
      </c>
      <c r="BM156" s="9" t="s">
        <v>148</v>
      </c>
      <c r="BN156" s="9" t="s">
        <v>148</v>
      </c>
      <c r="BO156" s="9" t="s">
        <v>148</v>
      </c>
      <c r="BP156" s="9" t="s">
        <v>713</v>
      </c>
      <c r="BQ156" s="46"/>
      <c r="BR156" s="38"/>
      <c r="BS156" s="9">
        <f>IF(Q156&lt;=1600,Q156*18,IF(Q156&lt;=2500,Q156*19,IF(Q156&gt;2500,Q156*24,20000)))</f>
        <v>28746</v>
      </c>
      <c r="BT156" s="7" t="s">
        <v>140</v>
      </c>
      <c r="BU156" s="38"/>
      <c r="BV156" s="38"/>
      <c r="BW156" s="38"/>
      <c r="BX156" s="38"/>
      <c r="BY156" s="38"/>
      <c r="BZ156" s="38"/>
      <c r="CA156" s="38"/>
      <c r="CB156" s="15"/>
      <c r="CC156" s="15" t="s">
        <v>154</v>
      </c>
      <c r="CD156" s="15" t="s">
        <v>154</v>
      </c>
      <c r="CE156" s="46">
        <v>491000</v>
      </c>
      <c r="CF156" s="18">
        <v>48</v>
      </c>
      <c r="CG156" s="9">
        <f>CF156*CE156</f>
        <v>23568000</v>
      </c>
      <c r="CH156" s="9">
        <v>8541000</v>
      </c>
      <c r="CI156" s="9">
        <v>0</v>
      </c>
      <c r="CJ156" s="46">
        <v>16637900</v>
      </c>
      <c r="CK156" s="50">
        <v>-0.04</v>
      </c>
      <c r="CL156" s="49">
        <v>0.06</v>
      </c>
      <c r="CM156" s="16" t="s">
        <v>1137</v>
      </c>
      <c r="CN156" s="38"/>
      <c r="CO156" s="38"/>
      <c r="CP156" s="27">
        <v>0.03</v>
      </c>
      <c r="CQ156" s="38"/>
      <c r="CR156" s="55" t="s">
        <v>218</v>
      </c>
      <c r="CS156" s="55"/>
      <c r="CT156" s="24" t="s">
        <v>960</v>
      </c>
      <c r="CU156" s="55"/>
      <c r="CV156" s="38"/>
      <c r="CW156" s="38"/>
      <c r="CX156" s="38"/>
      <c r="CY156" s="38"/>
      <c r="CZ156" s="38"/>
      <c r="DA156" s="38"/>
      <c r="DB156" s="24"/>
      <c r="DC156" s="24" t="str">
        <f>IF(DD156="정수원 실장","기아", IF(DD156="박현식 부장", "현대", IF(DD156="김성진 팀장", "한성", IF(DD156="전석영 부장", "한성", IF(DD156= "박봉호 부장", "모토원",IF(DD156="정원철 부장", "한성"))))))</f>
        <v>기아</v>
      </c>
      <c r="DD156" s="24" t="s">
        <v>121</v>
      </c>
      <c r="DE156" s="24" t="s">
        <v>113</v>
      </c>
      <c r="DF156" s="38"/>
      <c r="DG156" s="38" t="s">
        <v>219</v>
      </c>
      <c r="DH156" s="38" t="s">
        <v>1138</v>
      </c>
      <c r="DI156" s="38" t="s">
        <v>1139</v>
      </c>
      <c r="DJ156" s="38" t="s">
        <v>1135</v>
      </c>
      <c r="DK156" s="47">
        <v>0.35</v>
      </c>
      <c r="DL156" s="38">
        <v>0.25</v>
      </c>
      <c r="DM156" s="38" t="s">
        <v>1140</v>
      </c>
      <c r="DN156" s="46">
        <v>1440664</v>
      </c>
      <c r="DO156" s="38"/>
      <c r="DP156" s="38"/>
      <c r="DQ156" s="47"/>
    </row>
    <row r="157" spans="2:121">
      <c r="B157" s="7">
        <v>152</v>
      </c>
      <c r="C157" s="7" t="s">
        <v>1626</v>
      </c>
      <c r="D157" s="36" t="s">
        <v>1585</v>
      </c>
      <c r="E157" s="7" t="s">
        <v>1125</v>
      </c>
      <c r="F157" s="7" t="s">
        <v>1126</v>
      </c>
      <c r="G157" s="7" t="s">
        <v>1127</v>
      </c>
      <c r="H157" s="38" t="s">
        <v>1622</v>
      </c>
      <c r="I157" s="46" t="s">
        <v>1623</v>
      </c>
      <c r="J157" s="18">
        <v>28470000</v>
      </c>
      <c r="K157" s="7">
        <v>2026</v>
      </c>
      <c r="L157" s="38" t="s">
        <v>1624</v>
      </c>
      <c r="M157" s="38" t="s">
        <v>90</v>
      </c>
      <c r="N157" s="38"/>
      <c r="O157" s="7"/>
      <c r="P157" s="7" t="s">
        <v>1625</v>
      </c>
      <c r="Q157" s="33">
        <v>1597</v>
      </c>
      <c r="R157" s="11"/>
      <c r="S157" s="11"/>
      <c r="T157" s="11"/>
      <c r="U157" s="12" t="s">
        <v>496</v>
      </c>
      <c r="V157" s="11">
        <f>IFERROR(T157+AD157, "-")</f>
        <v>1460</v>
      </c>
      <c r="W157" s="7" t="str">
        <f ca="1">IFERROR(DATEDIF(TODAY(), V157, "m"), "-")</f>
        <v>-</v>
      </c>
      <c r="X157" s="9">
        <v>30000</v>
      </c>
      <c r="Y157" s="38" t="s">
        <v>1133</v>
      </c>
      <c r="Z157" s="38" t="s">
        <v>1134</v>
      </c>
      <c r="AA157" s="38"/>
      <c r="AB157" s="57" t="s">
        <v>1135</v>
      </c>
      <c r="AC157" s="11"/>
      <c r="AD157" s="7">
        <f>365*U157</f>
        <v>1460</v>
      </c>
      <c r="AE157" s="7">
        <f ca="1">V157-TODAY()</f>
        <v>-44792</v>
      </c>
      <c r="AF157" s="7" t="e">
        <f>VLOOKUP($C157,#REF!, 4, FALSE)</f>
        <v>#REF!</v>
      </c>
      <c r="AG157" s="46">
        <v>28470000</v>
      </c>
      <c r="AH157" s="9"/>
      <c r="AI157" s="9">
        <f>AG157-AH157+AJ157</f>
        <v>28819000</v>
      </c>
      <c r="AJ157" s="9">
        <v>349000</v>
      </c>
      <c r="AK157" s="9">
        <v>1900</v>
      </c>
      <c r="AL157" s="46">
        <v>2261790</v>
      </c>
      <c r="AM157" s="46">
        <v>69569</v>
      </c>
      <c r="AN157" s="46">
        <v>2000</v>
      </c>
      <c r="AO157" s="46">
        <v>45000</v>
      </c>
      <c r="AP157" s="46">
        <v>50000</v>
      </c>
      <c r="AQ157" s="46"/>
      <c r="AR157" s="46"/>
      <c r="AS157" s="46"/>
      <c r="AT157" s="46"/>
      <c r="AU157" s="46" t="s">
        <v>1100</v>
      </c>
      <c r="AV157" s="46"/>
      <c r="AW157" s="46"/>
      <c r="AX157" s="18" t="s">
        <v>196</v>
      </c>
      <c r="AY157" s="53"/>
      <c r="AZ157" s="46"/>
      <c r="BA157" s="46"/>
      <c r="BB157" s="46"/>
      <c r="BC157" s="46"/>
      <c r="BD157" s="28"/>
      <c r="BE157" s="9" t="s">
        <v>93</v>
      </c>
      <c r="BF157" s="9" t="s">
        <v>94</v>
      </c>
      <c r="BG157" s="9" t="s">
        <v>95</v>
      </c>
      <c r="BH157" s="9" t="s">
        <v>96</v>
      </c>
      <c r="BI157" s="9" t="s">
        <v>97</v>
      </c>
      <c r="BJ157" s="9" t="s">
        <v>119</v>
      </c>
      <c r="BK157" s="7" t="s">
        <v>130</v>
      </c>
      <c r="BL157" s="9" t="s">
        <v>99</v>
      </c>
      <c r="BM157" s="9" t="s">
        <v>148</v>
      </c>
      <c r="BN157" s="9" t="s">
        <v>148</v>
      </c>
      <c r="BO157" s="9" t="s">
        <v>148</v>
      </c>
      <c r="BP157" s="9" t="s">
        <v>713</v>
      </c>
      <c r="BQ157" s="46"/>
      <c r="BR157" s="38"/>
      <c r="BS157" s="9">
        <f>IF(Q157&lt;=1600,Q157*18,IF(Q157&lt;=2500,Q157*19,IF(Q157&gt;2500,Q157*24,20000)))</f>
        <v>28746</v>
      </c>
      <c r="BT157" s="7" t="s">
        <v>140</v>
      </c>
      <c r="BU157" s="38"/>
      <c r="BV157" s="38"/>
      <c r="BW157" s="38"/>
      <c r="BX157" s="38"/>
      <c r="BY157" s="38"/>
      <c r="BZ157" s="38"/>
      <c r="CA157" s="38"/>
      <c r="CB157" s="15"/>
      <c r="CC157" s="15" t="s">
        <v>154</v>
      </c>
      <c r="CD157" s="15" t="s">
        <v>154</v>
      </c>
      <c r="CE157" s="46">
        <v>491000</v>
      </c>
      <c r="CF157" s="18">
        <v>48</v>
      </c>
      <c r="CG157" s="9">
        <f>CF157*CE157</f>
        <v>23568000</v>
      </c>
      <c r="CH157" s="9">
        <v>8541000</v>
      </c>
      <c r="CI157" s="9">
        <v>0</v>
      </c>
      <c r="CJ157" s="46">
        <v>16637900</v>
      </c>
      <c r="CK157" s="50">
        <v>-0.04</v>
      </c>
      <c r="CL157" s="49">
        <v>0.06</v>
      </c>
      <c r="CM157" s="16" t="s">
        <v>1137</v>
      </c>
      <c r="CN157" s="38"/>
      <c r="CO157" s="38"/>
      <c r="CP157" s="27">
        <v>0.03</v>
      </c>
      <c r="CQ157" s="38"/>
      <c r="CR157" s="55" t="s">
        <v>218</v>
      </c>
      <c r="CS157" s="55"/>
      <c r="CT157" s="24" t="s">
        <v>960</v>
      </c>
      <c r="CU157" s="55"/>
      <c r="CV157" s="38"/>
      <c r="CW157" s="38"/>
      <c r="CX157" s="38"/>
      <c r="CY157" s="38"/>
      <c r="CZ157" s="38"/>
      <c r="DA157" s="38"/>
      <c r="DB157" s="24"/>
      <c r="DC157" s="24" t="str">
        <f>IF(DD157="정수원 실장","기아", IF(DD157="박현식 부장", "현대", IF(DD157="김성진 팀장", "한성", IF(DD157="전석영 부장", "한성", IF(DD157= "박봉호 부장", "모토원",IF(DD157="정원철 부장", "한성"))))))</f>
        <v>기아</v>
      </c>
      <c r="DD157" s="24" t="s">
        <v>121</v>
      </c>
      <c r="DE157" s="24" t="s">
        <v>113</v>
      </c>
      <c r="DF157" s="38"/>
      <c r="DG157" s="38" t="s">
        <v>219</v>
      </c>
      <c r="DH157" s="38" t="s">
        <v>1138</v>
      </c>
      <c r="DI157" s="38" t="s">
        <v>1139</v>
      </c>
      <c r="DJ157" s="38" t="s">
        <v>1135</v>
      </c>
      <c r="DK157" s="47">
        <v>0.35</v>
      </c>
      <c r="DL157" s="38">
        <v>0.25</v>
      </c>
      <c r="DM157" s="38" t="s">
        <v>1140</v>
      </c>
      <c r="DN157" s="46">
        <v>1440664</v>
      </c>
      <c r="DO157" s="38"/>
      <c r="DP157" s="38"/>
      <c r="DQ157" s="47"/>
    </row>
    <row r="158" spans="2:121">
      <c r="B158" s="7">
        <v>153</v>
      </c>
      <c r="C158" s="7" t="s">
        <v>1620</v>
      </c>
      <c r="D158" s="36" t="s">
        <v>1585</v>
      </c>
      <c r="E158" s="7" t="s">
        <v>1125</v>
      </c>
      <c r="F158" s="7" t="s">
        <v>1126</v>
      </c>
      <c r="G158" s="7" t="s">
        <v>1127</v>
      </c>
      <c r="H158" s="38" t="s">
        <v>1622</v>
      </c>
      <c r="I158" s="46" t="s">
        <v>1623</v>
      </c>
      <c r="J158" s="18">
        <v>28470000</v>
      </c>
      <c r="K158" s="7">
        <v>2026</v>
      </c>
      <c r="L158" s="38" t="s">
        <v>1624</v>
      </c>
      <c r="M158" s="38" t="s">
        <v>90</v>
      </c>
      <c r="N158" s="38"/>
      <c r="O158" s="7"/>
      <c r="P158" s="7" t="s">
        <v>1625</v>
      </c>
      <c r="Q158" s="33">
        <v>1597</v>
      </c>
      <c r="R158" s="11"/>
      <c r="S158" s="11"/>
      <c r="T158" s="11"/>
      <c r="U158" s="12" t="s">
        <v>496</v>
      </c>
      <c r="V158" s="11">
        <f>IFERROR(T158+AD158, "-")</f>
        <v>1460</v>
      </c>
      <c r="W158" s="7" t="str">
        <f ca="1">IFERROR(DATEDIF(TODAY(), V158, "m"), "-")</f>
        <v>-</v>
      </c>
      <c r="X158" s="9">
        <v>30000</v>
      </c>
      <c r="Y158" s="38" t="s">
        <v>1133</v>
      </c>
      <c r="Z158" s="38" t="s">
        <v>1134</v>
      </c>
      <c r="AA158" s="38"/>
      <c r="AB158" s="57" t="s">
        <v>1135</v>
      </c>
      <c r="AC158" s="11"/>
      <c r="AD158" s="7">
        <f>365*U158</f>
        <v>1460</v>
      </c>
      <c r="AE158" s="7">
        <f ca="1">V158-TODAY()</f>
        <v>-44792</v>
      </c>
      <c r="AF158" s="7" t="e">
        <f>VLOOKUP($C158,#REF!, 4, FALSE)</f>
        <v>#REF!</v>
      </c>
      <c r="AG158" s="46">
        <v>28470000</v>
      </c>
      <c r="AH158" s="9"/>
      <c r="AI158" s="9">
        <f>AG158-AH158+AJ158</f>
        <v>28819000</v>
      </c>
      <c r="AJ158" s="9">
        <v>349000</v>
      </c>
      <c r="AK158" s="9">
        <v>1900</v>
      </c>
      <c r="AL158" s="46">
        <v>2261790</v>
      </c>
      <c r="AM158" s="46">
        <v>69569</v>
      </c>
      <c r="AN158" s="46">
        <v>2000</v>
      </c>
      <c r="AO158" s="46">
        <v>45000</v>
      </c>
      <c r="AP158" s="46">
        <v>50000</v>
      </c>
      <c r="AQ158" s="46"/>
      <c r="AR158" s="46"/>
      <c r="AS158" s="46"/>
      <c r="AT158" s="46"/>
      <c r="AU158" s="46" t="s">
        <v>1100</v>
      </c>
      <c r="AV158" s="46"/>
      <c r="AW158" s="46"/>
      <c r="AX158" s="18" t="s">
        <v>196</v>
      </c>
      <c r="AY158" s="53"/>
      <c r="AZ158" s="46"/>
      <c r="BA158" s="46"/>
      <c r="BB158" s="46"/>
      <c r="BC158" s="46"/>
      <c r="BD158" s="28"/>
      <c r="BE158" s="9" t="s">
        <v>93</v>
      </c>
      <c r="BF158" s="9" t="s">
        <v>94</v>
      </c>
      <c r="BG158" s="9" t="s">
        <v>95</v>
      </c>
      <c r="BH158" s="9" t="s">
        <v>96</v>
      </c>
      <c r="BI158" s="9" t="s">
        <v>97</v>
      </c>
      <c r="BJ158" s="9" t="s">
        <v>119</v>
      </c>
      <c r="BK158" s="7" t="s">
        <v>130</v>
      </c>
      <c r="BL158" s="9" t="s">
        <v>99</v>
      </c>
      <c r="BM158" s="9" t="s">
        <v>148</v>
      </c>
      <c r="BN158" s="9" t="s">
        <v>148</v>
      </c>
      <c r="BO158" s="9" t="s">
        <v>148</v>
      </c>
      <c r="BP158" s="9" t="s">
        <v>713</v>
      </c>
      <c r="BQ158" s="46"/>
      <c r="BR158" s="38"/>
      <c r="BS158" s="9">
        <f>IF(Q158&lt;=1600,Q158*18,IF(Q158&lt;=2500,Q158*19,IF(Q158&gt;2500,Q158*24,20000)))</f>
        <v>28746</v>
      </c>
      <c r="BT158" s="7" t="s">
        <v>140</v>
      </c>
      <c r="BU158" s="38"/>
      <c r="BV158" s="38"/>
      <c r="BW158" s="38"/>
      <c r="BX158" s="38"/>
      <c r="BY158" s="38"/>
      <c r="BZ158" s="38"/>
      <c r="CA158" s="38"/>
      <c r="CB158" s="15"/>
      <c r="CC158" s="15" t="s">
        <v>154</v>
      </c>
      <c r="CD158" s="15" t="s">
        <v>154</v>
      </c>
      <c r="CE158" s="46">
        <v>491000</v>
      </c>
      <c r="CF158" s="18">
        <v>48</v>
      </c>
      <c r="CG158" s="9">
        <f>CF158*CE158</f>
        <v>23568000</v>
      </c>
      <c r="CH158" s="9">
        <v>8541000</v>
      </c>
      <c r="CI158" s="9">
        <v>0</v>
      </c>
      <c r="CJ158" s="46">
        <v>16637900</v>
      </c>
      <c r="CK158" s="50">
        <v>-0.04</v>
      </c>
      <c r="CL158" s="49">
        <v>0.06</v>
      </c>
      <c r="CM158" s="16" t="s">
        <v>1137</v>
      </c>
      <c r="CN158" s="38"/>
      <c r="CO158" s="38"/>
      <c r="CP158" s="27">
        <v>0.03</v>
      </c>
      <c r="CQ158" s="38"/>
      <c r="CR158" s="55" t="s">
        <v>218</v>
      </c>
      <c r="CS158" s="55"/>
      <c r="CT158" s="24" t="s">
        <v>960</v>
      </c>
      <c r="CU158" s="55"/>
      <c r="CV158" s="38"/>
      <c r="CW158" s="38"/>
      <c r="CX158" s="38"/>
      <c r="CY158" s="38"/>
      <c r="CZ158" s="38"/>
      <c r="DA158" s="38"/>
      <c r="DB158" s="24"/>
      <c r="DC158" s="24" t="str">
        <f>IF(DD158="정수원 실장","기아", IF(DD158="박현식 부장", "현대", IF(DD158="김성진 팀장", "한성", IF(DD158="전석영 부장", "한성", IF(DD158= "박봉호 부장", "모토원",IF(DD158="정원철 부장", "한성"))))))</f>
        <v>기아</v>
      </c>
      <c r="DD158" s="24" t="s">
        <v>121</v>
      </c>
      <c r="DE158" s="24" t="s">
        <v>113</v>
      </c>
      <c r="DF158" s="38"/>
      <c r="DG158" s="38" t="s">
        <v>219</v>
      </c>
      <c r="DH158" s="38" t="s">
        <v>1138</v>
      </c>
      <c r="DI158" s="38" t="s">
        <v>1139</v>
      </c>
      <c r="DJ158" s="38" t="s">
        <v>1135</v>
      </c>
      <c r="DK158" s="47">
        <v>0.35</v>
      </c>
      <c r="DL158" s="38">
        <v>0.25</v>
      </c>
      <c r="DM158" s="38" t="s">
        <v>1140</v>
      </c>
      <c r="DN158" s="46">
        <v>1440664</v>
      </c>
      <c r="DO158" s="38"/>
      <c r="DP158" s="38"/>
      <c r="DQ158" s="47"/>
    </row>
    <row r="159" spans="2:121">
      <c r="B159" s="7">
        <v>154</v>
      </c>
      <c r="C159" s="7" t="s">
        <v>1621</v>
      </c>
      <c r="D159" s="36" t="s">
        <v>1585</v>
      </c>
      <c r="E159" s="7" t="s">
        <v>1125</v>
      </c>
      <c r="F159" s="7" t="s">
        <v>1126</v>
      </c>
      <c r="G159" s="7" t="s">
        <v>1127</v>
      </c>
      <c r="H159" s="38" t="s">
        <v>1622</v>
      </c>
      <c r="I159" s="46" t="s">
        <v>1623</v>
      </c>
      <c r="J159" s="18">
        <v>28470000</v>
      </c>
      <c r="K159" s="7">
        <v>2026</v>
      </c>
      <c r="L159" s="38" t="s">
        <v>1624</v>
      </c>
      <c r="M159" s="38" t="s">
        <v>90</v>
      </c>
      <c r="N159" s="38"/>
      <c r="O159" s="7"/>
      <c r="P159" s="7" t="s">
        <v>1625</v>
      </c>
      <c r="Q159" s="33">
        <v>1597</v>
      </c>
      <c r="R159" s="11"/>
      <c r="S159" s="11"/>
      <c r="T159" s="11"/>
      <c r="U159" s="12" t="s">
        <v>496</v>
      </c>
      <c r="V159" s="11">
        <f>IFERROR(T159+AD159, "-")</f>
        <v>1460</v>
      </c>
      <c r="W159" s="7" t="str">
        <f ca="1">IFERROR(DATEDIF(TODAY(), V159, "m"), "-")</f>
        <v>-</v>
      </c>
      <c r="X159" s="9">
        <v>30000</v>
      </c>
      <c r="Y159" s="38" t="s">
        <v>1133</v>
      </c>
      <c r="Z159" s="38" t="s">
        <v>1134</v>
      </c>
      <c r="AA159" s="38"/>
      <c r="AB159" s="57" t="s">
        <v>1135</v>
      </c>
      <c r="AC159" s="11"/>
      <c r="AD159" s="7">
        <f>365*U159</f>
        <v>1460</v>
      </c>
      <c r="AE159" s="7">
        <f ca="1">V159-TODAY()</f>
        <v>-44792</v>
      </c>
      <c r="AF159" s="7" t="e">
        <f>VLOOKUP($C159,#REF!, 4, FALSE)</f>
        <v>#REF!</v>
      </c>
      <c r="AG159" s="46">
        <v>28470000</v>
      </c>
      <c r="AH159" s="9"/>
      <c r="AI159" s="9">
        <f>AG159-AH159+AJ159</f>
        <v>28819000</v>
      </c>
      <c r="AJ159" s="9">
        <v>349000</v>
      </c>
      <c r="AK159" s="9">
        <v>1900</v>
      </c>
      <c r="AL159" s="46">
        <v>2261790</v>
      </c>
      <c r="AM159" s="46">
        <v>69569</v>
      </c>
      <c r="AN159" s="46">
        <v>2000</v>
      </c>
      <c r="AO159" s="46">
        <v>45000</v>
      </c>
      <c r="AP159" s="46">
        <v>50000</v>
      </c>
      <c r="AQ159" s="46"/>
      <c r="AR159" s="46"/>
      <c r="AS159" s="46"/>
      <c r="AT159" s="46"/>
      <c r="AU159" s="46" t="s">
        <v>1100</v>
      </c>
      <c r="AV159" s="46"/>
      <c r="AW159" s="46"/>
      <c r="AX159" s="18" t="s">
        <v>196</v>
      </c>
      <c r="AY159" s="53"/>
      <c r="AZ159" s="46"/>
      <c r="BA159" s="46"/>
      <c r="BB159" s="46"/>
      <c r="BC159" s="46"/>
      <c r="BD159" s="28"/>
      <c r="BE159" s="9" t="s">
        <v>93</v>
      </c>
      <c r="BF159" s="9" t="s">
        <v>94</v>
      </c>
      <c r="BG159" s="9" t="s">
        <v>95</v>
      </c>
      <c r="BH159" s="9" t="s">
        <v>96</v>
      </c>
      <c r="BI159" s="9" t="s">
        <v>97</v>
      </c>
      <c r="BJ159" s="9" t="s">
        <v>119</v>
      </c>
      <c r="BK159" s="7" t="s">
        <v>130</v>
      </c>
      <c r="BL159" s="9" t="s">
        <v>99</v>
      </c>
      <c r="BM159" s="9" t="s">
        <v>148</v>
      </c>
      <c r="BN159" s="9" t="s">
        <v>148</v>
      </c>
      <c r="BO159" s="9" t="s">
        <v>148</v>
      </c>
      <c r="BP159" s="9" t="s">
        <v>713</v>
      </c>
      <c r="BQ159" s="46"/>
      <c r="BR159" s="38"/>
      <c r="BS159" s="9">
        <f>IF(Q159&lt;=1600,Q159*18,IF(Q159&lt;=2500,Q159*19,IF(Q159&gt;2500,Q159*24,20000)))</f>
        <v>28746</v>
      </c>
      <c r="BT159" s="7" t="s">
        <v>140</v>
      </c>
      <c r="BU159" s="38"/>
      <c r="BV159" s="38"/>
      <c r="BW159" s="38"/>
      <c r="BX159" s="38"/>
      <c r="BY159" s="38"/>
      <c r="BZ159" s="38"/>
      <c r="CA159" s="38"/>
      <c r="CB159" s="15"/>
      <c r="CC159" s="15" t="s">
        <v>154</v>
      </c>
      <c r="CD159" s="15" t="s">
        <v>154</v>
      </c>
      <c r="CE159" s="46">
        <v>491000</v>
      </c>
      <c r="CF159" s="18">
        <v>48</v>
      </c>
      <c r="CG159" s="9">
        <f>CF159*CE159</f>
        <v>23568000</v>
      </c>
      <c r="CH159" s="9">
        <v>8541000</v>
      </c>
      <c r="CI159" s="9">
        <v>0</v>
      </c>
      <c r="CJ159" s="46">
        <v>16637900</v>
      </c>
      <c r="CK159" s="50">
        <v>-0.04</v>
      </c>
      <c r="CL159" s="49">
        <v>0.06</v>
      </c>
      <c r="CM159" s="16" t="s">
        <v>1137</v>
      </c>
      <c r="CN159" s="38"/>
      <c r="CO159" s="38"/>
      <c r="CP159" s="27">
        <v>0.03</v>
      </c>
      <c r="CQ159" s="38"/>
      <c r="CR159" s="55" t="s">
        <v>218</v>
      </c>
      <c r="CS159" s="55"/>
      <c r="CT159" s="24" t="s">
        <v>960</v>
      </c>
      <c r="CU159" s="55"/>
      <c r="CV159" s="38"/>
      <c r="CW159" s="38"/>
      <c r="CX159" s="38"/>
      <c r="CY159" s="38"/>
      <c r="CZ159" s="38"/>
      <c r="DA159" s="38"/>
      <c r="DB159" s="24"/>
      <c r="DC159" s="24" t="str">
        <f>IF(DD159="정수원 실장","기아", IF(DD159="박현식 부장", "현대", IF(DD159="김성진 팀장", "한성", IF(DD159="전석영 부장", "한성", IF(DD159= "박봉호 부장", "모토원",IF(DD159="정원철 부장", "한성"))))))</f>
        <v>기아</v>
      </c>
      <c r="DD159" s="24" t="s">
        <v>121</v>
      </c>
      <c r="DE159" s="24" t="s">
        <v>113</v>
      </c>
      <c r="DF159" s="38"/>
      <c r="DG159" s="38" t="s">
        <v>219</v>
      </c>
      <c r="DH159" s="38" t="s">
        <v>1138</v>
      </c>
      <c r="DI159" s="38" t="s">
        <v>1139</v>
      </c>
      <c r="DJ159" s="38" t="s">
        <v>1135</v>
      </c>
      <c r="DK159" s="47">
        <v>0.35</v>
      </c>
      <c r="DL159" s="38">
        <v>0.25</v>
      </c>
      <c r="DM159" s="38" t="s">
        <v>1140</v>
      </c>
      <c r="DN159" s="46">
        <v>1440664</v>
      </c>
      <c r="DO159" s="38"/>
      <c r="DP159" s="38"/>
      <c r="DQ159" s="47"/>
    </row>
    <row r="160" spans="2:121">
      <c r="B160" s="7">
        <v>155</v>
      </c>
      <c r="C160" s="7" t="s">
        <v>1647</v>
      </c>
      <c r="D160" s="36" t="s">
        <v>1585</v>
      </c>
      <c r="E160" s="7" t="s">
        <v>238</v>
      </c>
      <c r="F160" s="7" t="s">
        <v>239</v>
      </c>
      <c r="G160" s="7" t="s">
        <v>240</v>
      </c>
      <c r="H160" s="7" t="s">
        <v>138</v>
      </c>
      <c r="I160" s="7" t="s">
        <v>1643</v>
      </c>
      <c r="J160" s="9">
        <v>97340000</v>
      </c>
      <c r="K160" s="7">
        <v>2026</v>
      </c>
      <c r="L160" s="6" t="s">
        <v>242</v>
      </c>
      <c r="M160" s="6" t="s">
        <v>90</v>
      </c>
      <c r="N160" s="7" t="s">
        <v>1650</v>
      </c>
      <c r="O160" s="7" t="s">
        <v>1651</v>
      </c>
      <c r="P160" s="7" t="s">
        <v>1644</v>
      </c>
      <c r="Q160" s="33">
        <v>3470</v>
      </c>
      <c r="R160" s="11">
        <v>46191</v>
      </c>
      <c r="S160" s="11">
        <v>46178</v>
      </c>
      <c r="T160" s="11">
        <v>46193</v>
      </c>
      <c r="U160" s="12" t="s">
        <v>1049</v>
      </c>
      <c r="V160" s="11">
        <f>IFERROR(T160+AD160, "-")</f>
        <v>46558</v>
      </c>
      <c r="W160" s="7">
        <f ca="1">IFERROR(DATEDIF(TODAY(), V160, "m"), "-")</f>
        <v>10</v>
      </c>
      <c r="X160" s="13">
        <v>30000</v>
      </c>
      <c r="Y160" s="7" t="s">
        <v>1645</v>
      </c>
      <c r="Z160" s="7" t="s">
        <v>1646</v>
      </c>
      <c r="AA160" s="38"/>
      <c r="AB160" s="11" t="s">
        <v>252</v>
      </c>
      <c r="AC160" s="11">
        <v>46203</v>
      </c>
      <c r="AD160" s="7">
        <f>365*U160</f>
        <v>365</v>
      </c>
      <c r="AE160" s="46">
        <f ca="1">V160-TODAY()</f>
        <v>306</v>
      </c>
      <c r="AF160" s="7" t="e">
        <f>VLOOKUP($C160,#REF!, 4, FALSE)</f>
        <v>#REF!</v>
      </c>
      <c r="AG160" s="46">
        <v>97340000</v>
      </c>
      <c r="AH160" s="9">
        <v>0</v>
      </c>
      <c r="AI160" s="9">
        <f>AG160-AH160+AJ160</f>
        <v>97727000</v>
      </c>
      <c r="AJ160" s="9">
        <v>387000</v>
      </c>
      <c r="AK160" s="9">
        <v>1900</v>
      </c>
      <c r="AL160" s="46">
        <v>3374590</v>
      </c>
      <c r="AM160" s="46">
        <v>278025</v>
      </c>
      <c r="AN160" s="46">
        <v>2000</v>
      </c>
      <c r="AO160" s="46">
        <v>45000</v>
      </c>
      <c r="AP160" s="46">
        <v>50000</v>
      </c>
      <c r="AQ160" s="46"/>
      <c r="AR160" s="9"/>
      <c r="AS160" s="9" t="s">
        <v>187</v>
      </c>
      <c r="AT160" s="9">
        <v>190000</v>
      </c>
      <c r="AU160" s="46" t="s">
        <v>1648</v>
      </c>
      <c r="AV160" s="41"/>
      <c r="AW160" s="18"/>
      <c r="AX160" s="18" t="s">
        <v>189</v>
      </c>
      <c r="AY160" s="53"/>
      <c r="AZ160" s="41"/>
      <c r="BA160" s="9"/>
      <c r="BB160" s="9"/>
      <c r="BC160" s="9"/>
      <c r="BD160" s="9"/>
      <c r="BE160" s="9" t="s">
        <v>93</v>
      </c>
      <c r="BF160" s="9" t="s">
        <v>94</v>
      </c>
      <c r="BG160" s="9" t="s">
        <v>95</v>
      </c>
      <c r="BH160" s="9" t="s">
        <v>96</v>
      </c>
      <c r="BI160" s="9" t="s">
        <v>97</v>
      </c>
      <c r="BJ160" s="9" t="s">
        <v>127</v>
      </c>
      <c r="BK160" s="7" t="s">
        <v>130</v>
      </c>
      <c r="BL160" s="9" t="s">
        <v>99</v>
      </c>
      <c r="BM160" s="9" t="s">
        <v>148</v>
      </c>
      <c r="BN160" s="9" t="s">
        <v>148</v>
      </c>
      <c r="BO160" s="9" t="s">
        <v>101</v>
      </c>
      <c r="BP160" s="9" t="s">
        <v>101</v>
      </c>
      <c r="BQ160" s="9"/>
      <c r="BR160" s="7"/>
      <c r="BS160" s="9">
        <f>IF(U160&lt;=1600,U160*18,IF(U160&lt;=2500,U160*19,IF(U160&gt;2500,U160*24,20000)))</f>
        <v>24</v>
      </c>
      <c r="BT160" s="7" t="s">
        <v>140</v>
      </c>
      <c r="BU160" s="22"/>
      <c r="BV160" s="9"/>
      <c r="BW160" s="14"/>
      <c r="BX160" s="9"/>
      <c r="BY160" s="9"/>
      <c r="BZ160" s="9"/>
      <c r="CA160" s="27"/>
      <c r="CB160" s="7"/>
      <c r="CC160" s="15" t="s">
        <v>149</v>
      </c>
      <c r="CD160" s="15" t="s">
        <v>149</v>
      </c>
      <c r="CE160" s="9">
        <v>2560000</v>
      </c>
      <c r="CF160" s="9">
        <v>11</v>
      </c>
      <c r="CG160" s="9">
        <f>CF160*CE160</f>
        <v>28160000</v>
      </c>
      <c r="CH160" s="9">
        <v>8100000</v>
      </c>
      <c r="CI160" s="9">
        <v>0</v>
      </c>
      <c r="CJ160" s="9" t="s">
        <v>248</v>
      </c>
      <c r="CK160" s="51">
        <v>0.03</v>
      </c>
      <c r="CL160" s="48">
        <v>0.06</v>
      </c>
      <c r="CM160" s="16" t="s">
        <v>1358</v>
      </c>
      <c r="CN160" s="16" t="s">
        <v>249</v>
      </c>
      <c r="CO160" s="9"/>
      <c r="CP160" s="27">
        <v>0.03</v>
      </c>
      <c r="CQ160" s="38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 t="s">
        <v>128</v>
      </c>
      <c r="DD160" s="24" t="s">
        <v>129</v>
      </c>
      <c r="DE160" s="24" t="s">
        <v>113</v>
      </c>
      <c r="DF160" s="24" t="s">
        <v>238</v>
      </c>
      <c r="DG160" s="24" t="s">
        <v>250</v>
      </c>
      <c r="DH160" s="24" t="s">
        <v>1539</v>
      </c>
      <c r="DI160" s="24" t="s">
        <v>251</v>
      </c>
      <c r="DJ160" s="24" t="s">
        <v>252</v>
      </c>
      <c r="DK160" s="38">
        <v>0.35</v>
      </c>
      <c r="DL160" s="38">
        <v>0.25</v>
      </c>
      <c r="DM160" s="24" t="s">
        <v>253</v>
      </c>
      <c r="DN160" s="46">
        <v>4925683</v>
      </c>
      <c r="DO160" s="24"/>
      <c r="DP160" s="24"/>
      <c r="DQ160" s="38"/>
    </row>
    <row r="161" spans="1:121">
      <c r="B161" s="7">
        <v>156</v>
      </c>
      <c r="C161" s="7" t="s">
        <v>1652</v>
      </c>
      <c r="D161" s="36" t="s">
        <v>1585</v>
      </c>
      <c r="E161" s="7" t="s">
        <v>1653</v>
      </c>
      <c r="F161" s="7" t="s">
        <v>1654</v>
      </c>
      <c r="G161" s="7" t="s">
        <v>1655</v>
      </c>
      <c r="H161" s="38" t="s">
        <v>1656</v>
      </c>
      <c r="I161" s="46" t="s">
        <v>1657</v>
      </c>
      <c r="J161" s="18">
        <v>49990000</v>
      </c>
      <c r="K161" s="7">
        <v>2026</v>
      </c>
      <c r="L161" s="38" t="s">
        <v>1658</v>
      </c>
      <c r="M161" s="38" t="s">
        <v>913</v>
      </c>
      <c r="N161" s="38"/>
      <c r="O161" s="7"/>
      <c r="P161" s="7" t="s">
        <v>1659</v>
      </c>
      <c r="Q161" s="33"/>
      <c r="R161" s="11"/>
      <c r="S161" s="11">
        <v>46195</v>
      </c>
      <c r="T161" s="11" t="s">
        <v>98</v>
      </c>
      <c r="U161" s="12" t="s">
        <v>1660</v>
      </c>
      <c r="V161" s="11" t="str">
        <f>IFERROR(T161+AD161, "-")</f>
        <v>-</v>
      </c>
      <c r="W161" s="7" t="str">
        <f ca="1">IFERROR(DATEDIF(TODAY(), V161, "m"), "-")</f>
        <v>-</v>
      </c>
      <c r="X161" s="13">
        <v>20000</v>
      </c>
      <c r="Y161" s="7" t="s">
        <v>1654</v>
      </c>
      <c r="Z161" s="7" t="s">
        <v>1655</v>
      </c>
      <c r="AA161" s="38"/>
      <c r="AB161" s="11"/>
      <c r="AC161" s="11"/>
      <c r="AD161" s="7">
        <f>365*U161</f>
        <v>1825</v>
      </c>
      <c r="AE161" s="38"/>
      <c r="AF161" s="7" t="e">
        <f>VLOOKUP($C161,#REF!, 4, FALSE)</f>
        <v>#REF!</v>
      </c>
      <c r="AG161" s="46">
        <v>49990000</v>
      </c>
      <c r="AH161" s="9"/>
      <c r="AI161" s="9">
        <f>AG161-AH161+AJ161</f>
        <v>49990000</v>
      </c>
      <c r="AJ161" s="9"/>
      <c r="AK161" s="9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18" t="s">
        <v>189</v>
      </c>
      <c r="AY161" s="53"/>
      <c r="AZ161" s="46"/>
      <c r="BA161" s="46"/>
      <c r="BB161" s="46"/>
      <c r="BC161" s="46"/>
      <c r="BD161" s="28"/>
      <c r="BE161" s="9" t="s">
        <v>93</v>
      </c>
      <c r="BF161" s="9" t="s">
        <v>94</v>
      </c>
      <c r="BG161" s="9" t="s">
        <v>117</v>
      </c>
      <c r="BH161" s="9" t="s">
        <v>118</v>
      </c>
      <c r="BI161" s="9" t="s">
        <v>97</v>
      </c>
      <c r="BJ161" s="9" t="s">
        <v>119</v>
      </c>
      <c r="BK161" s="7" t="s">
        <v>130</v>
      </c>
      <c r="BL161" s="9" t="s">
        <v>99</v>
      </c>
      <c r="BM161" s="9" t="s">
        <v>100</v>
      </c>
      <c r="BN161" s="9" t="s">
        <v>100</v>
      </c>
      <c r="BO161" s="9" t="s">
        <v>100</v>
      </c>
      <c r="BP161" s="9" t="s">
        <v>101</v>
      </c>
      <c r="BQ161" s="7"/>
      <c r="BR161" s="28"/>
      <c r="BS161" s="28">
        <f>IF(U161&lt;=1600,U161*18,IF(U161&lt;=2500,U161*19,IF(U161&gt;2500,U161*24,20000)))</f>
        <v>120</v>
      </c>
      <c r="BT161" s="7" t="s">
        <v>140</v>
      </c>
      <c r="BU161" s="28"/>
      <c r="BV161" s="28"/>
      <c r="BW161" s="7"/>
      <c r="BX161" s="28"/>
      <c r="BY161" s="28"/>
      <c r="BZ161" s="28"/>
      <c r="CA161" s="28"/>
      <c r="CB161" s="28"/>
      <c r="CC161" s="7"/>
      <c r="CD161" s="7"/>
      <c r="CE161" s="29">
        <v>435000</v>
      </c>
      <c r="CF161" s="18">
        <v>60</v>
      </c>
      <c r="CG161" s="29">
        <f>CF161*CE161</f>
        <v>26100000</v>
      </c>
      <c r="CH161" s="29">
        <v>0</v>
      </c>
      <c r="CI161" s="29">
        <v>14331000</v>
      </c>
      <c r="CJ161" s="29">
        <v>26273500</v>
      </c>
      <c r="CK161" s="51">
        <v>1.4999999999999999E-2</v>
      </c>
      <c r="CL161" s="48">
        <v>0.06</v>
      </c>
      <c r="CM161" s="7"/>
      <c r="CN161" s="7"/>
      <c r="CO161" s="7"/>
      <c r="CP161" s="27">
        <v>0.03</v>
      </c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 t="s">
        <v>1661</v>
      </c>
      <c r="DD161" s="28" t="s">
        <v>1662</v>
      </c>
      <c r="DE161" s="28" t="s">
        <v>113</v>
      </c>
      <c r="DF161" s="7" t="s">
        <v>1663</v>
      </c>
      <c r="DG161" s="7" t="s">
        <v>1664</v>
      </c>
      <c r="DH161" s="7" t="s">
        <v>1665</v>
      </c>
      <c r="DI161" s="7" t="s">
        <v>1666</v>
      </c>
      <c r="DJ161" s="7" t="s">
        <v>1667</v>
      </c>
      <c r="DK161" s="38">
        <v>0.35</v>
      </c>
      <c r="DL161" s="38">
        <v>0.25</v>
      </c>
      <c r="DM161" s="7"/>
      <c r="DN161" s="29"/>
      <c r="DO161" s="28"/>
      <c r="DP161" s="28"/>
      <c r="DQ161" s="28"/>
    </row>
    <row r="162" spans="1:121">
      <c r="A162" s="80"/>
      <c r="B162" s="7">
        <v>157</v>
      </c>
      <c r="C162" s="7" t="s">
        <v>1668</v>
      </c>
      <c r="D162" s="36" t="s">
        <v>1585</v>
      </c>
      <c r="E162" s="7" t="s">
        <v>1246</v>
      </c>
      <c r="F162" s="7" t="s">
        <v>1247</v>
      </c>
      <c r="G162" s="7" t="s">
        <v>1248</v>
      </c>
      <c r="H162" s="38" t="s">
        <v>1669</v>
      </c>
      <c r="I162" s="46" t="s">
        <v>1670</v>
      </c>
      <c r="J162" s="18">
        <v>84350000</v>
      </c>
      <c r="K162" s="7">
        <v>2026</v>
      </c>
      <c r="L162" s="38" t="s">
        <v>1671</v>
      </c>
      <c r="M162" s="38" t="s">
        <v>90</v>
      </c>
      <c r="N162" s="38" t="s">
        <v>1684</v>
      </c>
      <c r="O162" s="7" t="s">
        <v>1686</v>
      </c>
      <c r="P162" s="7" t="s">
        <v>1672</v>
      </c>
      <c r="Q162" s="33">
        <v>2489</v>
      </c>
      <c r="R162" s="11">
        <v>46210</v>
      </c>
      <c r="S162" s="11">
        <v>46195</v>
      </c>
      <c r="T162" s="11">
        <v>46211</v>
      </c>
      <c r="U162" s="12" t="s">
        <v>496</v>
      </c>
      <c r="V162" s="11">
        <f>IFERROR(T162+AD162, "-")</f>
        <v>47671</v>
      </c>
      <c r="W162" s="13">
        <f ca="1">IFERROR(DATEDIF(TODAY(), V162, "m"), "-")</f>
        <v>46</v>
      </c>
      <c r="X162" s="9">
        <v>30000</v>
      </c>
      <c r="Y162" s="38" t="s">
        <v>1680</v>
      </c>
      <c r="Z162" s="78" t="s">
        <v>1681</v>
      </c>
      <c r="AA162" s="38"/>
      <c r="AB162" s="11" t="s">
        <v>1342</v>
      </c>
      <c r="AC162" s="11">
        <v>46234</v>
      </c>
      <c r="AD162" s="7">
        <f>365*U162</f>
        <v>1460</v>
      </c>
      <c r="AE162" s="7">
        <f ca="1">V162-TODAY()</f>
        <v>1419</v>
      </c>
      <c r="AF162" s="7" t="e">
        <f>VLOOKUP($C162,#REF!, 4, FALSE)</f>
        <v>#REF!</v>
      </c>
      <c r="AG162" s="46">
        <v>84350000</v>
      </c>
      <c r="AH162" s="9"/>
      <c r="AI162" s="9">
        <f>AG162-AH162+AJ162</f>
        <v>84742000</v>
      </c>
      <c r="AJ162" s="9">
        <v>392000</v>
      </c>
      <c r="AK162" s="9">
        <v>1900</v>
      </c>
      <c r="AL162" s="46"/>
      <c r="AM162" s="46"/>
      <c r="AN162" s="46"/>
      <c r="AO162" s="46"/>
      <c r="AP162" s="46"/>
      <c r="AQ162" s="46"/>
      <c r="AR162" s="46"/>
      <c r="AS162" s="46" t="s">
        <v>1673</v>
      </c>
      <c r="AT162" s="46">
        <v>198000</v>
      </c>
      <c r="AU162" s="9"/>
      <c r="AV162" s="46"/>
      <c r="AW162" s="46"/>
      <c r="AX162" s="18" t="s">
        <v>196</v>
      </c>
      <c r="AY162" s="53"/>
      <c r="AZ162" s="46"/>
      <c r="BA162" s="46"/>
      <c r="BB162" s="46"/>
      <c r="BC162" s="46"/>
      <c r="BD162" s="28"/>
      <c r="BE162" s="9" t="s">
        <v>93</v>
      </c>
      <c r="BF162" s="9" t="s">
        <v>94</v>
      </c>
      <c r="BG162" s="9" t="s">
        <v>95</v>
      </c>
      <c r="BH162" s="9" t="s">
        <v>96</v>
      </c>
      <c r="BI162" s="9" t="s">
        <v>97</v>
      </c>
      <c r="BJ162" s="9" t="s">
        <v>127</v>
      </c>
      <c r="BK162" s="7" t="s">
        <v>130</v>
      </c>
      <c r="BL162" s="9" t="s">
        <v>99</v>
      </c>
      <c r="BM162" s="9" t="s">
        <v>148</v>
      </c>
      <c r="BN162" s="9" t="s">
        <v>148</v>
      </c>
      <c r="BO162" s="9" t="s">
        <v>148</v>
      </c>
      <c r="BP162" s="9" t="s">
        <v>713</v>
      </c>
      <c r="BQ162" s="7"/>
      <c r="BR162" s="28"/>
      <c r="BS162" s="9">
        <f>IF(Q162&lt;=1600,Q162*18,IF(Q162&lt;=2500,Q162*19,IF(Q162&gt;2500,Q162*24,20000)))</f>
        <v>47291</v>
      </c>
      <c r="BT162" s="7" t="s">
        <v>140</v>
      </c>
      <c r="BU162" s="28"/>
      <c r="BV162" s="28"/>
      <c r="BW162" s="7"/>
      <c r="BX162" s="28"/>
      <c r="BY162" s="28"/>
      <c r="BZ162" s="28"/>
      <c r="CA162" s="28"/>
      <c r="CB162" s="28"/>
      <c r="CC162" s="15" t="s">
        <v>149</v>
      </c>
      <c r="CD162" s="15" t="s">
        <v>149</v>
      </c>
      <c r="CE162" s="29">
        <v>1353900</v>
      </c>
      <c r="CF162" s="18">
        <v>48</v>
      </c>
      <c r="CG162" s="29">
        <f>CF162*CE162</f>
        <v>64987200</v>
      </c>
      <c r="CH162" s="29">
        <v>25305000</v>
      </c>
      <c r="CI162" s="29"/>
      <c r="CJ162" s="29">
        <v>46139349</v>
      </c>
      <c r="CK162" s="50">
        <v>0.03</v>
      </c>
      <c r="CL162" s="49">
        <v>0.06</v>
      </c>
      <c r="CM162" s="20" t="s">
        <v>1641</v>
      </c>
      <c r="CN162" s="7"/>
      <c r="CO162" s="7"/>
      <c r="CP162" s="27">
        <v>0.03</v>
      </c>
      <c r="CQ162" s="28"/>
      <c r="CR162" s="28"/>
      <c r="CS162" s="28"/>
      <c r="CT162" s="24" t="s">
        <v>960</v>
      </c>
      <c r="CU162" s="28" t="s">
        <v>1685</v>
      </c>
      <c r="CV162" s="28"/>
      <c r="CW162" s="28"/>
      <c r="CX162" s="28"/>
      <c r="CY162" s="28"/>
      <c r="CZ162" s="28"/>
      <c r="DA162" s="28"/>
      <c r="DB162" s="28"/>
      <c r="DC162" s="24" t="s">
        <v>128</v>
      </c>
      <c r="DD162" s="24" t="s">
        <v>129</v>
      </c>
      <c r="DE162" s="24" t="s">
        <v>501</v>
      </c>
      <c r="DF162" s="7" t="s">
        <v>1254</v>
      </c>
      <c r="DG162" s="7" t="s">
        <v>376</v>
      </c>
      <c r="DH162" s="7" t="s">
        <v>1255</v>
      </c>
      <c r="DI162" s="7" t="s">
        <v>1256</v>
      </c>
      <c r="DJ162" s="7" t="s">
        <v>1257</v>
      </c>
      <c r="DK162" s="47">
        <v>0.35</v>
      </c>
      <c r="DL162" s="38">
        <v>0.25</v>
      </c>
      <c r="DM162" s="7" t="s">
        <v>1258</v>
      </c>
      <c r="DN162" s="29">
        <v>4268352</v>
      </c>
      <c r="DO162" s="28"/>
      <c r="DP162" s="28"/>
      <c r="DQ162" s="28"/>
    </row>
    <row r="163" spans="1:121">
      <c r="B163" s="7">
        <v>158</v>
      </c>
      <c r="C163" s="7" t="s">
        <v>1674</v>
      </c>
      <c r="D163" s="36" t="s">
        <v>1585</v>
      </c>
      <c r="E163" s="7" t="s">
        <v>739</v>
      </c>
      <c r="F163" s="7" t="s">
        <v>1677</v>
      </c>
      <c r="G163" s="7" t="s">
        <v>741</v>
      </c>
      <c r="H163" s="7" t="s">
        <v>199</v>
      </c>
      <c r="I163" s="7" t="s">
        <v>200</v>
      </c>
      <c r="J163" s="9">
        <v>19269900</v>
      </c>
      <c r="K163" s="7">
        <v>2022</v>
      </c>
      <c r="L163" s="6" t="s">
        <v>201</v>
      </c>
      <c r="M163" s="6" t="s">
        <v>90</v>
      </c>
      <c r="N163" s="7" t="s">
        <v>742</v>
      </c>
      <c r="O163" s="7" t="s">
        <v>743</v>
      </c>
      <c r="P163" s="7" t="s">
        <v>98</v>
      </c>
      <c r="Q163" s="33">
        <v>2497</v>
      </c>
      <c r="R163" s="11">
        <v>44742</v>
      </c>
      <c r="S163" s="11">
        <v>46197</v>
      </c>
      <c r="T163" s="11">
        <v>46204</v>
      </c>
      <c r="U163" s="12" t="s">
        <v>1049</v>
      </c>
      <c r="V163" s="11">
        <f>IFERROR(T163+AD163, "-")</f>
        <v>46569</v>
      </c>
      <c r="W163" s="7">
        <f ca="1">IFERROR(DATEDIF(TODAY(), V163, "m"), "-")</f>
        <v>10</v>
      </c>
      <c r="X163" s="13">
        <v>20000</v>
      </c>
      <c r="Y163" s="9" t="s">
        <v>744</v>
      </c>
      <c r="Z163" s="9" t="s">
        <v>745</v>
      </c>
      <c r="AA163" s="9"/>
      <c r="AB163" s="9" t="s">
        <v>746</v>
      </c>
      <c r="AC163" s="11">
        <v>46208</v>
      </c>
      <c r="AD163" s="7">
        <f>365*U163</f>
        <v>365</v>
      </c>
      <c r="AE163" s="7">
        <f ca="1">V163-TODAY()</f>
        <v>317</v>
      </c>
      <c r="AF163" s="7" t="e">
        <f>VLOOKUP($C163,#REF!, 4, FALSE)</f>
        <v>#REF!</v>
      </c>
      <c r="AG163" s="9">
        <v>34310404</v>
      </c>
      <c r="AH163" s="9">
        <f>AG163*6%</f>
        <v>2058624.24</v>
      </c>
      <c r="AI163" s="9">
        <f>AG163-AH163</f>
        <v>32251779.760000002</v>
      </c>
      <c r="AJ163" s="9"/>
      <c r="AK163" s="9"/>
      <c r="AL163" s="9">
        <v>1310370</v>
      </c>
      <c r="AM163" s="9">
        <v>123060</v>
      </c>
      <c r="AN163" s="9">
        <v>2000</v>
      </c>
      <c r="AO163" s="9">
        <v>4500</v>
      </c>
      <c r="AP163" s="9">
        <v>50000</v>
      </c>
      <c r="AQ163" s="9">
        <v>1087000</v>
      </c>
      <c r="AR163" s="9">
        <v>154000</v>
      </c>
      <c r="AS163" s="9" t="s">
        <v>747</v>
      </c>
      <c r="AT163" s="9">
        <v>198000</v>
      </c>
      <c r="AU163" s="9" t="s">
        <v>616</v>
      </c>
      <c r="AV163" s="9">
        <f>1510350</f>
        <v>1510350</v>
      </c>
      <c r="AW163" s="19">
        <f>SUM(AJ163,AK163,AN163,AO163,AP163, AR163,AT163+AL163+AM163)</f>
        <v>1841930</v>
      </c>
      <c r="AX163" s="7" t="s">
        <v>196</v>
      </c>
      <c r="AY163" s="53">
        <v>44742</v>
      </c>
      <c r="AZ163" s="9">
        <v>1182390</v>
      </c>
      <c r="BA163" s="9"/>
      <c r="BB163" s="9"/>
      <c r="BC163" s="9"/>
      <c r="BD163" s="9"/>
      <c r="BE163" s="9" t="s">
        <v>93</v>
      </c>
      <c r="BF163" s="9" t="s">
        <v>94</v>
      </c>
      <c r="BG163" s="9" t="s">
        <v>117</v>
      </c>
      <c r="BH163" s="9" t="s">
        <v>118</v>
      </c>
      <c r="BI163" s="9" t="s">
        <v>97</v>
      </c>
      <c r="BJ163" s="9" t="s">
        <v>119</v>
      </c>
      <c r="BK163" s="7" t="s">
        <v>130</v>
      </c>
      <c r="BL163" s="9" t="s">
        <v>99</v>
      </c>
      <c r="BM163" s="9" t="s">
        <v>148</v>
      </c>
      <c r="BN163" s="9" t="s">
        <v>100</v>
      </c>
      <c r="BO163" s="9" t="s">
        <v>101</v>
      </c>
      <c r="BP163" s="9" t="s">
        <v>101</v>
      </c>
      <c r="BQ163" s="9"/>
      <c r="BR163" s="7"/>
      <c r="BS163" s="9">
        <f>IF(Q163&lt;=1600,Q163*18,IF(Q163&lt;=2500,Q163*19,IF(Q163&gt;2500,Q163*24,20000)))</f>
        <v>47443</v>
      </c>
      <c r="BT163" s="7" t="s">
        <v>140</v>
      </c>
      <c r="BU163" s="22"/>
      <c r="BV163" s="9"/>
      <c r="BW163" s="14"/>
      <c r="BX163" s="9"/>
      <c r="BY163" s="9"/>
      <c r="BZ163" s="9"/>
      <c r="CA163" s="27">
        <v>0</v>
      </c>
      <c r="CB163" s="87"/>
      <c r="CC163" s="15" t="s">
        <v>91</v>
      </c>
      <c r="CD163" s="15" t="s">
        <v>91</v>
      </c>
      <c r="CE163" s="9">
        <v>523000</v>
      </c>
      <c r="CF163" s="9">
        <f>U163*12</f>
        <v>12</v>
      </c>
      <c r="CG163" s="9">
        <f>CF163*CE163</f>
        <v>6276000</v>
      </c>
      <c r="CH163" s="9">
        <v>7020000</v>
      </c>
      <c r="CI163" s="9">
        <v>0</v>
      </c>
      <c r="CJ163" s="9">
        <v>16500000</v>
      </c>
      <c r="CK163" s="51">
        <v>0.03</v>
      </c>
      <c r="CL163" s="48">
        <v>0.06</v>
      </c>
      <c r="CM163" s="16" t="s">
        <v>748</v>
      </c>
      <c r="CN163" s="9"/>
      <c r="CO163" s="9"/>
      <c r="CP163" s="27">
        <v>0.03</v>
      </c>
      <c r="CQ163" s="38"/>
      <c r="CR163" s="24">
        <v>0</v>
      </c>
      <c r="CS163" s="24">
        <v>0</v>
      </c>
      <c r="CT163" s="24">
        <v>0</v>
      </c>
      <c r="CU163" s="24">
        <v>0</v>
      </c>
      <c r="CV163" s="24">
        <v>0</v>
      </c>
      <c r="CW163" s="24">
        <v>0</v>
      </c>
      <c r="CX163" s="24">
        <v>0</v>
      </c>
      <c r="CY163" s="24">
        <v>0</v>
      </c>
      <c r="CZ163" s="24">
        <v>0</v>
      </c>
      <c r="DA163" s="24">
        <v>0</v>
      </c>
      <c r="DB163" s="24">
        <v>0</v>
      </c>
      <c r="DC163" s="24" t="str">
        <f>IF(DD163="정수원 실장","기아", IF(DD163="박현식 부장", "현대", IF(DD163="김성진 팀장", "한성", IF(DD163="전석영 부장", "한성", IF(DD163= "박봉호 부장", "모토원",IF(DD163="정원철 부장", "한성"))))))</f>
        <v>기아</v>
      </c>
      <c r="DD163" s="24" t="s">
        <v>121</v>
      </c>
      <c r="DE163" s="24" t="str">
        <f>IF(DD163="정수원 실장","렌트베네핏", IF(DD163="박현식 부장", "렌트베네핏", IF(DD163="김성진 팀장", "청담", IF(DD163="전석영 부장", "방배", IF(DD163= "박봉호 부장", "일산",IF(DD208="정원철 부장", "청담"))))))</f>
        <v>렌트베네핏</v>
      </c>
      <c r="DF163" s="24"/>
      <c r="DG163" s="24" t="s">
        <v>1206</v>
      </c>
      <c r="DH163" s="24" t="s">
        <v>1675</v>
      </c>
      <c r="DI163" s="24" t="s">
        <v>749</v>
      </c>
      <c r="DJ163" s="9" t="s">
        <v>746</v>
      </c>
      <c r="DK163" s="38">
        <v>0.3</v>
      </c>
      <c r="DL163" s="76">
        <v>0.2</v>
      </c>
      <c r="DM163" s="24" t="s">
        <v>1676</v>
      </c>
      <c r="DN163" s="46"/>
      <c r="DO163" s="24"/>
      <c r="DP163" s="24"/>
      <c r="DQ163" s="38"/>
    </row>
    <row r="164" spans="1:121">
      <c r="B164" s="7">
        <v>159</v>
      </c>
      <c r="C164" s="7" t="s">
        <v>1687</v>
      </c>
      <c r="D164" s="36" t="s">
        <v>1585</v>
      </c>
      <c r="E164" s="7" t="s">
        <v>1701</v>
      </c>
      <c r="F164" s="7" t="s">
        <v>1688</v>
      </c>
      <c r="G164" s="7" t="s">
        <v>1689</v>
      </c>
      <c r="H164" s="38" t="s">
        <v>1184</v>
      </c>
      <c r="I164" s="46" t="s">
        <v>1690</v>
      </c>
      <c r="J164" s="18">
        <v>53180000</v>
      </c>
      <c r="K164" s="7">
        <v>2026</v>
      </c>
      <c r="L164" s="38" t="s">
        <v>1691</v>
      </c>
      <c r="M164" s="6" t="s">
        <v>90</v>
      </c>
      <c r="N164" s="38" t="s">
        <v>1718</v>
      </c>
      <c r="O164" s="7" t="s">
        <v>1720</v>
      </c>
      <c r="P164" s="7" t="s">
        <v>1692</v>
      </c>
      <c r="Q164" s="33">
        <v>1597</v>
      </c>
      <c r="R164" s="11">
        <v>46226</v>
      </c>
      <c r="S164" s="11">
        <v>46218</v>
      </c>
      <c r="T164" s="11">
        <v>46228</v>
      </c>
      <c r="U164" s="12" t="s">
        <v>91</v>
      </c>
      <c r="V164" s="11">
        <f>IFERROR(T164+AD164, "-")</f>
        <v>48053</v>
      </c>
      <c r="W164" s="7">
        <f ca="1">IFERROR(DATEDIF(TODAY(), V164, "m"), "-")</f>
        <v>59</v>
      </c>
      <c r="X164" s="9">
        <v>50000</v>
      </c>
      <c r="Y164" s="38" t="s">
        <v>1693</v>
      </c>
      <c r="Z164" s="38" t="s">
        <v>1694</v>
      </c>
      <c r="AA164" s="38"/>
      <c r="AB164" s="11" t="s">
        <v>1695</v>
      </c>
      <c r="AC164" s="11">
        <v>46249</v>
      </c>
      <c r="AD164" s="7">
        <f>365*U164</f>
        <v>1825</v>
      </c>
      <c r="AE164" s="7">
        <f ca="1">V164-TODAY()</f>
        <v>1801</v>
      </c>
      <c r="AF164" s="7" t="e">
        <f>VLOOKUP($C164,#REF!, 4, FALSE)</f>
        <v>#REF!</v>
      </c>
      <c r="AG164" s="46">
        <v>53180000</v>
      </c>
      <c r="AH164" s="9">
        <v>0</v>
      </c>
      <c r="AI164" s="9">
        <f>AG164-AH164</f>
        <v>53180000</v>
      </c>
      <c r="AJ164" s="9">
        <v>200000</v>
      </c>
      <c r="AK164" s="9">
        <v>1900</v>
      </c>
      <c r="AL164" s="46">
        <v>1841860</v>
      </c>
      <c r="AM164" s="46">
        <v>0</v>
      </c>
      <c r="AN164" s="46">
        <v>2000</v>
      </c>
      <c r="AO164" s="46">
        <v>40000</v>
      </c>
      <c r="AP164" s="46">
        <v>33000</v>
      </c>
      <c r="AQ164" s="46"/>
      <c r="AR164" s="46"/>
      <c r="AS164" s="46"/>
      <c r="AT164" s="9">
        <v>198000</v>
      </c>
      <c r="AU164" s="46" t="s">
        <v>1100</v>
      </c>
      <c r="AV164" s="46"/>
      <c r="AW164" s="46"/>
      <c r="AX164" s="7" t="s">
        <v>196</v>
      </c>
      <c r="AY164" s="53"/>
      <c r="AZ164" s="46"/>
      <c r="BA164" s="46"/>
      <c r="BB164" s="46"/>
      <c r="BC164" s="46"/>
      <c r="BD164" s="28"/>
      <c r="BE164" s="9" t="s">
        <v>93</v>
      </c>
      <c r="BF164" s="9" t="s">
        <v>94</v>
      </c>
      <c r="BG164" s="9" t="s">
        <v>95</v>
      </c>
      <c r="BH164" s="9" t="s">
        <v>96</v>
      </c>
      <c r="BI164" s="9" t="s">
        <v>97</v>
      </c>
      <c r="BJ164" s="9" t="s">
        <v>119</v>
      </c>
      <c r="BK164" s="7" t="s">
        <v>130</v>
      </c>
      <c r="BL164" s="9" t="s">
        <v>99</v>
      </c>
      <c r="BM164" s="9" t="s">
        <v>148</v>
      </c>
      <c r="BN164" s="9" t="s">
        <v>148</v>
      </c>
      <c r="BO164" s="9" t="s">
        <v>148</v>
      </c>
      <c r="BP164" s="9" t="s">
        <v>713</v>
      </c>
      <c r="BQ164" s="7" t="s">
        <v>1730</v>
      </c>
      <c r="BR164" s="28"/>
      <c r="BS164" s="9">
        <f>IF(Q164&lt;=1600,Q164*18,IF(Q164&lt;=2500,Q164*19,IF(Q164&gt;2500,Q164*24,20000)))</f>
        <v>28746</v>
      </c>
      <c r="BT164" s="7" t="s">
        <v>140</v>
      </c>
      <c r="BU164" s="28"/>
      <c r="BV164" s="28"/>
      <c r="BW164" s="7"/>
      <c r="BX164" s="28"/>
      <c r="BY164" s="28"/>
      <c r="BZ164" s="28"/>
      <c r="CA164" s="28"/>
      <c r="CB164" s="28"/>
      <c r="CC164" s="15" t="s">
        <v>147</v>
      </c>
      <c r="CD164" s="15" t="s">
        <v>147</v>
      </c>
      <c r="CE164" s="29">
        <v>913000</v>
      </c>
      <c r="CF164" s="18">
        <v>60</v>
      </c>
      <c r="CG164" s="9">
        <f>CF164*CE164</f>
        <v>54780000</v>
      </c>
      <c r="CH164" s="29">
        <v>0</v>
      </c>
      <c r="CI164" s="29">
        <v>0</v>
      </c>
      <c r="CJ164" s="29">
        <v>23399200</v>
      </c>
      <c r="CK164" s="51">
        <v>1.4999999999999999E-2</v>
      </c>
      <c r="CL164" s="48">
        <v>0.06</v>
      </c>
      <c r="CM164" s="20" t="s">
        <v>1702</v>
      </c>
      <c r="CN164" s="7"/>
      <c r="CO164" s="7"/>
      <c r="CP164" s="27">
        <v>0.03</v>
      </c>
      <c r="CQ164" s="28"/>
      <c r="CR164" s="28"/>
      <c r="CS164" s="28"/>
      <c r="CT164" s="24" t="s">
        <v>823</v>
      </c>
      <c r="CU164" s="28" t="s">
        <v>1719</v>
      </c>
      <c r="CV164" s="28"/>
      <c r="CW164" s="28"/>
      <c r="CX164" s="28"/>
      <c r="CY164" s="28"/>
      <c r="CZ164" s="28"/>
      <c r="DA164" s="28"/>
      <c r="DB164" s="28"/>
      <c r="DC164" s="24" t="s">
        <v>128</v>
      </c>
      <c r="DD164" s="24" t="s">
        <v>129</v>
      </c>
      <c r="DE164" s="24" t="s">
        <v>501</v>
      </c>
      <c r="DF164" s="7" t="s">
        <v>1701</v>
      </c>
      <c r="DG164" s="7" t="s">
        <v>1206</v>
      </c>
      <c r="DH164" s="7" t="s">
        <v>1705</v>
      </c>
      <c r="DI164" s="7" t="s">
        <v>1703</v>
      </c>
      <c r="DJ164" s="7" t="s">
        <v>1704</v>
      </c>
      <c r="DK164" s="47">
        <v>0.35</v>
      </c>
      <c r="DL164" s="38">
        <v>0.25</v>
      </c>
      <c r="DM164" s="7" t="s">
        <v>1706</v>
      </c>
      <c r="DN164" s="29">
        <v>2628669</v>
      </c>
      <c r="DO164" s="28"/>
      <c r="DP164" s="28"/>
      <c r="DQ164" s="28"/>
    </row>
    <row r="165" spans="1:121">
      <c r="A165" s="80"/>
      <c r="B165" s="7">
        <v>160</v>
      </c>
      <c r="C165" s="7" t="s">
        <v>1696</v>
      </c>
      <c r="D165" s="36" t="s">
        <v>1585</v>
      </c>
      <c r="E165" s="7" t="s">
        <v>1246</v>
      </c>
      <c r="F165" s="7" t="s">
        <v>1247</v>
      </c>
      <c r="G165" s="7" t="s">
        <v>1248</v>
      </c>
      <c r="H165" s="38" t="s">
        <v>1697</v>
      </c>
      <c r="I165" s="46" t="s">
        <v>1698</v>
      </c>
      <c r="J165" s="18">
        <v>56770000</v>
      </c>
      <c r="K165" s="7">
        <v>2026</v>
      </c>
      <c r="L165" s="38" t="s">
        <v>1699</v>
      </c>
      <c r="M165" s="38" t="s">
        <v>90</v>
      </c>
      <c r="N165" s="38" t="s">
        <v>1726</v>
      </c>
      <c r="O165" s="7" t="s">
        <v>1727</v>
      </c>
      <c r="P165" s="7" t="s">
        <v>1700</v>
      </c>
      <c r="Q165" s="33">
        <v>2489</v>
      </c>
      <c r="R165" s="11">
        <v>46231</v>
      </c>
      <c r="S165" s="11">
        <v>46219</v>
      </c>
      <c r="T165" s="11">
        <v>46232</v>
      </c>
      <c r="U165" s="12" t="s">
        <v>496</v>
      </c>
      <c r="V165" s="11">
        <f>IFERROR(T165+AD165, "-")</f>
        <v>47692</v>
      </c>
      <c r="W165" s="13">
        <f ca="1">IFERROR(DATEDIF(TODAY(), V165, "m"), "-")</f>
        <v>47</v>
      </c>
      <c r="X165" s="9">
        <v>30000</v>
      </c>
      <c r="Y165" s="38" t="s">
        <v>1680</v>
      </c>
      <c r="Z165" s="78" t="s">
        <v>1681</v>
      </c>
      <c r="AA165" s="38"/>
      <c r="AB165" s="11" t="s">
        <v>1342</v>
      </c>
      <c r="AC165" s="11">
        <v>46265</v>
      </c>
      <c r="AD165" s="7">
        <f>365*U165</f>
        <v>1460</v>
      </c>
      <c r="AE165" s="7">
        <f ca="1">V165-TODAY()</f>
        <v>1440</v>
      </c>
      <c r="AF165" s="7" t="e">
        <f>VLOOKUP($C165,#REF!, 4, FALSE)</f>
        <v>#REF!</v>
      </c>
      <c r="AG165" s="18">
        <v>56770000</v>
      </c>
      <c r="AH165" s="9">
        <v>1000000</v>
      </c>
      <c r="AI165" s="9">
        <f>AG165-AH165+AJ165</f>
        <v>56162000</v>
      </c>
      <c r="AJ165" s="9">
        <v>392000</v>
      </c>
      <c r="AK165" s="9">
        <v>1900</v>
      </c>
      <c r="AL165" s="46"/>
      <c r="AM165" s="46"/>
      <c r="AN165" s="46"/>
      <c r="AO165" s="46"/>
      <c r="AP165" s="46"/>
      <c r="AQ165" s="46"/>
      <c r="AR165" s="46"/>
      <c r="AS165" s="46" t="s">
        <v>1525</v>
      </c>
      <c r="AT165" s="46">
        <v>198000</v>
      </c>
      <c r="AU165" s="46" t="s">
        <v>1648</v>
      </c>
      <c r="AV165" s="46"/>
      <c r="AW165" s="46"/>
      <c r="AX165" s="18" t="s">
        <v>196</v>
      </c>
      <c r="AY165" s="53"/>
      <c r="AZ165" s="46"/>
      <c r="BA165" s="46"/>
      <c r="BB165" s="46"/>
      <c r="BC165" s="46"/>
      <c r="BD165" s="28"/>
      <c r="BE165" s="9" t="s">
        <v>93</v>
      </c>
      <c r="BF165" s="9" t="s">
        <v>94</v>
      </c>
      <c r="BG165" s="9" t="s">
        <v>117</v>
      </c>
      <c r="BH165" s="9" t="s">
        <v>118</v>
      </c>
      <c r="BI165" s="9" t="s">
        <v>97</v>
      </c>
      <c r="BJ165" s="9" t="s">
        <v>119</v>
      </c>
      <c r="BK165" s="7" t="s">
        <v>130</v>
      </c>
      <c r="BL165" s="9" t="s">
        <v>99</v>
      </c>
      <c r="BM165" s="9" t="s">
        <v>148</v>
      </c>
      <c r="BN165" s="9" t="s">
        <v>148</v>
      </c>
      <c r="BO165" s="9" t="s">
        <v>148</v>
      </c>
      <c r="BP165" s="9" t="s">
        <v>713</v>
      </c>
      <c r="BQ165" s="7" t="s">
        <v>1731</v>
      </c>
      <c r="BR165" s="28"/>
      <c r="BS165" s="9">
        <f>IF(Q165&lt;=1600,Q165*18,IF(Q165&lt;=2500,Q165*19,IF(Q165&gt;2500,Q165*24,20000)))</f>
        <v>47291</v>
      </c>
      <c r="BT165" s="7" t="s">
        <v>140</v>
      </c>
      <c r="BU165" s="28"/>
      <c r="BV165" s="28"/>
      <c r="BW165" s="7"/>
      <c r="BX165" s="28"/>
      <c r="BY165" s="28"/>
      <c r="BZ165" s="28"/>
      <c r="CA165" s="28"/>
      <c r="CB165" s="28"/>
      <c r="CC165" s="15" t="s">
        <v>149</v>
      </c>
      <c r="CD165" s="15" t="s">
        <v>149</v>
      </c>
      <c r="CE165" s="29">
        <v>996000</v>
      </c>
      <c r="CF165" s="18">
        <v>48</v>
      </c>
      <c r="CG165" s="29">
        <f>CF165*CE165</f>
        <v>47808000</v>
      </c>
      <c r="CH165" s="29">
        <v>17004000</v>
      </c>
      <c r="CI165" s="29"/>
      <c r="CJ165" s="29">
        <v>31174000</v>
      </c>
      <c r="CK165" s="50">
        <v>0.03</v>
      </c>
      <c r="CL165" s="49">
        <v>0.06</v>
      </c>
      <c r="CM165" s="20" t="s">
        <v>1641</v>
      </c>
      <c r="CN165" s="7"/>
      <c r="CO165" s="7"/>
      <c r="CP165" s="27">
        <v>0.03</v>
      </c>
      <c r="CQ165" s="28"/>
      <c r="CR165" s="28"/>
      <c r="CS165" s="28"/>
      <c r="CT165" s="24" t="s">
        <v>960</v>
      </c>
      <c r="CU165" s="28" t="s">
        <v>1685</v>
      </c>
      <c r="CV165" s="28"/>
      <c r="CW165" s="28"/>
      <c r="CX165" s="28"/>
      <c r="CY165" s="28"/>
      <c r="CZ165" s="28"/>
      <c r="DA165" s="28"/>
      <c r="DB165" s="28"/>
      <c r="DC165" s="24" t="s">
        <v>128</v>
      </c>
      <c r="DD165" s="24" t="s">
        <v>129</v>
      </c>
      <c r="DE165" s="24" t="s">
        <v>501</v>
      </c>
      <c r="DF165" s="7" t="s">
        <v>1254</v>
      </c>
      <c r="DG165" s="7" t="s">
        <v>376</v>
      </c>
      <c r="DH165" s="7" t="s">
        <v>1255</v>
      </c>
      <c r="DI165" s="7" t="s">
        <v>1256</v>
      </c>
      <c r="DJ165" s="7" t="s">
        <v>1257</v>
      </c>
      <c r="DK165" s="47">
        <v>0.35</v>
      </c>
      <c r="DL165" s="38">
        <v>0.25</v>
      </c>
      <c r="DM165" s="7" t="s">
        <v>1258</v>
      </c>
      <c r="DN165" s="29"/>
      <c r="DO165" s="28"/>
      <c r="DP165" s="28"/>
      <c r="DQ165" s="28"/>
    </row>
    <row r="166" spans="1:121">
      <c r="B166" s="7">
        <v>161</v>
      </c>
      <c r="C166" s="7" t="s">
        <v>1707</v>
      </c>
      <c r="D166" s="36" t="s">
        <v>1585</v>
      </c>
      <c r="E166" s="7" t="s">
        <v>1710</v>
      </c>
      <c r="F166" s="7" t="s">
        <v>1708</v>
      </c>
      <c r="G166" s="7" t="s">
        <v>1709</v>
      </c>
      <c r="H166" s="38" t="s">
        <v>1711</v>
      </c>
      <c r="I166" s="46" t="s">
        <v>98</v>
      </c>
      <c r="J166" s="18">
        <v>71880000</v>
      </c>
      <c r="K166" s="7">
        <v>2026</v>
      </c>
      <c r="L166" s="38" t="s">
        <v>1712</v>
      </c>
      <c r="M166" s="38" t="s">
        <v>90</v>
      </c>
      <c r="N166" s="38" t="s">
        <v>1728</v>
      </c>
      <c r="O166" s="7" t="s">
        <v>1729</v>
      </c>
      <c r="P166" s="7" t="s">
        <v>98</v>
      </c>
      <c r="Q166" s="33">
        <v>2489</v>
      </c>
      <c r="R166" s="11">
        <v>46234</v>
      </c>
      <c r="S166" s="11">
        <v>46230</v>
      </c>
      <c r="T166" s="11">
        <v>46237</v>
      </c>
      <c r="U166" s="12" t="s">
        <v>496</v>
      </c>
      <c r="V166" s="11">
        <f>IFERROR(T166+AD166, "-")</f>
        <v>47697</v>
      </c>
      <c r="W166" s="13">
        <f ca="1">IFERROR(DATEDIF(TODAY(), V166, "m"), "-")</f>
        <v>47</v>
      </c>
      <c r="X166" s="9">
        <v>30000</v>
      </c>
      <c r="Y166" s="38" t="s">
        <v>1713</v>
      </c>
      <c r="Z166" s="38" t="s">
        <v>1714</v>
      </c>
      <c r="AA166" s="38"/>
      <c r="AB166" s="11" t="s">
        <v>1715</v>
      </c>
      <c r="AC166" s="11">
        <v>46244</v>
      </c>
      <c r="AD166" s="7">
        <f>365*U166</f>
        <v>1460</v>
      </c>
      <c r="AE166" s="7">
        <f ca="1">V166-TODAY()</f>
        <v>1445</v>
      </c>
      <c r="AF166" s="7" t="e">
        <f>VLOOKUP($C166,#REF!, 4, FALSE)</f>
        <v>#REF!</v>
      </c>
      <c r="AG166" s="46">
        <v>71880000</v>
      </c>
      <c r="AH166" s="9">
        <v>2000000</v>
      </c>
      <c r="AI166" s="9">
        <f>AG166-AH166+AJ166</f>
        <v>69880000</v>
      </c>
      <c r="AJ166" s="9"/>
      <c r="AK166" s="9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 t="s">
        <v>1743</v>
      </c>
      <c r="AV166" s="46"/>
      <c r="AW166" s="46"/>
      <c r="AX166" s="18" t="s">
        <v>196</v>
      </c>
      <c r="AY166" s="53"/>
      <c r="AZ166" s="46"/>
      <c r="BA166" s="46"/>
      <c r="BB166" s="46"/>
      <c r="BC166" s="46"/>
      <c r="BD166" s="28"/>
      <c r="BE166" s="9" t="s">
        <v>93</v>
      </c>
      <c r="BF166" s="9" t="s">
        <v>94</v>
      </c>
      <c r="BG166" s="9" t="s">
        <v>95</v>
      </c>
      <c r="BH166" s="9" t="s">
        <v>96</v>
      </c>
      <c r="BI166" s="9" t="s">
        <v>97</v>
      </c>
      <c r="BJ166" s="9" t="s">
        <v>127</v>
      </c>
      <c r="BK166" s="7" t="s">
        <v>130</v>
      </c>
      <c r="BL166" s="9" t="s">
        <v>99</v>
      </c>
      <c r="BM166" s="9" t="s">
        <v>100</v>
      </c>
      <c r="BN166" s="9" t="s">
        <v>100</v>
      </c>
      <c r="BO166" s="9" t="s">
        <v>100</v>
      </c>
      <c r="BP166" s="9" t="s">
        <v>101</v>
      </c>
      <c r="BQ166" s="7"/>
      <c r="BR166" s="28"/>
      <c r="BS166" s="9">
        <f>IF(Q166&lt;=1600,Q166*18,IF(Q166&lt;=2500,Q166*19,IF(Q166&gt;2500,Q166*24,20000)))</f>
        <v>47291</v>
      </c>
      <c r="BT166" s="7" t="s">
        <v>140</v>
      </c>
      <c r="BU166" s="28"/>
      <c r="BV166" s="28"/>
      <c r="BW166" s="7"/>
      <c r="BX166" s="28"/>
      <c r="BY166" s="28"/>
      <c r="BZ166" s="28"/>
      <c r="CA166" s="28"/>
      <c r="CB166" s="28"/>
      <c r="CC166" s="15" t="s">
        <v>141</v>
      </c>
      <c r="CD166" s="15" t="s">
        <v>141</v>
      </c>
      <c r="CE166" s="29">
        <v>1405000</v>
      </c>
      <c r="CF166" s="18">
        <v>48</v>
      </c>
      <c r="CG166" s="29">
        <f>CF166*CE166</f>
        <v>67440000</v>
      </c>
      <c r="CH166" s="29">
        <v>20964000</v>
      </c>
      <c r="CI166" s="29">
        <v>0</v>
      </c>
      <c r="CJ166" s="29">
        <v>24458000</v>
      </c>
      <c r="CK166" s="50">
        <v>0.03</v>
      </c>
      <c r="CL166" s="49">
        <v>0.06</v>
      </c>
      <c r="CM166" s="20" t="s">
        <v>1716</v>
      </c>
      <c r="CN166" s="20" t="s">
        <v>1725</v>
      </c>
      <c r="CO166" s="7"/>
      <c r="CP166" s="27">
        <v>0.03</v>
      </c>
      <c r="CQ166" s="28"/>
      <c r="CR166" s="28" t="s">
        <v>1742</v>
      </c>
      <c r="CS166" s="28"/>
      <c r="CT166" s="28" t="s">
        <v>960</v>
      </c>
      <c r="CU166" s="28"/>
      <c r="CV166" s="28"/>
      <c r="CW166" s="28"/>
      <c r="CX166" s="28"/>
      <c r="CY166" s="28"/>
      <c r="CZ166" s="28"/>
      <c r="DA166" s="28"/>
      <c r="DB166" s="28"/>
      <c r="DC166" s="24" t="s">
        <v>1154</v>
      </c>
      <c r="DD166" s="24" t="s">
        <v>1155</v>
      </c>
      <c r="DE166" s="24" t="s">
        <v>113</v>
      </c>
      <c r="DF166" s="7" t="s">
        <v>1721</v>
      </c>
      <c r="DG166" s="7" t="s">
        <v>1722</v>
      </c>
      <c r="DH166" s="7" t="s">
        <v>1723</v>
      </c>
      <c r="DI166" s="7" t="s">
        <v>1724</v>
      </c>
      <c r="DJ166" s="7" t="s">
        <v>1744</v>
      </c>
      <c r="DK166" s="47">
        <v>0.35</v>
      </c>
      <c r="DL166" s="38">
        <v>0.25</v>
      </c>
      <c r="DM166" s="7" t="s">
        <v>1717</v>
      </c>
      <c r="DN166" s="29"/>
      <c r="DO166" s="28"/>
      <c r="DP166" s="28"/>
      <c r="DQ166" s="28"/>
    </row>
    <row r="167" spans="1:121">
      <c r="B167" s="7">
        <v>162</v>
      </c>
      <c r="C167" s="7" t="s">
        <v>137</v>
      </c>
      <c r="D167" s="36" t="s">
        <v>1585</v>
      </c>
      <c r="E167" s="7" t="s">
        <v>1732</v>
      </c>
      <c r="F167" s="7" t="s">
        <v>516</v>
      </c>
      <c r="G167" s="7" t="s">
        <v>517</v>
      </c>
      <c r="H167" s="38" t="s">
        <v>192</v>
      </c>
      <c r="I167" s="46" t="s">
        <v>1733</v>
      </c>
      <c r="J167" s="18">
        <v>17300000</v>
      </c>
      <c r="K167" s="7"/>
      <c r="L167" s="38" t="s">
        <v>1712</v>
      </c>
      <c r="M167" s="38" t="s">
        <v>90</v>
      </c>
      <c r="N167" s="38"/>
      <c r="O167" s="7"/>
      <c r="P167" s="7" t="s">
        <v>1739</v>
      </c>
      <c r="Q167" s="33">
        <v>998</v>
      </c>
      <c r="R167" s="11"/>
      <c r="S167" s="11"/>
      <c r="T167" s="11" t="s">
        <v>98</v>
      </c>
      <c r="U167" s="12" t="s">
        <v>91</v>
      </c>
      <c r="V167" s="11" t="str">
        <f>IFERROR(T167+AD167, "-")</f>
        <v>-</v>
      </c>
      <c r="W167" s="13" t="str">
        <f ca="1">IFERROR(DATEDIF(TODAY(), V167, "m"), "-")</f>
        <v>-</v>
      </c>
      <c r="X167" s="9">
        <v>20000</v>
      </c>
      <c r="Y167" s="38" t="s">
        <v>1740</v>
      </c>
      <c r="Z167" s="38" t="s">
        <v>1741</v>
      </c>
      <c r="AA167" s="38"/>
      <c r="AB167" s="11"/>
      <c r="AC167" s="11"/>
      <c r="AD167" s="7"/>
      <c r="AE167" s="38"/>
      <c r="AF167" s="7"/>
      <c r="AG167" s="46"/>
      <c r="AH167" s="9"/>
      <c r="AI167" s="9"/>
      <c r="AJ167" s="9"/>
      <c r="AK167" s="9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53"/>
      <c r="AZ167" s="46"/>
      <c r="BA167" s="46"/>
      <c r="BB167" s="46"/>
      <c r="BC167" s="46"/>
      <c r="BD167" s="28"/>
      <c r="BE167" s="9" t="s">
        <v>93</v>
      </c>
      <c r="BF167" s="9" t="s">
        <v>94</v>
      </c>
      <c r="BG167" s="9" t="s">
        <v>117</v>
      </c>
      <c r="BH167" s="9" t="s">
        <v>118</v>
      </c>
      <c r="BI167" s="9" t="s">
        <v>97</v>
      </c>
      <c r="BJ167" s="9" t="s">
        <v>119</v>
      </c>
      <c r="BK167" s="7" t="s">
        <v>130</v>
      </c>
      <c r="BL167" s="9" t="s">
        <v>99</v>
      </c>
      <c r="BM167" s="9" t="s">
        <v>148</v>
      </c>
      <c r="BN167" s="9" t="s">
        <v>148</v>
      </c>
      <c r="BO167" s="9" t="s">
        <v>148</v>
      </c>
      <c r="BP167" s="9" t="s">
        <v>713</v>
      </c>
      <c r="BQ167" s="7"/>
      <c r="BR167" s="28"/>
      <c r="BS167" s="9">
        <f>IF(Q167&lt;=1600,Q167*18,IF(Q167&lt;=2500,Q167*19,IF(Q167&gt;2500,Q167*24,20000)))</f>
        <v>17964</v>
      </c>
      <c r="BT167" s="7" t="s">
        <v>140</v>
      </c>
      <c r="BU167" s="28"/>
      <c r="BV167" s="28"/>
      <c r="BW167" s="7"/>
      <c r="BX167" s="28"/>
      <c r="BY167" s="28"/>
      <c r="BZ167" s="28"/>
      <c r="CA167" s="28"/>
      <c r="CB167" s="28"/>
      <c r="CC167" s="7"/>
      <c r="CD167" s="7"/>
      <c r="CE167" s="29">
        <v>385000</v>
      </c>
      <c r="CF167" s="18">
        <v>60</v>
      </c>
      <c r="CG167" s="29">
        <f>CF167*CE167</f>
        <v>23100000</v>
      </c>
      <c r="CH167" s="29">
        <v>5190000</v>
      </c>
      <c r="CI167" s="29">
        <v>0</v>
      </c>
      <c r="CJ167" s="29">
        <v>7266000</v>
      </c>
      <c r="CK167" s="50">
        <v>0.03</v>
      </c>
      <c r="CL167" s="49">
        <v>0.06</v>
      </c>
      <c r="CM167" s="20" t="s">
        <v>1734</v>
      </c>
      <c r="CN167" s="7"/>
      <c r="CO167" s="7"/>
      <c r="CP167" s="27">
        <v>0.03</v>
      </c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4" t="str">
        <f>IF(DD167="정수원 실장","기아", IF(DD167="박현식 부장", "현대", IF(DD167="김성진 팀장", "한성", IF(DD167="전석영 부장", "한성", IF(DD167= "박봉호 부장", "모토원",IF(DD167="정원철 부장", "한성"))))))</f>
        <v>기아</v>
      </c>
      <c r="DD167" s="24" t="s">
        <v>121</v>
      </c>
      <c r="DE167" s="24" t="str">
        <f>IF(DD167="정수원 실장","렌트베네핏", IF(DD167="박현식 부장", "렌트베네핏", IF(DD167="김성진 팀장", "청담", IF(DD167="전석영 부장", "방배", IF(DD167= "박봉호 부장", "일산",IF(DD212="정원철 부장", "청담"))))))</f>
        <v>렌트베네핏</v>
      </c>
      <c r="DF167" s="7"/>
      <c r="DG167" s="7" t="s">
        <v>824</v>
      </c>
      <c r="DH167" s="7" t="s">
        <v>1735</v>
      </c>
      <c r="DI167" s="7" t="s">
        <v>1736</v>
      </c>
      <c r="DJ167" s="7" t="s">
        <v>1737</v>
      </c>
      <c r="DK167" s="47">
        <v>0.35</v>
      </c>
      <c r="DL167" s="38">
        <v>0.25</v>
      </c>
      <c r="DM167" s="7" t="s">
        <v>1738</v>
      </c>
      <c r="DN167" s="29">
        <v>0</v>
      </c>
      <c r="DO167" s="28"/>
      <c r="DP167" s="28"/>
      <c r="DQ167" s="28"/>
    </row>
    <row r="168" spans="1:121">
      <c r="B168" s="7">
        <v>163</v>
      </c>
      <c r="C168" s="7" t="s">
        <v>790</v>
      </c>
      <c r="D168" s="36" t="s">
        <v>1585</v>
      </c>
      <c r="E168" s="7" t="s">
        <v>791</v>
      </c>
      <c r="F168" s="7" t="s">
        <v>792</v>
      </c>
      <c r="G168" s="7" t="s">
        <v>793</v>
      </c>
      <c r="H168" s="7" t="s">
        <v>122</v>
      </c>
      <c r="I168" s="7" t="s">
        <v>123</v>
      </c>
      <c r="J168" s="9">
        <v>119200000</v>
      </c>
      <c r="K168" s="7">
        <v>2022</v>
      </c>
      <c r="L168" s="6" t="s">
        <v>124</v>
      </c>
      <c r="M168" s="6" t="s">
        <v>90</v>
      </c>
      <c r="N168" s="7" t="s">
        <v>794</v>
      </c>
      <c r="O168" s="7" t="s">
        <v>795</v>
      </c>
      <c r="P168" s="7" t="s">
        <v>98</v>
      </c>
      <c r="Q168" s="33">
        <v>3470</v>
      </c>
      <c r="R168" s="11">
        <v>44788</v>
      </c>
      <c r="S168" s="11">
        <v>44782</v>
      </c>
      <c r="T168" s="11">
        <v>46250</v>
      </c>
      <c r="U168" s="12" t="s">
        <v>639</v>
      </c>
      <c r="V168" s="11">
        <f>IFERROR(T168+AD168, "-")</f>
        <v>46980</v>
      </c>
      <c r="W168" s="7">
        <f ca="1">IFERROR(DATEDIF(TODAY(), V168, "m"), "-")</f>
        <v>23</v>
      </c>
      <c r="X168" s="13">
        <v>30000</v>
      </c>
      <c r="Y168" s="7" t="s">
        <v>1749</v>
      </c>
      <c r="Z168" s="7" t="s">
        <v>1750</v>
      </c>
      <c r="AA168" s="9"/>
      <c r="AB168" s="9" t="s">
        <v>796</v>
      </c>
      <c r="AC168" s="11">
        <v>46259</v>
      </c>
      <c r="AD168" s="7">
        <f>365*U168</f>
        <v>730</v>
      </c>
      <c r="AE168" s="7">
        <f ca="1">V168-TODAY()</f>
        <v>728</v>
      </c>
      <c r="AF168" s="7" t="e">
        <f>VLOOKUP($C168,#REF!, 4, FALSE)</f>
        <v>#REF!</v>
      </c>
      <c r="AG168" s="9">
        <v>112256882</v>
      </c>
      <c r="AH168" s="9">
        <f>AG168*4%</f>
        <v>4490275.28</v>
      </c>
      <c r="AI168" s="9">
        <f>AG168-AH168</f>
        <v>107766606.72</v>
      </c>
      <c r="AJ168" s="9">
        <v>332000</v>
      </c>
      <c r="AK168" s="9">
        <v>2000</v>
      </c>
      <c r="AL168" s="9">
        <v>4081010</v>
      </c>
      <c r="AM168" s="9">
        <v>575914</v>
      </c>
      <c r="AN168" s="9">
        <v>5000</v>
      </c>
      <c r="AO168" s="9">
        <v>21500</v>
      </c>
      <c r="AP168" s="9">
        <v>100000</v>
      </c>
      <c r="AQ168" s="9">
        <v>2315000</v>
      </c>
      <c r="AR168" s="9">
        <v>330000</v>
      </c>
      <c r="AS168" s="9" t="s">
        <v>697</v>
      </c>
      <c r="AT168" s="9">
        <v>420000</v>
      </c>
      <c r="AU168" s="9" t="s">
        <v>698</v>
      </c>
      <c r="AV168" s="9">
        <f>4681260</f>
        <v>4681260</v>
      </c>
      <c r="AW168" s="19">
        <f>SUM(AJ168,AK168,AN168,AO168,AP168, AR168,AT168+AL168+AM168)</f>
        <v>5867424</v>
      </c>
      <c r="AX168" s="7" t="s">
        <v>196</v>
      </c>
      <c r="AY168" s="53">
        <v>44789</v>
      </c>
      <c r="AZ168" s="9">
        <v>1188980</v>
      </c>
      <c r="BA168" s="9"/>
      <c r="BB168" s="9"/>
      <c r="BC168" s="9"/>
      <c r="BD168" s="9"/>
      <c r="BE168" s="9" t="s">
        <v>93</v>
      </c>
      <c r="BF168" s="9" t="s">
        <v>94</v>
      </c>
      <c r="BG168" s="9" t="s">
        <v>95</v>
      </c>
      <c r="BH168" s="9" t="s">
        <v>96</v>
      </c>
      <c r="BI168" s="9" t="s">
        <v>97</v>
      </c>
      <c r="BJ168" s="9" t="s">
        <v>127</v>
      </c>
      <c r="BK168" s="7" t="s">
        <v>130</v>
      </c>
      <c r="BL168" s="9" t="s">
        <v>99</v>
      </c>
      <c r="BM168" s="9" t="s">
        <v>148</v>
      </c>
      <c r="BN168" s="9" t="s">
        <v>148</v>
      </c>
      <c r="BO168" s="9" t="s">
        <v>148</v>
      </c>
      <c r="BP168" s="9" t="s">
        <v>713</v>
      </c>
      <c r="BQ168" s="9" t="s">
        <v>700</v>
      </c>
      <c r="BR168" s="7"/>
      <c r="BS168" s="9">
        <f>IF(Q168&lt;=1600,Q168*18,IF(Q168&lt;=2500,Q168*19,IF(Q168&gt;2500,Q168*24,20000)))</f>
        <v>83280</v>
      </c>
      <c r="BT168" s="7" t="s">
        <v>140</v>
      </c>
      <c r="BU168" s="22"/>
      <c r="BV168" s="9"/>
      <c r="BW168" s="14"/>
      <c r="BX168" s="9"/>
      <c r="BY168" s="9"/>
      <c r="BZ168" s="9"/>
      <c r="CA168" s="27">
        <v>0</v>
      </c>
      <c r="CB168" s="1"/>
      <c r="CC168" s="15" t="s">
        <v>154</v>
      </c>
      <c r="CD168" s="15" t="s">
        <v>154</v>
      </c>
      <c r="CE168" s="9">
        <v>649000</v>
      </c>
      <c r="CF168" s="9">
        <f>U168*12</f>
        <v>24</v>
      </c>
      <c r="CG168" s="9">
        <f>CF168*CE168</f>
        <v>15576000</v>
      </c>
      <c r="CH168" s="9">
        <v>35760000</v>
      </c>
      <c r="CI168" s="9">
        <v>0</v>
      </c>
      <c r="CJ168" s="9">
        <v>28608000</v>
      </c>
      <c r="CK168" s="51">
        <v>9.8799999999999999E-2</v>
      </c>
      <c r="CL168" s="48">
        <v>0.06</v>
      </c>
      <c r="CM168" s="16" t="s">
        <v>797</v>
      </c>
      <c r="CN168" s="9"/>
      <c r="CO168" s="9"/>
      <c r="CP168" s="27">
        <v>0.03</v>
      </c>
      <c r="CQ168" s="38"/>
      <c r="CR168" s="24">
        <v>0</v>
      </c>
      <c r="CS168" s="24">
        <v>0</v>
      </c>
      <c r="CT168" s="24">
        <v>0</v>
      </c>
      <c r="CU168" s="24">
        <v>0</v>
      </c>
      <c r="CV168" s="24">
        <v>0</v>
      </c>
      <c r="CW168" s="24">
        <v>0</v>
      </c>
      <c r="CX168" s="24">
        <v>0</v>
      </c>
      <c r="CY168" s="24">
        <v>0</v>
      </c>
      <c r="CZ168" s="24">
        <v>0</v>
      </c>
      <c r="DA168" s="24">
        <v>0</v>
      </c>
      <c r="DB168" s="24">
        <v>0</v>
      </c>
      <c r="DC168" s="24" t="s">
        <v>128</v>
      </c>
      <c r="DD168" s="24" t="s">
        <v>129</v>
      </c>
      <c r="DE168" s="24" t="s">
        <v>113</v>
      </c>
      <c r="DF168" s="24" t="s">
        <v>1748</v>
      </c>
      <c r="DG168" s="7" t="s">
        <v>824</v>
      </c>
      <c r="DH168" s="7" t="s">
        <v>1747</v>
      </c>
      <c r="DI168" s="24" t="s">
        <v>798</v>
      </c>
      <c r="DJ168" s="18" t="s">
        <v>796</v>
      </c>
      <c r="DK168" s="38">
        <v>0.3</v>
      </c>
      <c r="DL168" s="76">
        <v>0.2</v>
      </c>
      <c r="DM168" s="24" t="s">
        <v>1746</v>
      </c>
      <c r="DN168" s="46"/>
      <c r="DO168" s="24"/>
      <c r="DP168" s="24"/>
      <c r="DQ168" s="38"/>
    </row>
    <row r="169" spans="1:121">
      <c r="B169" s="7">
        <v>164</v>
      </c>
      <c r="C169" s="7"/>
      <c r="D169" s="7"/>
      <c r="E169" s="7"/>
      <c r="F169" s="7"/>
      <c r="G169" s="7"/>
      <c r="H169" s="38"/>
      <c r="I169" s="46"/>
      <c r="J169" s="18"/>
      <c r="K169" s="7"/>
      <c r="L169" s="38"/>
      <c r="M169" s="38"/>
      <c r="N169" s="38"/>
      <c r="O169" s="7"/>
      <c r="P169" s="7"/>
      <c r="Q169" s="33"/>
      <c r="R169" s="11"/>
      <c r="S169" s="11"/>
      <c r="T169" s="11" t="s">
        <v>98</v>
      </c>
      <c r="U169" s="12"/>
      <c r="V169" s="11"/>
      <c r="W169" s="13"/>
      <c r="X169" s="9"/>
      <c r="Y169" s="38"/>
      <c r="Z169" s="38"/>
      <c r="AA169" s="38"/>
      <c r="AB169" s="11"/>
      <c r="AC169" s="11"/>
      <c r="AD169" s="7"/>
      <c r="AE169" s="38"/>
      <c r="AF169" s="7"/>
      <c r="AG169" s="46"/>
      <c r="AH169" s="9"/>
      <c r="AI169" s="9"/>
      <c r="AJ169" s="9"/>
      <c r="AK169" s="9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53"/>
      <c r="AZ169" s="46"/>
      <c r="BA169" s="46"/>
      <c r="BB169" s="46"/>
      <c r="BC169" s="46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7"/>
      <c r="BR169" s="28"/>
      <c r="BS169" s="28"/>
      <c r="BT169" s="28"/>
      <c r="BU169" s="28"/>
      <c r="BV169" s="28"/>
      <c r="BW169" s="7"/>
      <c r="BX169" s="28"/>
      <c r="BY169" s="28"/>
      <c r="BZ169" s="28"/>
      <c r="CA169" s="28"/>
      <c r="CB169" s="28"/>
      <c r="CC169" s="7"/>
      <c r="CD169" s="7"/>
      <c r="CE169" s="29"/>
      <c r="CF169" s="18"/>
      <c r="CG169" s="29"/>
      <c r="CH169" s="29"/>
      <c r="CI169" s="29"/>
      <c r="CJ169" s="29"/>
      <c r="CK169" s="28"/>
      <c r="CL169" s="28"/>
      <c r="CM169" s="7"/>
      <c r="CN169" s="7"/>
      <c r="CO169" s="7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7"/>
      <c r="DG169" s="7"/>
      <c r="DH169" s="7"/>
      <c r="DI169" s="7"/>
      <c r="DJ169" s="7"/>
      <c r="DK169" s="28"/>
      <c r="DL169" s="28"/>
      <c r="DM169" s="7"/>
      <c r="DN169" s="29"/>
      <c r="DO169" s="28"/>
      <c r="DP169" s="28"/>
      <c r="DQ169" s="28"/>
    </row>
    <row r="170" spans="1:121">
      <c r="B170" s="7">
        <v>165</v>
      </c>
      <c r="C170" s="7"/>
      <c r="D170" s="7"/>
      <c r="E170" s="7"/>
      <c r="F170" s="7"/>
      <c r="G170" s="7"/>
      <c r="H170" s="38"/>
      <c r="I170" s="46"/>
      <c r="J170" s="18"/>
      <c r="K170" s="7"/>
      <c r="L170" s="38"/>
      <c r="M170" s="38"/>
      <c r="N170" s="38"/>
      <c r="O170" s="7"/>
      <c r="P170" s="7"/>
      <c r="Q170" s="33"/>
      <c r="R170" s="11"/>
      <c r="S170" s="11"/>
      <c r="T170" s="11" t="s">
        <v>98</v>
      </c>
      <c r="U170" s="12"/>
      <c r="V170" s="11"/>
      <c r="W170" s="13"/>
      <c r="X170" s="9"/>
      <c r="Y170" s="38"/>
      <c r="Z170" s="38"/>
      <c r="AA170" s="38"/>
      <c r="AB170" s="11"/>
      <c r="AC170" s="11"/>
      <c r="AD170" s="7"/>
      <c r="AE170" s="38"/>
      <c r="AF170" s="7"/>
      <c r="AG170" s="46"/>
      <c r="AH170" s="9"/>
      <c r="AI170" s="9"/>
      <c r="AJ170" s="9"/>
      <c r="AK170" s="9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53"/>
      <c r="AZ170" s="46"/>
      <c r="BA170" s="46"/>
      <c r="BB170" s="46"/>
      <c r="BC170" s="46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7"/>
      <c r="BR170" s="28"/>
      <c r="BS170" s="28"/>
      <c r="BT170" s="28"/>
      <c r="BU170" s="28"/>
      <c r="BV170" s="28"/>
      <c r="BW170" s="7"/>
      <c r="BX170" s="28"/>
      <c r="BY170" s="28"/>
      <c r="BZ170" s="28"/>
      <c r="CA170" s="28"/>
      <c r="CB170" s="28"/>
      <c r="CC170" s="7"/>
      <c r="CD170" s="7"/>
      <c r="CE170" s="29"/>
      <c r="CF170" s="18"/>
      <c r="CG170" s="29"/>
      <c r="CH170" s="29"/>
      <c r="CI170" s="29"/>
      <c r="CJ170" s="29"/>
      <c r="CK170" s="28"/>
      <c r="CL170" s="28"/>
      <c r="CM170" s="7"/>
      <c r="CN170" s="7"/>
      <c r="CO170" s="7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7"/>
      <c r="DG170" s="7"/>
      <c r="DH170" s="7"/>
      <c r="DI170" s="7"/>
      <c r="DJ170" s="7"/>
      <c r="DK170" s="28"/>
      <c r="DL170" s="28"/>
      <c r="DM170" s="7"/>
      <c r="DN170" s="29"/>
      <c r="DO170" s="28"/>
      <c r="DP170" s="28"/>
      <c r="DQ170" s="28"/>
    </row>
    <row r="171" spans="1:121">
      <c r="B171" s="7">
        <v>166</v>
      </c>
      <c r="C171" s="7"/>
      <c r="D171" s="7"/>
      <c r="E171" s="7"/>
      <c r="F171" s="7"/>
      <c r="G171" s="7"/>
      <c r="H171" s="38"/>
      <c r="I171" s="46"/>
      <c r="J171" s="18"/>
      <c r="K171" s="7"/>
      <c r="L171" s="38"/>
      <c r="M171" s="38"/>
      <c r="N171" s="38"/>
      <c r="O171" s="7"/>
      <c r="P171" s="7"/>
      <c r="Q171" s="33"/>
      <c r="R171" s="11"/>
      <c r="S171" s="11"/>
      <c r="T171" s="11" t="s">
        <v>98</v>
      </c>
      <c r="U171" s="12"/>
      <c r="V171" s="11"/>
      <c r="W171" s="13"/>
      <c r="X171" s="9"/>
      <c r="Y171" s="38"/>
      <c r="Z171" s="38"/>
      <c r="AA171" s="38"/>
      <c r="AB171" s="11"/>
      <c r="AC171" s="11"/>
      <c r="AD171" s="7"/>
      <c r="AE171" s="38"/>
      <c r="AF171" s="7"/>
      <c r="AG171" s="46"/>
      <c r="AH171" s="9"/>
      <c r="AI171" s="9"/>
      <c r="AJ171" s="9"/>
      <c r="AK171" s="9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53"/>
      <c r="AZ171" s="46"/>
      <c r="BA171" s="46"/>
      <c r="BB171" s="46"/>
      <c r="BC171" s="46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7"/>
      <c r="BR171" s="28"/>
      <c r="BS171" s="28"/>
      <c r="BT171" s="28"/>
      <c r="BU171" s="28"/>
      <c r="BV171" s="28"/>
      <c r="BW171" s="7"/>
      <c r="BX171" s="28"/>
      <c r="BY171" s="28"/>
      <c r="BZ171" s="28"/>
      <c r="CA171" s="28"/>
      <c r="CB171" s="28"/>
      <c r="CC171" s="7"/>
      <c r="CD171" s="7"/>
      <c r="CE171" s="29"/>
      <c r="CF171" s="18"/>
      <c r="CG171" s="29"/>
      <c r="CH171" s="29"/>
      <c r="CI171" s="29"/>
      <c r="CJ171" s="29"/>
      <c r="CK171" s="28"/>
      <c r="CL171" s="28"/>
      <c r="CM171" s="7"/>
      <c r="CN171" s="7"/>
      <c r="CO171" s="7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7"/>
      <c r="DG171" s="7"/>
      <c r="DH171" s="7"/>
      <c r="DI171" s="7"/>
      <c r="DJ171" s="7"/>
      <c r="DK171" s="28"/>
      <c r="DL171" s="28"/>
      <c r="DM171" s="7"/>
      <c r="DN171" s="29"/>
      <c r="DO171" s="28"/>
      <c r="DP171" s="28"/>
      <c r="DQ171" s="28"/>
    </row>
    <row r="172" spans="1:121">
      <c r="B172" s="7">
        <v>167</v>
      </c>
      <c r="C172" s="7"/>
      <c r="D172" s="7"/>
      <c r="E172" s="7"/>
      <c r="F172" s="7"/>
      <c r="G172" s="7"/>
      <c r="H172" s="38"/>
      <c r="I172" s="46"/>
      <c r="J172" s="18"/>
      <c r="K172" s="7"/>
      <c r="L172" s="38"/>
      <c r="M172" s="38"/>
      <c r="N172" s="38"/>
      <c r="O172" s="7"/>
      <c r="P172" s="7"/>
      <c r="Q172" s="33"/>
      <c r="R172" s="11"/>
      <c r="S172" s="11"/>
      <c r="T172" s="11" t="s">
        <v>98</v>
      </c>
      <c r="U172" s="12"/>
      <c r="V172" s="11"/>
      <c r="W172" s="13"/>
      <c r="X172" s="9"/>
      <c r="Y172" s="38"/>
      <c r="Z172" s="38"/>
      <c r="AA172" s="38"/>
      <c r="AB172" s="11"/>
      <c r="AC172" s="11"/>
      <c r="AD172" s="7"/>
      <c r="AE172" s="38"/>
      <c r="AF172" s="7"/>
      <c r="AG172" s="46"/>
      <c r="AH172" s="9"/>
      <c r="AI172" s="9"/>
      <c r="AJ172" s="9"/>
      <c r="AK172" s="9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53"/>
      <c r="AZ172" s="46"/>
      <c r="BA172" s="46"/>
      <c r="BB172" s="46"/>
      <c r="BC172" s="46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7"/>
      <c r="BR172" s="28"/>
      <c r="BS172" s="28"/>
      <c r="BT172" s="28"/>
      <c r="BU172" s="28"/>
      <c r="BV172" s="28"/>
      <c r="BW172" s="7"/>
      <c r="BX172" s="28"/>
      <c r="BY172" s="28"/>
      <c r="BZ172" s="28"/>
      <c r="CA172" s="28"/>
      <c r="CB172" s="28"/>
      <c r="CC172" s="7"/>
      <c r="CD172" s="7"/>
      <c r="CE172" s="29"/>
      <c r="CF172" s="18"/>
      <c r="CG172" s="29"/>
      <c r="CH172" s="29"/>
      <c r="CI172" s="29"/>
      <c r="CJ172" s="29"/>
      <c r="CK172" s="28"/>
      <c r="CL172" s="28"/>
      <c r="CM172" s="7"/>
      <c r="CN172" s="7"/>
      <c r="CO172" s="7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7"/>
      <c r="DG172" s="7"/>
      <c r="DH172" s="7"/>
      <c r="DI172" s="7"/>
      <c r="DJ172" s="7"/>
      <c r="DK172" s="28"/>
      <c r="DL172" s="28"/>
      <c r="DM172" s="7"/>
      <c r="DN172" s="29"/>
      <c r="DO172" s="28"/>
      <c r="DP172" s="28"/>
      <c r="DQ172" s="28"/>
    </row>
    <row r="173" spans="1:121">
      <c r="B173" s="7">
        <v>168</v>
      </c>
      <c r="C173" s="7"/>
      <c r="D173" s="7"/>
      <c r="E173" s="7"/>
      <c r="F173" s="7"/>
      <c r="G173" s="7"/>
      <c r="H173" s="38"/>
      <c r="I173" s="46"/>
      <c r="J173" s="18"/>
      <c r="K173" s="7"/>
      <c r="L173" s="38"/>
      <c r="M173" s="38"/>
      <c r="N173" s="38"/>
      <c r="O173" s="7"/>
      <c r="P173" s="7"/>
      <c r="Q173" s="33"/>
      <c r="R173" s="11"/>
      <c r="S173" s="11"/>
      <c r="T173" s="11" t="s">
        <v>98</v>
      </c>
      <c r="U173" s="12"/>
      <c r="V173" s="11"/>
      <c r="W173" s="13"/>
      <c r="X173" s="9"/>
      <c r="Y173" s="38"/>
      <c r="Z173" s="38"/>
      <c r="AA173" s="38"/>
      <c r="AB173" s="11"/>
      <c r="AC173" s="11"/>
      <c r="AD173" s="7"/>
      <c r="AE173" s="38"/>
      <c r="AF173" s="7"/>
      <c r="AG173" s="46"/>
      <c r="AH173" s="9"/>
      <c r="AI173" s="9"/>
      <c r="AJ173" s="9"/>
      <c r="AK173" s="9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53"/>
      <c r="AZ173" s="46"/>
      <c r="BA173" s="46"/>
      <c r="BB173" s="46"/>
      <c r="BC173" s="46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7"/>
      <c r="BR173" s="28"/>
      <c r="BS173" s="28"/>
      <c r="BT173" s="28"/>
      <c r="BU173" s="28"/>
      <c r="BV173" s="28"/>
      <c r="BW173" s="7"/>
      <c r="BX173" s="28"/>
      <c r="BY173" s="28"/>
      <c r="BZ173" s="28"/>
      <c r="CA173" s="28"/>
      <c r="CB173" s="28"/>
      <c r="CC173" s="7"/>
      <c r="CD173" s="7"/>
      <c r="CE173" s="29"/>
      <c r="CF173" s="18"/>
      <c r="CG173" s="29"/>
      <c r="CH173" s="29"/>
      <c r="CI173" s="29"/>
      <c r="CJ173" s="29"/>
      <c r="CK173" s="28"/>
      <c r="CL173" s="28"/>
      <c r="CM173" s="7"/>
      <c r="CN173" s="7"/>
      <c r="CO173" s="7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7"/>
      <c r="DG173" s="7"/>
      <c r="DH173" s="7"/>
      <c r="DI173" s="7"/>
      <c r="DJ173" s="7"/>
      <c r="DK173" s="28"/>
      <c r="DL173" s="28"/>
      <c r="DM173" s="7"/>
      <c r="DN173" s="29"/>
      <c r="DO173" s="28"/>
      <c r="DP173" s="28"/>
      <c r="DQ173" s="28"/>
    </row>
    <row r="174" spans="1:121">
      <c r="B174" s="7">
        <v>169</v>
      </c>
      <c r="C174" s="7"/>
      <c r="D174" s="7"/>
      <c r="E174" s="7"/>
      <c r="F174" s="7"/>
      <c r="G174" s="7"/>
      <c r="H174" s="38"/>
      <c r="I174" s="46"/>
      <c r="J174" s="18"/>
      <c r="K174" s="7"/>
      <c r="L174" s="38"/>
      <c r="M174" s="38"/>
      <c r="N174" s="38"/>
      <c r="O174" s="7"/>
      <c r="P174" s="7"/>
      <c r="Q174" s="33"/>
      <c r="R174" s="11"/>
      <c r="S174" s="11"/>
      <c r="T174" s="11" t="s">
        <v>98</v>
      </c>
      <c r="U174" s="12"/>
      <c r="V174" s="11"/>
      <c r="W174" s="13"/>
      <c r="X174" s="9"/>
      <c r="Y174" s="38"/>
      <c r="Z174" s="38"/>
      <c r="AA174" s="38"/>
      <c r="AB174" s="11"/>
      <c r="AC174" s="11"/>
      <c r="AD174" s="7"/>
      <c r="AE174" s="38"/>
      <c r="AF174" s="7"/>
      <c r="AG174" s="46"/>
      <c r="AH174" s="9"/>
      <c r="AI174" s="9"/>
      <c r="AJ174" s="9"/>
      <c r="AK174" s="9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53"/>
      <c r="AZ174" s="46"/>
      <c r="BA174" s="46"/>
      <c r="BB174" s="46"/>
      <c r="BC174" s="46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7"/>
      <c r="BR174" s="28"/>
      <c r="BS174" s="28"/>
      <c r="BT174" s="28"/>
      <c r="BU174" s="28"/>
      <c r="BV174" s="28"/>
      <c r="BW174" s="7"/>
      <c r="BX174" s="28"/>
      <c r="BY174" s="28"/>
      <c r="BZ174" s="28"/>
      <c r="CA174" s="28"/>
      <c r="CB174" s="28"/>
      <c r="CC174" s="7"/>
      <c r="CD174" s="7"/>
      <c r="CE174" s="29"/>
      <c r="CF174" s="18"/>
      <c r="CG174" s="29"/>
      <c r="CH174" s="29"/>
      <c r="CI174" s="29"/>
      <c r="CJ174" s="29"/>
      <c r="CK174" s="28"/>
      <c r="CL174" s="28"/>
      <c r="CM174" s="7"/>
      <c r="CN174" s="7"/>
      <c r="CO174" s="7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7"/>
      <c r="DG174" s="7"/>
      <c r="DH174" s="7"/>
      <c r="DI174" s="7"/>
      <c r="DJ174" s="7"/>
      <c r="DK174" s="28"/>
      <c r="DL174" s="28"/>
      <c r="DM174" s="7"/>
      <c r="DN174" s="29"/>
      <c r="DO174" s="28"/>
      <c r="DP174" s="28"/>
      <c r="DQ174" s="28"/>
    </row>
    <row r="175" spans="1:121">
      <c r="B175" s="7">
        <v>170</v>
      </c>
      <c r="C175" s="7"/>
      <c r="D175" s="7"/>
      <c r="E175" s="7"/>
      <c r="F175" s="7"/>
      <c r="G175" s="7"/>
      <c r="H175" s="38"/>
      <c r="I175" s="46"/>
      <c r="J175" s="18"/>
      <c r="K175" s="7"/>
      <c r="L175" s="38"/>
      <c r="M175" s="38"/>
      <c r="N175" s="38"/>
      <c r="O175" s="7"/>
      <c r="P175" s="7"/>
      <c r="Q175" s="33"/>
      <c r="R175" s="11"/>
      <c r="S175" s="11"/>
      <c r="T175" s="11" t="s">
        <v>98</v>
      </c>
      <c r="U175" s="12"/>
      <c r="V175" s="11"/>
      <c r="W175" s="13"/>
      <c r="X175" s="9"/>
      <c r="Y175" s="38"/>
      <c r="Z175" s="38"/>
      <c r="AA175" s="38"/>
      <c r="AB175" s="11"/>
      <c r="AC175" s="11"/>
      <c r="AD175" s="7"/>
      <c r="AE175" s="38"/>
      <c r="AF175" s="7"/>
      <c r="AG175" s="46"/>
      <c r="AH175" s="9"/>
      <c r="AI175" s="9"/>
      <c r="AJ175" s="9"/>
      <c r="AK175" s="9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53"/>
      <c r="AZ175" s="46"/>
      <c r="BA175" s="46"/>
      <c r="BB175" s="46"/>
      <c r="BC175" s="46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7"/>
      <c r="BR175" s="28"/>
      <c r="BS175" s="28"/>
      <c r="BT175" s="28"/>
      <c r="BU175" s="28"/>
      <c r="BV175" s="28"/>
      <c r="BW175" s="7"/>
      <c r="BX175" s="28"/>
      <c r="BY175" s="28"/>
      <c r="BZ175" s="28"/>
      <c r="CA175" s="28"/>
      <c r="CB175" s="28"/>
      <c r="CC175" s="7"/>
      <c r="CD175" s="7"/>
      <c r="CE175" s="29"/>
      <c r="CF175" s="18"/>
      <c r="CG175" s="29"/>
      <c r="CH175" s="29"/>
      <c r="CI175" s="29"/>
      <c r="CJ175" s="29"/>
      <c r="CK175" s="28"/>
      <c r="CL175" s="28"/>
      <c r="CM175" s="7"/>
      <c r="CN175" s="7"/>
      <c r="CO175" s="7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7"/>
      <c r="DG175" s="7"/>
      <c r="DH175" s="7"/>
      <c r="DI175" s="7"/>
      <c r="DJ175" s="7"/>
      <c r="DK175" s="28"/>
      <c r="DL175" s="28"/>
      <c r="DM175" s="7"/>
      <c r="DN175" s="29"/>
      <c r="DO175" s="28"/>
      <c r="DP175" s="28"/>
      <c r="DQ175" s="28"/>
    </row>
    <row r="176" spans="1:121">
      <c r="B176" s="7">
        <v>171</v>
      </c>
      <c r="C176" s="7"/>
      <c r="D176" s="7"/>
      <c r="E176" s="7"/>
      <c r="F176" s="7"/>
      <c r="G176" s="7"/>
      <c r="H176" s="38"/>
      <c r="I176" s="46"/>
      <c r="J176" s="18"/>
      <c r="K176" s="7"/>
      <c r="L176" s="38"/>
      <c r="M176" s="38"/>
      <c r="N176" s="38"/>
      <c r="O176" s="7"/>
      <c r="P176" s="7"/>
      <c r="Q176" s="33"/>
      <c r="R176" s="11"/>
      <c r="S176" s="11"/>
      <c r="T176" s="11" t="s">
        <v>98</v>
      </c>
      <c r="U176" s="12"/>
      <c r="V176" s="11"/>
      <c r="W176" s="13"/>
      <c r="X176" s="9"/>
      <c r="Y176" s="38"/>
      <c r="Z176" s="38"/>
      <c r="AA176" s="38"/>
      <c r="AB176" s="11"/>
      <c r="AC176" s="11"/>
      <c r="AD176" s="7"/>
      <c r="AE176" s="38"/>
      <c r="AF176" s="7"/>
      <c r="AG176" s="46"/>
      <c r="AH176" s="9"/>
      <c r="AI176" s="9"/>
      <c r="AJ176" s="9"/>
      <c r="AK176" s="9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53"/>
      <c r="AZ176" s="46"/>
      <c r="BA176" s="46"/>
      <c r="BB176" s="46"/>
      <c r="BC176" s="46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7"/>
      <c r="BR176" s="28"/>
      <c r="BS176" s="28"/>
      <c r="BT176" s="28"/>
      <c r="BU176" s="28"/>
      <c r="BV176" s="28"/>
      <c r="BW176" s="7"/>
      <c r="BX176" s="28"/>
      <c r="BY176" s="28"/>
      <c r="BZ176" s="28"/>
      <c r="CA176" s="28"/>
      <c r="CB176" s="28"/>
      <c r="CC176" s="7"/>
      <c r="CD176" s="7"/>
      <c r="CE176" s="29"/>
      <c r="CF176" s="18"/>
      <c r="CG176" s="29"/>
      <c r="CH176" s="29"/>
      <c r="CI176" s="29"/>
      <c r="CJ176" s="29"/>
      <c r="CK176" s="28"/>
      <c r="CL176" s="28"/>
      <c r="CM176" s="7"/>
      <c r="CN176" s="7"/>
      <c r="CO176" s="7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7"/>
      <c r="DG176" s="7"/>
      <c r="DH176" s="7"/>
      <c r="DI176" s="7"/>
      <c r="DJ176" s="7"/>
      <c r="DK176" s="28"/>
      <c r="DL176" s="28"/>
      <c r="DM176" s="7"/>
      <c r="DN176" s="29"/>
      <c r="DO176" s="28"/>
      <c r="DP176" s="28"/>
      <c r="DQ176" s="28"/>
    </row>
    <row r="177" spans="2:121">
      <c r="B177" s="7">
        <v>172</v>
      </c>
      <c r="C177" s="7"/>
      <c r="D177" s="7"/>
      <c r="E177" s="7"/>
      <c r="F177" s="7"/>
      <c r="G177" s="7"/>
      <c r="H177" s="38"/>
      <c r="I177" s="46"/>
      <c r="J177" s="18"/>
      <c r="K177" s="7"/>
      <c r="L177" s="38"/>
      <c r="M177" s="38"/>
      <c r="N177" s="38"/>
      <c r="O177" s="7"/>
      <c r="P177" s="7"/>
      <c r="Q177" s="33"/>
      <c r="R177" s="11"/>
      <c r="S177" s="11"/>
      <c r="T177" s="11" t="s">
        <v>98</v>
      </c>
      <c r="U177" s="12"/>
      <c r="V177" s="11"/>
      <c r="W177" s="13"/>
      <c r="X177" s="9"/>
      <c r="Y177" s="38"/>
      <c r="Z177" s="38"/>
      <c r="AA177" s="38"/>
      <c r="AB177" s="11"/>
      <c r="AC177" s="11"/>
      <c r="AD177" s="7"/>
      <c r="AE177" s="38"/>
      <c r="AF177" s="7"/>
      <c r="AG177" s="46"/>
      <c r="AH177" s="9"/>
      <c r="AI177" s="9"/>
      <c r="AJ177" s="9"/>
      <c r="AK177" s="9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53"/>
      <c r="AZ177" s="46"/>
      <c r="BA177" s="46"/>
      <c r="BB177" s="46"/>
      <c r="BC177" s="46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7"/>
      <c r="BR177" s="28"/>
      <c r="BS177" s="28"/>
      <c r="BT177" s="28"/>
      <c r="BU177" s="28"/>
      <c r="BV177" s="28"/>
      <c r="BW177" s="7"/>
      <c r="BX177" s="28"/>
      <c r="BY177" s="28"/>
      <c r="BZ177" s="28"/>
      <c r="CA177" s="28"/>
      <c r="CB177" s="28"/>
      <c r="CC177" s="7"/>
      <c r="CD177" s="7"/>
      <c r="CE177" s="29"/>
      <c r="CF177" s="18"/>
      <c r="CG177" s="29"/>
      <c r="CH177" s="29"/>
      <c r="CI177" s="29"/>
      <c r="CJ177" s="29"/>
      <c r="CK177" s="28"/>
      <c r="CL177" s="28"/>
      <c r="CM177" s="7"/>
      <c r="CN177" s="7"/>
      <c r="CO177" s="7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7"/>
      <c r="DG177" s="7"/>
      <c r="DH177" s="7"/>
      <c r="DI177" s="7"/>
      <c r="DJ177" s="7"/>
      <c r="DK177" s="28"/>
      <c r="DL177" s="28"/>
      <c r="DM177" s="7"/>
      <c r="DN177" s="29"/>
      <c r="DO177" s="28"/>
      <c r="DP177" s="28"/>
      <c r="DQ177" s="28"/>
    </row>
    <row r="178" spans="2:121">
      <c r="B178" s="7">
        <v>173</v>
      </c>
      <c r="C178" s="7"/>
      <c r="D178" s="7"/>
      <c r="E178" s="7"/>
      <c r="F178" s="7"/>
      <c r="G178" s="7"/>
      <c r="H178" s="38"/>
      <c r="I178" s="46"/>
      <c r="J178" s="18"/>
      <c r="K178" s="7"/>
      <c r="L178" s="38"/>
      <c r="M178" s="38"/>
      <c r="N178" s="38"/>
      <c r="O178" s="7"/>
      <c r="P178" s="7"/>
      <c r="Q178" s="33"/>
      <c r="R178" s="11"/>
      <c r="S178" s="11"/>
      <c r="T178" s="11" t="s">
        <v>98</v>
      </c>
      <c r="U178" s="12"/>
      <c r="V178" s="11"/>
      <c r="W178" s="13"/>
      <c r="X178" s="9"/>
      <c r="Y178" s="38"/>
      <c r="Z178" s="38"/>
      <c r="AA178" s="38"/>
      <c r="AB178" s="11"/>
      <c r="AC178" s="11"/>
      <c r="AD178" s="7"/>
      <c r="AE178" s="38"/>
      <c r="AF178" s="7"/>
      <c r="AG178" s="46"/>
      <c r="AH178" s="9"/>
      <c r="AI178" s="9"/>
      <c r="AJ178" s="9"/>
      <c r="AK178" s="9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53"/>
      <c r="AZ178" s="46"/>
      <c r="BA178" s="46"/>
      <c r="BB178" s="46"/>
      <c r="BC178" s="46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7"/>
      <c r="BR178" s="28"/>
      <c r="BS178" s="28"/>
      <c r="BT178" s="28"/>
      <c r="BU178" s="28"/>
      <c r="BV178" s="28"/>
      <c r="BW178" s="7"/>
      <c r="BX178" s="28"/>
      <c r="BY178" s="28"/>
      <c r="BZ178" s="28"/>
      <c r="CA178" s="28"/>
      <c r="CB178" s="28"/>
      <c r="CC178" s="7"/>
      <c r="CD178" s="7"/>
      <c r="CE178" s="29"/>
      <c r="CF178" s="18"/>
      <c r="CG178" s="29"/>
      <c r="CH178" s="29"/>
      <c r="CI178" s="29"/>
      <c r="CJ178" s="29"/>
      <c r="CK178" s="28"/>
      <c r="CL178" s="28"/>
      <c r="CM178" s="7"/>
      <c r="CN178" s="7"/>
      <c r="CO178" s="7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7"/>
      <c r="DG178" s="7"/>
      <c r="DH178" s="7"/>
      <c r="DI178" s="7"/>
      <c r="DJ178" s="7"/>
      <c r="DK178" s="28"/>
      <c r="DL178" s="28"/>
      <c r="DM178" s="7"/>
      <c r="DN178" s="29"/>
      <c r="DO178" s="28"/>
      <c r="DP178" s="28"/>
      <c r="DQ178" s="28"/>
    </row>
    <row r="179" spans="2:121">
      <c r="B179" s="7">
        <v>174</v>
      </c>
      <c r="C179" s="7"/>
      <c r="D179" s="7"/>
      <c r="E179" s="7"/>
      <c r="F179" s="7"/>
      <c r="G179" s="7"/>
      <c r="H179" s="38"/>
      <c r="I179" s="46"/>
      <c r="J179" s="18"/>
      <c r="K179" s="7"/>
      <c r="L179" s="38"/>
      <c r="M179" s="38"/>
      <c r="N179" s="38"/>
      <c r="O179" s="7"/>
      <c r="P179" s="7"/>
      <c r="Q179" s="33"/>
      <c r="R179" s="11"/>
      <c r="S179" s="11"/>
      <c r="T179" s="11" t="s">
        <v>98</v>
      </c>
      <c r="U179" s="12"/>
      <c r="V179" s="11"/>
      <c r="W179" s="13"/>
      <c r="X179" s="9"/>
      <c r="Y179" s="38"/>
      <c r="Z179" s="38"/>
      <c r="AA179" s="38"/>
      <c r="AB179" s="11"/>
      <c r="AC179" s="11"/>
      <c r="AD179" s="7"/>
      <c r="AE179" s="38"/>
      <c r="AF179" s="7"/>
      <c r="AG179" s="46"/>
      <c r="AH179" s="9"/>
      <c r="AI179" s="9"/>
      <c r="AJ179" s="9"/>
      <c r="AK179" s="9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53"/>
      <c r="AZ179" s="46"/>
      <c r="BA179" s="46"/>
      <c r="BB179" s="46"/>
      <c r="BC179" s="46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7"/>
      <c r="BR179" s="28"/>
      <c r="BS179" s="28"/>
      <c r="BT179" s="28"/>
      <c r="BU179" s="28"/>
      <c r="BV179" s="28"/>
      <c r="BW179" s="7"/>
      <c r="BX179" s="28"/>
      <c r="BY179" s="28"/>
      <c r="BZ179" s="28"/>
      <c r="CA179" s="28"/>
      <c r="CB179" s="28"/>
      <c r="CC179" s="7"/>
      <c r="CD179" s="7"/>
      <c r="CE179" s="29"/>
      <c r="CF179" s="18"/>
      <c r="CG179" s="29"/>
      <c r="CH179" s="29"/>
      <c r="CI179" s="29"/>
      <c r="CJ179" s="29"/>
      <c r="CK179" s="28"/>
      <c r="CL179" s="28"/>
      <c r="CM179" s="7"/>
      <c r="CN179" s="7"/>
      <c r="CO179" s="7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7"/>
      <c r="DG179" s="7"/>
      <c r="DH179" s="7"/>
      <c r="DI179" s="7"/>
      <c r="DJ179" s="7"/>
      <c r="DK179" s="28"/>
      <c r="DL179" s="28"/>
      <c r="DM179" s="7"/>
      <c r="DN179" s="29"/>
      <c r="DO179" s="28"/>
      <c r="DP179" s="28"/>
      <c r="DQ179" s="28"/>
    </row>
    <row r="180" spans="2:121">
      <c r="B180" s="7">
        <v>175</v>
      </c>
      <c r="C180" s="7"/>
      <c r="D180" s="7"/>
      <c r="E180" s="7"/>
      <c r="F180" s="7"/>
      <c r="G180" s="7"/>
      <c r="H180" s="38"/>
      <c r="I180" s="46"/>
      <c r="J180" s="18"/>
      <c r="K180" s="7"/>
      <c r="L180" s="38"/>
      <c r="M180" s="38"/>
      <c r="N180" s="38"/>
      <c r="O180" s="7"/>
      <c r="P180" s="7"/>
      <c r="Q180" s="33"/>
      <c r="R180" s="11"/>
      <c r="S180" s="11"/>
      <c r="T180" s="11" t="s">
        <v>98</v>
      </c>
      <c r="U180" s="12"/>
      <c r="V180" s="11"/>
      <c r="W180" s="13"/>
      <c r="X180" s="9"/>
      <c r="Y180" s="38"/>
      <c r="Z180" s="38"/>
      <c r="AA180" s="38"/>
      <c r="AB180" s="11"/>
      <c r="AC180" s="11"/>
      <c r="AD180" s="7"/>
      <c r="AE180" s="38"/>
      <c r="AF180" s="7"/>
      <c r="AG180" s="46"/>
      <c r="AH180" s="9"/>
      <c r="AI180" s="9"/>
      <c r="AJ180" s="9"/>
      <c r="AK180" s="9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53"/>
      <c r="AZ180" s="46"/>
      <c r="BA180" s="46"/>
      <c r="BB180" s="46"/>
      <c r="BC180" s="46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7"/>
      <c r="BR180" s="28"/>
      <c r="BS180" s="28"/>
      <c r="BT180" s="28"/>
      <c r="BU180" s="28"/>
      <c r="BV180" s="28"/>
      <c r="BW180" s="7"/>
      <c r="BX180" s="28"/>
      <c r="BY180" s="28"/>
      <c r="BZ180" s="28"/>
      <c r="CA180" s="28"/>
      <c r="CB180" s="28"/>
      <c r="CC180" s="7"/>
      <c r="CD180" s="7"/>
      <c r="CE180" s="29"/>
      <c r="CF180" s="18"/>
      <c r="CG180" s="29"/>
      <c r="CH180" s="29"/>
      <c r="CI180" s="29"/>
      <c r="CJ180" s="29"/>
      <c r="CK180" s="28"/>
      <c r="CL180" s="28"/>
      <c r="CM180" s="7"/>
      <c r="CN180" s="7"/>
      <c r="CO180" s="7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7"/>
      <c r="DG180" s="7"/>
      <c r="DH180" s="7"/>
      <c r="DI180" s="7"/>
      <c r="DJ180" s="7"/>
      <c r="DK180" s="28"/>
      <c r="DL180" s="28"/>
      <c r="DM180" s="7"/>
      <c r="DN180" s="29"/>
      <c r="DO180" s="28"/>
      <c r="DP180" s="28"/>
      <c r="DQ180" s="28"/>
    </row>
    <row r="181" spans="2:121">
      <c r="B181" s="7">
        <v>176</v>
      </c>
      <c r="C181" s="7"/>
      <c r="D181" s="7"/>
      <c r="E181" s="7"/>
      <c r="F181" s="7"/>
      <c r="G181" s="7"/>
      <c r="H181" s="38"/>
      <c r="I181" s="46"/>
      <c r="J181" s="18"/>
      <c r="K181" s="7"/>
      <c r="L181" s="38"/>
      <c r="M181" s="38"/>
      <c r="N181" s="38"/>
      <c r="O181" s="7"/>
      <c r="P181" s="7"/>
      <c r="Q181" s="33"/>
      <c r="R181" s="11"/>
      <c r="S181" s="11"/>
      <c r="T181" s="11" t="s">
        <v>98</v>
      </c>
      <c r="U181" s="12"/>
      <c r="V181" s="11"/>
      <c r="W181" s="13"/>
      <c r="X181" s="9"/>
      <c r="Y181" s="38"/>
      <c r="Z181" s="38"/>
      <c r="AA181" s="38"/>
      <c r="AB181" s="11"/>
      <c r="AC181" s="11"/>
      <c r="AD181" s="7"/>
      <c r="AE181" s="38"/>
      <c r="AF181" s="7"/>
      <c r="AG181" s="46"/>
      <c r="AH181" s="9"/>
      <c r="AI181" s="9"/>
      <c r="AJ181" s="9"/>
      <c r="AK181" s="9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53"/>
      <c r="AZ181" s="46"/>
      <c r="BA181" s="46"/>
      <c r="BB181" s="46"/>
      <c r="BC181" s="46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7"/>
      <c r="BR181" s="28"/>
      <c r="BS181" s="28"/>
      <c r="BT181" s="28"/>
      <c r="BU181" s="28"/>
      <c r="BV181" s="28"/>
      <c r="BW181" s="7"/>
      <c r="BX181" s="28"/>
      <c r="BY181" s="28"/>
      <c r="BZ181" s="28"/>
      <c r="CA181" s="28"/>
      <c r="CB181" s="28"/>
      <c r="CC181" s="7"/>
      <c r="CD181" s="7"/>
      <c r="CE181" s="29"/>
      <c r="CF181" s="18"/>
      <c r="CG181" s="29"/>
      <c r="CH181" s="29"/>
      <c r="CI181" s="29"/>
      <c r="CJ181" s="29"/>
      <c r="CK181" s="28"/>
      <c r="CL181" s="28"/>
      <c r="CM181" s="7"/>
      <c r="CN181" s="7"/>
      <c r="CO181" s="7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7"/>
      <c r="DG181" s="7"/>
      <c r="DH181" s="7"/>
      <c r="DI181" s="7"/>
      <c r="DJ181" s="7"/>
      <c r="DK181" s="28"/>
      <c r="DL181" s="28"/>
      <c r="DM181" s="7"/>
      <c r="DN181" s="29"/>
      <c r="DO181" s="28"/>
      <c r="DP181" s="28"/>
      <c r="DQ181" s="28"/>
    </row>
    <row r="182" spans="2:121">
      <c r="B182" s="7">
        <v>177</v>
      </c>
      <c r="C182" s="7"/>
      <c r="D182" s="7"/>
      <c r="E182" s="7"/>
      <c r="F182" s="7"/>
      <c r="G182" s="7"/>
      <c r="H182" s="38"/>
      <c r="I182" s="46"/>
      <c r="J182" s="18"/>
      <c r="K182" s="7"/>
      <c r="L182" s="38"/>
      <c r="M182" s="38"/>
      <c r="N182" s="38"/>
      <c r="O182" s="7"/>
      <c r="P182" s="7"/>
      <c r="Q182" s="33"/>
      <c r="R182" s="11"/>
      <c r="S182" s="11"/>
      <c r="T182" s="11" t="s">
        <v>98</v>
      </c>
      <c r="U182" s="12"/>
      <c r="V182" s="11"/>
      <c r="W182" s="13"/>
      <c r="X182" s="9"/>
      <c r="Y182" s="38"/>
      <c r="Z182" s="38"/>
      <c r="AA182" s="38"/>
      <c r="AB182" s="11"/>
      <c r="AC182" s="11"/>
      <c r="AD182" s="7"/>
      <c r="AE182" s="38"/>
      <c r="AF182" s="7"/>
      <c r="AG182" s="46"/>
      <c r="AH182" s="9"/>
      <c r="AI182" s="9"/>
      <c r="AJ182" s="9"/>
      <c r="AK182" s="9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53"/>
      <c r="AZ182" s="46"/>
      <c r="BA182" s="46"/>
      <c r="BB182" s="46"/>
      <c r="BC182" s="46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7"/>
      <c r="BR182" s="28"/>
      <c r="BS182" s="28"/>
      <c r="BT182" s="28"/>
      <c r="BU182" s="28"/>
      <c r="BV182" s="28"/>
      <c r="BW182" s="7"/>
      <c r="BX182" s="28"/>
      <c r="BY182" s="28"/>
      <c r="BZ182" s="28"/>
      <c r="CA182" s="28"/>
      <c r="CB182" s="28"/>
      <c r="CC182" s="7"/>
      <c r="CD182" s="7"/>
      <c r="CE182" s="29"/>
      <c r="CF182" s="18"/>
      <c r="CG182" s="29"/>
      <c r="CH182" s="29"/>
      <c r="CI182" s="29"/>
      <c r="CJ182" s="29"/>
      <c r="CK182" s="28"/>
      <c r="CL182" s="28"/>
      <c r="CM182" s="7"/>
      <c r="CN182" s="7"/>
      <c r="CO182" s="7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7"/>
      <c r="DG182" s="7"/>
      <c r="DH182" s="7"/>
      <c r="DI182" s="7"/>
      <c r="DJ182" s="7"/>
      <c r="DK182" s="28"/>
      <c r="DL182" s="28"/>
      <c r="DM182" s="7"/>
      <c r="DN182" s="29"/>
      <c r="DO182" s="28"/>
      <c r="DP182" s="28"/>
      <c r="DQ182" s="28"/>
    </row>
    <row r="183" spans="2:121">
      <c r="B183" s="7">
        <v>178</v>
      </c>
      <c r="C183" s="7"/>
      <c r="D183" s="7"/>
      <c r="E183" s="7"/>
      <c r="F183" s="7"/>
      <c r="G183" s="7"/>
      <c r="H183" s="38"/>
      <c r="I183" s="46"/>
      <c r="J183" s="18"/>
      <c r="K183" s="7"/>
      <c r="L183" s="38"/>
      <c r="M183" s="38"/>
      <c r="N183" s="38"/>
      <c r="O183" s="7"/>
      <c r="P183" s="7"/>
      <c r="Q183" s="33"/>
      <c r="R183" s="11"/>
      <c r="S183" s="11"/>
      <c r="T183" s="11" t="s">
        <v>98</v>
      </c>
      <c r="U183" s="12"/>
      <c r="V183" s="11"/>
      <c r="W183" s="13"/>
      <c r="X183" s="9"/>
      <c r="Y183" s="38"/>
      <c r="Z183" s="38"/>
      <c r="AA183" s="38"/>
      <c r="AB183" s="11"/>
      <c r="AC183" s="11"/>
      <c r="AD183" s="7"/>
      <c r="AE183" s="38"/>
      <c r="AF183" s="7"/>
      <c r="AG183" s="46"/>
      <c r="AH183" s="9"/>
      <c r="AI183" s="9"/>
      <c r="AJ183" s="9"/>
      <c r="AK183" s="9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53"/>
      <c r="AZ183" s="46"/>
      <c r="BA183" s="46"/>
      <c r="BB183" s="46"/>
      <c r="BC183" s="46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7"/>
      <c r="BR183" s="28"/>
      <c r="BS183" s="28"/>
      <c r="BT183" s="28"/>
      <c r="BU183" s="28"/>
      <c r="BV183" s="28"/>
      <c r="BW183" s="7"/>
      <c r="BX183" s="28"/>
      <c r="BY183" s="28"/>
      <c r="BZ183" s="28"/>
      <c r="CA183" s="28"/>
      <c r="CB183" s="28"/>
      <c r="CC183" s="7"/>
      <c r="CD183" s="7"/>
      <c r="CE183" s="29"/>
      <c r="CF183" s="18"/>
      <c r="CG183" s="29"/>
      <c r="CH183" s="29"/>
      <c r="CI183" s="29"/>
      <c r="CJ183" s="29"/>
      <c r="CK183" s="28"/>
      <c r="CL183" s="28"/>
      <c r="CM183" s="7"/>
      <c r="CN183" s="7"/>
      <c r="CO183" s="7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7"/>
      <c r="DG183" s="7"/>
      <c r="DH183" s="7"/>
      <c r="DI183" s="7"/>
      <c r="DJ183" s="7"/>
      <c r="DK183" s="28"/>
      <c r="DL183" s="28"/>
      <c r="DM183" s="7"/>
      <c r="DN183" s="29"/>
      <c r="DO183" s="28"/>
      <c r="DP183" s="28"/>
      <c r="DQ183" s="28"/>
    </row>
    <row r="184" spans="2:121">
      <c r="B184" s="7">
        <v>179</v>
      </c>
      <c r="C184" s="7"/>
      <c r="D184" s="7"/>
      <c r="E184" s="7"/>
      <c r="F184" s="7"/>
      <c r="G184" s="7"/>
      <c r="H184" s="38"/>
      <c r="I184" s="46"/>
      <c r="J184" s="18"/>
      <c r="K184" s="7"/>
      <c r="L184" s="38"/>
      <c r="M184" s="38"/>
      <c r="N184" s="38"/>
      <c r="O184" s="7"/>
      <c r="P184" s="7"/>
      <c r="Q184" s="33"/>
      <c r="R184" s="11"/>
      <c r="S184" s="11"/>
      <c r="T184" s="11" t="s">
        <v>98</v>
      </c>
      <c r="U184" s="12"/>
      <c r="V184" s="11"/>
      <c r="W184" s="13"/>
      <c r="X184" s="9"/>
      <c r="Y184" s="38"/>
      <c r="Z184" s="38"/>
      <c r="AA184" s="38"/>
      <c r="AB184" s="11"/>
      <c r="AC184" s="11"/>
      <c r="AD184" s="7"/>
      <c r="AE184" s="38"/>
      <c r="AF184" s="7"/>
      <c r="AG184" s="46"/>
      <c r="AH184" s="9"/>
      <c r="AI184" s="9"/>
      <c r="AJ184" s="9"/>
      <c r="AK184" s="9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53"/>
      <c r="AZ184" s="46"/>
      <c r="BA184" s="46"/>
      <c r="BB184" s="46"/>
      <c r="BC184" s="46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7"/>
      <c r="BR184" s="28"/>
      <c r="BS184" s="28"/>
      <c r="BT184" s="28"/>
      <c r="BU184" s="28"/>
      <c r="BV184" s="28"/>
      <c r="BW184" s="7"/>
      <c r="BX184" s="28"/>
      <c r="BY184" s="28"/>
      <c r="BZ184" s="28"/>
      <c r="CA184" s="28"/>
      <c r="CB184" s="28"/>
      <c r="CC184" s="7"/>
      <c r="CD184" s="7"/>
      <c r="CE184" s="29"/>
      <c r="CF184" s="18"/>
      <c r="CG184" s="29"/>
      <c r="CH184" s="29"/>
      <c r="CI184" s="29"/>
      <c r="CJ184" s="29"/>
      <c r="CK184" s="28"/>
      <c r="CL184" s="28"/>
      <c r="CM184" s="7"/>
      <c r="CN184" s="7"/>
      <c r="CO184" s="7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7"/>
      <c r="DG184" s="7"/>
      <c r="DH184" s="7"/>
      <c r="DI184" s="7"/>
      <c r="DJ184" s="7"/>
      <c r="DK184" s="28"/>
      <c r="DL184" s="28"/>
      <c r="DM184" s="7"/>
      <c r="DN184" s="29"/>
      <c r="DO184" s="28"/>
      <c r="DP184" s="28"/>
      <c r="DQ184" s="28"/>
    </row>
    <row r="185" spans="2:121">
      <c r="B185" s="7">
        <v>180</v>
      </c>
      <c r="C185" s="7"/>
      <c r="D185" s="7"/>
      <c r="E185" s="7"/>
      <c r="F185" s="7"/>
      <c r="G185" s="7"/>
      <c r="H185" s="38"/>
      <c r="I185" s="46"/>
      <c r="J185" s="18"/>
      <c r="K185" s="7"/>
      <c r="L185" s="38"/>
      <c r="M185" s="38"/>
      <c r="N185" s="38"/>
      <c r="O185" s="7"/>
      <c r="P185" s="7"/>
      <c r="Q185" s="33"/>
      <c r="R185" s="11"/>
      <c r="S185" s="11"/>
      <c r="T185" s="11" t="s">
        <v>98</v>
      </c>
      <c r="U185" s="12"/>
      <c r="V185" s="11"/>
      <c r="W185" s="13"/>
      <c r="X185" s="9"/>
      <c r="Y185" s="38"/>
      <c r="Z185" s="38"/>
      <c r="AA185" s="38"/>
      <c r="AB185" s="11"/>
      <c r="AC185" s="11"/>
      <c r="AD185" s="7"/>
      <c r="AE185" s="38"/>
      <c r="AF185" s="7"/>
      <c r="AG185" s="46"/>
      <c r="AH185" s="9"/>
      <c r="AI185" s="9"/>
      <c r="AJ185" s="9"/>
      <c r="AK185" s="9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53"/>
      <c r="AZ185" s="46"/>
      <c r="BA185" s="46"/>
      <c r="BB185" s="46"/>
      <c r="BC185" s="46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7"/>
      <c r="BR185" s="28"/>
      <c r="BS185" s="28"/>
      <c r="BT185" s="28"/>
      <c r="BU185" s="28"/>
      <c r="BV185" s="28"/>
      <c r="BW185" s="7"/>
      <c r="BX185" s="28"/>
      <c r="BY185" s="28"/>
      <c r="BZ185" s="28"/>
      <c r="CA185" s="28"/>
      <c r="CB185" s="28"/>
      <c r="CC185" s="7"/>
      <c r="CD185" s="7"/>
      <c r="CE185" s="29"/>
      <c r="CF185" s="18"/>
      <c r="CG185" s="29"/>
      <c r="CH185" s="29"/>
      <c r="CI185" s="29"/>
      <c r="CJ185" s="29"/>
      <c r="CK185" s="28"/>
      <c r="CL185" s="28"/>
      <c r="CM185" s="7"/>
      <c r="CN185" s="7"/>
      <c r="CO185" s="7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7"/>
      <c r="DG185" s="7"/>
      <c r="DH185" s="7"/>
      <c r="DI185" s="7"/>
      <c r="DJ185" s="7"/>
      <c r="DK185" s="28"/>
      <c r="DL185" s="28"/>
      <c r="DM185" s="7"/>
      <c r="DN185" s="29"/>
      <c r="DO185" s="28"/>
      <c r="DP185" s="28"/>
      <c r="DQ185" s="28"/>
    </row>
    <row r="186" spans="2:121">
      <c r="B186" s="7">
        <v>181</v>
      </c>
      <c r="C186" s="7"/>
      <c r="D186" s="7"/>
      <c r="E186" s="7"/>
      <c r="F186" s="7"/>
      <c r="G186" s="7"/>
      <c r="H186" s="38"/>
      <c r="I186" s="46"/>
      <c r="J186" s="18"/>
      <c r="K186" s="7"/>
      <c r="L186" s="38"/>
      <c r="M186" s="38"/>
      <c r="N186" s="38"/>
      <c r="O186" s="7"/>
      <c r="P186" s="7"/>
      <c r="Q186" s="33"/>
      <c r="R186" s="11"/>
      <c r="S186" s="11"/>
      <c r="T186" s="11" t="s">
        <v>98</v>
      </c>
      <c r="U186" s="12"/>
      <c r="V186" s="11"/>
      <c r="W186" s="13"/>
      <c r="X186" s="9"/>
      <c r="Y186" s="38"/>
      <c r="Z186" s="38"/>
      <c r="AA186" s="38"/>
      <c r="AB186" s="11"/>
      <c r="AC186" s="11"/>
      <c r="AD186" s="7"/>
      <c r="AE186" s="38"/>
      <c r="AF186" s="7"/>
      <c r="AG186" s="46"/>
      <c r="AH186" s="9"/>
      <c r="AI186" s="9"/>
      <c r="AJ186" s="9"/>
      <c r="AK186" s="9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53"/>
      <c r="AZ186" s="46"/>
      <c r="BA186" s="46"/>
      <c r="BB186" s="46"/>
      <c r="BC186" s="46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7"/>
      <c r="BR186" s="28"/>
      <c r="BS186" s="28"/>
      <c r="BT186" s="28"/>
      <c r="BU186" s="28"/>
      <c r="BV186" s="28"/>
      <c r="BW186" s="7"/>
      <c r="BX186" s="28"/>
      <c r="BY186" s="28"/>
      <c r="BZ186" s="28"/>
      <c r="CA186" s="28"/>
      <c r="CB186" s="28"/>
      <c r="CC186" s="7"/>
      <c r="CD186" s="7"/>
      <c r="CE186" s="29"/>
      <c r="CF186" s="18"/>
      <c r="CG186" s="29"/>
      <c r="CH186" s="29"/>
      <c r="CI186" s="29"/>
      <c r="CJ186" s="29"/>
      <c r="CK186" s="28"/>
      <c r="CL186" s="28"/>
      <c r="CM186" s="7"/>
      <c r="CN186" s="7"/>
      <c r="CO186" s="7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7"/>
      <c r="DG186" s="7"/>
      <c r="DH186" s="7"/>
      <c r="DI186" s="7"/>
      <c r="DJ186" s="7"/>
      <c r="DK186" s="28"/>
      <c r="DL186" s="28"/>
      <c r="DM186" s="7"/>
      <c r="DN186" s="29"/>
      <c r="DO186" s="28"/>
      <c r="DP186" s="28"/>
      <c r="DQ186" s="28"/>
    </row>
    <row r="187" spans="2:121">
      <c r="B187" s="7">
        <v>182</v>
      </c>
      <c r="C187" s="7"/>
      <c r="D187" s="7"/>
      <c r="E187" s="7"/>
      <c r="F187" s="7"/>
      <c r="G187" s="7"/>
      <c r="H187" s="38"/>
      <c r="I187" s="46"/>
      <c r="J187" s="18"/>
      <c r="K187" s="7"/>
      <c r="L187" s="38"/>
      <c r="M187" s="38"/>
      <c r="N187" s="38"/>
      <c r="O187" s="7"/>
      <c r="P187" s="7"/>
      <c r="Q187" s="33"/>
      <c r="R187" s="11"/>
      <c r="S187" s="11"/>
      <c r="T187" s="11" t="s">
        <v>98</v>
      </c>
      <c r="U187" s="12"/>
      <c r="V187" s="11"/>
      <c r="W187" s="13"/>
      <c r="X187" s="9"/>
      <c r="Y187" s="38"/>
      <c r="Z187" s="38"/>
      <c r="AA187" s="38"/>
      <c r="AB187" s="11"/>
      <c r="AC187" s="11"/>
      <c r="AD187" s="7"/>
      <c r="AE187" s="38"/>
      <c r="AF187" s="7"/>
      <c r="AG187" s="46"/>
      <c r="AH187" s="9"/>
      <c r="AI187" s="9"/>
      <c r="AJ187" s="9"/>
      <c r="AK187" s="9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53"/>
      <c r="AZ187" s="46"/>
      <c r="BA187" s="46"/>
      <c r="BB187" s="46"/>
      <c r="BC187" s="46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7"/>
      <c r="BR187" s="28"/>
      <c r="BS187" s="28"/>
      <c r="BT187" s="28"/>
      <c r="BU187" s="28"/>
      <c r="BV187" s="28"/>
      <c r="BW187" s="7"/>
      <c r="BX187" s="28"/>
      <c r="BY187" s="28"/>
      <c r="BZ187" s="28"/>
      <c r="CA187" s="28"/>
      <c r="CB187" s="28"/>
      <c r="CC187" s="7"/>
      <c r="CD187" s="7"/>
      <c r="CE187" s="29"/>
      <c r="CF187" s="18"/>
      <c r="CG187" s="29"/>
      <c r="CH187" s="29"/>
      <c r="CI187" s="29"/>
      <c r="CJ187" s="29"/>
      <c r="CK187" s="28"/>
      <c r="CL187" s="28"/>
      <c r="CM187" s="7"/>
      <c r="CN187" s="7"/>
      <c r="CO187" s="7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7"/>
      <c r="DG187" s="7"/>
      <c r="DH187" s="7"/>
      <c r="DI187" s="7"/>
      <c r="DJ187" s="7"/>
      <c r="DK187" s="28"/>
      <c r="DL187" s="28"/>
      <c r="DM187" s="7"/>
      <c r="DN187" s="29"/>
      <c r="DO187" s="28"/>
      <c r="DP187" s="28"/>
      <c r="DQ187" s="28"/>
    </row>
    <row r="188" spans="2:121">
      <c r="B188" s="7">
        <v>183</v>
      </c>
      <c r="C188" s="7"/>
      <c r="D188" s="7"/>
      <c r="E188" s="7"/>
      <c r="F188" s="7"/>
      <c r="G188" s="7"/>
      <c r="H188" s="38"/>
      <c r="I188" s="46"/>
      <c r="J188" s="18"/>
      <c r="K188" s="7"/>
      <c r="L188" s="38"/>
      <c r="M188" s="38"/>
      <c r="N188" s="38"/>
      <c r="O188" s="7"/>
      <c r="P188" s="7"/>
      <c r="Q188" s="33"/>
      <c r="R188" s="11"/>
      <c r="S188" s="11"/>
      <c r="T188" s="11" t="s">
        <v>98</v>
      </c>
      <c r="U188" s="12"/>
      <c r="V188" s="11"/>
      <c r="W188" s="13"/>
      <c r="X188" s="9"/>
      <c r="Y188" s="38"/>
      <c r="Z188" s="38"/>
      <c r="AA188" s="38"/>
      <c r="AB188" s="11"/>
      <c r="AC188" s="11"/>
      <c r="AD188" s="7"/>
      <c r="AE188" s="38"/>
      <c r="AF188" s="7"/>
      <c r="AG188" s="46"/>
      <c r="AH188" s="9"/>
      <c r="AI188" s="9"/>
      <c r="AJ188" s="9"/>
      <c r="AK188" s="9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53"/>
      <c r="AZ188" s="46"/>
      <c r="BA188" s="46"/>
      <c r="BB188" s="46"/>
      <c r="BC188" s="46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7"/>
      <c r="BR188" s="28"/>
      <c r="BS188" s="28"/>
      <c r="BT188" s="28"/>
      <c r="BU188" s="28"/>
      <c r="BV188" s="28"/>
      <c r="BW188" s="7"/>
      <c r="BX188" s="28"/>
      <c r="BY188" s="28"/>
      <c r="BZ188" s="28"/>
      <c r="CA188" s="28"/>
      <c r="CB188" s="28"/>
      <c r="CC188" s="7"/>
      <c r="CD188" s="7"/>
      <c r="CE188" s="29"/>
      <c r="CF188" s="18"/>
      <c r="CG188" s="29"/>
      <c r="CH188" s="29"/>
      <c r="CI188" s="29"/>
      <c r="CJ188" s="29"/>
      <c r="CK188" s="28"/>
      <c r="CL188" s="28"/>
      <c r="CM188" s="7"/>
      <c r="CN188" s="7"/>
      <c r="CO188" s="7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7"/>
      <c r="DG188" s="7"/>
      <c r="DH188" s="7"/>
      <c r="DI188" s="7"/>
      <c r="DJ188" s="7"/>
      <c r="DK188" s="28"/>
      <c r="DL188" s="28"/>
      <c r="DM188" s="7"/>
      <c r="DN188" s="29"/>
      <c r="DO188" s="28"/>
      <c r="DP188" s="28"/>
      <c r="DQ188" s="28"/>
    </row>
    <row r="189" spans="2:121">
      <c r="B189" s="7">
        <v>184</v>
      </c>
      <c r="C189" s="7"/>
      <c r="D189" s="7"/>
      <c r="E189" s="7"/>
      <c r="F189" s="7"/>
      <c r="G189" s="7"/>
      <c r="H189" s="38"/>
      <c r="I189" s="46"/>
      <c r="J189" s="18"/>
      <c r="K189" s="7"/>
      <c r="L189" s="38"/>
      <c r="M189" s="38"/>
      <c r="N189" s="38"/>
      <c r="O189" s="7"/>
      <c r="P189" s="7"/>
      <c r="Q189" s="33"/>
      <c r="R189" s="11"/>
      <c r="S189" s="11"/>
      <c r="T189" s="11" t="s">
        <v>98</v>
      </c>
      <c r="U189" s="12"/>
      <c r="V189" s="11"/>
      <c r="W189" s="13"/>
      <c r="X189" s="9"/>
      <c r="Y189" s="38"/>
      <c r="Z189" s="38"/>
      <c r="AA189" s="38"/>
      <c r="AB189" s="11"/>
      <c r="AC189" s="11"/>
      <c r="AD189" s="7"/>
      <c r="AE189" s="38"/>
      <c r="AF189" s="7"/>
      <c r="AG189" s="46"/>
      <c r="AH189" s="9"/>
      <c r="AI189" s="9"/>
      <c r="AJ189" s="9"/>
      <c r="AK189" s="9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53"/>
      <c r="AZ189" s="46"/>
      <c r="BA189" s="46"/>
      <c r="BB189" s="46"/>
      <c r="BC189" s="46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7"/>
      <c r="BR189" s="28"/>
      <c r="BS189" s="28"/>
      <c r="BT189" s="28"/>
      <c r="BU189" s="28"/>
      <c r="BV189" s="28"/>
      <c r="BW189" s="7"/>
      <c r="BX189" s="28"/>
      <c r="BY189" s="28"/>
      <c r="BZ189" s="28"/>
      <c r="CA189" s="28"/>
      <c r="CB189" s="28"/>
      <c r="CC189" s="7"/>
      <c r="CD189" s="7"/>
      <c r="CE189" s="29"/>
      <c r="CF189" s="18"/>
      <c r="CG189" s="29"/>
      <c r="CH189" s="29"/>
      <c r="CI189" s="29"/>
      <c r="CJ189" s="29"/>
      <c r="CK189" s="28"/>
      <c r="CL189" s="28"/>
      <c r="CM189" s="7"/>
      <c r="CN189" s="7"/>
      <c r="CO189" s="7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7"/>
      <c r="DG189" s="7"/>
      <c r="DH189" s="7"/>
      <c r="DI189" s="7"/>
      <c r="DJ189" s="7"/>
      <c r="DK189" s="28"/>
      <c r="DL189" s="28"/>
      <c r="DM189" s="7"/>
      <c r="DN189" s="29"/>
      <c r="DO189" s="28"/>
      <c r="DP189" s="28"/>
      <c r="DQ189" s="28"/>
    </row>
    <row r="190" spans="2:121">
      <c r="B190" s="7">
        <v>185</v>
      </c>
      <c r="C190" s="7"/>
      <c r="D190" s="7"/>
      <c r="E190" s="7"/>
      <c r="F190" s="7"/>
      <c r="G190" s="7"/>
      <c r="H190" s="38"/>
      <c r="I190" s="46"/>
      <c r="J190" s="18"/>
      <c r="K190" s="7"/>
      <c r="L190" s="38"/>
      <c r="M190" s="38"/>
      <c r="N190" s="38"/>
      <c r="O190" s="7"/>
      <c r="P190" s="7"/>
      <c r="Q190" s="33"/>
      <c r="R190" s="11"/>
      <c r="S190" s="11"/>
      <c r="T190" s="11" t="s">
        <v>98</v>
      </c>
      <c r="U190" s="12"/>
      <c r="V190" s="11"/>
      <c r="W190" s="13"/>
      <c r="X190" s="9"/>
      <c r="Y190" s="38"/>
      <c r="Z190" s="38"/>
      <c r="AA190" s="38"/>
      <c r="AB190" s="11"/>
      <c r="AC190" s="11"/>
      <c r="AD190" s="7"/>
      <c r="AE190" s="38"/>
      <c r="AF190" s="7"/>
      <c r="AG190" s="46"/>
      <c r="AH190" s="9"/>
      <c r="AI190" s="9"/>
      <c r="AJ190" s="9"/>
      <c r="AK190" s="9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53"/>
      <c r="AZ190" s="46"/>
      <c r="BA190" s="46"/>
      <c r="BB190" s="46"/>
      <c r="BC190" s="46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7"/>
      <c r="BR190" s="28"/>
      <c r="BS190" s="28"/>
      <c r="BT190" s="28"/>
      <c r="BU190" s="28"/>
      <c r="BV190" s="28"/>
      <c r="BW190" s="7"/>
      <c r="BX190" s="28"/>
      <c r="BY190" s="28"/>
      <c r="BZ190" s="28"/>
      <c r="CA190" s="28"/>
      <c r="CB190" s="28"/>
      <c r="CC190" s="7"/>
      <c r="CD190" s="7"/>
      <c r="CE190" s="29"/>
      <c r="CF190" s="18"/>
      <c r="CG190" s="29"/>
      <c r="CH190" s="29"/>
      <c r="CI190" s="29"/>
      <c r="CJ190" s="29"/>
      <c r="CK190" s="28"/>
      <c r="CL190" s="28"/>
      <c r="CM190" s="7"/>
      <c r="CN190" s="7"/>
      <c r="CO190" s="7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7"/>
      <c r="DG190" s="7"/>
      <c r="DH190" s="7"/>
      <c r="DI190" s="7"/>
      <c r="DJ190" s="7"/>
      <c r="DK190" s="28"/>
      <c r="DL190" s="28"/>
      <c r="DM190" s="7"/>
      <c r="DN190" s="29"/>
      <c r="DO190" s="28"/>
      <c r="DP190" s="28"/>
      <c r="DQ190" s="28"/>
    </row>
    <row r="191" spans="2:121">
      <c r="B191" s="7">
        <v>186</v>
      </c>
      <c r="C191" s="7"/>
      <c r="D191" s="7"/>
      <c r="E191" s="7"/>
      <c r="F191" s="7"/>
      <c r="G191" s="7"/>
      <c r="H191" s="38"/>
      <c r="I191" s="46"/>
      <c r="J191" s="18"/>
      <c r="K191" s="7"/>
      <c r="L191" s="38"/>
      <c r="M191" s="38"/>
      <c r="N191" s="38"/>
      <c r="O191" s="7"/>
      <c r="P191" s="7"/>
      <c r="Q191" s="33"/>
      <c r="R191" s="11"/>
      <c r="S191" s="11"/>
      <c r="T191" s="11" t="s">
        <v>98</v>
      </c>
      <c r="U191" s="12"/>
      <c r="V191" s="11"/>
      <c r="W191" s="13"/>
      <c r="X191" s="9"/>
      <c r="Y191" s="38"/>
      <c r="Z191" s="38"/>
      <c r="AA191" s="38"/>
      <c r="AB191" s="11"/>
      <c r="AC191" s="11"/>
      <c r="AD191" s="7"/>
      <c r="AE191" s="38"/>
      <c r="AF191" s="7"/>
      <c r="AG191" s="46"/>
      <c r="AH191" s="9"/>
      <c r="AI191" s="9"/>
      <c r="AJ191" s="9"/>
      <c r="AK191" s="9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53"/>
      <c r="AZ191" s="46"/>
      <c r="BA191" s="46"/>
      <c r="BB191" s="46"/>
      <c r="BC191" s="46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7"/>
      <c r="BR191" s="28"/>
      <c r="BS191" s="28"/>
      <c r="BT191" s="28"/>
      <c r="BU191" s="28"/>
      <c r="BV191" s="28"/>
      <c r="BW191" s="7"/>
      <c r="BX191" s="28"/>
      <c r="BY191" s="28"/>
      <c r="BZ191" s="28"/>
      <c r="CA191" s="28"/>
      <c r="CB191" s="28"/>
      <c r="CC191" s="7"/>
      <c r="CD191" s="7"/>
      <c r="CE191" s="29"/>
      <c r="CF191" s="18"/>
      <c r="CG191" s="29"/>
      <c r="CH191" s="29"/>
      <c r="CI191" s="29"/>
      <c r="CJ191" s="29"/>
      <c r="CK191" s="28"/>
      <c r="CL191" s="28"/>
      <c r="CM191" s="7"/>
      <c r="CN191" s="7"/>
      <c r="CO191" s="7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7"/>
      <c r="DG191" s="7"/>
      <c r="DH191" s="7"/>
      <c r="DI191" s="7"/>
      <c r="DJ191" s="7"/>
      <c r="DK191" s="28"/>
      <c r="DL191" s="28"/>
      <c r="DM191" s="7"/>
      <c r="DN191" s="29"/>
      <c r="DO191" s="28"/>
      <c r="DP191" s="28"/>
      <c r="DQ191" s="28"/>
    </row>
    <row r="192" spans="2:121">
      <c r="B192" s="7">
        <v>187</v>
      </c>
      <c r="C192" s="7"/>
      <c r="D192" s="7"/>
      <c r="E192" s="7"/>
      <c r="F192" s="7"/>
      <c r="G192" s="7"/>
      <c r="H192" s="38"/>
      <c r="I192" s="46"/>
      <c r="J192" s="18"/>
      <c r="K192" s="7"/>
      <c r="L192" s="38"/>
      <c r="M192" s="38"/>
      <c r="N192" s="38"/>
      <c r="O192" s="7"/>
      <c r="P192" s="7"/>
      <c r="Q192" s="33"/>
      <c r="R192" s="11"/>
      <c r="S192" s="11"/>
      <c r="T192" s="11" t="s">
        <v>98</v>
      </c>
      <c r="U192" s="12"/>
      <c r="V192" s="11"/>
      <c r="W192" s="13"/>
      <c r="X192" s="9"/>
      <c r="Y192" s="38"/>
      <c r="Z192" s="38"/>
      <c r="AA192" s="38"/>
      <c r="AB192" s="11"/>
      <c r="AC192" s="11"/>
      <c r="AD192" s="7"/>
      <c r="AE192" s="38"/>
      <c r="AF192" s="7"/>
      <c r="AG192" s="46"/>
      <c r="AH192" s="9"/>
      <c r="AI192" s="9"/>
      <c r="AJ192" s="9"/>
      <c r="AK192" s="9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53"/>
      <c r="AZ192" s="46"/>
      <c r="BA192" s="46"/>
      <c r="BB192" s="46"/>
      <c r="BC192" s="46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7"/>
      <c r="BR192" s="28"/>
      <c r="BS192" s="28"/>
      <c r="BT192" s="28"/>
      <c r="BU192" s="28"/>
      <c r="BV192" s="28"/>
      <c r="BW192" s="7"/>
      <c r="BX192" s="28"/>
      <c r="BY192" s="28"/>
      <c r="BZ192" s="28"/>
      <c r="CA192" s="28"/>
      <c r="CB192" s="28"/>
      <c r="CC192" s="7"/>
      <c r="CD192" s="7"/>
      <c r="CE192" s="29"/>
      <c r="CF192" s="18"/>
      <c r="CG192" s="29"/>
      <c r="CH192" s="29"/>
      <c r="CI192" s="29"/>
      <c r="CJ192" s="29"/>
      <c r="CK192" s="28"/>
      <c r="CL192" s="28"/>
      <c r="CM192" s="7"/>
      <c r="CN192" s="7"/>
      <c r="CO192" s="7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7"/>
      <c r="DG192" s="7"/>
      <c r="DH192" s="7"/>
      <c r="DI192" s="7"/>
      <c r="DJ192" s="7"/>
      <c r="DK192" s="28"/>
      <c r="DL192" s="28"/>
      <c r="DM192" s="7"/>
      <c r="DN192" s="29"/>
      <c r="DO192" s="28"/>
      <c r="DP192" s="28"/>
      <c r="DQ192" s="28"/>
    </row>
    <row r="193" spans="2:121">
      <c r="B193" s="7">
        <v>188</v>
      </c>
      <c r="C193" s="7"/>
      <c r="D193" s="7"/>
      <c r="E193" s="7"/>
      <c r="F193" s="7"/>
      <c r="G193" s="7"/>
      <c r="H193" s="38"/>
      <c r="I193" s="46"/>
      <c r="J193" s="18"/>
      <c r="K193" s="7"/>
      <c r="L193" s="38"/>
      <c r="M193" s="38"/>
      <c r="N193" s="38"/>
      <c r="O193" s="7"/>
      <c r="P193" s="7"/>
      <c r="Q193" s="33"/>
      <c r="R193" s="11"/>
      <c r="S193" s="11"/>
      <c r="T193" s="11" t="s">
        <v>98</v>
      </c>
      <c r="U193" s="12"/>
      <c r="V193" s="11"/>
      <c r="W193" s="13"/>
      <c r="X193" s="9"/>
      <c r="Y193" s="38"/>
      <c r="Z193" s="38"/>
      <c r="AA193" s="38"/>
      <c r="AB193" s="11"/>
      <c r="AC193" s="11"/>
      <c r="AD193" s="7"/>
      <c r="AE193" s="38"/>
      <c r="AF193" s="7"/>
      <c r="AG193" s="46"/>
      <c r="AH193" s="9"/>
      <c r="AI193" s="9"/>
      <c r="AJ193" s="9"/>
      <c r="AK193" s="9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53"/>
      <c r="AZ193" s="46"/>
      <c r="BA193" s="46"/>
      <c r="BB193" s="46"/>
      <c r="BC193" s="46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7"/>
      <c r="BR193" s="28"/>
      <c r="BS193" s="28"/>
      <c r="BT193" s="28"/>
      <c r="BU193" s="28"/>
      <c r="BV193" s="28"/>
      <c r="BW193" s="7"/>
      <c r="BX193" s="28"/>
      <c r="BY193" s="28"/>
      <c r="BZ193" s="28"/>
      <c r="CA193" s="28"/>
      <c r="CB193" s="28"/>
      <c r="CC193" s="7"/>
      <c r="CD193" s="7"/>
      <c r="CE193" s="29"/>
      <c r="CF193" s="18"/>
      <c r="CG193" s="29"/>
      <c r="CH193" s="29"/>
      <c r="CI193" s="29"/>
      <c r="CJ193" s="29"/>
      <c r="CK193" s="28"/>
      <c r="CL193" s="28"/>
      <c r="CM193" s="7"/>
      <c r="CN193" s="7"/>
      <c r="CO193" s="7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7"/>
      <c r="DG193" s="7"/>
      <c r="DH193" s="7"/>
      <c r="DI193" s="7"/>
      <c r="DJ193" s="7"/>
      <c r="DK193" s="28"/>
      <c r="DL193" s="28"/>
      <c r="DM193" s="7"/>
      <c r="DN193" s="29"/>
      <c r="DO193" s="28"/>
      <c r="DP193" s="28"/>
      <c r="DQ193" s="28"/>
    </row>
    <row r="194" spans="2:121">
      <c r="B194" s="7">
        <v>189</v>
      </c>
      <c r="C194" s="7"/>
      <c r="D194" s="7"/>
      <c r="E194" s="7"/>
      <c r="F194" s="7"/>
      <c r="G194" s="7"/>
      <c r="H194" s="38"/>
      <c r="I194" s="46"/>
      <c r="J194" s="18"/>
      <c r="K194" s="7"/>
      <c r="L194" s="38"/>
      <c r="M194" s="38"/>
      <c r="N194" s="38"/>
      <c r="O194" s="7"/>
      <c r="P194" s="7"/>
      <c r="Q194" s="33"/>
      <c r="R194" s="11"/>
      <c r="S194" s="11"/>
      <c r="T194" s="11" t="s">
        <v>98</v>
      </c>
      <c r="U194" s="12"/>
      <c r="V194" s="11"/>
      <c r="W194" s="13"/>
      <c r="X194" s="9"/>
      <c r="Y194" s="38"/>
      <c r="Z194" s="38"/>
      <c r="AA194" s="38"/>
      <c r="AB194" s="11"/>
      <c r="AC194" s="11"/>
      <c r="AD194" s="7"/>
      <c r="AE194" s="38"/>
      <c r="AF194" s="7"/>
      <c r="AG194" s="46"/>
      <c r="AH194" s="9"/>
      <c r="AI194" s="9"/>
      <c r="AJ194" s="9"/>
      <c r="AK194" s="9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53"/>
      <c r="AZ194" s="46"/>
      <c r="BA194" s="46"/>
      <c r="BB194" s="46"/>
      <c r="BC194" s="46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7"/>
      <c r="BR194" s="28"/>
      <c r="BS194" s="28"/>
      <c r="BT194" s="28"/>
      <c r="BU194" s="28"/>
      <c r="BV194" s="28"/>
      <c r="BW194" s="7"/>
      <c r="BX194" s="28"/>
      <c r="BY194" s="28"/>
      <c r="BZ194" s="28"/>
      <c r="CA194" s="28"/>
      <c r="CB194" s="28"/>
      <c r="CC194" s="7"/>
      <c r="CD194" s="7"/>
      <c r="CE194" s="29"/>
      <c r="CF194" s="18"/>
      <c r="CG194" s="29"/>
      <c r="CH194" s="29"/>
      <c r="CI194" s="29"/>
      <c r="CJ194" s="29"/>
      <c r="CK194" s="28"/>
      <c r="CL194" s="28"/>
      <c r="CM194" s="7"/>
      <c r="CN194" s="7"/>
      <c r="CO194" s="7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7"/>
      <c r="DG194" s="7"/>
      <c r="DH194" s="7"/>
      <c r="DI194" s="7"/>
      <c r="DJ194" s="7"/>
      <c r="DK194" s="28"/>
      <c r="DL194" s="28"/>
      <c r="DM194" s="7"/>
      <c r="DN194" s="29"/>
      <c r="DO194" s="28"/>
      <c r="DP194" s="28"/>
      <c r="DQ194" s="28"/>
    </row>
    <row r="195" spans="2:121">
      <c r="B195" s="7">
        <v>190</v>
      </c>
      <c r="C195" s="7"/>
      <c r="D195" s="7"/>
      <c r="E195" s="7"/>
      <c r="F195" s="7"/>
      <c r="G195" s="7"/>
      <c r="H195" s="38"/>
      <c r="I195" s="46"/>
      <c r="J195" s="18"/>
      <c r="K195" s="7"/>
      <c r="L195" s="38"/>
      <c r="M195" s="38"/>
      <c r="N195" s="38"/>
      <c r="O195" s="7"/>
      <c r="P195" s="7"/>
      <c r="Q195" s="33"/>
      <c r="R195" s="11"/>
      <c r="S195" s="11"/>
      <c r="T195" s="11" t="s">
        <v>98</v>
      </c>
      <c r="U195" s="12"/>
      <c r="V195" s="11"/>
      <c r="W195" s="13"/>
      <c r="X195" s="9"/>
      <c r="Y195" s="38"/>
      <c r="Z195" s="38"/>
      <c r="AA195" s="38"/>
      <c r="AB195" s="11"/>
      <c r="AC195" s="11"/>
      <c r="AD195" s="7"/>
      <c r="AE195" s="38"/>
      <c r="AF195" s="7"/>
      <c r="AG195" s="46"/>
      <c r="AH195" s="9"/>
      <c r="AI195" s="9"/>
      <c r="AJ195" s="9"/>
      <c r="AK195" s="9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53"/>
      <c r="AZ195" s="46"/>
      <c r="BA195" s="46"/>
      <c r="BB195" s="46"/>
      <c r="BC195" s="46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7"/>
      <c r="BR195" s="28"/>
      <c r="BS195" s="28"/>
      <c r="BT195" s="28"/>
      <c r="BU195" s="28"/>
      <c r="BV195" s="28"/>
      <c r="BW195" s="7"/>
      <c r="BX195" s="28"/>
      <c r="BY195" s="28"/>
      <c r="BZ195" s="28"/>
      <c r="CA195" s="28"/>
      <c r="CB195" s="28"/>
      <c r="CC195" s="7"/>
      <c r="CD195" s="7"/>
      <c r="CE195" s="29"/>
      <c r="CF195" s="18"/>
      <c r="CG195" s="29"/>
      <c r="CH195" s="29"/>
      <c r="CI195" s="29"/>
      <c r="CJ195" s="29"/>
      <c r="CK195" s="28"/>
      <c r="CL195" s="28"/>
      <c r="CM195" s="7"/>
      <c r="CN195" s="7"/>
      <c r="CO195" s="7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7"/>
      <c r="DG195" s="7"/>
      <c r="DH195" s="7"/>
      <c r="DI195" s="7"/>
      <c r="DJ195" s="7"/>
      <c r="DK195" s="28"/>
      <c r="DL195" s="28"/>
      <c r="DM195" s="7"/>
      <c r="DN195" s="29"/>
      <c r="DO195" s="28"/>
      <c r="DP195" s="28"/>
      <c r="DQ195" s="28"/>
    </row>
    <row r="196" spans="2:121">
      <c r="B196" s="7">
        <v>191</v>
      </c>
      <c r="C196" s="7" t="s">
        <v>98</v>
      </c>
      <c r="D196" s="7"/>
      <c r="E196" s="7" t="s">
        <v>98</v>
      </c>
      <c r="F196" s="7" t="s">
        <v>98</v>
      </c>
      <c r="G196" s="7" t="s">
        <v>98</v>
      </c>
      <c r="H196" s="7" t="s">
        <v>98</v>
      </c>
      <c r="I196" s="7" t="s">
        <v>98</v>
      </c>
      <c r="J196" s="7" t="s">
        <v>98</v>
      </c>
      <c r="K196" s="7" t="s">
        <v>98</v>
      </c>
      <c r="L196" s="7" t="s">
        <v>98</v>
      </c>
      <c r="M196" s="7" t="s">
        <v>98</v>
      </c>
      <c r="N196" s="7" t="s">
        <v>98</v>
      </c>
      <c r="O196" s="7" t="s">
        <v>98</v>
      </c>
      <c r="P196" s="7" t="s">
        <v>98</v>
      </c>
      <c r="Q196" s="7" t="s">
        <v>98</v>
      </c>
      <c r="R196" s="7" t="s">
        <v>98</v>
      </c>
      <c r="S196" s="7" t="s">
        <v>98</v>
      </c>
      <c r="T196" s="7" t="s">
        <v>98</v>
      </c>
      <c r="U196" s="7" t="s">
        <v>98</v>
      </c>
      <c r="V196" s="7" t="s">
        <v>98</v>
      </c>
      <c r="W196" s="7" t="s">
        <v>98</v>
      </c>
      <c r="X196" s="7" t="s">
        <v>98</v>
      </c>
      <c r="Y196" s="7" t="s">
        <v>98</v>
      </c>
      <c r="Z196" s="7" t="s">
        <v>98</v>
      </c>
      <c r="AA196" s="7" t="s">
        <v>98</v>
      </c>
      <c r="AB196" s="7" t="s">
        <v>98</v>
      </c>
      <c r="AC196" s="7" t="s">
        <v>98</v>
      </c>
      <c r="AD196" s="7" t="s">
        <v>98</v>
      </c>
      <c r="AE196" s="7" t="s">
        <v>98</v>
      </c>
      <c r="AF196" s="7" t="s">
        <v>98</v>
      </c>
      <c r="AG196" s="7" t="s">
        <v>98</v>
      </c>
      <c r="AH196" s="7" t="s">
        <v>98</v>
      </c>
      <c r="AI196" s="7" t="s">
        <v>98</v>
      </c>
      <c r="AJ196" s="7" t="s">
        <v>98</v>
      </c>
      <c r="AK196" s="7" t="s">
        <v>98</v>
      </c>
      <c r="AL196" s="7" t="s">
        <v>98</v>
      </c>
      <c r="AM196" s="7" t="s">
        <v>98</v>
      </c>
      <c r="AN196" s="7" t="s">
        <v>98</v>
      </c>
      <c r="AO196" s="7" t="s">
        <v>98</v>
      </c>
      <c r="AP196" s="7" t="s">
        <v>98</v>
      </c>
      <c r="AQ196" s="7" t="s">
        <v>98</v>
      </c>
      <c r="AR196" s="7" t="s">
        <v>98</v>
      </c>
      <c r="AS196" s="7" t="s">
        <v>98</v>
      </c>
      <c r="AT196" s="7" t="s">
        <v>98</v>
      </c>
      <c r="AU196" s="7" t="s">
        <v>98</v>
      </c>
      <c r="AV196" s="7" t="s">
        <v>98</v>
      </c>
      <c r="AW196" s="7" t="s">
        <v>98</v>
      </c>
      <c r="AX196" s="7" t="s">
        <v>98</v>
      </c>
      <c r="AY196" s="7" t="s">
        <v>98</v>
      </c>
      <c r="AZ196" s="7" t="s">
        <v>98</v>
      </c>
      <c r="BA196" s="7" t="s">
        <v>98</v>
      </c>
      <c r="BB196" s="7" t="s">
        <v>98</v>
      </c>
      <c r="BC196" s="7" t="s">
        <v>98</v>
      </c>
      <c r="BD196" s="7" t="s">
        <v>98</v>
      </c>
      <c r="BE196" s="7" t="s">
        <v>98</v>
      </c>
      <c r="BF196" s="7" t="s">
        <v>98</v>
      </c>
      <c r="BG196" s="7" t="s">
        <v>98</v>
      </c>
      <c r="BH196" s="7" t="s">
        <v>98</v>
      </c>
      <c r="BI196" s="7" t="s">
        <v>98</v>
      </c>
      <c r="BJ196" s="7" t="s">
        <v>98</v>
      </c>
      <c r="BK196" s="7" t="s">
        <v>98</v>
      </c>
      <c r="BL196" s="7" t="s">
        <v>98</v>
      </c>
      <c r="BM196" s="7" t="s">
        <v>98</v>
      </c>
      <c r="BN196" s="7" t="s">
        <v>98</v>
      </c>
      <c r="BO196" s="7" t="s">
        <v>98</v>
      </c>
      <c r="BP196" s="7" t="s">
        <v>98</v>
      </c>
      <c r="BQ196" s="7" t="s">
        <v>98</v>
      </c>
      <c r="BR196" s="7" t="s">
        <v>98</v>
      </c>
      <c r="BS196" s="7" t="s">
        <v>98</v>
      </c>
      <c r="BT196" s="7" t="s">
        <v>98</v>
      </c>
      <c r="BU196" s="7" t="s">
        <v>98</v>
      </c>
      <c r="BV196" s="7" t="s">
        <v>98</v>
      </c>
      <c r="BW196" s="7" t="s">
        <v>98</v>
      </c>
      <c r="BX196" s="7" t="s">
        <v>98</v>
      </c>
      <c r="BY196" s="7" t="s">
        <v>98</v>
      </c>
      <c r="BZ196" s="7" t="s">
        <v>98</v>
      </c>
      <c r="CA196" s="7" t="s">
        <v>98</v>
      </c>
      <c r="CB196" s="7" t="s">
        <v>98</v>
      </c>
      <c r="CC196" s="7" t="s">
        <v>98</v>
      </c>
      <c r="CD196" s="7" t="s">
        <v>98</v>
      </c>
      <c r="CE196" s="7" t="s">
        <v>98</v>
      </c>
      <c r="CF196" s="7" t="s">
        <v>98</v>
      </c>
      <c r="CG196" s="7" t="s">
        <v>98</v>
      </c>
      <c r="CH196" s="7" t="s">
        <v>98</v>
      </c>
      <c r="CI196" s="7" t="s">
        <v>98</v>
      </c>
      <c r="CJ196" s="7" t="s">
        <v>98</v>
      </c>
      <c r="CK196" s="7" t="s">
        <v>98</v>
      </c>
      <c r="CL196" s="7" t="s">
        <v>98</v>
      </c>
      <c r="CM196" s="7" t="s">
        <v>98</v>
      </c>
      <c r="CN196" s="7" t="s">
        <v>98</v>
      </c>
      <c r="CO196" s="7" t="s">
        <v>98</v>
      </c>
      <c r="CP196" s="7" t="s">
        <v>98</v>
      </c>
      <c r="CQ196" s="7" t="s">
        <v>98</v>
      </c>
      <c r="CR196" s="7" t="s">
        <v>98</v>
      </c>
      <c r="CS196" s="7" t="s">
        <v>98</v>
      </c>
      <c r="CT196" s="7" t="s">
        <v>98</v>
      </c>
      <c r="CU196" s="7" t="s">
        <v>98</v>
      </c>
      <c r="CV196" s="7" t="s">
        <v>98</v>
      </c>
      <c r="CW196" s="7" t="s">
        <v>98</v>
      </c>
      <c r="CX196" s="7" t="s">
        <v>98</v>
      </c>
      <c r="CY196" s="7" t="s">
        <v>98</v>
      </c>
      <c r="CZ196" s="7" t="s">
        <v>98</v>
      </c>
      <c r="DA196" s="7" t="s">
        <v>98</v>
      </c>
      <c r="DB196" s="7" t="s">
        <v>98</v>
      </c>
      <c r="DC196" s="7" t="s">
        <v>98</v>
      </c>
      <c r="DD196" s="7" t="s">
        <v>98</v>
      </c>
      <c r="DE196" s="7" t="s">
        <v>98</v>
      </c>
      <c r="DF196" s="7" t="s">
        <v>98</v>
      </c>
      <c r="DG196" s="7" t="s">
        <v>98</v>
      </c>
      <c r="DH196" s="7" t="s">
        <v>98</v>
      </c>
      <c r="DI196" s="7" t="s">
        <v>98</v>
      </c>
      <c r="DJ196" s="7" t="s">
        <v>98</v>
      </c>
      <c r="DK196" s="7" t="s">
        <v>98</v>
      </c>
      <c r="DL196" s="7" t="s">
        <v>98</v>
      </c>
      <c r="DM196" s="7" t="s">
        <v>98</v>
      </c>
      <c r="DN196" s="18" t="s">
        <v>98</v>
      </c>
      <c r="DO196" s="7" t="s">
        <v>98</v>
      </c>
      <c r="DP196" s="7" t="s">
        <v>98</v>
      </c>
      <c r="DQ196" s="7" t="s">
        <v>98</v>
      </c>
    </row>
    <row r="197" spans="2:121">
      <c r="B197" s="7"/>
      <c r="C197" s="7"/>
      <c r="D197" s="7"/>
      <c r="E197" s="7"/>
      <c r="F197" s="7"/>
      <c r="G197" s="7"/>
      <c r="H197" s="38"/>
      <c r="I197" s="46"/>
      <c r="J197" s="18"/>
      <c r="K197" s="7"/>
      <c r="L197" s="38"/>
      <c r="M197" s="38"/>
      <c r="N197" s="38"/>
      <c r="O197" s="7"/>
      <c r="P197" s="7"/>
      <c r="Q197" s="33"/>
      <c r="R197" s="11"/>
      <c r="S197" s="11"/>
      <c r="T197" s="11" t="s">
        <v>98</v>
      </c>
      <c r="U197" s="12"/>
      <c r="V197" s="11"/>
      <c r="W197" s="13"/>
      <c r="X197" s="9"/>
      <c r="Y197" s="38"/>
      <c r="Z197" s="38"/>
      <c r="AA197" s="38"/>
      <c r="AB197" s="11"/>
      <c r="AC197" s="11"/>
      <c r="AD197" s="7"/>
      <c r="AE197" s="38"/>
      <c r="AF197" s="7"/>
      <c r="AG197" s="46"/>
      <c r="AH197" s="9"/>
      <c r="AI197" s="9"/>
      <c r="AJ197" s="9"/>
      <c r="AK197" s="9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53"/>
      <c r="AZ197" s="46"/>
      <c r="BA197" s="46"/>
      <c r="BB197" s="46"/>
      <c r="BC197" s="46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7"/>
      <c r="BR197" s="28"/>
      <c r="BS197" s="28"/>
      <c r="BT197" s="28"/>
      <c r="BU197" s="28"/>
      <c r="BV197" s="28"/>
      <c r="BW197" s="7"/>
      <c r="BX197" s="28"/>
      <c r="BY197" s="28"/>
      <c r="BZ197" s="28"/>
      <c r="CA197" s="28"/>
      <c r="CB197" s="28"/>
      <c r="CC197" s="7"/>
      <c r="CD197" s="7"/>
      <c r="CE197" s="29"/>
      <c r="CF197" s="18"/>
      <c r="CG197" s="29"/>
      <c r="CH197" s="29"/>
      <c r="CI197" s="29"/>
      <c r="CJ197" s="29"/>
      <c r="CK197" s="28"/>
      <c r="CL197" s="28"/>
      <c r="CM197" s="7"/>
      <c r="CN197" s="7"/>
      <c r="CO197" s="7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7"/>
      <c r="DG197" s="7"/>
      <c r="DH197" s="7"/>
      <c r="DI197" s="7"/>
      <c r="DJ197" s="7"/>
      <c r="DK197" s="28"/>
      <c r="DL197" s="28"/>
      <c r="DM197" s="7"/>
      <c r="DN197" s="29"/>
      <c r="DO197" s="28"/>
      <c r="DP197" s="28"/>
      <c r="DQ197" s="28"/>
    </row>
    <row r="198" spans="2:121">
      <c r="B198" s="7"/>
      <c r="C198" s="7"/>
      <c r="D198" s="7"/>
      <c r="E198" s="7"/>
      <c r="F198" s="7"/>
      <c r="G198" s="7"/>
      <c r="H198" s="38"/>
      <c r="I198" s="46"/>
      <c r="J198" s="18"/>
      <c r="K198" s="7"/>
      <c r="L198" s="38"/>
      <c r="M198" s="38"/>
      <c r="N198" s="38"/>
      <c r="O198" s="7"/>
      <c r="P198" s="7"/>
      <c r="Q198" s="33"/>
      <c r="R198" s="11"/>
      <c r="S198" s="11"/>
      <c r="T198" s="11" t="s">
        <v>98</v>
      </c>
      <c r="U198" s="12"/>
      <c r="V198" s="11"/>
      <c r="W198" s="13"/>
      <c r="X198" s="9"/>
      <c r="Y198" s="38"/>
      <c r="Z198" s="38"/>
      <c r="AA198" s="38"/>
      <c r="AB198" s="11"/>
      <c r="AC198" s="11"/>
      <c r="AD198" s="7"/>
      <c r="AE198" s="38"/>
      <c r="AF198" s="7"/>
      <c r="AG198" s="46"/>
      <c r="AH198" s="9"/>
      <c r="AI198" s="9"/>
      <c r="AJ198" s="9"/>
      <c r="AK198" s="9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53"/>
      <c r="AZ198" s="46"/>
      <c r="BA198" s="46"/>
      <c r="BB198" s="46"/>
      <c r="BC198" s="46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7"/>
      <c r="BR198" s="28"/>
      <c r="BS198" s="28"/>
      <c r="BT198" s="28"/>
      <c r="BU198" s="28"/>
      <c r="BV198" s="28"/>
      <c r="BW198" s="7"/>
      <c r="BX198" s="28"/>
      <c r="BY198" s="28"/>
      <c r="BZ198" s="28"/>
      <c r="CA198" s="28"/>
      <c r="CB198" s="28"/>
      <c r="CC198" s="7"/>
      <c r="CD198" s="7"/>
      <c r="CE198" s="29"/>
      <c r="CF198" s="18"/>
      <c r="CG198" s="29"/>
      <c r="CH198" s="29"/>
      <c r="CI198" s="29"/>
      <c r="CJ198" s="29"/>
      <c r="CK198" s="28"/>
      <c r="CL198" s="28"/>
      <c r="CM198" s="7"/>
      <c r="CN198" s="7"/>
      <c r="CO198" s="7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7"/>
      <c r="DG198" s="7"/>
      <c r="DH198" s="7"/>
      <c r="DI198" s="7"/>
      <c r="DJ198" s="7"/>
      <c r="DK198" s="28"/>
      <c r="DL198" s="28"/>
      <c r="DM198" s="7"/>
      <c r="DN198" s="29"/>
      <c r="DO198" s="28"/>
      <c r="DP198" s="28"/>
      <c r="DQ198" s="28"/>
    </row>
    <row r="199" spans="2:121">
      <c r="B199" s="7"/>
      <c r="C199" s="7"/>
      <c r="D199" s="7"/>
      <c r="E199" s="7"/>
      <c r="F199" s="7"/>
      <c r="G199" s="7"/>
      <c r="H199" s="38"/>
      <c r="I199" s="46"/>
      <c r="J199" s="18"/>
      <c r="K199" s="7"/>
      <c r="L199" s="38"/>
      <c r="M199" s="38"/>
      <c r="N199" s="38"/>
      <c r="O199" s="7"/>
      <c r="P199" s="7"/>
      <c r="Q199" s="33"/>
      <c r="R199" s="11"/>
      <c r="S199" s="11"/>
      <c r="T199" s="11" t="s">
        <v>98</v>
      </c>
      <c r="U199" s="12"/>
      <c r="V199" s="11"/>
      <c r="W199" s="13"/>
      <c r="X199" s="9"/>
      <c r="Y199" s="38"/>
      <c r="Z199" s="38"/>
      <c r="AA199" s="38"/>
      <c r="AB199" s="11"/>
      <c r="AC199" s="11"/>
      <c r="AD199" s="7"/>
      <c r="AE199" s="38"/>
      <c r="AF199" s="7"/>
      <c r="AG199" s="46"/>
      <c r="AH199" s="9"/>
      <c r="AI199" s="9"/>
      <c r="AJ199" s="9"/>
      <c r="AK199" s="9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53"/>
      <c r="AZ199" s="46"/>
      <c r="BA199" s="46"/>
      <c r="BB199" s="46"/>
      <c r="BC199" s="46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7"/>
      <c r="BR199" s="28"/>
      <c r="BS199" s="28"/>
      <c r="BT199" s="28"/>
      <c r="BU199" s="28"/>
      <c r="BV199" s="28"/>
      <c r="BW199" s="7"/>
      <c r="BX199" s="28"/>
      <c r="BY199" s="28"/>
      <c r="BZ199" s="28"/>
      <c r="CA199" s="28"/>
      <c r="CB199" s="28"/>
      <c r="CC199" s="7"/>
      <c r="CD199" s="7"/>
      <c r="CE199" s="29"/>
      <c r="CF199" s="18"/>
      <c r="CG199" s="29"/>
      <c r="CH199" s="29"/>
      <c r="CI199" s="29"/>
      <c r="CJ199" s="29"/>
      <c r="CK199" s="28"/>
      <c r="CL199" s="28"/>
      <c r="CM199" s="7"/>
      <c r="CN199" s="7"/>
      <c r="CO199" s="7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7"/>
      <c r="DG199" s="7"/>
      <c r="DH199" s="7"/>
      <c r="DI199" s="7"/>
      <c r="DJ199" s="7"/>
      <c r="DK199" s="28"/>
      <c r="DL199" s="28"/>
      <c r="DM199" s="7"/>
      <c r="DN199" s="29"/>
      <c r="DO199" s="28"/>
      <c r="DP199" s="28"/>
      <c r="DQ199" s="28"/>
    </row>
    <row r="200" spans="2:121">
      <c r="B200" s="7"/>
      <c r="C200" s="7"/>
      <c r="D200" s="7"/>
      <c r="E200" s="7"/>
      <c r="F200" s="7"/>
      <c r="G200" s="7"/>
      <c r="H200" s="38"/>
      <c r="I200" s="46"/>
      <c r="J200" s="18"/>
      <c r="K200" s="7"/>
      <c r="L200" s="38"/>
      <c r="M200" s="38"/>
      <c r="N200" s="38"/>
      <c r="O200" s="7"/>
      <c r="P200" s="7"/>
      <c r="Q200" s="33"/>
      <c r="R200" s="11"/>
      <c r="S200" s="11"/>
      <c r="T200" s="11" t="s">
        <v>98</v>
      </c>
      <c r="U200" s="12"/>
      <c r="V200" s="11"/>
      <c r="W200" s="13"/>
      <c r="X200" s="9"/>
      <c r="Y200" s="38"/>
      <c r="Z200" s="38"/>
      <c r="AA200" s="38"/>
      <c r="AB200" s="11"/>
      <c r="AC200" s="11"/>
      <c r="AD200" s="7"/>
      <c r="AE200" s="38"/>
      <c r="AF200" s="7"/>
      <c r="AG200" s="46"/>
      <c r="AH200" s="9"/>
      <c r="AI200" s="9"/>
      <c r="AJ200" s="9"/>
      <c r="AK200" s="9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53"/>
      <c r="AZ200" s="46"/>
      <c r="BA200" s="46"/>
      <c r="BB200" s="46"/>
      <c r="BC200" s="46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7"/>
      <c r="BR200" s="28"/>
      <c r="BS200" s="28"/>
      <c r="BT200" s="28"/>
      <c r="BU200" s="28"/>
      <c r="BV200" s="28"/>
      <c r="BW200" s="7"/>
      <c r="BX200" s="28"/>
      <c r="BY200" s="28"/>
      <c r="BZ200" s="28"/>
      <c r="CA200" s="28"/>
      <c r="CB200" s="28"/>
      <c r="CC200" s="7"/>
      <c r="CD200" s="7"/>
      <c r="CE200" s="29"/>
      <c r="CF200" s="18"/>
      <c r="CG200" s="29"/>
      <c r="CH200" s="29"/>
      <c r="CI200" s="29"/>
      <c r="CJ200" s="29"/>
      <c r="CK200" s="28"/>
      <c r="CL200" s="28"/>
      <c r="CM200" s="7"/>
      <c r="CN200" s="7"/>
      <c r="CO200" s="7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7"/>
      <c r="DG200" s="7"/>
      <c r="DH200" s="7"/>
      <c r="DI200" s="7"/>
      <c r="DJ200" s="7"/>
      <c r="DK200" s="28"/>
      <c r="DL200" s="28"/>
      <c r="DM200" s="7"/>
      <c r="DN200" s="29"/>
      <c r="DO200" s="28"/>
      <c r="DP200" s="28"/>
      <c r="DQ200" s="28"/>
    </row>
    <row r="201" spans="2:121">
      <c r="B201" s="7"/>
      <c r="C201" s="7"/>
      <c r="D201" s="7"/>
      <c r="E201" s="7"/>
      <c r="F201" s="7"/>
      <c r="G201" s="7"/>
      <c r="H201" s="38"/>
      <c r="I201" s="46"/>
      <c r="J201" s="18"/>
      <c r="K201" s="7"/>
      <c r="L201" s="38"/>
      <c r="M201" s="38"/>
      <c r="N201" s="38"/>
      <c r="O201" s="7"/>
      <c r="P201" s="7"/>
      <c r="Q201" s="33"/>
      <c r="R201" s="11"/>
      <c r="S201" s="11"/>
      <c r="T201" s="11" t="s">
        <v>98</v>
      </c>
      <c r="U201" s="12"/>
      <c r="V201" s="11"/>
      <c r="W201" s="13"/>
      <c r="X201" s="9"/>
      <c r="Y201" s="38"/>
      <c r="Z201" s="38"/>
      <c r="AA201" s="38"/>
      <c r="AB201" s="11"/>
      <c r="AC201" s="11"/>
      <c r="AD201" s="7"/>
      <c r="AE201" s="38"/>
      <c r="AF201" s="7"/>
      <c r="AG201" s="46"/>
      <c r="AH201" s="9"/>
      <c r="AI201" s="9"/>
      <c r="AJ201" s="9"/>
      <c r="AK201" s="9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53"/>
      <c r="AZ201" s="46"/>
      <c r="BA201" s="46"/>
      <c r="BB201" s="46"/>
      <c r="BC201" s="46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7"/>
      <c r="BR201" s="28"/>
      <c r="BS201" s="28"/>
      <c r="BT201" s="28"/>
      <c r="BU201" s="28"/>
      <c r="BV201" s="28"/>
      <c r="BW201" s="7"/>
      <c r="BX201" s="28"/>
      <c r="BY201" s="28"/>
      <c r="BZ201" s="28"/>
      <c r="CA201" s="28"/>
      <c r="CB201" s="28"/>
      <c r="CC201" s="7"/>
      <c r="CD201" s="7"/>
      <c r="CE201" s="29"/>
      <c r="CF201" s="18"/>
      <c r="CG201" s="29"/>
      <c r="CH201" s="29"/>
      <c r="CI201" s="29"/>
      <c r="CJ201" s="29"/>
      <c r="CK201" s="28"/>
      <c r="CL201" s="28"/>
      <c r="CM201" s="7"/>
      <c r="CN201" s="7"/>
      <c r="CO201" s="7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7"/>
      <c r="DG201" s="7"/>
      <c r="DH201" s="7"/>
      <c r="DI201" s="7"/>
      <c r="DJ201" s="7"/>
      <c r="DK201" s="28"/>
      <c r="DL201" s="28"/>
      <c r="DM201" s="7"/>
      <c r="DN201" s="29"/>
      <c r="DO201" s="28"/>
      <c r="DP201" s="28"/>
      <c r="DQ201" s="28"/>
    </row>
    <row r="202" spans="2:121">
      <c r="B202" s="7"/>
      <c r="C202" s="7"/>
      <c r="D202" s="7"/>
      <c r="E202" s="7"/>
      <c r="F202" s="7"/>
      <c r="G202" s="7"/>
      <c r="H202" s="38"/>
      <c r="I202" s="46"/>
      <c r="J202" s="18"/>
      <c r="K202" s="7"/>
      <c r="L202" s="38"/>
      <c r="M202" s="38"/>
      <c r="N202" s="38"/>
      <c r="O202" s="7"/>
      <c r="P202" s="7"/>
      <c r="Q202" s="33"/>
      <c r="R202" s="11"/>
      <c r="S202" s="11"/>
      <c r="T202" s="11" t="s">
        <v>98</v>
      </c>
      <c r="U202" s="12"/>
      <c r="V202" s="11"/>
      <c r="W202" s="13"/>
      <c r="X202" s="9"/>
      <c r="Y202" s="38"/>
      <c r="Z202" s="38"/>
      <c r="AA202" s="38"/>
      <c r="AB202" s="11"/>
      <c r="AC202" s="11"/>
      <c r="AD202" s="7"/>
      <c r="AE202" s="38"/>
      <c r="AF202" s="7"/>
      <c r="AG202" s="46"/>
      <c r="AH202" s="9"/>
      <c r="AI202" s="9"/>
      <c r="AJ202" s="9"/>
      <c r="AK202" s="9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53"/>
      <c r="AZ202" s="46"/>
      <c r="BA202" s="46"/>
      <c r="BB202" s="46"/>
      <c r="BC202" s="46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7"/>
      <c r="BR202" s="28"/>
      <c r="BS202" s="28"/>
      <c r="BT202" s="28"/>
      <c r="BU202" s="28"/>
      <c r="BV202" s="28"/>
      <c r="BW202" s="7"/>
      <c r="BX202" s="28"/>
      <c r="BY202" s="28"/>
      <c r="BZ202" s="28"/>
      <c r="CA202" s="28"/>
      <c r="CB202" s="28"/>
      <c r="CC202" s="7"/>
      <c r="CD202" s="7"/>
      <c r="CE202" s="29"/>
      <c r="CF202" s="18"/>
      <c r="CG202" s="29"/>
      <c r="CH202" s="29"/>
      <c r="CI202" s="29"/>
      <c r="CJ202" s="29"/>
      <c r="CK202" s="28"/>
      <c r="CL202" s="28"/>
      <c r="CM202" s="7"/>
      <c r="CN202" s="7"/>
      <c r="CO202" s="7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7"/>
      <c r="DG202" s="7"/>
      <c r="DH202" s="7"/>
      <c r="DI202" s="7"/>
      <c r="DJ202" s="7"/>
      <c r="DK202" s="28"/>
      <c r="DL202" s="28"/>
      <c r="DM202" s="7"/>
      <c r="DN202" s="29"/>
      <c r="DO202" s="28"/>
      <c r="DP202" s="28"/>
      <c r="DQ202" s="28"/>
    </row>
    <row r="203" spans="2:121">
      <c r="B203" s="7"/>
      <c r="C203" s="7"/>
      <c r="D203" s="7"/>
      <c r="E203" s="7"/>
      <c r="F203" s="7"/>
      <c r="G203" s="7"/>
      <c r="H203" s="38"/>
      <c r="I203" s="46"/>
      <c r="J203" s="18"/>
      <c r="K203" s="7"/>
      <c r="L203" s="38"/>
      <c r="M203" s="38"/>
      <c r="N203" s="38"/>
      <c r="O203" s="7"/>
      <c r="P203" s="7"/>
      <c r="Q203" s="33"/>
      <c r="R203" s="11"/>
      <c r="S203" s="11"/>
      <c r="T203" s="11" t="s">
        <v>98</v>
      </c>
      <c r="U203" s="12"/>
      <c r="V203" s="11"/>
      <c r="W203" s="13"/>
      <c r="X203" s="9"/>
      <c r="Y203" s="38"/>
      <c r="Z203" s="38"/>
      <c r="AA203" s="38"/>
      <c r="AB203" s="11"/>
      <c r="AC203" s="11"/>
      <c r="AD203" s="7"/>
      <c r="AE203" s="38"/>
      <c r="AF203" s="7"/>
      <c r="AG203" s="46"/>
      <c r="AH203" s="9"/>
      <c r="AI203" s="9"/>
      <c r="AJ203" s="9"/>
      <c r="AK203" s="9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53"/>
      <c r="AZ203" s="46"/>
      <c r="BA203" s="46"/>
      <c r="BB203" s="46"/>
      <c r="BC203" s="46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7"/>
      <c r="BR203" s="28"/>
      <c r="BS203" s="28"/>
      <c r="BT203" s="28"/>
      <c r="BU203" s="28"/>
      <c r="BV203" s="28"/>
      <c r="BW203" s="7"/>
      <c r="BX203" s="28"/>
      <c r="BY203" s="28"/>
      <c r="BZ203" s="28"/>
      <c r="CA203" s="28"/>
      <c r="CB203" s="28"/>
      <c r="CC203" s="7"/>
      <c r="CD203" s="7"/>
      <c r="CE203" s="29"/>
      <c r="CF203" s="18"/>
      <c r="CG203" s="29"/>
      <c r="CH203" s="29"/>
      <c r="CI203" s="29"/>
      <c r="CJ203" s="29"/>
      <c r="CK203" s="28"/>
      <c r="CL203" s="28"/>
      <c r="CM203" s="7"/>
      <c r="CN203" s="7"/>
      <c r="CO203" s="7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7"/>
      <c r="DG203" s="7"/>
      <c r="DH203" s="7"/>
      <c r="DI203" s="7"/>
      <c r="DJ203" s="7"/>
      <c r="DK203" s="28"/>
      <c r="DL203" s="28"/>
      <c r="DM203" s="7"/>
      <c r="DN203" s="29"/>
      <c r="DO203" s="28"/>
      <c r="DP203" s="28"/>
      <c r="DQ203" s="28"/>
    </row>
    <row r="204" spans="2:121">
      <c r="B204" s="7"/>
      <c r="C204" s="7"/>
      <c r="D204" s="7"/>
      <c r="E204" s="7"/>
      <c r="F204" s="7"/>
      <c r="G204" s="7"/>
      <c r="H204" s="38"/>
      <c r="I204" s="46"/>
      <c r="J204" s="18"/>
      <c r="K204" s="7"/>
      <c r="L204" s="38"/>
      <c r="M204" s="38"/>
      <c r="N204" s="38"/>
      <c r="O204" s="7"/>
      <c r="P204" s="7"/>
      <c r="Q204" s="33"/>
      <c r="R204" s="11"/>
      <c r="S204" s="11"/>
      <c r="T204" s="11" t="s">
        <v>98</v>
      </c>
      <c r="U204" s="12"/>
      <c r="V204" s="11"/>
      <c r="W204" s="13"/>
      <c r="X204" s="9"/>
      <c r="Y204" s="38"/>
      <c r="Z204" s="38"/>
      <c r="AA204" s="38"/>
      <c r="AB204" s="11"/>
      <c r="AC204" s="11"/>
      <c r="AD204" s="7"/>
      <c r="AE204" s="38"/>
      <c r="AF204" s="7"/>
      <c r="AG204" s="46"/>
      <c r="AH204" s="9"/>
      <c r="AI204" s="9"/>
      <c r="AJ204" s="9"/>
      <c r="AK204" s="9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53"/>
      <c r="AZ204" s="46"/>
      <c r="BA204" s="46"/>
      <c r="BB204" s="46"/>
      <c r="BC204" s="46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7"/>
      <c r="BR204" s="28"/>
      <c r="BS204" s="28"/>
      <c r="BT204" s="28"/>
      <c r="BU204" s="28"/>
      <c r="BV204" s="28"/>
      <c r="BW204" s="7"/>
      <c r="BX204" s="28"/>
      <c r="BY204" s="28"/>
      <c r="BZ204" s="28"/>
      <c r="CA204" s="28"/>
      <c r="CB204" s="28"/>
      <c r="CC204" s="7"/>
      <c r="CD204" s="7"/>
      <c r="CE204" s="29"/>
      <c r="CF204" s="18"/>
      <c r="CG204" s="29"/>
      <c r="CH204" s="29"/>
      <c r="CI204" s="29"/>
      <c r="CJ204" s="29"/>
      <c r="CK204" s="28"/>
      <c r="CL204" s="28"/>
      <c r="CM204" s="7"/>
      <c r="CN204" s="7"/>
      <c r="CO204" s="7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7"/>
      <c r="DG204" s="7"/>
      <c r="DH204" s="7"/>
      <c r="DI204" s="7"/>
      <c r="DJ204" s="7"/>
      <c r="DK204" s="28"/>
      <c r="DL204" s="28"/>
      <c r="DM204" s="7"/>
      <c r="DN204" s="29"/>
      <c r="DO204" s="28"/>
      <c r="DP204" s="28"/>
      <c r="DQ204" s="28"/>
    </row>
    <row r="205" spans="2:121">
      <c r="B205" s="7"/>
      <c r="C205" s="7"/>
      <c r="D205" s="7"/>
      <c r="E205" s="7"/>
      <c r="F205" s="7"/>
      <c r="G205" s="7"/>
      <c r="H205" s="38"/>
      <c r="I205" s="46"/>
      <c r="J205" s="18"/>
      <c r="K205" s="7"/>
      <c r="L205" s="38"/>
      <c r="M205" s="38"/>
      <c r="N205" s="38"/>
      <c r="O205" s="7"/>
      <c r="P205" s="7"/>
      <c r="Q205" s="33"/>
      <c r="R205" s="11"/>
      <c r="S205" s="11"/>
      <c r="T205" s="11" t="s">
        <v>98</v>
      </c>
      <c r="U205" s="12"/>
      <c r="V205" s="11"/>
      <c r="W205" s="13"/>
      <c r="X205" s="9"/>
      <c r="Y205" s="38"/>
      <c r="Z205" s="38"/>
      <c r="AA205" s="38"/>
      <c r="AB205" s="11"/>
      <c r="AC205" s="11"/>
      <c r="AD205" s="7"/>
      <c r="AE205" s="38"/>
      <c r="AF205" s="7"/>
      <c r="AG205" s="46"/>
      <c r="AH205" s="9"/>
      <c r="AI205" s="9"/>
      <c r="AJ205" s="9"/>
      <c r="AK205" s="9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53"/>
      <c r="AZ205" s="46"/>
      <c r="BA205" s="46"/>
      <c r="BB205" s="46"/>
      <c r="BC205" s="46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7"/>
      <c r="BR205" s="28"/>
      <c r="BS205" s="28"/>
      <c r="BT205" s="28"/>
      <c r="BU205" s="28"/>
      <c r="BV205" s="28"/>
      <c r="BW205" s="7"/>
      <c r="BX205" s="28"/>
      <c r="BY205" s="28"/>
      <c r="BZ205" s="28"/>
      <c r="CA205" s="28"/>
      <c r="CB205" s="28"/>
      <c r="CC205" s="7"/>
      <c r="CD205" s="7"/>
      <c r="CE205" s="29"/>
      <c r="CF205" s="18"/>
      <c r="CG205" s="29"/>
      <c r="CH205" s="29"/>
      <c r="CI205" s="29"/>
      <c r="CJ205" s="29"/>
      <c r="CK205" s="28"/>
      <c r="CL205" s="28"/>
      <c r="CM205" s="7"/>
      <c r="CN205" s="7"/>
      <c r="CO205" s="7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7"/>
      <c r="DG205" s="7"/>
      <c r="DH205" s="7"/>
      <c r="DI205" s="7"/>
      <c r="DJ205" s="7"/>
      <c r="DK205" s="28"/>
      <c r="DL205" s="28"/>
      <c r="DM205" s="7"/>
      <c r="DN205" s="29"/>
      <c r="DO205" s="28"/>
      <c r="DP205" s="28"/>
      <c r="DQ205" s="28"/>
    </row>
    <row r="206" spans="2:121">
      <c r="B206" s="7"/>
      <c r="C206" s="7"/>
      <c r="D206" s="7"/>
      <c r="E206" s="7"/>
      <c r="F206" s="7"/>
      <c r="G206" s="7"/>
      <c r="H206" s="38"/>
      <c r="I206" s="46"/>
      <c r="J206" s="18"/>
      <c r="K206" s="7"/>
      <c r="L206" s="38"/>
      <c r="M206" s="38"/>
      <c r="N206" s="38"/>
      <c r="O206" s="7"/>
      <c r="P206" s="7"/>
      <c r="Q206" s="33"/>
      <c r="R206" s="11"/>
      <c r="S206" s="11"/>
      <c r="T206" s="11" t="s">
        <v>98</v>
      </c>
      <c r="U206" s="12"/>
      <c r="V206" s="11"/>
      <c r="W206" s="13"/>
      <c r="X206" s="9"/>
      <c r="Y206" s="38"/>
      <c r="Z206" s="38"/>
      <c r="AA206" s="38"/>
      <c r="AB206" s="11"/>
      <c r="AC206" s="11"/>
      <c r="AD206" s="7"/>
      <c r="AE206" s="38"/>
      <c r="AF206" s="7"/>
      <c r="AG206" s="46"/>
      <c r="AH206" s="9"/>
      <c r="AI206" s="9"/>
      <c r="AJ206" s="9"/>
      <c r="AK206" s="9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53"/>
      <c r="AZ206" s="46"/>
      <c r="BA206" s="46"/>
      <c r="BB206" s="46"/>
      <c r="BC206" s="46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7"/>
      <c r="BR206" s="28"/>
      <c r="BS206" s="28"/>
      <c r="BT206" s="28"/>
      <c r="BU206" s="28"/>
      <c r="BV206" s="28"/>
      <c r="BW206" s="7"/>
      <c r="BX206" s="28"/>
      <c r="BY206" s="28"/>
      <c r="BZ206" s="28"/>
      <c r="CA206" s="28"/>
      <c r="CB206" s="28"/>
      <c r="CC206" s="7"/>
      <c r="CD206" s="7"/>
      <c r="CE206" s="29"/>
      <c r="CF206" s="18"/>
      <c r="CG206" s="29"/>
      <c r="CH206" s="29"/>
      <c r="CI206" s="29"/>
      <c r="CJ206" s="29"/>
      <c r="CK206" s="28"/>
      <c r="CL206" s="28"/>
      <c r="CM206" s="7"/>
      <c r="CN206" s="7"/>
      <c r="CO206" s="7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7"/>
      <c r="DG206" s="7"/>
      <c r="DH206" s="7"/>
      <c r="DI206" s="7"/>
      <c r="DJ206" s="7"/>
      <c r="DK206" s="28"/>
      <c r="DL206" s="28"/>
      <c r="DM206" s="7"/>
      <c r="DN206" s="29"/>
      <c r="DO206" s="28"/>
      <c r="DP206" s="28"/>
      <c r="DQ206" s="28"/>
    </row>
    <row r="207" spans="2:121">
      <c r="B207" s="7"/>
      <c r="C207" s="7"/>
      <c r="D207" s="7"/>
      <c r="E207" s="7"/>
      <c r="F207" s="7"/>
      <c r="G207" s="7"/>
      <c r="H207" s="38"/>
      <c r="I207" s="46"/>
      <c r="J207" s="18"/>
      <c r="K207" s="7"/>
      <c r="L207" s="38"/>
      <c r="M207" s="38"/>
      <c r="N207" s="38"/>
      <c r="O207" s="7"/>
      <c r="P207" s="7"/>
      <c r="Q207" s="33"/>
      <c r="R207" s="11"/>
      <c r="S207" s="11"/>
      <c r="T207" s="11" t="s">
        <v>98</v>
      </c>
      <c r="U207" s="12"/>
      <c r="V207" s="11"/>
      <c r="W207" s="13"/>
      <c r="X207" s="9"/>
      <c r="Y207" s="38"/>
      <c r="Z207" s="38"/>
      <c r="AA207" s="38"/>
      <c r="AB207" s="11"/>
      <c r="AC207" s="11"/>
      <c r="AD207" s="7"/>
      <c r="AE207" s="38"/>
      <c r="AF207" s="7"/>
      <c r="AG207" s="46"/>
      <c r="AH207" s="9"/>
      <c r="AI207" s="9"/>
      <c r="AJ207" s="9"/>
      <c r="AK207" s="9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53"/>
      <c r="AZ207" s="46"/>
      <c r="BA207" s="46"/>
      <c r="BB207" s="46"/>
      <c r="BC207" s="46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7"/>
      <c r="BR207" s="28"/>
      <c r="BS207" s="28"/>
      <c r="BT207" s="28"/>
      <c r="BU207" s="28"/>
      <c r="BV207" s="28"/>
      <c r="BW207" s="7"/>
      <c r="BX207" s="28"/>
      <c r="BY207" s="28"/>
      <c r="BZ207" s="28"/>
      <c r="CA207" s="28"/>
      <c r="CB207" s="28"/>
      <c r="CC207" s="7"/>
      <c r="CD207" s="7"/>
      <c r="CE207" s="29"/>
      <c r="CF207" s="18"/>
      <c r="CG207" s="29"/>
      <c r="CH207" s="29"/>
      <c r="CI207" s="29"/>
      <c r="CJ207" s="29"/>
      <c r="CK207" s="28"/>
      <c r="CL207" s="28"/>
      <c r="CM207" s="7"/>
      <c r="CN207" s="7"/>
      <c r="CO207" s="7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7"/>
      <c r="DG207" s="7"/>
      <c r="DH207" s="7"/>
      <c r="DI207" s="7"/>
      <c r="DJ207" s="7"/>
      <c r="DK207" s="28"/>
      <c r="DL207" s="28"/>
      <c r="DM207" s="7"/>
      <c r="DN207" s="29"/>
      <c r="DO207" s="28"/>
      <c r="DP207" s="28"/>
      <c r="DQ207" s="28"/>
    </row>
    <row r="208" spans="2:121">
      <c r="B208" s="7"/>
      <c r="C208" s="7"/>
      <c r="D208" s="7"/>
      <c r="E208" s="7"/>
      <c r="F208" s="7"/>
      <c r="G208" s="7"/>
      <c r="H208" s="38"/>
      <c r="I208" s="46"/>
      <c r="J208" s="18"/>
      <c r="K208" s="7"/>
      <c r="L208" s="38"/>
      <c r="M208" s="38"/>
      <c r="N208" s="38"/>
      <c r="O208" s="7"/>
      <c r="P208" s="7"/>
      <c r="Q208" s="33"/>
      <c r="R208" s="11"/>
      <c r="S208" s="11"/>
      <c r="T208" s="11" t="s">
        <v>98</v>
      </c>
      <c r="U208" s="12"/>
      <c r="V208" s="11"/>
      <c r="W208" s="13"/>
      <c r="X208" s="9"/>
      <c r="Y208" s="38"/>
      <c r="Z208" s="38"/>
      <c r="AA208" s="38"/>
      <c r="AB208" s="11"/>
      <c r="AC208" s="11"/>
      <c r="AD208" s="7"/>
      <c r="AE208" s="38"/>
      <c r="AF208" s="7"/>
      <c r="AG208" s="46"/>
      <c r="AH208" s="9"/>
      <c r="AI208" s="9"/>
      <c r="AJ208" s="9"/>
      <c r="AK208" s="9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53"/>
      <c r="AZ208" s="46"/>
      <c r="BA208" s="46"/>
      <c r="BB208" s="46"/>
      <c r="BC208" s="46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7"/>
      <c r="BR208" s="28"/>
      <c r="BS208" s="28"/>
      <c r="BT208" s="28"/>
      <c r="BU208" s="28"/>
      <c r="BV208" s="28"/>
      <c r="BW208" s="7"/>
      <c r="BX208" s="28"/>
      <c r="BY208" s="28"/>
      <c r="BZ208" s="28"/>
      <c r="CA208" s="28"/>
      <c r="CB208" s="28"/>
      <c r="CC208" s="7"/>
      <c r="CD208" s="7"/>
      <c r="CE208" s="29"/>
      <c r="CF208" s="18"/>
      <c r="CG208" s="29"/>
      <c r="CH208" s="29"/>
      <c r="CI208" s="29"/>
      <c r="CJ208" s="29"/>
      <c r="CK208" s="28"/>
      <c r="CL208" s="28"/>
      <c r="CM208" s="7"/>
      <c r="CN208" s="7"/>
      <c r="CO208" s="7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7"/>
      <c r="DG208" s="7"/>
      <c r="DH208" s="7"/>
      <c r="DI208" s="7"/>
      <c r="DJ208" s="7"/>
      <c r="DK208" s="28"/>
      <c r="DL208" s="28"/>
      <c r="DM208" s="7"/>
      <c r="DN208" s="29"/>
      <c r="DO208" s="28"/>
      <c r="DP208" s="28"/>
      <c r="DQ208" s="28"/>
    </row>
    <row r="209" spans="2:121">
      <c r="B209" s="7"/>
      <c r="C209" s="7"/>
      <c r="D209" s="7"/>
      <c r="E209" s="7"/>
      <c r="F209" s="7"/>
      <c r="G209" s="7"/>
      <c r="H209" s="38"/>
      <c r="I209" s="46"/>
      <c r="J209" s="18"/>
      <c r="K209" s="7"/>
      <c r="L209" s="38"/>
      <c r="M209" s="38"/>
      <c r="N209" s="38"/>
      <c r="O209" s="7"/>
      <c r="P209" s="7"/>
      <c r="Q209" s="33"/>
      <c r="R209" s="11"/>
      <c r="S209" s="11"/>
      <c r="T209" s="11" t="s">
        <v>98</v>
      </c>
      <c r="U209" s="12"/>
      <c r="V209" s="11"/>
      <c r="W209" s="13"/>
      <c r="X209" s="9"/>
      <c r="Y209" s="38"/>
      <c r="Z209" s="38"/>
      <c r="AA209" s="38"/>
      <c r="AB209" s="11"/>
      <c r="AC209" s="11"/>
      <c r="AD209" s="7"/>
      <c r="AE209" s="38"/>
      <c r="AF209" s="7"/>
      <c r="AG209" s="46"/>
      <c r="AH209" s="9"/>
      <c r="AI209" s="9"/>
      <c r="AJ209" s="9"/>
      <c r="AK209" s="9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53"/>
      <c r="AZ209" s="46"/>
      <c r="BA209" s="46"/>
      <c r="BB209" s="46"/>
      <c r="BC209" s="46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7"/>
      <c r="BR209" s="28"/>
      <c r="BS209" s="28"/>
      <c r="BT209" s="28"/>
      <c r="BU209" s="28"/>
      <c r="BV209" s="28"/>
      <c r="BW209" s="7"/>
      <c r="BX209" s="28"/>
      <c r="BY209" s="28"/>
      <c r="BZ209" s="28"/>
      <c r="CA209" s="28"/>
      <c r="CB209" s="28"/>
      <c r="CC209" s="7"/>
      <c r="CD209" s="7"/>
      <c r="CE209" s="29"/>
      <c r="CF209" s="18"/>
      <c r="CG209" s="29"/>
      <c r="CH209" s="29"/>
      <c r="CI209" s="29"/>
      <c r="CJ209" s="29"/>
      <c r="CK209" s="28"/>
      <c r="CL209" s="28"/>
      <c r="CM209" s="7"/>
      <c r="CN209" s="7"/>
      <c r="CO209" s="7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7"/>
      <c r="DG209" s="7"/>
      <c r="DH209" s="7"/>
      <c r="DI209" s="7"/>
      <c r="DJ209" s="7"/>
      <c r="DK209" s="28"/>
      <c r="DL209" s="28"/>
      <c r="DM209" s="7"/>
      <c r="DN209" s="29"/>
      <c r="DO209" s="28"/>
      <c r="DP209" s="28"/>
      <c r="DQ209" s="28"/>
    </row>
    <row r="210" spans="2:121">
      <c r="B210" s="7"/>
      <c r="C210" s="7"/>
      <c r="D210" s="7"/>
      <c r="E210" s="7"/>
      <c r="F210" s="7"/>
      <c r="G210" s="7"/>
      <c r="H210" s="38"/>
      <c r="I210" s="46"/>
      <c r="J210" s="18"/>
      <c r="K210" s="7"/>
      <c r="L210" s="38"/>
      <c r="M210" s="38"/>
      <c r="N210" s="38"/>
      <c r="O210" s="7"/>
      <c r="P210" s="7"/>
      <c r="Q210" s="33"/>
      <c r="R210" s="11"/>
      <c r="S210" s="11"/>
      <c r="T210" s="11" t="s">
        <v>98</v>
      </c>
      <c r="U210" s="12"/>
      <c r="V210" s="11"/>
      <c r="W210" s="13"/>
      <c r="X210" s="9"/>
      <c r="Y210" s="38"/>
      <c r="Z210" s="38"/>
      <c r="AA210" s="38"/>
      <c r="AB210" s="11"/>
      <c r="AC210" s="11"/>
      <c r="AD210" s="7"/>
      <c r="AE210" s="38"/>
      <c r="AF210" s="7"/>
      <c r="AG210" s="46"/>
      <c r="AH210" s="9"/>
      <c r="AI210" s="9"/>
      <c r="AJ210" s="9"/>
      <c r="AK210" s="9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53"/>
      <c r="AZ210" s="46"/>
      <c r="BA210" s="46"/>
      <c r="BB210" s="46"/>
      <c r="BC210" s="46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7"/>
      <c r="BR210" s="28"/>
      <c r="BS210" s="28"/>
      <c r="BT210" s="28"/>
      <c r="BU210" s="28"/>
      <c r="BV210" s="28"/>
      <c r="BW210" s="7"/>
      <c r="BX210" s="28"/>
      <c r="BY210" s="28"/>
      <c r="BZ210" s="28"/>
      <c r="CA210" s="28"/>
      <c r="CB210" s="28"/>
      <c r="CC210" s="7"/>
      <c r="CD210" s="7"/>
      <c r="CE210" s="29"/>
      <c r="CF210" s="18"/>
      <c r="CG210" s="29"/>
      <c r="CH210" s="29"/>
      <c r="CI210" s="29"/>
      <c r="CJ210" s="29"/>
      <c r="CK210" s="28"/>
      <c r="CL210" s="28"/>
      <c r="CM210" s="7"/>
      <c r="CN210" s="7"/>
      <c r="CO210" s="7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7"/>
      <c r="DG210" s="7"/>
      <c r="DH210" s="7"/>
      <c r="DI210" s="7"/>
      <c r="DJ210" s="7"/>
      <c r="DK210" s="28"/>
      <c r="DL210" s="28"/>
      <c r="DM210" s="7"/>
      <c r="DN210" s="29"/>
      <c r="DO210" s="28"/>
      <c r="DP210" s="28"/>
      <c r="DQ210" s="28"/>
    </row>
    <row r="211" spans="2:121">
      <c r="B211" s="7"/>
      <c r="C211" s="7"/>
      <c r="D211" s="7"/>
      <c r="E211" s="7"/>
      <c r="F211" s="7"/>
      <c r="G211" s="7"/>
      <c r="H211" s="38"/>
      <c r="I211" s="46"/>
      <c r="J211" s="18"/>
      <c r="K211" s="7"/>
      <c r="L211" s="38"/>
      <c r="M211" s="38"/>
      <c r="N211" s="38"/>
      <c r="O211" s="7"/>
      <c r="P211" s="7"/>
      <c r="Q211" s="33"/>
      <c r="R211" s="11"/>
      <c r="S211" s="11"/>
      <c r="T211" s="11" t="s">
        <v>98</v>
      </c>
      <c r="U211" s="12"/>
      <c r="V211" s="11"/>
      <c r="W211" s="13"/>
      <c r="X211" s="9"/>
      <c r="Y211" s="38"/>
      <c r="Z211" s="38"/>
      <c r="AA211" s="38"/>
      <c r="AB211" s="11"/>
      <c r="AC211" s="11"/>
      <c r="AD211" s="7"/>
      <c r="AE211" s="38"/>
      <c r="AF211" s="7"/>
      <c r="AG211" s="46"/>
      <c r="AH211" s="9"/>
      <c r="AI211" s="9"/>
      <c r="AJ211" s="9"/>
      <c r="AK211" s="9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53"/>
      <c r="AZ211" s="46"/>
      <c r="BA211" s="46"/>
      <c r="BB211" s="46"/>
      <c r="BC211" s="46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7"/>
      <c r="BR211" s="28"/>
      <c r="BS211" s="28"/>
      <c r="BT211" s="28"/>
      <c r="BU211" s="28"/>
      <c r="BV211" s="28"/>
      <c r="BW211" s="7"/>
      <c r="BX211" s="28"/>
      <c r="BY211" s="28"/>
      <c r="BZ211" s="28"/>
      <c r="CA211" s="28"/>
      <c r="CB211" s="28"/>
      <c r="CC211" s="7"/>
      <c r="CD211" s="7"/>
      <c r="CE211" s="29"/>
      <c r="CF211" s="18"/>
      <c r="CG211" s="29"/>
      <c r="CH211" s="29"/>
      <c r="CI211" s="29"/>
      <c r="CJ211" s="29"/>
      <c r="CK211" s="28"/>
      <c r="CL211" s="28"/>
      <c r="CM211" s="7"/>
      <c r="CN211" s="7"/>
      <c r="CO211" s="7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7"/>
      <c r="DG211" s="7"/>
      <c r="DH211" s="7"/>
      <c r="DI211" s="7"/>
      <c r="DJ211" s="7"/>
      <c r="DK211" s="28"/>
      <c r="DL211" s="28"/>
      <c r="DM211" s="7"/>
      <c r="DN211" s="29"/>
      <c r="DO211" s="28"/>
      <c r="DP211" s="28"/>
      <c r="DQ211" s="28"/>
    </row>
    <row r="212" spans="2:121">
      <c r="B212" s="7"/>
      <c r="C212" s="7"/>
      <c r="D212" s="7"/>
      <c r="E212" s="7"/>
      <c r="F212" s="7"/>
      <c r="G212" s="7"/>
      <c r="H212" s="38"/>
      <c r="I212" s="46"/>
      <c r="J212" s="18"/>
      <c r="K212" s="7"/>
      <c r="L212" s="38"/>
      <c r="M212" s="38"/>
      <c r="N212" s="38"/>
      <c r="O212" s="7"/>
      <c r="P212" s="7"/>
      <c r="Q212" s="33"/>
      <c r="R212" s="11"/>
      <c r="S212" s="11"/>
      <c r="T212" s="11" t="s">
        <v>98</v>
      </c>
      <c r="U212" s="12"/>
      <c r="V212" s="11"/>
      <c r="W212" s="13"/>
      <c r="X212" s="9"/>
      <c r="Y212" s="38"/>
      <c r="Z212" s="38"/>
      <c r="AA212" s="38"/>
      <c r="AB212" s="11"/>
      <c r="AC212" s="11"/>
      <c r="AD212" s="7"/>
      <c r="AE212" s="38"/>
      <c r="AF212" s="7"/>
      <c r="AG212" s="46"/>
      <c r="AH212" s="9"/>
      <c r="AI212" s="9"/>
      <c r="AJ212" s="9"/>
      <c r="AK212" s="9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53"/>
      <c r="AZ212" s="46"/>
      <c r="BA212" s="46"/>
      <c r="BB212" s="46"/>
      <c r="BC212" s="46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7"/>
      <c r="BR212" s="28"/>
      <c r="BS212" s="28"/>
      <c r="BT212" s="28"/>
      <c r="BU212" s="28"/>
      <c r="BV212" s="28"/>
      <c r="BW212" s="7"/>
      <c r="BX212" s="28"/>
      <c r="BY212" s="28"/>
      <c r="BZ212" s="28"/>
      <c r="CA212" s="28"/>
      <c r="CB212" s="28"/>
      <c r="CC212" s="7"/>
      <c r="CD212" s="7"/>
      <c r="CE212" s="29"/>
      <c r="CF212" s="18"/>
      <c r="CG212" s="29"/>
      <c r="CH212" s="29"/>
      <c r="CI212" s="29"/>
      <c r="CJ212" s="29"/>
      <c r="CK212" s="28"/>
      <c r="CL212" s="28"/>
      <c r="CM212" s="7"/>
      <c r="CN212" s="7"/>
      <c r="CO212" s="7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7"/>
      <c r="DG212" s="7"/>
      <c r="DH212" s="7"/>
      <c r="DI212" s="7"/>
      <c r="DJ212" s="7"/>
      <c r="DK212" s="28"/>
      <c r="DL212" s="28"/>
      <c r="DM212" s="7"/>
      <c r="DN212" s="29"/>
      <c r="DO212" s="28"/>
      <c r="DP212" s="28"/>
      <c r="DQ212" s="28"/>
    </row>
    <row r="213" spans="2:121">
      <c r="B213" s="7"/>
      <c r="C213" s="7"/>
      <c r="D213" s="7"/>
      <c r="E213" s="7"/>
      <c r="F213" s="7"/>
      <c r="G213" s="7"/>
      <c r="H213" s="38"/>
      <c r="I213" s="46"/>
      <c r="J213" s="18"/>
      <c r="K213" s="7"/>
      <c r="L213" s="38"/>
      <c r="M213" s="38"/>
      <c r="N213" s="38"/>
      <c r="O213" s="7"/>
      <c r="P213" s="7"/>
      <c r="Q213" s="33"/>
      <c r="R213" s="11"/>
      <c r="S213" s="11"/>
      <c r="T213" s="11" t="s">
        <v>98</v>
      </c>
      <c r="U213" s="12"/>
      <c r="V213" s="11"/>
      <c r="W213" s="13"/>
      <c r="X213" s="9"/>
      <c r="Y213" s="38"/>
      <c r="Z213" s="38"/>
      <c r="AA213" s="38"/>
      <c r="AB213" s="11"/>
      <c r="AC213" s="11"/>
      <c r="AD213" s="7"/>
      <c r="AE213" s="38"/>
      <c r="AF213" s="7"/>
      <c r="AG213" s="46"/>
      <c r="AH213" s="9"/>
      <c r="AI213" s="9"/>
      <c r="AJ213" s="9"/>
      <c r="AK213" s="9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53"/>
      <c r="AZ213" s="46"/>
      <c r="BA213" s="46"/>
      <c r="BB213" s="46"/>
      <c r="BC213" s="46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7"/>
      <c r="BR213" s="28"/>
      <c r="BS213" s="28"/>
      <c r="BT213" s="28"/>
      <c r="BU213" s="28"/>
      <c r="BV213" s="28"/>
      <c r="BW213" s="7"/>
      <c r="BX213" s="28"/>
      <c r="BY213" s="28"/>
      <c r="BZ213" s="28"/>
      <c r="CA213" s="28"/>
      <c r="CB213" s="28"/>
      <c r="CC213" s="7"/>
      <c r="CD213" s="7"/>
      <c r="CE213" s="29"/>
      <c r="CF213" s="18"/>
      <c r="CG213" s="29"/>
      <c r="CH213" s="29"/>
      <c r="CI213" s="29"/>
      <c r="CJ213" s="29"/>
      <c r="CK213" s="28"/>
      <c r="CL213" s="28"/>
      <c r="CM213" s="7"/>
      <c r="CN213" s="7"/>
      <c r="CO213" s="7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7"/>
      <c r="DG213" s="7"/>
      <c r="DH213" s="7"/>
      <c r="DI213" s="7"/>
      <c r="DJ213" s="7"/>
      <c r="DK213" s="28"/>
      <c r="DL213" s="28"/>
      <c r="DM213" s="7"/>
      <c r="DN213" s="29"/>
      <c r="DO213" s="28"/>
      <c r="DP213" s="28"/>
      <c r="DQ213" s="28"/>
    </row>
    <row r="214" spans="2:121">
      <c r="B214" s="7"/>
      <c r="C214" s="7"/>
      <c r="D214" s="7"/>
      <c r="E214" s="7"/>
      <c r="F214" s="7"/>
      <c r="G214" s="7"/>
      <c r="H214" s="38"/>
      <c r="I214" s="46"/>
      <c r="J214" s="18"/>
      <c r="K214" s="7"/>
      <c r="L214" s="38"/>
      <c r="M214" s="38"/>
      <c r="N214" s="38"/>
      <c r="O214" s="7"/>
      <c r="P214" s="7"/>
      <c r="Q214" s="33"/>
      <c r="R214" s="11"/>
      <c r="S214" s="11"/>
      <c r="T214" s="11" t="s">
        <v>98</v>
      </c>
      <c r="U214" s="12"/>
      <c r="V214" s="11"/>
      <c r="W214" s="13"/>
      <c r="X214" s="9"/>
      <c r="Y214" s="38"/>
      <c r="Z214" s="38"/>
      <c r="AA214" s="38"/>
      <c r="AB214" s="11"/>
      <c r="AC214" s="11"/>
      <c r="AD214" s="7"/>
      <c r="AE214" s="38"/>
      <c r="AF214" s="7"/>
      <c r="AG214" s="46"/>
      <c r="AH214" s="9"/>
      <c r="AI214" s="9"/>
      <c r="AJ214" s="9"/>
      <c r="AK214" s="9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53"/>
      <c r="AZ214" s="46"/>
      <c r="BA214" s="46"/>
      <c r="BB214" s="46"/>
      <c r="BC214" s="46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7"/>
      <c r="BR214" s="28"/>
      <c r="BS214" s="28"/>
      <c r="BT214" s="28"/>
      <c r="BU214" s="28"/>
      <c r="BV214" s="28"/>
      <c r="BW214" s="7"/>
      <c r="BX214" s="28"/>
      <c r="BY214" s="28"/>
      <c r="BZ214" s="28"/>
      <c r="CA214" s="28"/>
      <c r="CB214" s="28"/>
      <c r="CC214" s="7"/>
      <c r="CD214" s="7"/>
      <c r="CE214" s="29"/>
      <c r="CF214" s="18"/>
      <c r="CG214" s="29"/>
      <c r="CH214" s="29"/>
      <c r="CI214" s="29"/>
      <c r="CJ214" s="29"/>
      <c r="CK214" s="28"/>
      <c r="CL214" s="28"/>
      <c r="CM214" s="7"/>
      <c r="CN214" s="7"/>
      <c r="CO214" s="7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7"/>
      <c r="DG214" s="7"/>
      <c r="DH214" s="7"/>
      <c r="DI214" s="7"/>
      <c r="DJ214" s="7"/>
      <c r="DK214" s="28"/>
      <c r="DL214" s="28"/>
      <c r="DM214" s="7"/>
      <c r="DN214" s="29"/>
      <c r="DO214" s="28"/>
      <c r="DP214" s="28"/>
      <c r="DQ214" s="28"/>
    </row>
    <row r="215" spans="2:121">
      <c r="B215" s="7"/>
      <c r="C215" s="7"/>
      <c r="D215" s="7"/>
      <c r="E215" s="7"/>
      <c r="F215" s="7"/>
      <c r="G215" s="7"/>
      <c r="H215" s="38"/>
      <c r="I215" s="46"/>
      <c r="J215" s="18"/>
      <c r="K215" s="7"/>
      <c r="L215" s="38"/>
      <c r="M215" s="38"/>
      <c r="N215" s="38"/>
      <c r="O215" s="7"/>
      <c r="P215" s="7"/>
      <c r="Q215" s="33"/>
      <c r="R215" s="11"/>
      <c r="S215" s="11"/>
      <c r="T215" s="11" t="s">
        <v>98</v>
      </c>
      <c r="U215" s="12"/>
      <c r="V215" s="11"/>
      <c r="W215" s="13"/>
      <c r="X215" s="9"/>
      <c r="Y215" s="38"/>
      <c r="Z215" s="38"/>
      <c r="AA215" s="38"/>
      <c r="AB215" s="11"/>
      <c r="AC215" s="11"/>
      <c r="AD215" s="7"/>
      <c r="AE215" s="38"/>
      <c r="AF215" s="7"/>
      <c r="AG215" s="46"/>
      <c r="AH215" s="9"/>
      <c r="AI215" s="9"/>
      <c r="AJ215" s="9"/>
      <c r="AK215" s="9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53"/>
      <c r="AZ215" s="46"/>
      <c r="BA215" s="46"/>
      <c r="BB215" s="46"/>
      <c r="BC215" s="46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7"/>
      <c r="BR215" s="28"/>
      <c r="BS215" s="28"/>
      <c r="BT215" s="28"/>
      <c r="BU215" s="28"/>
      <c r="BV215" s="28"/>
      <c r="BW215" s="7"/>
      <c r="BX215" s="28"/>
      <c r="BY215" s="28"/>
      <c r="BZ215" s="28"/>
      <c r="CA215" s="28"/>
      <c r="CB215" s="28"/>
      <c r="CC215" s="7"/>
      <c r="CD215" s="7"/>
      <c r="CE215" s="29"/>
      <c r="CF215" s="18"/>
      <c r="CG215" s="29"/>
      <c r="CH215" s="29"/>
      <c r="CI215" s="29"/>
      <c r="CJ215" s="29"/>
      <c r="CK215" s="28"/>
      <c r="CL215" s="28"/>
      <c r="CM215" s="7"/>
      <c r="CN215" s="7"/>
      <c r="CO215" s="7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7"/>
      <c r="DG215" s="7"/>
      <c r="DH215" s="7"/>
      <c r="DI215" s="7"/>
      <c r="DJ215" s="7"/>
      <c r="DK215" s="28"/>
      <c r="DL215" s="28"/>
      <c r="DM215" s="7"/>
      <c r="DN215" s="29"/>
      <c r="DO215" s="28"/>
      <c r="DP215" s="28"/>
      <c r="DQ215" s="28"/>
    </row>
    <row r="216" spans="2:121">
      <c r="B216" s="7"/>
      <c r="C216" s="7"/>
      <c r="D216" s="7"/>
      <c r="E216" s="7"/>
      <c r="F216" s="7"/>
      <c r="G216" s="7"/>
      <c r="H216" s="38"/>
      <c r="I216" s="46"/>
      <c r="J216" s="18"/>
      <c r="K216" s="7"/>
      <c r="L216" s="38"/>
      <c r="M216" s="38"/>
      <c r="N216" s="38"/>
      <c r="O216" s="7"/>
      <c r="P216" s="7"/>
      <c r="Q216" s="33"/>
      <c r="R216" s="11"/>
      <c r="S216" s="11"/>
      <c r="T216" s="11" t="s">
        <v>98</v>
      </c>
      <c r="U216" s="12"/>
      <c r="V216" s="11"/>
      <c r="W216" s="13"/>
      <c r="X216" s="9"/>
      <c r="Y216" s="38"/>
      <c r="Z216" s="38"/>
      <c r="AA216" s="38"/>
      <c r="AB216" s="11"/>
      <c r="AC216" s="11"/>
      <c r="AD216" s="7"/>
      <c r="AE216" s="38"/>
      <c r="AF216" s="7"/>
      <c r="AG216" s="46"/>
      <c r="AH216" s="9"/>
      <c r="AI216" s="9"/>
      <c r="AJ216" s="9"/>
      <c r="AK216" s="9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53"/>
      <c r="AZ216" s="46"/>
      <c r="BA216" s="46"/>
      <c r="BB216" s="46"/>
      <c r="BC216" s="46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7"/>
      <c r="BR216" s="28"/>
      <c r="BS216" s="28"/>
      <c r="BT216" s="28"/>
      <c r="BU216" s="28"/>
      <c r="BV216" s="28"/>
      <c r="BW216" s="7"/>
      <c r="BX216" s="28"/>
      <c r="BY216" s="28"/>
      <c r="BZ216" s="28"/>
      <c r="CA216" s="28"/>
      <c r="CB216" s="28"/>
      <c r="CC216" s="7"/>
      <c r="CD216" s="7"/>
      <c r="CE216" s="29"/>
      <c r="CF216" s="18"/>
      <c r="CG216" s="29"/>
      <c r="CH216" s="29"/>
      <c r="CI216" s="29"/>
      <c r="CJ216" s="29"/>
      <c r="CK216" s="28"/>
      <c r="CL216" s="28"/>
      <c r="CM216" s="7"/>
      <c r="CN216" s="7"/>
      <c r="CO216" s="7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7"/>
      <c r="DG216" s="7"/>
      <c r="DH216" s="7"/>
      <c r="DI216" s="7"/>
      <c r="DJ216" s="7"/>
      <c r="DK216" s="28"/>
      <c r="DL216" s="28"/>
      <c r="DM216" s="7"/>
      <c r="DN216" s="29"/>
      <c r="DO216" s="28"/>
      <c r="DP216" s="28"/>
      <c r="DQ216" s="28"/>
    </row>
    <row r="217" spans="2:121">
      <c r="B217" s="7"/>
      <c r="C217" s="7"/>
      <c r="D217" s="7"/>
      <c r="E217" s="7"/>
      <c r="F217" s="7"/>
      <c r="G217" s="7"/>
      <c r="H217" s="38"/>
      <c r="I217" s="46"/>
      <c r="J217" s="18"/>
      <c r="K217" s="7"/>
      <c r="L217" s="38"/>
      <c r="M217" s="38"/>
      <c r="N217" s="38"/>
      <c r="O217" s="7"/>
      <c r="P217" s="7"/>
      <c r="Q217" s="33"/>
      <c r="R217" s="11"/>
      <c r="S217" s="11"/>
      <c r="T217" s="11" t="s">
        <v>98</v>
      </c>
      <c r="U217" s="12"/>
      <c r="V217" s="11"/>
      <c r="W217" s="13"/>
      <c r="X217" s="9"/>
      <c r="Y217" s="38"/>
      <c r="Z217" s="38"/>
      <c r="AA217" s="38"/>
      <c r="AB217" s="11"/>
      <c r="AC217" s="11"/>
      <c r="AD217" s="7"/>
      <c r="AE217" s="38"/>
      <c r="AF217" s="7"/>
      <c r="AG217" s="46"/>
      <c r="AH217" s="9"/>
      <c r="AI217" s="9"/>
      <c r="AJ217" s="9"/>
      <c r="AK217" s="9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53"/>
      <c r="AZ217" s="46"/>
      <c r="BA217" s="46"/>
      <c r="BB217" s="46"/>
      <c r="BC217" s="46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7"/>
      <c r="BR217" s="28"/>
      <c r="BS217" s="28"/>
      <c r="BT217" s="28"/>
      <c r="BU217" s="28"/>
      <c r="BV217" s="28"/>
      <c r="BW217" s="7"/>
      <c r="BX217" s="28"/>
      <c r="BY217" s="28"/>
      <c r="BZ217" s="28"/>
      <c r="CA217" s="28"/>
      <c r="CB217" s="28"/>
      <c r="CC217" s="7"/>
      <c r="CD217" s="7"/>
      <c r="CE217" s="29"/>
      <c r="CF217" s="18"/>
      <c r="CG217" s="29"/>
      <c r="CH217" s="29"/>
      <c r="CI217" s="29"/>
      <c r="CJ217" s="29"/>
      <c r="CK217" s="28"/>
      <c r="CL217" s="28"/>
      <c r="CM217" s="7"/>
      <c r="CN217" s="7"/>
      <c r="CO217" s="7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7"/>
      <c r="DG217" s="7"/>
      <c r="DH217" s="7"/>
      <c r="DI217" s="7"/>
      <c r="DJ217" s="7"/>
      <c r="DK217" s="28"/>
      <c r="DL217" s="28"/>
      <c r="DM217" s="7"/>
      <c r="DN217" s="29"/>
      <c r="DO217" s="28"/>
      <c r="DP217" s="28"/>
      <c r="DQ217" s="28"/>
    </row>
    <row r="218" spans="2:121">
      <c r="B218" s="7"/>
      <c r="C218" s="7"/>
      <c r="D218" s="7"/>
      <c r="E218" s="7"/>
      <c r="F218" s="7"/>
      <c r="G218" s="7"/>
      <c r="H218" s="38"/>
      <c r="I218" s="46"/>
      <c r="J218" s="18"/>
      <c r="K218" s="7"/>
      <c r="L218" s="38"/>
      <c r="M218" s="38"/>
      <c r="N218" s="38"/>
      <c r="O218" s="7"/>
      <c r="P218" s="7"/>
      <c r="Q218" s="33"/>
      <c r="R218" s="11"/>
      <c r="S218" s="11"/>
      <c r="T218" s="11" t="s">
        <v>98</v>
      </c>
      <c r="U218" s="12"/>
      <c r="V218" s="11"/>
      <c r="W218" s="13"/>
      <c r="X218" s="9"/>
      <c r="Y218" s="38"/>
      <c r="Z218" s="38"/>
      <c r="AA218" s="38"/>
      <c r="AB218" s="11"/>
      <c r="AC218" s="11"/>
      <c r="AD218" s="7"/>
      <c r="AE218" s="38"/>
      <c r="AF218" s="7"/>
      <c r="AG218" s="46"/>
      <c r="AH218" s="9"/>
      <c r="AI218" s="9"/>
      <c r="AJ218" s="9"/>
      <c r="AK218" s="9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53"/>
      <c r="AZ218" s="46"/>
      <c r="BA218" s="46"/>
      <c r="BB218" s="46"/>
      <c r="BC218" s="46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7"/>
      <c r="BR218" s="28"/>
      <c r="BS218" s="28"/>
      <c r="BT218" s="28"/>
      <c r="BU218" s="28"/>
      <c r="BV218" s="28"/>
      <c r="BW218" s="7"/>
      <c r="BX218" s="28"/>
      <c r="BY218" s="28"/>
      <c r="BZ218" s="28"/>
      <c r="CA218" s="28"/>
      <c r="CB218" s="28"/>
      <c r="CC218" s="7"/>
      <c r="CD218" s="7"/>
      <c r="CE218" s="29"/>
      <c r="CF218" s="18"/>
      <c r="CG218" s="29"/>
      <c r="CH218" s="29"/>
      <c r="CI218" s="29"/>
      <c r="CJ218" s="29"/>
      <c r="CK218" s="28"/>
      <c r="CL218" s="28"/>
      <c r="CM218" s="7"/>
      <c r="CN218" s="7"/>
      <c r="CO218" s="7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7"/>
      <c r="DG218" s="7"/>
      <c r="DH218" s="7"/>
      <c r="DI218" s="7"/>
      <c r="DJ218" s="7"/>
      <c r="DK218" s="28"/>
      <c r="DL218" s="28"/>
      <c r="DM218" s="7"/>
      <c r="DN218" s="29"/>
      <c r="DO218" s="28"/>
      <c r="DP218" s="28"/>
      <c r="DQ218" s="28"/>
    </row>
    <row r="219" spans="2:121">
      <c r="B219" s="7"/>
      <c r="C219" s="7"/>
      <c r="D219" s="7"/>
      <c r="E219" s="7"/>
      <c r="F219" s="7"/>
      <c r="G219" s="7"/>
      <c r="H219" s="38"/>
      <c r="I219" s="46"/>
      <c r="J219" s="18"/>
      <c r="K219" s="7"/>
      <c r="L219" s="38"/>
      <c r="M219" s="38"/>
      <c r="N219" s="38"/>
      <c r="O219" s="7"/>
      <c r="P219" s="7"/>
      <c r="Q219" s="33"/>
      <c r="R219" s="11"/>
      <c r="S219" s="11"/>
      <c r="T219" s="11" t="s">
        <v>98</v>
      </c>
      <c r="U219" s="12"/>
      <c r="V219" s="11"/>
      <c r="W219" s="13"/>
      <c r="X219" s="9"/>
      <c r="Y219" s="38"/>
      <c r="Z219" s="38"/>
      <c r="AA219" s="38"/>
      <c r="AB219" s="11"/>
      <c r="AC219" s="11"/>
      <c r="AD219" s="7"/>
      <c r="AE219" s="38"/>
      <c r="AF219" s="7"/>
      <c r="AG219" s="46"/>
      <c r="AH219" s="9"/>
      <c r="AI219" s="9"/>
      <c r="AJ219" s="9"/>
      <c r="AK219" s="9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53"/>
      <c r="AZ219" s="46"/>
      <c r="BA219" s="46"/>
      <c r="BB219" s="46"/>
      <c r="BC219" s="46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7"/>
      <c r="BR219" s="28"/>
      <c r="BS219" s="28"/>
      <c r="BT219" s="28"/>
      <c r="BU219" s="28"/>
      <c r="BV219" s="28"/>
      <c r="BW219" s="7"/>
      <c r="BX219" s="28"/>
      <c r="BY219" s="28"/>
      <c r="BZ219" s="28"/>
      <c r="CA219" s="28"/>
      <c r="CB219" s="28"/>
      <c r="CC219" s="7"/>
      <c r="CD219" s="7"/>
      <c r="CE219" s="29"/>
      <c r="CF219" s="18"/>
      <c r="CG219" s="29"/>
      <c r="CH219" s="29"/>
      <c r="CI219" s="29"/>
      <c r="CJ219" s="29"/>
      <c r="CK219" s="28"/>
      <c r="CL219" s="28"/>
      <c r="CM219" s="7"/>
      <c r="CN219" s="7"/>
      <c r="CO219" s="7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7"/>
      <c r="DG219" s="7"/>
      <c r="DH219" s="7"/>
      <c r="DI219" s="7"/>
      <c r="DJ219" s="7"/>
      <c r="DK219" s="28"/>
      <c r="DL219" s="28"/>
      <c r="DM219" s="7"/>
      <c r="DN219" s="29"/>
      <c r="DO219" s="28"/>
      <c r="DP219" s="28"/>
      <c r="DQ219" s="28"/>
    </row>
    <row r="220" spans="2:121">
      <c r="B220" s="7"/>
      <c r="C220" s="7"/>
      <c r="D220" s="7"/>
      <c r="E220" s="7"/>
      <c r="F220" s="7"/>
      <c r="G220" s="7"/>
      <c r="H220" s="38"/>
      <c r="I220" s="46"/>
      <c r="J220" s="18"/>
      <c r="K220" s="7"/>
      <c r="L220" s="38"/>
      <c r="M220" s="38"/>
      <c r="N220" s="38"/>
      <c r="O220" s="7"/>
      <c r="P220" s="7"/>
      <c r="Q220" s="33"/>
      <c r="R220" s="11"/>
      <c r="S220" s="11"/>
      <c r="T220" s="11" t="s">
        <v>98</v>
      </c>
      <c r="U220" s="12"/>
      <c r="V220" s="11"/>
      <c r="W220" s="13"/>
      <c r="X220" s="9"/>
      <c r="Y220" s="38"/>
      <c r="Z220" s="38"/>
      <c r="AA220" s="38"/>
      <c r="AB220" s="11"/>
      <c r="AC220" s="11"/>
      <c r="AD220" s="7"/>
      <c r="AE220" s="38"/>
      <c r="AF220" s="7"/>
      <c r="AG220" s="46"/>
      <c r="AH220" s="9"/>
      <c r="AI220" s="9"/>
      <c r="AJ220" s="9"/>
      <c r="AK220" s="9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53"/>
      <c r="AZ220" s="46"/>
      <c r="BA220" s="46"/>
      <c r="BB220" s="46"/>
      <c r="BC220" s="46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7"/>
      <c r="BR220" s="28"/>
      <c r="BS220" s="28"/>
      <c r="BT220" s="28"/>
      <c r="BU220" s="28"/>
      <c r="BV220" s="28"/>
      <c r="BW220" s="7"/>
      <c r="BX220" s="28"/>
      <c r="BY220" s="28"/>
      <c r="BZ220" s="28"/>
      <c r="CA220" s="28"/>
      <c r="CB220" s="28"/>
      <c r="CC220" s="7"/>
      <c r="CD220" s="7"/>
      <c r="CE220" s="29"/>
      <c r="CF220" s="18"/>
      <c r="CG220" s="29"/>
      <c r="CH220" s="29"/>
      <c r="CI220" s="29"/>
      <c r="CJ220" s="29"/>
      <c r="CK220" s="28"/>
      <c r="CL220" s="28"/>
      <c r="CM220" s="7"/>
      <c r="CN220" s="7"/>
      <c r="CO220" s="7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7"/>
      <c r="DG220" s="7"/>
      <c r="DH220" s="7"/>
      <c r="DI220" s="7"/>
      <c r="DJ220" s="7"/>
      <c r="DK220" s="28"/>
      <c r="DL220" s="28"/>
      <c r="DM220" s="7"/>
      <c r="DN220" s="29"/>
      <c r="DO220" s="28"/>
      <c r="DP220" s="28"/>
      <c r="DQ220" s="28"/>
    </row>
    <row r="221" spans="2:121">
      <c r="B221" s="7"/>
      <c r="C221" s="7"/>
      <c r="D221" s="7"/>
      <c r="E221" s="7"/>
      <c r="F221" s="7"/>
      <c r="G221" s="7"/>
      <c r="H221" s="38"/>
      <c r="I221" s="46"/>
      <c r="J221" s="18"/>
      <c r="K221" s="7"/>
      <c r="L221" s="38"/>
      <c r="M221" s="38"/>
      <c r="N221" s="38"/>
      <c r="O221" s="7"/>
      <c r="P221" s="7"/>
      <c r="Q221" s="33"/>
      <c r="R221" s="11"/>
      <c r="S221" s="11"/>
      <c r="T221" s="11" t="s">
        <v>98</v>
      </c>
      <c r="U221" s="12"/>
      <c r="V221" s="11"/>
      <c r="W221" s="13"/>
      <c r="X221" s="9"/>
      <c r="Y221" s="38"/>
      <c r="Z221" s="38"/>
      <c r="AA221" s="38"/>
      <c r="AB221" s="11"/>
      <c r="AC221" s="11"/>
      <c r="AD221" s="7"/>
      <c r="AE221" s="38"/>
      <c r="AF221" s="7"/>
      <c r="AG221" s="46"/>
      <c r="AH221" s="9"/>
      <c r="AI221" s="9"/>
      <c r="AJ221" s="9"/>
      <c r="AK221" s="9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53"/>
      <c r="AZ221" s="46"/>
      <c r="BA221" s="46"/>
      <c r="BB221" s="46"/>
      <c r="BC221" s="46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7"/>
      <c r="BR221" s="28"/>
      <c r="BS221" s="28"/>
      <c r="BT221" s="28"/>
      <c r="BU221" s="28"/>
      <c r="BV221" s="28"/>
      <c r="BW221" s="7"/>
      <c r="BX221" s="28"/>
      <c r="BY221" s="28"/>
      <c r="BZ221" s="28"/>
      <c r="CA221" s="28"/>
      <c r="CB221" s="28"/>
      <c r="CC221" s="7"/>
      <c r="CD221" s="7"/>
      <c r="CE221" s="29"/>
      <c r="CF221" s="18"/>
      <c r="CG221" s="29"/>
      <c r="CH221" s="29"/>
      <c r="CI221" s="29"/>
      <c r="CJ221" s="29"/>
      <c r="CK221" s="28"/>
      <c r="CL221" s="28"/>
      <c r="CM221" s="7"/>
      <c r="CN221" s="7"/>
      <c r="CO221" s="7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7"/>
      <c r="DG221" s="7"/>
      <c r="DH221" s="7"/>
      <c r="DI221" s="7"/>
      <c r="DJ221" s="7"/>
      <c r="DK221" s="28"/>
      <c r="DL221" s="28"/>
      <c r="DM221" s="7"/>
      <c r="DN221" s="29"/>
      <c r="DO221" s="28"/>
      <c r="DP221" s="28"/>
      <c r="DQ221" s="28"/>
    </row>
    <row r="222" spans="2:121">
      <c r="B222" s="7"/>
      <c r="C222" s="7"/>
      <c r="D222" s="7"/>
      <c r="E222" s="7"/>
      <c r="F222" s="7"/>
      <c r="G222" s="7"/>
      <c r="H222" s="38"/>
      <c r="I222" s="46"/>
      <c r="J222" s="18"/>
      <c r="K222" s="7"/>
      <c r="L222" s="38"/>
      <c r="M222" s="38"/>
      <c r="N222" s="38"/>
      <c r="O222" s="7"/>
      <c r="P222" s="7"/>
      <c r="Q222" s="33"/>
      <c r="R222" s="11"/>
      <c r="S222" s="11"/>
      <c r="T222" s="11" t="s">
        <v>98</v>
      </c>
      <c r="U222" s="12"/>
      <c r="V222" s="11"/>
      <c r="W222" s="13"/>
      <c r="X222" s="9"/>
      <c r="Y222" s="38"/>
      <c r="Z222" s="38"/>
      <c r="AA222" s="38"/>
      <c r="AB222" s="11"/>
      <c r="AC222" s="11"/>
      <c r="AD222" s="7"/>
      <c r="AE222" s="38"/>
      <c r="AF222" s="7"/>
      <c r="AG222" s="46"/>
      <c r="AH222" s="9"/>
      <c r="AI222" s="9"/>
      <c r="AJ222" s="9"/>
      <c r="AK222" s="9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53"/>
      <c r="AZ222" s="46"/>
      <c r="BA222" s="46"/>
      <c r="BB222" s="46"/>
      <c r="BC222" s="46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7"/>
      <c r="BR222" s="28"/>
      <c r="BS222" s="28"/>
      <c r="BT222" s="28"/>
      <c r="BU222" s="28"/>
      <c r="BV222" s="28"/>
      <c r="BW222" s="7"/>
      <c r="BX222" s="28"/>
      <c r="BY222" s="28"/>
      <c r="BZ222" s="28"/>
      <c r="CA222" s="28"/>
      <c r="CB222" s="28"/>
      <c r="CC222" s="7"/>
      <c r="CD222" s="7"/>
      <c r="CE222" s="29"/>
      <c r="CF222" s="18"/>
      <c r="CG222" s="29"/>
      <c r="CH222" s="29"/>
      <c r="CI222" s="29"/>
      <c r="CJ222" s="29"/>
      <c r="CK222" s="28"/>
      <c r="CL222" s="28"/>
      <c r="CM222" s="7"/>
      <c r="CN222" s="7"/>
      <c r="CO222" s="7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7"/>
      <c r="DG222" s="7"/>
      <c r="DH222" s="7"/>
      <c r="DI222" s="7"/>
      <c r="DJ222" s="7"/>
      <c r="DK222" s="28"/>
      <c r="DL222" s="28"/>
      <c r="DM222" s="7"/>
      <c r="DN222" s="29"/>
      <c r="DO222" s="28"/>
      <c r="DP222" s="28"/>
      <c r="DQ222" s="28"/>
    </row>
    <row r="223" spans="2:121">
      <c r="B223" s="7"/>
      <c r="C223" s="7"/>
      <c r="D223" s="7"/>
      <c r="E223" s="7"/>
      <c r="F223" s="7"/>
      <c r="G223" s="7"/>
      <c r="H223" s="38"/>
      <c r="I223" s="46"/>
      <c r="J223" s="18"/>
      <c r="K223" s="7"/>
      <c r="L223" s="38"/>
      <c r="M223" s="38"/>
      <c r="N223" s="38"/>
      <c r="O223" s="7"/>
      <c r="P223" s="7"/>
      <c r="Q223" s="33"/>
      <c r="R223" s="11"/>
      <c r="S223" s="11"/>
      <c r="T223" s="11" t="s">
        <v>98</v>
      </c>
      <c r="U223" s="12"/>
      <c r="V223" s="11"/>
      <c r="W223" s="13"/>
      <c r="X223" s="9"/>
      <c r="Y223" s="38"/>
      <c r="Z223" s="38"/>
      <c r="AA223" s="38"/>
      <c r="AB223" s="11"/>
      <c r="AC223" s="11"/>
      <c r="AD223" s="7"/>
      <c r="AE223" s="38"/>
      <c r="AF223" s="7"/>
      <c r="AG223" s="46"/>
      <c r="AH223" s="9"/>
      <c r="AI223" s="9"/>
      <c r="AJ223" s="9"/>
      <c r="AK223" s="9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53"/>
      <c r="AZ223" s="46"/>
      <c r="BA223" s="46"/>
      <c r="BB223" s="46"/>
      <c r="BC223" s="46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7"/>
      <c r="BR223" s="28"/>
      <c r="BS223" s="28"/>
      <c r="BT223" s="28"/>
      <c r="BU223" s="28"/>
      <c r="BV223" s="28"/>
      <c r="BW223" s="7"/>
      <c r="BX223" s="28"/>
      <c r="BY223" s="28"/>
      <c r="BZ223" s="28"/>
      <c r="CA223" s="28"/>
      <c r="CB223" s="28"/>
      <c r="CC223" s="7"/>
      <c r="CD223" s="7"/>
      <c r="CE223" s="29"/>
      <c r="CF223" s="18"/>
      <c r="CG223" s="29"/>
      <c r="CH223" s="29"/>
      <c r="CI223" s="29"/>
      <c r="CJ223" s="29"/>
      <c r="CK223" s="28"/>
      <c r="CL223" s="28"/>
      <c r="CM223" s="7"/>
      <c r="CN223" s="7"/>
      <c r="CO223" s="7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7"/>
      <c r="DG223" s="7"/>
      <c r="DH223" s="7"/>
      <c r="DI223" s="7"/>
      <c r="DJ223" s="7"/>
      <c r="DK223" s="28"/>
      <c r="DL223" s="28"/>
      <c r="DM223" s="7"/>
      <c r="DN223" s="29"/>
      <c r="DO223" s="28"/>
      <c r="DP223" s="28"/>
      <c r="DQ223" s="28"/>
    </row>
    <row r="224" spans="2:121">
      <c r="B224" s="7"/>
      <c r="C224" s="7"/>
      <c r="D224" s="7"/>
      <c r="E224" s="7"/>
      <c r="F224" s="7"/>
      <c r="G224" s="7"/>
      <c r="H224" s="38"/>
      <c r="I224" s="46"/>
      <c r="J224" s="18"/>
      <c r="K224" s="7"/>
      <c r="L224" s="38"/>
      <c r="M224" s="38"/>
      <c r="N224" s="38"/>
      <c r="O224" s="7"/>
      <c r="P224" s="7"/>
      <c r="Q224" s="33"/>
      <c r="R224" s="11"/>
      <c r="S224" s="11"/>
      <c r="T224" s="11" t="s">
        <v>98</v>
      </c>
      <c r="U224" s="12"/>
      <c r="V224" s="11"/>
      <c r="W224" s="13"/>
      <c r="X224" s="9"/>
      <c r="Y224" s="38"/>
      <c r="Z224" s="38"/>
      <c r="AA224" s="38"/>
      <c r="AB224" s="11"/>
      <c r="AC224" s="11"/>
      <c r="AD224" s="7"/>
      <c r="AE224" s="38"/>
      <c r="AF224" s="7"/>
      <c r="AG224" s="46"/>
      <c r="AH224" s="9"/>
      <c r="AI224" s="9"/>
      <c r="AJ224" s="9"/>
      <c r="AK224" s="9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53"/>
      <c r="AZ224" s="46"/>
      <c r="BA224" s="46"/>
      <c r="BB224" s="46"/>
      <c r="BC224" s="46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7"/>
      <c r="BR224" s="28"/>
      <c r="BS224" s="28"/>
      <c r="BT224" s="28"/>
      <c r="BU224" s="28"/>
      <c r="BV224" s="28"/>
      <c r="BW224" s="7"/>
      <c r="BX224" s="28"/>
      <c r="BY224" s="28"/>
      <c r="BZ224" s="28"/>
      <c r="CA224" s="28"/>
      <c r="CB224" s="28"/>
      <c r="CC224" s="7"/>
      <c r="CD224" s="7"/>
      <c r="CE224" s="29"/>
      <c r="CF224" s="18"/>
      <c r="CG224" s="29"/>
      <c r="CH224" s="29"/>
      <c r="CI224" s="29"/>
      <c r="CJ224" s="29"/>
      <c r="CK224" s="28"/>
      <c r="CL224" s="28"/>
      <c r="CM224" s="7"/>
      <c r="CN224" s="7"/>
      <c r="CO224" s="7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7"/>
      <c r="DG224" s="7"/>
      <c r="DH224" s="7"/>
      <c r="DI224" s="7"/>
      <c r="DJ224" s="7"/>
      <c r="DK224" s="28"/>
      <c r="DL224" s="28"/>
      <c r="DM224" s="7"/>
      <c r="DN224" s="29"/>
      <c r="DO224" s="28"/>
      <c r="DP224" s="28"/>
      <c r="DQ224" s="28"/>
    </row>
    <row r="225" spans="2:121">
      <c r="B225" s="7"/>
      <c r="C225" s="7"/>
      <c r="D225" s="7"/>
      <c r="E225" s="7"/>
      <c r="F225" s="7"/>
      <c r="G225" s="7"/>
      <c r="H225" s="38"/>
      <c r="I225" s="46"/>
      <c r="J225" s="18"/>
      <c r="K225" s="7"/>
      <c r="L225" s="38"/>
      <c r="M225" s="38"/>
      <c r="N225" s="38"/>
      <c r="O225" s="7"/>
      <c r="P225" s="7"/>
      <c r="Q225" s="33"/>
      <c r="R225" s="11"/>
      <c r="S225" s="11"/>
      <c r="T225" s="11" t="s">
        <v>98</v>
      </c>
      <c r="U225" s="12"/>
      <c r="V225" s="11"/>
      <c r="W225" s="13"/>
      <c r="X225" s="9"/>
      <c r="Y225" s="38"/>
      <c r="Z225" s="38"/>
      <c r="AA225" s="38"/>
      <c r="AB225" s="11"/>
      <c r="AC225" s="11"/>
      <c r="AD225" s="7"/>
      <c r="AE225" s="38"/>
      <c r="AF225" s="7"/>
      <c r="AG225" s="46"/>
      <c r="AH225" s="9"/>
      <c r="AI225" s="9"/>
      <c r="AJ225" s="9"/>
      <c r="AK225" s="9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53"/>
      <c r="AZ225" s="46"/>
      <c r="BA225" s="46"/>
      <c r="BB225" s="46"/>
      <c r="BC225" s="46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7"/>
      <c r="BR225" s="28"/>
      <c r="BS225" s="28"/>
      <c r="BT225" s="28"/>
      <c r="BU225" s="28"/>
      <c r="BV225" s="28"/>
      <c r="BW225" s="7"/>
      <c r="BX225" s="28"/>
      <c r="BY225" s="28"/>
      <c r="BZ225" s="28"/>
      <c r="CA225" s="28"/>
      <c r="CB225" s="28"/>
      <c r="CC225" s="7"/>
      <c r="CD225" s="7"/>
      <c r="CE225" s="29"/>
      <c r="CF225" s="18"/>
      <c r="CG225" s="29"/>
      <c r="CH225" s="29"/>
      <c r="CI225" s="29"/>
      <c r="CJ225" s="29"/>
      <c r="CK225" s="28"/>
      <c r="CL225" s="28"/>
      <c r="CM225" s="7"/>
      <c r="CN225" s="7"/>
      <c r="CO225" s="7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7"/>
      <c r="DG225" s="7"/>
      <c r="DH225" s="7"/>
      <c r="DI225" s="7"/>
      <c r="DJ225" s="7"/>
      <c r="DK225" s="28"/>
      <c r="DL225" s="28"/>
      <c r="DM225" s="7"/>
      <c r="DN225" s="29"/>
      <c r="DO225" s="28"/>
      <c r="DP225" s="28"/>
      <c r="DQ225" s="28"/>
    </row>
    <row r="226" spans="2:121">
      <c r="B226" s="7"/>
      <c r="C226" s="7"/>
      <c r="D226" s="7"/>
      <c r="E226" s="7"/>
      <c r="F226" s="7"/>
      <c r="G226" s="7"/>
      <c r="H226" s="38"/>
      <c r="I226" s="46"/>
      <c r="J226" s="18"/>
      <c r="K226" s="7"/>
      <c r="L226" s="38"/>
      <c r="M226" s="38"/>
      <c r="N226" s="38"/>
      <c r="O226" s="7"/>
      <c r="P226" s="7"/>
      <c r="Q226" s="33"/>
      <c r="R226" s="11"/>
      <c r="S226" s="11"/>
      <c r="T226" s="11" t="s">
        <v>98</v>
      </c>
      <c r="U226" s="12"/>
      <c r="V226" s="11"/>
      <c r="W226" s="13"/>
      <c r="X226" s="9"/>
      <c r="Y226" s="38"/>
      <c r="Z226" s="38"/>
      <c r="AA226" s="38"/>
      <c r="AB226" s="11"/>
      <c r="AC226" s="11"/>
      <c r="AD226" s="7"/>
      <c r="AE226" s="38"/>
      <c r="AF226" s="7"/>
      <c r="AG226" s="46"/>
      <c r="AH226" s="9"/>
      <c r="AI226" s="9"/>
      <c r="AJ226" s="9"/>
      <c r="AK226" s="9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53"/>
      <c r="AZ226" s="46"/>
      <c r="BA226" s="46"/>
      <c r="BB226" s="46"/>
      <c r="BC226" s="46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7"/>
      <c r="BR226" s="28"/>
      <c r="BS226" s="28"/>
      <c r="BT226" s="28"/>
      <c r="BU226" s="28"/>
      <c r="BV226" s="28"/>
      <c r="BW226" s="7"/>
      <c r="BX226" s="28"/>
      <c r="BY226" s="28"/>
      <c r="BZ226" s="28"/>
      <c r="CA226" s="28"/>
      <c r="CB226" s="28"/>
      <c r="CC226" s="7"/>
      <c r="CD226" s="7"/>
      <c r="CE226" s="29"/>
      <c r="CF226" s="18"/>
      <c r="CG226" s="29"/>
      <c r="CH226" s="29"/>
      <c r="CI226" s="29"/>
      <c r="CJ226" s="29"/>
      <c r="CK226" s="28"/>
      <c r="CL226" s="28"/>
      <c r="CM226" s="7"/>
      <c r="CN226" s="7"/>
      <c r="CO226" s="7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7"/>
      <c r="DG226" s="7"/>
      <c r="DH226" s="7"/>
      <c r="DI226" s="7"/>
      <c r="DJ226" s="7"/>
      <c r="DK226" s="28"/>
      <c r="DL226" s="28"/>
      <c r="DM226" s="7"/>
      <c r="DN226" s="29"/>
      <c r="DO226" s="28"/>
      <c r="DP226" s="28"/>
      <c r="DQ226" s="28"/>
    </row>
    <row r="227" spans="2:121">
      <c r="B227" s="7"/>
      <c r="C227" s="7"/>
      <c r="D227" s="7"/>
      <c r="E227" s="7"/>
      <c r="F227" s="7"/>
      <c r="G227" s="7"/>
      <c r="H227" s="38"/>
      <c r="I227" s="46"/>
      <c r="J227" s="18"/>
      <c r="K227" s="7"/>
      <c r="L227" s="38"/>
      <c r="M227" s="38"/>
      <c r="N227" s="38"/>
      <c r="O227" s="7"/>
      <c r="P227" s="7"/>
      <c r="Q227" s="33"/>
      <c r="R227" s="11"/>
      <c r="S227" s="11"/>
      <c r="T227" s="11" t="s">
        <v>98</v>
      </c>
      <c r="U227" s="12"/>
      <c r="V227" s="11"/>
      <c r="W227" s="13"/>
      <c r="X227" s="9"/>
      <c r="Y227" s="38"/>
      <c r="Z227" s="38"/>
      <c r="AA227" s="38"/>
      <c r="AB227" s="11"/>
      <c r="AC227" s="11"/>
      <c r="AD227" s="7"/>
      <c r="AE227" s="38"/>
      <c r="AF227" s="7"/>
      <c r="AG227" s="46"/>
      <c r="AH227" s="9"/>
      <c r="AI227" s="9"/>
      <c r="AJ227" s="9"/>
      <c r="AK227" s="9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53"/>
      <c r="AZ227" s="46"/>
      <c r="BA227" s="46"/>
      <c r="BB227" s="46"/>
      <c r="BC227" s="46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7"/>
      <c r="BR227" s="28"/>
      <c r="BS227" s="28"/>
      <c r="BT227" s="28"/>
      <c r="BU227" s="28"/>
      <c r="BV227" s="28"/>
      <c r="BW227" s="7"/>
      <c r="BX227" s="28"/>
      <c r="BY227" s="28"/>
      <c r="BZ227" s="28"/>
      <c r="CA227" s="28"/>
      <c r="CB227" s="28"/>
      <c r="CC227" s="7"/>
      <c r="CD227" s="7"/>
      <c r="CE227" s="29"/>
      <c r="CF227" s="18"/>
      <c r="CG227" s="29"/>
      <c r="CH227" s="29"/>
      <c r="CI227" s="29"/>
      <c r="CJ227" s="29"/>
      <c r="CK227" s="28"/>
      <c r="CL227" s="28"/>
      <c r="CM227" s="7"/>
      <c r="CN227" s="7"/>
      <c r="CO227" s="7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7"/>
      <c r="DG227" s="7"/>
      <c r="DH227" s="7"/>
      <c r="DI227" s="7"/>
      <c r="DJ227" s="7"/>
      <c r="DK227" s="28"/>
      <c r="DL227" s="28"/>
      <c r="DM227" s="7"/>
      <c r="DN227" s="29"/>
      <c r="DO227" s="28"/>
      <c r="DP227" s="28"/>
      <c r="DQ227" s="28"/>
    </row>
    <row r="228" spans="2:121">
      <c r="B228" s="7"/>
      <c r="C228" s="7"/>
      <c r="D228" s="7"/>
      <c r="E228" s="7"/>
      <c r="F228" s="7"/>
      <c r="G228" s="7"/>
      <c r="H228" s="38"/>
      <c r="I228" s="46"/>
      <c r="J228" s="18"/>
      <c r="K228" s="7"/>
      <c r="L228" s="38"/>
      <c r="M228" s="38"/>
      <c r="N228" s="38"/>
      <c r="O228" s="7"/>
      <c r="P228" s="7"/>
      <c r="Q228" s="33"/>
      <c r="R228" s="11"/>
      <c r="S228" s="11"/>
      <c r="T228" s="11" t="s">
        <v>98</v>
      </c>
      <c r="U228" s="12"/>
      <c r="V228" s="11"/>
      <c r="W228" s="13"/>
      <c r="X228" s="9"/>
      <c r="Y228" s="38"/>
      <c r="Z228" s="38"/>
      <c r="AA228" s="38"/>
      <c r="AB228" s="11"/>
      <c r="AC228" s="11"/>
      <c r="AD228" s="7"/>
      <c r="AE228" s="38"/>
      <c r="AF228" s="7"/>
      <c r="AG228" s="46"/>
      <c r="AH228" s="9"/>
      <c r="AI228" s="9"/>
      <c r="AJ228" s="9"/>
      <c r="AK228" s="9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53"/>
      <c r="AZ228" s="46"/>
      <c r="BA228" s="46"/>
      <c r="BB228" s="46"/>
      <c r="BC228" s="46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7"/>
      <c r="BR228" s="28"/>
      <c r="BS228" s="28"/>
      <c r="BT228" s="28"/>
      <c r="BU228" s="28"/>
      <c r="BV228" s="28"/>
      <c r="BW228" s="7"/>
      <c r="BX228" s="28"/>
      <c r="BY228" s="28"/>
      <c r="BZ228" s="28"/>
      <c r="CA228" s="28"/>
      <c r="CB228" s="28"/>
      <c r="CC228" s="7"/>
      <c r="CD228" s="7"/>
      <c r="CE228" s="29"/>
      <c r="CF228" s="18"/>
      <c r="CG228" s="29"/>
      <c r="CH228" s="29"/>
      <c r="CI228" s="29"/>
      <c r="CJ228" s="29"/>
      <c r="CK228" s="28"/>
      <c r="CL228" s="28"/>
      <c r="CM228" s="7"/>
      <c r="CN228" s="7"/>
      <c r="CO228" s="7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7"/>
      <c r="DG228" s="7"/>
      <c r="DH228" s="7"/>
      <c r="DI228" s="7"/>
      <c r="DJ228" s="7"/>
      <c r="DK228" s="28"/>
      <c r="DL228" s="28"/>
      <c r="DM228" s="7"/>
      <c r="DN228" s="29"/>
      <c r="DO228" s="28"/>
      <c r="DP228" s="28"/>
      <c r="DQ228" s="28"/>
    </row>
    <row r="229" spans="2:121">
      <c r="B229" s="7"/>
      <c r="C229" s="7"/>
      <c r="D229" s="7"/>
      <c r="E229" s="7"/>
      <c r="F229" s="7"/>
      <c r="G229" s="7"/>
      <c r="H229" s="38"/>
      <c r="I229" s="46"/>
      <c r="J229" s="18"/>
      <c r="K229" s="7"/>
      <c r="L229" s="38"/>
      <c r="M229" s="38"/>
      <c r="N229" s="38"/>
      <c r="O229" s="7"/>
      <c r="P229" s="7"/>
      <c r="Q229" s="33"/>
      <c r="R229" s="11"/>
      <c r="S229" s="11"/>
      <c r="T229" s="11" t="s">
        <v>98</v>
      </c>
      <c r="U229" s="12"/>
      <c r="V229" s="11"/>
      <c r="W229" s="13"/>
      <c r="X229" s="9"/>
      <c r="Y229" s="38"/>
      <c r="Z229" s="38"/>
      <c r="AA229" s="38"/>
      <c r="AB229" s="11"/>
      <c r="AC229" s="11"/>
      <c r="AD229" s="7"/>
      <c r="AE229" s="38"/>
      <c r="AF229" s="7"/>
      <c r="AG229" s="46"/>
      <c r="AH229" s="9"/>
      <c r="AI229" s="9"/>
      <c r="AJ229" s="9"/>
      <c r="AK229" s="9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53"/>
      <c r="AZ229" s="46"/>
      <c r="BA229" s="46"/>
      <c r="BB229" s="46"/>
      <c r="BC229" s="46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7"/>
      <c r="BR229" s="28"/>
      <c r="BS229" s="28"/>
      <c r="BT229" s="28"/>
      <c r="BU229" s="28"/>
      <c r="BV229" s="28"/>
      <c r="BW229" s="7"/>
      <c r="BX229" s="28"/>
      <c r="BY229" s="28"/>
      <c r="BZ229" s="28"/>
      <c r="CA229" s="28"/>
      <c r="CB229" s="28"/>
      <c r="CC229" s="7"/>
      <c r="CD229" s="7"/>
      <c r="CE229" s="29"/>
      <c r="CF229" s="18"/>
      <c r="CG229" s="29"/>
      <c r="CH229" s="29"/>
      <c r="CI229" s="29"/>
      <c r="CJ229" s="29"/>
      <c r="CK229" s="28"/>
      <c r="CL229" s="28"/>
      <c r="CM229" s="7"/>
      <c r="CN229" s="7"/>
      <c r="CO229" s="7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7"/>
      <c r="DG229" s="7"/>
      <c r="DH229" s="7"/>
      <c r="DI229" s="7"/>
      <c r="DJ229" s="7"/>
      <c r="DK229" s="28"/>
      <c r="DL229" s="28"/>
      <c r="DM229" s="7"/>
      <c r="DN229" s="29"/>
      <c r="DO229" s="28"/>
      <c r="DP229" s="28"/>
      <c r="DQ229" s="28"/>
    </row>
    <row r="230" spans="2:121">
      <c r="B230" s="7"/>
      <c r="C230" s="7"/>
      <c r="D230" s="7"/>
      <c r="E230" s="7"/>
      <c r="F230" s="7"/>
      <c r="G230" s="7"/>
      <c r="H230" s="38"/>
      <c r="I230" s="46"/>
      <c r="J230" s="18"/>
      <c r="K230" s="7"/>
      <c r="L230" s="38"/>
      <c r="M230" s="38"/>
      <c r="N230" s="38"/>
      <c r="O230" s="7"/>
      <c r="P230" s="7"/>
      <c r="Q230" s="33"/>
      <c r="R230" s="11"/>
      <c r="S230" s="11"/>
      <c r="T230" s="11" t="s">
        <v>98</v>
      </c>
      <c r="U230" s="12"/>
      <c r="V230" s="11"/>
      <c r="W230" s="13"/>
      <c r="X230" s="9"/>
      <c r="Y230" s="38"/>
      <c r="Z230" s="38"/>
      <c r="AA230" s="38"/>
      <c r="AB230" s="11"/>
      <c r="AC230" s="11"/>
      <c r="AD230" s="7"/>
      <c r="AE230" s="38"/>
      <c r="AF230" s="7"/>
      <c r="AG230" s="46"/>
      <c r="AH230" s="9"/>
      <c r="AI230" s="9"/>
      <c r="AJ230" s="9"/>
      <c r="AK230" s="9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53"/>
      <c r="AZ230" s="46"/>
      <c r="BA230" s="46"/>
      <c r="BB230" s="46"/>
      <c r="BC230" s="46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7"/>
      <c r="BR230" s="28"/>
      <c r="BS230" s="28"/>
      <c r="BT230" s="28"/>
      <c r="BU230" s="28"/>
      <c r="BV230" s="28"/>
      <c r="BW230" s="7"/>
      <c r="BX230" s="28"/>
      <c r="BY230" s="28"/>
      <c r="BZ230" s="28"/>
      <c r="CA230" s="28"/>
      <c r="CB230" s="28"/>
      <c r="CC230" s="7"/>
      <c r="CD230" s="7"/>
      <c r="CE230" s="29"/>
      <c r="CF230" s="18"/>
      <c r="CG230" s="29"/>
      <c r="CH230" s="29"/>
      <c r="CI230" s="29"/>
      <c r="CJ230" s="29"/>
      <c r="CK230" s="28"/>
      <c r="CL230" s="28"/>
      <c r="CM230" s="7"/>
      <c r="CN230" s="7"/>
      <c r="CO230" s="7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7"/>
      <c r="DG230" s="7"/>
      <c r="DH230" s="7"/>
      <c r="DI230" s="7"/>
      <c r="DJ230" s="7"/>
      <c r="DK230" s="28"/>
      <c r="DL230" s="28"/>
      <c r="DM230" s="7"/>
      <c r="DN230" s="29"/>
      <c r="DO230" s="28"/>
      <c r="DP230" s="28"/>
      <c r="DQ230" s="28"/>
    </row>
    <row r="231" spans="2:121">
      <c r="B231" s="7"/>
      <c r="C231" s="7"/>
      <c r="D231" s="7"/>
      <c r="E231" s="7"/>
      <c r="F231" s="7"/>
      <c r="G231" s="7"/>
      <c r="H231" s="38"/>
      <c r="I231" s="46"/>
      <c r="J231" s="18"/>
      <c r="K231" s="7"/>
      <c r="L231" s="38"/>
      <c r="M231" s="38"/>
      <c r="N231" s="38"/>
      <c r="O231" s="7"/>
      <c r="P231" s="7"/>
      <c r="Q231" s="33"/>
      <c r="R231" s="11"/>
      <c r="S231" s="11"/>
      <c r="T231" s="11" t="s">
        <v>98</v>
      </c>
      <c r="U231" s="12"/>
      <c r="V231" s="11"/>
      <c r="W231" s="13"/>
      <c r="X231" s="9"/>
      <c r="Y231" s="38"/>
      <c r="Z231" s="38"/>
      <c r="AA231" s="38"/>
      <c r="AB231" s="11"/>
      <c r="AC231" s="11"/>
      <c r="AD231" s="7"/>
      <c r="AE231" s="38"/>
      <c r="AF231" s="7"/>
      <c r="AG231" s="46"/>
      <c r="AH231" s="9"/>
      <c r="AI231" s="9"/>
      <c r="AJ231" s="9"/>
      <c r="AK231" s="9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53"/>
      <c r="AZ231" s="46"/>
      <c r="BA231" s="46"/>
      <c r="BB231" s="46"/>
      <c r="BC231" s="46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7"/>
      <c r="BR231" s="28"/>
      <c r="BS231" s="28"/>
      <c r="BT231" s="28"/>
      <c r="BU231" s="28"/>
      <c r="BV231" s="28"/>
      <c r="BW231" s="7"/>
      <c r="BX231" s="28"/>
      <c r="BY231" s="28"/>
      <c r="BZ231" s="28"/>
      <c r="CA231" s="28"/>
      <c r="CB231" s="28"/>
      <c r="CC231" s="7"/>
      <c r="CD231" s="7"/>
      <c r="CE231" s="29"/>
      <c r="CF231" s="18"/>
      <c r="CG231" s="29"/>
      <c r="CH231" s="29"/>
      <c r="CI231" s="29"/>
      <c r="CJ231" s="29"/>
      <c r="CK231" s="28"/>
      <c r="CL231" s="28"/>
      <c r="CM231" s="7"/>
      <c r="CN231" s="7"/>
      <c r="CO231" s="7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7"/>
      <c r="DG231" s="7"/>
      <c r="DH231" s="7"/>
      <c r="DI231" s="7"/>
      <c r="DJ231" s="7"/>
      <c r="DK231" s="28"/>
      <c r="DL231" s="28"/>
      <c r="DM231" s="7"/>
      <c r="DN231" s="29"/>
      <c r="DO231" s="28"/>
      <c r="DP231" s="28"/>
      <c r="DQ231" s="28"/>
    </row>
    <row r="232" spans="2:121">
      <c r="B232" s="7"/>
      <c r="C232" s="7"/>
      <c r="D232" s="7"/>
      <c r="E232" s="7"/>
      <c r="F232" s="7"/>
      <c r="G232" s="7"/>
      <c r="H232" s="38"/>
      <c r="I232" s="46"/>
      <c r="J232" s="18"/>
      <c r="K232" s="7"/>
      <c r="L232" s="38"/>
      <c r="M232" s="38"/>
      <c r="N232" s="38"/>
      <c r="O232" s="7"/>
      <c r="P232" s="7"/>
      <c r="Q232" s="33"/>
      <c r="R232" s="11"/>
      <c r="S232" s="11"/>
      <c r="T232" s="11" t="s">
        <v>98</v>
      </c>
      <c r="U232" s="12"/>
      <c r="V232" s="11"/>
      <c r="W232" s="13"/>
      <c r="X232" s="9"/>
      <c r="Y232" s="38"/>
      <c r="Z232" s="38"/>
      <c r="AA232" s="38"/>
      <c r="AB232" s="11"/>
      <c r="AC232" s="11"/>
      <c r="AD232" s="7"/>
      <c r="AE232" s="38"/>
      <c r="AF232" s="7"/>
      <c r="AG232" s="46"/>
      <c r="AH232" s="9"/>
      <c r="AI232" s="9"/>
      <c r="AJ232" s="9"/>
      <c r="AK232" s="9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53"/>
      <c r="AZ232" s="46"/>
      <c r="BA232" s="46"/>
      <c r="BB232" s="46"/>
      <c r="BC232" s="46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7"/>
      <c r="BR232" s="28"/>
      <c r="BS232" s="28"/>
      <c r="BT232" s="28"/>
      <c r="BU232" s="28"/>
      <c r="BV232" s="28"/>
      <c r="BW232" s="7"/>
      <c r="BX232" s="28"/>
      <c r="BY232" s="28"/>
      <c r="BZ232" s="28"/>
      <c r="CA232" s="28"/>
      <c r="CB232" s="28"/>
      <c r="CC232" s="7"/>
      <c r="CD232" s="7"/>
      <c r="CE232" s="29"/>
      <c r="CF232" s="18"/>
      <c r="CG232" s="29"/>
      <c r="CH232" s="29"/>
      <c r="CI232" s="29"/>
      <c r="CJ232" s="29"/>
      <c r="CK232" s="28"/>
      <c r="CL232" s="28"/>
      <c r="CM232" s="7"/>
      <c r="CN232" s="7"/>
      <c r="CO232" s="7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7"/>
      <c r="DG232" s="7"/>
      <c r="DH232" s="7"/>
      <c r="DI232" s="7"/>
      <c r="DJ232" s="7"/>
      <c r="DK232" s="28"/>
      <c r="DL232" s="28"/>
      <c r="DM232" s="7"/>
      <c r="DN232" s="29"/>
      <c r="DO232" s="28"/>
      <c r="DP232" s="28"/>
      <c r="DQ232" s="28"/>
    </row>
    <row r="233" spans="2:121">
      <c r="B233" s="7"/>
      <c r="C233" s="7"/>
      <c r="D233" s="7"/>
      <c r="E233" s="7"/>
      <c r="F233" s="7"/>
      <c r="G233" s="7"/>
      <c r="H233" s="38"/>
      <c r="I233" s="46"/>
      <c r="J233" s="18"/>
      <c r="K233" s="7"/>
      <c r="L233" s="38"/>
      <c r="M233" s="38"/>
      <c r="N233" s="38"/>
      <c r="O233" s="7"/>
      <c r="P233" s="7"/>
      <c r="Q233" s="33"/>
      <c r="R233" s="11"/>
      <c r="S233" s="11"/>
      <c r="T233" s="11" t="s">
        <v>98</v>
      </c>
      <c r="U233" s="12"/>
      <c r="V233" s="11"/>
      <c r="W233" s="13"/>
      <c r="X233" s="9"/>
      <c r="Y233" s="38"/>
      <c r="Z233" s="38"/>
      <c r="AA233" s="38"/>
      <c r="AB233" s="11"/>
      <c r="AC233" s="11"/>
      <c r="AD233" s="7"/>
      <c r="AE233" s="38"/>
      <c r="AF233" s="7"/>
      <c r="AG233" s="46"/>
      <c r="AH233" s="9"/>
      <c r="AI233" s="9"/>
      <c r="AJ233" s="9"/>
      <c r="AK233" s="9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53"/>
      <c r="AZ233" s="46"/>
      <c r="BA233" s="46"/>
      <c r="BB233" s="46"/>
      <c r="BC233" s="46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7"/>
      <c r="BR233" s="28"/>
      <c r="BS233" s="28"/>
      <c r="BT233" s="28"/>
      <c r="BU233" s="28"/>
      <c r="BV233" s="28"/>
      <c r="BW233" s="7"/>
      <c r="BX233" s="28"/>
      <c r="BY233" s="28"/>
      <c r="BZ233" s="28"/>
      <c r="CA233" s="28"/>
      <c r="CB233" s="28"/>
      <c r="CC233" s="7"/>
      <c r="CD233" s="7"/>
      <c r="CE233" s="29"/>
      <c r="CF233" s="18"/>
      <c r="CG233" s="29"/>
      <c r="CH233" s="29"/>
      <c r="CI233" s="29"/>
      <c r="CJ233" s="29"/>
      <c r="CK233" s="28"/>
      <c r="CL233" s="28"/>
      <c r="CM233" s="7"/>
      <c r="CN233" s="7"/>
      <c r="CO233" s="7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7"/>
      <c r="DG233" s="7"/>
      <c r="DH233" s="7"/>
      <c r="DI233" s="7"/>
      <c r="DJ233" s="7"/>
      <c r="DK233" s="28"/>
      <c r="DL233" s="28"/>
      <c r="DM233" s="7"/>
      <c r="DN233" s="29"/>
      <c r="DO233" s="28"/>
      <c r="DP233" s="28"/>
      <c r="DQ233" s="28"/>
    </row>
    <row r="234" spans="2:121">
      <c r="B234" s="7"/>
      <c r="C234" s="7"/>
      <c r="D234" s="7"/>
      <c r="E234" s="7"/>
      <c r="F234" s="7"/>
      <c r="G234" s="7"/>
      <c r="H234" s="38"/>
      <c r="I234" s="46"/>
      <c r="J234" s="18"/>
      <c r="K234" s="7"/>
      <c r="L234" s="38"/>
      <c r="M234" s="38"/>
      <c r="N234" s="38"/>
      <c r="O234" s="7"/>
      <c r="P234" s="7"/>
      <c r="Q234" s="33"/>
      <c r="R234" s="11"/>
      <c r="S234" s="11"/>
      <c r="T234" s="11" t="s">
        <v>98</v>
      </c>
      <c r="U234" s="12"/>
      <c r="V234" s="11"/>
      <c r="W234" s="13"/>
      <c r="X234" s="9"/>
      <c r="Y234" s="38"/>
      <c r="Z234" s="38"/>
      <c r="AA234" s="38"/>
      <c r="AB234" s="11"/>
      <c r="AC234" s="11"/>
      <c r="AD234" s="7"/>
      <c r="AE234" s="38"/>
      <c r="AF234" s="7"/>
      <c r="AG234" s="46"/>
      <c r="AH234" s="9"/>
      <c r="AI234" s="9"/>
      <c r="AJ234" s="9"/>
      <c r="AK234" s="9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53"/>
      <c r="AZ234" s="46"/>
      <c r="BA234" s="46"/>
      <c r="BB234" s="46"/>
      <c r="BC234" s="46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7"/>
      <c r="BR234" s="28"/>
      <c r="BS234" s="28"/>
      <c r="BT234" s="28"/>
      <c r="BU234" s="28"/>
      <c r="BV234" s="28"/>
      <c r="BW234" s="7"/>
      <c r="BX234" s="28"/>
      <c r="BY234" s="28"/>
      <c r="BZ234" s="28"/>
      <c r="CA234" s="28"/>
      <c r="CB234" s="28"/>
      <c r="CC234" s="7"/>
      <c r="CD234" s="7"/>
      <c r="CE234" s="29"/>
      <c r="CF234" s="18"/>
      <c r="CG234" s="29"/>
      <c r="CH234" s="29"/>
      <c r="CI234" s="29"/>
      <c r="CJ234" s="29"/>
      <c r="CK234" s="28"/>
      <c r="CL234" s="28"/>
      <c r="CM234" s="7"/>
      <c r="CN234" s="7"/>
      <c r="CO234" s="7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7"/>
      <c r="DG234" s="7"/>
      <c r="DH234" s="7"/>
      <c r="DI234" s="7"/>
      <c r="DJ234" s="7"/>
      <c r="DK234" s="28"/>
      <c r="DL234" s="28"/>
      <c r="DM234" s="7"/>
      <c r="DN234" s="29"/>
      <c r="DO234" s="28"/>
      <c r="DP234" s="28"/>
      <c r="DQ234" s="28"/>
    </row>
    <row r="235" spans="2:121">
      <c r="B235" s="7"/>
      <c r="C235" s="7"/>
      <c r="D235" s="7"/>
      <c r="E235" s="7"/>
      <c r="F235" s="7"/>
      <c r="G235" s="7"/>
      <c r="H235" s="38"/>
      <c r="I235" s="46"/>
      <c r="J235" s="18"/>
      <c r="K235" s="7"/>
      <c r="L235" s="38"/>
      <c r="M235" s="38"/>
      <c r="N235" s="38"/>
      <c r="O235" s="7"/>
      <c r="P235" s="7"/>
      <c r="Q235" s="33"/>
      <c r="R235" s="11"/>
      <c r="S235" s="11"/>
      <c r="T235" s="11" t="s">
        <v>98</v>
      </c>
      <c r="U235" s="12"/>
      <c r="V235" s="11"/>
      <c r="W235" s="13"/>
      <c r="X235" s="9"/>
      <c r="Y235" s="38"/>
      <c r="Z235" s="38"/>
      <c r="AA235" s="38"/>
      <c r="AB235" s="11"/>
      <c r="AC235" s="11"/>
      <c r="AD235" s="7"/>
      <c r="AE235" s="38"/>
      <c r="AF235" s="7"/>
      <c r="AG235" s="46"/>
      <c r="AH235" s="9"/>
      <c r="AI235" s="9"/>
      <c r="AJ235" s="9"/>
      <c r="AK235" s="9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53"/>
      <c r="AZ235" s="46"/>
      <c r="BA235" s="46"/>
      <c r="BB235" s="46"/>
      <c r="BC235" s="46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7"/>
      <c r="BR235" s="28"/>
      <c r="BS235" s="28"/>
      <c r="BT235" s="28"/>
      <c r="BU235" s="28"/>
      <c r="BV235" s="28"/>
      <c r="BW235" s="7"/>
      <c r="BX235" s="28"/>
      <c r="BY235" s="28"/>
      <c r="BZ235" s="28"/>
      <c r="CA235" s="28"/>
      <c r="CB235" s="28"/>
      <c r="CC235" s="7"/>
      <c r="CD235" s="7"/>
      <c r="CE235" s="29"/>
      <c r="CF235" s="18"/>
      <c r="CG235" s="29"/>
      <c r="CH235" s="29"/>
      <c r="CI235" s="29"/>
      <c r="CJ235" s="29"/>
      <c r="CK235" s="28"/>
      <c r="CL235" s="28"/>
      <c r="CM235" s="7"/>
      <c r="CN235" s="7"/>
      <c r="CO235" s="7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7"/>
      <c r="DG235" s="7"/>
      <c r="DH235" s="7"/>
      <c r="DI235" s="7"/>
      <c r="DJ235" s="7"/>
      <c r="DK235" s="28"/>
      <c r="DL235" s="28"/>
      <c r="DM235" s="7"/>
      <c r="DN235" s="29"/>
      <c r="DO235" s="28"/>
      <c r="DP235" s="28"/>
      <c r="DQ235" s="28"/>
    </row>
    <row r="236" spans="2:121">
      <c r="B236" s="7"/>
      <c r="C236" s="7"/>
      <c r="D236" s="7"/>
      <c r="E236" s="7"/>
      <c r="F236" s="7"/>
      <c r="G236" s="7"/>
      <c r="H236" s="38"/>
      <c r="I236" s="46"/>
      <c r="J236" s="18"/>
      <c r="K236" s="7"/>
      <c r="L236" s="38"/>
      <c r="M236" s="38"/>
      <c r="N236" s="38"/>
      <c r="O236" s="7"/>
      <c r="P236" s="7"/>
      <c r="Q236" s="33"/>
      <c r="R236" s="11"/>
      <c r="S236" s="11"/>
      <c r="T236" s="11" t="s">
        <v>98</v>
      </c>
      <c r="U236" s="12"/>
      <c r="V236" s="11"/>
      <c r="W236" s="13"/>
      <c r="X236" s="9"/>
      <c r="Y236" s="38"/>
      <c r="Z236" s="38"/>
      <c r="AA236" s="38"/>
      <c r="AB236" s="11"/>
      <c r="AC236" s="11"/>
      <c r="AD236" s="7"/>
      <c r="AE236" s="38"/>
      <c r="AF236" s="7"/>
      <c r="AG236" s="46"/>
      <c r="AH236" s="9"/>
      <c r="AI236" s="9"/>
      <c r="AJ236" s="9"/>
      <c r="AK236" s="9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53"/>
      <c r="AZ236" s="46"/>
      <c r="BA236" s="46"/>
      <c r="BB236" s="46"/>
      <c r="BC236" s="46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7"/>
      <c r="BR236" s="28"/>
      <c r="BS236" s="28"/>
      <c r="BT236" s="28"/>
      <c r="BU236" s="28"/>
      <c r="BV236" s="28"/>
      <c r="BW236" s="7"/>
      <c r="BX236" s="28"/>
      <c r="BY236" s="28"/>
      <c r="BZ236" s="28"/>
      <c r="CA236" s="28"/>
      <c r="CB236" s="28"/>
      <c r="CC236" s="7"/>
      <c r="CD236" s="7"/>
      <c r="CE236" s="29"/>
      <c r="CF236" s="18"/>
      <c r="CG236" s="29"/>
      <c r="CH236" s="29"/>
      <c r="CI236" s="29"/>
      <c r="CJ236" s="29"/>
      <c r="CK236" s="28"/>
      <c r="CL236" s="28"/>
      <c r="CM236" s="7"/>
      <c r="CN236" s="7"/>
      <c r="CO236" s="7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7"/>
      <c r="DG236" s="7"/>
      <c r="DH236" s="7"/>
      <c r="DI236" s="7"/>
      <c r="DJ236" s="7"/>
      <c r="DK236" s="28"/>
      <c r="DL236" s="28"/>
      <c r="DM236" s="7"/>
      <c r="DN236" s="29"/>
      <c r="DO236" s="28"/>
      <c r="DP236" s="28"/>
      <c r="DQ236" s="28"/>
    </row>
    <row r="237" spans="2:121">
      <c r="B237" s="7"/>
      <c r="C237" s="7"/>
      <c r="D237" s="7"/>
      <c r="E237" s="7"/>
      <c r="F237" s="7"/>
      <c r="G237" s="7"/>
      <c r="H237" s="38"/>
      <c r="I237" s="46"/>
      <c r="J237" s="18"/>
      <c r="K237" s="7"/>
      <c r="L237" s="38"/>
      <c r="M237" s="38"/>
      <c r="N237" s="38"/>
      <c r="O237" s="7"/>
      <c r="P237" s="7"/>
      <c r="Q237" s="33"/>
      <c r="R237" s="11"/>
      <c r="S237" s="11"/>
      <c r="T237" s="11" t="s">
        <v>98</v>
      </c>
      <c r="U237" s="12"/>
      <c r="V237" s="11"/>
      <c r="W237" s="13"/>
      <c r="X237" s="9"/>
      <c r="Y237" s="38"/>
      <c r="Z237" s="38"/>
      <c r="AA237" s="38"/>
      <c r="AB237" s="11"/>
      <c r="AC237" s="11"/>
      <c r="AD237" s="7"/>
      <c r="AE237" s="38"/>
      <c r="AF237" s="7"/>
      <c r="AG237" s="46"/>
      <c r="AH237" s="9"/>
      <c r="AI237" s="9"/>
      <c r="AJ237" s="9"/>
      <c r="AK237" s="9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53"/>
      <c r="AZ237" s="46"/>
      <c r="BA237" s="46"/>
      <c r="BB237" s="46"/>
      <c r="BC237" s="46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7"/>
      <c r="BR237" s="28"/>
      <c r="BS237" s="28"/>
      <c r="BT237" s="28"/>
      <c r="BU237" s="28"/>
      <c r="BV237" s="28"/>
      <c r="BW237" s="7"/>
      <c r="BX237" s="28"/>
      <c r="BY237" s="28"/>
      <c r="BZ237" s="28"/>
      <c r="CA237" s="28"/>
      <c r="CB237" s="28"/>
      <c r="CC237" s="7"/>
      <c r="CD237" s="7"/>
      <c r="CE237" s="29"/>
      <c r="CF237" s="18"/>
      <c r="CG237" s="29"/>
      <c r="CH237" s="29"/>
      <c r="CI237" s="29"/>
      <c r="CJ237" s="29"/>
      <c r="CK237" s="28"/>
      <c r="CL237" s="28"/>
      <c r="CM237" s="7"/>
      <c r="CN237" s="7"/>
      <c r="CO237" s="7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7"/>
      <c r="DG237" s="7"/>
      <c r="DH237" s="7"/>
      <c r="DI237" s="7"/>
      <c r="DJ237" s="7"/>
      <c r="DK237" s="28"/>
      <c r="DL237" s="28"/>
      <c r="DM237" s="7"/>
      <c r="DN237" s="29"/>
      <c r="DO237" s="28"/>
      <c r="DP237" s="28"/>
      <c r="DQ237" s="28"/>
    </row>
    <row r="238" spans="2:121">
      <c r="B238" s="7"/>
      <c r="C238" s="7"/>
      <c r="D238" s="7"/>
      <c r="E238" s="7"/>
      <c r="F238" s="7"/>
      <c r="G238" s="7"/>
      <c r="H238" s="38"/>
      <c r="I238" s="46"/>
      <c r="J238" s="18"/>
      <c r="K238" s="7"/>
      <c r="L238" s="38"/>
      <c r="M238" s="38"/>
      <c r="N238" s="38"/>
      <c r="O238" s="7"/>
      <c r="P238" s="7"/>
      <c r="Q238" s="33"/>
      <c r="R238" s="11"/>
      <c r="S238" s="11"/>
      <c r="T238" s="11" t="s">
        <v>98</v>
      </c>
      <c r="U238" s="12"/>
      <c r="V238" s="11"/>
      <c r="W238" s="13"/>
      <c r="X238" s="9"/>
      <c r="Y238" s="38"/>
      <c r="Z238" s="38"/>
      <c r="AA238" s="38"/>
      <c r="AB238" s="11"/>
      <c r="AC238" s="11"/>
      <c r="AD238" s="7"/>
      <c r="AE238" s="38"/>
      <c r="AF238" s="7"/>
      <c r="AG238" s="46"/>
      <c r="AH238" s="9"/>
      <c r="AI238" s="9"/>
      <c r="AJ238" s="9"/>
      <c r="AK238" s="9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53"/>
      <c r="AZ238" s="46"/>
      <c r="BA238" s="46"/>
      <c r="BB238" s="46"/>
      <c r="BC238" s="46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7"/>
      <c r="BR238" s="28"/>
      <c r="BS238" s="28"/>
      <c r="BT238" s="28"/>
      <c r="BU238" s="28"/>
      <c r="BV238" s="28"/>
      <c r="BW238" s="7"/>
      <c r="BX238" s="28"/>
      <c r="BY238" s="28"/>
      <c r="BZ238" s="28"/>
      <c r="CA238" s="28"/>
      <c r="CB238" s="28"/>
      <c r="CC238" s="7"/>
      <c r="CD238" s="7"/>
      <c r="CE238" s="29"/>
      <c r="CF238" s="18"/>
      <c r="CG238" s="29"/>
      <c r="CH238" s="29"/>
      <c r="CI238" s="29"/>
      <c r="CJ238" s="29"/>
      <c r="CK238" s="28"/>
      <c r="CL238" s="28"/>
      <c r="CM238" s="7"/>
      <c r="CN238" s="7"/>
      <c r="CO238" s="7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7"/>
      <c r="DG238" s="7"/>
      <c r="DH238" s="7"/>
      <c r="DI238" s="7"/>
      <c r="DJ238" s="7"/>
      <c r="DK238" s="28"/>
      <c r="DL238" s="28"/>
      <c r="DM238" s="7"/>
      <c r="DN238" s="29"/>
      <c r="DO238" s="28"/>
      <c r="DP238" s="28"/>
      <c r="DQ238" s="28"/>
    </row>
    <row r="239" spans="2:121">
      <c r="B239" s="7"/>
      <c r="C239" s="7"/>
      <c r="D239" s="7"/>
      <c r="E239" s="7"/>
      <c r="F239" s="7"/>
      <c r="G239" s="7"/>
      <c r="H239" s="38"/>
      <c r="I239" s="46"/>
      <c r="J239" s="18"/>
      <c r="K239" s="7"/>
      <c r="L239" s="38"/>
      <c r="M239" s="38"/>
      <c r="N239" s="38"/>
      <c r="O239" s="7"/>
      <c r="P239" s="7"/>
      <c r="Q239" s="33"/>
      <c r="R239" s="11"/>
      <c r="S239" s="11"/>
      <c r="T239" s="11" t="s">
        <v>98</v>
      </c>
      <c r="U239" s="12"/>
      <c r="V239" s="11"/>
      <c r="W239" s="13"/>
      <c r="X239" s="9"/>
      <c r="Y239" s="38"/>
      <c r="Z239" s="38"/>
      <c r="AA239" s="38"/>
      <c r="AB239" s="11"/>
      <c r="AC239" s="11"/>
      <c r="AD239" s="7"/>
      <c r="AE239" s="38"/>
      <c r="AF239" s="7"/>
      <c r="AG239" s="46"/>
      <c r="AH239" s="9"/>
      <c r="AI239" s="9"/>
      <c r="AJ239" s="9"/>
      <c r="AK239" s="9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53"/>
      <c r="AZ239" s="46"/>
      <c r="BA239" s="46"/>
      <c r="BB239" s="46"/>
      <c r="BC239" s="46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7"/>
      <c r="BR239" s="28"/>
      <c r="BS239" s="28"/>
      <c r="BT239" s="28"/>
      <c r="BU239" s="28"/>
      <c r="BV239" s="28"/>
      <c r="BW239" s="7"/>
      <c r="BX239" s="28"/>
      <c r="BY239" s="28"/>
      <c r="BZ239" s="28"/>
      <c r="CA239" s="28"/>
      <c r="CB239" s="28"/>
      <c r="CC239" s="7"/>
      <c r="CD239" s="7"/>
      <c r="CE239" s="29"/>
      <c r="CF239" s="18"/>
      <c r="CG239" s="29"/>
      <c r="CH239" s="29"/>
      <c r="CI239" s="29"/>
      <c r="CJ239" s="29"/>
      <c r="CK239" s="28"/>
      <c r="CL239" s="28"/>
      <c r="CM239" s="7"/>
      <c r="CN239" s="7"/>
      <c r="CO239" s="7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7"/>
      <c r="DG239" s="7"/>
      <c r="DH239" s="7"/>
      <c r="DI239" s="7"/>
      <c r="DJ239" s="7"/>
      <c r="DK239" s="28"/>
      <c r="DL239" s="28"/>
      <c r="DM239" s="7"/>
      <c r="DN239" s="29"/>
      <c r="DO239" s="28"/>
      <c r="DP239" s="28"/>
      <c r="DQ239" s="28"/>
    </row>
    <row r="240" spans="2:121">
      <c r="B240" s="7"/>
      <c r="C240" s="7"/>
      <c r="D240" s="7"/>
      <c r="E240" s="7"/>
      <c r="F240" s="7"/>
      <c r="G240" s="7"/>
      <c r="H240" s="38"/>
      <c r="I240" s="46"/>
      <c r="J240" s="18"/>
      <c r="K240" s="7"/>
      <c r="L240" s="38"/>
      <c r="M240" s="38"/>
      <c r="N240" s="38"/>
      <c r="O240" s="7"/>
      <c r="P240" s="7"/>
      <c r="Q240" s="33"/>
      <c r="R240" s="11"/>
      <c r="S240" s="11"/>
      <c r="T240" s="11" t="s">
        <v>98</v>
      </c>
      <c r="U240" s="12"/>
      <c r="V240" s="11"/>
      <c r="W240" s="13"/>
      <c r="X240" s="9"/>
      <c r="Y240" s="38"/>
      <c r="Z240" s="38"/>
      <c r="AA240" s="38"/>
      <c r="AB240" s="11"/>
      <c r="AC240" s="11"/>
      <c r="AD240" s="7"/>
      <c r="AE240" s="38"/>
      <c r="AF240" s="7"/>
      <c r="AG240" s="46"/>
      <c r="AH240" s="9"/>
      <c r="AI240" s="9"/>
      <c r="AJ240" s="9"/>
      <c r="AK240" s="9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53"/>
      <c r="AZ240" s="46"/>
      <c r="BA240" s="46"/>
      <c r="BB240" s="46"/>
      <c r="BC240" s="46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7"/>
      <c r="BR240" s="28"/>
      <c r="BS240" s="28"/>
      <c r="BT240" s="28"/>
      <c r="BU240" s="28"/>
      <c r="BV240" s="28"/>
      <c r="BW240" s="7"/>
      <c r="BX240" s="28"/>
      <c r="BY240" s="28"/>
      <c r="BZ240" s="28"/>
      <c r="CA240" s="28"/>
      <c r="CB240" s="28"/>
      <c r="CC240" s="7"/>
      <c r="CD240" s="7"/>
      <c r="CE240" s="29"/>
      <c r="CF240" s="18"/>
      <c r="CG240" s="29"/>
      <c r="CH240" s="29"/>
      <c r="CI240" s="29"/>
      <c r="CJ240" s="29"/>
      <c r="CK240" s="28"/>
      <c r="CL240" s="28"/>
      <c r="CM240" s="7"/>
      <c r="CN240" s="7"/>
      <c r="CO240" s="7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7"/>
      <c r="DG240" s="7"/>
      <c r="DH240" s="7"/>
      <c r="DI240" s="7"/>
      <c r="DJ240" s="7"/>
      <c r="DK240" s="28"/>
      <c r="DL240" s="28"/>
      <c r="DM240" s="7"/>
      <c r="DN240" s="29"/>
      <c r="DO240" s="28"/>
      <c r="DP240" s="28"/>
      <c r="DQ240" s="28"/>
    </row>
    <row r="241" spans="2:121">
      <c r="B241" s="7"/>
      <c r="C241" s="7"/>
      <c r="D241" s="7"/>
      <c r="E241" s="7"/>
      <c r="F241" s="7"/>
      <c r="G241" s="7"/>
      <c r="H241" s="38"/>
      <c r="I241" s="46"/>
      <c r="J241" s="18"/>
      <c r="K241" s="7"/>
      <c r="L241" s="38"/>
      <c r="M241" s="38"/>
      <c r="N241" s="38"/>
      <c r="O241" s="7"/>
      <c r="P241" s="7"/>
      <c r="Q241" s="33"/>
      <c r="R241" s="11"/>
      <c r="S241" s="11"/>
      <c r="T241" s="11" t="s">
        <v>98</v>
      </c>
      <c r="U241" s="12"/>
      <c r="V241" s="11"/>
      <c r="W241" s="13"/>
      <c r="X241" s="9"/>
      <c r="Y241" s="38"/>
      <c r="Z241" s="38"/>
      <c r="AA241" s="38"/>
      <c r="AB241" s="11"/>
      <c r="AC241" s="11"/>
      <c r="AD241" s="7"/>
      <c r="AE241" s="38"/>
      <c r="AF241" s="7"/>
      <c r="AG241" s="46"/>
      <c r="AH241" s="9"/>
      <c r="AI241" s="9"/>
      <c r="AJ241" s="9"/>
      <c r="AK241" s="9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53"/>
      <c r="AZ241" s="46"/>
      <c r="BA241" s="46"/>
      <c r="BB241" s="46"/>
      <c r="BC241" s="46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7"/>
      <c r="BR241" s="28"/>
      <c r="BS241" s="28"/>
      <c r="BT241" s="28"/>
      <c r="BU241" s="28"/>
      <c r="BV241" s="28"/>
      <c r="BW241" s="7"/>
      <c r="BX241" s="28"/>
      <c r="BY241" s="28"/>
      <c r="BZ241" s="28"/>
      <c r="CA241" s="28"/>
      <c r="CB241" s="28"/>
      <c r="CC241" s="7"/>
      <c r="CD241" s="7"/>
      <c r="CE241" s="29"/>
      <c r="CF241" s="18"/>
      <c r="CG241" s="29"/>
      <c r="CH241" s="29"/>
      <c r="CI241" s="29"/>
      <c r="CJ241" s="29"/>
      <c r="CK241" s="28"/>
      <c r="CL241" s="28"/>
      <c r="CM241" s="7"/>
      <c r="CN241" s="7"/>
      <c r="CO241" s="7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7"/>
      <c r="DG241" s="7"/>
      <c r="DH241" s="7"/>
      <c r="DI241" s="7"/>
      <c r="DJ241" s="7"/>
      <c r="DK241" s="28"/>
      <c r="DL241" s="28"/>
      <c r="DM241" s="7"/>
      <c r="DN241" s="29"/>
      <c r="DO241" s="28"/>
      <c r="DP241" s="28"/>
      <c r="DQ241" s="28"/>
    </row>
    <row r="242" spans="2:121">
      <c r="B242" s="7"/>
      <c r="C242" s="7"/>
      <c r="D242" s="7"/>
      <c r="E242" s="7"/>
      <c r="F242" s="7"/>
      <c r="G242" s="7"/>
      <c r="H242" s="38"/>
      <c r="I242" s="46"/>
      <c r="J242" s="18"/>
      <c r="K242" s="7"/>
      <c r="L242" s="38"/>
      <c r="M242" s="38"/>
      <c r="N242" s="38"/>
      <c r="O242" s="7"/>
      <c r="P242" s="7"/>
      <c r="Q242" s="33"/>
      <c r="R242" s="11"/>
      <c r="S242" s="11"/>
      <c r="T242" s="11" t="s">
        <v>98</v>
      </c>
      <c r="U242" s="12"/>
      <c r="V242" s="11"/>
      <c r="W242" s="13"/>
      <c r="X242" s="9"/>
      <c r="Y242" s="38"/>
      <c r="Z242" s="38"/>
      <c r="AA242" s="38"/>
      <c r="AB242" s="11"/>
      <c r="AC242" s="11"/>
      <c r="AD242" s="7"/>
      <c r="AE242" s="38"/>
      <c r="AF242" s="7"/>
      <c r="AG242" s="46"/>
      <c r="AH242" s="9"/>
      <c r="AI242" s="9"/>
      <c r="AJ242" s="9"/>
      <c r="AK242" s="9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53"/>
      <c r="AZ242" s="46"/>
      <c r="BA242" s="46"/>
      <c r="BB242" s="46"/>
      <c r="BC242" s="46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7"/>
      <c r="BR242" s="28"/>
      <c r="BS242" s="28"/>
      <c r="BT242" s="28"/>
      <c r="BU242" s="28"/>
      <c r="BV242" s="28"/>
      <c r="BW242" s="7"/>
      <c r="BX242" s="28"/>
      <c r="BY242" s="28"/>
      <c r="BZ242" s="28"/>
      <c r="CA242" s="28"/>
      <c r="CB242" s="28"/>
      <c r="CC242" s="7"/>
      <c r="CD242" s="7"/>
      <c r="CE242" s="29"/>
      <c r="CF242" s="18"/>
      <c r="CG242" s="29"/>
      <c r="CH242" s="29"/>
      <c r="CI242" s="29"/>
      <c r="CJ242" s="29"/>
      <c r="CK242" s="28"/>
      <c r="CL242" s="28"/>
      <c r="CM242" s="7"/>
      <c r="CN242" s="7"/>
      <c r="CO242" s="7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7"/>
      <c r="DG242" s="7"/>
      <c r="DH242" s="7"/>
      <c r="DI242" s="7"/>
      <c r="DJ242" s="7"/>
      <c r="DK242" s="28"/>
      <c r="DL242" s="28"/>
      <c r="DM242" s="7"/>
      <c r="DN242" s="29"/>
      <c r="DO242" s="28"/>
      <c r="DP242" s="28"/>
      <c r="DQ242" s="28"/>
    </row>
    <row r="243" spans="2:121">
      <c r="B243" s="7"/>
      <c r="C243" s="7"/>
      <c r="D243" s="7"/>
      <c r="E243" s="7"/>
      <c r="F243" s="7"/>
      <c r="G243" s="7"/>
      <c r="H243" s="38"/>
      <c r="I243" s="46"/>
      <c r="J243" s="18"/>
      <c r="K243" s="7"/>
      <c r="L243" s="38"/>
      <c r="M243" s="38"/>
      <c r="N243" s="38"/>
      <c r="O243" s="7"/>
      <c r="P243" s="7"/>
      <c r="Q243" s="33"/>
      <c r="R243" s="11"/>
      <c r="S243" s="11"/>
      <c r="T243" s="11" t="s">
        <v>98</v>
      </c>
      <c r="U243" s="12"/>
      <c r="V243" s="11"/>
      <c r="W243" s="13"/>
      <c r="X243" s="9"/>
      <c r="Y243" s="38"/>
      <c r="Z243" s="38"/>
      <c r="AA243" s="38"/>
      <c r="AB243" s="11"/>
      <c r="AC243" s="11"/>
      <c r="AD243" s="7"/>
      <c r="AE243" s="38"/>
      <c r="AF243" s="7"/>
      <c r="AG243" s="46"/>
      <c r="AH243" s="9"/>
      <c r="AI243" s="9"/>
      <c r="AJ243" s="9"/>
      <c r="AK243" s="9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53"/>
      <c r="AZ243" s="46"/>
      <c r="BA243" s="46"/>
      <c r="BB243" s="46"/>
      <c r="BC243" s="46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7"/>
      <c r="BR243" s="28"/>
      <c r="BS243" s="28"/>
      <c r="BT243" s="28"/>
      <c r="BU243" s="28"/>
      <c r="BV243" s="28"/>
      <c r="BW243" s="7"/>
      <c r="BX243" s="28"/>
      <c r="BY243" s="28"/>
      <c r="BZ243" s="28"/>
      <c r="CA243" s="28"/>
      <c r="CB243" s="28"/>
      <c r="CC243" s="7"/>
      <c r="CD243" s="7"/>
      <c r="CE243" s="29"/>
      <c r="CF243" s="18"/>
      <c r="CG243" s="29"/>
      <c r="CH243" s="29"/>
      <c r="CI243" s="29"/>
      <c r="CJ243" s="29"/>
      <c r="CK243" s="28"/>
      <c r="CL243" s="28"/>
      <c r="CM243" s="7"/>
      <c r="CN243" s="7"/>
      <c r="CO243" s="7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7"/>
      <c r="DG243" s="7"/>
      <c r="DH243" s="7"/>
      <c r="DI243" s="7"/>
      <c r="DJ243" s="7"/>
      <c r="DK243" s="28"/>
      <c r="DL243" s="28"/>
      <c r="DM243" s="7"/>
      <c r="DN243" s="29"/>
      <c r="DO243" s="28"/>
      <c r="DP243" s="28"/>
      <c r="DQ243" s="28"/>
    </row>
    <row r="244" spans="2:121">
      <c r="B244" s="7"/>
      <c r="C244" s="7"/>
      <c r="D244" s="7"/>
      <c r="E244" s="7"/>
      <c r="F244" s="7"/>
      <c r="G244" s="7"/>
      <c r="H244" s="38"/>
      <c r="I244" s="46"/>
      <c r="J244" s="18"/>
      <c r="K244" s="7"/>
      <c r="L244" s="38"/>
      <c r="M244" s="38"/>
      <c r="N244" s="38"/>
      <c r="O244" s="7"/>
      <c r="P244" s="7"/>
      <c r="Q244" s="33"/>
      <c r="R244" s="11"/>
      <c r="S244" s="11"/>
      <c r="T244" s="11" t="s">
        <v>98</v>
      </c>
      <c r="U244" s="12"/>
      <c r="V244" s="11"/>
      <c r="W244" s="13"/>
      <c r="X244" s="9"/>
      <c r="Y244" s="38"/>
      <c r="Z244" s="38"/>
      <c r="AA244" s="38"/>
      <c r="AB244" s="11"/>
      <c r="AC244" s="11"/>
      <c r="AD244" s="7"/>
      <c r="AE244" s="38"/>
      <c r="AF244" s="7"/>
      <c r="AG244" s="46"/>
      <c r="AH244" s="9"/>
      <c r="AI244" s="9"/>
      <c r="AJ244" s="9"/>
      <c r="AK244" s="9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53"/>
      <c r="AZ244" s="46"/>
      <c r="BA244" s="46"/>
      <c r="BB244" s="46"/>
      <c r="BC244" s="46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7"/>
      <c r="BR244" s="28"/>
      <c r="BS244" s="28"/>
      <c r="BT244" s="28"/>
      <c r="BU244" s="28"/>
      <c r="BV244" s="28"/>
      <c r="BW244" s="7"/>
      <c r="BX244" s="28"/>
      <c r="BY244" s="28"/>
      <c r="BZ244" s="28"/>
      <c r="CA244" s="28"/>
      <c r="CB244" s="28"/>
      <c r="CC244" s="7"/>
      <c r="CD244" s="7"/>
      <c r="CE244" s="29"/>
      <c r="CF244" s="18"/>
      <c r="CG244" s="29"/>
      <c r="CH244" s="29"/>
      <c r="CI244" s="29"/>
      <c r="CJ244" s="29"/>
      <c r="CK244" s="28"/>
      <c r="CL244" s="28"/>
      <c r="CM244" s="7"/>
      <c r="CN244" s="7"/>
      <c r="CO244" s="7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7"/>
      <c r="DG244" s="7"/>
      <c r="DH244" s="7"/>
      <c r="DI244" s="7"/>
      <c r="DJ244" s="7"/>
      <c r="DK244" s="28"/>
      <c r="DL244" s="28"/>
      <c r="DM244" s="7"/>
      <c r="DN244" s="29"/>
      <c r="DO244" s="28"/>
      <c r="DP244" s="28"/>
      <c r="DQ244" s="28"/>
    </row>
    <row r="245" spans="2:121">
      <c r="B245" s="7"/>
      <c r="C245" s="7"/>
      <c r="D245" s="7"/>
      <c r="E245" s="7"/>
      <c r="F245" s="7"/>
      <c r="G245" s="7"/>
      <c r="H245" s="38"/>
      <c r="I245" s="46"/>
      <c r="J245" s="18"/>
      <c r="K245" s="7"/>
      <c r="L245" s="38"/>
      <c r="M245" s="38"/>
      <c r="N245" s="38"/>
      <c r="O245" s="7"/>
      <c r="P245" s="7"/>
      <c r="Q245" s="33"/>
      <c r="R245" s="11"/>
      <c r="S245" s="11"/>
      <c r="T245" s="11" t="s">
        <v>98</v>
      </c>
      <c r="U245" s="12"/>
      <c r="V245" s="11"/>
      <c r="W245" s="13"/>
      <c r="X245" s="9"/>
      <c r="Y245" s="38"/>
      <c r="Z245" s="38"/>
      <c r="AA245" s="38"/>
      <c r="AB245" s="11"/>
      <c r="AC245" s="11"/>
      <c r="AD245" s="7"/>
      <c r="AE245" s="38"/>
      <c r="AF245" s="7"/>
      <c r="AG245" s="46"/>
      <c r="AH245" s="9"/>
      <c r="AI245" s="9"/>
      <c r="AJ245" s="9"/>
      <c r="AK245" s="9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53"/>
      <c r="AZ245" s="46"/>
      <c r="BA245" s="46"/>
      <c r="BB245" s="46"/>
      <c r="BC245" s="46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7"/>
      <c r="BR245" s="28"/>
      <c r="BS245" s="28"/>
      <c r="BT245" s="28"/>
      <c r="BU245" s="28"/>
      <c r="BV245" s="28"/>
      <c r="BW245" s="7"/>
      <c r="BX245" s="28"/>
      <c r="BY245" s="28"/>
      <c r="BZ245" s="28"/>
      <c r="CA245" s="28"/>
      <c r="CB245" s="28"/>
      <c r="CC245" s="7"/>
      <c r="CD245" s="7"/>
      <c r="CE245" s="29"/>
      <c r="CF245" s="18"/>
      <c r="CG245" s="29"/>
      <c r="CH245" s="29"/>
      <c r="CI245" s="29"/>
      <c r="CJ245" s="29"/>
      <c r="CK245" s="28"/>
      <c r="CL245" s="28"/>
      <c r="CM245" s="7"/>
      <c r="CN245" s="7"/>
      <c r="CO245" s="7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7"/>
      <c r="DG245" s="7"/>
      <c r="DH245" s="7"/>
      <c r="DI245" s="7"/>
      <c r="DJ245" s="7"/>
      <c r="DK245" s="28"/>
      <c r="DL245" s="28"/>
      <c r="DM245" s="7"/>
      <c r="DN245" s="29"/>
      <c r="DO245" s="28"/>
      <c r="DP245" s="28"/>
      <c r="DQ245" s="28"/>
    </row>
    <row r="246" spans="2:121">
      <c r="B246" s="7"/>
      <c r="C246" s="7"/>
      <c r="D246" s="7"/>
      <c r="E246" s="7"/>
      <c r="F246" s="7"/>
      <c r="G246" s="7"/>
      <c r="H246" s="38"/>
      <c r="I246" s="46"/>
      <c r="J246" s="18"/>
      <c r="K246" s="7"/>
      <c r="L246" s="38"/>
      <c r="M246" s="38"/>
      <c r="N246" s="38"/>
      <c r="O246" s="7"/>
      <c r="P246" s="7"/>
      <c r="Q246" s="33"/>
      <c r="R246" s="11"/>
      <c r="S246" s="11"/>
      <c r="T246" s="11" t="s">
        <v>98</v>
      </c>
      <c r="U246" s="12"/>
      <c r="V246" s="11"/>
      <c r="W246" s="13"/>
      <c r="X246" s="9"/>
      <c r="Y246" s="38"/>
      <c r="Z246" s="38"/>
      <c r="AA246" s="38"/>
      <c r="AB246" s="11"/>
      <c r="AC246" s="11"/>
      <c r="AD246" s="7"/>
      <c r="AE246" s="38"/>
      <c r="AF246" s="7"/>
      <c r="AG246" s="46"/>
      <c r="AH246" s="9"/>
      <c r="AI246" s="9"/>
      <c r="AJ246" s="9"/>
      <c r="AK246" s="9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53"/>
      <c r="AZ246" s="46"/>
      <c r="BA246" s="46"/>
      <c r="BB246" s="46"/>
      <c r="BC246" s="46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7"/>
      <c r="BR246" s="28"/>
      <c r="BS246" s="28"/>
      <c r="BT246" s="28"/>
      <c r="BU246" s="28"/>
      <c r="BV246" s="28"/>
      <c r="BW246" s="7"/>
      <c r="BX246" s="28"/>
      <c r="BY246" s="28"/>
      <c r="BZ246" s="28"/>
      <c r="CA246" s="28"/>
      <c r="CB246" s="28"/>
      <c r="CC246" s="7"/>
      <c r="CD246" s="7"/>
      <c r="CE246" s="29"/>
      <c r="CF246" s="18"/>
      <c r="CG246" s="29"/>
      <c r="CH246" s="29"/>
      <c r="CI246" s="29"/>
      <c r="CJ246" s="29"/>
      <c r="CK246" s="28"/>
      <c r="CL246" s="28"/>
      <c r="CM246" s="7"/>
      <c r="CN246" s="7"/>
      <c r="CO246" s="7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7"/>
      <c r="DG246" s="7"/>
      <c r="DH246" s="7"/>
      <c r="DI246" s="7"/>
      <c r="DJ246" s="7"/>
      <c r="DK246" s="28"/>
      <c r="DL246" s="28"/>
      <c r="DM246" s="7"/>
      <c r="DN246" s="29"/>
      <c r="DO246" s="28"/>
      <c r="DP246" s="28"/>
      <c r="DQ246" s="28"/>
    </row>
    <row r="247" spans="2:121">
      <c r="B247" s="7"/>
      <c r="C247" s="7"/>
      <c r="D247" s="7"/>
      <c r="E247" s="7"/>
      <c r="F247" s="7"/>
      <c r="G247" s="7"/>
      <c r="H247" s="38"/>
      <c r="I247" s="46"/>
      <c r="J247" s="18"/>
      <c r="K247" s="7"/>
      <c r="L247" s="38"/>
      <c r="M247" s="38"/>
      <c r="N247" s="38"/>
      <c r="O247" s="7"/>
      <c r="P247" s="7"/>
      <c r="Q247" s="33"/>
      <c r="R247" s="11"/>
      <c r="S247" s="11"/>
      <c r="T247" s="11" t="s">
        <v>98</v>
      </c>
      <c r="U247" s="12"/>
      <c r="V247" s="11"/>
      <c r="W247" s="13"/>
      <c r="X247" s="9"/>
      <c r="Y247" s="38"/>
      <c r="Z247" s="38"/>
      <c r="AA247" s="38"/>
      <c r="AB247" s="11"/>
      <c r="AC247" s="11"/>
      <c r="AD247" s="7"/>
      <c r="AE247" s="38"/>
      <c r="AF247" s="7"/>
      <c r="AG247" s="46"/>
      <c r="AH247" s="9"/>
      <c r="AI247" s="9"/>
      <c r="AJ247" s="9"/>
      <c r="AK247" s="9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53"/>
      <c r="AZ247" s="46"/>
      <c r="BA247" s="46"/>
      <c r="BB247" s="46"/>
      <c r="BC247" s="46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7"/>
      <c r="BR247" s="28"/>
      <c r="BS247" s="28"/>
      <c r="BT247" s="28"/>
      <c r="BU247" s="28"/>
      <c r="BV247" s="28"/>
      <c r="BW247" s="7"/>
      <c r="BX247" s="28"/>
      <c r="BY247" s="28"/>
      <c r="BZ247" s="28"/>
      <c r="CA247" s="28"/>
      <c r="CB247" s="28"/>
      <c r="CC247" s="7"/>
      <c r="CD247" s="7"/>
      <c r="CE247" s="29"/>
      <c r="CF247" s="18"/>
      <c r="CG247" s="29"/>
      <c r="CH247" s="29"/>
      <c r="CI247" s="29"/>
      <c r="CJ247" s="29"/>
      <c r="CK247" s="28"/>
      <c r="CL247" s="28"/>
      <c r="CM247" s="7"/>
      <c r="CN247" s="7"/>
      <c r="CO247" s="7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7"/>
      <c r="DG247" s="7"/>
      <c r="DH247" s="7"/>
      <c r="DI247" s="7"/>
      <c r="DJ247" s="7"/>
      <c r="DK247" s="28"/>
      <c r="DL247" s="28"/>
      <c r="DM247" s="7"/>
      <c r="DN247" s="29"/>
      <c r="DO247" s="28"/>
      <c r="DP247" s="28"/>
      <c r="DQ247" s="28"/>
    </row>
    <row r="248" spans="2:121">
      <c r="B248" s="7"/>
      <c r="C248" s="7"/>
      <c r="D248" s="7"/>
      <c r="E248" s="7"/>
      <c r="F248" s="7"/>
      <c r="G248" s="7"/>
      <c r="H248" s="38"/>
      <c r="I248" s="46"/>
      <c r="J248" s="18"/>
      <c r="K248" s="7"/>
      <c r="L248" s="38"/>
      <c r="M248" s="38"/>
      <c r="N248" s="38"/>
      <c r="O248" s="7"/>
      <c r="P248" s="7"/>
      <c r="Q248" s="33"/>
      <c r="R248" s="11"/>
      <c r="S248" s="11"/>
      <c r="T248" s="11" t="s">
        <v>98</v>
      </c>
      <c r="U248" s="12"/>
      <c r="V248" s="11"/>
      <c r="W248" s="13"/>
      <c r="X248" s="9"/>
      <c r="Y248" s="38"/>
      <c r="Z248" s="38"/>
      <c r="AA248" s="38"/>
      <c r="AB248" s="11"/>
      <c r="AC248" s="11"/>
      <c r="AD248" s="7"/>
      <c r="AE248" s="38"/>
      <c r="AF248" s="7"/>
      <c r="AG248" s="46"/>
      <c r="AH248" s="9"/>
      <c r="AI248" s="9"/>
      <c r="AJ248" s="9"/>
      <c r="AK248" s="9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53"/>
      <c r="AZ248" s="46"/>
      <c r="BA248" s="46"/>
      <c r="BB248" s="46"/>
      <c r="BC248" s="46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7"/>
      <c r="BR248" s="28"/>
      <c r="BS248" s="28"/>
      <c r="BT248" s="28"/>
      <c r="BU248" s="28"/>
      <c r="BV248" s="28"/>
      <c r="BW248" s="7"/>
      <c r="BX248" s="28"/>
      <c r="BY248" s="28"/>
      <c r="BZ248" s="28"/>
      <c r="CA248" s="28"/>
      <c r="CB248" s="28"/>
      <c r="CC248" s="7"/>
      <c r="CD248" s="7"/>
      <c r="CE248" s="29"/>
      <c r="CF248" s="18"/>
      <c r="CG248" s="29"/>
      <c r="CH248" s="29"/>
      <c r="CI248" s="29"/>
      <c r="CJ248" s="29"/>
      <c r="CK248" s="28"/>
      <c r="CL248" s="28"/>
      <c r="CM248" s="7"/>
      <c r="CN248" s="7"/>
      <c r="CO248" s="7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7"/>
      <c r="DG248" s="7"/>
      <c r="DH248" s="7"/>
      <c r="DI248" s="7"/>
      <c r="DJ248" s="7"/>
      <c r="DK248" s="28"/>
      <c r="DL248" s="28"/>
      <c r="DM248" s="7"/>
      <c r="DN248" s="29"/>
      <c r="DO248" s="28"/>
      <c r="DP248" s="28"/>
      <c r="DQ248" s="28"/>
    </row>
    <row r="249" spans="2:121">
      <c r="B249" s="7"/>
      <c r="C249" s="7"/>
      <c r="D249" s="7"/>
      <c r="E249" s="7"/>
      <c r="F249" s="7"/>
      <c r="G249" s="7"/>
      <c r="H249" s="38"/>
      <c r="I249" s="46"/>
      <c r="J249" s="18"/>
      <c r="K249" s="7"/>
      <c r="L249" s="38"/>
      <c r="M249" s="38"/>
      <c r="N249" s="38"/>
      <c r="O249" s="7"/>
      <c r="P249" s="7"/>
      <c r="Q249" s="33"/>
      <c r="R249" s="11"/>
      <c r="S249" s="11"/>
      <c r="T249" s="11" t="s">
        <v>98</v>
      </c>
      <c r="U249" s="12"/>
      <c r="V249" s="11"/>
      <c r="W249" s="13"/>
      <c r="X249" s="9"/>
      <c r="Y249" s="38"/>
      <c r="Z249" s="38"/>
      <c r="AA249" s="38"/>
      <c r="AB249" s="11"/>
      <c r="AC249" s="11"/>
      <c r="AD249" s="7"/>
      <c r="AE249" s="38"/>
      <c r="AF249" s="7"/>
      <c r="AG249" s="46"/>
      <c r="AH249" s="9"/>
      <c r="AI249" s="9"/>
      <c r="AJ249" s="9"/>
      <c r="AK249" s="9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53"/>
      <c r="AZ249" s="46"/>
      <c r="BA249" s="46"/>
      <c r="BB249" s="46"/>
      <c r="BC249" s="46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7"/>
      <c r="BR249" s="28"/>
      <c r="BS249" s="28"/>
      <c r="BT249" s="28"/>
      <c r="BU249" s="28"/>
      <c r="BV249" s="28"/>
      <c r="BW249" s="7"/>
      <c r="BX249" s="28"/>
      <c r="BY249" s="28"/>
      <c r="BZ249" s="28"/>
      <c r="CA249" s="28"/>
      <c r="CB249" s="28"/>
      <c r="CC249" s="7"/>
      <c r="CD249" s="7"/>
      <c r="CE249" s="29"/>
      <c r="CF249" s="18"/>
      <c r="CG249" s="29"/>
      <c r="CH249" s="29"/>
      <c r="CI249" s="29"/>
      <c r="CJ249" s="29"/>
      <c r="CK249" s="28"/>
      <c r="CL249" s="28"/>
      <c r="CM249" s="7"/>
      <c r="CN249" s="7"/>
      <c r="CO249" s="7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7"/>
      <c r="DG249" s="7"/>
      <c r="DH249" s="7"/>
      <c r="DI249" s="7"/>
      <c r="DJ249" s="7"/>
      <c r="DK249" s="28"/>
      <c r="DL249" s="28"/>
      <c r="DM249" s="7"/>
      <c r="DN249" s="29"/>
      <c r="DO249" s="28"/>
      <c r="DP249" s="28"/>
      <c r="DQ249" s="28"/>
    </row>
    <row r="250" spans="2:121">
      <c r="B250" s="7"/>
      <c r="C250" s="7"/>
      <c r="D250" s="7"/>
      <c r="E250" s="7"/>
      <c r="F250" s="7"/>
      <c r="G250" s="7"/>
      <c r="H250" s="38"/>
      <c r="I250" s="46"/>
      <c r="J250" s="18"/>
      <c r="K250" s="7"/>
      <c r="L250" s="38"/>
      <c r="M250" s="38"/>
      <c r="N250" s="38"/>
      <c r="O250" s="7"/>
      <c r="P250" s="7"/>
      <c r="Q250" s="33"/>
      <c r="R250" s="11"/>
      <c r="S250" s="11"/>
      <c r="T250" s="11" t="s">
        <v>98</v>
      </c>
      <c r="U250" s="12"/>
      <c r="V250" s="11"/>
      <c r="W250" s="13"/>
      <c r="X250" s="9"/>
      <c r="Y250" s="38"/>
      <c r="Z250" s="38"/>
      <c r="AA250" s="38"/>
      <c r="AB250" s="11"/>
      <c r="AC250" s="11"/>
      <c r="AD250" s="7"/>
      <c r="AE250" s="38"/>
      <c r="AF250" s="7"/>
      <c r="AG250" s="46"/>
      <c r="AH250" s="9"/>
      <c r="AI250" s="9"/>
      <c r="AJ250" s="9"/>
      <c r="AK250" s="9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53"/>
      <c r="AZ250" s="46"/>
      <c r="BA250" s="46"/>
      <c r="BB250" s="46"/>
      <c r="BC250" s="46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7"/>
      <c r="BR250" s="28"/>
      <c r="BS250" s="28"/>
      <c r="BT250" s="28"/>
      <c r="BU250" s="28"/>
      <c r="BV250" s="28"/>
      <c r="BW250" s="7"/>
      <c r="BX250" s="28"/>
      <c r="BY250" s="28"/>
      <c r="BZ250" s="28"/>
      <c r="CA250" s="28"/>
      <c r="CB250" s="28"/>
      <c r="CC250" s="7"/>
      <c r="CD250" s="7"/>
      <c r="CE250" s="29"/>
      <c r="CF250" s="18"/>
      <c r="CG250" s="29"/>
      <c r="CH250" s="29"/>
      <c r="CI250" s="29"/>
      <c r="CJ250" s="29"/>
      <c r="CK250" s="28"/>
      <c r="CL250" s="28"/>
      <c r="CM250" s="7"/>
      <c r="CN250" s="7"/>
      <c r="CO250" s="7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7"/>
      <c r="DG250" s="7"/>
      <c r="DH250" s="7"/>
      <c r="DI250" s="7"/>
      <c r="DJ250" s="7"/>
      <c r="DK250" s="28"/>
      <c r="DL250" s="28"/>
      <c r="DM250" s="7"/>
      <c r="DN250" s="29"/>
      <c r="DO250" s="28"/>
      <c r="DP250" s="28"/>
      <c r="DQ250" s="28"/>
    </row>
    <row r="251" spans="2:121">
      <c r="B251" s="7"/>
      <c r="C251" s="7"/>
      <c r="D251" s="7"/>
      <c r="E251" s="7"/>
      <c r="F251" s="7"/>
      <c r="G251" s="7"/>
      <c r="H251" s="38"/>
      <c r="I251" s="46"/>
      <c r="J251" s="18"/>
      <c r="K251" s="7"/>
      <c r="L251" s="38"/>
      <c r="M251" s="38"/>
      <c r="N251" s="38"/>
      <c r="O251" s="7"/>
      <c r="P251" s="7"/>
      <c r="Q251" s="33"/>
      <c r="R251" s="11"/>
      <c r="S251" s="11"/>
      <c r="T251" s="11" t="s">
        <v>98</v>
      </c>
      <c r="U251" s="12"/>
      <c r="V251" s="11"/>
      <c r="W251" s="13"/>
      <c r="X251" s="9"/>
      <c r="Y251" s="38"/>
      <c r="Z251" s="38"/>
      <c r="AA251" s="38"/>
      <c r="AB251" s="11"/>
      <c r="AC251" s="11"/>
      <c r="AD251" s="7"/>
      <c r="AE251" s="38"/>
      <c r="AF251" s="7"/>
      <c r="AG251" s="46"/>
      <c r="AH251" s="9"/>
      <c r="AI251" s="9"/>
      <c r="AJ251" s="9"/>
      <c r="AK251" s="9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53"/>
      <c r="AZ251" s="46"/>
      <c r="BA251" s="46"/>
      <c r="BB251" s="46"/>
      <c r="BC251" s="46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7"/>
      <c r="BR251" s="28"/>
      <c r="BS251" s="28"/>
      <c r="BT251" s="28"/>
      <c r="BU251" s="28"/>
      <c r="BV251" s="28"/>
      <c r="BW251" s="7"/>
      <c r="BX251" s="28"/>
      <c r="BY251" s="28"/>
      <c r="BZ251" s="28"/>
      <c r="CA251" s="28"/>
      <c r="CB251" s="28"/>
      <c r="CC251" s="7"/>
      <c r="CD251" s="7"/>
      <c r="CE251" s="29"/>
      <c r="CF251" s="18"/>
      <c r="CG251" s="29"/>
      <c r="CH251" s="29"/>
      <c r="CI251" s="29"/>
      <c r="CJ251" s="29"/>
      <c r="CK251" s="28"/>
      <c r="CL251" s="28"/>
      <c r="CM251" s="7"/>
      <c r="CN251" s="7"/>
      <c r="CO251" s="7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7"/>
      <c r="DG251" s="7"/>
      <c r="DH251" s="7"/>
      <c r="DI251" s="7"/>
      <c r="DJ251" s="7"/>
      <c r="DK251" s="28"/>
      <c r="DL251" s="28"/>
      <c r="DM251" s="7"/>
      <c r="DN251" s="29"/>
      <c r="DO251" s="28"/>
      <c r="DP251" s="28"/>
      <c r="DQ251" s="28"/>
    </row>
    <row r="252" spans="2:121">
      <c r="B252" s="7"/>
      <c r="C252" s="7"/>
      <c r="D252" s="7"/>
      <c r="E252" s="7"/>
      <c r="F252" s="7"/>
      <c r="G252" s="7"/>
      <c r="H252" s="38"/>
      <c r="I252" s="46"/>
      <c r="J252" s="18"/>
      <c r="K252" s="7"/>
      <c r="L252" s="38"/>
      <c r="M252" s="38"/>
      <c r="N252" s="38"/>
      <c r="O252" s="7"/>
      <c r="P252" s="7"/>
      <c r="Q252" s="33"/>
      <c r="R252" s="11"/>
      <c r="S252" s="11"/>
      <c r="T252" s="11" t="s">
        <v>98</v>
      </c>
      <c r="U252" s="12"/>
      <c r="V252" s="11"/>
      <c r="W252" s="13"/>
      <c r="X252" s="9"/>
      <c r="Y252" s="38"/>
      <c r="Z252" s="38"/>
      <c r="AA252" s="38"/>
      <c r="AB252" s="11"/>
      <c r="AC252" s="11"/>
      <c r="AD252" s="7"/>
      <c r="AE252" s="38"/>
      <c r="AF252" s="7"/>
      <c r="AG252" s="46"/>
      <c r="AH252" s="9"/>
      <c r="AI252" s="9"/>
      <c r="AJ252" s="9"/>
      <c r="AK252" s="9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53"/>
      <c r="AZ252" s="46"/>
      <c r="BA252" s="46"/>
      <c r="BB252" s="46"/>
      <c r="BC252" s="46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7"/>
      <c r="BR252" s="28"/>
      <c r="BS252" s="28"/>
      <c r="BT252" s="28"/>
      <c r="BU252" s="28"/>
      <c r="BV252" s="28"/>
      <c r="BW252" s="7"/>
      <c r="BX252" s="28"/>
      <c r="BY252" s="28"/>
      <c r="BZ252" s="28"/>
      <c r="CA252" s="28"/>
      <c r="CB252" s="28"/>
      <c r="CC252" s="7"/>
      <c r="CD252" s="7"/>
      <c r="CE252" s="29"/>
      <c r="CF252" s="18"/>
      <c r="CG252" s="29"/>
      <c r="CH252" s="29"/>
      <c r="CI252" s="29"/>
      <c r="CJ252" s="29"/>
      <c r="CK252" s="28"/>
      <c r="CL252" s="28"/>
      <c r="CM252" s="7"/>
      <c r="CN252" s="7"/>
      <c r="CO252" s="7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7"/>
      <c r="DG252" s="7"/>
      <c r="DH252" s="7"/>
      <c r="DI252" s="7"/>
      <c r="DJ252" s="7"/>
      <c r="DK252" s="28"/>
      <c r="DL252" s="28"/>
      <c r="DM252" s="7"/>
      <c r="DN252" s="29"/>
      <c r="DO252" s="28"/>
      <c r="DP252" s="28"/>
      <c r="DQ252" s="28"/>
    </row>
    <row r="253" spans="2:121">
      <c r="B253" s="7"/>
      <c r="C253" s="7"/>
      <c r="D253" s="7"/>
      <c r="E253" s="7"/>
      <c r="F253" s="7"/>
      <c r="G253" s="7"/>
      <c r="H253" s="38"/>
      <c r="I253" s="46"/>
      <c r="J253" s="18"/>
      <c r="K253" s="7"/>
      <c r="L253" s="38"/>
      <c r="M253" s="38"/>
      <c r="N253" s="38"/>
      <c r="O253" s="7"/>
      <c r="P253" s="7"/>
      <c r="Q253" s="33"/>
      <c r="R253" s="11"/>
      <c r="S253" s="11"/>
      <c r="T253" s="11" t="s">
        <v>98</v>
      </c>
      <c r="U253" s="12"/>
      <c r="V253" s="11"/>
      <c r="W253" s="13"/>
      <c r="X253" s="9"/>
      <c r="Y253" s="38"/>
      <c r="Z253" s="38"/>
      <c r="AA253" s="38"/>
      <c r="AB253" s="11"/>
      <c r="AC253" s="11"/>
      <c r="AD253" s="7"/>
      <c r="AE253" s="38"/>
      <c r="AF253" s="7"/>
      <c r="AG253" s="46"/>
      <c r="AH253" s="9"/>
      <c r="AI253" s="9"/>
      <c r="AJ253" s="9"/>
      <c r="AK253" s="9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53"/>
      <c r="AZ253" s="46"/>
      <c r="BA253" s="46"/>
      <c r="BB253" s="46"/>
      <c r="BC253" s="46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7"/>
      <c r="BR253" s="28"/>
      <c r="BS253" s="28"/>
      <c r="BT253" s="28"/>
      <c r="BU253" s="28"/>
      <c r="BV253" s="28"/>
      <c r="BW253" s="7"/>
      <c r="BX253" s="28"/>
      <c r="BY253" s="28"/>
      <c r="BZ253" s="28"/>
      <c r="CA253" s="28"/>
      <c r="CB253" s="28"/>
      <c r="CC253" s="7"/>
      <c r="CD253" s="7"/>
      <c r="CE253" s="29"/>
      <c r="CF253" s="18"/>
      <c r="CG253" s="29"/>
      <c r="CH253" s="29"/>
      <c r="CI253" s="29"/>
      <c r="CJ253" s="29"/>
      <c r="CK253" s="28"/>
      <c r="CL253" s="28"/>
      <c r="CM253" s="7"/>
      <c r="CN253" s="7"/>
      <c r="CO253" s="7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7"/>
      <c r="DG253" s="7"/>
      <c r="DH253" s="7"/>
      <c r="DI253" s="7"/>
      <c r="DJ253" s="7"/>
      <c r="DK253" s="28"/>
      <c r="DL253" s="28"/>
      <c r="DM253" s="7"/>
      <c r="DN253" s="29"/>
      <c r="DO253" s="28"/>
      <c r="DP253" s="28"/>
      <c r="DQ253" s="28"/>
    </row>
    <row r="254" spans="2:121">
      <c r="B254" s="7"/>
      <c r="C254" s="7"/>
      <c r="D254" s="7"/>
      <c r="E254" s="7"/>
      <c r="F254" s="7"/>
      <c r="G254" s="7"/>
      <c r="H254" s="38"/>
      <c r="I254" s="46"/>
      <c r="J254" s="18"/>
      <c r="K254" s="7"/>
      <c r="L254" s="38"/>
      <c r="M254" s="38"/>
      <c r="N254" s="38"/>
      <c r="O254" s="7"/>
      <c r="P254" s="7"/>
      <c r="Q254" s="33"/>
      <c r="R254" s="11"/>
      <c r="S254" s="11"/>
      <c r="T254" s="11" t="s">
        <v>98</v>
      </c>
      <c r="U254" s="12"/>
      <c r="V254" s="11"/>
      <c r="W254" s="13"/>
      <c r="X254" s="9"/>
      <c r="Y254" s="38"/>
      <c r="Z254" s="38"/>
      <c r="AA254" s="38"/>
      <c r="AB254" s="11"/>
      <c r="AC254" s="11"/>
      <c r="AD254" s="7"/>
      <c r="AE254" s="38"/>
      <c r="AF254" s="7"/>
      <c r="AG254" s="46"/>
      <c r="AH254" s="9"/>
      <c r="AI254" s="9"/>
      <c r="AJ254" s="9"/>
      <c r="AK254" s="9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53"/>
      <c r="AZ254" s="46"/>
      <c r="BA254" s="46"/>
      <c r="BB254" s="46"/>
      <c r="BC254" s="46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7"/>
      <c r="BR254" s="28"/>
      <c r="BS254" s="28"/>
      <c r="BT254" s="28"/>
      <c r="BU254" s="28"/>
      <c r="BV254" s="28"/>
      <c r="BW254" s="7"/>
      <c r="BX254" s="28"/>
      <c r="BY254" s="28"/>
      <c r="BZ254" s="28"/>
      <c r="CA254" s="28"/>
      <c r="CB254" s="28"/>
      <c r="CC254" s="7"/>
      <c r="CD254" s="7"/>
      <c r="CE254" s="29"/>
      <c r="CF254" s="18"/>
      <c r="CG254" s="29"/>
      <c r="CH254" s="29"/>
      <c r="CI254" s="29"/>
      <c r="CJ254" s="29"/>
      <c r="CK254" s="28"/>
      <c r="CL254" s="28"/>
      <c r="CM254" s="7"/>
      <c r="CN254" s="7"/>
      <c r="CO254" s="7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7"/>
      <c r="DG254" s="7"/>
      <c r="DH254" s="7"/>
      <c r="DI254" s="7"/>
      <c r="DJ254" s="7"/>
      <c r="DK254" s="28"/>
      <c r="DL254" s="28"/>
      <c r="DM254" s="7"/>
      <c r="DN254" s="29"/>
      <c r="DO254" s="28"/>
      <c r="DP254" s="28"/>
      <c r="DQ254" s="28"/>
    </row>
    <row r="255" spans="2:121">
      <c r="B255" s="7"/>
      <c r="C255" s="7"/>
      <c r="D255" s="7"/>
      <c r="E255" s="7"/>
      <c r="F255" s="7"/>
      <c r="G255" s="7"/>
      <c r="H255" s="38"/>
      <c r="I255" s="46"/>
      <c r="J255" s="18"/>
      <c r="K255" s="7"/>
      <c r="L255" s="38"/>
      <c r="M255" s="38"/>
      <c r="N255" s="38"/>
      <c r="O255" s="7"/>
      <c r="P255" s="7"/>
      <c r="Q255" s="33"/>
      <c r="R255" s="11"/>
      <c r="S255" s="11"/>
      <c r="T255" s="11" t="s">
        <v>98</v>
      </c>
      <c r="U255" s="12"/>
      <c r="V255" s="11"/>
      <c r="W255" s="13"/>
      <c r="X255" s="9"/>
      <c r="Y255" s="38"/>
      <c r="Z255" s="38"/>
      <c r="AA255" s="38"/>
      <c r="AB255" s="11"/>
      <c r="AC255" s="11"/>
      <c r="AD255" s="7"/>
      <c r="AE255" s="38"/>
      <c r="AF255" s="7"/>
      <c r="AG255" s="46"/>
      <c r="AH255" s="9"/>
      <c r="AI255" s="9"/>
      <c r="AJ255" s="9"/>
      <c r="AK255" s="9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53"/>
      <c r="AZ255" s="46"/>
      <c r="BA255" s="46"/>
      <c r="BB255" s="46"/>
      <c r="BC255" s="46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7"/>
      <c r="BR255" s="28"/>
      <c r="BS255" s="28"/>
      <c r="BT255" s="28"/>
      <c r="BU255" s="28"/>
      <c r="BV255" s="28"/>
      <c r="BW255" s="7"/>
      <c r="BX255" s="28"/>
      <c r="BY255" s="28"/>
      <c r="BZ255" s="28"/>
      <c r="CA255" s="28"/>
      <c r="CB255" s="28"/>
      <c r="CC255" s="7"/>
      <c r="CD255" s="7"/>
      <c r="CE255" s="29"/>
      <c r="CF255" s="18"/>
      <c r="CG255" s="29"/>
      <c r="CH255" s="29"/>
      <c r="CI255" s="29"/>
      <c r="CJ255" s="29"/>
      <c r="CK255" s="28"/>
      <c r="CL255" s="28"/>
      <c r="CM255" s="7"/>
      <c r="CN255" s="7"/>
      <c r="CO255" s="7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7"/>
      <c r="DG255" s="7"/>
      <c r="DH255" s="7"/>
      <c r="DI255" s="7"/>
      <c r="DJ255" s="7"/>
      <c r="DK255" s="28"/>
      <c r="DL255" s="28"/>
      <c r="DM255" s="7"/>
      <c r="DN255" s="29"/>
      <c r="DO255" s="28"/>
      <c r="DP255" s="28"/>
      <c r="DQ255" s="28"/>
    </row>
    <row r="256" spans="2:121">
      <c r="B256" s="7"/>
      <c r="C256" s="7"/>
      <c r="D256" s="7"/>
      <c r="E256" s="7"/>
      <c r="F256" s="7"/>
      <c r="G256" s="7"/>
      <c r="H256" s="38"/>
      <c r="I256" s="46"/>
      <c r="J256" s="18"/>
      <c r="K256" s="7"/>
      <c r="L256" s="38"/>
      <c r="M256" s="38"/>
      <c r="N256" s="38"/>
      <c r="O256" s="7"/>
      <c r="P256" s="7"/>
      <c r="Q256" s="33"/>
      <c r="R256" s="11"/>
      <c r="S256" s="11"/>
      <c r="T256" s="11" t="s">
        <v>98</v>
      </c>
      <c r="U256" s="12"/>
      <c r="V256" s="11"/>
      <c r="W256" s="13"/>
      <c r="X256" s="9"/>
      <c r="Y256" s="38"/>
      <c r="Z256" s="38"/>
      <c r="AA256" s="38"/>
      <c r="AB256" s="11"/>
      <c r="AC256" s="11"/>
      <c r="AD256" s="7"/>
      <c r="AE256" s="38"/>
      <c r="AF256" s="7"/>
      <c r="AG256" s="46"/>
      <c r="AH256" s="9"/>
      <c r="AI256" s="9"/>
      <c r="AJ256" s="9"/>
      <c r="AK256" s="9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53"/>
      <c r="AZ256" s="46"/>
      <c r="BA256" s="46"/>
      <c r="BB256" s="46"/>
      <c r="BC256" s="46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7"/>
      <c r="BR256" s="28"/>
      <c r="BS256" s="28"/>
      <c r="BT256" s="28"/>
      <c r="BU256" s="28"/>
      <c r="BV256" s="28"/>
      <c r="BW256" s="7"/>
      <c r="BX256" s="28"/>
      <c r="BY256" s="28"/>
      <c r="BZ256" s="28"/>
      <c r="CA256" s="28"/>
      <c r="CB256" s="28"/>
      <c r="CC256" s="7"/>
      <c r="CD256" s="7"/>
      <c r="CE256" s="29"/>
      <c r="CF256" s="18"/>
      <c r="CG256" s="29"/>
      <c r="CH256" s="29"/>
      <c r="CI256" s="29"/>
      <c r="CJ256" s="29"/>
      <c r="CK256" s="28"/>
      <c r="CL256" s="28"/>
      <c r="CM256" s="7"/>
      <c r="CN256" s="7"/>
      <c r="CO256" s="7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7"/>
      <c r="DG256" s="7"/>
      <c r="DH256" s="7"/>
      <c r="DI256" s="7"/>
      <c r="DJ256" s="7"/>
      <c r="DK256" s="28"/>
      <c r="DL256" s="28"/>
      <c r="DM256" s="7"/>
      <c r="DN256" s="29"/>
      <c r="DO256" s="28"/>
      <c r="DP256" s="28"/>
      <c r="DQ256" s="28"/>
    </row>
    <row r="257" spans="2:121">
      <c r="B257" s="7"/>
      <c r="C257" s="7"/>
      <c r="D257" s="7"/>
      <c r="E257" s="7"/>
      <c r="F257" s="7"/>
      <c r="G257" s="7"/>
      <c r="H257" s="38"/>
      <c r="I257" s="46"/>
      <c r="J257" s="18"/>
      <c r="K257" s="7"/>
      <c r="L257" s="38"/>
      <c r="M257" s="38"/>
      <c r="N257" s="38"/>
      <c r="O257" s="7"/>
      <c r="P257" s="7"/>
      <c r="Q257" s="33"/>
      <c r="R257" s="11"/>
      <c r="S257" s="11"/>
      <c r="T257" s="11" t="s">
        <v>98</v>
      </c>
      <c r="U257" s="12"/>
      <c r="V257" s="11"/>
      <c r="W257" s="13"/>
      <c r="X257" s="9"/>
      <c r="Y257" s="38"/>
      <c r="Z257" s="38"/>
      <c r="AA257" s="38"/>
      <c r="AB257" s="11"/>
      <c r="AC257" s="11"/>
      <c r="AD257" s="7"/>
      <c r="AE257" s="38"/>
      <c r="AF257" s="7"/>
      <c r="AG257" s="46"/>
      <c r="AH257" s="9"/>
      <c r="AI257" s="9"/>
      <c r="AJ257" s="9"/>
      <c r="AK257" s="9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53"/>
      <c r="AZ257" s="46"/>
      <c r="BA257" s="46"/>
      <c r="BB257" s="46"/>
      <c r="BC257" s="46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7"/>
      <c r="BR257" s="28"/>
      <c r="BS257" s="28"/>
      <c r="BT257" s="28"/>
      <c r="BU257" s="28"/>
      <c r="BV257" s="28"/>
      <c r="BW257" s="7"/>
      <c r="BX257" s="28"/>
      <c r="BY257" s="28"/>
      <c r="BZ257" s="28"/>
      <c r="CA257" s="28"/>
      <c r="CB257" s="28"/>
      <c r="CC257" s="7"/>
      <c r="CD257" s="7"/>
      <c r="CE257" s="29"/>
      <c r="CF257" s="18"/>
      <c r="CG257" s="29"/>
      <c r="CH257" s="29"/>
      <c r="CI257" s="29"/>
      <c r="CJ257" s="29"/>
      <c r="CK257" s="28"/>
      <c r="CL257" s="28"/>
      <c r="CM257" s="7"/>
      <c r="CN257" s="7"/>
      <c r="CO257" s="7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7"/>
      <c r="DG257" s="7"/>
      <c r="DH257" s="7"/>
      <c r="DI257" s="7"/>
      <c r="DJ257" s="7"/>
      <c r="DK257" s="28"/>
      <c r="DL257" s="28"/>
      <c r="DM257" s="7"/>
      <c r="DN257" s="29"/>
      <c r="DO257" s="28"/>
      <c r="DP257" s="28"/>
      <c r="DQ257" s="28"/>
    </row>
    <row r="258" spans="2:121">
      <c r="B258" s="7"/>
      <c r="C258" s="7"/>
      <c r="D258" s="7"/>
      <c r="E258" s="7"/>
      <c r="F258" s="7"/>
      <c r="G258" s="7"/>
      <c r="H258" s="38"/>
      <c r="I258" s="46"/>
      <c r="J258" s="18"/>
      <c r="K258" s="7"/>
      <c r="L258" s="38"/>
      <c r="M258" s="38"/>
      <c r="N258" s="38"/>
      <c r="O258" s="7"/>
      <c r="P258" s="7"/>
      <c r="Q258" s="33"/>
      <c r="R258" s="11"/>
      <c r="S258" s="11"/>
      <c r="T258" s="11" t="s">
        <v>98</v>
      </c>
      <c r="U258" s="12"/>
      <c r="V258" s="11"/>
      <c r="W258" s="13"/>
      <c r="X258" s="9"/>
      <c r="Y258" s="38"/>
      <c r="Z258" s="38"/>
      <c r="AA258" s="38"/>
      <c r="AB258" s="11"/>
      <c r="AC258" s="11"/>
      <c r="AD258" s="7"/>
      <c r="AE258" s="38"/>
      <c r="AF258" s="7"/>
      <c r="AG258" s="46"/>
      <c r="AH258" s="9"/>
      <c r="AI258" s="9"/>
      <c r="AJ258" s="9"/>
      <c r="AK258" s="9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53"/>
      <c r="AZ258" s="46"/>
      <c r="BA258" s="46"/>
      <c r="BB258" s="46"/>
      <c r="BC258" s="46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7"/>
      <c r="BR258" s="28"/>
      <c r="BS258" s="28"/>
      <c r="BT258" s="28"/>
      <c r="BU258" s="28"/>
      <c r="BV258" s="28"/>
      <c r="BW258" s="7"/>
      <c r="BX258" s="28"/>
      <c r="BY258" s="28"/>
      <c r="BZ258" s="28"/>
      <c r="CA258" s="28"/>
      <c r="CB258" s="28"/>
      <c r="CC258" s="7"/>
      <c r="CD258" s="7"/>
      <c r="CE258" s="29"/>
      <c r="CF258" s="18"/>
      <c r="CG258" s="29"/>
      <c r="CH258" s="29"/>
      <c r="CI258" s="29"/>
      <c r="CJ258" s="29"/>
      <c r="CK258" s="28"/>
      <c r="CL258" s="28"/>
      <c r="CM258" s="7"/>
      <c r="CN258" s="7"/>
      <c r="CO258" s="7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7"/>
      <c r="DG258" s="7"/>
      <c r="DH258" s="7"/>
      <c r="DI258" s="7"/>
      <c r="DJ258" s="7"/>
      <c r="DK258" s="28"/>
      <c r="DL258" s="28"/>
      <c r="DM258" s="7"/>
      <c r="DN258" s="29"/>
      <c r="DO258" s="28"/>
      <c r="DP258" s="28"/>
      <c r="DQ258" s="28"/>
    </row>
    <row r="259" spans="2:121">
      <c r="B259" s="7"/>
      <c r="C259" s="7"/>
      <c r="D259" s="7"/>
      <c r="E259" s="7"/>
      <c r="F259" s="7"/>
      <c r="G259" s="7"/>
      <c r="H259" s="38"/>
      <c r="I259" s="46"/>
      <c r="J259" s="18"/>
      <c r="K259" s="7"/>
      <c r="L259" s="38"/>
      <c r="M259" s="38"/>
      <c r="N259" s="38"/>
      <c r="O259" s="7"/>
      <c r="P259" s="7"/>
      <c r="Q259" s="33"/>
      <c r="R259" s="11"/>
      <c r="S259" s="11"/>
      <c r="T259" s="11" t="s">
        <v>98</v>
      </c>
      <c r="U259" s="12"/>
      <c r="V259" s="11"/>
      <c r="W259" s="13"/>
      <c r="X259" s="9"/>
      <c r="Y259" s="38"/>
      <c r="Z259" s="38"/>
      <c r="AA259" s="38"/>
      <c r="AB259" s="11"/>
      <c r="AC259" s="11"/>
      <c r="AD259" s="7"/>
      <c r="AE259" s="38"/>
      <c r="AF259" s="7"/>
      <c r="AG259" s="46"/>
      <c r="AH259" s="9"/>
      <c r="AI259" s="9"/>
      <c r="AJ259" s="9"/>
      <c r="AK259" s="9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53"/>
      <c r="AZ259" s="46"/>
      <c r="BA259" s="46"/>
      <c r="BB259" s="46"/>
      <c r="BC259" s="46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7"/>
      <c r="BR259" s="28"/>
      <c r="BS259" s="28"/>
      <c r="BT259" s="28"/>
      <c r="BU259" s="28"/>
      <c r="BV259" s="28"/>
      <c r="BW259" s="7"/>
      <c r="BX259" s="28"/>
      <c r="BY259" s="28"/>
      <c r="BZ259" s="28"/>
      <c r="CA259" s="28"/>
      <c r="CB259" s="28"/>
      <c r="CC259" s="7"/>
      <c r="CD259" s="7"/>
      <c r="CE259" s="29"/>
      <c r="CF259" s="18"/>
      <c r="CG259" s="29"/>
      <c r="CH259" s="29"/>
      <c r="CI259" s="29"/>
      <c r="CJ259" s="29"/>
      <c r="CK259" s="28"/>
      <c r="CL259" s="28"/>
      <c r="CM259" s="7"/>
      <c r="CN259" s="7"/>
      <c r="CO259" s="7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7"/>
      <c r="DG259" s="7"/>
      <c r="DH259" s="7"/>
      <c r="DI259" s="7"/>
      <c r="DJ259" s="7"/>
      <c r="DK259" s="28"/>
      <c r="DL259" s="28"/>
      <c r="DM259" s="7"/>
      <c r="DN259" s="29"/>
      <c r="DO259" s="28"/>
      <c r="DP259" s="28"/>
      <c r="DQ259" s="28"/>
    </row>
    <row r="260" spans="2:121">
      <c r="B260" s="7"/>
      <c r="C260" s="7"/>
      <c r="D260" s="7"/>
      <c r="E260" s="7"/>
      <c r="F260" s="7"/>
      <c r="G260" s="7"/>
      <c r="H260" s="38"/>
      <c r="I260" s="46"/>
      <c r="J260" s="18"/>
      <c r="K260" s="7"/>
      <c r="L260" s="38"/>
      <c r="M260" s="38"/>
      <c r="N260" s="38"/>
      <c r="O260" s="7"/>
      <c r="P260" s="7"/>
      <c r="Q260" s="33"/>
      <c r="R260" s="11"/>
      <c r="S260" s="11"/>
      <c r="T260" s="11" t="s">
        <v>98</v>
      </c>
      <c r="U260" s="12"/>
      <c r="V260" s="11"/>
      <c r="W260" s="13"/>
      <c r="X260" s="9"/>
      <c r="Y260" s="38"/>
      <c r="Z260" s="38"/>
      <c r="AA260" s="38"/>
      <c r="AB260" s="11"/>
      <c r="AC260" s="11"/>
      <c r="AD260" s="7"/>
      <c r="AE260" s="38"/>
      <c r="AF260" s="7"/>
      <c r="AG260" s="46"/>
      <c r="AH260" s="9"/>
      <c r="AI260" s="9"/>
      <c r="AJ260" s="9"/>
      <c r="AK260" s="9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53"/>
      <c r="AZ260" s="46"/>
      <c r="BA260" s="46"/>
      <c r="BB260" s="46"/>
      <c r="BC260" s="46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7"/>
      <c r="BR260" s="28"/>
      <c r="BS260" s="28"/>
      <c r="BT260" s="28"/>
      <c r="BU260" s="28"/>
      <c r="BV260" s="28"/>
      <c r="BW260" s="7"/>
      <c r="BX260" s="28"/>
      <c r="BY260" s="28"/>
      <c r="BZ260" s="28"/>
      <c r="CA260" s="28"/>
      <c r="CB260" s="28"/>
      <c r="CC260" s="7"/>
      <c r="CD260" s="7"/>
      <c r="CE260" s="29"/>
      <c r="CF260" s="18"/>
      <c r="CG260" s="29"/>
      <c r="CH260" s="29"/>
      <c r="CI260" s="29"/>
      <c r="CJ260" s="29"/>
      <c r="CK260" s="28"/>
      <c r="CL260" s="28"/>
      <c r="CM260" s="7"/>
      <c r="CN260" s="7"/>
      <c r="CO260" s="7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7"/>
      <c r="DG260" s="7"/>
      <c r="DH260" s="7"/>
      <c r="DI260" s="7"/>
      <c r="DJ260" s="7"/>
      <c r="DK260" s="28"/>
      <c r="DL260" s="28"/>
      <c r="DM260" s="7"/>
      <c r="DN260" s="29"/>
      <c r="DO260" s="28"/>
      <c r="DP260" s="28"/>
      <c r="DQ260" s="28"/>
    </row>
    <row r="261" spans="2:121">
      <c r="B261" s="7"/>
      <c r="C261" s="7"/>
      <c r="D261" s="7"/>
      <c r="E261" s="7"/>
      <c r="F261" s="7"/>
      <c r="G261" s="7"/>
      <c r="H261" s="38"/>
      <c r="I261" s="46"/>
      <c r="J261" s="18"/>
      <c r="K261" s="7"/>
      <c r="L261" s="38"/>
      <c r="M261" s="38"/>
      <c r="N261" s="38"/>
      <c r="O261" s="7"/>
      <c r="P261" s="7"/>
      <c r="Q261" s="33"/>
      <c r="R261" s="11"/>
      <c r="S261" s="11"/>
      <c r="T261" s="11" t="s">
        <v>98</v>
      </c>
      <c r="U261" s="12"/>
      <c r="V261" s="11"/>
      <c r="W261" s="13"/>
      <c r="X261" s="9"/>
      <c r="Y261" s="38"/>
      <c r="Z261" s="38"/>
      <c r="AA261" s="38"/>
      <c r="AB261" s="11"/>
      <c r="AC261" s="11"/>
      <c r="AD261" s="7"/>
      <c r="AE261" s="38"/>
      <c r="AF261" s="7"/>
      <c r="AG261" s="46"/>
      <c r="AH261" s="9"/>
      <c r="AI261" s="9"/>
      <c r="AJ261" s="9"/>
      <c r="AK261" s="9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53"/>
      <c r="AZ261" s="46"/>
      <c r="BA261" s="46"/>
      <c r="BB261" s="46"/>
      <c r="BC261" s="46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7"/>
      <c r="BR261" s="28"/>
      <c r="BS261" s="28"/>
      <c r="BT261" s="28"/>
      <c r="BU261" s="28"/>
      <c r="BV261" s="28"/>
      <c r="BW261" s="7"/>
      <c r="BX261" s="28"/>
      <c r="BY261" s="28"/>
      <c r="BZ261" s="28"/>
      <c r="CA261" s="28"/>
      <c r="CB261" s="28"/>
      <c r="CC261" s="7"/>
      <c r="CD261" s="7"/>
      <c r="CE261" s="29"/>
      <c r="CF261" s="18"/>
      <c r="CG261" s="29"/>
      <c r="CH261" s="29"/>
      <c r="CI261" s="29"/>
      <c r="CJ261" s="29"/>
      <c r="CK261" s="28"/>
      <c r="CL261" s="28"/>
      <c r="CM261" s="7"/>
      <c r="CN261" s="7"/>
      <c r="CO261" s="7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7"/>
      <c r="DG261" s="7"/>
      <c r="DH261" s="7"/>
      <c r="DI261" s="7"/>
      <c r="DJ261" s="7"/>
      <c r="DK261" s="28"/>
      <c r="DL261" s="28"/>
      <c r="DM261" s="7"/>
      <c r="DN261" s="29"/>
      <c r="DO261" s="28"/>
      <c r="DP261" s="28"/>
      <c r="DQ261" s="28"/>
    </row>
    <row r="262" spans="2:121">
      <c r="B262" s="7"/>
      <c r="C262" s="7"/>
      <c r="D262" s="7"/>
      <c r="E262" s="7"/>
      <c r="F262" s="7"/>
      <c r="G262" s="7"/>
      <c r="H262" s="38"/>
      <c r="I262" s="46"/>
      <c r="J262" s="18"/>
      <c r="K262" s="7"/>
      <c r="L262" s="38"/>
      <c r="M262" s="38"/>
      <c r="N262" s="38"/>
      <c r="O262" s="7"/>
      <c r="P262" s="7"/>
      <c r="Q262" s="33"/>
      <c r="R262" s="11"/>
      <c r="S262" s="11"/>
      <c r="T262" s="11" t="s">
        <v>98</v>
      </c>
      <c r="U262" s="12"/>
      <c r="V262" s="11"/>
      <c r="W262" s="13"/>
      <c r="X262" s="9"/>
      <c r="Y262" s="38"/>
      <c r="Z262" s="38"/>
      <c r="AA262" s="38"/>
      <c r="AB262" s="11"/>
      <c r="AC262" s="11"/>
      <c r="AD262" s="7"/>
      <c r="AE262" s="38"/>
      <c r="AF262" s="7"/>
      <c r="AG262" s="46"/>
      <c r="AH262" s="9"/>
      <c r="AI262" s="9"/>
      <c r="AJ262" s="9"/>
      <c r="AK262" s="9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53"/>
      <c r="AZ262" s="46"/>
      <c r="BA262" s="46"/>
      <c r="BB262" s="46"/>
      <c r="BC262" s="46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7"/>
      <c r="BR262" s="28"/>
      <c r="BS262" s="28"/>
      <c r="BT262" s="28"/>
      <c r="BU262" s="28"/>
      <c r="BV262" s="28"/>
      <c r="BW262" s="7"/>
      <c r="BX262" s="28"/>
      <c r="BY262" s="28"/>
      <c r="BZ262" s="28"/>
      <c r="CA262" s="28"/>
      <c r="CB262" s="28"/>
      <c r="CC262" s="7"/>
      <c r="CD262" s="7"/>
      <c r="CE262" s="29"/>
      <c r="CF262" s="18"/>
      <c r="CG262" s="29"/>
      <c r="CH262" s="29"/>
      <c r="CI262" s="29"/>
      <c r="CJ262" s="29"/>
      <c r="CK262" s="28"/>
      <c r="CL262" s="28"/>
      <c r="CM262" s="7"/>
      <c r="CN262" s="7"/>
      <c r="CO262" s="7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7"/>
      <c r="DG262" s="7"/>
      <c r="DH262" s="7"/>
      <c r="DI262" s="7"/>
      <c r="DJ262" s="7"/>
      <c r="DK262" s="28"/>
      <c r="DL262" s="28"/>
      <c r="DM262" s="7"/>
      <c r="DN262" s="29"/>
      <c r="DO262" s="28"/>
      <c r="DP262" s="28"/>
      <c r="DQ262" s="28"/>
    </row>
    <row r="263" spans="2:121">
      <c r="B263" s="7"/>
      <c r="C263" s="7"/>
      <c r="D263" s="7"/>
      <c r="E263" s="7"/>
      <c r="F263" s="7"/>
      <c r="G263" s="7"/>
      <c r="H263" s="38"/>
      <c r="I263" s="46"/>
      <c r="J263" s="18"/>
      <c r="K263" s="7"/>
      <c r="L263" s="38"/>
      <c r="M263" s="38"/>
      <c r="N263" s="38"/>
      <c r="O263" s="7"/>
      <c r="P263" s="7"/>
      <c r="Q263" s="33"/>
      <c r="R263" s="11"/>
      <c r="S263" s="11"/>
      <c r="T263" s="11" t="s">
        <v>98</v>
      </c>
      <c r="U263" s="12"/>
      <c r="V263" s="11"/>
      <c r="W263" s="13"/>
      <c r="X263" s="9"/>
      <c r="Y263" s="38"/>
      <c r="Z263" s="38"/>
      <c r="AA263" s="38"/>
      <c r="AB263" s="11"/>
      <c r="AC263" s="11"/>
      <c r="AD263" s="7"/>
      <c r="AE263" s="38"/>
      <c r="AF263" s="7"/>
      <c r="AG263" s="46"/>
      <c r="AH263" s="9"/>
      <c r="AI263" s="9"/>
      <c r="AJ263" s="9"/>
      <c r="AK263" s="9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53"/>
      <c r="AZ263" s="46"/>
      <c r="BA263" s="46"/>
      <c r="BB263" s="46"/>
      <c r="BC263" s="46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7"/>
      <c r="BR263" s="28"/>
      <c r="BS263" s="28"/>
      <c r="BT263" s="28"/>
      <c r="BU263" s="28"/>
      <c r="BV263" s="28"/>
      <c r="BW263" s="7"/>
      <c r="BX263" s="28"/>
      <c r="BY263" s="28"/>
      <c r="BZ263" s="28"/>
      <c r="CA263" s="28"/>
      <c r="CB263" s="28"/>
      <c r="CC263" s="7"/>
      <c r="CD263" s="7"/>
      <c r="CE263" s="29"/>
      <c r="CF263" s="18"/>
      <c r="CG263" s="29"/>
      <c r="CH263" s="29"/>
      <c r="CI263" s="29"/>
      <c r="CJ263" s="29"/>
      <c r="CK263" s="28"/>
      <c r="CL263" s="28"/>
      <c r="CM263" s="7"/>
      <c r="CN263" s="7"/>
      <c r="CO263" s="7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7"/>
      <c r="DG263" s="7"/>
      <c r="DH263" s="7"/>
      <c r="DI263" s="7"/>
      <c r="DJ263" s="7"/>
      <c r="DK263" s="28"/>
      <c r="DL263" s="28"/>
      <c r="DM263" s="7"/>
      <c r="DN263" s="29"/>
      <c r="DO263" s="28"/>
      <c r="DP263" s="28"/>
      <c r="DQ263" s="28"/>
    </row>
    <row r="264" spans="2:121">
      <c r="B264" s="7"/>
      <c r="C264" s="7"/>
      <c r="D264" s="7"/>
      <c r="E264" s="7"/>
      <c r="F264" s="7"/>
      <c r="G264" s="7"/>
      <c r="H264" s="38"/>
      <c r="I264" s="46"/>
      <c r="J264" s="18"/>
      <c r="K264" s="7"/>
      <c r="L264" s="38"/>
      <c r="M264" s="38"/>
      <c r="N264" s="38"/>
      <c r="O264" s="7"/>
      <c r="P264" s="7"/>
      <c r="Q264" s="33"/>
      <c r="R264" s="11"/>
      <c r="S264" s="11"/>
      <c r="T264" s="11" t="s">
        <v>98</v>
      </c>
      <c r="U264" s="12"/>
      <c r="V264" s="11"/>
      <c r="W264" s="13"/>
      <c r="X264" s="9"/>
      <c r="Y264" s="38"/>
      <c r="Z264" s="38"/>
      <c r="AA264" s="38"/>
      <c r="AB264" s="11"/>
      <c r="AC264" s="11"/>
      <c r="AD264" s="7"/>
      <c r="AE264" s="38"/>
      <c r="AF264" s="7"/>
      <c r="AG264" s="46"/>
      <c r="AH264" s="9"/>
      <c r="AI264" s="9"/>
      <c r="AJ264" s="9"/>
      <c r="AK264" s="9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53"/>
      <c r="AZ264" s="46"/>
      <c r="BA264" s="46"/>
      <c r="BB264" s="46"/>
      <c r="BC264" s="46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7"/>
      <c r="BR264" s="28"/>
      <c r="BS264" s="28"/>
      <c r="BT264" s="28"/>
      <c r="BU264" s="28"/>
      <c r="BV264" s="28"/>
      <c r="BW264" s="7"/>
      <c r="BX264" s="28"/>
      <c r="BY264" s="28"/>
      <c r="BZ264" s="28"/>
      <c r="CA264" s="28"/>
      <c r="CB264" s="28"/>
      <c r="CC264" s="7"/>
      <c r="CD264" s="7"/>
      <c r="CE264" s="29"/>
      <c r="CF264" s="18"/>
      <c r="CG264" s="29"/>
      <c r="CH264" s="29"/>
      <c r="CI264" s="29"/>
      <c r="CJ264" s="29"/>
      <c r="CK264" s="28"/>
      <c r="CL264" s="28"/>
      <c r="CM264" s="7"/>
      <c r="CN264" s="7"/>
      <c r="CO264" s="7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7"/>
      <c r="DG264" s="7"/>
      <c r="DH264" s="7"/>
      <c r="DI264" s="7"/>
      <c r="DJ264" s="7"/>
      <c r="DK264" s="28"/>
      <c r="DL264" s="28"/>
      <c r="DM264" s="7"/>
      <c r="DN264" s="29"/>
      <c r="DO264" s="28"/>
      <c r="DP264" s="28"/>
      <c r="DQ264" s="28"/>
    </row>
    <row r="265" spans="2:121">
      <c r="B265" s="7"/>
      <c r="C265" s="7"/>
      <c r="D265" s="7"/>
      <c r="E265" s="7"/>
      <c r="F265" s="7"/>
      <c r="G265" s="7"/>
      <c r="H265" s="38"/>
      <c r="I265" s="46"/>
      <c r="J265" s="18"/>
      <c r="K265" s="7"/>
      <c r="L265" s="38"/>
      <c r="M265" s="38"/>
      <c r="N265" s="38"/>
      <c r="O265" s="7"/>
      <c r="P265" s="7"/>
      <c r="Q265" s="33"/>
      <c r="R265" s="11"/>
      <c r="S265" s="11"/>
      <c r="T265" s="11" t="s">
        <v>98</v>
      </c>
      <c r="U265" s="12"/>
      <c r="V265" s="11"/>
      <c r="W265" s="13"/>
      <c r="X265" s="9"/>
      <c r="Y265" s="38"/>
      <c r="Z265" s="38"/>
      <c r="AA265" s="38"/>
      <c r="AB265" s="11"/>
      <c r="AC265" s="11"/>
      <c r="AD265" s="7"/>
      <c r="AE265" s="38"/>
      <c r="AF265" s="7"/>
      <c r="AG265" s="46"/>
      <c r="AH265" s="9"/>
      <c r="AI265" s="9"/>
      <c r="AJ265" s="9"/>
      <c r="AK265" s="9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53"/>
      <c r="AZ265" s="46"/>
      <c r="BA265" s="46"/>
      <c r="BB265" s="46"/>
      <c r="BC265" s="46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7"/>
      <c r="BR265" s="28"/>
      <c r="BS265" s="28"/>
      <c r="BT265" s="28"/>
      <c r="BU265" s="28"/>
      <c r="BV265" s="28"/>
      <c r="BW265" s="7"/>
      <c r="BX265" s="28"/>
      <c r="BY265" s="28"/>
      <c r="BZ265" s="28"/>
      <c r="CA265" s="28"/>
      <c r="CB265" s="28"/>
      <c r="CC265" s="7"/>
      <c r="CD265" s="7"/>
      <c r="CE265" s="29"/>
      <c r="CF265" s="18"/>
      <c r="CG265" s="29"/>
      <c r="CH265" s="29"/>
      <c r="CI265" s="29"/>
      <c r="CJ265" s="29"/>
      <c r="CK265" s="28"/>
      <c r="CL265" s="28"/>
      <c r="CM265" s="7"/>
      <c r="CN265" s="7"/>
      <c r="CO265" s="7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7"/>
      <c r="DG265" s="7"/>
      <c r="DH265" s="7"/>
      <c r="DI265" s="7"/>
      <c r="DJ265" s="7"/>
      <c r="DK265" s="28"/>
      <c r="DL265" s="28"/>
      <c r="DM265" s="7"/>
      <c r="DN265" s="29"/>
      <c r="DO265" s="28"/>
      <c r="DP265" s="28"/>
      <c r="DQ265" s="28"/>
    </row>
    <row r="266" spans="2:121">
      <c r="B266" s="7"/>
      <c r="C266" s="7"/>
      <c r="D266" s="7"/>
      <c r="E266" s="7"/>
      <c r="F266" s="7"/>
      <c r="G266" s="7"/>
      <c r="H266" s="38"/>
      <c r="I266" s="46"/>
      <c r="J266" s="18"/>
      <c r="K266" s="7"/>
      <c r="L266" s="38"/>
      <c r="M266" s="38"/>
      <c r="N266" s="38"/>
      <c r="O266" s="7"/>
      <c r="P266" s="7"/>
      <c r="Q266" s="33"/>
      <c r="R266" s="11"/>
      <c r="S266" s="11"/>
      <c r="T266" s="11" t="s">
        <v>98</v>
      </c>
      <c r="U266" s="12"/>
      <c r="V266" s="11"/>
      <c r="W266" s="13"/>
      <c r="X266" s="9"/>
      <c r="Y266" s="38"/>
      <c r="Z266" s="38"/>
      <c r="AA266" s="38"/>
      <c r="AB266" s="11"/>
      <c r="AC266" s="11"/>
      <c r="AD266" s="7"/>
      <c r="AE266" s="38"/>
      <c r="AF266" s="7"/>
      <c r="AG266" s="46"/>
      <c r="AH266" s="9"/>
      <c r="AI266" s="9"/>
      <c r="AJ266" s="9"/>
      <c r="AK266" s="9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53"/>
      <c r="AZ266" s="46"/>
      <c r="BA266" s="46"/>
      <c r="BB266" s="46"/>
      <c r="BC266" s="46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7"/>
      <c r="BR266" s="28"/>
      <c r="BS266" s="28"/>
      <c r="BT266" s="28"/>
      <c r="BU266" s="28"/>
      <c r="BV266" s="28"/>
      <c r="BW266" s="7"/>
      <c r="BX266" s="28"/>
      <c r="BY266" s="28"/>
      <c r="BZ266" s="28"/>
      <c r="CA266" s="28"/>
      <c r="CB266" s="28"/>
      <c r="CC266" s="7"/>
      <c r="CD266" s="7"/>
      <c r="CE266" s="29"/>
      <c r="CF266" s="18"/>
      <c r="CG266" s="29"/>
      <c r="CH266" s="29"/>
      <c r="CI266" s="29"/>
      <c r="CJ266" s="29"/>
      <c r="CK266" s="28"/>
      <c r="CL266" s="28"/>
      <c r="CM266" s="7"/>
      <c r="CN266" s="7"/>
      <c r="CO266" s="7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7"/>
      <c r="DG266" s="7"/>
      <c r="DH266" s="7"/>
      <c r="DI266" s="7"/>
      <c r="DJ266" s="7"/>
      <c r="DK266" s="28"/>
      <c r="DL266" s="28"/>
      <c r="DM266" s="7"/>
      <c r="DN266" s="29"/>
      <c r="DO266" s="28"/>
      <c r="DP266" s="28"/>
      <c r="DQ266" s="28"/>
    </row>
    <row r="267" spans="2:121">
      <c r="B267" s="7"/>
      <c r="C267" s="7"/>
      <c r="D267" s="7"/>
      <c r="E267" s="7"/>
      <c r="F267" s="7"/>
      <c r="G267" s="7"/>
      <c r="H267" s="38"/>
      <c r="I267" s="46"/>
      <c r="J267" s="18"/>
      <c r="K267" s="7"/>
      <c r="L267" s="38"/>
      <c r="M267" s="38"/>
      <c r="N267" s="38"/>
      <c r="O267" s="7"/>
      <c r="P267" s="7"/>
      <c r="Q267" s="33"/>
      <c r="R267" s="11"/>
      <c r="S267" s="11"/>
      <c r="T267" s="11" t="s">
        <v>98</v>
      </c>
      <c r="U267" s="12"/>
      <c r="V267" s="11"/>
      <c r="W267" s="13"/>
      <c r="X267" s="9"/>
      <c r="Y267" s="38"/>
      <c r="Z267" s="38"/>
      <c r="AA267" s="38"/>
      <c r="AB267" s="11"/>
      <c r="AC267" s="11"/>
      <c r="AD267" s="7"/>
      <c r="AE267" s="38"/>
      <c r="AF267" s="7"/>
      <c r="AG267" s="46"/>
      <c r="AH267" s="9"/>
      <c r="AI267" s="9"/>
      <c r="AJ267" s="9"/>
      <c r="AK267" s="9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53"/>
      <c r="AZ267" s="46"/>
      <c r="BA267" s="46"/>
      <c r="BB267" s="46"/>
      <c r="BC267" s="46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7"/>
      <c r="BR267" s="28"/>
      <c r="BS267" s="28"/>
      <c r="BT267" s="28"/>
      <c r="BU267" s="28"/>
      <c r="BV267" s="28"/>
      <c r="BW267" s="7"/>
      <c r="BX267" s="28"/>
      <c r="BY267" s="28"/>
      <c r="BZ267" s="28"/>
      <c r="CA267" s="28"/>
      <c r="CB267" s="28"/>
      <c r="CC267" s="7"/>
      <c r="CD267" s="7"/>
      <c r="CE267" s="29"/>
      <c r="CF267" s="18"/>
      <c r="CG267" s="29"/>
      <c r="CH267" s="29"/>
      <c r="CI267" s="29"/>
      <c r="CJ267" s="29"/>
      <c r="CK267" s="28"/>
      <c r="CL267" s="28"/>
      <c r="CM267" s="7"/>
      <c r="CN267" s="7"/>
      <c r="CO267" s="7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7"/>
      <c r="DG267" s="7"/>
      <c r="DH267" s="7"/>
      <c r="DI267" s="7"/>
      <c r="DJ267" s="7"/>
      <c r="DK267" s="28"/>
      <c r="DL267" s="28"/>
      <c r="DM267" s="7"/>
      <c r="DN267" s="29"/>
      <c r="DO267" s="28"/>
      <c r="DP267" s="28"/>
      <c r="DQ267" s="28"/>
    </row>
    <row r="268" spans="2:121">
      <c r="B268" s="7"/>
      <c r="C268" s="7"/>
      <c r="D268" s="7"/>
      <c r="E268" s="7"/>
      <c r="F268" s="7"/>
      <c r="G268" s="7"/>
      <c r="H268" s="38"/>
      <c r="I268" s="46"/>
      <c r="J268" s="18"/>
      <c r="K268" s="7"/>
      <c r="L268" s="38"/>
      <c r="M268" s="38"/>
      <c r="N268" s="38"/>
      <c r="O268" s="7"/>
      <c r="P268" s="7"/>
      <c r="Q268" s="33"/>
      <c r="R268" s="11"/>
      <c r="S268" s="11"/>
      <c r="T268" s="11" t="s">
        <v>98</v>
      </c>
      <c r="U268" s="12"/>
      <c r="V268" s="11"/>
      <c r="W268" s="13"/>
      <c r="X268" s="9"/>
      <c r="Y268" s="38"/>
      <c r="Z268" s="38"/>
      <c r="AA268" s="38"/>
      <c r="AB268" s="11"/>
      <c r="AC268" s="11"/>
      <c r="AD268" s="7"/>
      <c r="AE268" s="38"/>
      <c r="AF268" s="7"/>
      <c r="AG268" s="46"/>
      <c r="AH268" s="9"/>
      <c r="AI268" s="9"/>
      <c r="AJ268" s="9"/>
      <c r="AK268" s="9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53"/>
      <c r="AZ268" s="46"/>
      <c r="BA268" s="46"/>
      <c r="BB268" s="46"/>
      <c r="BC268" s="46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7"/>
      <c r="BR268" s="28"/>
      <c r="BS268" s="28"/>
      <c r="BT268" s="28"/>
      <c r="BU268" s="28"/>
      <c r="BV268" s="28"/>
      <c r="BW268" s="7"/>
      <c r="BX268" s="28"/>
      <c r="BY268" s="28"/>
      <c r="BZ268" s="28"/>
      <c r="CA268" s="28"/>
      <c r="CB268" s="28"/>
      <c r="CC268" s="7"/>
      <c r="CD268" s="7"/>
      <c r="CE268" s="29"/>
      <c r="CF268" s="18"/>
      <c r="CG268" s="29"/>
      <c r="CH268" s="29"/>
      <c r="CI268" s="29"/>
      <c r="CJ268" s="29"/>
      <c r="CK268" s="28"/>
      <c r="CL268" s="28"/>
      <c r="CM268" s="7"/>
      <c r="CN268" s="7"/>
      <c r="CO268" s="7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7"/>
      <c r="DG268" s="7"/>
      <c r="DH268" s="7"/>
      <c r="DI268" s="7"/>
      <c r="DJ268" s="7"/>
      <c r="DK268" s="28"/>
      <c r="DL268" s="28"/>
      <c r="DM268" s="7"/>
      <c r="DN268" s="29"/>
      <c r="DO268" s="28"/>
      <c r="DP268" s="28"/>
      <c r="DQ268" s="28"/>
    </row>
    <row r="269" spans="2:121">
      <c r="B269" s="7"/>
      <c r="C269" s="7"/>
      <c r="D269" s="7"/>
      <c r="E269" s="7"/>
      <c r="F269" s="7"/>
      <c r="G269" s="7"/>
      <c r="H269" s="38"/>
      <c r="I269" s="46"/>
      <c r="J269" s="18"/>
      <c r="K269" s="7"/>
      <c r="L269" s="38"/>
      <c r="M269" s="38"/>
      <c r="N269" s="38"/>
      <c r="O269" s="7"/>
      <c r="P269" s="7"/>
      <c r="Q269" s="33"/>
      <c r="R269" s="11"/>
      <c r="S269" s="11"/>
      <c r="T269" s="11" t="s">
        <v>98</v>
      </c>
      <c r="U269" s="12"/>
      <c r="V269" s="11"/>
      <c r="W269" s="13"/>
      <c r="X269" s="9"/>
      <c r="Y269" s="38"/>
      <c r="Z269" s="38"/>
      <c r="AA269" s="38"/>
      <c r="AB269" s="11"/>
      <c r="AC269" s="11"/>
      <c r="AD269" s="7"/>
      <c r="AE269" s="38"/>
      <c r="AF269" s="7"/>
      <c r="AG269" s="46"/>
      <c r="AH269" s="9"/>
      <c r="AI269" s="9"/>
      <c r="AJ269" s="9"/>
      <c r="AK269" s="9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53"/>
      <c r="AZ269" s="46"/>
      <c r="BA269" s="46"/>
      <c r="BB269" s="46"/>
      <c r="BC269" s="46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7"/>
      <c r="BR269" s="28"/>
      <c r="BS269" s="28"/>
      <c r="BT269" s="28"/>
      <c r="BU269" s="28"/>
      <c r="BV269" s="28"/>
      <c r="BW269" s="7"/>
      <c r="BX269" s="28"/>
      <c r="BY269" s="28"/>
      <c r="BZ269" s="28"/>
      <c r="CA269" s="28"/>
      <c r="CB269" s="28"/>
      <c r="CC269" s="7"/>
      <c r="CD269" s="7"/>
      <c r="CE269" s="29"/>
      <c r="CF269" s="18"/>
      <c r="CG269" s="29"/>
      <c r="CH269" s="29"/>
      <c r="CI269" s="29"/>
      <c r="CJ269" s="29"/>
      <c r="CK269" s="28"/>
      <c r="CL269" s="28"/>
      <c r="CM269" s="7"/>
      <c r="CN269" s="7"/>
      <c r="CO269" s="7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7"/>
      <c r="DG269" s="7"/>
      <c r="DH269" s="7"/>
      <c r="DI269" s="7"/>
      <c r="DJ269" s="7"/>
      <c r="DK269" s="28"/>
      <c r="DL269" s="28"/>
      <c r="DM269" s="7"/>
      <c r="DN269" s="29"/>
      <c r="DO269" s="28"/>
      <c r="DP269" s="28"/>
      <c r="DQ269" s="28"/>
    </row>
    <row r="270" spans="2:121">
      <c r="B270" s="7"/>
      <c r="C270" s="7"/>
      <c r="D270" s="7"/>
      <c r="E270" s="7"/>
      <c r="F270" s="7"/>
      <c r="G270" s="7"/>
      <c r="H270" s="38"/>
      <c r="I270" s="46"/>
      <c r="J270" s="18"/>
      <c r="K270" s="7"/>
      <c r="L270" s="38"/>
      <c r="M270" s="38"/>
      <c r="N270" s="38"/>
      <c r="O270" s="7"/>
      <c r="P270" s="7"/>
      <c r="Q270" s="33"/>
      <c r="R270" s="11"/>
      <c r="S270" s="11"/>
      <c r="T270" s="11" t="s">
        <v>98</v>
      </c>
      <c r="U270" s="12"/>
      <c r="V270" s="11"/>
      <c r="W270" s="13"/>
      <c r="X270" s="9"/>
      <c r="Y270" s="38"/>
      <c r="Z270" s="38"/>
      <c r="AA270" s="38"/>
      <c r="AB270" s="11"/>
      <c r="AC270" s="11"/>
      <c r="AD270" s="7"/>
      <c r="AE270" s="38"/>
      <c r="AF270" s="7"/>
      <c r="AG270" s="46"/>
      <c r="AH270" s="9"/>
      <c r="AI270" s="9"/>
      <c r="AJ270" s="9"/>
      <c r="AK270" s="9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53"/>
      <c r="AZ270" s="46"/>
      <c r="BA270" s="46"/>
      <c r="BB270" s="46"/>
      <c r="BC270" s="46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7"/>
      <c r="BR270" s="28"/>
      <c r="BS270" s="28"/>
      <c r="BT270" s="28"/>
      <c r="BU270" s="28"/>
      <c r="BV270" s="28"/>
      <c r="BW270" s="7"/>
      <c r="BX270" s="28"/>
      <c r="BY270" s="28"/>
      <c r="BZ270" s="28"/>
      <c r="CA270" s="28"/>
      <c r="CB270" s="28"/>
      <c r="CC270" s="7"/>
      <c r="CD270" s="7"/>
      <c r="CE270" s="29"/>
      <c r="CF270" s="18"/>
      <c r="CG270" s="29"/>
      <c r="CH270" s="29"/>
      <c r="CI270" s="29"/>
      <c r="CJ270" s="29"/>
      <c r="CK270" s="28"/>
      <c r="CL270" s="28"/>
      <c r="CM270" s="7"/>
      <c r="CN270" s="7"/>
      <c r="CO270" s="7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7"/>
      <c r="DG270" s="7"/>
      <c r="DH270" s="7"/>
      <c r="DI270" s="7"/>
      <c r="DJ270" s="7"/>
      <c r="DK270" s="28"/>
      <c r="DL270" s="28"/>
      <c r="DM270" s="7"/>
      <c r="DN270" s="29"/>
      <c r="DO270" s="28"/>
      <c r="DP270" s="28"/>
      <c r="DQ270" s="28"/>
    </row>
    <row r="271" spans="2:121">
      <c r="B271" s="7"/>
      <c r="C271" s="7"/>
      <c r="D271" s="7"/>
      <c r="E271" s="7"/>
      <c r="F271" s="7"/>
      <c r="G271" s="7"/>
      <c r="H271" s="38"/>
      <c r="I271" s="46"/>
      <c r="J271" s="18"/>
      <c r="K271" s="7"/>
      <c r="L271" s="38"/>
      <c r="M271" s="38"/>
      <c r="N271" s="38"/>
      <c r="O271" s="7"/>
      <c r="P271" s="7"/>
      <c r="Q271" s="33"/>
      <c r="R271" s="11"/>
      <c r="S271" s="11"/>
      <c r="T271" s="11" t="s">
        <v>98</v>
      </c>
      <c r="U271" s="12"/>
      <c r="V271" s="11"/>
      <c r="W271" s="13"/>
      <c r="X271" s="9"/>
      <c r="Y271" s="38"/>
      <c r="Z271" s="38"/>
      <c r="AA271" s="38"/>
      <c r="AB271" s="11"/>
      <c r="AC271" s="11"/>
      <c r="AD271" s="7"/>
      <c r="AE271" s="38"/>
      <c r="AF271" s="7"/>
      <c r="AG271" s="46"/>
      <c r="AH271" s="9"/>
      <c r="AI271" s="9"/>
      <c r="AJ271" s="9"/>
      <c r="AK271" s="9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53"/>
      <c r="AZ271" s="46"/>
      <c r="BA271" s="46"/>
      <c r="BB271" s="46"/>
      <c r="BC271" s="46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7"/>
      <c r="BR271" s="28"/>
      <c r="BS271" s="28"/>
      <c r="BT271" s="28"/>
      <c r="BU271" s="28"/>
      <c r="BV271" s="28"/>
      <c r="BW271" s="7"/>
      <c r="BX271" s="28"/>
      <c r="BY271" s="28"/>
      <c r="BZ271" s="28"/>
      <c r="CA271" s="28"/>
      <c r="CB271" s="28"/>
      <c r="CC271" s="7"/>
      <c r="CD271" s="7"/>
      <c r="CE271" s="29"/>
      <c r="CF271" s="18"/>
      <c r="CG271" s="29"/>
      <c r="CH271" s="29"/>
      <c r="CI271" s="29"/>
      <c r="CJ271" s="29"/>
      <c r="CK271" s="28"/>
      <c r="CL271" s="28"/>
      <c r="CM271" s="7"/>
      <c r="CN271" s="7"/>
      <c r="CO271" s="7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7"/>
      <c r="DG271" s="7"/>
      <c r="DH271" s="7"/>
      <c r="DI271" s="7"/>
      <c r="DJ271" s="7"/>
      <c r="DK271" s="28"/>
      <c r="DL271" s="28"/>
      <c r="DM271" s="7"/>
      <c r="DN271" s="29"/>
      <c r="DO271" s="28"/>
      <c r="DP271" s="28"/>
      <c r="DQ271" s="28"/>
    </row>
    <row r="272" spans="2:121">
      <c r="B272" s="7"/>
      <c r="C272" s="7"/>
      <c r="D272" s="7"/>
      <c r="E272" s="7"/>
      <c r="F272" s="7"/>
      <c r="G272" s="7"/>
      <c r="H272" s="38"/>
      <c r="I272" s="46"/>
      <c r="J272" s="18"/>
      <c r="K272" s="7"/>
      <c r="L272" s="38"/>
      <c r="M272" s="38"/>
      <c r="N272" s="38"/>
      <c r="O272" s="7"/>
      <c r="P272" s="7"/>
      <c r="Q272" s="33"/>
      <c r="R272" s="11"/>
      <c r="S272" s="11"/>
      <c r="T272" s="11" t="s">
        <v>98</v>
      </c>
      <c r="U272" s="12"/>
      <c r="V272" s="11"/>
      <c r="W272" s="13"/>
      <c r="X272" s="9"/>
      <c r="Y272" s="38"/>
      <c r="Z272" s="38"/>
      <c r="AA272" s="38"/>
      <c r="AB272" s="11"/>
      <c r="AC272" s="11"/>
      <c r="AD272" s="7"/>
      <c r="AE272" s="38"/>
      <c r="AF272" s="7"/>
      <c r="AG272" s="46"/>
      <c r="AH272" s="9"/>
      <c r="AI272" s="9"/>
      <c r="AJ272" s="9"/>
      <c r="AK272" s="9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53"/>
      <c r="AZ272" s="46"/>
      <c r="BA272" s="46"/>
      <c r="BB272" s="46"/>
      <c r="BC272" s="46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7"/>
      <c r="BR272" s="28"/>
      <c r="BS272" s="28"/>
      <c r="BT272" s="28"/>
      <c r="BU272" s="28"/>
      <c r="BV272" s="28"/>
      <c r="BW272" s="7"/>
      <c r="BX272" s="28"/>
      <c r="BY272" s="28"/>
      <c r="BZ272" s="28"/>
      <c r="CA272" s="28"/>
      <c r="CB272" s="28"/>
      <c r="CC272" s="7"/>
      <c r="CD272" s="7"/>
      <c r="CE272" s="29"/>
      <c r="CF272" s="18"/>
      <c r="CG272" s="29"/>
      <c r="CH272" s="29"/>
      <c r="CI272" s="29"/>
      <c r="CJ272" s="29"/>
      <c r="CK272" s="28"/>
      <c r="CL272" s="28"/>
      <c r="CM272" s="7"/>
      <c r="CN272" s="7"/>
      <c r="CO272" s="7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7"/>
      <c r="DG272" s="7"/>
      <c r="DH272" s="7"/>
      <c r="DI272" s="7"/>
      <c r="DJ272" s="7"/>
      <c r="DK272" s="28"/>
      <c r="DL272" s="28"/>
      <c r="DM272" s="7"/>
      <c r="DN272" s="29"/>
      <c r="DO272" s="28"/>
      <c r="DP272" s="28"/>
      <c r="DQ272" s="28"/>
    </row>
    <row r="273" spans="2:121">
      <c r="B273" s="7"/>
      <c r="C273" s="7"/>
      <c r="D273" s="7"/>
      <c r="E273" s="7"/>
      <c r="F273" s="7"/>
      <c r="G273" s="7"/>
      <c r="H273" s="38"/>
      <c r="I273" s="46"/>
      <c r="J273" s="18"/>
      <c r="K273" s="7"/>
      <c r="L273" s="38"/>
      <c r="M273" s="38"/>
      <c r="N273" s="38"/>
      <c r="O273" s="7"/>
      <c r="P273" s="7"/>
      <c r="Q273" s="33"/>
      <c r="R273" s="11"/>
      <c r="S273" s="11"/>
      <c r="T273" s="11" t="s">
        <v>98</v>
      </c>
      <c r="U273" s="12"/>
      <c r="V273" s="11"/>
      <c r="W273" s="13"/>
      <c r="X273" s="9"/>
      <c r="Y273" s="38"/>
      <c r="Z273" s="38"/>
      <c r="AA273" s="38"/>
      <c r="AB273" s="11"/>
      <c r="AC273" s="11"/>
      <c r="AD273" s="7"/>
      <c r="AE273" s="38"/>
      <c r="AF273" s="7"/>
      <c r="AG273" s="46"/>
      <c r="AH273" s="9"/>
      <c r="AI273" s="9"/>
      <c r="AJ273" s="9"/>
      <c r="AK273" s="9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53"/>
      <c r="AZ273" s="46"/>
      <c r="BA273" s="46"/>
      <c r="BB273" s="46"/>
      <c r="BC273" s="46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7"/>
      <c r="BR273" s="28"/>
      <c r="BS273" s="28"/>
      <c r="BT273" s="28"/>
      <c r="BU273" s="28"/>
      <c r="BV273" s="28"/>
      <c r="BW273" s="7"/>
      <c r="BX273" s="28"/>
      <c r="BY273" s="28"/>
      <c r="BZ273" s="28"/>
      <c r="CA273" s="28"/>
      <c r="CB273" s="28"/>
      <c r="CC273" s="7"/>
      <c r="CD273" s="7"/>
      <c r="CE273" s="29"/>
      <c r="CF273" s="18"/>
      <c r="CG273" s="29"/>
      <c r="CH273" s="29"/>
      <c r="CI273" s="29"/>
      <c r="CJ273" s="29"/>
      <c r="CK273" s="28"/>
      <c r="CL273" s="28"/>
      <c r="CM273" s="7"/>
      <c r="CN273" s="7"/>
      <c r="CO273" s="7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7"/>
      <c r="DG273" s="7"/>
      <c r="DH273" s="7"/>
      <c r="DI273" s="7"/>
      <c r="DJ273" s="7"/>
      <c r="DK273" s="28"/>
      <c r="DL273" s="28"/>
      <c r="DM273" s="7"/>
      <c r="DN273" s="29"/>
      <c r="DO273" s="28"/>
      <c r="DP273" s="28"/>
      <c r="DQ273" s="28"/>
    </row>
    <row r="274" spans="2:121">
      <c r="B274" s="7"/>
      <c r="C274" s="7"/>
      <c r="D274" s="7"/>
      <c r="E274" s="7"/>
      <c r="F274" s="7"/>
      <c r="G274" s="7"/>
      <c r="H274" s="38"/>
      <c r="I274" s="46"/>
      <c r="J274" s="18"/>
      <c r="K274" s="7"/>
      <c r="L274" s="38"/>
      <c r="M274" s="38"/>
      <c r="N274" s="38"/>
      <c r="O274" s="7"/>
      <c r="P274" s="7"/>
      <c r="Q274" s="33"/>
      <c r="R274" s="11"/>
      <c r="S274" s="11"/>
      <c r="T274" s="11" t="s">
        <v>98</v>
      </c>
      <c r="U274" s="12"/>
      <c r="V274" s="11"/>
      <c r="W274" s="13"/>
      <c r="X274" s="9"/>
      <c r="Y274" s="38"/>
      <c r="Z274" s="38"/>
      <c r="AA274" s="38"/>
      <c r="AB274" s="11"/>
      <c r="AC274" s="11"/>
      <c r="AD274" s="7"/>
      <c r="AE274" s="38"/>
      <c r="AF274" s="7"/>
      <c r="AG274" s="46"/>
      <c r="AH274" s="9"/>
      <c r="AI274" s="9"/>
      <c r="AJ274" s="9"/>
      <c r="AK274" s="9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53"/>
      <c r="AZ274" s="46"/>
      <c r="BA274" s="46"/>
      <c r="BB274" s="46"/>
      <c r="BC274" s="46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7"/>
      <c r="BR274" s="28"/>
      <c r="BS274" s="28"/>
      <c r="BT274" s="28"/>
      <c r="BU274" s="28"/>
      <c r="BV274" s="28"/>
      <c r="BW274" s="7"/>
      <c r="BX274" s="28"/>
      <c r="BY274" s="28"/>
      <c r="BZ274" s="28"/>
      <c r="CA274" s="28"/>
      <c r="CB274" s="28"/>
      <c r="CC274" s="7"/>
      <c r="CD274" s="7"/>
      <c r="CE274" s="29"/>
      <c r="CF274" s="18"/>
      <c r="CG274" s="29"/>
      <c r="CH274" s="29"/>
      <c r="CI274" s="29"/>
      <c r="CJ274" s="29"/>
      <c r="CK274" s="28"/>
      <c r="CL274" s="28"/>
      <c r="CM274" s="7"/>
      <c r="CN274" s="7"/>
      <c r="CO274" s="7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7"/>
      <c r="DG274" s="7"/>
      <c r="DH274" s="7"/>
      <c r="DI274" s="7"/>
      <c r="DJ274" s="7"/>
      <c r="DK274" s="28"/>
      <c r="DL274" s="28"/>
      <c r="DM274" s="7"/>
      <c r="DN274" s="29"/>
      <c r="DO274" s="28"/>
      <c r="DP274" s="28"/>
      <c r="DQ274" s="28"/>
    </row>
    <row r="275" spans="2:121">
      <c r="B275" s="7"/>
      <c r="C275" s="7"/>
      <c r="D275" s="7"/>
      <c r="E275" s="7"/>
      <c r="F275" s="7"/>
      <c r="G275" s="7"/>
      <c r="H275" s="38"/>
      <c r="I275" s="46"/>
      <c r="J275" s="18"/>
      <c r="K275" s="7"/>
      <c r="L275" s="38"/>
      <c r="M275" s="38"/>
      <c r="N275" s="38"/>
      <c r="O275" s="7"/>
      <c r="P275" s="7"/>
      <c r="Q275" s="33"/>
      <c r="R275" s="11"/>
      <c r="S275" s="11"/>
      <c r="T275" s="11" t="s">
        <v>98</v>
      </c>
      <c r="U275" s="12"/>
      <c r="V275" s="11"/>
      <c r="W275" s="13"/>
      <c r="X275" s="9"/>
      <c r="Y275" s="38"/>
      <c r="Z275" s="38"/>
      <c r="AA275" s="38"/>
      <c r="AB275" s="11"/>
      <c r="AC275" s="11"/>
      <c r="AD275" s="7"/>
      <c r="AE275" s="38"/>
      <c r="AF275" s="7"/>
      <c r="AG275" s="46"/>
      <c r="AH275" s="9"/>
      <c r="AI275" s="9"/>
      <c r="AJ275" s="9"/>
      <c r="AK275" s="9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53"/>
      <c r="AZ275" s="46"/>
      <c r="BA275" s="46"/>
      <c r="BB275" s="46"/>
      <c r="BC275" s="46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7"/>
      <c r="BR275" s="28"/>
      <c r="BS275" s="28"/>
      <c r="BT275" s="28"/>
      <c r="BU275" s="28"/>
      <c r="BV275" s="28"/>
      <c r="BW275" s="7"/>
      <c r="BX275" s="28"/>
      <c r="BY275" s="28"/>
      <c r="BZ275" s="28"/>
      <c r="CA275" s="28"/>
      <c r="CB275" s="28"/>
      <c r="CC275" s="7"/>
      <c r="CD275" s="7"/>
      <c r="CE275" s="29"/>
      <c r="CF275" s="18"/>
      <c r="CG275" s="29"/>
      <c r="CH275" s="29"/>
      <c r="CI275" s="29"/>
      <c r="CJ275" s="29"/>
      <c r="CK275" s="28"/>
      <c r="CL275" s="28"/>
      <c r="CM275" s="7"/>
      <c r="CN275" s="7"/>
      <c r="CO275" s="7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7"/>
      <c r="DG275" s="7"/>
      <c r="DH275" s="7"/>
      <c r="DI275" s="7"/>
      <c r="DJ275" s="7"/>
      <c r="DK275" s="28"/>
      <c r="DL275" s="28"/>
      <c r="DM275" s="7"/>
      <c r="DN275" s="29"/>
      <c r="DO275" s="28"/>
      <c r="DP275" s="28"/>
      <c r="DQ275" s="28"/>
    </row>
    <row r="276" spans="2:121">
      <c r="B276" s="7"/>
      <c r="C276" s="7"/>
      <c r="D276" s="7"/>
      <c r="E276" s="7"/>
      <c r="F276" s="7"/>
      <c r="G276" s="7"/>
      <c r="H276" s="38"/>
      <c r="I276" s="46"/>
      <c r="J276" s="18"/>
      <c r="K276" s="7"/>
      <c r="L276" s="38"/>
      <c r="M276" s="38"/>
      <c r="N276" s="38"/>
      <c r="O276" s="7"/>
      <c r="P276" s="7"/>
      <c r="Q276" s="33"/>
      <c r="R276" s="11"/>
      <c r="S276" s="11"/>
      <c r="T276" s="11" t="s">
        <v>98</v>
      </c>
      <c r="U276" s="12"/>
      <c r="V276" s="11"/>
      <c r="W276" s="13"/>
      <c r="X276" s="9"/>
      <c r="Y276" s="38"/>
      <c r="Z276" s="38"/>
      <c r="AA276" s="38"/>
      <c r="AB276" s="11"/>
      <c r="AC276" s="11"/>
      <c r="AD276" s="7"/>
      <c r="AE276" s="38"/>
      <c r="AF276" s="7"/>
      <c r="AG276" s="46"/>
      <c r="AH276" s="9"/>
      <c r="AI276" s="9"/>
      <c r="AJ276" s="9"/>
      <c r="AK276" s="9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53"/>
      <c r="AZ276" s="46"/>
      <c r="BA276" s="46"/>
      <c r="BB276" s="46"/>
      <c r="BC276" s="46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7"/>
      <c r="BR276" s="28"/>
      <c r="BS276" s="28"/>
      <c r="BT276" s="28"/>
      <c r="BU276" s="28"/>
      <c r="BV276" s="28"/>
      <c r="BW276" s="7"/>
      <c r="BX276" s="28"/>
      <c r="BY276" s="28"/>
      <c r="BZ276" s="28"/>
      <c r="CA276" s="28"/>
      <c r="CB276" s="28"/>
      <c r="CC276" s="7"/>
      <c r="CD276" s="7"/>
      <c r="CE276" s="29"/>
      <c r="CF276" s="18"/>
      <c r="CG276" s="29"/>
      <c r="CH276" s="29"/>
      <c r="CI276" s="29"/>
      <c r="CJ276" s="29"/>
      <c r="CK276" s="28"/>
      <c r="CL276" s="28"/>
      <c r="CM276" s="7"/>
      <c r="CN276" s="7"/>
      <c r="CO276" s="7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7"/>
      <c r="DG276" s="7"/>
      <c r="DH276" s="7"/>
      <c r="DI276" s="7"/>
      <c r="DJ276" s="7"/>
      <c r="DK276" s="28"/>
      <c r="DL276" s="28"/>
      <c r="DM276" s="7"/>
      <c r="DN276" s="29"/>
      <c r="DO276" s="28"/>
      <c r="DP276" s="28"/>
      <c r="DQ276" s="28"/>
    </row>
    <row r="277" spans="2:121">
      <c r="B277" s="7"/>
      <c r="C277" s="7"/>
      <c r="D277" s="7"/>
      <c r="E277" s="7"/>
      <c r="F277" s="7"/>
      <c r="G277" s="7"/>
      <c r="H277" s="38"/>
      <c r="I277" s="46"/>
      <c r="J277" s="18"/>
      <c r="K277" s="7"/>
      <c r="L277" s="38"/>
      <c r="M277" s="38"/>
      <c r="N277" s="38"/>
      <c r="O277" s="7"/>
      <c r="P277" s="7"/>
      <c r="Q277" s="33"/>
      <c r="R277" s="11"/>
      <c r="S277" s="11"/>
      <c r="T277" s="11" t="s">
        <v>98</v>
      </c>
      <c r="U277" s="12"/>
      <c r="V277" s="11"/>
      <c r="W277" s="13"/>
      <c r="X277" s="9"/>
      <c r="Y277" s="38"/>
      <c r="Z277" s="38"/>
      <c r="AA277" s="38"/>
      <c r="AB277" s="11"/>
      <c r="AC277" s="11"/>
      <c r="AD277" s="7"/>
      <c r="AE277" s="38"/>
      <c r="AF277" s="7"/>
      <c r="AG277" s="46"/>
      <c r="AH277" s="9"/>
      <c r="AI277" s="9"/>
      <c r="AJ277" s="9"/>
      <c r="AK277" s="9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53"/>
      <c r="AZ277" s="46"/>
      <c r="BA277" s="46"/>
      <c r="BB277" s="46"/>
      <c r="BC277" s="46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7"/>
      <c r="BR277" s="28"/>
      <c r="BS277" s="28"/>
      <c r="BT277" s="28"/>
      <c r="BU277" s="28"/>
      <c r="BV277" s="28"/>
      <c r="BW277" s="7"/>
      <c r="BX277" s="28"/>
      <c r="BY277" s="28"/>
      <c r="BZ277" s="28"/>
      <c r="CA277" s="28"/>
      <c r="CB277" s="28"/>
      <c r="CC277" s="7"/>
      <c r="CD277" s="7"/>
      <c r="CE277" s="29"/>
      <c r="CF277" s="18"/>
      <c r="CG277" s="29"/>
      <c r="CH277" s="29"/>
      <c r="CI277" s="29"/>
      <c r="CJ277" s="29"/>
      <c r="CK277" s="28"/>
      <c r="CL277" s="28"/>
      <c r="CM277" s="7"/>
      <c r="CN277" s="7"/>
      <c r="CO277" s="7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7"/>
      <c r="DG277" s="7"/>
      <c r="DH277" s="7"/>
      <c r="DI277" s="7"/>
      <c r="DJ277" s="7"/>
      <c r="DK277" s="28"/>
      <c r="DL277" s="28"/>
      <c r="DM277" s="7"/>
      <c r="DN277" s="29"/>
      <c r="DO277" s="28"/>
      <c r="DP277" s="28"/>
      <c r="DQ277" s="28"/>
    </row>
    <row r="278" spans="2:121">
      <c r="B278" s="7"/>
      <c r="C278" s="7"/>
      <c r="D278" s="7"/>
      <c r="E278" s="7"/>
      <c r="F278" s="7"/>
      <c r="G278" s="7"/>
      <c r="H278" s="38"/>
      <c r="I278" s="46"/>
      <c r="J278" s="18"/>
      <c r="K278" s="7"/>
      <c r="L278" s="38"/>
      <c r="M278" s="38"/>
      <c r="N278" s="38"/>
      <c r="O278" s="7"/>
      <c r="P278" s="7"/>
      <c r="Q278" s="33"/>
      <c r="R278" s="11"/>
      <c r="S278" s="11"/>
      <c r="T278" s="11" t="s">
        <v>98</v>
      </c>
      <c r="U278" s="12"/>
      <c r="V278" s="11"/>
      <c r="W278" s="13"/>
      <c r="X278" s="9"/>
      <c r="Y278" s="38"/>
      <c r="Z278" s="38"/>
      <c r="AA278" s="38"/>
      <c r="AB278" s="11"/>
      <c r="AC278" s="11"/>
      <c r="AD278" s="7"/>
      <c r="AE278" s="38"/>
      <c r="AF278" s="7"/>
      <c r="AG278" s="46"/>
      <c r="AH278" s="9"/>
      <c r="AI278" s="9"/>
      <c r="AJ278" s="9"/>
      <c r="AK278" s="9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53"/>
      <c r="AZ278" s="46"/>
      <c r="BA278" s="46"/>
      <c r="BB278" s="46"/>
      <c r="BC278" s="46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7"/>
      <c r="BR278" s="28"/>
      <c r="BS278" s="28"/>
      <c r="BT278" s="28"/>
      <c r="BU278" s="28"/>
      <c r="BV278" s="28"/>
      <c r="BW278" s="7"/>
      <c r="BX278" s="28"/>
      <c r="BY278" s="28"/>
      <c r="BZ278" s="28"/>
      <c r="CA278" s="28"/>
      <c r="CB278" s="28"/>
      <c r="CC278" s="7"/>
      <c r="CD278" s="7"/>
      <c r="CE278" s="29"/>
      <c r="CF278" s="18"/>
      <c r="CG278" s="29"/>
      <c r="CH278" s="29"/>
      <c r="CI278" s="29"/>
      <c r="CJ278" s="29"/>
      <c r="CK278" s="28"/>
      <c r="CL278" s="28"/>
      <c r="CM278" s="7"/>
      <c r="CN278" s="7"/>
      <c r="CO278" s="7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7"/>
      <c r="DG278" s="7"/>
      <c r="DH278" s="7"/>
      <c r="DI278" s="7"/>
      <c r="DJ278" s="7"/>
      <c r="DK278" s="28"/>
      <c r="DL278" s="28"/>
      <c r="DM278" s="7"/>
      <c r="DN278" s="29"/>
      <c r="DO278" s="28"/>
      <c r="DP278" s="28"/>
      <c r="DQ278" s="28"/>
    </row>
    <row r="279" spans="2:121">
      <c r="B279" s="7"/>
      <c r="C279" s="7"/>
      <c r="D279" s="7"/>
      <c r="E279" s="7"/>
      <c r="F279" s="7"/>
      <c r="G279" s="7"/>
      <c r="H279" s="38"/>
      <c r="I279" s="46"/>
      <c r="J279" s="18"/>
      <c r="K279" s="7"/>
      <c r="L279" s="38"/>
      <c r="M279" s="38"/>
      <c r="N279" s="38"/>
      <c r="O279" s="7"/>
      <c r="P279" s="7"/>
      <c r="Q279" s="33"/>
      <c r="R279" s="11"/>
      <c r="S279" s="11"/>
      <c r="T279" s="11" t="s">
        <v>98</v>
      </c>
      <c r="U279" s="12"/>
      <c r="V279" s="11"/>
      <c r="W279" s="13"/>
      <c r="X279" s="9"/>
      <c r="Y279" s="38"/>
      <c r="Z279" s="38"/>
      <c r="AA279" s="38"/>
      <c r="AB279" s="11"/>
      <c r="AC279" s="11"/>
      <c r="AD279" s="7"/>
      <c r="AE279" s="38"/>
      <c r="AF279" s="7"/>
      <c r="AG279" s="46"/>
      <c r="AH279" s="9"/>
      <c r="AI279" s="9"/>
      <c r="AJ279" s="9"/>
      <c r="AK279" s="9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53"/>
      <c r="AZ279" s="46"/>
      <c r="BA279" s="46"/>
      <c r="BB279" s="46"/>
      <c r="BC279" s="46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7"/>
      <c r="BR279" s="28"/>
      <c r="BS279" s="28"/>
      <c r="BT279" s="28"/>
      <c r="BU279" s="28"/>
      <c r="BV279" s="28"/>
      <c r="BW279" s="7"/>
      <c r="BX279" s="28"/>
      <c r="BY279" s="28"/>
      <c r="BZ279" s="28"/>
      <c r="CA279" s="28"/>
      <c r="CB279" s="28"/>
      <c r="CC279" s="7"/>
      <c r="CD279" s="7"/>
      <c r="CE279" s="29"/>
      <c r="CF279" s="18"/>
      <c r="CG279" s="29"/>
      <c r="CH279" s="29"/>
      <c r="CI279" s="29"/>
      <c r="CJ279" s="29"/>
      <c r="CK279" s="28"/>
      <c r="CL279" s="28"/>
      <c r="CM279" s="7"/>
      <c r="CN279" s="7"/>
      <c r="CO279" s="7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7"/>
      <c r="DG279" s="7"/>
      <c r="DH279" s="7"/>
      <c r="DI279" s="7"/>
      <c r="DJ279" s="7"/>
      <c r="DK279" s="28"/>
      <c r="DL279" s="28"/>
      <c r="DM279" s="7"/>
      <c r="DN279" s="29"/>
      <c r="DO279" s="28"/>
      <c r="DP279" s="28"/>
      <c r="DQ279" s="28"/>
    </row>
    <row r="280" spans="2:121">
      <c r="B280" s="7"/>
      <c r="C280" s="7"/>
      <c r="D280" s="7"/>
      <c r="E280" s="7"/>
      <c r="F280" s="7"/>
      <c r="G280" s="7"/>
      <c r="H280" s="38"/>
      <c r="I280" s="46"/>
      <c r="J280" s="18"/>
      <c r="K280" s="7"/>
      <c r="L280" s="38"/>
      <c r="M280" s="38"/>
      <c r="N280" s="38"/>
      <c r="O280" s="7"/>
      <c r="P280" s="7"/>
      <c r="Q280" s="33"/>
      <c r="R280" s="11"/>
      <c r="S280" s="11"/>
      <c r="T280" s="11" t="s">
        <v>98</v>
      </c>
      <c r="U280" s="12"/>
      <c r="V280" s="11"/>
      <c r="W280" s="13"/>
      <c r="X280" s="9"/>
      <c r="Y280" s="38"/>
      <c r="Z280" s="38"/>
      <c r="AA280" s="38"/>
      <c r="AB280" s="11"/>
      <c r="AC280" s="11"/>
      <c r="AD280" s="7"/>
      <c r="AE280" s="38"/>
      <c r="AF280" s="7"/>
      <c r="AG280" s="46"/>
      <c r="AH280" s="9"/>
      <c r="AI280" s="9"/>
      <c r="AJ280" s="9"/>
      <c r="AK280" s="9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53"/>
      <c r="AZ280" s="46"/>
      <c r="BA280" s="46"/>
      <c r="BB280" s="46"/>
      <c r="BC280" s="46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7"/>
      <c r="BR280" s="28"/>
      <c r="BS280" s="28"/>
      <c r="BT280" s="28"/>
      <c r="BU280" s="28"/>
      <c r="BV280" s="28"/>
      <c r="BW280" s="7"/>
      <c r="BX280" s="28"/>
      <c r="BY280" s="28"/>
      <c r="BZ280" s="28"/>
      <c r="CA280" s="28"/>
      <c r="CB280" s="28"/>
      <c r="CC280" s="7"/>
      <c r="CD280" s="7"/>
      <c r="CE280" s="29"/>
      <c r="CF280" s="18"/>
      <c r="CG280" s="29"/>
      <c r="CH280" s="29"/>
      <c r="CI280" s="29"/>
      <c r="CJ280" s="29"/>
      <c r="CK280" s="28"/>
      <c r="CL280" s="28"/>
      <c r="CM280" s="7"/>
      <c r="CN280" s="7"/>
      <c r="CO280" s="7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7"/>
      <c r="DG280" s="7"/>
      <c r="DH280" s="7"/>
      <c r="DI280" s="7"/>
      <c r="DJ280" s="7"/>
      <c r="DK280" s="28"/>
      <c r="DL280" s="28"/>
      <c r="DM280" s="7"/>
      <c r="DN280" s="29"/>
      <c r="DO280" s="28"/>
      <c r="DP280" s="28"/>
      <c r="DQ280" s="28"/>
    </row>
    <row r="281" spans="2:121">
      <c r="B281" s="7"/>
      <c r="C281" s="7"/>
      <c r="D281" s="7"/>
      <c r="E281" s="7"/>
      <c r="F281" s="7"/>
      <c r="G281" s="7"/>
      <c r="H281" s="38"/>
      <c r="I281" s="46"/>
      <c r="J281" s="18"/>
      <c r="K281" s="7"/>
      <c r="L281" s="38"/>
      <c r="M281" s="38"/>
      <c r="N281" s="38"/>
      <c r="O281" s="7"/>
      <c r="P281" s="7"/>
      <c r="Q281" s="33"/>
      <c r="R281" s="11"/>
      <c r="S281" s="11"/>
      <c r="T281" s="11" t="s">
        <v>98</v>
      </c>
      <c r="U281" s="12"/>
      <c r="V281" s="11"/>
      <c r="W281" s="13"/>
      <c r="X281" s="9"/>
      <c r="Y281" s="38"/>
      <c r="Z281" s="38"/>
      <c r="AA281" s="38"/>
      <c r="AB281" s="11"/>
      <c r="AC281" s="11"/>
      <c r="AD281" s="7"/>
      <c r="AE281" s="38"/>
      <c r="AF281" s="7"/>
      <c r="AG281" s="46"/>
      <c r="AH281" s="9"/>
      <c r="AI281" s="9"/>
      <c r="AJ281" s="9"/>
      <c r="AK281" s="9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53"/>
      <c r="AZ281" s="46"/>
      <c r="BA281" s="46"/>
      <c r="BB281" s="46"/>
      <c r="BC281" s="46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7"/>
      <c r="BR281" s="28"/>
      <c r="BS281" s="28"/>
      <c r="BT281" s="28"/>
      <c r="BU281" s="28"/>
      <c r="BV281" s="28"/>
      <c r="BW281" s="7"/>
      <c r="BX281" s="28"/>
      <c r="BY281" s="28"/>
      <c r="BZ281" s="28"/>
      <c r="CA281" s="28"/>
      <c r="CB281" s="28"/>
      <c r="CC281" s="7"/>
      <c r="CD281" s="7"/>
      <c r="CE281" s="29"/>
      <c r="CF281" s="18"/>
      <c r="CG281" s="29"/>
      <c r="CH281" s="29"/>
      <c r="CI281" s="29"/>
      <c r="CJ281" s="29"/>
      <c r="CK281" s="28"/>
      <c r="CL281" s="28"/>
      <c r="CM281" s="7"/>
      <c r="CN281" s="7"/>
      <c r="CO281" s="7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7"/>
      <c r="DG281" s="7"/>
      <c r="DH281" s="7"/>
      <c r="DI281" s="7"/>
      <c r="DJ281" s="7"/>
      <c r="DK281" s="28"/>
      <c r="DL281" s="28"/>
      <c r="DM281" s="7"/>
      <c r="DN281" s="29"/>
      <c r="DO281" s="28"/>
      <c r="DP281" s="28"/>
      <c r="DQ281" s="28"/>
    </row>
    <row r="282" spans="2:121">
      <c r="B282" s="7"/>
      <c r="C282" s="7"/>
      <c r="D282" s="7"/>
      <c r="E282" s="7"/>
      <c r="F282" s="7"/>
      <c r="G282" s="7"/>
      <c r="H282" s="38"/>
      <c r="I282" s="46"/>
      <c r="J282" s="18"/>
      <c r="K282" s="7"/>
      <c r="L282" s="38"/>
      <c r="M282" s="38"/>
      <c r="N282" s="38"/>
      <c r="O282" s="7"/>
      <c r="P282" s="7"/>
      <c r="Q282" s="33"/>
      <c r="R282" s="11"/>
      <c r="S282" s="11"/>
      <c r="T282" s="11" t="s">
        <v>98</v>
      </c>
      <c r="U282" s="12"/>
      <c r="V282" s="11"/>
      <c r="W282" s="13"/>
      <c r="X282" s="9"/>
      <c r="Y282" s="38"/>
      <c r="Z282" s="38"/>
      <c r="AA282" s="38"/>
      <c r="AB282" s="11"/>
      <c r="AC282" s="11"/>
      <c r="AD282" s="7"/>
      <c r="AE282" s="38"/>
      <c r="AF282" s="7"/>
      <c r="AG282" s="46"/>
      <c r="AH282" s="9"/>
      <c r="AI282" s="9"/>
      <c r="AJ282" s="9"/>
      <c r="AK282" s="9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53"/>
      <c r="AZ282" s="46"/>
      <c r="BA282" s="46"/>
      <c r="BB282" s="46"/>
      <c r="BC282" s="46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7"/>
      <c r="BR282" s="28"/>
      <c r="BS282" s="28"/>
      <c r="BT282" s="28"/>
      <c r="BU282" s="28"/>
      <c r="BV282" s="28"/>
      <c r="BW282" s="7"/>
      <c r="BX282" s="28"/>
      <c r="BY282" s="28"/>
      <c r="BZ282" s="28"/>
      <c r="CA282" s="28"/>
      <c r="CB282" s="28"/>
      <c r="CC282" s="7"/>
      <c r="CD282" s="7"/>
      <c r="CE282" s="29"/>
      <c r="CF282" s="18"/>
      <c r="CG282" s="29"/>
      <c r="CH282" s="29"/>
      <c r="CI282" s="29"/>
      <c r="CJ282" s="29"/>
      <c r="CK282" s="28"/>
      <c r="CL282" s="28"/>
      <c r="CM282" s="7"/>
      <c r="CN282" s="7"/>
      <c r="CO282" s="7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7"/>
      <c r="DG282" s="7"/>
      <c r="DH282" s="7"/>
      <c r="DI282" s="7"/>
      <c r="DJ282" s="7"/>
      <c r="DK282" s="28"/>
      <c r="DL282" s="28"/>
      <c r="DM282" s="7"/>
      <c r="DN282" s="29"/>
      <c r="DO282" s="28"/>
      <c r="DP282" s="28"/>
      <c r="DQ282" s="28"/>
    </row>
    <row r="283" spans="2:121">
      <c r="B283" s="7"/>
      <c r="C283" s="7"/>
      <c r="D283" s="7"/>
      <c r="E283" s="7"/>
      <c r="F283" s="7"/>
      <c r="G283" s="7"/>
      <c r="H283" s="38"/>
      <c r="I283" s="46"/>
      <c r="J283" s="18"/>
      <c r="K283" s="7"/>
      <c r="L283" s="38"/>
      <c r="M283" s="38"/>
      <c r="N283" s="38"/>
      <c r="O283" s="7"/>
      <c r="P283" s="7"/>
      <c r="Q283" s="33"/>
      <c r="R283" s="11"/>
      <c r="S283" s="11"/>
      <c r="T283" s="11" t="s">
        <v>98</v>
      </c>
      <c r="U283" s="12"/>
      <c r="V283" s="11"/>
      <c r="W283" s="13"/>
      <c r="X283" s="9"/>
      <c r="Y283" s="38"/>
      <c r="Z283" s="38"/>
      <c r="AA283" s="38"/>
      <c r="AB283" s="11"/>
      <c r="AC283" s="11"/>
      <c r="AD283" s="7"/>
      <c r="AE283" s="38"/>
      <c r="AF283" s="7"/>
      <c r="AG283" s="46"/>
      <c r="AH283" s="9"/>
      <c r="AI283" s="9"/>
      <c r="AJ283" s="9"/>
      <c r="AK283" s="9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53"/>
      <c r="AZ283" s="46"/>
      <c r="BA283" s="46"/>
      <c r="BB283" s="46"/>
      <c r="BC283" s="46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7"/>
      <c r="BR283" s="28"/>
      <c r="BS283" s="28"/>
      <c r="BT283" s="28"/>
      <c r="BU283" s="28"/>
      <c r="BV283" s="28"/>
      <c r="BW283" s="7"/>
      <c r="BX283" s="28"/>
      <c r="BY283" s="28"/>
      <c r="BZ283" s="28"/>
      <c r="CA283" s="28"/>
      <c r="CB283" s="28"/>
      <c r="CC283" s="7"/>
      <c r="CD283" s="7"/>
      <c r="CE283" s="29"/>
      <c r="CF283" s="18"/>
      <c r="CG283" s="29"/>
      <c r="CH283" s="29"/>
      <c r="CI283" s="29"/>
      <c r="CJ283" s="29"/>
      <c r="CK283" s="28"/>
      <c r="CL283" s="28"/>
      <c r="CM283" s="7"/>
      <c r="CN283" s="7"/>
      <c r="CO283" s="7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7"/>
      <c r="DG283" s="7"/>
      <c r="DH283" s="7"/>
      <c r="DI283" s="7"/>
      <c r="DJ283" s="7"/>
      <c r="DK283" s="28"/>
      <c r="DL283" s="28"/>
      <c r="DM283" s="7"/>
      <c r="DN283" s="29"/>
      <c r="DO283" s="28"/>
      <c r="DP283" s="28"/>
      <c r="DQ283" s="28"/>
    </row>
    <row r="284" spans="2:121">
      <c r="B284" s="7"/>
      <c r="C284" s="7"/>
      <c r="D284" s="7"/>
      <c r="E284" s="7"/>
      <c r="F284" s="7"/>
      <c r="G284" s="7"/>
      <c r="H284" s="38"/>
      <c r="I284" s="46"/>
      <c r="J284" s="18"/>
      <c r="K284" s="7"/>
      <c r="L284" s="38"/>
      <c r="M284" s="38"/>
      <c r="N284" s="38"/>
      <c r="O284" s="7"/>
      <c r="P284" s="7"/>
      <c r="Q284" s="33"/>
      <c r="R284" s="11"/>
      <c r="S284" s="11"/>
      <c r="T284" s="11" t="s">
        <v>98</v>
      </c>
      <c r="U284" s="12"/>
      <c r="V284" s="11"/>
      <c r="W284" s="13"/>
      <c r="X284" s="9"/>
      <c r="Y284" s="38"/>
      <c r="Z284" s="38"/>
      <c r="AA284" s="38"/>
      <c r="AB284" s="11"/>
      <c r="AC284" s="11"/>
      <c r="AD284" s="7"/>
      <c r="AE284" s="38"/>
      <c r="AF284" s="7"/>
      <c r="AG284" s="46"/>
      <c r="AH284" s="9"/>
      <c r="AI284" s="9"/>
      <c r="AJ284" s="9"/>
      <c r="AK284" s="9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53"/>
      <c r="AZ284" s="46"/>
      <c r="BA284" s="46"/>
      <c r="BB284" s="46"/>
      <c r="BC284" s="46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7"/>
      <c r="BR284" s="28"/>
      <c r="BS284" s="28"/>
      <c r="BT284" s="28"/>
      <c r="BU284" s="28"/>
      <c r="BV284" s="28"/>
      <c r="BW284" s="7"/>
      <c r="BX284" s="28"/>
      <c r="BY284" s="28"/>
      <c r="BZ284" s="28"/>
      <c r="CA284" s="28"/>
      <c r="CB284" s="28"/>
      <c r="CC284" s="7"/>
      <c r="CD284" s="7"/>
      <c r="CE284" s="29"/>
      <c r="CF284" s="18"/>
      <c r="CG284" s="29"/>
      <c r="CH284" s="29"/>
      <c r="CI284" s="29"/>
      <c r="CJ284" s="29"/>
      <c r="CK284" s="28"/>
      <c r="CL284" s="28"/>
      <c r="CM284" s="7"/>
      <c r="CN284" s="7"/>
      <c r="CO284" s="7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7"/>
      <c r="DG284" s="7"/>
      <c r="DH284" s="7"/>
      <c r="DI284" s="7"/>
      <c r="DJ284" s="7"/>
      <c r="DK284" s="28"/>
      <c r="DL284" s="28"/>
      <c r="DM284" s="7"/>
      <c r="DN284" s="29"/>
      <c r="DO284" s="28"/>
      <c r="DP284" s="28"/>
      <c r="DQ284" s="28"/>
    </row>
    <row r="285" spans="2:121">
      <c r="B285" s="7"/>
      <c r="C285" s="7"/>
      <c r="D285" s="7"/>
      <c r="E285" s="7"/>
      <c r="F285" s="7"/>
      <c r="G285" s="7"/>
      <c r="H285" s="38"/>
      <c r="I285" s="46"/>
      <c r="J285" s="18"/>
      <c r="K285" s="7"/>
      <c r="L285" s="38"/>
      <c r="M285" s="38"/>
      <c r="N285" s="38"/>
      <c r="O285" s="7"/>
      <c r="P285" s="7"/>
      <c r="Q285" s="33"/>
      <c r="R285" s="11"/>
      <c r="S285" s="11"/>
      <c r="T285" s="11" t="s">
        <v>98</v>
      </c>
      <c r="U285" s="12"/>
      <c r="V285" s="11"/>
      <c r="W285" s="13"/>
      <c r="X285" s="9"/>
      <c r="Y285" s="38"/>
      <c r="Z285" s="38"/>
      <c r="AA285" s="38"/>
      <c r="AB285" s="11"/>
      <c r="AC285" s="11"/>
      <c r="AD285" s="7"/>
      <c r="AE285" s="38"/>
      <c r="AF285" s="7"/>
      <c r="AG285" s="46"/>
      <c r="AH285" s="9"/>
      <c r="AI285" s="9"/>
      <c r="AJ285" s="9"/>
      <c r="AK285" s="9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53"/>
      <c r="AZ285" s="46"/>
      <c r="BA285" s="46"/>
      <c r="BB285" s="46"/>
      <c r="BC285" s="46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7"/>
      <c r="BR285" s="28"/>
      <c r="BS285" s="28"/>
      <c r="BT285" s="28"/>
      <c r="BU285" s="28"/>
      <c r="BV285" s="28"/>
      <c r="BW285" s="7"/>
      <c r="BX285" s="28"/>
      <c r="BY285" s="28"/>
      <c r="BZ285" s="28"/>
      <c r="CA285" s="28"/>
      <c r="CB285" s="28"/>
      <c r="CC285" s="7"/>
      <c r="CD285" s="7"/>
      <c r="CE285" s="29"/>
      <c r="CF285" s="18"/>
      <c r="CG285" s="29"/>
      <c r="CH285" s="29"/>
      <c r="CI285" s="29"/>
      <c r="CJ285" s="29"/>
      <c r="CK285" s="28"/>
      <c r="CL285" s="28"/>
      <c r="CM285" s="7"/>
      <c r="CN285" s="7"/>
      <c r="CO285" s="7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7"/>
      <c r="DG285" s="7"/>
      <c r="DH285" s="7"/>
      <c r="DI285" s="7"/>
      <c r="DJ285" s="7"/>
      <c r="DK285" s="28"/>
      <c r="DL285" s="28"/>
      <c r="DM285" s="7"/>
      <c r="DN285" s="29"/>
      <c r="DO285" s="28"/>
      <c r="DP285" s="28"/>
      <c r="DQ285" s="28"/>
    </row>
    <row r="286" spans="2:121">
      <c r="B286" s="7"/>
      <c r="C286" s="7"/>
      <c r="D286" s="7"/>
      <c r="E286" s="7"/>
      <c r="F286" s="7"/>
      <c r="G286" s="7"/>
      <c r="H286" s="38"/>
      <c r="I286" s="46"/>
      <c r="J286" s="18"/>
      <c r="K286" s="7"/>
      <c r="L286" s="38"/>
      <c r="M286" s="38"/>
      <c r="N286" s="38"/>
      <c r="O286" s="7"/>
      <c r="P286" s="7"/>
      <c r="Q286" s="33"/>
      <c r="R286" s="11"/>
      <c r="S286" s="11"/>
      <c r="T286" s="11" t="s">
        <v>98</v>
      </c>
      <c r="U286" s="12"/>
      <c r="V286" s="11"/>
      <c r="W286" s="13"/>
      <c r="X286" s="9"/>
      <c r="Y286" s="38"/>
      <c r="Z286" s="38"/>
      <c r="AA286" s="38"/>
      <c r="AB286" s="11"/>
      <c r="AC286" s="11"/>
      <c r="AD286" s="7"/>
      <c r="AE286" s="38"/>
      <c r="AF286" s="7"/>
      <c r="AG286" s="46"/>
      <c r="AH286" s="9"/>
      <c r="AI286" s="9"/>
      <c r="AJ286" s="9"/>
      <c r="AK286" s="9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53"/>
      <c r="AZ286" s="46"/>
      <c r="BA286" s="46"/>
      <c r="BB286" s="46"/>
      <c r="BC286" s="46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7"/>
      <c r="BR286" s="28"/>
      <c r="BS286" s="28"/>
      <c r="BT286" s="28"/>
      <c r="BU286" s="28"/>
      <c r="BV286" s="28"/>
      <c r="BW286" s="7"/>
      <c r="BX286" s="28"/>
      <c r="BY286" s="28"/>
      <c r="BZ286" s="28"/>
      <c r="CA286" s="28"/>
      <c r="CB286" s="28"/>
      <c r="CC286" s="7"/>
      <c r="CD286" s="7"/>
      <c r="CE286" s="29"/>
      <c r="CF286" s="18"/>
      <c r="CG286" s="29"/>
      <c r="CH286" s="29"/>
      <c r="CI286" s="29"/>
      <c r="CJ286" s="29"/>
      <c r="CK286" s="28"/>
      <c r="CL286" s="28"/>
      <c r="CM286" s="7"/>
      <c r="CN286" s="7"/>
      <c r="CO286" s="7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7"/>
      <c r="DG286" s="7"/>
      <c r="DH286" s="7"/>
      <c r="DI286" s="7"/>
      <c r="DJ286" s="7"/>
      <c r="DK286" s="28"/>
      <c r="DL286" s="28"/>
      <c r="DM286" s="7"/>
      <c r="DN286" s="29"/>
      <c r="DO286" s="28"/>
      <c r="DP286" s="28"/>
      <c r="DQ286" s="28"/>
    </row>
    <row r="287" spans="2:121">
      <c r="B287" s="7"/>
      <c r="C287" s="7"/>
      <c r="D287" s="7"/>
      <c r="E287" s="7"/>
      <c r="F287" s="7"/>
      <c r="G287" s="7"/>
      <c r="H287" s="38"/>
      <c r="I287" s="46"/>
      <c r="J287" s="18"/>
      <c r="K287" s="7"/>
      <c r="L287" s="38"/>
      <c r="M287" s="38"/>
      <c r="N287" s="38"/>
      <c r="O287" s="7"/>
      <c r="P287" s="7"/>
      <c r="Q287" s="33"/>
      <c r="R287" s="11"/>
      <c r="S287" s="11"/>
      <c r="T287" s="11" t="s">
        <v>98</v>
      </c>
      <c r="U287" s="12"/>
      <c r="V287" s="11"/>
      <c r="W287" s="13"/>
      <c r="X287" s="9"/>
      <c r="Y287" s="38"/>
      <c r="Z287" s="38"/>
      <c r="AA287" s="38"/>
      <c r="AB287" s="11"/>
      <c r="AC287" s="11"/>
      <c r="AD287" s="7"/>
      <c r="AE287" s="38"/>
      <c r="AF287" s="7"/>
      <c r="AG287" s="46"/>
      <c r="AH287" s="9"/>
      <c r="AI287" s="9"/>
      <c r="AJ287" s="9"/>
      <c r="AK287" s="9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53"/>
      <c r="AZ287" s="46"/>
      <c r="BA287" s="46"/>
      <c r="BB287" s="46"/>
      <c r="BC287" s="46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7"/>
      <c r="BR287" s="28"/>
      <c r="BS287" s="28"/>
      <c r="BT287" s="28"/>
      <c r="BU287" s="28"/>
      <c r="BV287" s="28"/>
      <c r="BW287" s="7"/>
      <c r="BX287" s="28"/>
      <c r="BY287" s="28"/>
      <c r="BZ287" s="28"/>
      <c r="CA287" s="28"/>
      <c r="CB287" s="28"/>
      <c r="CC287" s="7"/>
      <c r="CD287" s="7"/>
      <c r="CE287" s="29"/>
      <c r="CF287" s="18"/>
      <c r="CG287" s="29"/>
      <c r="CH287" s="29"/>
      <c r="CI287" s="29"/>
      <c r="CJ287" s="29"/>
      <c r="CK287" s="28"/>
      <c r="CL287" s="28"/>
      <c r="CM287" s="7"/>
      <c r="CN287" s="7"/>
      <c r="CO287" s="7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7"/>
      <c r="DG287" s="7"/>
      <c r="DH287" s="7"/>
      <c r="DI287" s="7"/>
      <c r="DJ287" s="7"/>
      <c r="DK287" s="28"/>
      <c r="DL287" s="28"/>
      <c r="DM287" s="7"/>
      <c r="DN287" s="29"/>
      <c r="DO287" s="28"/>
      <c r="DP287" s="28"/>
      <c r="DQ287" s="28"/>
    </row>
    <row r="288" spans="2:121">
      <c r="B288" s="7"/>
      <c r="C288" s="7"/>
      <c r="D288" s="7"/>
      <c r="E288" s="7"/>
      <c r="F288" s="7"/>
      <c r="G288" s="7"/>
      <c r="H288" s="38"/>
      <c r="I288" s="46"/>
      <c r="J288" s="18"/>
      <c r="K288" s="7"/>
      <c r="L288" s="38"/>
      <c r="M288" s="38"/>
      <c r="N288" s="38"/>
      <c r="O288" s="7"/>
      <c r="P288" s="7"/>
      <c r="Q288" s="33"/>
      <c r="R288" s="11"/>
      <c r="S288" s="11"/>
      <c r="T288" s="11" t="s">
        <v>98</v>
      </c>
      <c r="U288" s="12"/>
      <c r="V288" s="11"/>
      <c r="W288" s="13"/>
      <c r="X288" s="9"/>
      <c r="Y288" s="38"/>
      <c r="Z288" s="38"/>
      <c r="AA288" s="38"/>
      <c r="AB288" s="11"/>
      <c r="AC288" s="11"/>
      <c r="AD288" s="7"/>
      <c r="AE288" s="38"/>
      <c r="AF288" s="7"/>
      <c r="AG288" s="46"/>
      <c r="AH288" s="9"/>
      <c r="AI288" s="9"/>
      <c r="AJ288" s="9"/>
      <c r="AK288" s="9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53"/>
      <c r="AZ288" s="46"/>
      <c r="BA288" s="46"/>
      <c r="BB288" s="46"/>
      <c r="BC288" s="46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7"/>
      <c r="BR288" s="28"/>
      <c r="BS288" s="28"/>
      <c r="BT288" s="28"/>
      <c r="BU288" s="28"/>
      <c r="BV288" s="28"/>
      <c r="BW288" s="7"/>
      <c r="BX288" s="28"/>
      <c r="BY288" s="28"/>
      <c r="BZ288" s="28"/>
      <c r="CA288" s="28"/>
      <c r="CB288" s="28"/>
      <c r="CC288" s="7"/>
      <c r="CD288" s="7"/>
      <c r="CE288" s="29"/>
      <c r="CF288" s="18"/>
      <c r="CG288" s="29"/>
      <c r="CH288" s="29"/>
      <c r="CI288" s="29"/>
      <c r="CJ288" s="29"/>
      <c r="CK288" s="28"/>
      <c r="CL288" s="28"/>
      <c r="CM288" s="7"/>
      <c r="CN288" s="7"/>
      <c r="CO288" s="7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7"/>
      <c r="DG288" s="7"/>
      <c r="DH288" s="7"/>
      <c r="DI288" s="7"/>
      <c r="DJ288" s="7"/>
      <c r="DK288" s="28"/>
      <c r="DL288" s="28"/>
      <c r="DM288" s="7"/>
      <c r="DN288" s="29"/>
      <c r="DO288" s="28"/>
      <c r="DP288" s="28"/>
      <c r="DQ288" s="28"/>
    </row>
    <row r="289" spans="2:121">
      <c r="B289" s="7"/>
      <c r="C289" s="7"/>
      <c r="D289" s="7"/>
      <c r="E289" s="7"/>
      <c r="F289" s="7"/>
      <c r="G289" s="7"/>
      <c r="H289" s="38"/>
      <c r="I289" s="46"/>
      <c r="J289" s="18"/>
      <c r="K289" s="7"/>
      <c r="L289" s="38"/>
      <c r="M289" s="38"/>
      <c r="N289" s="38"/>
      <c r="O289" s="7"/>
      <c r="P289" s="7"/>
      <c r="Q289" s="33"/>
      <c r="R289" s="11"/>
      <c r="S289" s="11"/>
      <c r="T289" s="11" t="s">
        <v>98</v>
      </c>
      <c r="U289" s="12"/>
      <c r="V289" s="11"/>
      <c r="W289" s="13"/>
      <c r="X289" s="9"/>
      <c r="Y289" s="38"/>
      <c r="Z289" s="38"/>
      <c r="AA289" s="38"/>
      <c r="AB289" s="11"/>
      <c r="AC289" s="11"/>
      <c r="AD289" s="7"/>
      <c r="AE289" s="38"/>
      <c r="AF289" s="7"/>
      <c r="AG289" s="46"/>
      <c r="AH289" s="9"/>
      <c r="AI289" s="9"/>
      <c r="AJ289" s="9"/>
      <c r="AK289" s="9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53"/>
      <c r="AZ289" s="46"/>
      <c r="BA289" s="46"/>
      <c r="BB289" s="46"/>
      <c r="BC289" s="46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7"/>
      <c r="BR289" s="28"/>
      <c r="BS289" s="28"/>
      <c r="BT289" s="28"/>
      <c r="BU289" s="28"/>
      <c r="BV289" s="28"/>
      <c r="BW289" s="7"/>
      <c r="BX289" s="28"/>
      <c r="BY289" s="28"/>
      <c r="BZ289" s="28"/>
      <c r="CA289" s="28"/>
      <c r="CB289" s="28"/>
      <c r="CC289" s="7"/>
      <c r="CD289" s="7"/>
      <c r="CE289" s="29"/>
      <c r="CF289" s="18"/>
      <c r="CG289" s="29"/>
      <c r="CH289" s="29"/>
      <c r="CI289" s="29"/>
      <c r="CJ289" s="29"/>
      <c r="CK289" s="28"/>
      <c r="CL289" s="28"/>
      <c r="CM289" s="7"/>
      <c r="CN289" s="7"/>
      <c r="CO289" s="7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7"/>
      <c r="DG289" s="7"/>
      <c r="DH289" s="7"/>
      <c r="DI289" s="7"/>
      <c r="DJ289" s="7"/>
      <c r="DK289" s="28"/>
      <c r="DL289" s="28"/>
      <c r="DM289" s="7"/>
      <c r="DN289" s="29"/>
      <c r="DO289" s="28"/>
      <c r="DP289" s="28"/>
      <c r="DQ289" s="28"/>
    </row>
    <row r="290" spans="2:121">
      <c r="B290" s="7"/>
      <c r="C290" s="7"/>
      <c r="D290" s="7"/>
      <c r="E290" s="7"/>
      <c r="F290" s="7"/>
      <c r="G290" s="7"/>
      <c r="H290" s="38"/>
      <c r="I290" s="46"/>
      <c r="J290" s="18"/>
      <c r="K290" s="7"/>
      <c r="L290" s="38"/>
      <c r="M290" s="38"/>
      <c r="N290" s="38"/>
      <c r="O290" s="7"/>
      <c r="P290" s="7"/>
      <c r="Q290" s="33"/>
      <c r="R290" s="11"/>
      <c r="S290" s="11"/>
      <c r="T290" s="11" t="s">
        <v>98</v>
      </c>
      <c r="U290" s="12"/>
      <c r="V290" s="11"/>
      <c r="W290" s="13"/>
      <c r="X290" s="9"/>
      <c r="Y290" s="38"/>
      <c r="Z290" s="38"/>
      <c r="AA290" s="38"/>
      <c r="AB290" s="11"/>
      <c r="AC290" s="11"/>
      <c r="AD290" s="7"/>
      <c r="AE290" s="38"/>
      <c r="AF290" s="7"/>
      <c r="AG290" s="46"/>
      <c r="AH290" s="9"/>
      <c r="AI290" s="9"/>
      <c r="AJ290" s="9"/>
      <c r="AK290" s="9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53"/>
      <c r="AZ290" s="46"/>
      <c r="BA290" s="46"/>
      <c r="BB290" s="46"/>
      <c r="BC290" s="46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7"/>
      <c r="BR290" s="28"/>
      <c r="BS290" s="28"/>
      <c r="BT290" s="28"/>
      <c r="BU290" s="28"/>
      <c r="BV290" s="28"/>
      <c r="BW290" s="7"/>
      <c r="BX290" s="28"/>
      <c r="BY290" s="28"/>
      <c r="BZ290" s="28"/>
      <c r="CA290" s="28"/>
      <c r="CB290" s="28"/>
      <c r="CC290" s="7"/>
      <c r="CD290" s="7"/>
      <c r="CE290" s="29"/>
      <c r="CF290" s="18"/>
      <c r="CG290" s="29"/>
      <c r="CH290" s="29"/>
      <c r="CI290" s="29"/>
      <c r="CJ290" s="29"/>
      <c r="CK290" s="28"/>
      <c r="CL290" s="28"/>
      <c r="CM290" s="7"/>
      <c r="CN290" s="7"/>
      <c r="CO290" s="7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7"/>
      <c r="DG290" s="7"/>
      <c r="DH290" s="7"/>
      <c r="DI290" s="7"/>
      <c r="DJ290" s="7"/>
      <c r="DK290" s="28"/>
      <c r="DL290" s="28"/>
      <c r="DM290" s="7"/>
      <c r="DN290" s="29"/>
      <c r="DO290" s="28"/>
      <c r="DP290" s="28"/>
      <c r="DQ290" s="28"/>
    </row>
    <row r="291" spans="2:121">
      <c r="B291" s="7"/>
      <c r="C291" s="7"/>
      <c r="D291" s="7"/>
      <c r="E291" s="7"/>
      <c r="F291" s="7"/>
      <c r="G291" s="7"/>
      <c r="H291" s="38"/>
      <c r="I291" s="46"/>
      <c r="J291" s="18"/>
      <c r="K291" s="7"/>
      <c r="L291" s="38"/>
      <c r="M291" s="38"/>
      <c r="N291" s="38"/>
      <c r="O291" s="7"/>
      <c r="P291" s="7"/>
      <c r="Q291" s="33"/>
      <c r="R291" s="11"/>
      <c r="S291" s="11"/>
      <c r="T291" s="11" t="s">
        <v>98</v>
      </c>
      <c r="U291" s="12"/>
      <c r="V291" s="11"/>
      <c r="W291" s="13"/>
      <c r="X291" s="9"/>
      <c r="Y291" s="38"/>
      <c r="Z291" s="38"/>
      <c r="AA291" s="38"/>
      <c r="AB291" s="11"/>
      <c r="AC291" s="11"/>
      <c r="AD291" s="7"/>
      <c r="AE291" s="38"/>
      <c r="AF291" s="7"/>
      <c r="AG291" s="46"/>
      <c r="AH291" s="9"/>
      <c r="AI291" s="9"/>
      <c r="AJ291" s="9"/>
      <c r="AK291" s="9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53"/>
      <c r="AZ291" s="46"/>
      <c r="BA291" s="46"/>
      <c r="BB291" s="46"/>
      <c r="BC291" s="46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7"/>
      <c r="BR291" s="28"/>
      <c r="BS291" s="28"/>
      <c r="BT291" s="28"/>
      <c r="BU291" s="28"/>
      <c r="BV291" s="28"/>
      <c r="BW291" s="7"/>
      <c r="BX291" s="28"/>
      <c r="BY291" s="28"/>
      <c r="BZ291" s="28"/>
      <c r="CA291" s="28"/>
      <c r="CB291" s="28"/>
      <c r="CC291" s="7"/>
      <c r="CD291" s="7"/>
      <c r="CE291" s="29"/>
      <c r="CF291" s="18"/>
      <c r="CG291" s="29"/>
      <c r="CH291" s="29"/>
      <c r="CI291" s="29"/>
      <c r="CJ291" s="29"/>
      <c r="CK291" s="28"/>
      <c r="CL291" s="28"/>
      <c r="CM291" s="7"/>
      <c r="CN291" s="7"/>
      <c r="CO291" s="7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7"/>
      <c r="DG291" s="7"/>
      <c r="DH291" s="7"/>
      <c r="DI291" s="7"/>
      <c r="DJ291" s="7"/>
      <c r="DK291" s="28"/>
      <c r="DL291" s="28"/>
      <c r="DM291" s="7"/>
      <c r="DN291" s="29"/>
      <c r="DO291" s="28"/>
      <c r="DP291" s="28"/>
      <c r="DQ291" s="28"/>
    </row>
    <row r="292" spans="2:121">
      <c r="B292" s="7"/>
      <c r="C292" s="7"/>
      <c r="D292" s="7"/>
      <c r="E292" s="7"/>
      <c r="F292" s="7"/>
      <c r="G292" s="7"/>
      <c r="H292" s="38"/>
      <c r="I292" s="46"/>
      <c r="J292" s="18"/>
      <c r="K292" s="7"/>
      <c r="L292" s="38"/>
      <c r="M292" s="38"/>
      <c r="N292" s="38"/>
      <c r="O292" s="7"/>
      <c r="P292" s="7"/>
      <c r="Q292" s="33"/>
      <c r="R292" s="11"/>
      <c r="S292" s="11"/>
      <c r="T292" s="11" t="s">
        <v>98</v>
      </c>
      <c r="U292" s="12"/>
      <c r="V292" s="11"/>
      <c r="W292" s="13"/>
      <c r="X292" s="9"/>
      <c r="Y292" s="38"/>
      <c r="Z292" s="38"/>
      <c r="AA292" s="38"/>
      <c r="AB292" s="11"/>
      <c r="AC292" s="11"/>
      <c r="AD292" s="7"/>
      <c r="AE292" s="38"/>
      <c r="AF292" s="7"/>
      <c r="AG292" s="46"/>
      <c r="AH292" s="9"/>
      <c r="AI292" s="9"/>
      <c r="AJ292" s="9"/>
      <c r="AK292" s="9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53"/>
      <c r="AZ292" s="46"/>
      <c r="BA292" s="46"/>
      <c r="BB292" s="46"/>
      <c r="BC292" s="46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7"/>
      <c r="BR292" s="28"/>
      <c r="BS292" s="28"/>
      <c r="BT292" s="28"/>
      <c r="BU292" s="28"/>
      <c r="BV292" s="28"/>
      <c r="BW292" s="7"/>
      <c r="BX292" s="28"/>
      <c r="BY292" s="28"/>
      <c r="BZ292" s="28"/>
      <c r="CA292" s="28"/>
      <c r="CB292" s="28"/>
      <c r="CC292" s="7"/>
      <c r="CD292" s="7"/>
      <c r="CE292" s="29"/>
      <c r="CF292" s="18"/>
      <c r="CG292" s="29"/>
      <c r="CH292" s="29"/>
      <c r="CI292" s="29"/>
      <c r="CJ292" s="29"/>
      <c r="CK292" s="28"/>
      <c r="CL292" s="28"/>
      <c r="CM292" s="7"/>
      <c r="CN292" s="7"/>
      <c r="CO292" s="7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7"/>
      <c r="DG292" s="7"/>
      <c r="DH292" s="7"/>
      <c r="DI292" s="7"/>
      <c r="DJ292" s="7"/>
      <c r="DK292" s="28"/>
      <c r="DL292" s="28"/>
      <c r="DM292" s="7"/>
      <c r="DN292" s="29"/>
      <c r="DO292" s="28"/>
      <c r="DP292" s="28"/>
      <c r="DQ292" s="28"/>
    </row>
    <row r="293" spans="2:121">
      <c r="B293" s="7"/>
      <c r="C293" s="7"/>
      <c r="D293" s="7"/>
      <c r="E293" s="7"/>
      <c r="F293" s="7"/>
      <c r="G293" s="7"/>
      <c r="H293" s="38"/>
      <c r="I293" s="46"/>
      <c r="J293" s="18"/>
      <c r="K293" s="7"/>
      <c r="L293" s="38"/>
      <c r="M293" s="38"/>
      <c r="N293" s="38"/>
      <c r="O293" s="7"/>
      <c r="P293" s="7"/>
      <c r="Q293" s="33"/>
      <c r="R293" s="11"/>
      <c r="S293" s="11"/>
      <c r="T293" s="11" t="s">
        <v>98</v>
      </c>
      <c r="U293" s="12"/>
      <c r="V293" s="11"/>
      <c r="W293" s="13"/>
      <c r="X293" s="9"/>
      <c r="Y293" s="38"/>
      <c r="Z293" s="38"/>
      <c r="AA293" s="38"/>
      <c r="AB293" s="11"/>
      <c r="AC293" s="11"/>
      <c r="AD293" s="7"/>
      <c r="AE293" s="38"/>
      <c r="AF293" s="7"/>
      <c r="AG293" s="46"/>
      <c r="AH293" s="9"/>
      <c r="AI293" s="9"/>
      <c r="AJ293" s="9"/>
      <c r="AK293" s="9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53"/>
      <c r="AZ293" s="46"/>
      <c r="BA293" s="46"/>
      <c r="BB293" s="46"/>
      <c r="BC293" s="46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7"/>
      <c r="BR293" s="28"/>
      <c r="BS293" s="28"/>
      <c r="BT293" s="28"/>
      <c r="BU293" s="28"/>
      <c r="BV293" s="28"/>
      <c r="BW293" s="7"/>
      <c r="BX293" s="28"/>
      <c r="BY293" s="28"/>
      <c r="BZ293" s="28"/>
      <c r="CA293" s="28"/>
      <c r="CB293" s="28"/>
      <c r="CC293" s="7"/>
      <c r="CD293" s="7"/>
      <c r="CE293" s="29"/>
      <c r="CF293" s="18"/>
      <c r="CG293" s="29"/>
      <c r="CH293" s="29"/>
      <c r="CI293" s="29"/>
      <c r="CJ293" s="29"/>
      <c r="CK293" s="28"/>
      <c r="CL293" s="28"/>
      <c r="CM293" s="7"/>
      <c r="CN293" s="7"/>
      <c r="CO293" s="7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7"/>
      <c r="DG293" s="7"/>
      <c r="DH293" s="7"/>
      <c r="DI293" s="7"/>
      <c r="DJ293" s="7"/>
      <c r="DK293" s="28"/>
      <c r="DL293" s="28"/>
      <c r="DM293" s="7"/>
      <c r="DN293" s="29"/>
      <c r="DO293" s="28"/>
      <c r="DP293" s="28"/>
      <c r="DQ293" s="28"/>
    </row>
    <row r="294" spans="2:121">
      <c r="B294" s="7"/>
      <c r="C294" s="7"/>
      <c r="D294" s="7"/>
      <c r="E294" s="7"/>
      <c r="F294" s="7"/>
      <c r="G294" s="7"/>
      <c r="H294" s="38"/>
      <c r="I294" s="46"/>
      <c r="J294" s="18"/>
      <c r="K294" s="7"/>
      <c r="L294" s="38"/>
      <c r="M294" s="38"/>
      <c r="N294" s="38"/>
      <c r="O294" s="7"/>
      <c r="P294" s="7"/>
      <c r="Q294" s="33"/>
      <c r="R294" s="11"/>
      <c r="S294" s="11"/>
      <c r="T294" s="11" t="s">
        <v>98</v>
      </c>
      <c r="U294" s="12"/>
      <c r="V294" s="11"/>
      <c r="W294" s="13"/>
      <c r="X294" s="9"/>
      <c r="Y294" s="38"/>
      <c r="Z294" s="38"/>
      <c r="AA294" s="38"/>
      <c r="AB294" s="11"/>
      <c r="AC294" s="11"/>
      <c r="AD294" s="7"/>
      <c r="AE294" s="38"/>
      <c r="AF294" s="7"/>
      <c r="AG294" s="46"/>
      <c r="AH294" s="9"/>
      <c r="AI294" s="9"/>
      <c r="AJ294" s="9"/>
      <c r="AK294" s="9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53"/>
      <c r="AZ294" s="46"/>
      <c r="BA294" s="46"/>
      <c r="BB294" s="46"/>
      <c r="BC294" s="46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7"/>
      <c r="BR294" s="28"/>
      <c r="BS294" s="28"/>
      <c r="BT294" s="28"/>
      <c r="BU294" s="28"/>
      <c r="BV294" s="28"/>
      <c r="BW294" s="7"/>
      <c r="BX294" s="28"/>
      <c r="BY294" s="28"/>
      <c r="BZ294" s="28"/>
      <c r="CA294" s="28"/>
      <c r="CB294" s="28"/>
      <c r="CC294" s="7"/>
      <c r="CD294" s="7"/>
      <c r="CE294" s="29"/>
      <c r="CF294" s="18"/>
      <c r="CG294" s="29"/>
      <c r="CH294" s="29"/>
      <c r="CI294" s="29"/>
      <c r="CJ294" s="29"/>
      <c r="CK294" s="28"/>
      <c r="CL294" s="28"/>
      <c r="CM294" s="7"/>
      <c r="CN294" s="7"/>
      <c r="CO294" s="7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7"/>
      <c r="DG294" s="7"/>
      <c r="DH294" s="7"/>
      <c r="DI294" s="7"/>
      <c r="DJ294" s="7"/>
      <c r="DK294" s="28"/>
      <c r="DL294" s="28"/>
      <c r="DM294" s="7"/>
      <c r="DN294" s="29"/>
      <c r="DO294" s="28"/>
      <c r="DP294" s="28"/>
      <c r="DQ294" s="28"/>
    </row>
    <row r="295" spans="2:121">
      <c r="B295" s="7"/>
      <c r="C295" s="7"/>
      <c r="D295" s="7"/>
      <c r="E295" s="7"/>
      <c r="F295" s="7"/>
      <c r="G295" s="7"/>
      <c r="H295" s="38"/>
      <c r="I295" s="46"/>
      <c r="J295" s="18"/>
      <c r="K295" s="7"/>
      <c r="L295" s="38"/>
      <c r="M295" s="38"/>
      <c r="N295" s="38"/>
      <c r="O295" s="7"/>
      <c r="P295" s="7"/>
      <c r="Q295" s="33"/>
      <c r="R295" s="11"/>
      <c r="S295" s="11"/>
      <c r="T295" s="11" t="s">
        <v>98</v>
      </c>
      <c r="U295" s="12"/>
      <c r="V295" s="11"/>
      <c r="W295" s="13"/>
      <c r="X295" s="9"/>
      <c r="Y295" s="38"/>
      <c r="Z295" s="38"/>
      <c r="AA295" s="38"/>
      <c r="AB295" s="11"/>
      <c r="AC295" s="11"/>
      <c r="AD295" s="7"/>
      <c r="AE295" s="38"/>
      <c r="AF295" s="7"/>
      <c r="AG295" s="46"/>
      <c r="AH295" s="9"/>
      <c r="AI295" s="9"/>
      <c r="AJ295" s="9"/>
      <c r="AK295" s="9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53"/>
      <c r="AZ295" s="46"/>
      <c r="BA295" s="46"/>
      <c r="BB295" s="46"/>
      <c r="BC295" s="46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7"/>
      <c r="BR295" s="28"/>
      <c r="BS295" s="28"/>
      <c r="BT295" s="28"/>
      <c r="BU295" s="28"/>
      <c r="BV295" s="28"/>
      <c r="BW295" s="7"/>
      <c r="BX295" s="28"/>
      <c r="BY295" s="28"/>
      <c r="BZ295" s="28"/>
      <c r="CA295" s="28"/>
      <c r="CB295" s="28"/>
      <c r="CC295" s="7"/>
      <c r="CD295" s="7"/>
      <c r="CE295" s="29"/>
      <c r="CF295" s="18"/>
      <c r="CG295" s="29"/>
      <c r="CH295" s="29"/>
      <c r="CI295" s="29"/>
      <c r="CJ295" s="29"/>
      <c r="CK295" s="28"/>
      <c r="CL295" s="28"/>
      <c r="CM295" s="7"/>
      <c r="CN295" s="7"/>
      <c r="CO295" s="7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7"/>
      <c r="DG295" s="7"/>
      <c r="DH295" s="7"/>
      <c r="DI295" s="7"/>
      <c r="DJ295" s="7"/>
      <c r="DK295" s="28"/>
      <c r="DL295" s="28"/>
      <c r="DM295" s="7"/>
      <c r="DN295" s="29"/>
      <c r="DO295" s="28"/>
      <c r="DP295" s="28"/>
      <c r="DQ295" s="28"/>
    </row>
    <row r="296" spans="2:121">
      <c r="B296" s="7"/>
      <c r="C296" s="7"/>
      <c r="D296" s="7"/>
      <c r="E296" s="7"/>
      <c r="F296" s="7"/>
      <c r="G296" s="7"/>
      <c r="H296" s="38"/>
      <c r="I296" s="46"/>
      <c r="J296" s="18"/>
      <c r="K296" s="7"/>
      <c r="L296" s="38"/>
      <c r="M296" s="38"/>
      <c r="N296" s="38"/>
      <c r="O296" s="7"/>
      <c r="P296" s="7"/>
      <c r="Q296" s="33"/>
      <c r="R296" s="11"/>
      <c r="S296" s="11"/>
      <c r="T296" s="11" t="s">
        <v>98</v>
      </c>
      <c r="U296" s="12"/>
      <c r="V296" s="11"/>
      <c r="W296" s="13"/>
      <c r="X296" s="9"/>
      <c r="Y296" s="38"/>
      <c r="Z296" s="38"/>
      <c r="AA296" s="38"/>
      <c r="AB296" s="11"/>
      <c r="AC296" s="11"/>
      <c r="AD296" s="7"/>
      <c r="AE296" s="38"/>
      <c r="AF296" s="7"/>
      <c r="AG296" s="46"/>
      <c r="AH296" s="9"/>
      <c r="AI296" s="9"/>
      <c r="AJ296" s="9"/>
      <c r="AK296" s="9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53"/>
      <c r="AZ296" s="46"/>
      <c r="BA296" s="46"/>
      <c r="BB296" s="46"/>
      <c r="BC296" s="46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7"/>
      <c r="BR296" s="28"/>
      <c r="BS296" s="28"/>
      <c r="BT296" s="28"/>
      <c r="BU296" s="28"/>
      <c r="BV296" s="28"/>
      <c r="BW296" s="7"/>
      <c r="BX296" s="28"/>
      <c r="BY296" s="28"/>
      <c r="BZ296" s="28"/>
      <c r="CA296" s="28"/>
      <c r="CB296" s="28"/>
      <c r="CC296" s="7"/>
      <c r="CD296" s="7"/>
      <c r="CE296" s="29"/>
      <c r="CF296" s="18"/>
      <c r="CG296" s="29"/>
      <c r="CH296" s="29"/>
      <c r="CI296" s="29"/>
      <c r="CJ296" s="29"/>
      <c r="CK296" s="28"/>
      <c r="CL296" s="28"/>
      <c r="CM296" s="7"/>
      <c r="CN296" s="7"/>
      <c r="CO296" s="7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7"/>
      <c r="DG296" s="7"/>
      <c r="DH296" s="7"/>
      <c r="DI296" s="7"/>
      <c r="DJ296" s="7"/>
      <c r="DK296" s="28"/>
      <c r="DL296" s="28"/>
      <c r="DM296" s="7"/>
      <c r="DN296" s="29"/>
      <c r="DO296" s="28"/>
      <c r="DP296" s="28"/>
      <c r="DQ296" s="28"/>
    </row>
    <row r="297" spans="2:121">
      <c r="B297" s="7"/>
      <c r="C297" s="7"/>
      <c r="D297" s="7"/>
      <c r="E297" s="7"/>
      <c r="F297" s="7"/>
      <c r="G297" s="7"/>
      <c r="H297" s="38"/>
      <c r="I297" s="46"/>
      <c r="J297" s="18"/>
      <c r="K297" s="7"/>
      <c r="L297" s="38"/>
      <c r="M297" s="38"/>
      <c r="N297" s="38"/>
      <c r="O297" s="7"/>
      <c r="P297" s="7"/>
      <c r="Q297" s="33"/>
      <c r="R297" s="11"/>
      <c r="S297" s="11"/>
      <c r="T297" s="11" t="s">
        <v>98</v>
      </c>
      <c r="U297" s="12"/>
      <c r="V297" s="11"/>
      <c r="W297" s="13"/>
      <c r="X297" s="9"/>
      <c r="Y297" s="38"/>
      <c r="Z297" s="38"/>
      <c r="AA297" s="38"/>
      <c r="AB297" s="11"/>
      <c r="AC297" s="11"/>
      <c r="AD297" s="7"/>
      <c r="AE297" s="38"/>
      <c r="AF297" s="7"/>
      <c r="AG297" s="46"/>
      <c r="AH297" s="9"/>
      <c r="AI297" s="9"/>
      <c r="AJ297" s="9"/>
      <c r="AK297" s="9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53"/>
      <c r="AZ297" s="46"/>
      <c r="BA297" s="46"/>
      <c r="BB297" s="46"/>
      <c r="BC297" s="46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7"/>
      <c r="BR297" s="28"/>
      <c r="BS297" s="28"/>
      <c r="BT297" s="28"/>
      <c r="BU297" s="28"/>
      <c r="BV297" s="28"/>
      <c r="BW297" s="7"/>
      <c r="BX297" s="28"/>
      <c r="BY297" s="28"/>
      <c r="BZ297" s="28"/>
      <c r="CA297" s="28"/>
      <c r="CB297" s="28"/>
      <c r="CC297" s="7"/>
      <c r="CD297" s="7"/>
      <c r="CE297" s="29"/>
      <c r="CF297" s="18"/>
      <c r="CG297" s="29"/>
      <c r="CH297" s="29"/>
      <c r="CI297" s="29"/>
      <c r="CJ297" s="29"/>
      <c r="CK297" s="28"/>
      <c r="CL297" s="28"/>
      <c r="CM297" s="7"/>
      <c r="CN297" s="7"/>
      <c r="CO297" s="7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7"/>
      <c r="DG297" s="7"/>
      <c r="DH297" s="7"/>
      <c r="DI297" s="7"/>
      <c r="DJ297" s="7"/>
      <c r="DK297" s="28"/>
      <c r="DL297" s="28"/>
      <c r="DM297" s="7"/>
      <c r="DN297" s="29"/>
      <c r="DO297" s="28"/>
      <c r="DP297" s="28"/>
      <c r="DQ297" s="28"/>
    </row>
    <row r="298" spans="2:121">
      <c r="B298" s="7"/>
      <c r="C298" s="7"/>
      <c r="D298" s="7"/>
      <c r="E298" s="7"/>
      <c r="F298" s="7"/>
      <c r="G298" s="7"/>
      <c r="H298" s="38"/>
      <c r="I298" s="46"/>
      <c r="J298" s="18"/>
      <c r="K298" s="7"/>
      <c r="L298" s="38"/>
      <c r="M298" s="38"/>
      <c r="N298" s="38"/>
      <c r="O298" s="7"/>
      <c r="P298" s="7"/>
      <c r="Q298" s="33"/>
      <c r="R298" s="11"/>
      <c r="S298" s="11"/>
      <c r="T298" s="11" t="s">
        <v>98</v>
      </c>
      <c r="U298" s="12"/>
      <c r="V298" s="11"/>
      <c r="W298" s="13"/>
      <c r="X298" s="9"/>
      <c r="Y298" s="38"/>
      <c r="Z298" s="38"/>
      <c r="AA298" s="38"/>
      <c r="AB298" s="11"/>
      <c r="AC298" s="11"/>
      <c r="AD298" s="7"/>
      <c r="AE298" s="38"/>
      <c r="AF298" s="7"/>
      <c r="AG298" s="46"/>
      <c r="AH298" s="9"/>
      <c r="AI298" s="9"/>
      <c r="AJ298" s="9"/>
      <c r="AK298" s="9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53"/>
      <c r="AZ298" s="46"/>
      <c r="BA298" s="46"/>
      <c r="BB298" s="46"/>
      <c r="BC298" s="46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7"/>
      <c r="BR298" s="28"/>
      <c r="BS298" s="28"/>
      <c r="BT298" s="28"/>
      <c r="BU298" s="28"/>
      <c r="BV298" s="28"/>
      <c r="BW298" s="7"/>
      <c r="BX298" s="28"/>
      <c r="BY298" s="28"/>
      <c r="BZ298" s="28"/>
      <c r="CA298" s="28"/>
      <c r="CB298" s="28"/>
      <c r="CC298" s="7"/>
      <c r="CD298" s="7"/>
      <c r="CE298" s="29"/>
      <c r="CF298" s="18"/>
      <c r="CG298" s="29"/>
      <c r="CH298" s="29"/>
      <c r="CI298" s="29"/>
      <c r="CJ298" s="29"/>
      <c r="CK298" s="28"/>
      <c r="CL298" s="28"/>
      <c r="CM298" s="7"/>
      <c r="CN298" s="7"/>
      <c r="CO298" s="7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7"/>
      <c r="DG298" s="7"/>
      <c r="DH298" s="7"/>
      <c r="DI298" s="7"/>
      <c r="DJ298" s="7"/>
      <c r="DK298" s="28"/>
      <c r="DL298" s="28"/>
      <c r="DM298" s="7"/>
      <c r="DN298" s="29"/>
      <c r="DO298" s="28"/>
      <c r="DP298" s="28"/>
      <c r="DQ298" s="28"/>
    </row>
    <row r="299" spans="2:121">
      <c r="B299" s="7"/>
      <c r="C299" s="7"/>
      <c r="D299" s="7"/>
      <c r="E299" s="7"/>
      <c r="F299" s="7"/>
      <c r="G299" s="7"/>
      <c r="H299" s="38"/>
      <c r="I299" s="46"/>
      <c r="J299" s="18"/>
      <c r="K299" s="7"/>
      <c r="L299" s="38"/>
      <c r="M299" s="38"/>
      <c r="N299" s="38"/>
      <c r="O299" s="7"/>
      <c r="P299" s="7"/>
      <c r="Q299" s="33"/>
      <c r="R299" s="11"/>
      <c r="S299" s="11"/>
      <c r="T299" s="11" t="s">
        <v>98</v>
      </c>
      <c r="U299" s="12"/>
      <c r="V299" s="11"/>
      <c r="W299" s="13"/>
      <c r="X299" s="9"/>
      <c r="Y299" s="38"/>
      <c r="Z299" s="38"/>
      <c r="AA299" s="38"/>
      <c r="AB299" s="11"/>
      <c r="AC299" s="11"/>
      <c r="AD299" s="7"/>
      <c r="AE299" s="38"/>
      <c r="AF299" s="7"/>
      <c r="AG299" s="46"/>
      <c r="AH299" s="9"/>
      <c r="AI299" s="9"/>
      <c r="AJ299" s="9"/>
      <c r="AK299" s="9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53"/>
      <c r="AZ299" s="46"/>
      <c r="BA299" s="46"/>
      <c r="BB299" s="46"/>
      <c r="BC299" s="46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7"/>
      <c r="BR299" s="28"/>
      <c r="BS299" s="28"/>
      <c r="BT299" s="28"/>
      <c r="BU299" s="28"/>
      <c r="BV299" s="28"/>
      <c r="BW299" s="7"/>
      <c r="BX299" s="28"/>
      <c r="BY299" s="28"/>
      <c r="BZ299" s="28"/>
      <c r="CA299" s="28"/>
      <c r="CB299" s="28"/>
      <c r="CC299" s="7"/>
      <c r="CD299" s="7"/>
      <c r="CE299" s="29"/>
      <c r="CF299" s="18"/>
      <c r="CG299" s="29"/>
      <c r="CH299" s="29"/>
      <c r="CI299" s="29"/>
      <c r="CJ299" s="29"/>
      <c r="CK299" s="28"/>
      <c r="CL299" s="28"/>
      <c r="CM299" s="7"/>
      <c r="CN299" s="7"/>
      <c r="CO299" s="7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7"/>
      <c r="DG299" s="7"/>
      <c r="DH299" s="7"/>
      <c r="DI299" s="7"/>
      <c r="DJ299" s="7"/>
      <c r="DK299" s="28"/>
      <c r="DL299" s="28"/>
      <c r="DM299" s="7"/>
      <c r="DN299" s="29"/>
      <c r="DO299" s="28"/>
      <c r="DP299" s="28"/>
      <c r="DQ299" s="28"/>
    </row>
    <row r="300" spans="2:121">
      <c r="B300" s="7"/>
      <c r="C300" s="7"/>
      <c r="D300" s="7"/>
      <c r="E300" s="7"/>
      <c r="F300" s="7"/>
      <c r="G300" s="7"/>
      <c r="H300" s="38"/>
      <c r="I300" s="46"/>
      <c r="J300" s="18"/>
      <c r="K300" s="7"/>
      <c r="L300" s="38"/>
      <c r="M300" s="38"/>
      <c r="N300" s="38"/>
      <c r="O300" s="7"/>
      <c r="P300" s="7"/>
      <c r="Q300" s="33"/>
      <c r="R300" s="11"/>
      <c r="S300" s="11"/>
      <c r="T300" s="11" t="s">
        <v>98</v>
      </c>
      <c r="U300" s="12"/>
      <c r="V300" s="11"/>
      <c r="W300" s="13"/>
      <c r="X300" s="9"/>
      <c r="Y300" s="38"/>
      <c r="Z300" s="38"/>
      <c r="AA300" s="38"/>
      <c r="AB300" s="11"/>
      <c r="AC300" s="11"/>
      <c r="AD300" s="7"/>
      <c r="AE300" s="38"/>
      <c r="AF300" s="7"/>
      <c r="AG300" s="46"/>
      <c r="AH300" s="9"/>
      <c r="AI300" s="9"/>
      <c r="AJ300" s="9"/>
      <c r="AK300" s="9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53"/>
      <c r="AZ300" s="46"/>
      <c r="BA300" s="46"/>
      <c r="BB300" s="46"/>
      <c r="BC300" s="46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7"/>
      <c r="BR300" s="28"/>
      <c r="BS300" s="28"/>
      <c r="BT300" s="28"/>
      <c r="BU300" s="28"/>
      <c r="BV300" s="28"/>
      <c r="BW300" s="7"/>
      <c r="BX300" s="28"/>
      <c r="BY300" s="28"/>
      <c r="BZ300" s="28"/>
      <c r="CA300" s="28"/>
      <c r="CB300" s="28"/>
      <c r="CC300" s="7"/>
      <c r="CD300" s="7"/>
      <c r="CE300" s="29"/>
      <c r="CF300" s="18"/>
      <c r="CG300" s="29"/>
      <c r="CH300" s="29"/>
      <c r="CI300" s="29"/>
      <c r="CJ300" s="29"/>
      <c r="CK300" s="28"/>
      <c r="CL300" s="28"/>
      <c r="CM300" s="7"/>
      <c r="CN300" s="7"/>
      <c r="CO300" s="7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7"/>
      <c r="DG300" s="7"/>
      <c r="DH300" s="7"/>
      <c r="DI300" s="7"/>
      <c r="DJ300" s="7"/>
      <c r="DK300" s="28"/>
      <c r="DL300" s="28"/>
      <c r="DM300" s="7"/>
      <c r="DN300" s="29"/>
      <c r="DO300" s="28"/>
      <c r="DP300" s="28"/>
      <c r="DQ300" s="28"/>
    </row>
    <row r="301" spans="2:121">
      <c r="B301" s="7"/>
      <c r="C301" s="7"/>
      <c r="D301" s="7"/>
      <c r="E301" s="7"/>
      <c r="F301" s="7"/>
      <c r="G301" s="7"/>
      <c r="H301" s="38"/>
      <c r="I301" s="46"/>
      <c r="J301" s="18"/>
      <c r="K301" s="7"/>
      <c r="L301" s="38"/>
      <c r="M301" s="38"/>
      <c r="N301" s="38"/>
      <c r="O301" s="7"/>
      <c r="P301" s="7"/>
      <c r="Q301" s="33"/>
      <c r="R301" s="11"/>
      <c r="S301" s="11"/>
      <c r="T301" s="11" t="s">
        <v>98</v>
      </c>
      <c r="U301" s="12"/>
      <c r="V301" s="11"/>
      <c r="W301" s="13"/>
      <c r="X301" s="9"/>
      <c r="Y301" s="38"/>
      <c r="Z301" s="38"/>
      <c r="AA301" s="38"/>
      <c r="AB301" s="11"/>
      <c r="AC301" s="11"/>
      <c r="AD301" s="7"/>
      <c r="AE301" s="38"/>
      <c r="AF301" s="7"/>
      <c r="AG301" s="46"/>
      <c r="AH301" s="9"/>
      <c r="AI301" s="9"/>
      <c r="AJ301" s="9"/>
      <c r="AK301" s="9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53"/>
      <c r="AZ301" s="46"/>
      <c r="BA301" s="46"/>
      <c r="BB301" s="46"/>
      <c r="BC301" s="46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7"/>
      <c r="BR301" s="28"/>
      <c r="BS301" s="28"/>
      <c r="BT301" s="28"/>
      <c r="BU301" s="28"/>
      <c r="BV301" s="28"/>
      <c r="BW301" s="7"/>
      <c r="BX301" s="28"/>
      <c r="BY301" s="28"/>
      <c r="BZ301" s="28"/>
      <c r="CA301" s="28"/>
      <c r="CB301" s="28"/>
      <c r="CC301" s="7"/>
      <c r="CD301" s="7"/>
      <c r="CE301" s="29"/>
      <c r="CF301" s="18"/>
      <c r="CG301" s="29"/>
      <c r="CH301" s="29"/>
      <c r="CI301" s="29"/>
      <c r="CJ301" s="29"/>
      <c r="CK301" s="28"/>
      <c r="CL301" s="28"/>
      <c r="CM301" s="7"/>
      <c r="CN301" s="7"/>
      <c r="CO301" s="7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7"/>
      <c r="DG301" s="7"/>
      <c r="DH301" s="7"/>
      <c r="DI301" s="7"/>
      <c r="DJ301" s="7"/>
      <c r="DK301" s="28"/>
      <c r="DL301" s="28"/>
      <c r="DM301" s="7"/>
      <c r="DN301" s="29"/>
      <c r="DO301" s="28"/>
      <c r="DP301" s="28"/>
      <c r="DQ301" s="28"/>
    </row>
    <row r="302" spans="2:121">
      <c r="B302" s="7"/>
      <c r="C302" s="7"/>
      <c r="D302" s="7"/>
      <c r="E302" s="7"/>
      <c r="F302" s="7"/>
      <c r="G302" s="7"/>
      <c r="H302" s="38"/>
      <c r="I302" s="46"/>
      <c r="J302" s="18"/>
      <c r="K302" s="7"/>
      <c r="L302" s="38"/>
      <c r="M302" s="38"/>
      <c r="N302" s="38"/>
      <c r="O302" s="7"/>
      <c r="P302" s="7"/>
      <c r="Q302" s="33"/>
      <c r="R302" s="11"/>
      <c r="S302" s="11"/>
      <c r="T302" s="11" t="s">
        <v>98</v>
      </c>
      <c r="U302" s="12"/>
      <c r="V302" s="11"/>
      <c r="W302" s="13"/>
      <c r="X302" s="9"/>
      <c r="Y302" s="38"/>
      <c r="Z302" s="38"/>
      <c r="AA302" s="38"/>
      <c r="AB302" s="11"/>
      <c r="AC302" s="11"/>
      <c r="AD302" s="7"/>
      <c r="AE302" s="38"/>
      <c r="AF302" s="7"/>
      <c r="AG302" s="46"/>
      <c r="AH302" s="9"/>
      <c r="AI302" s="9"/>
      <c r="AJ302" s="9"/>
      <c r="AK302" s="9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53"/>
      <c r="AZ302" s="46"/>
      <c r="BA302" s="46"/>
      <c r="BB302" s="46"/>
      <c r="BC302" s="46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7"/>
      <c r="BR302" s="28"/>
      <c r="BS302" s="28"/>
      <c r="BT302" s="28"/>
      <c r="BU302" s="28"/>
      <c r="BV302" s="28"/>
      <c r="BW302" s="7"/>
      <c r="BX302" s="28"/>
      <c r="BY302" s="28"/>
      <c r="BZ302" s="28"/>
      <c r="CA302" s="28"/>
      <c r="CB302" s="28"/>
      <c r="CC302" s="7"/>
      <c r="CD302" s="7"/>
      <c r="CE302" s="29"/>
      <c r="CF302" s="18"/>
      <c r="CG302" s="29"/>
      <c r="CH302" s="29"/>
      <c r="CI302" s="29"/>
      <c r="CJ302" s="29"/>
      <c r="CK302" s="28"/>
      <c r="CL302" s="28"/>
      <c r="CM302" s="7"/>
      <c r="CN302" s="7"/>
      <c r="CO302" s="7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7"/>
      <c r="DG302" s="7"/>
      <c r="DH302" s="7"/>
      <c r="DI302" s="7"/>
      <c r="DJ302" s="7"/>
      <c r="DK302" s="28"/>
      <c r="DL302" s="28"/>
      <c r="DM302" s="7"/>
      <c r="DN302" s="29"/>
      <c r="DO302" s="28"/>
      <c r="DP302" s="28"/>
      <c r="DQ302" s="28"/>
    </row>
    <row r="303" spans="2:121">
      <c r="B303" s="7"/>
      <c r="C303" s="7"/>
      <c r="D303" s="7"/>
      <c r="E303" s="7"/>
      <c r="F303" s="7"/>
      <c r="G303" s="7"/>
      <c r="H303" s="38"/>
      <c r="I303" s="46"/>
      <c r="J303" s="18"/>
      <c r="K303" s="7"/>
      <c r="L303" s="38"/>
      <c r="M303" s="38"/>
      <c r="N303" s="38"/>
      <c r="O303" s="7"/>
      <c r="P303" s="7"/>
      <c r="Q303" s="33"/>
      <c r="R303" s="11"/>
      <c r="S303" s="11"/>
      <c r="T303" s="11" t="s">
        <v>98</v>
      </c>
      <c r="U303" s="12"/>
      <c r="V303" s="11"/>
      <c r="W303" s="13"/>
      <c r="X303" s="9"/>
      <c r="Y303" s="38"/>
      <c r="Z303" s="38"/>
      <c r="AA303" s="38"/>
      <c r="AB303" s="11"/>
      <c r="AC303" s="11"/>
      <c r="AD303" s="7"/>
      <c r="AE303" s="38"/>
      <c r="AF303" s="7"/>
      <c r="AG303" s="46"/>
      <c r="AH303" s="9"/>
      <c r="AI303" s="9"/>
      <c r="AJ303" s="9"/>
      <c r="AK303" s="9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53"/>
      <c r="AZ303" s="46"/>
      <c r="BA303" s="46"/>
      <c r="BB303" s="46"/>
      <c r="BC303" s="46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7"/>
      <c r="BR303" s="28"/>
      <c r="BS303" s="28"/>
      <c r="BT303" s="28"/>
      <c r="BU303" s="28"/>
      <c r="BV303" s="28"/>
      <c r="BW303" s="7"/>
      <c r="BX303" s="28"/>
      <c r="BY303" s="28"/>
      <c r="BZ303" s="28"/>
      <c r="CA303" s="28"/>
      <c r="CB303" s="28"/>
      <c r="CC303" s="7"/>
      <c r="CD303" s="7"/>
      <c r="CE303" s="29"/>
      <c r="CF303" s="18"/>
      <c r="CG303" s="29"/>
      <c r="CH303" s="29"/>
      <c r="CI303" s="29"/>
      <c r="CJ303" s="29"/>
      <c r="CK303" s="28"/>
      <c r="CL303" s="28"/>
      <c r="CM303" s="7"/>
      <c r="CN303" s="7"/>
      <c r="CO303" s="7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7"/>
      <c r="DG303" s="7"/>
      <c r="DH303" s="7"/>
      <c r="DI303" s="7"/>
      <c r="DJ303" s="7"/>
      <c r="DK303" s="28"/>
      <c r="DL303" s="28"/>
      <c r="DM303" s="7"/>
      <c r="DN303" s="29"/>
      <c r="DO303" s="28"/>
      <c r="DP303" s="28"/>
      <c r="DQ303" s="28"/>
    </row>
    <row r="304" spans="2:121">
      <c r="B304" s="7"/>
      <c r="C304" s="7"/>
      <c r="D304" s="7"/>
      <c r="E304" s="7"/>
      <c r="F304" s="7"/>
      <c r="G304" s="7"/>
      <c r="H304" s="38"/>
      <c r="I304" s="46"/>
      <c r="J304" s="18"/>
      <c r="K304" s="7"/>
      <c r="L304" s="38"/>
      <c r="M304" s="38"/>
      <c r="N304" s="38"/>
      <c r="O304" s="7"/>
      <c r="P304" s="7"/>
      <c r="Q304" s="33"/>
      <c r="R304" s="11"/>
      <c r="S304" s="11"/>
      <c r="T304" s="11" t="s">
        <v>98</v>
      </c>
      <c r="U304" s="12"/>
      <c r="V304" s="11"/>
      <c r="W304" s="13"/>
      <c r="X304" s="9"/>
      <c r="Y304" s="38"/>
      <c r="Z304" s="38"/>
      <c r="AA304" s="38"/>
      <c r="AB304" s="11"/>
      <c r="AC304" s="11"/>
      <c r="AD304" s="7"/>
      <c r="AE304" s="38"/>
      <c r="AF304" s="7"/>
      <c r="AG304" s="46"/>
      <c r="AH304" s="9"/>
      <c r="AI304" s="9"/>
      <c r="AJ304" s="9"/>
      <c r="AK304" s="9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53"/>
      <c r="AZ304" s="46"/>
      <c r="BA304" s="46"/>
      <c r="BB304" s="46"/>
      <c r="BC304" s="46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7"/>
      <c r="BR304" s="28"/>
      <c r="BS304" s="28"/>
      <c r="BT304" s="28"/>
      <c r="BU304" s="28"/>
      <c r="BV304" s="28"/>
      <c r="BW304" s="7"/>
      <c r="BX304" s="28"/>
      <c r="BY304" s="28"/>
      <c r="BZ304" s="28"/>
      <c r="CA304" s="28"/>
      <c r="CB304" s="28"/>
      <c r="CC304" s="7"/>
      <c r="CD304" s="7"/>
      <c r="CE304" s="29"/>
      <c r="CF304" s="18"/>
      <c r="CG304" s="29"/>
      <c r="CH304" s="29"/>
      <c r="CI304" s="29"/>
      <c r="CJ304" s="29"/>
      <c r="CK304" s="28"/>
      <c r="CL304" s="28"/>
      <c r="CM304" s="7"/>
      <c r="CN304" s="7"/>
      <c r="CO304" s="7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7"/>
      <c r="DG304" s="7"/>
      <c r="DH304" s="7"/>
      <c r="DI304" s="7"/>
      <c r="DJ304" s="7"/>
      <c r="DK304" s="28"/>
      <c r="DL304" s="28"/>
      <c r="DM304" s="7"/>
      <c r="DN304" s="29"/>
      <c r="DO304" s="28"/>
      <c r="DP304" s="28"/>
      <c r="DQ304" s="28"/>
    </row>
    <row r="305" spans="2:121">
      <c r="B305" s="7"/>
      <c r="C305" s="7"/>
      <c r="D305" s="7"/>
      <c r="E305" s="7"/>
      <c r="F305" s="7"/>
      <c r="G305" s="7"/>
      <c r="H305" s="38"/>
      <c r="I305" s="46"/>
      <c r="J305" s="18"/>
      <c r="K305" s="7"/>
      <c r="L305" s="38"/>
      <c r="M305" s="38"/>
      <c r="N305" s="38"/>
      <c r="O305" s="7"/>
      <c r="P305" s="7"/>
      <c r="Q305" s="33"/>
      <c r="R305" s="11"/>
      <c r="S305" s="11"/>
      <c r="T305" s="11" t="s">
        <v>98</v>
      </c>
      <c r="U305" s="12"/>
      <c r="V305" s="11"/>
      <c r="W305" s="13"/>
      <c r="X305" s="9"/>
      <c r="Y305" s="38"/>
      <c r="Z305" s="38"/>
      <c r="AA305" s="38"/>
      <c r="AB305" s="11"/>
      <c r="AC305" s="11"/>
      <c r="AD305" s="7"/>
      <c r="AE305" s="38"/>
      <c r="AF305" s="7"/>
      <c r="AG305" s="46"/>
      <c r="AH305" s="9"/>
      <c r="AI305" s="9"/>
      <c r="AJ305" s="9"/>
      <c r="AK305" s="9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53"/>
      <c r="AZ305" s="46"/>
      <c r="BA305" s="46"/>
      <c r="BB305" s="46"/>
      <c r="BC305" s="46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7"/>
      <c r="BR305" s="28"/>
      <c r="BS305" s="28"/>
      <c r="BT305" s="28"/>
      <c r="BU305" s="28"/>
      <c r="BV305" s="28"/>
      <c r="BW305" s="7"/>
      <c r="BX305" s="28"/>
      <c r="BY305" s="28"/>
      <c r="BZ305" s="28"/>
      <c r="CA305" s="28"/>
      <c r="CB305" s="28"/>
      <c r="CC305" s="7"/>
      <c r="CD305" s="7"/>
      <c r="CE305" s="29"/>
      <c r="CF305" s="18"/>
      <c r="CG305" s="29"/>
      <c r="CH305" s="29"/>
      <c r="CI305" s="29"/>
      <c r="CJ305" s="29"/>
      <c r="CK305" s="28"/>
      <c r="CL305" s="28"/>
      <c r="CM305" s="7"/>
      <c r="CN305" s="7"/>
      <c r="CO305" s="7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7"/>
      <c r="DG305" s="7"/>
      <c r="DH305" s="7"/>
      <c r="DI305" s="7"/>
      <c r="DJ305" s="7"/>
      <c r="DK305" s="28"/>
      <c r="DL305" s="28"/>
      <c r="DM305" s="7"/>
      <c r="DN305" s="29"/>
      <c r="DO305" s="28"/>
      <c r="DP305" s="28"/>
      <c r="DQ305" s="28"/>
    </row>
    <row r="306" spans="2:121">
      <c r="B306" s="7"/>
      <c r="C306" s="7"/>
      <c r="D306" s="7"/>
      <c r="E306" s="7"/>
      <c r="F306" s="7"/>
      <c r="G306" s="7"/>
      <c r="H306" s="38"/>
      <c r="I306" s="46"/>
      <c r="J306" s="18"/>
      <c r="K306" s="7"/>
      <c r="L306" s="38"/>
      <c r="M306" s="38"/>
      <c r="N306" s="38"/>
      <c r="O306" s="7"/>
      <c r="P306" s="7"/>
      <c r="Q306" s="33"/>
      <c r="R306" s="11"/>
      <c r="S306" s="11"/>
      <c r="T306" s="11" t="s">
        <v>98</v>
      </c>
      <c r="U306" s="12"/>
      <c r="V306" s="11"/>
      <c r="W306" s="13"/>
      <c r="X306" s="9"/>
      <c r="Y306" s="38"/>
      <c r="Z306" s="38"/>
      <c r="AA306" s="38"/>
      <c r="AB306" s="11"/>
      <c r="AC306" s="11"/>
      <c r="AD306" s="7"/>
      <c r="AE306" s="38"/>
      <c r="AF306" s="7"/>
      <c r="AG306" s="46"/>
      <c r="AH306" s="9"/>
      <c r="AI306" s="9"/>
      <c r="AJ306" s="9"/>
      <c r="AK306" s="9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53"/>
      <c r="AZ306" s="46"/>
      <c r="BA306" s="46"/>
      <c r="BB306" s="46"/>
      <c r="BC306" s="46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7"/>
      <c r="BR306" s="28"/>
      <c r="BS306" s="28"/>
      <c r="BT306" s="28"/>
      <c r="BU306" s="28"/>
      <c r="BV306" s="28"/>
      <c r="BW306" s="7"/>
      <c r="BX306" s="28"/>
      <c r="BY306" s="28"/>
      <c r="BZ306" s="28"/>
      <c r="CA306" s="28"/>
      <c r="CB306" s="28"/>
      <c r="CC306" s="7"/>
      <c r="CD306" s="7"/>
      <c r="CE306" s="29"/>
      <c r="CF306" s="18"/>
      <c r="CG306" s="29"/>
      <c r="CH306" s="29"/>
      <c r="CI306" s="29"/>
      <c r="CJ306" s="29"/>
      <c r="CK306" s="28"/>
      <c r="CL306" s="28"/>
      <c r="CM306" s="7"/>
      <c r="CN306" s="7"/>
      <c r="CO306" s="7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7"/>
      <c r="DG306" s="7"/>
      <c r="DH306" s="7"/>
      <c r="DI306" s="7"/>
      <c r="DJ306" s="7"/>
      <c r="DK306" s="28"/>
      <c r="DL306" s="28"/>
      <c r="DM306" s="7"/>
      <c r="DN306" s="29"/>
      <c r="DO306" s="28"/>
      <c r="DP306" s="28"/>
      <c r="DQ306" s="28"/>
    </row>
    <row r="307" spans="2:121">
      <c r="B307" s="7"/>
      <c r="C307" s="7"/>
      <c r="D307" s="7"/>
      <c r="E307" s="7"/>
      <c r="F307" s="7"/>
      <c r="G307" s="7"/>
      <c r="H307" s="38"/>
      <c r="I307" s="46"/>
      <c r="J307" s="18"/>
      <c r="K307" s="7"/>
      <c r="L307" s="38"/>
      <c r="M307" s="38"/>
      <c r="N307" s="38"/>
      <c r="O307" s="7"/>
      <c r="P307" s="7"/>
      <c r="Q307" s="33"/>
      <c r="R307" s="11"/>
      <c r="S307" s="11"/>
      <c r="T307" s="11" t="s">
        <v>98</v>
      </c>
      <c r="U307" s="12"/>
      <c r="V307" s="11"/>
      <c r="W307" s="13"/>
      <c r="X307" s="9"/>
      <c r="Y307" s="38"/>
      <c r="Z307" s="38"/>
      <c r="AA307" s="38"/>
      <c r="AB307" s="11"/>
      <c r="AC307" s="11"/>
      <c r="AD307" s="7"/>
      <c r="AE307" s="38"/>
      <c r="AF307" s="7"/>
      <c r="AG307" s="46"/>
      <c r="AH307" s="9"/>
      <c r="AI307" s="9"/>
      <c r="AJ307" s="9"/>
      <c r="AK307" s="9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53"/>
      <c r="AZ307" s="46"/>
      <c r="BA307" s="46"/>
      <c r="BB307" s="46"/>
      <c r="BC307" s="46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7"/>
      <c r="BR307" s="28"/>
      <c r="BS307" s="28"/>
      <c r="BT307" s="28"/>
      <c r="BU307" s="28"/>
      <c r="BV307" s="28"/>
      <c r="BW307" s="7"/>
      <c r="BX307" s="28"/>
      <c r="BY307" s="28"/>
      <c r="BZ307" s="28"/>
      <c r="CA307" s="28"/>
      <c r="CB307" s="28"/>
      <c r="CC307" s="7"/>
      <c r="CD307" s="7"/>
      <c r="CE307" s="29"/>
      <c r="CF307" s="18"/>
      <c r="CG307" s="29"/>
      <c r="CH307" s="29"/>
      <c r="CI307" s="29"/>
      <c r="CJ307" s="29"/>
      <c r="CK307" s="28"/>
      <c r="CL307" s="28"/>
      <c r="CM307" s="7"/>
      <c r="CN307" s="7"/>
      <c r="CO307" s="7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7"/>
      <c r="DG307" s="7"/>
      <c r="DH307" s="7"/>
      <c r="DI307" s="7"/>
      <c r="DJ307" s="7"/>
      <c r="DK307" s="28"/>
      <c r="DL307" s="28"/>
      <c r="DM307" s="7"/>
      <c r="DN307" s="29"/>
      <c r="DO307" s="28"/>
      <c r="DP307" s="28"/>
      <c r="DQ307" s="28"/>
    </row>
    <row r="308" spans="2:121">
      <c r="B308" s="7"/>
      <c r="C308" s="7"/>
      <c r="D308" s="7"/>
      <c r="E308" s="7"/>
      <c r="F308" s="7"/>
      <c r="G308" s="7"/>
      <c r="H308" s="38"/>
      <c r="I308" s="46"/>
      <c r="J308" s="18"/>
      <c r="K308" s="7"/>
      <c r="L308" s="38"/>
      <c r="M308" s="38"/>
      <c r="N308" s="38"/>
      <c r="O308" s="7"/>
      <c r="P308" s="7"/>
      <c r="Q308" s="33"/>
      <c r="R308" s="11"/>
      <c r="S308" s="11"/>
      <c r="T308" s="11" t="s">
        <v>98</v>
      </c>
      <c r="U308" s="12"/>
      <c r="V308" s="11"/>
      <c r="W308" s="13"/>
      <c r="X308" s="9"/>
      <c r="Y308" s="38"/>
      <c r="Z308" s="38"/>
      <c r="AA308" s="38"/>
      <c r="AB308" s="11"/>
      <c r="AC308" s="11"/>
      <c r="AD308" s="7"/>
      <c r="AE308" s="38"/>
      <c r="AF308" s="7"/>
      <c r="AG308" s="46"/>
      <c r="AH308" s="9"/>
      <c r="AI308" s="9"/>
      <c r="AJ308" s="9"/>
      <c r="AK308" s="9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53"/>
      <c r="AZ308" s="46"/>
      <c r="BA308" s="46"/>
      <c r="BB308" s="46"/>
      <c r="BC308" s="46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7"/>
      <c r="BR308" s="28"/>
      <c r="BS308" s="28"/>
      <c r="BT308" s="28"/>
      <c r="BU308" s="28"/>
      <c r="BV308" s="28"/>
      <c r="BW308" s="7"/>
      <c r="BX308" s="28"/>
      <c r="BY308" s="28"/>
      <c r="BZ308" s="28"/>
      <c r="CA308" s="28"/>
      <c r="CB308" s="28"/>
      <c r="CC308" s="7"/>
      <c r="CD308" s="7"/>
      <c r="CE308" s="29"/>
      <c r="CF308" s="18"/>
      <c r="CG308" s="29"/>
      <c r="CH308" s="29"/>
      <c r="CI308" s="29"/>
      <c r="CJ308" s="29"/>
      <c r="CK308" s="28"/>
      <c r="CL308" s="28"/>
      <c r="CM308" s="7"/>
      <c r="CN308" s="7"/>
      <c r="CO308" s="7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7"/>
      <c r="DG308" s="7"/>
      <c r="DH308" s="7"/>
      <c r="DI308" s="7"/>
      <c r="DJ308" s="7"/>
      <c r="DK308" s="28"/>
      <c r="DL308" s="28"/>
      <c r="DM308" s="7"/>
      <c r="DN308" s="29"/>
      <c r="DO308" s="28"/>
      <c r="DP308" s="28"/>
      <c r="DQ308" s="28"/>
    </row>
    <row r="309" spans="2:121">
      <c r="B309" s="7"/>
      <c r="C309" s="7"/>
      <c r="D309" s="7"/>
      <c r="E309" s="7"/>
      <c r="F309" s="7"/>
      <c r="G309" s="7"/>
      <c r="H309" s="38"/>
      <c r="I309" s="46"/>
      <c r="J309" s="18"/>
      <c r="K309" s="7"/>
      <c r="L309" s="38"/>
      <c r="M309" s="38"/>
      <c r="N309" s="38"/>
      <c r="O309" s="7"/>
      <c r="P309" s="7"/>
      <c r="Q309" s="33"/>
      <c r="R309" s="11"/>
      <c r="S309" s="11"/>
      <c r="T309" s="11" t="s">
        <v>98</v>
      </c>
      <c r="U309" s="12"/>
      <c r="V309" s="11"/>
      <c r="W309" s="13"/>
      <c r="X309" s="9"/>
      <c r="Y309" s="38"/>
      <c r="Z309" s="38"/>
      <c r="AA309" s="38"/>
      <c r="AB309" s="11"/>
      <c r="AC309" s="11"/>
      <c r="AD309" s="7"/>
      <c r="AE309" s="38"/>
      <c r="AF309" s="7"/>
      <c r="AG309" s="46"/>
      <c r="AH309" s="9"/>
      <c r="AI309" s="9"/>
      <c r="AJ309" s="9"/>
      <c r="AK309" s="9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53"/>
      <c r="AZ309" s="46"/>
      <c r="BA309" s="46"/>
      <c r="BB309" s="46"/>
      <c r="BC309" s="46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7"/>
      <c r="BR309" s="28"/>
      <c r="BS309" s="28"/>
      <c r="BT309" s="28"/>
      <c r="BU309" s="28"/>
      <c r="BV309" s="28"/>
      <c r="BW309" s="7"/>
      <c r="BX309" s="28"/>
      <c r="BY309" s="28"/>
      <c r="BZ309" s="28"/>
      <c r="CA309" s="28"/>
      <c r="CB309" s="28"/>
      <c r="CC309" s="7"/>
      <c r="CD309" s="7"/>
      <c r="CE309" s="29"/>
      <c r="CF309" s="18"/>
      <c r="CG309" s="29"/>
      <c r="CH309" s="29"/>
      <c r="CI309" s="29"/>
      <c r="CJ309" s="29"/>
      <c r="CK309" s="28"/>
      <c r="CL309" s="28"/>
      <c r="CM309" s="7"/>
      <c r="CN309" s="7"/>
      <c r="CO309" s="7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7"/>
      <c r="DG309" s="7"/>
      <c r="DH309" s="7"/>
      <c r="DI309" s="7"/>
      <c r="DJ309" s="7"/>
      <c r="DK309" s="28"/>
      <c r="DL309" s="28"/>
      <c r="DM309" s="7"/>
      <c r="DN309" s="29"/>
      <c r="DO309" s="28"/>
      <c r="DP309" s="28"/>
      <c r="DQ309" s="28"/>
    </row>
    <row r="310" spans="2:121">
      <c r="B310" s="7"/>
      <c r="C310" s="7"/>
      <c r="D310" s="7"/>
      <c r="E310" s="7"/>
      <c r="F310" s="7"/>
      <c r="G310" s="7"/>
      <c r="H310" s="38"/>
      <c r="I310" s="46"/>
      <c r="J310" s="18"/>
      <c r="K310" s="7"/>
      <c r="L310" s="38"/>
      <c r="M310" s="38"/>
      <c r="N310" s="38"/>
      <c r="O310" s="7"/>
      <c r="P310" s="7"/>
      <c r="Q310" s="33"/>
      <c r="R310" s="11"/>
      <c r="S310" s="11"/>
      <c r="T310" s="11" t="s">
        <v>98</v>
      </c>
      <c r="U310" s="12"/>
      <c r="V310" s="11"/>
      <c r="W310" s="13"/>
      <c r="X310" s="9"/>
      <c r="Y310" s="38"/>
      <c r="Z310" s="38"/>
      <c r="AA310" s="38"/>
      <c r="AB310" s="11"/>
      <c r="AC310" s="11"/>
      <c r="AD310" s="7"/>
      <c r="AE310" s="38"/>
      <c r="AF310" s="7"/>
      <c r="AG310" s="46"/>
      <c r="AH310" s="9"/>
      <c r="AI310" s="9"/>
      <c r="AJ310" s="9"/>
      <c r="AK310" s="9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53"/>
      <c r="AZ310" s="46"/>
      <c r="BA310" s="46"/>
      <c r="BB310" s="46"/>
      <c r="BC310" s="46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7"/>
      <c r="BR310" s="28"/>
      <c r="BS310" s="28"/>
      <c r="BT310" s="28"/>
      <c r="BU310" s="28"/>
      <c r="BV310" s="28"/>
      <c r="BW310" s="7"/>
      <c r="BX310" s="28"/>
      <c r="BY310" s="28"/>
      <c r="BZ310" s="28"/>
      <c r="CA310" s="28"/>
      <c r="CB310" s="28"/>
      <c r="CC310" s="7"/>
      <c r="CD310" s="7"/>
      <c r="CE310" s="29"/>
      <c r="CF310" s="18"/>
      <c r="CG310" s="29"/>
      <c r="CH310" s="29"/>
      <c r="CI310" s="29"/>
      <c r="CJ310" s="29"/>
      <c r="CK310" s="28"/>
      <c r="CL310" s="28"/>
      <c r="CM310" s="7"/>
      <c r="CN310" s="7"/>
      <c r="CO310" s="7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7"/>
      <c r="DG310" s="7"/>
      <c r="DH310" s="7"/>
      <c r="DI310" s="7"/>
      <c r="DJ310" s="7"/>
      <c r="DK310" s="28"/>
      <c r="DL310" s="28"/>
      <c r="DM310" s="7"/>
      <c r="DN310" s="29"/>
      <c r="DO310" s="28"/>
      <c r="DP310" s="28"/>
      <c r="DQ310" s="28"/>
    </row>
    <row r="311" spans="2:121">
      <c r="B311" s="7"/>
      <c r="C311" s="7"/>
      <c r="D311" s="7"/>
      <c r="E311" s="7"/>
      <c r="F311" s="7"/>
      <c r="G311" s="7"/>
      <c r="H311" s="38"/>
      <c r="I311" s="46"/>
      <c r="J311" s="18"/>
      <c r="K311" s="7"/>
      <c r="L311" s="38"/>
      <c r="M311" s="38"/>
      <c r="N311" s="38"/>
      <c r="O311" s="7"/>
      <c r="P311" s="7"/>
      <c r="Q311" s="33"/>
      <c r="R311" s="11"/>
      <c r="S311" s="11"/>
      <c r="T311" s="11" t="s">
        <v>98</v>
      </c>
      <c r="U311" s="12"/>
      <c r="V311" s="11"/>
      <c r="W311" s="13"/>
      <c r="X311" s="9"/>
      <c r="Y311" s="38"/>
      <c r="Z311" s="38"/>
      <c r="AA311" s="38"/>
      <c r="AB311" s="11"/>
      <c r="AC311" s="11"/>
      <c r="AD311" s="7"/>
      <c r="AE311" s="38"/>
      <c r="AF311" s="7"/>
      <c r="AG311" s="46"/>
      <c r="AH311" s="9"/>
      <c r="AI311" s="9"/>
      <c r="AJ311" s="9"/>
      <c r="AK311" s="9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53"/>
      <c r="AZ311" s="46"/>
      <c r="BA311" s="46"/>
      <c r="BB311" s="46"/>
      <c r="BC311" s="46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7"/>
      <c r="BR311" s="28"/>
      <c r="BS311" s="28"/>
      <c r="BT311" s="28"/>
      <c r="BU311" s="28"/>
      <c r="BV311" s="28"/>
      <c r="BW311" s="7"/>
      <c r="BX311" s="28"/>
      <c r="BY311" s="28"/>
      <c r="BZ311" s="28"/>
      <c r="CA311" s="28"/>
      <c r="CB311" s="28"/>
      <c r="CC311" s="7"/>
      <c r="CD311" s="7"/>
      <c r="CE311" s="29"/>
      <c r="CF311" s="18"/>
      <c r="CG311" s="29"/>
      <c r="CH311" s="29"/>
      <c r="CI311" s="29"/>
      <c r="CJ311" s="29"/>
      <c r="CK311" s="28"/>
      <c r="CL311" s="28"/>
      <c r="CM311" s="7"/>
      <c r="CN311" s="7"/>
      <c r="CO311" s="7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7"/>
      <c r="DG311" s="7"/>
      <c r="DH311" s="7"/>
      <c r="DI311" s="7"/>
      <c r="DJ311" s="7"/>
      <c r="DK311" s="28"/>
      <c r="DL311" s="28"/>
      <c r="DM311" s="7"/>
      <c r="DN311" s="29"/>
      <c r="DO311" s="28"/>
      <c r="DP311" s="28"/>
      <c r="DQ311" s="28"/>
    </row>
    <row r="312" spans="2:121">
      <c r="B312" s="7"/>
      <c r="C312" s="7"/>
      <c r="D312" s="7"/>
      <c r="E312" s="7"/>
      <c r="F312" s="7"/>
      <c r="G312" s="7"/>
      <c r="H312" s="38"/>
      <c r="I312" s="46"/>
      <c r="J312" s="18"/>
      <c r="K312" s="7"/>
      <c r="L312" s="38"/>
      <c r="M312" s="38"/>
      <c r="N312" s="38"/>
      <c r="O312" s="7"/>
      <c r="P312" s="7"/>
      <c r="Q312" s="33"/>
      <c r="R312" s="11"/>
      <c r="S312" s="11"/>
      <c r="T312" s="11" t="s">
        <v>98</v>
      </c>
      <c r="U312" s="12"/>
      <c r="V312" s="11"/>
      <c r="W312" s="13"/>
      <c r="X312" s="9"/>
      <c r="Y312" s="38"/>
      <c r="Z312" s="38"/>
      <c r="AA312" s="38"/>
      <c r="AB312" s="11"/>
      <c r="AC312" s="11"/>
      <c r="AD312" s="7"/>
      <c r="AE312" s="38"/>
      <c r="AF312" s="7"/>
      <c r="AG312" s="46"/>
      <c r="AH312" s="9"/>
      <c r="AI312" s="9"/>
      <c r="AJ312" s="9"/>
      <c r="AK312" s="9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53"/>
      <c r="AZ312" s="46"/>
      <c r="BA312" s="46"/>
      <c r="BB312" s="46"/>
      <c r="BC312" s="46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7"/>
      <c r="BR312" s="28"/>
      <c r="BS312" s="28"/>
      <c r="BT312" s="28"/>
      <c r="BU312" s="28"/>
      <c r="BV312" s="28"/>
      <c r="BW312" s="7"/>
      <c r="BX312" s="28"/>
      <c r="BY312" s="28"/>
      <c r="BZ312" s="28"/>
      <c r="CA312" s="28"/>
      <c r="CB312" s="28"/>
      <c r="CC312" s="7"/>
      <c r="CD312" s="7"/>
      <c r="CE312" s="29"/>
      <c r="CF312" s="18"/>
      <c r="CG312" s="29"/>
      <c r="CH312" s="29"/>
      <c r="CI312" s="29"/>
      <c r="CJ312" s="29"/>
      <c r="CK312" s="28"/>
      <c r="CL312" s="28"/>
      <c r="CM312" s="7"/>
      <c r="CN312" s="7"/>
      <c r="CO312" s="7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7"/>
      <c r="DG312" s="7"/>
      <c r="DH312" s="7"/>
      <c r="DI312" s="7"/>
      <c r="DJ312" s="7"/>
      <c r="DK312" s="28"/>
      <c r="DL312" s="28"/>
      <c r="DM312" s="7"/>
      <c r="DN312" s="29"/>
      <c r="DO312" s="28"/>
      <c r="DP312" s="28"/>
      <c r="DQ312" s="28"/>
    </row>
    <row r="313" spans="2:121">
      <c r="B313" s="7"/>
      <c r="C313" s="7"/>
      <c r="D313" s="7"/>
      <c r="E313" s="7"/>
      <c r="F313" s="7"/>
      <c r="G313" s="7"/>
      <c r="H313" s="38"/>
      <c r="I313" s="46"/>
      <c r="J313" s="18"/>
      <c r="K313" s="7"/>
      <c r="L313" s="38"/>
      <c r="M313" s="38"/>
      <c r="N313" s="38"/>
      <c r="O313" s="7"/>
      <c r="P313" s="7"/>
      <c r="Q313" s="33"/>
      <c r="R313" s="11"/>
      <c r="S313" s="11"/>
      <c r="T313" s="11" t="s">
        <v>98</v>
      </c>
      <c r="U313" s="12"/>
      <c r="V313" s="11"/>
      <c r="W313" s="13"/>
      <c r="X313" s="9"/>
      <c r="Y313" s="38"/>
      <c r="Z313" s="38"/>
      <c r="AA313" s="38"/>
      <c r="AB313" s="11"/>
      <c r="AC313" s="11"/>
      <c r="AD313" s="7"/>
      <c r="AE313" s="38"/>
      <c r="AF313" s="7"/>
      <c r="AG313" s="46"/>
      <c r="AH313" s="9"/>
      <c r="AI313" s="9"/>
      <c r="AJ313" s="9"/>
      <c r="AK313" s="9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53"/>
      <c r="AZ313" s="46"/>
      <c r="BA313" s="46"/>
      <c r="BB313" s="46"/>
      <c r="BC313" s="46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7"/>
      <c r="BR313" s="28"/>
      <c r="BS313" s="28"/>
      <c r="BT313" s="28"/>
      <c r="BU313" s="28"/>
      <c r="BV313" s="28"/>
      <c r="BW313" s="7"/>
      <c r="BX313" s="28"/>
      <c r="BY313" s="28"/>
      <c r="BZ313" s="28"/>
      <c r="CA313" s="28"/>
      <c r="CB313" s="28"/>
      <c r="CC313" s="7"/>
      <c r="CD313" s="7"/>
      <c r="CE313" s="29"/>
      <c r="CF313" s="18"/>
      <c r="CG313" s="29"/>
      <c r="CH313" s="29"/>
      <c r="CI313" s="29"/>
      <c r="CJ313" s="29"/>
      <c r="CK313" s="28"/>
      <c r="CL313" s="28"/>
      <c r="CM313" s="7"/>
      <c r="CN313" s="7"/>
      <c r="CO313" s="7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7"/>
      <c r="DG313" s="7"/>
      <c r="DH313" s="7"/>
      <c r="DI313" s="7"/>
      <c r="DJ313" s="7"/>
      <c r="DK313" s="28"/>
      <c r="DL313" s="28"/>
      <c r="DM313" s="7"/>
      <c r="DN313" s="29"/>
      <c r="DO313" s="28"/>
      <c r="DP313" s="28"/>
      <c r="DQ313" s="28"/>
    </row>
    <row r="314" spans="2:121">
      <c r="B314" s="7"/>
      <c r="C314" s="7"/>
      <c r="D314" s="7"/>
      <c r="E314" s="7"/>
      <c r="F314" s="7"/>
      <c r="G314" s="7"/>
      <c r="H314" s="38"/>
      <c r="I314" s="46"/>
      <c r="J314" s="18"/>
      <c r="K314" s="7"/>
      <c r="L314" s="38"/>
      <c r="M314" s="38"/>
      <c r="N314" s="38"/>
      <c r="O314" s="7"/>
      <c r="P314" s="7"/>
      <c r="Q314" s="33"/>
      <c r="R314" s="11"/>
      <c r="S314" s="11"/>
      <c r="T314" s="11" t="s">
        <v>98</v>
      </c>
      <c r="U314" s="12"/>
      <c r="V314" s="11"/>
      <c r="W314" s="13"/>
      <c r="X314" s="9"/>
      <c r="Y314" s="38"/>
      <c r="Z314" s="38"/>
      <c r="AA314" s="38"/>
      <c r="AB314" s="11"/>
      <c r="AC314" s="11"/>
      <c r="AD314" s="7"/>
      <c r="AE314" s="38"/>
      <c r="AF314" s="7"/>
      <c r="AG314" s="46"/>
      <c r="AH314" s="9"/>
      <c r="AI314" s="9"/>
      <c r="AJ314" s="9"/>
      <c r="AK314" s="9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53"/>
      <c r="AZ314" s="46"/>
      <c r="BA314" s="46"/>
      <c r="BB314" s="46"/>
      <c r="BC314" s="46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7"/>
      <c r="BR314" s="28"/>
      <c r="BS314" s="28"/>
      <c r="BT314" s="28"/>
      <c r="BU314" s="28"/>
      <c r="BV314" s="28"/>
      <c r="BW314" s="7"/>
      <c r="BX314" s="28"/>
      <c r="BY314" s="28"/>
      <c r="BZ314" s="28"/>
      <c r="CA314" s="28"/>
      <c r="CB314" s="28"/>
      <c r="CC314" s="7"/>
      <c r="CD314" s="7"/>
      <c r="CE314" s="29"/>
      <c r="CF314" s="18"/>
      <c r="CG314" s="29"/>
      <c r="CH314" s="29"/>
      <c r="CI314" s="29"/>
      <c r="CJ314" s="29"/>
      <c r="CK314" s="28"/>
      <c r="CL314" s="28"/>
      <c r="CM314" s="7"/>
      <c r="CN314" s="7"/>
      <c r="CO314" s="7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7"/>
      <c r="DG314" s="7"/>
      <c r="DH314" s="7"/>
      <c r="DI314" s="7"/>
      <c r="DJ314" s="7"/>
      <c r="DK314" s="28"/>
      <c r="DL314" s="28"/>
      <c r="DM314" s="7"/>
      <c r="DN314" s="29"/>
      <c r="DO314" s="28"/>
      <c r="DP314" s="28"/>
      <c r="DQ314" s="28"/>
    </row>
    <row r="315" spans="2:121">
      <c r="B315" s="7"/>
      <c r="C315" s="7"/>
      <c r="D315" s="7"/>
      <c r="E315" s="7"/>
      <c r="F315" s="7"/>
      <c r="G315" s="7"/>
      <c r="H315" s="38"/>
      <c r="I315" s="46"/>
      <c r="J315" s="18"/>
      <c r="K315" s="7"/>
      <c r="L315" s="38"/>
      <c r="M315" s="38"/>
      <c r="N315" s="38"/>
      <c r="O315" s="7"/>
      <c r="P315" s="7"/>
      <c r="Q315" s="33"/>
      <c r="R315" s="11"/>
      <c r="S315" s="11"/>
      <c r="T315" s="11" t="s">
        <v>98</v>
      </c>
      <c r="U315" s="12"/>
      <c r="V315" s="11"/>
      <c r="W315" s="13"/>
      <c r="X315" s="9"/>
      <c r="Y315" s="38"/>
      <c r="Z315" s="38"/>
      <c r="AA315" s="38"/>
      <c r="AB315" s="11"/>
      <c r="AC315" s="11"/>
      <c r="AD315" s="7"/>
      <c r="AE315" s="38"/>
      <c r="AF315" s="7"/>
      <c r="AG315" s="46"/>
      <c r="AH315" s="9"/>
      <c r="AI315" s="9"/>
      <c r="AJ315" s="9"/>
      <c r="AK315" s="9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53"/>
      <c r="AZ315" s="46"/>
      <c r="BA315" s="46"/>
      <c r="BB315" s="46"/>
      <c r="BC315" s="46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7"/>
      <c r="BR315" s="28"/>
      <c r="BS315" s="28"/>
      <c r="BT315" s="28"/>
      <c r="BU315" s="28"/>
      <c r="BV315" s="28"/>
      <c r="BW315" s="7"/>
      <c r="BX315" s="28"/>
      <c r="BY315" s="28"/>
      <c r="BZ315" s="28"/>
      <c r="CA315" s="28"/>
      <c r="CB315" s="28"/>
      <c r="CC315" s="7"/>
      <c r="CD315" s="7"/>
      <c r="CE315" s="29"/>
      <c r="CF315" s="18"/>
      <c r="CG315" s="29"/>
      <c r="CH315" s="29"/>
      <c r="CI315" s="29"/>
      <c r="CJ315" s="29"/>
      <c r="CK315" s="28"/>
      <c r="CL315" s="28"/>
      <c r="CM315" s="7"/>
      <c r="CN315" s="7"/>
      <c r="CO315" s="7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7"/>
      <c r="DG315" s="7"/>
      <c r="DH315" s="7"/>
      <c r="DI315" s="7"/>
      <c r="DJ315" s="7"/>
      <c r="DK315" s="28"/>
      <c r="DL315" s="28"/>
      <c r="DM315" s="7"/>
      <c r="DN315" s="29"/>
      <c r="DO315" s="28"/>
      <c r="DP315" s="28"/>
      <c r="DQ315" s="28"/>
    </row>
    <row r="316" spans="2:121">
      <c r="B316" s="7"/>
      <c r="C316" s="7"/>
      <c r="D316" s="7"/>
      <c r="E316" s="7"/>
      <c r="F316" s="7"/>
      <c r="G316" s="7"/>
      <c r="H316" s="38"/>
      <c r="I316" s="46"/>
      <c r="J316" s="18"/>
      <c r="K316" s="7"/>
      <c r="L316" s="38"/>
      <c r="M316" s="38"/>
      <c r="N316" s="38"/>
      <c r="O316" s="7"/>
      <c r="P316" s="7"/>
      <c r="Q316" s="33"/>
      <c r="R316" s="11"/>
      <c r="S316" s="11"/>
      <c r="T316" s="11" t="s">
        <v>98</v>
      </c>
      <c r="U316" s="12"/>
      <c r="V316" s="11"/>
      <c r="W316" s="13"/>
      <c r="X316" s="9"/>
      <c r="Y316" s="38"/>
      <c r="Z316" s="38"/>
      <c r="AA316" s="38"/>
      <c r="AB316" s="11"/>
      <c r="AC316" s="11"/>
      <c r="AD316" s="7"/>
      <c r="AE316" s="38"/>
      <c r="AF316" s="7"/>
      <c r="AG316" s="46"/>
      <c r="AH316" s="9"/>
      <c r="AI316" s="9"/>
      <c r="AJ316" s="9"/>
      <c r="AK316" s="9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53"/>
      <c r="AZ316" s="46"/>
      <c r="BA316" s="46"/>
      <c r="BB316" s="46"/>
      <c r="BC316" s="46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7"/>
      <c r="BR316" s="28"/>
      <c r="BS316" s="28"/>
      <c r="BT316" s="28"/>
      <c r="BU316" s="28"/>
      <c r="BV316" s="28"/>
      <c r="BW316" s="7"/>
      <c r="BX316" s="28"/>
      <c r="BY316" s="28"/>
      <c r="BZ316" s="28"/>
      <c r="CA316" s="28"/>
      <c r="CB316" s="28"/>
      <c r="CC316" s="7"/>
      <c r="CD316" s="7"/>
      <c r="CE316" s="29"/>
      <c r="CF316" s="18"/>
      <c r="CG316" s="29"/>
      <c r="CH316" s="29"/>
      <c r="CI316" s="29"/>
      <c r="CJ316" s="29"/>
      <c r="CK316" s="28"/>
      <c r="CL316" s="28"/>
      <c r="CM316" s="7"/>
      <c r="CN316" s="7"/>
      <c r="CO316" s="7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7"/>
      <c r="DG316" s="7"/>
      <c r="DH316" s="7"/>
      <c r="DI316" s="7"/>
      <c r="DJ316" s="7"/>
      <c r="DK316" s="28"/>
      <c r="DL316" s="28"/>
      <c r="DM316" s="7"/>
      <c r="DN316" s="29"/>
      <c r="DO316" s="28"/>
      <c r="DP316" s="28"/>
      <c r="DQ316" s="28"/>
    </row>
    <row r="317" spans="2:121">
      <c r="B317" s="7"/>
      <c r="C317" s="7"/>
      <c r="D317" s="7"/>
      <c r="E317" s="7"/>
      <c r="F317" s="7"/>
      <c r="G317" s="7"/>
      <c r="H317" s="38"/>
      <c r="I317" s="46"/>
      <c r="J317" s="18"/>
      <c r="K317" s="7"/>
      <c r="L317" s="38"/>
      <c r="M317" s="38"/>
      <c r="N317" s="38"/>
      <c r="O317" s="7"/>
      <c r="P317" s="7"/>
      <c r="Q317" s="33"/>
      <c r="R317" s="11"/>
      <c r="S317" s="11"/>
      <c r="T317" s="11" t="s">
        <v>98</v>
      </c>
      <c r="U317" s="12"/>
      <c r="V317" s="11"/>
      <c r="W317" s="13"/>
      <c r="X317" s="9"/>
      <c r="Y317" s="38"/>
      <c r="Z317" s="38"/>
      <c r="AA317" s="38"/>
      <c r="AB317" s="11"/>
      <c r="AC317" s="11"/>
      <c r="AD317" s="7"/>
      <c r="AE317" s="38"/>
      <c r="AF317" s="7"/>
      <c r="AG317" s="46"/>
      <c r="AH317" s="9"/>
      <c r="AI317" s="9"/>
      <c r="AJ317" s="9"/>
      <c r="AK317" s="9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53"/>
      <c r="AZ317" s="46"/>
      <c r="BA317" s="46"/>
      <c r="BB317" s="46"/>
      <c r="BC317" s="46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7"/>
      <c r="BR317" s="28"/>
      <c r="BS317" s="28"/>
      <c r="BT317" s="28"/>
      <c r="BU317" s="28"/>
      <c r="BV317" s="28"/>
      <c r="BW317" s="7"/>
      <c r="BX317" s="28"/>
      <c r="BY317" s="28"/>
      <c r="BZ317" s="28"/>
      <c r="CA317" s="28"/>
      <c r="CB317" s="28"/>
      <c r="CC317" s="7"/>
      <c r="CD317" s="7"/>
      <c r="CE317" s="29"/>
      <c r="CF317" s="18"/>
      <c r="CG317" s="29"/>
      <c r="CH317" s="29"/>
      <c r="CI317" s="29"/>
      <c r="CJ317" s="29"/>
      <c r="CK317" s="28"/>
      <c r="CL317" s="28"/>
      <c r="CM317" s="7"/>
      <c r="CN317" s="7"/>
      <c r="CO317" s="7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7"/>
      <c r="DG317" s="7"/>
      <c r="DH317" s="7"/>
      <c r="DI317" s="7"/>
      <c r="DJ317" s="7"/>
      <c r="DK317" s="28"/>
      <c r="DL317" s="28"/>
      <c r="DM317" s="7"/>
      <c r="DN317" s="29"/>
      <c r="DO317" s="28"/>
      <c r="DP317" s="28"/>
      <c r="DQ317" s="28"/>
    </row>
    <row r="318" spans="2:121">
      <c r="B318" s="7"/>
      <c r="C318" s="7"/>
      <c r="D318" s="7"/>
      <c r="E318" s="7"/>
      <c r="F318" s="7"/>
      <c r="G318" s="7"/>
      <c r="H318" s="38"/>
      <c r="I318" s="46"/>
      <c r="J318" s="18"/>
      <c r="K318" s="7"/>
      <c r="L318" s="38"/>
      <c r="M318" s="38"/>
      <c r="N318" s="38"/>
      <c r="O318" s="7"/>
      <c r="P318" s="7"/>
      <c r="Q318" s="33"/>
      <c r="R318" s="11"/>
      <c r="S318" s="11"/>
      <c r="T318" s="11" t="s">
        <v>98</v>
      </c>
      <c r="U318" s="12"/>
      <c r="V318" s="11"/>
      <c r="W318" s="13"/>
      <c r="X318" s="9"/>
      <c r="Y318" s="38"/>
      <c r="Z318" s="38"/>
      <c r="AA318" s="38"/>
      <c r="AB318" s="11"/>
      <c r="AC318" s="11"/>
      <c r="AD318" s="7"/>
      <c r="AE318" s="38"/>
      <c r="AF318" s="7"/>
      <c r="AG318" s="46"/>
      <c r="AH318" s="9"/>
      <c r="AI318" s="9"/>
      <c r="AJ318" s="9"/>
      <c r="AK318" s="9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53"/>
      <c r="AZ318" s="46"/>
      <c r="BA318" s="46"/>
      <c r="BB318" s="46"/>
      <c r="BC318" s="46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7"/>
      <c r="BR318" s="28"/>
      <c r="BS318" s="28"/>
      <c r="BT318" s="28"/>
      <c r="BU318" s="28"/>
      <c r="BV318" s="28"/>
      <c r="BW318" s="7"/>
      <c r="BX318" s="28"/>
      <c r="BY318" s="28"/>
      <c r="BZ318" s="28"/>
      <c r="CA318" s="28"/>
      <c r="CB318" s="28"/>
      <c r="CC318" s="7"/>
      <c r="CD318" s="7"/>
      <c r="CE318" s="29"/>
      <c r="CF318" s="18"/>
      <c r="CG318" s="29"/>
      <c r="CH318" s="29"/>
      <c r="CI318" s="29"/>
      <c r="CJ318" s="29"/>
      <c r="CK318" s="28"/>
      <c r="CL318" s="28"/>
      <c r="CM318" s="7"/>
      <c r="CN318" s="7"/>
      <c r="CO318" s="7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7"/>
      <c r="DG318" s="7"/>
      <c r="DH318" s="7"/>
      <c r="DI318" s="7"/>
      <c r="DJ318" s="7"/>
      <c r="DK318" s="28"/>
      <c r="DL318" s="28"/>
      <c r="DM318" s="7"/>
      <c r="DN318" s="29"/>
      <c r="DO318" s="28"/>
      <c r="DP318" s="28"/>
      <c r="DQ318" s="28"/>
    </row>
    <row r="319" spans="2:121">
      <c r="B319" s="7"/>
      <c r="C319" s="7"/>
      <c r="D319" s="7"/>
      <c r="E319" s="7"/>
      <c r="F319" s="7"/>
      <c r="G319" s="7"/>
      <c r="H319" s="38"/>
      <c r="I319" s="46"/>
      <c r="J319" s="18"/>
      <c r="K319" s="7"/>
      <c r="L319" s="38"/>
      <c r="M319" s="38"/>
      <c r="N319" s="38"/>
      <c r="O319" s="7"/>
      <c r="P319" s="7"/>
      <c r="Q319" s="33"/>
      <c r="R319" s="11"/>
      <c r="S319" s="11"/>
      <c r="T319" s="11" t="s">
        <v>98</v>
      </c>
      <c r="U319" s="12"/>
      <c r="V319" s="11"/>
      <c r="W319" s="13"/>
      <c r="X319" s="9"/>
      <c r="Y319" s="38"/>
      <c r="Z319" s="38"/>
      <c r="AA319" s="38"/>
      <c r="AB319" s="11"/>
      <c r="AC319" s="11"/>
      <c r="AD319" s="7"/>
      <c r="AE319" s="38"/>
      <c r="AF319" s="7"/>
      <c r="AG319" s="46"/>
      <c r="AH319" s="9"/>
      <c r="AI319" s="9"/>
      <c r="AJ319" s="9"/>
      <c r="AK319" s="9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53"/>
      <c r="AZ319" s="46"/>
      <c r="BA319" s="46"/>
      <c r="BB319" s="46"/>
      <c r="BC319" s="46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7"/>
      <c r="BR319" s="28"/>
      <c r="BS319" s="28"/>
      <c r="BT319" s="28"/>
      <c r="BU319" s="28"/>
      <c r="BV319" s="28"/>
      <c r="BW319" s="7"/>
      <c r="BX319" s="28"/>
      <c r="BY319" s="28"/>
      <c r="BZ319" s="28"/>
      <c r="CA319" s="28"/>
      <c r="CB319" s="28"/>
      <c r="CC319" s="7"/>
      <c r="CD319" s="7"/>
      <c r="CE319" s="29"/>
      <c r="CF319" s="18"/>
      <c r="CG319" s="29"/>
      <c r="CH319" s="29"/>
      <c r="CI319" s="29"/>
      <c r="CJ319" s="29"/>
      <c r="CK319" s="28"/>
      <c r="CL319" s="28"/>
      <c r="CM319" s="7"/>
      <c r="CN319" s="7"/>
      <c r="CO319" s="7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7"/>
      <c r="DG319" s="7"/>
      <c r="DH319" s="7"/>
      <c r="DI319" s="7"/>
      <c r="DJ319" s="7"/>
      <c r="DK319" s="28"/>
      <c r="DL319" s="28"/>
      <c r="DM319" s="7"/>
      <c r="DN319" s="29"/>
      <c r="DO319" s="28"/>
      <c r="DP319" s="28"/>
      <c r="DQ319" s="28"/>
    </row>
    <row r="320" spans="2:121">
      <c r="B320" s="7"/>
      <c r="C320" s="7"/>
      <c r="D320" s="7"/>
      <c r="E320" s="7"/>
      <c r="F320" s="7"/>
      <c r="G320" s="7"/>
      <c r="H320" s="38"/>
      <c r="I320" s="46"/>
      <c r="J320" s="18"/>
      <c r="K320" s="7"/>
      <c r="L320" s="38"/>
      <c r="M320" s="38"/>
      <c r="N320" s="38"/>
      <c r="O320" s="7"/>
      <c r="P320" s="7"/>
      <c r="Q320" s="33"/>
      <c r="R320" s="11"/>
      <c r="S320" s="11"/>
      <c r="T320" s="11" t="s">
        <v>98</v>
      </c>
      <c r="U320" s="12"/>
      <c r="V320" s="11"/>
      <c r="W320" s="13"/>
      <c r="X320" s="9"/>
      <c r="Y320" s="38"/>
      <c r="Z320" s="38"/>
      <c r="AA320" s="38"/>
      <c r="AB320" s="11"/>
      <c r="AC320" s="11"/>
      <c r="AD320" s="7"/>
      <c r="AE320" s="38"/>
      <c r="AF320" s="7"/>
      <c r="AG320" s="46"/>
      <c r="AH320" s="9"/>
      <c r="AI320" s="9"/>
      <c r="AJ320" s="9"/>
      <c r="AK320" s="9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53"/>
      <c r="AZ320" s="46"/>
      <c r="BA320" s="46"/>
      <c r="BB320" s="46"/>
      <c r="BC320" s="46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7"/>
      <c r="BR320" s="28"/>
      <c r="BS320" s="28"/>
      <c r="BT320" s="28"/>
      <c r="BU320" s="28"/>
      <c r="BV320" s="28"/>
      <c r="BW320" s="7"/>
      <c r="BX320" s="28"/>
      <c r="BY320" s="28"/>
      <c r="BZ320" s="28"/>
      <c r="CA320" s="28"/>
      <c r="CB320" s="28"/>
      <c r="CC320" s="7"/>
      <c r="CD320" s="7"/>
      <c r="CE320" s="29"/>
      <c r="CF320" s="18"/>
      <c r="CG320" s="29"/>
      <c r="CH320" s="29"/>
      <c r="CI320" s="29"/>
      <c r="CJ320" s="29"/>
      <c r="CK320" s="28"/>
      <c r="CL320" s="28"/>
      <c r="CM320" s="7"/>
      <c r="CN320" s="7"/>
      <c r="CO320" s="7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7"/>
      <c r="DG320" s="7"/>
      <c r="DH320" s="7"/>
      <c r="DI320" s="7"/>
      <c r="DJ320" s="7"/>
      <c r="DK320" s="28"/>
      <c r="DL320" s="28"/>
      <c r="DM320" s="7"/>
      <c r="DN320" s="29"/>
      <c r="DO320" s="28"/>
      <c r="DP320" s="28"/>
      <c r="DQ320" s="28"/>
    </row>
    <row r="321" spans="2:121">
      <c r="B321" s="7"/>
      <c r="C321" s="7"/>
      <c r="D321" s="7"/>
      <c r="E321" s="7"/>
      <c r="F321" s="7"/>
      <c r="G321" s="7"/>
      <c r="H321" s="38"/>
      <c r="I321" s="46"/>
      <c r="J321" s="18"/>
      <c r="K321" s="7"/>
      <c r="L321" s="38"/>
      <c r="M321" s="38"/>
      <c r="N321" s="38"/>
      <c r="O321" s="7"/>
      <c r="P321" s="7"/>
      <c r="Q321" s="33"/>
      <c r="R321" s="11"/>
      <c r="S321" s="11"/>
      <c r="T321" s="11" t="s">
        <v>98</v>
      </c>
      <c r="U321" s="12"/>
      <c r="V321" s="11"/>
      <c r="W321" s="13"/>
      <c r="X321" s="9"/>
      <c r="Y321" s="38"/>
      <c r="Z321" s="38"/>
      <c r="AA321" s="38"/>
      <c r="AB321" s="11"/>
      <c r="AC321" s="11"/>
      <c r="AD321" s="7"/>
      <c r="AE321" s="38"/>
      <c r="AF321" s="7"/>
      <c r="AG321" s="46"/>
      <c r="AH321" s="9"/>
      <c r="AI321" s="9"/>
      <c r="AJ321" s="9"/>
      <c r="AK321" s="9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53"/>
      <c r="AZ321" s="46"/>
      <c r="BA321" s="46"/>
      <c r="BB321" s="46"/>
      <c r="BC321" s="46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7"/>
      <c r="BR321" s="28"/>
      <c r="BS321" s="28"/>
      <c r="BT321" s="28"/>
      <c r="BU321" s="28"/>
      <c r="BV321" s="28"/>
      <c r="BW321" s="7"/>
      <c r="BX321" s="28"/>
      <c r="BY321" s="28"/>
      <c r="BZ321" s="28"/>
      <c r="CA321" s="28"/>
      <c r="CB321" s="28"/>
      <c r="CC321" s="7"/>
      <c r="CD321" s="7"/>
      <c r="CE321" s="29"/>
      <c r="CF321" s="18"/>
      <c r="CG321" s="29"/>
      <c r="CH321" s="29"/>
      <c r="CI321" s="29"/>
      <c r="CJ321" s="29"/>
      <c r="CK321" s="28"/>
      <c r="CL321" s="28"/>
      <c r="CM321" s="7"/>
      <c r="CN321" s="7"/>
      <c r="CO321" s="7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7"/>
      <c r="DG321" s="7"/>
      <c r="DH321" s="7"/>
      <c r="DI321" s="7"/>
      <c r="DJ321" s="7"/>
      <c r="DK321" s="28"/>
      <c r="DL321" s="28"/>
      <c r="DM321" s="7"/>
      <c r="DN321" s="29"/>
      <c r="DO321" s="28"/>
      <c r="DP321" s="28"/>
      <c r="DQ321" s="28"/>
    </row>
    <row r="322" spans="2:121">
      <c r="B322" s="7"/>
      <c r="C322" s="7"/>
      <c r="D322" s="7"/>
      <c r="E322" s="7"/>
      <c r="F322" s="7"/>
      <c r="G322" s="7"/>
      <c r="H322" s="38"/>
      <c r="I322" s="46"/>
      <c r="J322" s="18"/>
      <c r="K322" s="7"/>
      <c r="L322" s="38"/>
      <c r="M322" s="38"/>
      <c r="N322" s="38"/>
      <c r="O322" s="7"/>
      <c r="P322" s="7"/>
      <c r="Q322" s="33"/>
      <c r="R322" s="11"/>
      <c r="S322" s="11"/>
      <c r="T322" s="11" t="s">
        <v>98</v>
      </c>
      <c r="U322" s="12"/>
      <c r="V322" s="11"/>
      <c r="W322" s="13"/>
      <c r="X322" s="9"/>
      <c r="Y322" s="38"/>
      <c r="Z322" s="38"/>
      <c r="AA322" s="38"/>
      <c r="AB322" s="11"/>
      <c r="AC322" s="11"/>
      <c r="AD322" s="7"/>
      <c r="AE322" s="38"/>
      <c r="AF322" s="7"/>
      <c r="AG322" s="46"/>
      <c r="AH322" s="9"/>
      <c r="AI322" s="9"/>
      <c r="AJ322" s="9"/>
      <c r="AK322" s="9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53"/>
      <c r="AZ322" s="46"/>
      <c r="BA322" s="46"/>
      <c r="BB322" s="46"/>
      <c r="BC322" s="46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7"/>
      <c r="BR322" s="28"/>
      <c r="BS322" s="28"/>
      <c r="BT322" s="28"/>
      <c r="BU322" s="28"/>
      <c r="BV322" s="28"/>
      <c r="BW322" s="7"/>
      <c r="BX322" s="28"/>
      <c r="BY322" s="28"/>
      <c r="BZ322" s="28"/>
      <c r="CA322" s="28"/>
      <c r="CB322" s="28"/>
      <c r="CC322" s="7"/>
      <c r="CD322" s="7"/>
      <c r="CE322" s="29"/>
      <c r="CF322" s="18"/>
      <c r="CG322" s="29"/>
      <c r="CH322" s="29"/>
      <c r="CI322" s="29"/>
      <c r="CJ322" s="29"/>
      <c r="CK322" s="28"/>
      <c r="CL322" s="28"/>
      <c r="CM322" s="7"/>
      <c r="CN322" s="7"/>
      <c r="CO322" s="7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7"/>
      <c r="DG322" s="7"/>
      <c r="DH322" s="7"/>
      <c r="DI322" s="7"/>
      <c r="DJ322" s="7"/>
      <c r="DK322" s="28"/>
      <c r="DL322" s="28"/>
      <c r="DM322" s="7"/>
      <c r="DN322" s="29"/>
      <c r="DO322" s="28"/>
      <c r="DP322" s="28"/>
      <c r="DQ322" s="28"/>
    </row>
    <row r="323" spans="2:121">
      <c r="B323" s="7"/>
      <c r="C323" s="7"/>
      <c r="D323" s="7"/>
      <c r="E323" s="7"/>
      <c r="F323" s="7"/>
      <c r="G323" s="7"/>
      <c r="H323" s="38"/>
      <c r="I323" s="46"/>
      <c r="J323" s="18"/>
      <c r="K323" s="7"/>
      <c r="L323" s="38"/>
      <c r="M323" s="38"/>
      <c r="N323" s="38"/>
      <c r="O323" s="7"/>
      <c r="P323" s="7"/>
      <c r="Q323" s="33"/>
      <c r="R323" s="11"/>
      <c r="S323" s="11"/>
      <c r="T323" s="11" t="s">
        <v>98</v>
      </c>
      <c r="U323" s="12"/>
      <c r="V323" s="11"/>
      <c r="W323" s="13"/>
      <c r="X323" s="9"/>
      <c r="Y323" s="38"/>
      <c r="Z323" s="38"/>
      <c r="AA323" s="38"/>
      <c r="AB323" s="11"/>
      <c r="AC323" s="11"/>
      <c r="AD323" s="7"/>
      <c r="AE323" s="38"/>
      <c r="AF323" s="7"/>
      <c r="AG323" s="46"/>
      <c r="AH323" s="9"/>
      <c r="AI323" s="9"/>
      <c r="AJ323" s="9"/>
      <c r="AK323" s="9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53"/>
      <c r="AZ323" s="46"/>
      <c r="BA323" s="46"/>
      <c r="BB323" s="46"/>
      <c r="BC323" s="46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7"/>
      <c r="BR323" s="28"/>
      <c r="BS323" s="28"/>
      <c r="BT323" s="28"/>
      <c r="BU323" s="28"/>
      <c r="BV323" s="28"/>
      <c r="BW323" s="7"/>
      <c r="BX323" s="28"/>
      <c r="BY323" s="28"/>
      <c r="BZ323" s="28"/>
      <c r="CA323" s="28"/>
      <c r="CB323" s="28"/>
      <c r="CC323" s="7"/>
      <c r="CD323" s="7"/>
      <c r="CE323" s="29"/>
      <c r="CF323" s="18"/>
      <c r="CG323" s="29"/>
      <c r="CH323" s="29"/>
      <c r="CI323" s="29"/>
      <c r="CJ323" s="29"/>
      <c r="CK323" s="28"/>
      <c r="CL323" s="28"/>
      <c r="CM323" s="7"/>
      <c r="CN323" s="7"/>
      <c r="CO323" s="7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7"/>
      <c r="DG323" s="7"/>
      <c r="DH323" s="7"/>
      <c r="DI323" s="7"/>
      <c r="DJ323" s="7"/>
      <c r="DK323" s="28"/>
      <c r="DL323" s="28"/>
      <c r="DM323" s="7"/>
      <c r="DN323" s="29"/>
      <c r="DO323" s="28"/>
      <c r="DP323" s="28"/>
      <c r="DQ323" s="28"/>
    </row>
    <row r="324" spans="2:121">
      <c r="B324" s="7"/>
      <c r="C324" s="7"/>
      <c r="D324" s="7"/>
      <c r="E324" s="7"/>
      <c r="F324" s="7"/>
      <c r="G324" s="7"/>
      <c r="H324" s="38"/>
      <c r="I324" s="46"/>
      <c r="J324" s="18"/>
      <c r="K324" s="7"/>
      <c r="L324" s="38"/>
      <c r="M324" s="38"/>
      <c r="N324" s="38"/>
      <c r="O324" s="7"/>
      <c r="P324" s="7"/>
      <c r="Q324" s="33"/>
      <c r="R324" s="11"/>
      <c r="S324" s="11"/>
      <c r="T324" s="11" t="s">
        <v>98</v>
      </c>
      <c r="U324" s="12"/>
      <c r="V324" s="11"/>
      <c r="W324" s="13"/>
      <c r="X324" s="9"/>
      <c r="Y324" s="38"/>
      <c r="Z324" s="38"/>
      <c r="AA324" s="38"/>
      <c r="AB324" s="11"/>
      <c r="AC324" s="11"/>
      <c r="AD324" s="7"/>
      <c r="AE324" s="38"/>
      <c r="AF324" s="7"/>
      <c r="AG324" s="46"/>
      <c r="AH324" s="9"/>
      <c r="AI324" s="9"/>
      <c r="AJ324" s="9"/>
      <c r="AK324" s="9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53"/>
      <c r="AZ324" s="46"/>
      <c r="BA324" s="46"/>
      <c r="BB324" s="46"/>
      <c r="BC324" s="46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7"/>
      <c r="BR324" s="28"/>
      <c r="BS324" s="28"/>
      <c r="BT324" s="28"/>
      <c r="BU324" s="28"/>
      <c r="BV324" s="28"/>
      <c r="BW324" s="7"/>
      <c r="BX324" s="28"/>
      <c r="BY324" s="28"/>
      <c r="BZ324" s="28"/>
      <c r="CA324" s="28"/>
      <c r="CB324" s="28"/>
      <c r="CC324" s="7"/>
      <c r="CD324" s="7"/>
      <c r="CE324" s="29"/>
      <c r="CF324" s="18"/>
      <c r="CG324" s="29"/>
      <c r="CH324" s="29"/>
      <c r="CI324" s="29"/>
      <c r="CJ324" s="29"/>
      <c r="CK324" s="28"/>
      <c r="CL324" s="28"/>
      <c r="CM324" s="7"/>
      <c r="CN324" s="7"/>
      <c r="CO324" s="7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7"/>
      <c r="DG324" s="7"/>
      <c r="DH324" s="7"/>
      <c r="DI324" s="7"/>
      <c r="DJ324" s="7"/>
      <c r="DK324" s="28"/>
      <c r="DL324" s="28"/>
      <c r="DM324" s="7"/>
      <c r="DN324" s="29"/>
      <c r="DO324" s="28"/>
      <c r="DP324" s="28"/>
      <c r="DQ324" s="28"/>
    </row>
    <row r="325" spans="2:121">
      <c r="B325" s="7"/>
      <c r="C325" s="7"/>
      <c r="D325" s="7"/>
      <c r="E325" s="7"/>
      <c r="F325" s="7"/>
      <c r="G325" s="7"/>
      <c r="H325" s="38"/>
      <c r="I325" s="46"/>
      <c r="J325" s="18"/>
      <c r="K325" s="7"/>
      <c r="L325" s="38"/>
      <c r="M325" s="38"/>
      <c r="N325" s="38"/>
      <c r="O325" s="7"/>
      <c r="P325" s="7"/>
      <c r="Q325" s="33"/>
      <c r="R325" s="11"/>
      <c r="S325" s="11"/>
      <c r="T325" s="11" t="s">
        <v>98</v>
      </c>
      <c r="U325" s="12"/>
      <c r="V325" s="11"/>
      <c r="W325" s="13"/>
      <c r="X325" s="9"/>
      <c r="Y325" s="38"/>
      <c r="Z325" s="38"/>
      <c r="AA325" s="38"/>
      <c r="AB325" s="11"/>
      <c r="AC325" s="11"/>
      <c r="AD325" s="7"/>
      <c r="AE325" s="38"/>
      <c r="AF325" s="7"/>
      <c r="AG325" s="46"/>
      <c r="AH325" s="9"/>
      <c r="AI325" s="9"/>
      <c r="AJ325" s="9"/>
      <c r="AK325" s="9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53"/>
      <c r="AZ325" s="46"/>
      <c r="BA325" s="46"/>
      <c r="BB325" s="46"/>
      <c r="BC325" s="46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7"/>
      <c r="BR325" s="28"/>
      <c r="BS325" s="28"/>
      <c r="BT325" s="28"/>
      <c r="BU325" s="28"/>
      <c r="BV325" s="28"/>
      <c r="BW325" s="7"/>
      <c r="BX325" s="28"/>
      <c r="BY325" s="28"/>
      <c r="BZ325" s="28"/>
      <c r="CA325" s="28"/>
      <c r="CB325" s="28"/>
      <c r="CC325" s="7"/>
      <c r="CD325" s="7"/>
      <c r="CE325" s="29"/>
      <c r="CF325" s="18"/>
      <c r="CG325" s="29"/>
      <c r="CH325" s="29"/>
      <c r="CI325" s="29"/>
      <c r="CJ325" s="29"/>
      <c r="CK325" s="28"/>
      <c r="CL325" s="28"/>
      <c r="CM325" s="7"/>
      <c r="CN325" s="7"/>
      <c r="CO325" s="7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7"/>
      <c r="DG325" s="7"/>
      <c r="DH325" s="7"/>
      <c r="DI325" s="7"/>
      <c r="DJ325" s="7"/>
      <c r="DK325" s="28"/>
      <c r="DL325" s="28"/>
      <c r="DM325" s="7"/>
      <c r="DN325" s="29"/>
      <c r="DO325" s="28"/>
      <c r="DP325" s="28"/>
      <c r="DQ325" s="28"/>
    </row>
    <row r="326" spans="2:121">
      <c r="B326" s="7"/>
      <c r="C326" s="7"/>
      <c r="D326" s="7"/>
      <c r="E326" s="7"/>
      <c r="F326" s="7"/>
      <c r="G326" s="7"/>
      <c r="H326" s="38"/>
      <c r="I326" s="46"/>
      <c r="J326" s="18"/>
      <c r="K326" s="7"/>
      <c r="L326" s="38"/>
      <c r="M326" s="38"/>
      <c r="N326" s="38"/>
      <c r="O326" s="7"/>
      <c r="P326" s="7"/>
      <c r="Q326" s="33"/>
      <c r="R326" s="11"/>
      <c r="S326" s="11"/>
      <c r="T326" s="11" t="s">
        <v>98</v>
      </c>
      <c r="U326" s="12"/>
      <c r="V326" s="11"/>
      <c r="W326" s="13"/>
      <c r="X326" s="9"/>
      <c r="Y326" s="38"/>
      <c r="Z326" s="38"/>
      <c r="AA326" s="38"/>
      <c r="AB326" s="11"/>
      <c r="AC326" s="11"/>
      <c r="AD326" s="7"/>
      <c r="AE326" s="38"/>
      <c r="AF326" s="7"/>
      <c r="AG326" s="46"/>
      <c r="AH326" s="9"/>
      <c r="AI326" s="9"/>
      <c r="AJ326" s="9"/>
      <c r="AK326" s="9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53"/>
      <c r="AZ326" s="46"/>
      <c r="BA326" s="46"/>
      <c r="BB326" s="46"/>
      <c r="BC326" s="46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7"/>
      <c r="BR326" s="28"/>
      <c r="BS326" s="28"/>
      <c r="BT326" s="28"/>
      <c r="BU326" s="28"/>
      <c r="BV326" s="28"/>
      <c r="BW326" s="7"/>
      <c r="BX326" s="28"/>
      <c r="BY326" s="28"/>
      <c r="BZ326" s="28"/>
      <c r="CA326" s="28"/>
      <c r="CB326" s="28"/>
      <c r="CC326" s="7"/>
      <c r="CD326" s="7"/>
      <c r="CE326" s="29"/>
      <c r="CF326" s="18"/>
      <c r="CG326" s="29"/>
      <c r="CH326" s="29"/>
      <c r="CI326" s="29"/>
      <c r="CJ326" s="29"/>
      <c r="CK326" s="28"/>
      <c r="CL326" s="28"/>
      <c r="CM326" s="7"/>
      <c r="CN326" s="7"/>
      <c r="CO326" s="7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7"/>
      <c r="DG326" s="7"/>
      <c r="DH326" s="7"/>
      <c r="DI326" s="7"/>
      <c r="DJ326" s="7"/>
      <c r="DK326" s="28"/>
      <c r="DL326" s="28"/>
      <c r="DM326" s="7"/>
      <c r="DN326" s="29"/>
      <c r="DO326" s="28"/>
      <c r="DP326" s="28"/>
      <c r="DQ326" s="28"/>
    </row>
    <row r="327" spans="2:121">
      <c r="B327" s="7"/>
      <c r="C327" s="7"/>
      <c r="D327" s="7"/>
      <c r="E327" s="7"/>
      <c r="F327" s="7"/>
      <c r="G327" s="7"/>
      <c r="H327" s="38"/>
      <c r="I327" s="46"/>
      <c r="J327" s="18"/>
      <c r="K327" s="7"/>
      <c r="L327" s="38"/>
      <c r="M327" s="38"/>
      <c r="N327" s="38"/>
      <c r="O327" s="7"/>
      <c r="P327" s="7"/>
      <c r="Q327" s="33"/>
      <c r="R327" s="11"/>
      <c r="S327" s="11"/>
      <c r="T327" s="11" t="s">
        <v>98</v>
      </c>
      <c r="U327" s="12"/>
      <c r="V327" s="11"/>
      <c r="W327" s="13"/>
      <c r="X327" s="9"/>
      <c r="Y327" s="38"/>
      <c r="Z327" s="38"/>
      <c r="AA327" s="38"/>
      <c r="AB327" s="11"/>
      <c r="AC327" s="11"/>
      <c r="AD327" s="7"/>
      <c r="AE327" s="38"/>
      <c r="AF327" s="7"/>
      <c r="AG327" s="46"/>
      <c r="AH327" s="9"/>
      <c r="AI327" s="9"/>
      <c r="AJ327" s="9"/>
      <c r="AK327" s="9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53"/>
      <c r="AZ327" s="46"/>
      <c r="BA327" s="46"/>
      <c r="BB327" s="46"/>
      <c r="BC327" s="46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7"/>
      <c r="BR327" s="28"/>
      <c r="BS327" s="28"/>
      <c r="BT327" s="28"/>
      <c r="BU327" s="28"/>
      <c r="BV327" s="28"/>
      <c r="BW327" s="7"/>
      <c r="BX327" s="28"/>
      <c r="BY327" s="28"/>
      <c r="BZ327" s="28"/>
      <c r="CA327" s="28"/>
      <c r="CB327" s="28"/>
      <c r="CC327" s="7"/>
      <c r="CD327" s="7"/>
      <c r="CE327" s="29"/>
      <c r="CF327" s="18"/>
      <c r="CG327" s="29"/>
      <c r="CH327" s="29"/>
      <c r="CI327" s="29"/>
      <c r="CJ327" s="29"/>
      <c r="CK327" s="28"/>
      <c r="CL327" s="28"/>
      <c r="CM327" s="7"/>
      <c r="CN327" s="7"/>
      <c r="CO327" s="7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7"/>
      <c r="DG327" s="7"/>
      <c r="DH327" s="7"/>
      <c r="DI327" s="7"/>
      <c r="DJ327" s="7"/>
      <c r="DK327" s="28"/>
      <c r="DL327" s="28"/>
      <c r="DM327" s="7"/>
      <c r="DN327" s="29"/>
      <c r="DO327" s="28"/>
      <c r="DP327" s="28"/>
      <c r="DQ327" s="28"/>
    </row>
    <row r="328" spans="2:121">
      <c r="B328" s="7"/>
      <c r="C328" s="7"/>
      <c r="D328" s="7"/>
      <c r="E328" s="7"/>
      <c r="F328" s="7"/>
      <c r="G328" s="7"/>
      <c r="H328" s="38"/>
      <c r="I328" s="46"/>
      <c r="J328" s="18"/>
      <c r="K328" s="7"/>
      <c r="L328" s="38"/>
      <c r="M328" s="38"/>
      <c r="N328" s="38"/>
      <c r="O328" s="7"/>
      <c r="P328" s="7"/>
      <c r="Q328" s="33"/>
      <c r="R328" s="11"/>
      <c r="S328" s="11"/>
      <c r="T328" s="11" t="s">
        <v>98</v>
      </c>
      <c r="U328" s="12"/>
      <c r="V328" s="11"/>
      <c r="W328" s="13"/>
      <c r="X328" s="9"/>
      <c r="Y328" s="38"/>
      <c r="Z328" s="38"/>
      <c r="AA328" s="38"/>
      <c r="AB328" s="11"/>
      <c r="AC328" s="11"/>
      <c r="AD328" s="7"/>
      <c r="AE328" s="38"/>
      <c r="AF328" s="7"/>
      <c r="AG328" s="46"/>
      <c r="AH328" s="9"/>
      <c r="AI328" s="9"/>
      <c r="AJ328" s="9"/>
      <c r="AK328" s="9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53"/>
      <c r="AZ328" s="46"/>
      <c r="BA328" s="46"/>
      <c r="BB328" s="46"/>
      <c r="BC328" s="46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7"/>
      <c r="BR328" s="28"/>
      <c r="BS328" s="28"/>
      <c r="BT328" s="28"/>
      <c r="BU328" s="28"/>
      <c r="BV328" s="28"/>
      <c r="BW328" s="7"/>
      <c r="BX328" s="28"/>
      <c r="BY328" s="28"/>
      <c r="BZ328" s="28"/>
      <c r="CA328" s="28"/>
      <c r="CB328" s="28"/>
      <c r="CC328" s="7"/>
      <c r="CD328" s="7"/>
      <c r="CE328" s="29"/>
      <c r="CF328" s="18"/>
      <c r="CG328" s="29"/>
      <c r="CH328" s="29"/>
      <c r="CI328" s="29"/>
      <c r="CJ328" s="29"/>
      <c r="CK328" s="28"/>
      <c r="CL328" s="28"/>
      <c r="CM328" s="7"/>
      <c r="CN328" s="7"/>
      <c r="CO328" s="7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7"/>
      <c r="DG328" s="7"/>
      <c r="DH328" s="7"/>
      <c r="DI328" s="7"/>
      <c r="DJ328" s="7"/>
      <c r="DK328" s="28"/>
      <c r="DL328" s="28"/>
      <c r="DM328" s="7"/>
      <c r="DN328" s="29"/>
      <c r="DO328" s="28"/>
      <c r="DP328" s="28"/>
      <c r="DQ328" s="28"/>
    </row>
    <row r="329" spans="2:121">
      <c r="B329" s="7"/>
      <c r="C329" s="7"/>
      <c r="D329" s="7"/>
      <c r="E329" s="7"/>
      <c r="F329" s="7"/>
      <c r="G329" s="7"/>
      <c r="H329" s="38"/>
      <c r="I329" s="46"/>
      <c r="J329" s="18"/>
      <c r="K329" s="7"/>
      <c r="L329" s="38"/>
      <c r="M329" s="38"/>
      <c r="N329" s="38"/>
      <c r="O329" s="7"/>
      <c r="P329" s="7"/>
      <c r="Q329" s="33"/>
      <c r="R329" s="11"/>
      <c r="S329" s="11"/>
      <c r="T329" s="11" t="s">
        <v>98</v>
      </c>
      <c r="U329" s="12"/>
      <c r="V329" s="11"/>
      <c r="W329" s="13"/>
      <c r="X329" s="9"/>
      <c r="Y329" s="38"/>
      <c r="Z329" s="38"/>
      <c r="AA329" s="38"/>
      <c r="AB329" s="11"/>
      <c r="AC329" s="11"/>
      <c r="AD329" s="7"/>
      <c r="AE329" s="38"/>
      <c r="AF329" s="7"/>
      <c r="AG329" s="46"/>
      <c r="AH329" s="9"/>
      <c r="AI329" s="9"/>
      <c r="AJ329" s="9"/>
      <c r="AK329" s="9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53"/>
      <c r="AZ329" s="46"/>
      <c r="BA329" s="46"/>
      <c r="BB329" s="46"/>
      <c r="BC329" s="46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7"/>
      <c r="BR329" s="28"/>
      <c r="BS329" s="28"/>
      <c r="BT329" s="28"/>
      <c r="BU329" s="28"/>
      <c r="BV329" s="28"/>
      <c r="BW329" s="7"/>
      <c r="BX329" s="28"/>
      <c r="BY329" s="28"/>
      <c r="BZ329" s="28"/>
      <c r="CA329" s="28"/>
      <c r="CB329" s="28"/>
      <c r="CC329" s="7"/>
      <c r="CD329" s="7"/>
      <c r="CE329" s="29"/>
      <c r="CF329" s="18"/>
      <c r="CG329" s="29"/>
      <c r="CH329" s="29"/>
      <c r="CI329" s="29"/>
      <c r="CJ329" s="29"/>
      <c r="CK329" s="28"/>
      <c r="CL329" s="28"/>
      <c r="CM329" s="7"/>
      <c r="CN329" s="7"/>
      <c r="CO329" s="7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7"/>
      <c r="DG329" s="7"/>
      <c r="DH329" s="7"/>
      <c r="DI329" s="7"/>
      <c r="DJ329" s="7"/>
      <c r="DK329" s="28"/>
      <c r="DL329" s="28"/>
      <c r="DM329" s="7"/>
      <c r="DN329" s="29"/>
      <c r="DO329" s="28"/>
      <c r="DP329" s="28"/>
      <c r="DQ329" s="28"/>
    </row>
    <row r="330" spans="2:121">
      <c r="B330" s="7"/>
      <c r="C330" s="7"/>
      <c r="D330" s="7"/>
      <c r="E330" s="7"/>
      <c r="F330" s="7"/>
      <c r="G330" s="7"/>
      <c r="H330" s="38"/>
      <c r="I330" s="46"/>
      <c r="J330" s="18"/>
      <c r="K330" s="7"/>
      <c r="L330" s="38"/>
      <c r="M330" s="38"/>
      <c r="N330" s="38"/>
      <c r="O330" s="7"/>
      <c r="P330" s="7"/>
      <c r="Q330" s="33"/>
      <c r="R330" s="11"/>
      <c r="S330" s="11"/>
      <c r="T330" s="11" t="s">
        <v>98</v>
      </c>
      <c r="U330" s="12"/>
      <c r="V330" s="11"/>
      <c r="W330" s="13"/>
      <c r="X330" s="9"/>
      <c r="Y330" s="38"/>
      <c r="Z330" s="38"/>
      <c r="AA330" s="38"/>
      <c r="AB330" s="11"/>
      <c r="AC330" s="11"/>
      <c r="AD330" s="7"/>
      <c r="AE330" s="38"/>
      <c r="AF330" s="7"/>
      <c r="AG330" s="46"/>
      <c r="AH330" s="9"/>
      <c r="AI330" s="9"/>
      <c r="AJ330" s="9"/>
      <c r="AK330" s="9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53"/>
      <c r="AZ330" s="46"/>
      <c r="BA330" s="46"/>
      <c r="BB330" s="46"/>
      <c r="BC330" s="46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7"/>
      <c r="BR330" s="28"/>
      <c r="BS330" s="28"/>
      <c r="BT330" s="28"/>
      <c r="BU330" s="28"/>
      <c r="BV330" s="28"/>
      <c r="BW330" s="7"/>
      <c r="BX330" s="28"/>
      <c r="BY330" s="28"/>
      <c r="BZ330" s="28"/>
      <c r="CA330" s="28"/>
      <c r="CB330" s="28"/>
      <c r="CC330" s="7"/>
      <c r="CD330" s="7"/>
      <c r="CE330" s="29"/>
      <c r="CF330" s="18"/>
      <c r="CG330" s="29"/>
      <c r="CH330" s="29"/>
      <c r="CI330" s="29"/>
      <c r="CJ330" s="29"/>
      <c r="CK330" s="28"/>
      <c r="CL330" s="28"/>
      <c r="CM330" s="7"/>
      <c r="CN330" s="7"/>
      <c r="CO330" s="7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7"/>
      <c r="DG330" s="7"/>
      <c r="DH330" s="7"/>
      <c r="DI330" s="7"/>
      <c r="DJ330" s="7"/>
      <c r="DK330" s="28"/>
      <c r="DL330" s="28"/>
      <c r="DM330" s="7"/>
      <c r="DN330" s="29"/>
      <c r="DO330" s="28"/>
      <c r="DP330" s="28"/>
      <c r="DQ330" s="28"/>
    </row>
    <row r="331" spans="2:121">
      <c r="B331" s="7"/>
      <c r="C331" s="7"/>
      <c r="D331" s="7"/>
      <c r="E331" s="7"/>
      <c r="F331" s="7"/>
      <c r="G331" s="7"/>
      <c r="H331" s="38"/>
      <c r="I331" s="46"/>
      <c r="J331" s="18"/>
      <c r="K331" s="7"/>
      <c r="L331" s="38"/>
      <c r="M331" s="38"/>
      <c r="N331" s="38"/>
      <c r="O331" s="7"/>
      <c r="P331" s="7"/>
      <c r="Q331" s="33"/>
      <c r="R331" s="11"/>
      <c r="S331" s="11"/>
      <c r="T331" s="11" t="s">
        <v>98</v>
      </c>
      <c r="U331" s="12"/>
      <c r="V331" s="11"/>
      <c r="W331" s="13"/>
      <c r="X331" s="9"/>
      <c r="Y331" s="38"/>
      <c r="Z331" s="38"/>
      <c r="AA331" s="38"/>
      <c r="AB331" s="11"/>
      <c r="AC331" s="11"/>
      <c r="AD331" s="7"/>
      <c r="AE331" s="38"/>
      <c r="AF331" s="7"/>
      <c r="AG331" s="46"/>
      <c r="AH331" s="9"/>
      <c r="AI331" s="9"/>
      <c r="AJ331" s="9"/>
      <c r="AK331" s="9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53"/>
      <c r="AZ331" s="46"/>
      <c r="BA331" s="46"/>
      <c r="BB331" s="46"/>
      <c r="BC331" s="46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7"/>
      <c r="BR331" s="28"/>
      <c r="BS331" s="28"/>
      <c r="BT331" s="28"/>
      <c r="BU331" s="28"/>
      <c r="BV331" s="28"/>
      <c r="BW331" s="7"/>
      <c r="BX331" s="28"/>
      <c r="BY331" s="28"/>
      <c r="BZ331" s="28"/>
      <c r="CA331" s="28"/>
      <c r="CB331" s="28"/>
      <c r="CC331" s="7"/>
      <c r="CD331" s="7"/>
      <c r="CE331" s="29"/>
      <c r="CF331" s="18"/>
      <c r="CG331" s="29"/>
      <c r="CH331" s="29"/>
      <c r="CI331" s="29"/>
      <c r="CJ331" s="29"/>
      <c r="CK331" s="28"/>
      <c r="CL331" s="28"/>
      <c r="CM331" s="7"/>
      <c r="CN331" s="7"/>
      <c r="CO331" s="7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7"/>
      <c r="DG331" s="7"/>
      <c r="DH331" s="7"/>
      <c r="DI331" s="7"/>
      <c r="DJ331" s="7"/>
      <c r="DK331" s="28"/>
      <c r="DL331" s="28"/>
      <c r="DM331" s="7"/>
      <c r="DN331" s="29"/>
      <c r="DO331" s="28"/>
      <c r="DP331" s="28"/>
      <c r="DQ331" s="28"/>
    </row>
    <row r="332" spans="2:121">
      <c r="B332" s="7"/>
      <c r="C332" s="7"/>
      <c r="D332" s="7"/>
      <c r="E332" s="7"/>
      <c r="F332" s="7"/>
      <c r="G332" s="7"/>
      <c r="H332" s="38"/>
      <c r="I332" s="46"/>
      <c r="J332" s="18"/>
      <c r="K332" s="7"/>
      <c r="L332" s="38"/>
      <c r="M332" s="38"/>
      <c r="N332" s="38"/>
      <c r="O332" s="7"/>
      <c r="P332" s="7"/>
      <c r="Q332" s="33"/>
      <c r="R332" s="11"/>
      <c r="S332" s="11"/>
      <c r="T332" s="11" t="s">
        <v>98</v>
      </c>
      <c r="U332" s="12"/>
      <c r="V332" s="11"/>
      <c r="W332" s="13"/>
      <c r="X332" s="9"/>
      <c r="Y332" s="38"/>
      <c r="Z332" s="38"/>
      <c r="AA332" s="38"/>
      <c r="AB332" s="11"/>
      <c r="AC332" s="11"/>
      <c r="AD332" s="7"/>
      <c r="AE332" s="38"/>
      <c r="AF332" s="7"/>
      <c r="AG332" s="46"/>
      <c r="AH332" s="9"/>
      <c r="AI332" s="9"/>
      <c r="AJ332" s="9"/>
      <c r="AK332" s="9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53"/>
      <c r="AZ332" s="46"/>
      <c r="BA332" s="46"/>
      <c r="BB332" s="46"/>
      <c r="BC332" s="46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7"/>
      <c r="BR332" s="28"/>
      <c r="BS332" s="28"/>
      <c r="BT332" s="28"/>
      <c r="BU332" s="28"/>
      <c r="BV332" s="28"/>
      <c r="BW332" s="7"/>
      <c r="BX332" s="28"/>
      <c r="BY332" s="28"/>
      <c r="BZ332" s="28"/>
      <c r="CA332" s="28"/>
      <c r="CB332" s="28"/>
      <c r="CC332" s="7"/>
      <c r="CD332" s="7"/>
      <c r="CE332" s="29"/>
      <c r="CF332" s="18"/>
      <c r="CG332" s="29"/>
      <c r="CH332" s="29"/>
      <c r="CI332" s="29"/>
      <c r="CJ332" s="29"/>
      <c r="CK332" s="28"/>
      <c r="CL332" s="28"/>
      <c r="CM332" s="7"/>
      <c r="CN332" s="7"/>
      <c r="CO332" s="7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7"/>
      <c r="DG332" s="7"/>
      <c r="DH332" s="7"/>
      <c r="DI332" s="7"/>
      <c r="DJ332" s="7"/>
      <c r="DK332" s="28"/>
      <c r="DL332" s="28"/>
      <c r="DM332" s="7"/>
      <c r="DN332" s="29"/>
      <c r="DO332" s="28"/>
      <c r="DP332" s="28"/>
      <c r="DQ332" s="28"/>
    </row>
    <row r="333" spans="2:121">
      <c r="B333" s="7"/>
      <c r="C333" s="7"/>
      <c r="D333" s="7"/>
      <c r="E333" s="7"/>
      <c r="F333" s="7"/>
      <c r="G333" s="7"/>
      <c r="H333" s="38"/>
      <c r="I333" s="46"/>
      <c r="J333" s="18"/>
      <c r="K333" s="7"/>
      <c r="L333" s="38"/>
      <c r="M333" s="38"/>
      <c r="N333" s="38"/>
      <c r="O333" s="7"/>
      <c r="P333" s="7"/>
      <c r="Q333" s="33"/>
      <c r="R333" s="11"/>
      <c r="S333" s="11"/>
      <c r="T333" s="11" t="s">
        <v>98</v>
      </c>
      <c r="U333" s="12"/>
      <c r="V333" s="11"/>
      <c r="W333" s="13"/>
      <c r="X333" s="9"/>
      <c r="Y333" s="38"/>
      <c r="Z333" s="38"/>
      <c r="AA333" s="38"/>
      <c r="AB333" s="11"/>
      <c r="AC333" s="11"/>
      <c r="AD333" s="7"/>
      <c r="AE333" s="38"/>
      <c r="AF333" s="7"/>
      <c r="AG333" s="46"/>
      <c r="AH333" s="9"/>
      <c r="AI333" s="9"/>
      <c r="AJ333" s="9"/>
      <c r="AK333" s="9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53"/>
      <c r="AZ333" s="46"/>
      <c r="BA333" s="46"/>
      <c r="BB333" s="46"/>
      <c r="BC333" s="46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7"/>
      <c r="BR333" s="28"/>
      <c r="BS333" s="28"/>
      <c r="BT333" s="28"/>
      <c r="BU333" s="28"/>
      <c r="BV333" s="28"/>
      <c r="BW333" s="7"/>
      <c r="BX333" s="28"/>
      <c r="BY333" s="28"/>
      <c r="BZ333" s="28"/>
      <c r="CA333" s="28"/>
      <c r="CB333" s="28"/>
      <c r="CC333" s="7"/>
      <c r="CD333" s="7"/>
      <c r="CE333" s="29"/>
      <c r="CF333" s="18"/>
      <c r="CG333" s="29"/>
      <c r="CH333" s="29"/>
      <c r="CI333" s="29"/>
      <c r="CJ333" s="29"/>
      <c r="CK333" s="28"/>
      <c r="CL333" s="28"/>
      <c r="CM333" s="7"/>
      <c r="CN333" s="7"/>
      <c r="CO333" s="7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7"/>
      <c r="DG333" s="7"/>
      <c r="DH333" s="7"/>
      <c r="DI333" s="7"/>
      <c r="DJ333" s="7"/>
      <c r="DK333" s="28"/>
      <c r="DL333" s="28"/>
      <c r="DM333" s="7"/>
      <c r="DN333" s="29"/>
      <c r="DO333" s="28"/>
      <c r="DP333" s="28"/>
      <c r="DQ333" s="28"/>
    </row>
    <row r="334" spans="2:121">
      <c r="B334" s="7"/>
      <c r="C334" s="7"/>
      <c r="D334" s="7"/>
      <c r="E334" s="7"/>
      <c r="F334" s="7"/>
      <c r="G334" s="7"/>
      <c r="H334" s="38"/>
      <c r="I334" s="46"/>
      <c r="J334" s="18"/>
      <c r="K334" s="7"/>
      <c r="L334" s="38"/>
      <c r="M334" s="38"/>
      <c r="N334" s="38"/>
      <c r="O334" s="7"/>
      <c r="P334" s="7"/>
      <c r="Q334" s="33"/>
      <c r="R334" s="11"/>
      <c r="S334" s="11"/>
      <c r="T334" s="11" t="s">
        <v>98</v>
      </c>
      <c r="U334" s="12"/>
      <c r="V334" s="11"/>
      <c r="W334" s="13"/>
      <c r="X334" s="9"/>
      <c r="Y334" s="38"/>
      <c r="Z334" s="38"/>
      <c r="AA334" s="38"/>
      <c r="AB334" s="11"/>
      <c r="AC334" s="11"/>
      <c r="AD334" s="7"/>
      <c r="AE334" s="38"/>
      <c r="AF334" s="7"/>
      <c r="AG334" s="46"/>
      <c r="AH334" s="9"/>
      <c r="AI334" s="9"/>
      <c r="AJ334" s="9"/>
      <c r="AK334" s="9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53"/>
      <c r="AZ334" s="46"/>
      <c r="BA334" s="46"/>
      <c r="BB334" s="46"/>
      <c r="BC334" s="46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7"/>
      <c r="BR334" s="28"/>
      <c r="BS334" s="28"/>
      <c r="BT334" s="28"/>
      <c r="BU334" s="28"/>
      <c r="BV334" s="28"/>
      <c r="BW334" s="7"/>
      <c r="BX334" s="28"/>
      <c r="BY334" s="28"/>
      <c r="BZ334" s="28"/>
      <c r="CA334" s="28"/>
      <c r="CB334" s="28"/>
      <c r="CC334" s="7"/>
      <c r="CD334" s="7"/>
      <c r="CE334" s="29"/>
      <c r="CF334" s="18"/>
      <c r="CG334" s="29"/>
      <c r="CH334" s="29"/>
      <c r="CI334" s="29"/>
      <c r="CJ334" s="29"/>
      <c r="CK334" s="28"/>
      <c r="CL334" s="28"/>
      <c r="CM334" s="7"/>
      <c r="CN334" s="7"/>
      <c r="CO334" s="7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7"/>
      <c r="DG334" s="7"/>
      <c r="DH334" s="7"/>
      <c r="DI334" s="7"/>
      <c r="DJ334" s="7"/>
      <c r="DK334" s="28"/>
      <c r="DL334" s="28"/>
      <c r="DM334" s="7"/>
      <c r="DN334" s="29"/>
      <c r="DO334" s="28"/>
      <c r="DP334" s="28"/>
      <c r="DQ334" s="28"/>
    </row>
    <row r="335" spans="2:121">
      <c r="B335" s="7"/>
      <c r="C335" s="7"/>
      <c r="D335" s="7"/>
      <c r="E335" s="7"/>
      <c r="F335" s="7"/>
      <c r="G335" s="7"/>
      <c r="H335" s="38"/>
      <c r="I335" s="46"/>
      <c r="J335" s="18"/>
      <c r="K335" s="7"/>
      <c r="L335" s="38"/>
      <c r="M335" s="38"/>
      <c r="N335" s="38"/>
      <c r="O335" s="7"/>
      <c r="P335" s="7"/>
      <c r="Q335" s="33"/>
      <c r="R335" s="11"/>
      <c r="S335" s="11"/>
      <c r="T335" s="11" t="s">
        <v>98</v>
      </c>
      <c r="U335" s="12"/>
      <c r="V335" s="11"/>
      <c r="W335" s="13"/>
      <c r="X335" s="9"/>
      <c r="Y335" s="38"/>
      <c r="Z335" s="38"/>
      <c r="AA335" s="38"/>
      <c r="AB335" s="11"/>
      <c r="AC335" s="11"/>
      <c r="AD335" s="7"/>
      <c r="AE335" s="38"/>
      <c r="AF335" s="7"/>
      <c r="AG335" s="46"/>
      <c r="AH335" s="9"/>
      <c r="AI335" s="9"/>
      <c r="AJ335" s="9"/>
      <c r="AK335" s="9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53"/>
      <c r="AZ335" s="46"/>
      <c r="BA335" s="46"/>
      <c r="BB335" s="46"/>
      <c r="BC335" s="46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7"/>
      <c r="BR335" s="28"/>
      <c r="BS335" s="28"/>
      <c r="BT335" s="28"/>
      <c r="BU335" s="28"/>
      <c r="BV335" s="28"/>
      <c r="BW335" s="7"/>
      <c r="BX335" s="28"/>
      <c r="BY335" s="28"/>
      <c r="BZ335" s="28"/>
      <c r="CA335" s="28"/>
      <c r="CB335" s="28"/>
      <c r="CC335" s="7"/>
      <c r="CD335" s="7"/>
      <c r="CE335" s="29"/>
      <c r="CF335" s="18"/>
      <c r="CG335" s="29"/>
      <c r="CH335" s="29"/>
      <c r="CI335" s="29"/>
      <c r="CJ335" s="29"/>
      <c r="CK335" s="28"/>
      <c r="CL335" s="28"/>
      <c r="CM335" s="7"/>
      <c r="CN335" s="7"/>
      <c r="CO335" s="7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7"/>
      <c r="DG335" s="7"/>
      <c r="DH335" s="7"/>
      <c r="DI335" s="7"/>
      <c r="DJ335" s="7"/>
      <c r="DK335" s="28"/>
      <c r="DL335" s="28"/>
      <c r="DM335" s="7"/>
      <c r="DN335" s="29"/>
      <c r="DO335" s="28"/>
      <c r="DP335" s="28"/>
      <c r="DQ335" s="28"/>
    </row>
    <row r="336" spans="2:121">
      <c r="B336" s="7"/>
      <c r="C336" s="7"/>
      <c r="D336" s="7"/>
      <c r="E336" s="7"/>
      <c r="F336" s="7"/>
      <c r="G336" s="7"/>
      <c r="H336" s="38"/>
      <c r="I336" s="46"/>
      <c r="J336" s="18"/>
      <c r="K336" s="7"/>
      <c r="L336" s="38"/>
      <c r="M336" s="38"/>
      <c r="N336" s="38"/>
      <c r="O336" s="7"/>
      <c r="P336" s="7"/>
      <c r="Q336" s="33"/>
      <c r="R336" s="11"/>
      <c r="S336" s="11"/>
      <c r="T336" s="11" t="s">
        <v>98</v>
      </c>
      <c r="U336" s="12"/>
      <c r="V336" s="11"/>
      <c r="W336" s="13"/>
      <c r="X336" s="9"/>
      <c r="Y336" s="38"/>
      <c r="Z336" s="38"/>
      <c r="AA336" s="38"/>
      <c r="AB336" s="11"/>
      <c r="AC336" s="11"/>
      <c r="AD336" s="7"/>
      <c r="AE336" s="38"/>
      <c r="AF336" s="7"/>
      <c r="AG336" s="46"/>
      <c r="AH336" s="9"/>
      <c r="AI336" s="9"/>
      <c r="AJ336" s="9"/>
      <c r="AK336" s="9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53"/>
      <c r="AZ336" s="46"/>
      <c r="BA336" s="46"/>
      <c r="BB336" s="46"/>
      <c r="BC336" s="46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7"/>
      <c r="BR336" s="28"/>
      <c r="BS336" s="28"/>
      <c r="BT336" s="28"/>
      <c r="BU336" s="28"/>
      <c r="BV336" s="28"/>
      <c r="BW336" s="7"/>
      <c r="BX336" s="28"/>
      <c r="BY336" s="28"/>
      <c r="BZ336" s="28"/>
      <c r="CA336" s="28"/>
      <c r="CB336" s="28"/>
      <c r="CC336" s="7"/>
      <c r="CD336" s="7"/>
      <c r="CE336" s="29"/>
      <c r="CF336" s="18"/>
      <c r="CG336" s="29"/>
      <c r="CH336" s="29"/>
      <c r="CI336" s="29"/>
      <c r="CJ336" s="29"/>
      <c r="CK336" s="28"/>
      <c r="CL336" s="28"/>
      <c r="CM336" s="7"/>
      <c r="CN336" s="7"/>
      <c r="CO336" s="7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7"/>
      <c r="DG336" s="7"/>
      <c r="DH336" s="7"/>
      <c r="DI336" s="7"/>
      <c r="DJ336" s="7"/>
      <c r="DK336" s="28"/>
      <c r="DL336" s="28"/>
      <c r="DM336" s="7"/>
      <c r="DN336" s="29"/>
      <c r="DO336" s="28"/>
      <c r="DP336" s="28"/>
      <c r="DQ336" s="28"/>
    </row>
    <row r="337" spans="2:121">
      <c r="B337" s="7"/>
      <c r="C337" s="7"/>
      <c r="D337" s="7"/>
      <c r="E337" s="7"/>
      <c r="F337" s="7"/>
      <c r="G337" s="7"/>
      <c r="H337" s="38"/>
      <c r="I337" s="46"/>
      <c r="J337" s="18"/>
      <c r="K337" s="7"/>
      <c r="L337" s="38"/>
      <c r="M337" s="38"/>
      <c r="N337" s="38"/>
      <c r="O337" s="7"/>
      <c r="P337" s="7"/>
      <c r="Q337" s="33"/>
      <c r="R337" s="11"/>
      <c r="S337" s="11"/>
      <c r="T337" s="11" t="s">
        <v>98</v>
      </c>
      <c r="U337" s="12"/>
      <c r="V337" s="11"/>
      <c r="W337" s="13"/>
      <c r="X337" s="9"/>
      <c r="Y337" s="38"/>
      <c r="Z337" s="38"/>
      <c r="AA337" s="38"/>
      <c r="AB337" s="11"/>
      <c r="AC337" s="11"/>
      <c r="AD337" s="7"/>
      <c r="AE337" s="38"/>
      <c r="AF337" s="7"/>
      <c r="AG337" s="46"/>
      <c r="AH337" s="9"/>
      <c r="AI337" s="9"/>
      <c r="AJ337" s="9"/>
      <c r="AK337" s="9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53"/>
      <c r="AZ337" s="46"/>
      <c r="BA337" s="46"/>
      <c r="BB337" s="46"/>
      <c r="BC337" s="46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7"/>
      <c r="BR337" s="28"/>
      <c r="BS337" s="28"/>
      <c r="BT337" s="28"/>
      <c r="BU337" s="28"/>
      <c r="BV337" s="28"/>
      <c r="BW337" s="7"/>
      <c r="BX337" s="28"/>
      <c r="BY337" s="28"/>
      <c r="BZ337" s="28"/>
      <c r="CA337" s="28"/>
      <c r="CB337" s="28"/>
      <c r="CC337" s="7"/>
      <c r="CD337" s="7"/>
      <c r="CE337" s="29"/>
      <c r="CF337" s="18"/>
      <c r="CG337" s="29"/>
      <c r="CH337" s="29"/>
      <c r="CI337" s="29"/>
      <c r="CJ337" s="29"/>
      <c r="CK337" s="28"/>
      <c r="CL337" s="28"/>
      <c r="CM337" s="7"/>
      <c r="CN337" s="7"/>
      <c r="CO337" s="7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7"/>
      <c r="DG337" s="7"/>
      <c r="DH337" s="7"/>
      <c r="DI337" s="7"/>
      <c r="DJ337" s="7"/>
      <c r="DK337" s="28"/>
      <c r="DL337" s="28"/>
      <c r="DM337" s="7"/>
      <c r="DN337" s="29"/>
      <c r="DO337" s="28"/>
      <c r="DP337" s="28"/>
      <c r="DQ337" s="28"/>
    </row>
    <row r="338" spans="2:121">
      <c r="B338" s="7"/>
      <c r="C338" s="7"/>
      <c r="D338" s="7"/>
      <c r="E338" s="7"/>
      <c r="F338" s="7"/>
      <c r="G338" s="7"/>
      <c r="H338" s="38"/>
      <c r="I338" s="46"/>
      <c r="J338" s="18"/>
      <c r="K338" s="7"/>
      <c r="L338" s="38"/>
      <c r="M338" s="38"/>
      <c r="N338" s="38"/>
      <c r="O338" s="7"/>
      <c r="P338" s="7"/>
      <c r="Q338" s="33"/>
      <c r="R338" s="11"/>
      <c r="S338" s="11"/>
      <c r="T338" s="11" t="s">
        <v>98</v>
      </c>
      <c r="U338" s="12"/>
      <c r="V338" s="11"/>
      <c r="W338" s="13"/>
      <c r="X338" s="9"/>
      <c r="Y338" s="38"/>
      <c r="Z338" s="38"/>
      <c r="AA338" s="38"/>
      <c r="AB338" s="11"/>
      <c r="AC338" s="11"/>
      <c r="AD338" s="7"/>
      <c r="AE338" s="38"/>
      <c r="AF338" s="7"/>
      <c r="AG338" s="46"/>
      <c r="AH338" s="9"/>
      <c r="AI338" s="9"/>
      <c r="AJ338" s="9"/>
      <c r="AK338" s="9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53"/>
      <c r="AZ338" s="46"/>
      <c r="BA338" s="46"/>
      <c r="BB338" s="46"/>
      <c r="BC338" s="46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7"/>
      <c r="BR338" s="28"/>
      <c r="BS338" s="28"/>
      <c r="BT338" s="28"/>
      <c r="BU338" s="28"/>
      <c r="BV338" s="28"/>
      <c r="BW338" s="7"/>
      <c r="BX338" s="28"/>
      <c r="BY338" s="28"/>
      <c r="BZ338" s="28"/>
      <c r="CA338" s="28"/>
      <c r="CB338" s="28"/>
      <c r="CC338" s="7"/>
      <c r="CD338" s="7"/>
      <c r="CE338" s="29"/>
      <c r="CF338" s="18"/>
      <c r="CG338" s="29"/>
      <c r="CH338" s="29"/>
      <c r="CI338" s="29"/>
      <c r="CJ338" s="29"/>
      <c r="CK338" s="28"/>
      <c r="CL338" s="28"/>
      <c r="CM338" s="7"/>
      <c r="CN338" s="7"/>
      <c r="CO338" s="7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7"/>
      <c r="DG338" s="7"/>
      <c r="DH338" s="7"/>
      <c r="DI338" s="7"/>
      <c r="DJ338" s="7"/>
      <c r="DK338" s="28"/>
      <c r="DL338" s="28"/>
      <c r="DM338" s="7"/>
      <c r="DN338" s="29"/>
      <c r="DO338" s="28"/>
      <c r="DP338" s="28"/>
      <c r="DQ338" s="28"/>
    </row>
    <row r="339" spans="2:121">
      <c r="B339" s="7"/>
      <c r="C339" s="7"/>
      <c r="D339" s="7"/>
      <c r="E339" s="7"/>
      <c r="F339" s="7"/>
      <c r="G339" s="7"/>
      <c r="H339" s="38"/>
      <c r="I339" s="46"/>
      <c r="J339" s="18"/>
      <c r="K339" s="7"/>
      <c r="L339" s="38"/>
      <c r="M339" s="38"/>
      <c r="N339" s="38"/>
      <c r="O339" s="7"/>
      <c r="P339" s="7"/>
      <c r="Q339" s="33"/>
      <c r="R339" s="11"/>
      <c r="S339" s="11"/>
      <c r="T339" s="11" t="s">
        <v>98</v>
      </c>
      <c r="U339" s="12"/>
      <c r="V339" s="11"/>
      <c r="W339" s="13"/>
      <c r="X339" s="9"/>
      <c r="Y339" s="38"/>
      <c r="Z339" s="38"/>
      <c r="AA339" s="38"/>
      <c r="AB339" s="11"/>
      <c r="AC339" s="11"/>
      <c r="AD339" s="7"/>
      <c r="AE339" s="38"/>
      <c r="AF339" s="7"/>
      <c r="AG339" s="46"/>
      <c r="AH339" s="9"/>
      <c r="AI339" s="9"/>
      <c r="AJ339" s="9"/>
      <c r="AK339" s="9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53"/>
      <c r="AZ339" s="46"/>
      <c r="BA339" s="46"/>
      <c r="BB339" s="46"/>
      <c r="BC339" s="46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7"/>
      <c r="BR339" s="28"/>
      <c r="BS339" s="28"/>
      <c r="BT339" s="28"/>
      <c r="BU339" s="28"/>
      <c r="BV339" s="28"/>
      <c r="BW339" s="7"/>
      <c r="BX339" s="28"/>
      <c r="BY339" s="28"/>
      <c r="BZ339" s="28"/>
      <c r="CA339" s="28"/>
      <c r="CB339" s="28"/>
      <c r="CC339" s="7"/>
      <c r="CD339" s="7"/>
      <c r="CE339" s="29"/>
      <c r="CF339" s="18"/>
      <c r="CG339" s="29"/>
      <c r="CH339" s="29"/>
      <c r="CI339" s="29"/>
      <c r="CJ339" s="29"/>
      <c r="CK339" s="28"/>
      <c r="CL339" s="28"/>
      <c r="CM339" s="7"/>
      <c r="CN339" s="7"/>
      <c r="CO339" s="7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7"/>
      <c r="DG339" s="7"/>
      <c r="DH339" s="7"/>
      <c r="DI339" s="7"/>
      <c r="DJ339" s="7"/>
      <c r="DK339" s="28"/>
      <c r="DL339" s="28"/>
      <c r="DM339" s="7"/>
      <c r="DN339" s="29"/>
      <c r="DO339" s="28"/>
      <c r="DP339" s="28"/>
      <c r="DQ339" s="28"/>
    </row>
    <row r="340" spans="2:121">
      <c r="B340" s="7"/>
      <c r="C340" s="7"/>
      <c r="D340" s="7"/>
      <c r="E340" s="7"/>
      <c r="F340" s="7"/>
      <c r="G340" s="7"/>
      <c r="H340" s="38"/>
      <c r="I340" s="46"/>
      <c r="J340" s="18"/>
      <c r="K340" s="7"/>
      <c r="L340" s="38"/>
      <c r="M340" s="38"/>
      <c r="N340" s="38"/>
      <c r="O340" s="7"/>
      <c r="P340" s="7"/>
      <c r="Q340" s="33"/>
      <c r="R340" s="11"/>
      <c r="S340" s="11"/>
      <c r="T340" s="11" t="s">
        <v>98</v>
      </c>
      <c r="U340" s="12"/>
      <c r="V340" s="11"/>
      <c r="W340" s="13"/>
      <c r="X340" s="9"/>
      <c r="Y340" s="38"/>
      <c r="Z340" s="38"/>
      <c r="AA340" s="38"/>
      <c r="AB340" s="11"/>
      <c r="AC340" s="11"/>
      <c r="AD340" s="7"/>
      <c r="AE340" s="38"/>
      <c r="AF340" s="7"/>
      <c r="AG340" s="46"/>
      <c r="AH340" s="9"/>
      <c r="AI340" s="9"/>
      <c r="AJ340" s="9"/>
      <c r="AK340" s="9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53"/>
      <c r="AZ340" s="46"/>
      <c r="BA340" s="46"/>
      <c r="BB340" s="46"/>
      <c r="BC340" s="46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7"/>
      <c r="BR340" s="28"/>
      <c r="BS340" s="28"/>
      <c r="BT340" s="28"/>
      <c r="BU340" s="28"/>
      <c r="BV340" s="28"/>
      <c r="BW340" s="7"/>
      <c r="BX340" s="28"/>
      <c r="BY340" s="28"/>
      <c r="BZ340" s="28"/>
      <c r="CA340" s="28"/>
      <c r="CB340" s="28"/>
      <c r="CC340" s="7"/>
      <c r="CD340" s="7"/>
      <c r="CE340" s="29"/>
      <c r="CF340" s="18"/>
      <c r="CG340" s="29"/>
      <c r="CH340" s="29"/>
      <c r="CI340" s="29"/>
      <c r="CJ340" s="29"/>
      <c r="CK340" s="28"/>
      <c r="CL340" s="28"/>
      <c r="CM340" s="7"/>
      <c r="CN340" s="7"/>
      <c r="CO340" s="7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7"/>
      <c r="DG340" s="7"/>
      <c r="DH340" s="7"/>
      <c r="DI340" s="7"/>
      <c r="DJ340" s="7"/>
      <c r="DK340" s="28"/>
      <c r="DL340" s="28"/>
      <c r="DM340" s="7"/>
      <c r="DN340" s="29"/>
      <c r="DO340" s="28"/>
      <c r="DP340" s="28"/>
      <c r="DQ340" s="28"/>
    </row>
    <row r="341" spans="2:121">
      <c r="B341" s="7"/>
      <c r="C341" s="7"/>
      <c r="D341" s="7"/>
      <c r="E341" s="7"/>
      <c r="F341" s="7"/>
      <c r="G341" s="7"/>
      <c r="H341" s="38"/>
      <c r="I341" s="46"/>
      <c r="J341" s="18"/>
      <c r="K341" s="7"/>
      <c r="L341" s="38"/>
      <c r="M341" s="38"/>
      <c r="N341" s="38"/>
      <c r="O341" s="7"/>
      <c r="P341" s="7"/>
      <c r="Q341" s="33"/>
      <c r="R341" s="11"/>
      <c r="S341" s="11"/>
      <c r="T341" s="11" t="s">
        <v>98</v>
      </c>
      <c r="U341" s="12"/>
      <c r="V341" s="11"/>
      <c r="W341" s="13"/>
      <c r="X341" s="9"/>
      <c r="Y341" s="38"/>
      <c r="Z341" s="38"/>
      <c r="AA341" s="38"/>
      <c r="AB341" s="11"/>
      <c r="AC341" s="11"/>
      <c r="AD341" s="7"/>
      <c r="AE341" s="38"/>
      <c r="AF341" s="7"/>
      <c r="AG341" s="46"/>
      <c r="AH341" s="9"/>
      <c r="AI341" s="9"/>
      <c r="AJ341" s="9"/>
      <c r="AK341" s="9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53"/>
      <c r="AZ341" s="46"/>
      <c r="BA341" s="46"/>
      <c r="BB341" s="46"/>
      <c r="BC341" s="46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7"/>
      <c r="BR341" s="28"/>
      <c r="BS341" s="28"/>
      <c r="BT341" s="28"/>
      <c r="BU341" s="28"/>
      <c r="BV341" s="28"/>
      <c r="BW341" s="7"/>
      <c r="BX341" s="28"/>
      <c r="BY341" s="28"/>
      <c r="BZ341" s="28"/>
      <c r="CA341" s="28"/>
      <c r="CB341" s="28"/>
      <c r="CC341" s="7"/>
      <c r="CD341" s="7"/>
      <c r="CE341" s="29"/>
      <c r="CF341" s="18"/>
      <c r="CG341" s="29"/>
      <c r="CH341" s="29"/>
      <c r="CI341" s="29"/>
      <c r="CJ341" s="29"/>
      <c r="CK341" s="28"/>
      <c r="CL341" s="28"/>
      <c r="CM341" s="7"/>
      <c r="CN341" s="7"/>
      <c r="CO341" s="7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7"/>
      <c r="DG341" s="7"/>
      <c r="DH341" s="7"/>
      <c r="DI341" s="7"/>
      <c r="DJ341" s="7"/>
      <c r="DK341" s="28"/>
      <c r="DL341" s="28"/>
      <c r="DM341" s="7"/>
      <c r="DN341" s="29"/>
      <c r="DO341" s="28"/>
      <c r="DP341" s="28"/>
      <c r="DQ341" s="28"/>
    </row>
    <row r="342" spans="2:121">
      <c r="B342" s="7"/>
      <c r="C342" s="7"/>
      <c r="D342" s="7"/>
      <c r="E342" s="7"/>
      <c r="F342" s="7"/>
      <c r="G342" s="7"/>
      <c r="H342" s="38"/>
      <c r="I342" s="46"/>
      <c r="J342" s="18"/>
      <c r="K342" s="7"/>
      <c r="L342" s="38"/>
      <c r="M342" s="38"/>
      <c r="N342" s="38"/>
      <c r="O342" s="7"/>
      <c r="P342" s="7"/>
      <c r="Q342" s="33"/>
      <c r="R342" s="11"/>
      <c r="S342" s="11"/>
      <c r="T342" s="11" t="s">
        <v>98</v>
      </c>
      <c r="U342" s="12"/>
      <c r="V342" s="11"/>
      <c r="W342" s="13"/>
      <c r="X342" s="9"/>
      <c r="Y342" s="38"/>
      <c r="Z342" s="38"/>
      <c r="AA342" s="38"/>
      <c r="AB342" s="11"/>
      <c r="AC342" s="11"/>
      <c r="AD342" s="7"/>
      <c r="AE342" s="38"/>
      <c r="AF342" s="7"/>
      <c r="AG342" s="46"/>
      <c r="AH342" s="9"/>
      <c r="AI342" s="9"/>
      <c r="AJ342" s="9"/>
      <c r="AK342" s="9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53"/>
      <c r="AZ342" s="46"/>
      <c r="BA342" s="46"/>
      <c r="BB342" s="46"/>
      <c r="BC342" s="46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7"/>
      <c r="BR342" s="28"/>
      <c r="BS342" s="28"/>
      <c r="BT342" s="28"/>
      <c r="BU342" s="28"/>
      <c r="BV342" s="28"/>
      <c r="BW342" s="7"/>
      <c r="BX342" s="28"/>
      <c r="BY342" s="28"/>
      <c r="BZ342" s="28"/>
      <c r="CA342" s="28"/>
      <c r="CB342" s="28"/>
      <c r="CC342" s="7"/>
      <c r="CD342" s="7"/>
      <c r="CE342" s="29"/>
      <c r="CF342" s="18"/>
      <c r="CG342" s="29"/>
      <c r="CH342" s="29"/>
      <c r="CI342" s="29"/>
      <c r="CJ342" s="29"/>
      <c r="CK342" s="28"/>
      <c r="CL342" s="28"/>
      <c r="CM342" s="7"/>
      <c r="CN342" s="7"/>
      <c r="CO342" s="7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7"/>
      <c r="DG342" s="7"/>
      <c r="DH342" s="7"/>
      <c r="DI342" s="7"/>
      <c r="DJ342" s="7"/>
      <c r="DK342" s="28"/>
      <c r="DL342" s="28"/>
      <c r="DM342" s="7"/>
      <c r="DN342" s="29"/>
      <c r="DO342" s="28"/>
      <c r="DP342" s="28"/>
      <c r="DQ342" s="28"/>
    </row>
    <row r="343" spans="2:121">
      <c r="B343" s="7"/>
      <c r="C343" s="7"/>
      <c r="D343" s="7"/>
      <c r="E343" s="7"/>
      <c r="F343" s="7"/>
      <c r="G343" s="7"/>
      <c r="H343" s="38"/>
      <c r="I343" s="46"/>
      <c r="J343" s="18"/>
      <c r="K343" s="7"/>
      <c r="L343" s="38"/>
      <c r="M343" s="38"/>
      <c r="N343" s="38"/>
      <c r="O343" s="7"/>
      <c r="P343" s="7"/>
      <c r="Q343" s="33"/>
      <c r="R343" s="11"/>
      <c r="S343" s="11"/>
      <c r="T343" s="11" t="s">
        <v>98</v>
      </c>
      <c r="U343" s="12"/>
      <c r="V343" s="11"/>
      <c r="W343" s="13"/>
      <c r="X343" s="9"/>
      <c r="Y343" s="38"/>
      <c r="Z343" s="38"/>
      <c r="AA343" s="38"/>
      <c r="AB343" s="11"/>
      <c r="AC343" s="11"/>
      <c r="AD343" s="7"/>
      <c r="AE343" s="38"/>
      <c r="AF343" s="7"/>
      <c r="AG343" s="46"/>
      <c r="AH343" s="9"/>
      <c r="AI343" s="9"/>
      <c r="AJ343" s="9"/>
      <c r="AK343" s="9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53"/>
      <c r="AZ343" s="46"/>
      <c r="BA343" s="46"/>
      <c r="BB343" s="46"/>
      <c r="BC343" s="46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7"/>
      <c r="BR343" s="28"/>
      <c r="BS343" s="28"/>
      <c r="BT343" s="28"/>
      <c r="BU343" s="28"/>
      <c r="BV343" s="28"/>
      <c r="BW343" s="7"/>
      <c r="BX343" s="28"/>
      <c r="BY343" s="28"/>
      <c r="BZ343" s="28"/>
      <c r="CA343" s="28"/>
      <c r="CB343" s="28"/>
      <c r="CC343" s="7"/>
      <c r="CD343" s="7"/>
      <c r="CE343" s="29"/>
      <c r="CF343" s="18"/>
      <c r="CG343" s="29"/>
      <c r="CH343" s="29"/>
      <c r="CI343" s="29"/>
      <c r="CJ343" s="29"/>
      <c r="CK343" s="28"/>
      <c r="CL343" s="28"/>
      <c r="CM343" s="7"/>
      <c r="CN343" s="7"/>
      <c r="CO343" s="7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7"/>
      <c r="DG343" s="7"/>
      <c r="DH343" s="7"/>
      <c r="DI343" s="7"/>
      <c r="DJ343" s="7"/>
      <c r="DK343" s="28"/>
      <c r="DL343" s="28"/>
      <c r="DM343" s="7"/>
      <c r="DN343" s="29"/>
      <c r="DO343" s="28"/>
      <c r="DP343" s="28"/>
      <c r="DQ343" s="28"/>
    </row>
    <row r="344" spans="2:121">
      <c r="B344" s="7"/>
      <c r="C344" s="7"/>
      <c r="D344" s="7"/>
      <c r="E344" s="7"/>
      <c r="F344" s="7"/>
      <c r="G344" s="7"/>
      <c r="H344" s="38"/>
      <c r="I344" s="46"/>
      <c r="J344" s="18"/>
      <c r="K344" s="7"/>
      <c r="L344" s="38"/>
      <c r="M344" s="38"/>
      <c r="N344" s="38"/>
      <c r="O344" s="7"/>
      <c r="P344" s="7"/>
      <c r="Q344" s="33"/>
      <c r="R344" s="11"/>
      <c r="S344" s="11"/>
      <c r="T344" s="11" t="s">
        <v>98</v>
      </c>
      <c r="U344" s="12"/>
      <c r="V344" s="11"/>
      <c r="W344" s="13"/>
      <c r="X344" s="9"/>
      <c r="Y344" s="38"/>
      <c r="Z344" s="38"/>
      <c r="AA344" s="38"/>
      <c r="AB344" s="11"/>
      <c r="AC344" s="11"/>
      <c r="AD344" s="7"/>
      <c r="AE344" s="38"/>
      <c r="AF344" s="7"/>
      <c r="AG344" s="46"/>
      <c r="AH344" s="9"/>
      <c r="AI344" s="9"/>
      <c r="AJ344" s="9"/>
      <c r="AK344" s="9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53"/>
      <c r="AZ344" s="46"/>
      <c r="BA344" s="46"/>
      <c r="BB344" s="46"/>
      <c r="BC344" s="46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7"/>
      <c r="BR344" s="28"/>
      <c r="BS344" s="28"/>
      <c r="BT344" s="28"/>
      <c r="BU344" s="28"/>
      <c r="BV344" s="28"/>
      <c r="BW344" s="7"/>
      <c r="BX344" s="28"/>
      <c r="BY344" s="28"/>
      <c r="BZ344" s="28"/>
      <c r="CA344" s="28"/>
      <c r="CB344" s="28"/>
      <c r="CC344" s="7"/>
      <c r="CD344" s="7"/>
      <c r="CE344" s="29"/>
      <c r="CF344" s="18"/>
      <c r="CG344" s="29"/>
      <c r="CH344" s="29"/>
      <c r="CI344" s="29"/>
      <c r="CJ344" s="29"/>
      <c r="CK344" s="28"/>
      <c r="CL344" s="28"/>
      <c r="CM344" s="7"/>
      <c r="CN344" s="7"/>
      <c r="CO344" s="7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7"/>
      <c r="DG344" s="7"/>
      <c r="DH344" s="7"/>
      <c r="DI344" s="7"/>
      <c r="DJ344" s="7"/>
      <c r="DK344" s="28"/>
      <c r="DL344" s="28"/>
      <c r="DM344" s="7"/>
      <c r="DN344" s="29"/>
      <c r="DO344" s="28"/>
      <c r="DP344" s="28"/>
      <c r="DQ344" s="28"/>
    </row>
    <row r="345" spans="2:121">
      <c r="B345" s="7"/>
      <c r="C345" s="7"/>
      <c r="D345" s="7"/>
      <c r="E345" s="7"/>
      <c r="F345" s="7"/>
      <c r="G345" s="7"/>
      <c r="H345" s="38"/>
      <c r="I345" s="46"/>
      <c r="J345" s="18"/>
      <c r="K345" s="7"/>
      <c r="L345" s="38"/>
      <c r="M345" s="38"/>
      <c r="N345" s="38"/>
      <c r="O345" s="7"/>
      <c r="P345" s="7"/>
      <c r="Q345" s="33"/>
      <c r="R345" s="11"/>
      <c r="S345" s="11"/>
      <c r="T345" s="11" t="s">
        <v>98</v>
      </c>
      <c r="U345" s="12"/>
      <c r="V345" s="11"/>
      <c r="W345" s="13"/>
      <c r="X345" s="9"/>
      <c r="Y345" s="38"/>
      <c r="Z345" s="38"/>
      <c r="AA345" s="38"/>
      <c r="AB345" s="11"/>
      <c r="AC345" s="11"/>
      <c r="AD345" s="7"/>
      <c r="AE345" s="38"/>
      <c r="AF345" s="7"/>
      <c r="AG345" s="46"/>
      <c r="AH345" s="9"/>
      <c r="AI345" s="9"/>
      <c r="AJ345" s="9"/>
      <c r="AK345" s="9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53"/>
      <c r="AZ345" s="46"/>
      <c r="BA345" s="46"/>
      <c r="BB345" s="46"/>
      <c r="BC345" s="46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7"/>
      <c r="BR345" s="28"/>
      <c r="BS345" s="28"/>
      <c r="BT345" s="28"/>
      <c r="BU345" s="28"/>
      <c r="BV345" s="28"/>
      <c r="BW345" s="7"/>
      <c r="BX345" s="28"/>
      <c r="BY345" s="28"/>
      <c r="BZ345" s="28"/>
      <c r="CA345" s="28"/>
      <c r="CB345" s="28"/>
      <c r="CC345" s="7"/>
      <c r="CD345" s="7"/>
      <c r="CE345" s="29"/>
      <c r="CF345" s="18"/>
      <c r="CG345" s="29"/>
      <c r="CH345" s="29"/>
      <c r="CI345" s="29"/>
      <c r="CJ345" s="29"/>
      <c r="CK345" s="28"/>
      <c r="CL345" s="28"/>
      <c r="CM345" s="7"/>
      <c r="CN345" s="7"/>
      <c r="CO345" s="7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7"/>
      <c r="DG345" s="7"/>
      <c r="DH345" s="7"/>
      <c r="DI345" s="7"/>
      <c r="DJ345" s="7"/>
      <c r="DK345" s="28"/>
      <c r="DL345" s="28"/>
      <c r="DM345" s="7"/>
      <c r="DN345" s="29"/>
      <c r="DO345" s="28"/>
      <c r="DP345" s="28"/>
      <c r="DQ345" s="28"/>
    </row>
    <row r="346" spans="2:121">
      <c r="B346" s="7"/>
      <c r="C346" s="7"/>
      <c r="D346" s="7"/>
      <c r="E346" s="7"/>
      <c r="F346" s="7"/>
      <c r="G346" s="7"/>
      <c r="H346" s="38"/>
      <c r="I346" s="46"/>
      <c r="J346" s="18"/>
      <c r="K346" s="7"/>
      <c r="L346" s="38"/>
      <c r="M346" s="38"/>
      <c r="N346" s="38"/>
      <c r="O346" s="7"/>
      <c r="P346" s="7"/>
      <c r="Q346" s="33"/>
      <c r="R346" s="11"/>
      <c r="S346" s="11"/>
      <c r="T346" s="11" t="s">
        <v>98</v>
      </c>
      <c r="U346" s="12"/>
      <c r="V346" s="11"/>
      <c r="W346" s="13"/>
      <c r="X346" s="9"/>
      <c r="Y346" s="38"/>
      <c r="Z346" s="38"/>
      <c r="AA346" s="38"/>
      <c r="AB346" s="11"/>
      <c r="AC346" s="11"/>
      <c r="AD346" s="7"/>
      <c r="AE346" s="38"/>
      <c r="AF346" s="7"/>
      <c r="AG346" s="46"/>
      <c r="AH346" s="9"/>
      <c r="AI346" s="9"/>
      <c r="AJ346" s="9"/>
      <c r="AK346" s="9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53"/>
      <c r="AZ346" s="46"/>
      <c r="BA346" s="46"/>
      <c r="BB346" s="46"/>
      <c r="BC346" s="46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7"/>
      <c r="BR346" s="28"/>
      <c r="BS346" s="28"/>
      <c r="BT346" s="28"/>
      <c r="BU346" s="28"/>
      <c r="BV346" s="28"/>
      <c r="BW346" s="7"/>
      <c r="BX346" s="28"/>
      <c r="BY346" s="28"/>
      <c r="BZ346" s="28"/>
      <c r="CA346" s="28"/>
      <c r="CB346" s="28"/>
      <c r="CC346" s="7"/>
      <c r="CD346" s="7"/>
      <c r="CE346" s="29"/>
      <c r="CF346" s="18"/>
      <c r="CG346" s="29"/>
      <c r="CH346" s="29"/>
      <c r="CI346" s="29"/>
      <c r="CJ346" s="29"/>
      <c r="CK346" s="28"/>
      <c r="CL346" s="28"/>
      <c r="CM346" s="7"/>
      <c r="CN346" s="7"/>
      <c r="CO346" s="7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7"/>
      <c r="DG346" s="7"/>
      <c r="DH346" s="7"/>
      <c r="DI346" s="7"/>
      <c r="DJ346" s="7"/>
      <c r="DK346" s="28"/>
      <c r="DL346" s="28"/>
      <c r="DM346" s="7"/>
      <c r="DN346" s="29"/>
      <c r="DO346" s="28"/>
      <c r="DP346" s="28"/>
      <c r="DQ346" s="28"/>
    </row>
    <row r="347" spans="2:121">
      <c r="B347" s="7"/>
      <c r="C347" s="7"/>
      <c r="D347" s="7"/>
      <c r="E347" s="7"/>
      <c r="F347" s="7"/>
      <c r="G347" s="7"/>
      <c r="H347" s="38"/>
      <c r="I347" s="46"/>
      <c r="J347" s="18"/>
      <c r="K347" s="7"/>
      <c r="L347" s="38"/>
      <c r="M347" s="38"/>
      <c r="N347" s="38"/>
      <c r="O347" s="7"/>
      <c r="P347" s="7"/>
      <c r="Q347" s="33"/>
      <c r="R347" s="11"/>
      <c r="S347" s="11"/>
      <c r="T347" s="11" t="s">
        <v>98</v>
      </c>
      <c r="U347" s="12"/>
      <c r="V347" s="11"/>
      <c r="W347" s="13"/>
      <c r="X347" s="9"/>
      <c r="Y347" s="38"/>
      <c r="Z347" s="38"/>
      <c r="AA347" s="38"/>
      <c r="AB347" s="11"/>
      <c r="AC347" s="11"/>
      <c r="AD347" s="7"/>
      <c r="AE347" s="38"/>
      <c r="AF347" s="7"/>
      <c r="AG347" s="46"/>
      <c r="AH347" s="9"/>
      <c r="AI347" s="9"/>
      <c r="AJ347" s="9"/>
      <c r="AK347" s="9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53"/>
      <c r="AZ347" s="46"/>
      <c r="BA347" s="46"/>
      <c r="BB347" s="46"/>
      <c r="BC347" s="46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7"/>
      <c r="BR347" s="28"/>
      <c r="BS347" s="28"/>
      <c r="BT347" s="28"/>
      <c r="BU347" s="28"/>
      <c r="BV347" s="28"/>
      <c r="BW347" s="7"/>
      <c r="BX347" s="28"/>
      <c r="BY347" s="28"/>
      <c r="BZ347" s="28"/>
      <c r="CA347" s="28"/>
      <c r="CB347" s="28"/>
      <c r="CC347" s="7"/>
      <c r="CD347" s="7"/>
      <c r="CE347" s="29"/>
      <c r="CF347" s="18"/>
      <c r="CG347" s="29"/>
      <c r="CH347" s="29"/>
      <c r="CI347" s="29"/>
      <c r="CJ347" s="29"/>
      <c r="CK347" s="28"/>
      <c r="CL347" s="28"/>
      <c r="CM347" s="7"/>
      <c r="CN347" s="7"/>
      <c r="CO347" s="7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7"/>
      <c r="DG347" s="7"/>
      <c r="DH347" s="7"/>
      <c r="DI347" s="7"/>
      <c r="DJ347" s="7"/>
      <c r="DK347" s="28"/>
      <c r="DL347" s="28"/>
      <c r="DM347" s="7"/>
      <c r="DN347" s="29"/>
      <c r="DO347" s="28"/>
      <c r="DP347" s="28"/>
      <c r="DQ347" s="28"/>
    </row>
    <row r="348" spans="2:121">
      <c r="B348" s="7"/>
      <c r="C348" s="7"/>
      <c r="D348" s="7"/>
      <c r="E348" s="7"/>
      <c r="F348" s="7"/>
      <c r="G348" s="7"/>
      <c r="H348" s="38"/>
      <c r="I348" s="46"/>
      <c r="J348" s="18"/>
      <c r="K348" s="7"/>
      <c r="L348" s="38"/>
      <c r="M348" s="38"/>
      <c r="N348" s="38"/>
      <c r="O348" s="7"/>
      <c r="P348" s="7"/>
      <c r="Q348" s="33"/>
      <c r="R348" s="11"/>
      <c r="S348" s="11"/>
      <c r="T348" s="11" t="s">
        <v>98</v>
      </c>
      <c r="U348" s="12"/>
      <c r="V348" s="11"/>
      <c r="W348" s="13"/>
      <c r="X348" s="9"/>
      <c r="Y348" s="38"/>
      <c r="Z348" s="38"/>
      <c r="AA348" s="38"/>
      <c r="AB348" s="11"/>
      <c r="AC348" s="11"/>
      <c r="AD348" s="7"/>
      <c r="AE348" s="38"/>
      <c r="AF348" s="7"/>
      <c r="AG348" s="46"/>
      <c r="AH348" s="9"/>
      <c r="AI348" s="9"/>
      <c r="AJ348" s="9"/>
      <c r="AK348" s="9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53"/>
      <c r="AZ348" s="46"/>
      <c r="BA348" s="46"/>
      <c r="BB348" s="46"/>
      <c r="BC348" s="46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7"/>
      <c r="BR348" s="28"/>
      <c r="BS348" s="28"/>
      <c r="BT348" s="28"/>
      <c r="BU348" s="28"/>
      <c r="BV348" s="28"/>
      <c r="BW348" s="7"/>
      <c r="BX348" s="28"/>
      <c r="BY348" s="28"/>
      <c r="BZ348" s="28"/>
      <c r="CA348" s="28"/>
      <c r="CB348" s="28"/>
      <c r="CC348" s="7"/>
      <c r="CD348" s="7"/>
      <c r="CE348" s="29"/>
      <c r="CF348" s="18"/>
      <c r="CG348" s="29"/>
      <c r="CH348" s="29"/>
      <c r="CI348" s="29"/>
      <c r="CJ348" s="29"/>
      <c r="CK348" s="28"/>
      <c r="CL348" s="28"/>
      <c r="CM348" s="7"/>
      <c r="CN348" s="7"/>
      <c r="CO348" s="7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7"/>
      <c r="DG348" s="7"/>
      <c r="DH348" s="7"/>
      <c r="DI348" s="7"/>
      <c r="DJ348" s="7"/>
      <c r="DK348" s="28"/>
      <c r="DL348" s="28"/>
      <c r="DM348" s="7"/>
      <c r="DN348" s="29"/>
      <c r="DO348" s="28"/>
      <c r="DP348" s="28"/>
      <c r="DQ348" s="28"/>
    </row>
    <row r="349" spans="2:121">
      <c r="B349" s="7"/>
      <c r="C349" s="7"/>
      <c r="D349" s="7"/>
      <c r="E349" s="7"/>
      <c r="F349" s="7"/>
      <c r="G349" s="7"/>
      <c r="H349" s="38"/>
      <c r="I349" s="46"/>
      <c r="J349" s="18"/>
      <c r="K349" s="7"/>
      <c r="L349" s="38"/>
      <c r="M349" s="38"/>
      <c r="N349" s="38"/>
      <c r="O349" s="7"/>
      <c r="P349" s="7"/>
      <c r="Q349" s="33"/>
      <c r="R349" s="11"/>
      <c r="S349" s="11"/>
      <c r="T349" s="11" t="s">
        <v>98</v>
      </c>
      <c r="U349" s="12"/>
      <c r="V349" s="11"/>
      <c r="W349" s="13"/>
      <c r="X349" s="9"/>
      <c r="Y349" s="38"/>
      <c r="Z349" s="38"/>
      <c r="AA349" s="38"/>
      <c r="AB349" s="11"/>
      <c r="AC349" s="11"/>
      <c r="AD349" s="7"/>
      <c r="AE349" s="38"/>
      <c r="AF349" s="7"/>
      <c r="AG349" s="46"/>
      <c r="AH349" s="9"/>
      <c r="AI349" s="9"/>
      <c r="AJ349" s="9"/>
      <c r="AK349" s="9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53"/>
      <c r="AZ349" s="46"/>
      <c r="BA349" s="46"/>
      <c r="BB349" s="46"/>
      <c r="BC349" s="46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7"/>
      <c r="BR349" s="28"/>
      <c r="BS349" s="28"/>
      <c r="BT349" s="28"/>
      <c r="BU349" s="28"/>
      <c r="BV349" s="28"/>
      <c r="BW349" s="7"/>
      <c r="BX349" s="28"/>
      <c r="BY349" s="28"/>
      <c r="BZ349" s="28"/>
      <c r="CA349" s="28"/>
      <c r="CB349" s="28"/>
      <c r="CC349" s="7"/>
      <c r="CD349" s="7"/>
      <c r="CE349" s="29"/>
      <c r="CF349" s="18"/>
      <c r="CG349" s="29"/>
      <c r="CH349" s="29"/>
      <c r="CI349" s="29"/>
      <c r="CJ349" s="29"/>
      <c r="CK349" s="28"/>
      <c r="CL349" s="28"/>
      <c r="CM349" s="7"/>
      <c r="CN349" s="7"/>
      <c r="CO349" s="7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7"/>
      <c r="DG349" s="7"/>
      <c r="DH349" s="7"/>
      <c r="DI349" s="7"/>
      <c r="DJ349" s="7"/>
      <c r="DK349" s="28"/>
      <c r="DL349" s="28"/>
      <c r="DM349" s="7"/>
      <c r="DN349" s="29"/>
      <c r="DO349" s="28"/>
      <c r="DP349" s="28"/>
      <c r="DQ349" s="28"/>
    </row>
    <row r="350" spans="2:121">
      <c r="B350" s="7"/>
      <c r="C350" s="7"/>
      <c r="D350" s="7"/>
      <c r="E350" s="7"/>
      <c r="F350" s="7"/>
      <c r="G350" s="7"/>
      <c r="H350" s="38"/>
      <c r="I350" s="46"/>
      <c r="J350" s="18"/>
      <c r="K350" s="7"/>
      <c r="L350" s="38"/>
      <c r="M350" s="38"/>
      <c r="N350" s="38"/>
      <c r="O350" s="7"/>
      <c r="P350" s="7"/>
      <c r="Q350" s="33"/>
      <c r="R350" s="11"/>
      <c r="S350" s="11"/>
      <c r="T350" s="11" t="s">
        <v>98</v>
      </c>
      <c r="U350" s="12"/>
      <c r="V350" s="11"/>
      <c r="W350" s="13"/>
      <c r="X350" s="9"/>
      <c r="Y350" s="38"/>
      <c r="Z350" s="38"/>
      <c r="AA350" s="38"/>
      <c r="AB350" s="11"/>
      <c r="AC350" s="11"/>
      <c r="AD350" s="7"/>
      <c r="AE350" s="38"/>
      <c r="AF350" s="7"/>
      <c r="AG350" s="46"/>
      <c r="AH350" s="9"/>
      <c r="AI350" s="9"/>
      <c r="AJ350" s="9"/>
      <c r="AK350" s="9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53"/>
      <c r="AZ350" s="46"/>
      <c r="BA350" s="46"/>
      <c r="BB350" s="46"/>
      <c r="BC350" s="46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7"/>
      <c r="BR350" s="28"/>
      <c r="BS350" s="28"/>
      <c r="BT350" s="28"/>
      <c r="BU350" s="28"/>
      <c r="BV350" s="28"/>
      <c r="BW350" s="7"/>
      <c r="BX350" s="28"/>
      <c r="BY350" s="28"/>
      <c r="BZ350" s="28"/>
      <c r="CA350" s="28"/>
      <c r="CB350" s="28"/>
      <c r="CC350" s="7"/>
      <c r="CD350" s="7"/>
      <c r="CE350" s="29"/>
      <c r="CF350" s="18"/>
      <c r="CG350" s="29"/>
      <c r="CH350" s="29"/>
      <c r="CI350" s="29"/>
      <c r="CJ350" s="29"/>
      <c r="CK350" s="28"/>
      <c r="CL350" s="28"/>
      <c r="CM350" s="7"/>
      <c r="CN350" s="7"/>
      <c r="CO350" s="7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7"/>
      <c r="DG350" s="7"/>
      <c r="DH350" s="7"/>
      <c r="DI350" s="7"/>
      <c r="DJ350" s="7"/>
      <c r="DK350" s="28"/>
      <c r="DL350" s="28"/>
      <c r="DM350" s="7"/>
      <c r="DN350" s="29"/>
      <c r="DO350" s="28"/>
      <c r="DP350" s="28"/>
      <c r="DQ350" s="28"/>
    </row>
    <row r="351" spans="2:121">
      <c r="B351" s="7"/>
      <c r="C351" s="7"/>
      <c r="D351" s="7"/>
      <c r="E351" s="7"/>
      <c r="F351" s="7"/>
      <c r="G351" s="7"/>
      <c r="H351" s="38"/>
      <c r="I351" s="46"/>
      <c r="J351" s="18"/>
      <c r="K351" s="7"/>
      <c r="L351" s="38"/>
      <c r="M351" s="38"/>
      <c r="N351" s="38"/>
      <c r="O351" s="7"/>
      <c r="P351" s="7"/>
      <c r="Q351" s="33"/>
      <c r="R351" s="11"/>
      <c r="S351" s="11"/>
      <c r="T351" s="11" t="s">
        <v>98</v>
      </c>
      <c r="U351" s="12"/>
      <c r="V351" s="11"/>
      <c r="W351" s="13"/>
      <c r="X351" s="9"/>
      <c r="Y351" s="38"/>
      <c r="Z351" s="38"/>
      <c r="AA351" s="38"/>
      <c r="AB351" s="11"/>
      <c r="AC351" s="11"/>
      <c r="AD351" s="7"/>
      <c r="AE351" s="38"/>
      <c r="AF351" s="7"/>
      <c r="AG351" s="46"/>
      <c r="AH351" s="9"/>
      <c r="AI351" s="9"/>
      <c r="AJ351" s="9"/>
      <c r="AK351" s="9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53"/>
      <c r="AZ351" s="46"/>
      <c r="BA351" s="46"/>
      <c r="BB351" s="46"/>
      <c r="BC351" s="46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7"/>
      <c r="BR351" s="28"/>
      <c r="BS351" s="28"/>
      <c r="BT351" s="28"/>
      <c r="BU351" s="28"/>
      <c r="BV351" s="28"/>
      <c r="BW351" s="7"/>
      <c r="BX351" s="28"/>
      <c r="BY351" s="28"/>
      <c r="BZ351" s="28"/>
      <c r="CA351" s="28"/>
      <c r="CB351" s="28"/>
      <c r="CC351" s="7"/>
      <c r="CD351" s="7"/>
      <c r="CE351" s="29"/>
      <c r="CF351" s="18"/>
      <c r="CG351" s="29"/>
      <c r="CH351" s="29"/>
      <c r="CI351" s="29"/>
      <c r="CJ351" s="29"/>
      <c r="CK351" s="28"/>
      <c r="CL351" s="28"/>
      <c r="CM351" s="7"/>
      <c r="CN351" s="7"/>
      <c r="CO351" s="7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7"/>
      <c r="DG351" s="7"/>
      <c r="DH351" s="7"/>
      <c r="DI351" s="7"/>
      <c r="DJ351" s="7"/>
      <c r="DK351" s="28"/>
      <c r="DL351" s="28"/>
      <c r="DM351" s="7"/>
      <c r="DN351" s="29"/>
      <c r="DO351" s="28"/>
      <c r="DP351" s="28"/>
      <c r="DQ351" s="28"/>
    </row>
    <row r="352" spans="2:121">
      <c r="B352" s="7"/>
      <c r="C352" s="7"/>
      <c r="D352" s="7"/>
      <c r="E352" s="7"/>
      <c r="F352" s="7"/>
      <c r="G352" s="7"/>
      <c r="H352" s="38"/>
      <c r="I352" s="46"/>
      <c r="J352" s="18"/>
      <c r="K352" s="7"/>
      <c r="L352" s="38"/>
      <c r="M352" s="38"/>
      <c r="N352" s="38"/>
      <c r="O352" s="7"/>
      <c r="P352" s="7"/>
      <c r="Q352" s="33"/>
      <c r="R352" s="11"/>
      <c r="S352" s="11"/>
      <c r="T352" s="11" t="s">
        <v>98</v>
      </c>
      <c r="U352" s="12"/>
      <c r="V352" s="11"/>
      <c r="W352" s="13"/>
      <c r="X352" s="9"/>
      <c r="Y352" s="38"/>
      <c r="Z352" s="38"/>
      <c r="AA352" s="38"/>
      <c r="AB352" s="11"/>
      <c r="AC352" s="11"/>
      <c r="AD352" s="7"/>
      <c r="AE352" s="38"/>
      <c r="AF352" s="7"/>
      <c r="AG352" s="46"/>
      <c r="AH352" s="9"/>
      <c r="AI352" s="9"/>
      <c r="AJ352" s="9"/>
      <c r="AK352" s="9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53"/>
      <c r="AZ352" s="46"/>
      <c r="BA352" s="46"/>
      <c r="BB352" s="46"/>
      <c r="BC352" s="46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7"/>
      <c r="BR352" s="28"/>
      <c r="BS352" s="28"/>
      <c r="BT352" s="28"/>
      <c r="BU352" s="28"/>
      <c r="BV352" s="28"/>
      <c r="BW352" s="7"/>
      <c r="BX352" s="28"/>
      <c r="BY352" s="28"/>
      <c r="BZ352" s="28"/>
      <c r="CA352" s="28"/>
      <c r="CB352" s="28"/>
      <c r="CC352" s="7"/>
      <c r="CD352" s="7"/>
      <c r="CE352" s="29"/>
      <c r="CF352" s="18"/>
      <c r="CG352" s="29"/>
      <c r="CH352" s="29"/>
      <c r="CI352" s="29"/>
      <c r="CJ352" s="29"/>
      <c r="CK352" s="28"/>
      <c r="CL352" s="28"/>
      <c r="CM352" s="7"/>
      <c r="CN352" s="7"/>
      <c r="CO352" s="7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7"/>
      <c r="DG352" s="7"/>
      <c r="DH352" s="7"/>
      <c r="DI352" s="7"/>
      <c r="DJ352" s="7"/>
      <c r="DK352" s="28"/>
      <c r="DL352" s="28"/>
      <c r="DM352" s="7"/>
      <c r="DN352" s="29"/>
      <c r="DO352" s="28"/>
      <c r="DP352" s="28"/>
      <c r="DQ352" s="28"/>
    </row>
    <row r="353" spans="2:121">
      <c r="B353" s="7"/>
      <c r="C353" s="7"/>
      <c r="D353" s="7"/>
      <c r="E353" s="7"/>
      <c r="F353" s="7"/>
      <c r="G353" s="7"/>
      <c r="H353" s="38"/>
      <c r="I353" s="46"/>
      <c r="J353" s="18"/>
      <c r="K353" s="7"/>
      <c r="L353" s="38"/>
      <c r="M353" s="38"/>
      <c r="N353" s="38"/>
      <c r="O353" s="7"/>
      <c r="P353" s="7"/>
      <c r="Q353" s="33"/>
      <c r="R353" s="11"/>
      <c r="S353" s="11"/>
      <c r="T353" s="11" t="s">
        <v>98</v>
      </c>
      <c r="U353" s="12"/>
      <c r="V353" s="11"/>
      <c r="W353" s="13"/>
      <c r="X353" s="9"/>
      <c r="Y353" s="38"/>
      <c r="Z353" s="38"/>
      <c r="AA353" s="38"/>
      <c r="AB353" s="11"/>
      <c r="AC353" s="11"/>
      <c r="AD353" s="7"/>
      <c r="AE353" s="38"/>
      <c r="AF353" s="7"/>
      <c r="AG353" s="46"/>
      <c r="AH353" s="9"/>
      <c r="AI353" s="9"/>
      <c r="AJ353" s="9"/>
      <c r="AK353" s="9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53"/>
      <c r="AZ353" s="46"/>
      <c r="BA353" s="46"/>
      <c r="BB353" s="46"/>
      <c r="BC353" s="46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7"/>
      <c r="BR353" s="28"/>
      <c r="BS353" s="28"/>
      <c r="BT353" s="28"/>
      <c r="BU353" s="28"/>
      <c r="BV353" s="28"/>
      <c r="BW353" s="7"/>
      <c r="BX353" s="28"/>
      <c r="BY353" s="28"/>
      <c r="BZ353" s="28"/>
      <c r="CA353" s="28"/>
      <c r="CB353" s="28"/>
      <c r="CC353" s="7"/>
      <c r="CD353" s="7"/>
      <c r="CE353" s="29"/>
      <c r="CF353" s="18"/>
      <c r="CG353" s="29"/>
      <c r="CH353" s="29"/>
      <c r="CI353" s="29"/>
      <c r="CJ353" s="29"/>
      <c r="CK353" s="28"/>
      <c r="CL353" s="28"/>
      <c r="CM353" s="7"/>
      <c r="CN353" s="7"/>
      <c r="CO353" s="7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7"/>
      <c r="DG353" s="7"/>
      <c r="DH353" s="7"/>
      <c r="DI353" s="7"/>
      <c r="DJ353" s="7"/>
      <c r="DK353" s="28"/>
      <c r="DL353" s="28"/>
      <c r="DM353" s="7"/>
      <c r="DN353" s="29"/>
      <c r="DO353" s="28"/>
      <c r="DP353" s="28"/>
      <c r="DQ353" s="28"/>
    </row>
    <row r="354" spans="2:121">
      <c r="B354" s="7"/>
      <c r="C354" s="7"/>
      <c r="D354" s="7"/>
      <c r="E354" s="7"/>
      <c r="F354" s="7"/>
      <c r="G354" s="7"/>
      <c r="H354" s="38"/>
      <c r="I354" s="46"/>
      <c r="J354" s="18"/>
      <c r="K354" s="7"/>
      <c r="L354" s="38"/>
      <c r="M354" s="38"/>
      <c r="N354" s="38"/>
      <c r="O354" s="7"/>
      <c r="P354" s="7"/>
      <c r="Q354" s="33"/>
      <c r="R354" s="11"/>
      <c r="S354" s="11"/>
      <c r="T354" s="11" t="s">
        <v>98</v>
      </c>
      <c r="U354" s="12"/>
      <c r="V354" s="11"/>
      <c r="W354" s="13"/>
      <c r="X354" s="9"/>
      <c r="Y354" s="38"/>
      <c r="Z354" s="38"/>
      <c r="AA354" s="38"/>
      <c r="AB354" s="11"/>
      <c r="AC354" s="11"/>
      <c r="AD354" s="7"/>
      <c r="AE354" s="38"/>
      <c r="AF354" s="7"/>
      <c r="AG354" s="46"/>
      <c r="AH354" s="9"/>
      <c r="AI354" s="9"/>
      <c r="AJ354" s="9"/>
      <c r="AK354" s="9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53"/>
      <c r="AZ354" s="46"/>
      <c r="BA354" s="46"/>
      <c r="BB354" s="46"/>
      <c r="BC354" s="46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7"/>
      <c r="BR354" s="28"/>
      <c r="BS354" s="28"/>
      <c r="BT354" s="28"/>
      <c r="BU354" s="28"/>
      <c r="BV354" s="28"/>
      <c r="BW354" s="7"/>
      <c r="BX354" s="28"/>
      <c r="BY354" s="28"/>
      <c r="BZ354" s="28"/>
      <c r="CA354" s="28"/>
      <c r="CB354" s="28"/>
      <c r="CC354" s="7"/>
      <c r="CD354" s="7"/>
      <c r="CE354" s="29"/>
      <c r="CF354" s="18"/>
      <c r="CG354" s="29"/>
      <c r="CH354" s="29"/>
      <c r="CI354" s="29"/>
      <c r="CJ354" s="29"/>
      <c r="CK354" s="28"/>
      <c r="CL354" s="28"/>
      <c r="CM354" s="7"/>
      <c r="CN354" s="7"/>
      <c r="CO354" s="7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7"/>
      <c r="DG354" s="7"/>
      <c r="DH354" s="7"/>
      <c r="DI354" s="7"/>
      <c r="DJ354" s="7"/>
      <c r="DK354" s="28"/>
      <c r="DL354" s="28"/>
      <c r="DM354" s="7"/>
      <c r="DN354" s="29"/>
      <c r="DO354" s="28"/>
      <c r="DP354" s="28"/>
      <c r="DQ354" s="28"/>
    </row>
    <row r="355" spans="2:121">
      <c r="B355" s="7"/>
      <c r="C355" s="7"/>
      <c r="D355" s="7"/>
      <c r="E355" s="7"/>
      <c r="F355" s="7"/>
      <c r="G355" s="7"/>
      <c r="H355" s="38"/>
      <c r="I355" s="46"/>
      <c r="J355" s="18"/>
      <c r="K355" s="7"/>
      <c r="L355" s="38"/>
      <c r="M355" s="38"/>
      <c r="N355" s="38"/>
      <c r="O355" s="7"/>
      <c r="P355" s="7"/>
      <c r="Q355" s="33"/>
      <c r="R355" s="11"/>
      <c r="S355" s="11"/>
      <c r="T355" s="11" t="s">
        <v>98</v>
      </c>
      <c r="U355" s="12"/>
      <c r="V355" s="11"/>
      <c r="W355" s="13"/>
      <c r="X355" s="9"/>
      <c r="Y355" s="38"/>
      <c r="Z355" s="38"/>
      <c r="AA355" s="38"/>
      <c r="AB355" s="11"/>
      <c r="AC355" s="11"/>
      <c r="AD355" s="7"/>
      <c r="AE355" s="38"/>
      <c r="AF355" s="7"/>
      <c r="AG355" s="46"/>
      <c r="AH355" s="9"/>
      <c r="AI355" s="9"/>
      <c r="AJ355" s="9"/>
      <c r="AK355" s="9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53"/>
      <c r="AZ355" s="46"/>
      <c r="BA355" s="46"/>
      <c r="BB355" s="46"/>
      <c r="BC355" s="46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7"/>
      <c r="BR355" s="28"/>
      <c r="BS355" s="28"/>
      <c r="BT355" s="28"/>
      <c r="BU355" s="28"/>
      <c r="BV355" s="28"/>
      <c r="BW355" s="7"/>
      <c r="BX355" s="28"/>
      <c r="BY355" s="28"/>
      <c r="BZ355" s="28"/>
      <c r="CA355" s="28"/>
      <c r="CB355" s="28"/>
      <c r="CC355" s="7"/>
      <c r="CD355" s="7"/>
      <c r="CE355" s="29"/>
      <c r="CF355" s="18"/>
      <c r="CG355" s="29"/>
      <c r="CH355" s="29"/>
      <c r="CI355" s="29"/>
      <c r="CJ355" s="29"/>
      <c r="CK355" s="28"/>
      <c r="CL355" s="28"/>
      <c r="CM355" s="7"/>
      <c r="CN355" s="7"/>
      <c r="CO355" s="7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7"/>
      <c r="DG355" s="7"/>
      <c r="DH355" s="7"/>
      <c r="DI355" s="7"/>
      <c r="DJ355" s="7"/>
      <c r="DK355" s="28"/>
      <c r="DL355" s="28"/>
      <c r="DM355" s="7"/>
      <c r="DN355" s="29"/>
      <c r="DO355" s="28"/>
      <c r="DP355" s="28"/>
      <c r="DQ355" s="28"/>
    </row>
    <row r="356" spans="2:121">
      <c r="B356" s="7"/>
      <c r="C356" s="7"/>
      <c r="D356" s="7"/>
      <c r="E356" s="7"/>
      <c r="F356" s="7"/>
      <c r="G356" s="7"/>
      <c r="H356" s="38"/>
      <c r="I356" s="46"/>
      <c r="J356" s="18"/>
      <c r="K356" s="7"/>
      <c r="L356" s="38"/>
      <c r="M356" s="38"/>
      <c r="N356" s="38"/>
      <c r="O356" s="7"/>
      <c r="P356" s="7"/>
      <c r="Q356" s="33"/>
      <c r="R356" s="11"/>
      <c r="S356" s="11"/>
      <c r="T356" s="11" t="s">
        <v>98</v>
      </c>
      <c r="U356" s="12"/>
      <c r="V356" s="11"/>
      <c r="W356" s="13"/>
      <c r="X356" s="9"/>
      <c r="Y356" s="38"/>
      <c r="Z356" s="38"/>
      <c r="AA356" s="38"/>
      <c r="AB356" s="11"/>
      <c r="AC356" s="11"/>
      <c r="AD356" s="7"/>
      <c r="AE356" s="38"/>
      <c r="AF356" s="7"/>
      <c r="AG356" s="46"/>
      <c r="AH356" s="9"/>
      <c r="AI356" s="9"/>
      <c r="AJ356" s="9"/>
      <c r="AK356" s="9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53"/>
      <c r="AZ356" s="46"/>
      <c r="BA356" s="46"/>
      <c r="BB356" s="46"/>
      <c r="BC356" s="46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7"/>
      <c r="BR356" s="28"/>
      <c r="BS356" s="28"/>
      <c r="BT356" s="28"/>
      <c r="BU356" s="28"/>
      <c r="BV356" s="28"/>
      <c r="BW356" s="7"/>
      <c r="BX356" s="28"/>
      <c r="BY356" s="28"/>
      <c r="BZ356" s="28"/>
      <c r="CA356" s="28"/>
      <c r="CB356" s="28"/>
      <c r="CC356" s="7"/>
      <c r="CD356" s="7"/>
      <c r="CE356" s="29"/>
      <c r="CF356" s="18"/>
      <c r="CG356" s="29"/>
      <c r="CH356" s="29"/>
      <c r="CI356" s="29"/>
      <c r="CJ356" s="29"/>
      <c r="CK356" s="28"/>
      <c r="CL356" s="28"/>
      <c r="CM356" s="7"/>
      <c r="CN356" s="7"/>
      <c r="CO356" s="7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7"/>
      <c r="DG356" s="7"/>
      <c r="DH356" s="7"/>
      <c r="DI356" s="7"/>
      <c r="DJ356" s="7"/>
      <c r="DK356" s="28"/>
      <c r="DL356" s="28"/>
      <c r="DM356" s="7"/>
      <c r="DN356" s="29"/>
      <c r="DO356" s="28"/>
      <c r="DP356" s="28"/>
      <c r="DQ356" s="28"/>
    </row>
    <row r="357" spans="2:121">
      <c r="B357" s="7"/>
      <c r="C357" s="7"/>
      <c r="D357" s="7"/>
      <c r="E357" s="7"/>
      <c r="F357" s="7"/>
      <c r="G357" s="7"/>
      <c r="H357" s="38"/>
      <c r="I357" s="46"/>
      <c r="J357" s="18"/>
      <c r="K357" s="7"/>
      <c r="L357" s="38"/>
      <c r="M357" s="38"/>
      <c r="N357" s="38"/>
      <c r="O357" s="7"/>
      <c r="P357" s="7"/>
      <c r="Q357" s="33"/>
      <c r="R357" s="11"/>
      <c r="S357" s="11"/>
      <c r="T357" s="11" t="s">
        <v>98</v>
      </c>
      <c r="U357" s="12"/>
      <c r="V357" s="11"/>
      <c r="W357" s="13"/>
      <c r="X357" s="9"/>
      <c r="Y357" s="38"/>
      <c r="Z357" s="38"/>
      <c r="AA357" s="38"/>
      <c r="AB357" s="11"/>
      <c r="AC357" s="11"/>
      <c r="AD357" s="7"/>
      <c r="AE357" s="38"/>
      <c r="AF357" s="7"/>
      <c r="AG357" s="46"/>
      <c r="AH357" s="9"/>
      <c r="AI357" s="9"/>
      <c r="AJ357" s="9"/>
      <c r="AK357" s="9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53"/>
      <c r="AZ357" s="46"/>
      <c r="BA357" s="46"/>
      <c r="BB357" s="46"/>
      <c r="BC357" s="46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7"/>
      <c r="BR357" s="28"/>
      <c r="BS357" s="28"/>
      <c r="BT357" s="28"/>
      <c r="BU357" s="28"/>
      <c r="BV357" s="28"/>
      <c r="BW357" s="7"/>
      <c r="BX357" s="28"/>
      <c r="BY357" s="28"/>
      <c r="BZ357" s="28"/>
      <c r="CA357" s="28"/>
      <c r="CB357" s="28"/>
      <c r="CC357" s="7"/>
      <c r="CD357" s="7"/>
      <c r="CE357" s="29"/>
      <c r="CF357" s="18"/>
      <c r="CG357" s="29"/>
      <c r="CH357" s="29"/>
      <c r="CI357" s="29"/>
      <c r="CJ357" s="29"/>
      <c r="CK357" s="28"/>
      <c r="CL357" s="28"/>
      <c r="CM357" s="7"/>
      <c r="CN357" s="7"/>
      <c r="CO357" s="7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7"/>
      <c r="DG357" s="7"/>
      <c r="DH357" s="7"/>
      <c r="DI357" s="7"/>
      <c r="DJ357" s="7"/>
      <c r="DK357" s="28"/>
      <c r="DL357" s="28"/>
      <c r="DM357" s="7"/>
      <c r="DN357" s="29"/>
      <c r="DO357" s="28"/>
      <c r="DP357" s="28"/>
      <c r="DQ357" s="28"/>
    </row>
    <row r="358" spans="2:121">
      <c r="B358" s="7"/>
      <c r="C358" s="7"/>
      <c r="D358" s="7"/>
      <c r="E358" s="7"/>
      <c r="F358" s="7"/>
      <c r="G358" s="7"/>
      <c r="H358" s="38"/>
      <c r="I358" s="46"/>
      <c r="J358" s="18"/>
      <c r="K358" s="7"/>
      <c r="L358" s="38"/>
      <c r="M358" s="38"/>
      <c r="N358" s="38"/>
      <c r="O358" s="7"/>
      <c r="P358" s="7"/>
      <c r="Q358" s="33"/>
      <c r="R358" s="11"/>
      <c r="S358" s="11"/>
      <c r="T358" s="11" t="s">
        <v>98</v>
      </c>
      <c r="U358" s="12"/>
      <c r="V358" s="11"/>
      <c r="W358" s="13"/>
      <c r="X358" s="9"/>
      <c r="Y358" s="38"/>
      <c r="Z358" s="38"/>
      <c r="AA358" s="38"/>
      <c r="AB358" s="11"/>
      <c r="AC358" s="11"/>
      <c r="AD358" s="7"/>
      <c r="AE358" s="38"/>
      <c r="AF358" s="7"/>
      <c r="AG358" s="46"/>
      <c r="AH358" s="9"/>
      <c r="AI358" s="9"/>
      <c r="AJ358" s="9"/>
      <c r="AK358" s="9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53"/>
      <c r="AZ358" s="46"/>
      <c r="BA358" s="46"/>
      <c r="BB358" s="46"/>
      <c r="BC358" s="46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7"/>
      <c r="BR358" s="28"/>
      <c r="BS358" s="28"/>
      <c r="BT358" s="28"/>
      <c r="BU358" s="28"/>
      <c r="BV358" s="28"/>
      <c r="BW358" s="7"/>
      <c r="BX358" s="28"/>
      <c r="BY358" s="28"/>
      <c r="BZ358" s="28"/>
      <c r="CA358" s="28"/>
      <c r="CB358" s="28"/>
      <c r="CC358" s="7"/>
      <c r="CD358" s="7"/>
      <c r="CE358" s="29"/>
      <c r="CF358" s="18"/>
      <c r="CG358" s="29"/>
      <c r="CH358" s="29"/>
      <c r="CI358" s="29"/>
      <c r="CJ358" s="29"/>
      <c r="CK358" s="28"/>
      <c r="CL358" s="28"/>
      <c r="CM358" s="7"/>
      <c r="CN358" s="7"/>
      <c r="CO358" s="7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7"/>
      <c r="DG358" s="7"/>
      <c r="DH358" s="7"/>
      <c r="DI358" s="7"/>
      <c r="DJ358" s="7"/>
      <c r="DK358" s="28"/>
      <c r="DL358" s="28"/>
      <c r="DM358" s="7"/>
      <c r="DN358" s="29"/>
      <c r="DO358" s="28"/>
      <c r="DP358" s="28"/>
      <c r="DQ358" s="28"/>
    </row>
    <row r="359" spans="2:121">
      <c r="B359" s="7"/>
      <c r="C359" s="7"/>
      <c r="D359" s="7"/>
      <c r="E359" s="7"/>
      <c r="F359" s="7"/>
      <c r="G359" s="7"/>
      <c r="H359" s="38"/>
      <c r="I359" s="46"/>
      <c r="J359" s="18"/>
      <c r="K359" s="7"/>
      <c r="L359" s="38"/>
      <c r="M359" s="38"/>
      <c r="N359" s="38"/>
      <c r="O359" s="7"/>
      <c r="P359" s="7"/>
      <c r="Q359" s="33"/>
      <c r="R359" s="11"/>
      <c r="S359" s="11"/>
      <c r="T359" s="11" t="s">
        <v>98</v>
      </c>
      <c r="U359" s="12"/>
      <c r="V359" s="11"/>
      <c r="W359" s="13"/>
      <c r="X359" s="9"/>
      <c r="Y359" s="38"/>
      <c r="Z359" s="38"/>
      <c r="AA359" s="38"/>
      <c r="AB359" s="11"/>
      <c r="AC359" s="11"/>
      <c r="AD359" s="7"/>
      <c r="AE359" s="38"/>
      <c r="AF359" s="7"/>
      <c r="AG359" s="46"/>
      <c r="AH359" s="9"/>
      <c r="AI359" s="9"/>
      <c r="AJ359" s="9"/>
      <c r="AK359" s="9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53"/>
      <c r="AZ359" s="46"/>
      <c r="BA359" s="46"/>
      <c r="BB359" s="46"/>
      <c r="BC359" s="46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7"/>
      <c r="BR359" s="28"/>
      <c r="BS359" s="28"/>
      <c r="BT359" s="28"/>
      <c r="BU359" s="28"/>
      <c r="BV359" s="28"/>
      <c r="BW359" s="7"/>
      <c r="BX359" s="28"/>
      <c r="BY359" s="28"/>
      <c r="BZ359" s="28"/>
      <c r="CA359" s="28"/>
      <c r="CB359" s="28"/>
      <c r="CC359" s="7"/>
      <c r="CD359" s="7"/>
      <c r="CE359" s="29"/>
      <c r="CF359" s="18"/>
      <c r="CG359" s="29"/>
      <c r="CH359" s="29"/>
      <c r="CI359" s="29"/>
      <c r="CJ359" s="29"/>
      <c r="CK359" s="28"/>
      <c r="CL359" s="28"/>
      <c r="CM359" s="7"/>
      <c r="CN359" s="7"/>
      <c r="CO359" s="7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7"/>
      <c r="DG359" s="7"/>
      <c r="DH359" s="7"/>
      <c r="DI359" s="7"/>
      <c r="DJ359" s="7"/>
      <c r="DK359" s="28"/>
      <c r="DL359" s="28"/>
      <c r="DM359" s="7"/>
      <c r="DN359" s="29"/>
      <c r="DO359" s="28"/>
      <c r="DP359" s="28"/>
      <c r="DQ359" s="28"/>
    </row>
    <row r="360" spans="2:121">
      <c r="B360" s="7"/>
      <c r="C360" s="7"/>
      <c r="D360" s="7"/>
      <c r="E360" s="7"/>
      <c r="F360" s="7"/>
      <c r="G360" s="7"/>
      <c r="H360" s="38"/>
      <c r="I360" s="46"/>
      <c r="J360" s="18"/>
      <c r="K360" s="7"/>
      <c r="L360" s="38"/>
      <c r="M360" s="38"/>
      <c r="N360" s="38"/>
      <c r="O360" s="7"/>
      <c r="P360" s="7"/>
      <c r="Q360" s="33"/>
      <c r="R360" s="11"/>
      <c r="S360" s="11"/>
      <c r="T360" s="11" t="s">
        <v>98</v>
      </c>
      <c r="U360" s="12"/>
      <c r="V360" s="11"/>
      <c r="W360" s="13"/>
      <c r="X360" s="9"/>
      <c r="Y360" s="38"/>
      <c r="Z360" s="38"/>
      <c r="AA360" s="38"/>
      <c r="AB360" s="11"/>
      <c r="AC360" s="11"/>
      <c r="AD360" s="7"/>
      <c r="AE360" s="38"/>
      <c r="AF360" s="7"/>
      <c r="AG360" s="46"/>
      <c r="AH360" s="9"/>
      <c r="AI360" s="9"/>
      <c r="AJ360" s="9"/>
      <c r="AK360" s="9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53"/>
      <c r="AZ360" s="46"/>
      <c r="BA360" s="46"/>
      <c r="BB360" s="46"/>
      <c r="BC360" s="46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7"/>
      <c r="BR360" s="28"/>
      <c r="BS360" s="28"/>
      <c r="BT360" s="28"/>
      <c r="BU360" s="28"/>
      <c r="BV360" s="28"/>
      <c r="BW360" s="7"/>
      <c r="BX360" s="28"/>
      <c r="BY360" s="28"/>
      <c r="BZ360" s="28"/>
      <c r="CA360" s="28"/>
      <c r="CB360" s="28"/>
      <c r="CC360" s="7"/>
      <c r="CD360" s="7"/>
      <c r="CE360" s="29"/>
      <c r="CF360" s="18"/>
      <c r="CG360" s="29"/>
      <c r="CH360" s="29"/>
      <c r="CI360" s="29"/>
      <c r="CJ360" s="29"/>
      <c r="CK360" s="28"/>
      <c r="CL360" s="28"/>
      <c r="CM360" s="7"/>
      <c r="CN360" s="7"/>
      <c r="CO360" s="7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7"/>
      <c r="DG360" s="7"/>
      <c r="DH360" s="7"/>
      <c r="DI360" s="7"/>
      <c r="DJ360" s="7"/>
      <c r="DK360" s="28"/>
      <c r="DL360" s="28"/>
      <c r="DM360" s="7"/>
      <c r="DN360" s="29"/>
      <c r="DO360" s="28"/>
      <c r="DP360" s="28"/>
      <c r="DQ360" s="28"/>
    </row>
    <row r="361" spans="2:121">
      <c r="B361" s="7"/>
      <c r="C361" s="7"/>
      <c r="D361" s="7"/>
      <c r="E361" s="7"/>
      <c r="F361" s="7"/>
      <c r="G361" s="7"/>
      <c r="H361" s="38"/>
      <c r="I361" s="46"/>
      <c r="J361" s="18"/>
      <c r="K361" s="7"/>
      <c r="L361" s="38"/>
      <c r="M361" s="38"/>
      <c r="N361" s="38"/>
      <c r="O361" s="7"/>
      <c r="P361" s="7"/>
      <c r="Q361" s="33"/>
      <c r="R361" s="11"/>
      <c r="S361" s="11"/>
      <c r="T361" s="11" t="s">
        <v>98</v>
      </c>
      <c r="U361" s="12"/>
      <c r="V361" s="11"/>
      <c r="W361" s="13"/>
      <c r="X361" s="9"/>
      <c r="Y361" s="38"/>
      <c r="Z361" s="38"/>
      <c r="AA361" s="38"/>
      <c r="AB361" s="11"/>
      <c r="AC361" s="11"/>
      <c r="AD361" s="7"/>
      <c r="AE361" s="38"/>
      <c r="AF361" s="7"/>
      <c r="AG361" s="46"/>
      <c r="AH361" s="9"/>
      <c r="AI361" s="9"/>
      <c r="AJ361" s="9"/>
      <c r="AK361" s="9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53"/>
      <c r="AZ361" s="46"/>
      <c r="BA361" s="46"/>
      <c r="BB361" s="46"/>
      <c r="BC361" s="46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7"/>
      <c r="BR361" s="28"/>
      <c r="BS361" s="28"/>
      <c r="BT361" s="28"/>
      <c r="BU361" s="28"/>
      <c r="BV361" s="28"/>
      <c r="BW361" s="7"/>
      <c r="BX361" s="28"/>
      <c r="BY361" s="28"/>
      <c r="BZ361" s="28"/>
      <c r="CA361" s="28"/>
      <c r="CB361" s="28"/>
      <c r="CC361" s="7"/>
      <c r="CD361" s="7"/>
      <c r="CE361" s="29"/>
      <c r="CF361" s="18"/>
      <c r="CG361" s="29"/>
      <c r="CH361" s="29"/>
      <c r="CI361" s="29"/>
      <c r="CJ361" s="29"/>
      <c r="CK361" s="28"/>
      <c r="CL361" s="28"/>
      <c r="CM361" s="7"/>
      <c r="CN361" s="7"/>
      <c r="CO361" s="7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7"/>
      <c r="DG361" s="7"/>
      <c r="DH361" s="7"/>
      <c r="DI361" s="7"/>
      <c r="DJ361" s="7"/>
      <c r="DK361" s="28"/>
      <c r="DL361" s="28"/>
      <c r="DM361" s="7"/>
      <c r="DN361" s="29"/>
      <c r="DO361" s="28"/>
      <c r="DP361" s="28"/>
      <c r="DQ361" s="28"/>
    </row>
    <row r="362" spans="2:121">
      <c r="B362" s="7"/>
      <c r="C362" s="7"/>
      <c r="D362" s="7"/>
      <c r="E362" s="7"/>
      <c r="F362" s="7"/>
      <c r="G362" s="7"/>
      <c r="H362" s="38"/>
      <c r="I362" s="46"/>
      <c r="J362" s="18"/>
      <c r="K362" s="7"/>
      <c r="L362" s="38"/>
      <c r="M362" s="38"/>
      <c r="N362" s="38"/>
      <c r="O362" s="7"/>
      <c r="P362" s="7"/>
      <c r="Q362" s="33"/>
      <c r="R362" s="11"/>
      <c r="S362" s="11"/>
      <c r="T362" s="11" t="s">
        <v>98</v>
      </c>
      <c r="U362" s="12"/>
      <c r="V362" s="11"/>
      <c r="W362" s="13"/>
      <c r="X362" s="9"/>
      <c r="Y362" s="38"/>
      <c r="Z362" s="38"/>
      <c r="AA362" s="38"/>
      <c r="AB362" s="11"/>
      <c r="AC362" s="11"/>
      <c r="AD362" s="7"/>
      <c r="AE362" s="38"/>
      <c r="AF362" s="7"/>
      <c r="AG362" s="46"/>
      <c r="AH362" s="9"/>
      <c r="AI362" s="9"/>
      <c r="AJ362" s="9"/>
      <c r="AK362" s="9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53"/>
      <c r="AZ362" s="46"/>
      <c r="BA362" s="46"/>
      <c r="BB362" s="46"/>
      <c r="BC362" s="46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7"/>
      <c r="BR362" s="28"/>
      <c r="BS362" s="28"/>
      <c r="BT362" s="28"/>
      <c r="BU362" s="28"/>
      <c r="BV362" s="28"/>
      <c r="BW362" s="7"/>
      <c r="BX362" s="28"/>
      <c r="BY362" s="28"/>
      <c r="BZ362" s="28"/>
      <c r="CA362" s="28"/>
      <c r="CB362" s="28"/>
      <c r="CC362" s="7"/>
      <c r="CD362" s="7"/>
      <c r="CE362" s="29"/>
      <c r="CF362" s="18"/>
      <c r="CG362" s="29"/>
      <c r="CH362" s="29"/>
      <c r="CI362" s="29"/>
      <c r="CJ362" s="29"/>
      <c r="CK362" s="28"/>
      <c r="CL362" s="28"/>
      <c r="CM362" s="7"/>
      <c r="CN362" s="7"/>
      <c r="CO362" s="7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7"/>
      <c r="DG362" s="7"/>
      <c r="DH362" s="7"/>
      <c r="DI362" s="7"/>
      <c r="DJ362" s="7"/>
      <c r="DK362" s="28"/>
      <c r="DL362" s="28"/>
      <c r="DM362" s="7"/>
      <c r="DN362" s="29"/>
      <c r="DO362" s="28"/>
      <c r="DP362" s="28"/>
      <c r="DQ362" s="28"/>
    </row>
    <row r="363" spans="2:121">
      <c r="B363" s="7"/>
      <c r="C363" s="7"/>
      <c r="D363" s="7"/>
      <c r="E363" s="7"/>
      <c r="F363" s="7"/>
      <c r="G363" s="7"/>
      <c r="H363" s="38"/>
      <c r="I363" s="46"/>
      <c r="J363" s="18"/>
      <c r="K363" s="7"/>
      <c r="L363" s="38"/>
      <c r="M363" s="38"/>
      <c r="N363" s="38"/>
      <c r="O363" s="7"/>
      <c r="P363" s="7"/>
      <c r="Q363" s="33"/>
      <c r="R363" s="11"/>
      <c r="S363" s="11"/>
      <c r="T363" s="11" t="s">
        <v>98</v>
      </c>
      <c r="U363" s="12"/>
      <c r="V363" s="11"/>
      <c r="W363" s="13"/>
      <c r="X363" s="9"/>
      <c r="Y363" s="38"/>
      <c r="Z363" s="38"/>
      <c r="AA363" s="38"/>
      <c r="AB363" s="11"/>
      <c r="AC363" s="11"/>
      <c r="AD363" s="7"/>
      <c r="AE363" s="38"/>
      <c r="AF363" s="7"/>
      <c r="AG363" s="46"/>
      <c r="AH363" s="9"/>
      <c r="AI363" s="9"/>
      <c r="AJ363" s="9"/>
      <c r="AK363" s="9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53"/>
      <c r="AZ363" s="46"/>
      <c r="BA363" s="46"/>
      <c r="BB363" s="46"/>
      <c r="BC363" s="46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7"/>
      <c r="BR363" s="28"/>
      <c r="BS363" s="28"/>
      <c r="BT363" s="28"/>
      <c r="BU363" s="28"/>
      <c r="BV363" s="28"/>
      <c r="BW363" s="7"/>
      <c r="BX363" s="28"/>
      <c r="BY363" s="28"/>
      <c r="BZ363" s="28"/>
      <c r="CA363" s="28"/>
      <c r="CB363" s="28"/>
      <c r="CC363" s="7"/>
      <c r="CD363" s="7"/>
      <c r="CE363" s="29"/>
      <c r="CF363" s="18"/>
      <c r="CG363" s="29"/>
      <c r="CH363" s="29"/>
      <c r="CI363" s="29"/>
      <c r="CJ363" s="29"/>
      <c r="CK363" s="28"/>
      <c r="CL363" s="28"/>
      <c r="CM363" s="7"/>
      <c r="CN363" s="7"/>
      <c r="CO363" s="7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7"/>
      <c r="DG363" s="7"/>
      <c r="DH363" s="7"/>
      <c r="DI363" s="7"/>
      <c r="DJ363" s="7"/>
      <c r="DK363" s="28"/>
      <c r="DL363" s="28"/>
      <c r="DM363" s="7"/>
      <c r="DN363" s="29"/>
      <c r="DO363" s="28"/>
      <c r="DP363" s="28"/>
      <c r="DQ363" s="28"/>
    </row>
    <row r="364" spans="2:121">
      <c r="B364" s="7"/>
      <c r="C364" s="7"/>
      <c r="D364" s="7"/>
      <c r="E364" s="7"/>
      <c r="F364" s="7"/>
      <c r="G364" s="7"/>
      <c r="H364" s="38"/>
      <c r="I364" s="46"/>
      <c r="J364" s="18"/>
      <c r="K364" s="7"/>
      <c r="L364" s="38"/>
      <c r="M364" s="38"/>
      <c r="N364" s="38"/>
      <c r="O364" s="7"/>
      <c r="P364" s="7"/>
      <c r="Q364" s="33"/>
      <c r="R364" s="11"/>
      <c r="S364" s="11"/>
      <c r="T364" s="11" t="s">
        <v>98</v>
      </c>
      <c r="U364" s="12"/>
      <c r="V364" s="11"/>
      <c r="W364" s="13"/>
      <c r="X364" s="9"/>
      <c r="Y364" s="38"/>
      <c r="Z364" s="38"/>
      <c r="AA364" s="38"/>
      <c r="AB364" s="11"/>
      <c r="AC364" s="11"/>
      <c r="AD364" s="7"/>
      <c r="AE364" s="38"/>
      <c r="AF364" s="7"/>
      <c r="AG364" s="46"/>
      <c r="AH364" s="9"/>
      <c r="AI364" s="9"/>
      <c r="AJ364" s="9"/>
      <c r="AK364" s="9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53"/>
      <c r="AZ364" s="46"/>
      <c r="BA364" s="46"/>
      <c r="BB364" s="46"/>
      <c r="BC364" s="46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7"/>
      <c r="BR364" s="28"/>
      <c r="BS364" s="28"/>
      <c r="BT364" s="28"/>
      <c r="BU364" s="28"/>
      <c r="BV364" s="28"/>
      <c r="BW364" s="7"/>
      <c r="BX364" s="28"/>
      <c r="BY364" s="28"/>
      <c r="BZ364" s="28"/>
      <c r="CA364" s="28"/>
      <c r="CB364" s="28"/>
      <c r="CC364" s="7"/>
      <c r="CD364" s="7"/>
      <c r="CE364" s="29"/>
      <c r="CF364" s="18"/>
      <c r="CG364" s="29"/>
      <c r="CH364" s="29"/>
      <c r="CI364" s="29"/>
      <c r="CJ364" s="29"/>
      <c r="CK364" s="28"/>
      <c r="CL364" s="28"/>
      <c r="CM364" s="7"/>
      <c r="CN364" s="7"/>
      <c r="CO364" s="7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7"/>
      <c r="DG364" s="7"/>
      <c r="DH364" s="7"/>
      <c r="DI364" s="7"/>
      <c r="DJ364" s="7"/>
      <c r="DK364" s="28"/>
      <c r="DL364" s="28"/>
      <c r="DM364" s="7"/>
      <c r="DN364" s="29"/>
      <c r="DO364" s="28"/>
      <c r="DP364" s="28"/>
      <c r="DQ364" s="28"/>
    </row>
    <row r="365" spans="2:121">
      <c r="B365" s="7"/>
      <c r="C365" s="7"/>
      <c r="D365" s="7"/>
      <c r="E365" s="7"/>
      <c r="F365" s="7"/>
      <c r="G365" s="7"/>
      <c r="H365" s="38"/>
      <c r="I365" s="46"/>
      <c r="J365" s="18"/>
      <c r="K365" s="7"/>
      <c r="L365" s="38"/>
      <c r="M365" s="38"/>
      <c r="N365" s="38"/>
      <c r="O365" s="7"/>
      <c r="P365" s="7"/>
      <c r="Q365" s="33"/>
      <c r="R365" s="11"/>
      <c r="S365" s="11"/>
      <c r="T365" s="11" t="s">
        <v>98</v>
      </c>
      <c r="U365" s="12"/>
      <c r="V365" s="11"/>
      <c r="W365" s="13"/>
      <c r="X365" s="9"/>
      <c r="Y365" s="38"/>
      <c r="Z365" s="38"/>
      <c r="AA365" s="38"/>
      <c r="AB365" s="11"/>
      <c r="AC365" s="11"/>
      <c r="AD365" s="7"/>
      <c r="AE365" s="38"/>
      <c r="AF365" s="7"/>
      <c r="AG365" s="46"/>
      <c r="AH365" s="9"/>
      <c r="AI365" s="9"/>
      <c r="AJ365" s="9"/>
      <c r="AK365" s="9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53"/>
      <c r="AZ365" s="46"/>
      <c r="BA365" s="46"/>
      <c r="BB365" s="46"/>
      <c r="BC365" s="46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7"/>
      <c r="BR365" s="28"/>
      <c r="BS365" s="28"/>
      <c r="BT365" s="28"/>
      <c r="BU365" s="28"/>
      <c r="BV365" s="28"/>
      <c r="BW365" s="7"/>
      <c r="BX365" s="28"/>
      <c r="BY365" s="28"/>
      <c r="BZ365" s="28"/>
      <c r="CA365" s="28"/>
      <c r="CB365" s="28"/>
      <c r="CC365" s="7"/>
      <c r="CD365" s="7"/>
      <c r="CE365" s="29"/>
      <c r="CF365" s="18"/>
      <c r="CG365" s="29"/>
      <c r="CH365" s="29"/>
      <c r="CI365" s="29"/>
      <c r="CJ365" s="29"/>
      <c r="CK365" s="28"/>
      <c r="CL365" s="28"/>
      <c r="CM365" s="7"/>
      <c r="CN365" s="7"/>
      <c r="CO365" s="7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7"/>
      <c r="DG365" s="7"/>
      <c r="DH365" s="7"/>
      <c r="DI365" s="7"/>
      <c r="DJ365" s="7"/>
      <c r="DK365" s="28"/>
      <c r="DL365" s="28"/>
      <c r="DM365" s="7"/>
      <c r="DN365" s="29"/>
      <c r="DO365" s="28"/>
      <c r="DP365" s="28"/>
      <c r="DQ365" s="28"/>
    </row>
    <row r="366" spans="2:121">
      <c r="B366" s="7"/>
      <c r="C366" s="7"/>
      <c r="D366" s="7"/>
      <c r="E366" s="7"/>
      <c r="F366" s="7"/>
      <c r="G366" s="7"/>
      <c r="H366" s="38"/>
      <c r="I366" s="46"/>
      <c r="J366" s="18"/>
      <c r="K366" s="7"/>
      <c r="L366" s="38"/>
      <c r="M366" s="38"/>
      <c r="N366" s="38"/>
      <c r="O366" s="7"/>
      <c r="P366" s="7"/>
      <c r="Q366" s="33"/>
      <c r="R366" s="11"/>
      <c r="S366" s="11"/>
      <c r="T366" s="11" t="s">
        <v>98</v>
      </c>
      <c r="U366" s="12"/>
      <c r="V366" s="11"/>
      <c r="W366" s="13"/>
      <c r="X366" s="9"/>
      <c r="Y366" s="38"/>
      <c r="Z366" s="38"/>
      <c r="AA366" s="38"/>
      <c r="AB366" s="11"/>
      <c r="AC366" s="11"/>
      <c r="AD366" s="7"/>
      <c r="AE366" s="38"/>
      <c r="AF366" s="7"/>
      <c r="AG366" s="46"/>
      <c r="AH366" s="9"/>
      <c r="AI366" s="9"/>
      <c r="AJ366" s="9"/>
      <c r="AK366" s="9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53"/>
      <c r="AZ366" s="46"/>
      <c r="BA366" s="46"/>
      <c r="BB366" s="46"/>
      <c r="BC366" s="46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7"/>
      <c r="BR366" s="28"/>
      <c r="BS366" s="28"/>
      <c r="BT366" s="28"/>
      <c r="BU366" s="28"/>
      <c r="BV366" s="28"/>
      <c r="BW366" s="7"/>
      <c r="BX366" s="28"/>
      <c r="BY366" s="28"/>
      <c r="BZ366" s="28"/>
      <c r="CA366" s="28"/>
      <c r="CB366" s="28"/>
      <c r="CC366" s="7"/>
      <c r="CD366" s="7"/>
      <c r="CE366" s="29"/>
      <c r="CF366" s="18"/>
      <c r="CG366" s="29"/>
      <c r="CH366" s="29"/>
      <c r="CI366" s="29"/>
      <c r="CJ366" s="29"/>
      <c r="CK366" s="28"/>
      <c r="CL366" s="28"/>
      <c r="CM366" s="7"/>
      <c r="CN366" s="7"/>
      <c r="CO366" s="7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7"/>
      <c r="DG366" s="7"/>
      <c r="DH366" s="7"/>
      <c r="DI366" s="7"/>
      <c r="DJ366" s="7"/>
      <c r="DK366" s="28"/>
      <c r="DL366" s="28"/>
      <c r="DM366" s="7"/>
      <c r="DN366" s="29"/>
      <c r="DO366" s="28"/>
      <c r="DP366" s="28"/>
      <c r="DQ366" s="28"/>
    </row>
    <row r="367" spans="2:121">
      <c r="B367" s="7"/>
      <c r="C367" s="7"/>
      <c r="D367" s="7"/>
      <c r="E367" s="7"/>
      <c r="F367" s="7"/>
      <c r="G367" s="7"/>
      <c r="H367" s="38"/>
      <c r="I367" s="46"/>
      <c r="J367" s="18"/>
      <c r="K367" s="7"/>
      <c r="L367" s="38"/>
      <c r="M367" s="38"/>
      <c r="N367" s="38"/>
      <c r="O367" s="7"/>
      <c r="P367" s="7"/>
      <c r="Q367" s="33"/>
      <c r="R367" s="11"/>
      <c r="S367" s="11"/>
      <c r="T367" s="11" t="s">
        <v>98</v>
      </c>
      <c r="U367" s="12"/>
      <c r="V367" s="11"/>
      <c r="W367" s="13"/>
      <c r="X367" s="9"/>
      <c r="Y367" s="38"/>
      <c r="Z367" s="38"/>
      <c r="AA367" s="38"/>
      <c r="AB367" s="11"/>
      <c r="AC367" s="11"/>
      <c r="AD367" s="7"/>
      <c r="AE367" s="38"/>
      <c r="AF367" s="7"/>
      <c r="AG367" s="46"/>
      <c r="AH367" s="9"/>
      <c r="AI367" s="9"/>
      <c r="AJ367" s="9"/>
      <c r="AK367" s="9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53"/>
      <c r="AZ367" s="46"/>
      <c r="BA367" s="46"/>
      <c r="BB367" s="46"/>
      <c r="BC367" s="46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7"/>
      <c r="BR367" s="28"/>
      <c r="BS367" s="28"/>
      <c r="BT367" s="28"/>
      <c r="BU367" s="28"/>
      <c r="BV367" s="28"/>
      <c r="BW367" s="7"/>
      <c r="BX367" s="28"/>
      <c r="BY367" s="28"/>
      <c r="BZ367" s="28"/>
      <c r="CA367" s="28"/>
      <c r="CB367" s="28"/>
      <c r="CC367" s="7"/>
      <c r="CD367" s="7"/>
      <c r="CE367" s="29"/>
      <c r="CF367" s="18"/>
      <c r="CG367" s="29"/>
      <c r="CH367" s="29"/>
      <c r="CI367" s="29"/>
      <c r="CJ367" s="29"/>
      <c r="CK367" s="28"/>
      <c r="CL367" s="28"/>
      <c r="CM367" s="7"/>
      <c r="CN367" s="7"/>
      <c r="CO367" s="7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7"/>
      <c r="DG367" s="7"/>
      <c r="DH367" s="7"/>
      <c r="DI367" s="7"/>
      <c r="DJ367" s="7"/>
      <c r="DK367" s="28"/>
      <c r="DL367" s="28"/>
      <c r="DM367" s="7"/>
      <c r="DN367" s="29"/>
      <c r="DO367" s="28"/>
      <c r="DP367" s="28"/>
      <c r="DQ367" s="28"/>
    </row>
    <row r="368" spans="2:121">
      <c r="B368" s="7"/>
      <c r="C368" s="7"/>
      <c r="D368" s="7"/>
      <c r="E368" s="7"/>
      <c r="F368" s="7"/>
      <c r="G368" s="7"/>
      <c r="H368" s="38"/>
      <c r="I368" s="46"/>
      <c r="J368" s="18"/>
      <c r="K368" s="7"/>
      <c r="L368" s="38"/>
      <c r="M368" s="38"/>
      <c r="N368" s="38"/>
      <c r="O368" s="7"/>
      <c r="P368" s="7"/>
      <c r="Q368" s="33"/>
      <c r="R368" s="11"/>
      <c r="S368" s="11"/>
      <c r="T368" s="11" t="s">
        <v>98</v>
      </c>
      <c r="U368" s="12"/>
      <c r="V368" s="11"/>
      <c r="W368" s="13"/>
      <c r="X368" s="9"/>
      <c r="Y368" s="38"/>
      <c r="Z368" s="38"/>
      <c r="AA368" s="38"/>
      <c r="AB368" s="11"/>
      <c r="AC368" s="11"/>
      <c r="AD368" s="7"/>
      <c r="AE368" s="38"/>
      <c r="AF368" s="7"/>
      <c r="AG368" s="46"/>
      <c r="AH368" s="9"/>
      <c r="AI368" s="9"/>
      <c r="AJ368" s="9"/>
      <c r="AK368" s="9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53"/>
      <c r="AZ368" s="46"/>
      <c r="BA368" s="46"/>
      <c r="BB368" s="46"/>
      <c r="BC368" s="46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7"/>
      <c r="BR368" s="28"/>
      <c r="BS368" s="28"/>
      <c r="BT368" s="28"/>
      <c r="BU368" s="28"/>
      <c r="BV368" s="28"/>
      <c r="BW368" s="7"/>
      <c r="BX368" s="28"/>
      <c r="BY368" s="28"/>
      <c r="BZ368" s="28"/>
      <c r="CA368" s="28"/>
      <c r="CB368" s="28"/>
      <c r="CC368" s="7"/>
      <c r="CD368" s="7"/>
      <c r="CE368" s="29"/>
      <c r="CF368" s="18"/>
      <c r="CG368" s="29"/>
      <c r="CH368" s="29"/>
      <c r="CI368" s="29"/>
      <c r="CJ368" s="29"/>
      <c r="CK368" s="28"/>
      <c r="CL368" s="28"/>
      <c r="CM368" s="7"/>
      <c r="CN368" s="7"/>
      <c r="CO368" s="7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7"/>
      <c r="DG368" s="7"/>
      <c r="DH368" s="7"/>
      <c r="DI368" s="7"/>
      <c r="DJ368" s="7"/>
      <c r="DK368" s="28"/>
      <c r="DL368" s="28"/>
      <c r="DM368" s="7"/>
      <c r="DN368" s="29"/>
      <c r="DO368" s="28"/>
      <c r="DP368" s="28"/>
      <c r="DQ368" s="28"/>
    </row>
    <row r="369" spans="2:121">
      <c r="B369" s="7"/>
      <c r="C369" s="7"/>
      <c r="D369" s="7"/>
      <c r="E369" s="7"/>
      <c r="F369" s="7"/>
      <c r="G369" s="7"/>
      <c r="H369" s="38"/>
      <c r="I369" s="46"/>
      <c r="J369" s="18"/>
      <c r="K369" s="7"/>
      <c r="L369" s="38"/>
      <c r="M369" s="38"/>
      <c r="N369" s="38"/>
      <c r="O369" s="7"/>
      <c r="P369" s="7"/>
      <c r="Q369" s="33"/>
      <c r="R369" s="11"/>
      <c r="S369" s="11"/>
      <c r="T369" s="11" t="s">
        <v>98</v>
      </c>
      <c r="U369" s="12"/>
      <c r="V369" s="11"/>
      <c r="W369" s="13"/>
      <c r="X369" s="9"/>
      <c r="Y369" s="38"/>
      <c r="Z369" s="38"/>
      <c r="AA369" s="38"/>
      <c r="AB369" s="11"/>
      <c r="AC369" s="11"/>
      <c r="AD369" s="7"/>
      <c r="AE369" s="38"/>
      <c r="AF369" s="7"/>
      <c r="AG369" s="46"/>
      <c r="AH369" s="9"/>
      <c r="AI369" s="9"/>
      <c r="AJ369" s="9"/>
      <c r="AK369" s="9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53"/>
      <c r="AZ369" s="46"/>
      <c r="BA369" s="46"/>
      <c r="BB369" s="46"/>
      <c r="BC369" s="46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7"/>
      <c r="BR369" s="28"/>
      <c r="BS369" s="28"/>
      <c r="BT369" s="28"/>
      <c r="BU369" s="28"/>
      <c r="BV369" s="28"/>
      <c r="BW369" s="7"/>
      <c r="BX369" s="28"/>
      <c r="BY369" s="28"/>
      <c r="BZ369" s="28"/>
      <c r="CA369" s="28"/>
      <c r="CB369" s="28"/>
      <c r="CC369" s="7"/>
      <c r="CD369" s="7"/>
      <c r="CE369" s="29"/>
      <c r="CF369" s="18"/>
      <c r="CG369" s="29"/>
      <c r="CH369" s="29"/>
      <c r="CI369" s="29"/>
      <c r="CJ369" s="29"/>
      <c r="CK369" s="28"/>
      <c r="CL369" s="28"/>
      <c r="CM369" s="7"/>
      <c r="CN369" s="7"/>
      <c r="CO369" s="7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7"/>
      <c r="DG369" s="7"/>
      <c r="DH369" s="7"/>
      <c r="DI369" s="7"/>
      <c r="DJ369" s="7"/>
      <c r="DK369" s="28"/>
      <c r="DL369" s="28"/>
      <c r="DM369" s="7"/>
      <c r="DN369" s="29"/>
      <c r="DO369" s="28"/>
      <c r="DP369" s="28"/>
      <c r="DQ369" s="28"/>
    </row>
    <row r="370" spans="2:121">
      <c r="B370" s="7"/>
      <c r="C370" s="7"/>
      <c r="D370" s="7"/>
      <c r="E370" s="7"/>
      <c r="F370" s="7"/>
      <c r="G370" s="7"/>
      <c r="H370" s="38"/>
      <c r="I370" s="46"/>
      <c r="J370" s="18"/>
      <c r="K370" s="7"/>
      <c r="L370" s="38"/>
      <c r="M370" s="38"/>
      <c r="N370" s="38"/>
      <c r="O370" s="7"/>
      <c r="P370" s="7"/>
      <c r="Q370" s="33"/>
      <c r="R370" s="11"/>
      <c r="S370" s="11"/>
      <c r="T370" s="11" t="s">
        <v>98</v>
      </c>
      <c r="U370" s="12"/>
      <c r="V370" s="11"/>
      <c r="W370" s="13"/>
      <c r="X370" s="9"/>
      <c r="Y370" s="38"/>
      <c r="Z370" s="38"/>
      <c r="AA370" s="38"/>
      <c r="AB370" s="11"/>
      <c r="AC370" s="11"/>
      <c r="AD370" s="7"/>
      <c r="AE370" s="38"/>
      <c r="AF370" s="7"/>
      <c r="AG370" s="46"/>
      <c r="AH370" s="9"/>
      <c r="AI370" s="9"/>
      <c r="AJ370" s="9"/>
      <c r="AK370" s="9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53"/>
      <c r="AZ370" s="46"/>
      <c r="BA370" s="46"/>
      <c r="BB370" s="46"/>
      <c r="BC370" s="46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7"/>
      <c r="BR370" s="28"/>
      <c r="BS370" s="28"/>
      <c r="BT370" s="28"/>
      <c r="BU370" s="28"/>
      <c r="BV370" s="28"/>
      <c r="BW370" s="7"/>
      <c r="BX370" s="28"/>
      <c r="BY370" s="28"/>
      <c r="BZ370" s="28"/>
      <c r="CA370" s="28"/>
      <c r="CB370" s="28"/>
      <c r="CC370" s="7"/>
      <c r="CD370" s="7"/>
      <c r="CE370" s="29"/>
      <c r="CF370" s="18"/>
      <c r="CG370" s="29"/>
      <c r="CH370" s="29"/>
      <c r="CI370" s="29"/>
      <c r="CJ370" s="29"/>
      <c r="CK370" s="28"/>
      <c r="CL370" s="28"/>
      <c r="CM370" s="7"/>
      <c r="CN370" s="7"/>
      <c r="CO370" s="7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7"/>
      <c r="DG370" s="7"/>
      <c r="DH370" s="7"/>
      <c r="DI370" s="7"/>
      <c r="DJ370" s="7"/>
      <c r="DK370" s="28"/>
      <c r="DL370" s="28"/>
      <c r="DM370" s="7"/>
      <c r="DN370" s="29"/>
      <c r="DO370" s="28"/>
      <c r="DP370" s="28"/>
      <c r="DQ370" s="28"/>
    </row>
    <row r="371" spans="2:121">
      <c r="B371" s="7"/>
      <c r="C371" s="7"/>
      <c r="D371" s="7"/>
      <c r="E371" s="7"/>
      <c r="F371" s="7"/>
      <c r="G371" s="7"/>
      <c r="H371" s="38"/>
      <c r="I371" s="46"/>
      <c r="J371" s="18"/>
      <c r="K371" s="7"/>
      <c r="L371" s="38"/>
      <c r="M371" s="38"/>
      <c r="N371" s="38"/>
      <c r="O371" s="7"/>
      <c r="P371" s="7"/>
      <c r="Q371" s="33"/>
      <c r="R371" s="11"/>
      <c r="S371" s="11"/>
      <c r="T371" s="11" t="s">
        <v>98</v>
      </c>
      <c r="U371" s="12"/>
      <c r="V371" s="11"/>
      <c r="W371" s="13"/>
      <c r="X371" s="9"/>
      <c r="Y371" s="38"/>
      <c r="Z371" s="38"/>
      <c r="AA371" s="38"/>
      <c r="AB371" s="11"/>
      <c r="AC371" s="11"/>
      <c r="AD371" s="7"/>
      <c r="AE371" s="38"/>
      <c r="AF371" s="7"/>
      <c r="AG371" s="46"/>
      <c r="AH371" s="9"/>
      <c r="AI371" s="9"/>
      <c r="AJ371" s="9"/>
      <c r="AK371" s="9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53"/>
      <c r="AZ371" s="46"/>
      <c r="BA371" s="46"/>
      <c r="BB371" s="46"/>
      <c r="BC371" s="46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7"/>
      <c r="BR371" s="28"/>
      <c r="BS371" s="28"/>
      <c r="BT371" s="28"/>
      <c r="BU371" s="28"/>
      <c r="BV371" s="28"/>
      <c r="BW371" s="7"/>
      <c r="BX371" s="28"/>
      <c r="BY371" s="28"/>
      <c r="BZ371" s="28"/>
      <c r="CA371" s="28"/>
      <c r="CB371" s="28"/>
      <c r="CC371" s="7"/>
      <c r="CD371" s="7"/>
      <c r="CE371" s="29"/>
      <c r="CF371" s="18"/>
      <c r="CG371" s="29"/>
      <c r="CH371" s="29"/>
      <c r="CI371" s="29"/>
      <c r="CJ371" s="29"/>
      <c r="CK371" s="28"/>
      <c r="CL371" s="28"/>
      <c r="CM371" s="7"/>
      <c r="CN371" s="7"/>
      <c r="CO371" s="7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7"/>
      <c r="DG371" s="7"/>
      <c r="DH371" s="7"/>
      <c r="DI371" s="7"/>
      <c r="DJ371" s="7"/>
      <c r="DK371" s="28"/>
      <c r="DL371" s="28"/>
      <c r="DM371" s="7"/>
      <c r="DN371" s="29"/>
      <c r="DO371" s="28"/>
      <c r="DP371" s="28"/>
      <c r="DQ371" s="28"/>
    </row>
    <row r="372" spans="2:121">
      <c r="B372" s="7"/>
      <c r="C372" s="7"/>
      <c r="D372" s="7"/>
      <c r="E372" s="7"/>
      <c r="F372" s="7"/>
      <c r="G372" s="7"/>
      <c r="H372" s="38"/>
      <c r="I372" s="46"/>
      <c r="J372" s="18"/>
      <c r="K372" s="7"/>
      <c r="L372" s="38"/>
      <c r="M372" s="38"/>
      <c r="N372" s="38"/>
      <c r="O372" s="7"/>
      <c r="P372" s="7"/>
      <c r="Q372" s="33"/>
      <c r="R372" s="11"/>
      <c r="S372" s="11"/>
      <c r="T372" s="11" t="s">
        <v>98</v>
      </c>
      <c r="U372" s="12"/>
      <c r="V372" s="11"/>
      <c r="W372" s="13"/>
      <c r="X372" s="9"/>
      <c r="Y372" s="38"/>
      <c r="Z372" s="38"/>
      <c r="AA372" s="38"/>
      <c r="AB372" s="11"/>
      <c r="AC372" s="11"/>
      <c r="AD372" s="7"/>
      <c r="AE372" s="38"/>
      <c r="AF372" s="7"/>
      <c r="AG372" s="46"/>
      <c r="AH372" s="9"/>
      <c r="AI372" s="9"/>
      <c r="AJ372" s="9"/>
      <c r="AK372" s="9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53"/>
      <c r="AZ372" s="46"/>
      <c r="BA372" s="46"/>
      <c r="BB372" s="46"/>
      <c r="BC372" s="46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7"/>
      <c r="BR372" s="28"/>
      <c r="BS372" s="28"/>
      <c r="BT372" s="28"/>
      <c r="BU372" s="28"/>
      <c r="BV372" s="28"/>
      <c r="BW372" s="7"/>
      <c r="BX372" s="28"/>
      <c r="BY372" s="28"/>
      <c r="BZ372" s="28"/>
      <c r="CA372" s="28"/>
      <c r="CB372" s="28"/>
      <c r="CC372" s="7"/>
      <c r="CD372" s="7"/>
      <c r="CE372" s="29"/>
      <c r="CF372" s="18"/>
      <c r="CG372" s="29"/>
      <c r="CH372" s="29"/>
      <c r="CI372" s="29"/>
      <c r="CJ372" s="29"/>
      <c r="CK372" s="28"/>
      <c r="CL372" s="28"/>
      <c r="CM372" s="7"/>
      <c r="CN372" s="7"/>
      <c r="CO372" s="7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7"/>
      <c r="DG372" s="7"/>
      <c r="DH372" s="7"/>
      <c r="DI372" s="7"/>
      <c r="DJ372" s="7"/>
      <c r="DK372" s="28"/>
      <c r="DL372" s="28"/>
      <c r="DM372" s="7"/>
      <c r="DN372" s="29"/>
      <c r="DO372" s="28"/>
      <c r="DP372" s="28"/>
      <c r="DQ372" s="28"/>
    </row>
    <row r="373" spans="2:121">
      <c r="B373" s="7"/>
      <c r="C373" s="7"/>
      <c r="D373" s="7"/>
      <c r="E373" s="7"/>
      <c r="F373" s="7"/>
      <c r="G373" s="7"/>
      <c r="H373" s="38"/>
      <c r="I373" s="46"/>
      <c r="J373" s="18"/>
      <c r="K373" s="7"/>
      <c r="L373" s="38"/>
      <c r="M373" s="38"/>
      <c r="N373" s="38"/>
      <c r="O373" s="7"/>
      <c r="P373" s="7"/>
      <c r="Q373" s="33"/>
      <c r="R373" s="11"/>
      <c r="S373" s="11"/>
      <c r="T373" s="11" t="s">
        <v>98</v>
      </c>
      <c r="U373" s="12"/>
      <c r="V373" s="11"/>
      <c r="W373" s="13"/>
      <c r="X373" s="9"/>
      <c r="Y373" s="38"/>
      <c r="Z373" s="38"/>
      <c r="AA373" s="38"/>
      <c r="AB373" s="11"/>
      <c r="AC373" s="11"/>
      <c r="AD373" s="7"/>
      <c r="AE373" s="38"/>
      <c r="AF373" s="7"/>
      <c r="AG373" s="46"/>
      <c r="AH373" s="9"/>
      <c r="AI373" s="9"/>
      <c r="AJ373" s="9"/>
      <c r="AK373" s="9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53"/>
      <c r="AZ373" s="46"/>
      <c r="BA373" s="46"/>
      <c r="BB373" s="46"/>
      <c r="BC373" s="46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7"/>
      <c r="BR373" s="28"/>
      <c r="BS373" s="28"/>
      <c r="BT373" s="28"/>
      <c r="BU373" s="28"/>
      <c r="BV373" s="28"/>
      <c r="BW373" s="7"/>
      <c r="BX373" s="28"/>
      <c r="BY373" s="28"/>
      <c r="BZ373" s="28"/>
      <c r="CA373" s="28"/>
      <c r="CB373" s="28"/>
      <c r="CC373" s="7"/>
      <c r="CD373" s="7"/>
      <c r="CE373" s="29"/>
      <c r="CF373" s="18"/>
      <c r="CG373" s="29"/>
      <c r="CH373" s="29"/>
      <c r="CI373" s="29"/>
      <c r="CJ373" s="29"/>
      <c r="CK373" s="28"/>
      <c r="CL373" s="28"/>
      <c r="CM373" s="7"/>
      <c r="CN373" s="7"/>
      <c r="CO373" s="7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7"/>
      <c r="DG373" s="7"/>
      <c r="DH373" s="7"/>
      <c r="DI373" s="7"/>
      <c r="DJ373" s="7"/>
      <c r="DK373" s="28"/>
      <c r="DL373" s="28"/>
      <c r="DM373" s="7"/>
      <c r="DN373" s="29"/>
      <c r="DO373" s="28"/>
      <c r="DP373" s="28"/>
      <c r="DQ373" s="28"/>
    </row>
    <row r="374" spans="2:121">
      <c r="B374" s="7"/>
      <c r="C374" s="7"/>
      <c r="D374" s="7"/>
      <c r="E374" s="7"/>
      <c r="F374" s="7"/>
      <c r="G374" s="7"/>
      <c r="H374" s="38"/>
      <c r="I374" s="46"/>
      <c r="J374" s="18"/>
      <c r="K374" s="7"/>
      <c r="L374" s="38"/>
      <c r="M374" s="38"/>
      <c r="N374" s="38"/>
      <c r="O374" s="7"/>
      <c r="P374" s="7"/>
      <c r="Q374" s="33"/>
      <c r="R374" s="11"/>
      <c r="S374" s="11"/>
      <c r="T374" s="11" t="s">
        <v>98</v>
      </c>
      <c r="U374" s="12"/>
      <c r="V374" s="11"/>
      <c r="W374" s="13"/>
      <c r="X374" s="9"/>
      <c r="Y374" s="38"/>
      <c r="Z374" s="38"/>
      <c r="AA374" s="38"/>
      <c r="AB374" s="11"/>
      <c r="AC374" s="11"/>
      <c r="AD374" s="7"/>
      <c r="AE374" s="38"/>
      <c r="AF374" s="7"/>
      <c r="AG374" s="46"/>
      <c r="AH374" s="9"/>
      <c r="AI374" s="9"/>
      <c r="AJ374" s="9"/>
      <c r="AK374" s="9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53"/>
      <c r="AZ374" s="46"/>
      <c r="BA374" s="46"/>
      <c r="BB374" s="46"/>
      <c r="BC374" s="46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7"/>
      <c r="BR374" s="28"/>
      <c r="BS374" s="28"/>
      <c r="BT374" s="28"/>
      <c r="BU374" s="28"/>
      <c r="BV374" s="28"/>
      <c r="BW374" s="7"/>
      <c r="BX374" s="28"/>
      <c r="BY374" s="28"/>
      <c r="BZ374" s="28"/>
      <c r="CA374" s="28"/>
      <c r="CB374" s="28"/>
      <c r="CC374" s="7"/>
      <c r="CD374" s="7"/>
      <c r="CE374" s="29"/>
      <c r="CF374" s="18"/>
      <c r="CG374" s="29"/>
      <c r="CH374" s="29"/>
      <c r="CI374" s="29"/>
      <c r="CJ374" s="29"/>
      <c r="CK374" s="28"/>
      <c r="CL374" s="28"/>
      <c r="CM374" s="7"/>
      <c r="CN374" s="7"/>
      <c r="CO374" s="7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7"/>
      <c r="DG374" s="7"/>
      <c r="DH374" s="7"/>
      <c r="DI374" s="7"/>
      <c r="DJ374" s="7"/>
      <c r="DK374" s="28"/>
      <c r="DL374" s="28"/>
      <c r="DM374" s="7"/>
      <c r="DN374" s="29"/>
      <c r="DO374" s="28"/>
      <c r="DP374" s="28"/>
      <c r="DQ374" s="28"/>
    </row>
    <row r="375" spans="2:121">
      <c r="B375" s="7"/>
      <c r="C375" s="7"/>
      <c r="D375" s="7"/>
      <c r="E375" s="7"/>
      <c r="F375" s="7"/>
      <c r="G375" s="7"/>
      <c r="H375" s="38"/>
      <c r="I375" s="46"/>
      <c r="J375" s="18"/>
      <c r="K375" s="7"/>
      <c r="L375" s="38"/>
      <c r="M375" s="38"/>
      <c r="N375" s="38"/>
      <c r="O375" s="7"/>
      <c r="P375" s="7"/>
      <c r="Q375" s="33"/>
      <c r="R375" s="11"/>
      <c r="S375" s="11"/>
      <c r="T375" s="11" t="s">
        <v>98</v>
      </c>
      <c r="U375" s="12"/>
      <c r="V375" s="11"/>
      <c r="W375" s="13"/>
      <c r="X375" s="9"/>
      <c r="Y375" s="38"/>
      <c r="Z375" s="38"/>
      <c r="AA375" s="38"/>
      <c r="AB375" s="11"/>
      <c r="AC375" s="11"/>
      <c r="AD375" s="7"/>
      <c r="AE375" s="38"/>
      <c r="AF375" s="7"/>
      <c r="AG375" s="46"/>
      <c r="AH375" s="9"/>
      <c r="AI375" s="9"/>
      <c r="AJ375" s="9"/>
      <c r="AK375" s="9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53"/>
      <c r="AZ375" s="46"/>
      <c r="BA375" s="46"/>
      <c r="BB375" s="46"/>
      <c r="BC375" s="46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7"/>
      <c r="BR375" s="28"/>
      <c r="BS375" s="28"/>
      <c r="BT375" s="28"/>
      <c r="BU375" s="28"/>
      <c r="BV375" s="28"/>
      <c r="BW375" s="7"/>
      <c r="BX375" s="28"/>
      <c r="BY375" s="28"/>
      <c r="BZ375" s="28"/>
      <c r="CA375" s="28"/>
      <c r="CB375" s="28"/>
      <c r="CC375" s="7"/>
      <c r="CD375" s="7"/>
      <c r="CE375" s="29"/>
      <c r="CF375" s="18"/>
      <c r="CG375" s="29"/>
      <c r="CH375" s="29"/>
      <c r="CI375" s="29"/>
      <c r="CJ375" s="29"/>
      <c r="CK375" s="28"/>
      <c r="CL375" s="28"/>
      <c r="CM375" s="7"/>
      <c r="CN375" s="7"/>
      <c r="CO375" s="7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7"/>
      <c r="DG375" s="7"/>
      <c r="DH375" s="7"/>
      <c r="DI375" s="7"/>
      <c r="DJ375" s="7"/>
      <c r="DK375" s="28"/>
      <c r="DL375" s="28"/>
      <c r="DM375" s="7"/>
      <c r="DN375" s="29"/>
      <c r="DO375" s="28"/>
      <c r="DP375" s="28"/>
      <c r="DQ375" s="28"/>
    </row>
    <row r="376" spans="2:121">
      <c r="B376" s="7"/>
      <c r="C376" s="7"/>
      <c r="D376" s="7"/>
      <c r="E376" s="7"/>
      <c r="F376" s="7"/>
      <c r="G376" s="7"/>
      <c r="H376" s="38"/>
      <c r="I376" s="46"/>
      <c r="J376" s="18"/>
      <c r="K376" s="7"/>
      <c r="L376" s="38"/>
      <c r="M376" s="38"/>
      <c r="N376" s="38"/>
      <c r="O376" s="7"/>
      <c r="P376" s="7"/>
      <c r="Q376" s="33"/>
      <c r="R376" s="11"/>
      <c r="S376" s="11"/>
      <c r="T376" s="11" t="s">
        <v>98</v>
      </c>
      <c r="U376" s="12"/>
      <c r="V376" s="11"/>
      <c r="W376" s="13"/>
      <c r="X376" s="9"/>
      <c r="Y376" s="38"/>
      <c r="Z376" s="38"/>
      <c r="AA376" s="38"/>
      <c r="AB376" s="11"/>
      <c r="AC376" s="11"/>
      <c r="AD376" s="7"/>
      <c r="AE376" s="38"/>
      <c r="AF376" s="7"/>
      <c r="AG376" s="46"/>
      <c r="AH376" s="9"/>
      <c r="AI376" s="9"/>
      <c r="AJ376" s="9"/>
      <c r="AK376" s="9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53"/>
      <c r="AZ376" s="46"/>
      <c r="BA376" s="46"/>
      <c r="BB376" s="46"/>
      <c r="BC376" s="46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7"/>
      <c r="BR376" s="28"/>
      <c r="BS376" s="28"/>
      <c r="BT376" s="28"/>
      <c r="BU376" s="28"/>
      <c r="BV376" s="28"/>
      <c r="BW376" s="7"/>
      <c r="BX376" s="28"/>
      <c r="BY376" s="28"/>
      <c r="BZ376" s="28"/>
      <c r="CA376" s="28"/>
      <c r="CB376" s="28"/>
      <c r="CC376" s="7"/>
      <c r="CD376" s="7"/>
      <c r="CE376" s="29"/>
      <c r="CF376" s="18"/>
      <c r="CG376" s="29"/>
      <c r="CH376" s="29"/>
      <c r="CI376" s="29"/>
      <c r="CJ376" s="29"/>
      <c r="CK376" s="28"/>
      <c r="CL376" s="28"/>
      <c r="CM376" s="7"/>
      <c r="CN376" s="7"/>
      <c r="CO376" s="7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7"/>
      <c r="DG376" s="7"/>
      <c r="DH376" s="7"/>
      <c r="DI376" s="7"/>
      <c r="DJ376" s="7"/>
      <c r="DK376" s="28"/>
      <c r="DL376" s="28"/>
      <c r="DM376" s="7"/>
      <c r="DN376" s="29"/>
      <c r="DO376" s="28"/>
      <c r="DP376" s="28"/>
      <c r="DQ376" s="28"/>
    </row>
    <row r="377" spans="2:121">
      <c r="B377" s="7"/>
      <c r="C377" s="7"/>
      <c r="D377" s="7"/>
      <c r="E377" s="7"/>
      <c r="F377" s="7"/>
      <c r="G377" s="7"/>
      <c r="H377" s="38"/>
      <c r="I377" s="46"/>
      <c r="J377" s="18"/>
      <c r="K377" s="7"/>
      <c r="L377" s="38"/>
      <c r="M377" s="38"/>
      <c r="N377" s="38"/>
      <c r="O377" s="7"/>
      <c r="P377" s="7"/>
      <c r="Q377" s="33"/>
      <c r="R377" s="11"/>
      <c r="S377" s="11"/>
      <c r="T377" s="11" t="s">
        <v>98</v>
      </c>
      <c r="U377" s="12"/>
      <c r="V377" s="11"/>
      <c r="W377" s="13"/>
      <c r="X377" s="9"/>
      <c r="Y377" s="38"/>
      <c r="Z377" s="38"/>
      <c r="AA377" s="38"/>
      <c r="AB377" s="11"/>
      <c r="AC377" s="11"/>
      <c r="AD377" s="7"/>
      <c r="AE377" s="38"/>
      <c r="AF377" s="7"/>
      <c r="AG377" s="46"/>
      <c r="AH377" s="9"/>
      <c r="AI377" s="9"/>
      <c r="AJ377" s="9"/>
      <c r="AK377" s="9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53"/>
      <c r="AZ377" s="46"/>
      <c r="BA377" s="46"/>
      <c r="BB377" s="46"/>
      <c r="BC377" s="46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7"/>
      <c r="BR377" s="28"/>
      <c r="BS377" s="28"/>
      <c r="BT377" s="28"/>
      <c r="BU377" s="28"/>
      <c r="BV377" s="28"/>
      <c r="BW377" s="7"/>
      <c r="BX377" s="28"/>
      <c r="BY377" s="28"/>
      <c r="BZ377" s="28"/>
      <c r="CA377" s="28"/>
      <c r="CB377" s="28"/>
      <c r="CC377" s="7"/>
      <c r="CD377" s="7"/>
      <c r="CE377" s="29"/>
      <c r="CF377" s="18"/>
      <c r="CG377" s="29"/>
      <c r="CH377" s="29"/>
      <c r="CI377" s="29"/>
      <c r="CJ377" s="29"/>
      <c r="CK377" s="28"/>
      <c r="CL377" s="28"/>
      <c r="CM377" s="7"/>
      <c r="CN377" s="7"/>
      <c r="CO377" s="7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7"/>
      <c r="DG377" s="7"/>
      <c r="DH377" s="7"/>
      <c r="DI377" s="7"/>
      <c r="DJ377" s="7"/>
      <c r="DK377" s="28"/>
      <c r="DL377" s="28"/>
      <c r="DM377" s="7"/>
      <c r="DN377" s="29"/>
      <c r="DO377" s="28"/>
      <c r="DP377" s="28"/>
      <c r="DQ377" s="28"/>
    </row>
    <row r="378" spans="2:121">
      <c r="B378" s="7"/>
      <c r="C378" s="7"/>
      <c r="D378" s="7"/>
      <c r="E378" s="7"/>
      <c r="F378" s="7"/>
      <c r="G378" s="7"/>
      <c r="H378" s="38"/>
      <c r="I378" s="46"/>
      <c r="J378" s="18"/>
      <c r="K378" s="7"/>
      <c r="L378" s="38"/>
      <c r="M378" s="38"/>
      <c r="N378" s="38"/>
      <c r="O378" s="7"/>
      <c r="P378" s="7"/>
      <c r="Q378" s="33"/>
      <c r="R378" s="11"/>
      <c r="S378" s="11"/>
      <c r="T378" s="11" t="s">
        <v>98</v>
      </c>
      <c r="U378" s="12"/>
      <c r="V378" s="11"/>
      <c r="W378" s="13"/>
      <c r="X378" s="9"/>
      <c r="Y378" s="38"/>
      <c r="Z378" s="38"/>
      <c r="AA378" s="38"/>
      <c r="AB378" s="11"/>
      <c r="AC378" s="11"/>
      <c r="AD378" s="7"/>
      <c r="AE378" s="38"/>
      <c r="AF378" s="7"/>
      <c r="AG378" s="46"/>
      <c r="AH378" s="9"/>
      <c r="AI378" s="9"/>
      <c r="AJ378" s="9"/>
      <c r="AK378" s="9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53"/>
      <c r="AZ378" s="46"/>
      <c r="BA378" s="46"/>
      <c r="BB378" s="46"/>
      <c r="BC378" s="46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7"/>
      <c r="BR378" s="28"/>
      <c r="BS378" s="28"/>
      <c r="BT378" s="28"/>
      <c r="BU378" s="28"/>
      <c r="BV378" s="28"/>
      <c r="BW378" s="7"/>
      <c r="BX378" s="28"/>
      <c r="BY378" s="28"/>
      <c r="BZ378" s="28"/>
      <c r="CA378" s="28"/>
      <c r="CB378" s="28"/>
      <c r="CC378" s="7"/>
      <c r="CD378" s="7"/>
      <c r="CE378" s="29"/>
      <c r="CF378" s="18"/>
      <c r="CG378" s="29"/>
      <c r="CH378" s="29"/>
      <c r="CI378" s="29"/>
      <c r="CJ378" s="29"/>
      <c r="CK378" s="28"/>
      <c r="CL378" s="28"/>
      <c r="CM378" s="7"/>
      <c r="CN378" s="7"/>
      <c r="CO378" s="7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7"/>
      <c r="DG378" s="7"/>
      <c r="DH378" s="7"/>
      <c r="DI378" s="7"/>
      <c r="DJ378" s="7"/>
      <c r="DK378" s="28"/>
      <c r="DL378" s="28"/>
      <c r="DM378" s="7"/>
      <c r="DN378" s="29"/>
      <c r="DO378" s="28"/>
      <c r="DP378" s="28"/>
      <c r="DQ378" s="28"/>
    </row>
    <row r="379" spans="2:121">
      <c r="B379" s="7"/>
      <c r="C379" s="7"/>
      <c r="D379" s="7"/>
      <c r="E379" s="7"/>
      <c r="F379" s="7"/>
      <c r="G379" s="7"/>
      <c r="H379" s="38"/>
      <c r="I379" s="46"/>
      <c r="J379" s="18"/>
      <c r="K379" s="7"/>
      <c r="L379" s="38"/>
      <c r="M379" s="38"/>
      <c r="N379" s="38"/>
      <c r="O379" s="7"/>
      <c r="P379" s="7"/>
      <c r="Q379" s="33"/>
      <c r="R379" s="11"/>
      <c r="S379" s="11"/>
      <c r="T379" s="11" t="s">
        <v>98</v>
      </c>
      <c r="U379" s="12"/>
      <c r="V379" s="11"/>
      <c r="W379" s="13"/>
      <c r="X379" s="9"/>
      <c r="Y379" s="38"/>
      <c r="Z379" s="38"/>
      <c r="AA379" s="38"/>
      <c r="AB379" s="11"/>
      <c r="AC379" s="11"/>
      <c r="AD379" s="7"/>
      <c r="AE379" s="38"/>
      <c r="AF379" s="7"/>
      <c r="AG379" s="46"/>
      <c r="AH379" s="9"/>
      <c r="AI379" s="9"/>
      <c r="AJ379" s="9"/>
      <c r="AK379" s="9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53"/>
      <c r="AZ379" s="46"/>
      <c r="BA379" s="46"/>
      <c r="BB379" s="46"/>
      <c r="BC379" s="46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7"/>
      <c r="BR379" s="28"/>
      <c r="BS379" s="28"/>
      <c r="BT379" s="28"/>
      <c r="BU379" s="28"/>
      <c r="BV379" s="28"/>
      <c r="BW379" s="7"/>
      <c r="BX379" s="28"/>
      <c r="BY379" s="28"/>
      <c r="BZ379" s="28"/>
      <c r="CA379" s="28"/>
      <c r="CB379" s="28"/>
      <c r="CC379" s="7"/>
      <c r="CD379" s="7"/>
      <c r="CE379" s="29"/>
      <c r="CF379" s="18"/>
      <c r="CG379" s="29"/>
      <c r="CH379" s="29"/>
      <c r="CI379" s="29"/>
      <c r="CJ379" s="29"/>
      <c r="CK379" s="28"/>
      <c r="CL379" s="28"/>
      <c r="CM379" s="7"/>
      <c r="CN379" s="7"/>
      <c r="CO379" s="7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7"/>
      <c r="DG379" s="7"/>
      <c r="DH379" s="7"/>
      <c r="DI379" s="7"/>
      <c r="DJ379" s="7"/>
      <c r="DK379" s="28"/>
      <c r="DL379" s="28"/>
      <c r="DM379" s="7"/>
      <c r="DN379" s="29"/>
      <c r="DO379" s="28"/>
      <c r="DP379" s="28"/>
      <c r="DQ379" s="28"/>
    </row>
    <row r="380" spans="2:121">
      <c r="B380" s="7"/>
      <c r="C380" s="7"/>
      <c r="D380" s="7"/>
      <c r="E380" s="7"/>
      <c r="F380" s="7"/>
      <c r="G380" s="7"/>
      <c r="H380" s="38"/>
      <c r="I380" s="46"/>
      <c r="J380" s="18"/>
      <c r="K380" s="7"/>
      <c r="L380" s="38"/>
      <c r="M380" s="38"/>
      <c r="N380" s="38"/>
      <c r="O380" s="7"/>
      <c r="P380" s="7"/>
      <c r="Q380" s="33"/>
      <c r="R380" s="11"/>
      <c r="S380" s="11"/>
      <c r="T380" s="11" t="s">
        <v>98</v>
      </c>
      <c r="U380" s="12"/>
      <c r="V380" s="11"/>
      <c r="W380" s="13"/>
      <c r="X380" s="9"/>
      <c r="Y380" s="38"/>
      <c r="Z380" s="38"/>
      <c r="AA380" s="38"/>
      <c r="AB380" s="11"/>
      <c r="AC380" s="11"/>
      <c r="AD380" s="7"/>
      <c r="AE380" s="38"/>
      <c r="AF380" s="7"/>
      <c r="AG380" s="46"/>
      <c r="AH380" s="9"/>
      <c r="AI380" s="9"/>
      <c r="AJ380" s="9"/>
      <c r="AK380" s="9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53"/>
      <c r="AZ380" s="46"/>
      <c r="BA380" s="46"/>
      <c r="BB380" s="46"/>
      <c r="BC380" s="46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7"/>
      <c r="BR380" s="28"/>
      <c r="BS380" s="28"/>
      <c r="BT380" s="28"/>
      <c r="BU380" s="28"/>
      <c r="BV380" s="28"/>
      <c r="BW380" s="7"/>
      <c r="BX380" s="28"/>
      <c r="BY380" s="28"/>
      <c r="BZ380" s="28"/>
      <c r="CA380" s="28"/>
      <c r="CB380" s="28"/>
      <c r="CC380" s="7"/>
      <c r="CD380" s="7"/>
      <c r="CE380" s="29"/>
      <c r="CF380" s="18"/>
      <c r="CG380" s="29"/>
      <c r="CH380" s="29"/>
      <c r="CI380" s="29"/>
      <c r="CJ380" s="29"/>
      <c r="CK380" s="28"/>
      <c r="CL380" s="28"/>
      <c r="CM380" s="7"/>
      <c r="CN380" s="7"/>
      <c r="CO380" s="7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7"/>
      <c r="DG380" s="7"/>
      <c r="DH380" s="7"/>
      <c r="DI380" s="7"/>
      <c r="DJ380" s="7"/>
      <c r="DK380" s="28"/>
      <c r="DL380" s="28"/>
      <c r="DM380" s="7"/>
      <c r="DN380" s="29"/>
      <c r="DO380" s="28"/>
      <c r="DP380" s="28"/>
      <c r="DQ380" s="28"/>
    </row>
    <row r="381" spans="2:121">
      <c r="B381" s="7"/>
      <c r="C381" s="7"/>
      <c r="D381" s="7"/>
      <c r="E381" s="7"/>
      <c r="F381" s="7"/>
      <c r="G381" s="7"/>
      <c r="H381" s="38"/>
      <c r="I381" s="46"/>
      <c r="J381" s="18"/>
      <c r="K381" s="7"/>
      <c r="L381" s="38"/>
      <c r="M381" s="38"/>
      <c r="N381" s="38"/>
      <c r="O381" s="7"/>
      <c r="P381" s="7"/>
      <c r="Q381" s="33"/>
      <c r="R381" s="11"/>
      <c r="S381" s="11"/>
      <c r="T381" s="11" t="s">
        <v>98</v>
      </c>
      <c r="U381" s="12"/>
      <c r="V381" s="11"/>
      <c r="W381" s="13"/>
      <c r="X381" s="9"/>
      <c r="Y381" s="38"/>
      <c r="Z381" s="38"/>
      <c r="AA381" s="38"/>
      <c r="AB381" s="11"/>
      <c r="AC381" s="11"/>
      <c r="AD381" s="7"/>
      <c r="AE381" s="38"/>
      <c r="AF381" s="7"/>
      <c r="AG381" s="46"/>
      <c r="AH381" s="9"/>
      <c r="AI381" s="9"/>
      <c r="AJ381" s="9"/>
      <c r="AK381" s="9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53"/>
      <c r="AZ381" s="46"/>
      <c r="BA381" s="46"/>
      <c r="BB381" s="46"/>
      <c r="BC381" s="46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7"/>
      <c r="BR381" s="28"/>
      <c r="BS381" s="28"/>
      <c r="BT381" s="28"/>
      <c r="BU381" s="28"/>
      <c r="BV381" s="28"/>
      <c r="BW381" s="7"/>
      <c r="BX381" s="28"/>
      <c r="BY381" s="28"/>
      <c r="BZ381" s="28"/>
      <c r="CA381" s="28"/>
      <c r="CB381" s="28"/>
      <c r="CC381" s="7"/>
      <c r="CD381" s="7"/>
      <c r="CE381" s="29"/>
      <c r="CF381" s="18"/>
      <c r="CG381" s="29"/>
      <c r="CH381" s="29"/>
      <c r="CI381" s="29"/>
      <c r="CJ381" s="29"/>
      <c r="CK381" s="28"/>
      <c r="CL381" s="28"/>
      <c r="CM381" s="7"/>
      <c r="CN381" s="7"/>
      <c r="CO381" s="7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7"/>
      <c r="DG381" s="7"/>
      <c r="DH381" s="7"/>
      <c r="DI381" s="7"/>
      <c r="DJ381" s="7"/>
      <c r="DK381" s="28"/>
      <c r="DL381" s="28"/>
      <c r="DM381" s="7"/>
      <c r="DN381" s="29"/>
      <c r="DO381" s="28"/>
      <c r="DP381" s="28"/>
      <c r="DQ381" s="28"/>
    </row>
    <row r="382" spans="2:121">
      <c r="B382" s="7"/>
      <c r="C382" s="7"/>
      <c r="D382" s="7"/>
      <c r="E382" s="7"/>
      <c r="F382" s="7"/>
      <c r="G382" s="7"/>
      <c r="H382" s="38"/>
      <c r="I382" s="46"/>
      <c r="J382" s="18"/>
      <c r="K382" s="7"/>
      <c r="L382" s="38"/>
      <c r="M382" s="38"/>
      <c r="N382" s="38"/>
      <c r="O382" s="7"/>
      <c r="P382" s="7"/>
      <c r="Q382" s="33"/>
      <c r="R382" s="11"/>
      <c r="S382" s="11"/>
      <c r="T382" s="11" t="s">
        <v>98</v>
      </c>
      <c r="U382" s="12"/>
      <c r="V382" s="11"/>
      <c r="W382" s="13"/>
      <c r="X382" s="9"/>
      <c r="Y382" s="38"/>
      <c r="Z382" s="38"/>
      <c r="AA382" s="38"/>
      <c r="AB382" s="11"/>
      <c r="AC382" s="11"/>
      <c r="AD382" s="7"/>
      <c r="AE382" s="38"/>
      <c r="AF382" s="7"/>
      <c r="AG382" s="46"/>
      <c r="AH382" s="9"/>
      <c r="AI382" s="9"/>
      <c r="AJ382" s="9"/>
      <c r="AK382" s="9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53"/>
      <c r="AZ382" s="46"/>
      <c r="BA382" s="46"/>
      <c r="BB382" s="46"/>
      <c r="BC382" s="46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7"/>
      <c r="BR382" s="28"/>
      <c r="BS382" s="28"/>
      <c r="BT382" s="28"/>
      <c r="BU382" s="28"/>
      <c r="BV382" s="28"/>
      <c r="BW382" s="7"/>
      <c r="BX382" s="28"/>
      <c r="BY382" s="28"/>
      <c r="BZ382" s="28"/>
      <c r="CA382" s="28"/>
      <c r="CB382" s="28"/>
      <c r="CC382" s="7"/>
      <c r="CD382" s="7"/>
      <c r="CE382" s="29"/>
      <c r="CF382" s="18"/>
      <c r="CG382" s="29"/>
      <c r="CH382" s="29"/>
      <c r="CI382" s="29"/>
      <c r="CJ382" s="29"/>
      <c r="CK382" s="28"/>
      <c r="CL382" s="28"/>
      <c r="CM382" s="7"/>
      <c r="CN382" s="7"/>
      <c r="CO382" s="7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7"/>
      <c r="DG382" s="7"/>
      <c r="DH382" s="7"/>
      <c r="DI382" s="7"/>
      <c r="DJ382" s="7"/>
      <c r="DK382" s="28"/>
      <c r="DL382" s="28"/>
      <c r="DM382" s="7"/>
      <c r="DN382" s="29"/>
      <c r="DO382" s="28"/>
      <c r="DP382" s="28"/>
      <c r="DQ382" s="28"/>
    </row>
    <row r="383" spans="2:121">
      <c r="B383" s="7"/>
      <c r="C383" s="7"/>
      <c r="D383" s="7"/>
      <c r="E383" s="7"/>
      <c r="F383" s="7"/>
      <c r="G383" s="7"/>
      <c r="H383" s="38"/>
      <c r="I383" s="46"/>
      <c r="J383" s="18"/>
      <c r="K383" s="7"/>
      <c r="L383" s="38"/>
      <c r="M383" s="38"/>
      <c r="N383" s="38"/>
      <c r="O383" s="7"/>
      <c r="P383" s="7"/>
      <c r="Q383" s="33"/>
      <c r="R383" s="11"/>
      <c r="S383" s="11"/>
      <c r="T383" s="11" t="s">
        <v>98</v>
      </c>
      <c r="U383" s="12"/>
      <c r="V383" s="11"/>
      <c r="W383" s="13"/>
      <c r="X383" s="9"/>
      <c r="Y383" s="38"/>
      <c r="Z383" s="38"/>
      <c r="AA383" s="38"/>
      <c r="AB383" s="11"/>
      <c r="AC383" s="11"/>
      <c r="AD383" s="7"/>
      <c r="AE383" s="38"/>
      <c r="AF383" s="7"/>
      <c r="AG383" s="46"/>
      <c r="AH383" s="9"/>
      <c r="AI383" s="9"/>
      <c r="AJ383" s="9"/>
      <c r="AK383" s="9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53"/>
      <c r="AZ383" s="46"/>
      <c r="BA383" s="46"/>
      <c r="BB383" s="46"/>
      <c r="BC383" s="46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7"/>
      <c r="BR383" s="28"/>
      <c r="BS383" s="28"/>
      <c r="BT383" s="28"/>
      <c r="BU383" s="28"/>
      <c r="BV383" s="28"/>
      <c r="BW383" s="7"/>
      <c r="BX383" s="28"/>
      <c r="BY383" s="28"/>
      <c r="BZ383" s="28"/>
      <c r="CA383" s="28"/>
      <c r="CB383" s="28"/>
      <c r="CC383" s="7"/>
      <c r="CD383" s="7"/>
      <c r="CE383" s="29"/>
      <c r="CF383" s="18"/>
      <c r="CG383" s="29"/>
      <c r="CH383" s="29"/>
      <c r="CI383" s="29"/>
      <c r="CJ383" s="29"/>
      <c r="CK383" s="28"/>
      <c r="CL383" s="28"/>
      <c r="CM383" s="7"/>
      <c r="CN383" s="7"/>
      <c r="CO383" s="7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7"/>
      <c r="DG383" s="7"/>
      <c r="DH383" s="7"/>
      <c r="DI383" s="7"/>
      <c r="DJ383" s="7"/>
      <c r="DK383" s="28"/>
      <c r="DL383" s="28"/>
      <c r="DM383" s="7"/>
      <c r="DN383" s="29"/>
      <c r="DO383" s="28"/>
      <c r="DP383" s="28"/>
      <c r="DQ383" s="28"/>
    </row>
    <row r="384" spans="2:121">
      <c r="B384" s="7"/>
      <c r="C384" s="7"/>
      <c r="D384" s="7"/>
      <c r="E384" s="7"/>
      <c r="F384" s="7"/>
      <c r="G384" s="7"/>
      <c r="H384" s="38"/>
      <c r="I384" s="46"/>
      <c r="J384" s="18"/>
      <c r="K384" s="7"/>
      <c r="L384" s="38"/>
      <c r="M384" s="38"/>
      <c r="N384" s="38"/>
      <c r="O384" s="7"/>
      <c r="P384" s="7"/>
      <c r="Q384" s="33"/>
      <c r="R384" s="11"/>
      <c r="S384" s="11"/>
      <c r="T384" s="11" t="s">
        <v>98</v>
      </c>
      <c r="U384" s="12"/>
      <c r="V384" s="11"/>
      <c r="W384" s="13"/>
      <c r="X384" s="9"/>
      <c r="Y384" s="38"/>
      <c r="Z384" s="38"/>
      <c r="AA384" s="38"/>
      <c r="AB384" s="11"/>
      <c r="AC384" s="11"/>
      <c r="AD384" s="7"/>
      <c r="AE384" s="38"/>
      <c r="AF384" s="7"/>
      <c r="AG384" s="46"/>
      <c r="AH384" s="9"/>
      <c r="AI384" s="9"/>
      <c r="AJ384" s="9"/>
      <c r="AK384" s="9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53"/>
      <c r="AZ384" s="46"/>
      <c r="BA384" s="46"/>
      <c r="BB384" s="46"/>
      <c r="BC384" s="46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7"/>
      <c r="BR384" s="28"/>
      <c r="BS384" s="28"/>
      <c r="BT384" s="28"/>
      <c r="BU384" s="28"/>
      <c r="BV384" s="28"/>
      <c r="BW384" s="7"/>
      <c r="BX384" s="28"/>
      <c r="BY384" s="28"/>
      <c r="BZ384" s="28"/>
      <c r="CA384" s="28"/>
      <c r="CB384" s="28"/>
      <c r="CC384" s="7"/>
      <c r="CD384" s="7"/>
      <c r="CE384" s="29"/>
      <c r="CF384" s="18"/>
      <c r="CG384" s="29"/>
      <c r="CH384" s="29"/>
      <c r="CI384" s="29"/>
      <c r="CJ384" s="29"/>
      <c r="CK384" s="28"/>
      <c r="CL384" s="28"/>
      <c r="CM384" s="7"/>
      <c r="CN384" s="7"/>
      <c r="CO384" s="7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7"/>
      <c r="DG384" s="7"/>
      <c r="DH384" s="7"/>
      <c r="DI384" s="7"/>
      <c r="DJ384" s="7"/>
      <c r="DK384" s="28"/>
      <c r="DL384" s="28"/>
      <c r="DM384" s="7"/>
      <c r="DN384" s="29"/>
      <c r="DO384" s="28"/>
      <c r="DP384" s="28"/>
      <c r="DQ384" s="28"/>
    </row>
    <row r="385" spans="2:121">
      <c r="B385" s="7"/>
      <c r="C385" s="7"/>
      <c r="D385" s="7"/>
      <c r="E385" s="7"/>
      <c r="F385" s="7"/>
      <c r="G385" s="7"/>
      <c r="H385" s="38"/>
      <c r="I385" s="46"/>
      <c r="J385" s="18"/>
      <c r="K385" s="7"/>
      <c r="L385" s="38"/>
      <c r="M385" s="38"/>
      <c r="N385" s="38"/>
      <c r="O385" s="7"/>
      <c r="P385" s="7"/>
      <c r="Q385" s="33"/>
      <c r="R385" s="11"/>
      <c r="S385" s="11"/>
      <c r="T385" s="11" t="s">
        <v>98</v>
      </c>
      <c r="U385" s="12"/>
      <c r="V385" s="11"/>
      <c r="W385" s="13"/>
      <c r="X385" s="9"/>
      <c r="Y385" s="38"/>
      <c r="Z385" s="38"/>
      <c r="AA385" s="38"/>
      <c r="AB385" s="11"/>
      <c r="AC385" s="11"/>
      <c r="AD385" s="7"/>
      <c r="AE385" s="38"/>
      <c r="AF385" s="7"/>
      <c r="AG385" s="46"/>
      <c r="AH385" s="9"/>
      <c r="AI385" s="9"/>
      <c r="AJ385" s="9"/>
      <c r="AK385" s="9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53"/>
      <c r="AZ385" s="46"/>
      <c r="BA385" s="46"/>
      <c r="BB385" s="46"/>
      <c r="BC385" s="46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7"/>
      <c r="BR385" s="28"/>
      <c r="BS385" s="28"/>
      <c r="BT385" s="28"/>
      <c r="BU385" s="28"/>
      <c r="BV385" s="28"/>
      <c r="BW385" s="7"/>
      <c r="BX385" s="28"/>
      <c r="BY385" s="28"/>
      <c r="BZ385" s="28"/>
      <c r="CA385" s="28"/>
      <c r="CB385" s="28"/>
      <c r="CC385" s="7"/>
      <c r="CD385" s="7"/>
      <c r="CE385" s="29"/>
      <c r="CF385" s="18"/>
      <c r="CG385" s="29"/>
      <c r="CH385" s="29"/>
      <c r="CI385" s="29"/>
      <c r="CJ385" s="29"/>
      <c r="CK385" s="28"/>
      <c r="CL385" s="28"/>
      <c r="CM385" s="7"/>
      <c r="CN385" s="7"/>
      <c r="CO385" s="7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7"/>
      <c r="DG385" s="7"/>
      <c r="DH385" s="7"/>
      <c r="DI385" s="7"/>
      <c r="DJ385" s="7"/>
      <c r="DK385" s="28"/>
      <c r="DL385" s="28"/>
      <c r="DM385" s="7"/>
      <c r="DN385" s="29"/>
      <c r="DO385" s="28"/>
      <c r="DP385" s="28"/>
      <c r="DQ385" s="28"/>
    </row>
    <row r="386" spans="2:121">
      <c r="B386" s="7"/>
      <c r="C386" s="7"/>
      <c r="D386" s="7"/>
      <c r="E386" s="7"/>
      <c r="F386" s="7"/>
      <c r="G386" s="7"/>
      <c r="H386" s="38"/>
      <c r="I386" s="46"/>
      <c r="J386" s="18"/>
      <c r="K386" s="7"/>
      <c r="L386" s="38"/>
      <c r="M386" s="38"/>
      <c r="N386" s="38"/>
      <c r="O386" s="7"/>
      <c r="P386" s="7"/>
      <c r="Q386" s="33"/>
      <c r="R386" s="11"/>
      <c r="S386" s="11"/>
      <c r="T386" s="11" t="s">
        <v>98</v>
      </c>
      <c r="U386" s="12"/>
      <c r="V386" s="11"/>
      <c r="W386" s="13"/>
      <c r="X386" s="9"/>
      <c r="Y386" s="38"/>
      <c r="Z386" s="38"/>
      <c r="AA386" s="38"/>
      <c r="AB386" s="11"/>
      <c r="AC386" s="11"/>
      <c r="AD386" s="7"/>
      <c r="AE386" s="38"/>
      <c r="AF386" s="7"/>
      <c r="AG386" s="46"/>
      <c r="AH386" s="9"/>
      <c r="AI386" s="9"/>
      <c r="AJ386" s="9"/>
      <c r="AK386" s="9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53"/>
      <c r="AZ386" s="46"/>
      <c r="BA386" s="46"/>
      <c r="BB386" s="46"/>
      <c r="BC386" s="46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7"/>
      <c r="BR386" s="28"/>
      <c r="BS386" s="28"/>
      <c r="BT386" s="28"/>
      <c r="BU386" s="28"/>
      <c r="BV386" s="28"/>
      <c r="BW386" s="7"/>
      <c r="BX386" s="28"/>
      <c r="BY386" s="28"/>
      <c r="BZ386" s="28"/>
      <c r="CA386" s="28"/>
      <c r="CB386" s="28"/>
      <c r="CC386" s="7"/>
      <c r="CD386" s="7"/>
      <c r="CE386" s="29"/>
      <c r="CF386" s="18"/>
      <c r="CG386" s="29"/>
      <c r="CH386" s="29"/>
      <c r="CI386" s="29"/>
      <c r="CJ386" s="29"/>
      <c r="CK386" s="28"/>
      <c r="CL386" s="28"/>
      <c r="CM386" s="7"/>
      <c r="CN386" s="7"/>
      <c r="CO386" s="7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7"/>
      <c r="DG386" s="7"/>
      <c r="DH386" s="7"/>
      <c r="DI386" s="7"/>
      <c r="DJ386" s="7"/>
      <c r="DK386" s="28"/>
      <c r="DL386" s="28"/>
      <c r="DM386" s="7"/>
      <c r="DN386" s="29"/>
      <c r="DO386" s="28"/>
      <c r="DP386" s="28"/>
      <c r="DQ386" s="28"/>
    </row>
    <row r="387" spans="2:121">
      <c r="B387" s="7"/>
      <c r="C387" s="7"/>
      <c r="D387" s="7"/>
      <c r="E387" s="7"/>
      <c r="F387" s="7"/>
      <c r="G387" s="7"/>
      <c r="H387" s="38"/>
      <c r="I387" s="46"/>
      <c r="J387" s="18"/>
      <c r="K387" s="7"/>
      <c r="L387" s="38"/>
      <c r="M387" s="38"/>
      <c r="N387" s="38"/>
      <c r="O387" s="7"/>
      <c r="P387" s="7"/>
      <c r="Q387" s="33"/>
      <c r="R387" s="11"/>
      <c r="S387" s="11"/>
      <c r="T387" s="11" t="s">
        <v>98</v>
      </c>
      <c r="U387" s="12"/>
      <c r="V387" s="11"/>
      <c r="W387" s="13"/>
      <c r="X387" s="9"/>
      <c r="Y387" s="38"/>
      <c r="Z387" s="38"/>
      <c r="AA387" s="38"/>
      <c r="AB387" s="11"/>
      <c r="AC387" s="11"/>
      <c r="AD387" s="7"/>
      <c r="AE387" s="38"/>
      <c r="AF387" s="7"/>
      <c r="AG387" s="46"/>
      <c r="AH387" s="9"/>
      <c r="AI387" s="9"/>
      <c r="AJ387" s="9"/>
      <c r="AK387" s="9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53"/>
      <c r="AZ387" s="46"/>
      <c r="BA387" s="46"/>
      <c r="BB387" s="46"/>
      <c r="BC387" s="46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7"/>
      <c r="BR387" s="28"/>
      <c r="BS387" s="28"/>
      <c r="BT387" s="28"/>
      <c r="BU387" s="28"/>
      <c r="BV387" s="28"/>
      <c r="BW387" s="7"/>
      <c r="BX387" s="28"/>
      <c r="BY387" s="28"/>
      <c r="BZ387" s="28"/>
      <c r="CA387" s="28"/>
      <c r="CB387" s="28"/>
      <c r="CC387" s="7"/>
      <c r="CD387" s="7"/>
      <c r="CE387" s="29"/>
      <c r="CF387" s="18"/>
      <c r="CG387" s="29"/>
      <c r="CH387" s="29"/>
      <c r="CI387" s="29"/>
      <c r="CJ387" s="29"/>
      <c r="CK387" s="28"/>
      <c r="CL387" s="28"/>
      <c r="CM387" s="7"/>
      <c r="CN387" s="7"/>
      <c r="CO387" s="7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7"/>
      <c r="DG387" s="7"/>
      <c r="DH387" s="7"/>
      <c r="DI387" s="7"/>
      <c r="DJ387" s="7"/>
      <c r="DK387" s="28"/>
      <c r="DL387" s="28"/>
      <c r="DM387" s="7"/>
      <c r="DN387" s="29"/>
      <c r="DO387" s="28"/>
      <c r="DP387" s="28"/>
      <c r="DQ387" s="28"/>
    </row>
    <row r="388" spans="2:121">
      <c r="B388" s="7"/>
      <c r="C388" s="7"/>
      <c r="D388" s="7"/>
      <c r="E388" s="7"/>
      <c r="F388" s="7"/>
      <c r="G388" s="7"/>
      <c r="H388" s="38"/>
      <c r="I388" s="46"/>
      <c r="J388" s="18"/>
      <c r="K388" s="7"/>
      <c r="L388" s="38"/>
      <c r="M388" s="38"/>
      <c r="N388" s="38"/>
      <c r="O388" s="7"/>
      <c r="P388" s="7"/>
      <c r="Q388" s="33"/>
      <c r="R388" s="11"/>
      <c r="S388" s="11"/>
      <c r="T388" s="11" t="s">
        <v>98</v>
      </c>
      <c r="U388" s="12"/>
      <c r="V388" s="11"/>
      <c r="W388" s="13"/>
      <c r="X388" s="9"/>
      <c r="Y388" s="38"/>
      <c r="Z388" s="38"/>
      <c r="AA388" s="38"/>
      <c r="AB388" s="11"/>
      <c r="AC388" s="11"/>
      <c r="AD388" s="7"/>
      <c r="AE388" s="38"/>
      <c r="AF388" s="7"/>
      <c r="AG388" s="46"/>
      <c r="AH388" s="9"/>
      <c r="AI388" s="9"/>
      <c r="AJ388" s="9"/>
      <c r="AK388" s="9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53"/>
      <c r="AZ388" s="46"/>
      <c r="BA388" s="46"/>
      <c r="BB388" s="46"/>
      <c r="BC388" s="46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7"/>
      <c r="BR388" s="28"/>
      <c r="BS388" s="28"/>
      <c r="BT388" s="28"/>
      <c r="BU388" s="28"/>
      <c r="BV388" s="28"/>
      <c r="BW388" s="7"/>
      <c r="BX388" s="28"/>
      <c r="BY388" s="28"/>
      <c r="BZ388" s="28"/>
      <c r="CA388" s="28"/>
      <c r="CB388" s="28"/>
      <c r="CC388" s="7"/>
      <c r="CD388" s="7"/>
      <c r="CE388" s="29"/>
      <c r="CF388" s="18"/>
      <c r="CG388" s="29"/>
      <c r="CH388" s="29"/>
      <c r="CI388" s="29"/>
      <c r="CJ388" s="29"/>
      <c r="CK388" s="28"/>
      <c r="CL388" s="28"/>
      <c r="CM388" s="7"/>
      <c r="CN388" s="7"/>
      <c r="CO388" s="7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7"/>
      <c r="DG388" s="7"/>
      <c r="DH388" s="7"/>
      <c r="DI388" s="7"/>
      <c r="DJ388" s="7"/>
      <c r="DK388" s="28"/>
      <c r="DL388" s="28"/>
      <c r="DM388" s="7"/>
      <c r="DN388" s="29"/>
      <c r="DO388" s="28"/>
      <c r="DP388" s="28"/>
      <c r="DQ388" s="28"/>
    </row>
    <row r="389" spans="2:121">
      <c r="B389" s="7"/>
      <c r="C389" s="7"/>
      <c r="D389" s="7"/>
      <c r="E389" s="7"/>
      <c r="F389" s="7"/>
      <c r="G389" s="7"/>
      <c r="H389" s="38"/>
      <c r="I389" s="46"/>
      <c r="J389" s="18"/>
      <c r="K389" s="7"/>
      <c r="L389" s="38"/>
      <c r="M389" s="38"/>
      <c r="N389" s="38"/>
      <c r="O389" s="7"/>
      <c r="P389" s="7"/>
      <c r="Q389" s="33"/>
      <c r="R389" s="11"/>
      <c r="S389" s="11"/>
      <c r="T389" s="11" t="s">
        <v>98</v>
      </c>
      <c r="U389" s="12"/>
      <c r="V389" s="11"/>
      <c r="W389" s="13"/>
      <c r="X389" s="9"/>
      <c r="Y389" s="38"/>
      <c r="Z389" s="38"/>
      <c r="AA389" s="38"/>
      <c r="AB389" s="11"/>
      <c r="AC389" s="11"/>
      <c r="AD389" s="7"/>
      <c r="AE389" s="38"/>
      <c r="AF389" s="7"/>
      <c r="AG389" s="46"/>
      <c r="AH389" s="9"/>
      <c r="AI389" s="9"/>
      <c r="AJ389" s="9"/>
      <c r="AK389" s="9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53"/>
      <c r="AZ389" s="46"/>
      <c r="BA389" s="46"/>
      <c r="BB389" s="46"/>
      <c r="BC389" s="46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7"/>
      <c r="BR389" s="28"/>
      <c r="BS389" s="28"/>
      <c r="BT389" s="28"/>
      <c r="BU389" s="28"/>
      <c r="BV389" s="28"/>
      <c r="BW389" s="7"/>
      <c r="BX389" s="28"/>
      <c r="BY389" s="28"/>
      <c r="BZ389" s="28"/>
      <c r="CA389" s="28"/>
      <c r="CB389" s="28"/>
      <c r="CC389" s="7"/>
      <c r="CD389" s="7"/>
      <c r="CE389" s="29"/>
      <c r="CF389" s="18"/>
      <c r="CG389" s="29"/>
      <c r="CH389" s="29"/>
      <c r="CI389" s="29"/>
      <c r="CJ389" s="29"/>
      <c r="CK389" s="28"/>
      <c r="CL389" s="28"/>
      <c r="CM389" s="7"/>
      <c r="CN389" s="7"/>
      <c r="CO389" s="7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7"/>
      <c r="DG389" s="7"/>
      <c r="DH389" s="7"/>
      <c r="DI389" s="7"/>
      <c r="DJ389" s="7"/>
      <c r="DK389" s="28"/>
      <c r="DL389" s="28"/>
      <c r="DM389" s="7"/>
      <c r="DN389" s="29"/>
      <c r="DO389" s="28"/>
      <c r="DP389" s="28"/>
      <c r="DQ389" s="28"/>
    </row>
    <row r="390" spans="2:121">
      <c r="B390" s="7"/>
      <c r="C390" s="7"/>
      <c r="D390" s="7"/>
      <c r="E390" s="7"/>
      <c r="F390" s="7"/>
      <c r="G390" s="7"/>
      <c r="H390" s="38"/>
      <c r="I390" s="46"/>
      <c r="J390" s="18"/>
      <c r="K390" s="7"/>
      <c r="L390" s="38"/>
      <c r="M390" s="38"/>
      <c r="N390" s="38"/>
      <c r="O390" s="7"/>
      <c r="P390" s="7"/>
      <c r="Q390" s="33"/>
      <c r="R390" s="11"/>
      <c r="S390" s="11"/>
      <c r="T390" s="11" t="s">
        <v>98</v>
      </c>
      <c r="U390" s="12"/>
      <c r="V390" s="11"/>
      <c r="W390" s="13"/>
      <c r="X390" s="9"/>
      <c r="Y390" s="38"/>
      <c r="Z390" s="38"/>
      <c r="AA390" s="38"/>
      <c r="AB390" s="11"/>
      <c r="AC390" s="11"/>
      <c r="AD390" s="7"/>
      <c r="AE390" s="38"/>
      <c r="AF390" s="7"/>
      <c r="AG390" s="46"/>
      <c r="AH390" s="9"/>
      <c r="AI390" s="9"/>
      <c r="AJ390" s="9"/>
      <c r="AK390" s="9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53"/>
      <c r="AZ390" s="46"/>
      <c r="BA390" s="46"/>
      <c r="BB390" s="46"/>
      <c r="BC390" s="46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7"/>
      <c r="BR390" s="28"/>
      <c r="BS390" s="28"/>
      <c r="BT390" s="28"/>
      <c r="BU390" s="28"/>
      <c r="BV390" s="28"/>
      <c r="BW390" s="7"/>
      <c r="BX390" s="28"/>
      <c r="BY390" s="28"/>
      <c r="BZ390" s="28"/>
      <c r="CA390" s="28"/>
      <c r="CB390" s="28"/>
      <c r="CC390" s="7"/>
      <c r="CD390" s="7"/>
      <c r="CE390" s="29"/>
      <c r="CF390" s="18"/>
      <c r="CG390" s="29"/>
      <c r="CH390" s="29"/>
      <c r="CI390" s="29"/>
      <c r="CJ390" s="29"/>
      <c r="CK390" s="28"/>
      <c r="CL390" s="28"/>
      <c r="CM390" s="7"/>
      <c r="CN390" s="7"/>
      <c r="CO390" s="7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7"/>
      <c r="DG390" s="7"/>
      <c r="DH390" s="7"/>
      <c r="DI390" s="7"/>
      <c r="DJ390" s="7"/>
      <c r="DK390" s="28"/>
      <c r="DL390" s="28"/>
      <c r="DM390" s="7"/>
      <c r="DN390" s="29"/>
      <c r="DO390" s="28"/>
      <c r="DP390" s="28"/>
      <c r="DQ390" s="28"/>
    </row>
    <row r="391" spans="2:121">
      <c r="B391" s="7"/>
      <c r="C391" s="7"/>
      <c r="D391" s="7"/>
      <c r="E391" s="7"/>
      <c r="F391" s="7"/>
      <c r="G391" s="7"/>
      <c r="H391" s="38"/>
      <c r="I391" s="46"/>
      <c r="J391" s="18"/>
      <c r="K391" s="7"/>
      <c r="L391" s="38"/>
      <c r="M391" s="38"/>
      <c r="N391" s="38"/>
      <c r="O391" s="7"/>
      <c r="P391" s="7"/>
      <c r="Q391" s="33"/>
      <c r="R391" s="11"/>
      <c r="S391" s="11"/>
      <c r="T391" s="11" t="s">
        <v>98</v>
      </c>
      <c r="U391" s="12"/>
      <c r="V391" s="11"/>
      <c r="W391" s="13"/>
      <c r="X391" s="9"/>
      <c r="Y391" s="38"/>
      <c r="Z391" s="38"/>
      <c r="AA391" s="38"/>
      <c r="AB391" s="11"/>
      <c r="AC391" s="11"/>
      <c r="AD391" s="7"/>
      <c r="AE391" s="38"/>
      <c r="AF391" s="7"/>
      <c r="AG391" s="46"/>
      <c r="AH391" s="9"/>
      <c r="AI391" s="9"/>
      <c r="AJ391" s="9"/>
      <c r="AK391" s="9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53"/>
      <c r="AZ391" s="46"/>
      <c r="BA391" s="46"/>
      <c r="BB391" s="46"/>
      <c r="BC391" s="46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7"/>
      <c r="BR391" s="28"/>
      <c r="BS391" s="28"/>
      <c r="BT391" s="28"/>
      <c r="BU391" s="28"/>
      <c r="BV391" s="28"/>
      <c r="BW391" s="7"/>
      <c r="BX391" s="28"/>
      <c r="BY391" s="28"/>
      <c r="BZ391" s="28"/>
      <c r="CA391" s="28"/>
      <c r="CB391" s="28"/>
      <c r="CC391" s="7"/>
      <c r="CD391" s="7"/>
      <c r="CE391" s="29"/>
      <c r="CF391" s="18"/>
      <c r="CG391" s="29"/>
      <c r="CH391" s="29"/>
      <c r="CI391" s="29"/>
      <c r="CJ391" s="29"/>
      <c r="CK391" s="28"/>
      <c r="CL391" s="28"/>
      <c r="CM391" s="7"/>
      <c r="CN391" s="7"/>
      <c r="CO391" s="7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7"/>
      <c r="DG391" s="7"/>
      <c r="DH391" s="7"/>
      <c r="DI391" s="7"/>
      <c r="DJ391" s="7"/>
      <c r="DK391" s="28"/>
      <c r="DL391" s="28"/>
      <c r="DM391" s="7"/>
      <c r="DN391" s="29"/>
      <c r="DO391" s="28"/>
      <c r="DP391" s="28"/>
      <c r="DQ391" s="28"/>
    </row>
    <row r="392" spans="2:121">
      <c r="B392" s="7"/>
      <c r="C392" s="7"/>
      <c r="D392" s="7"/>
      <c r="E392" s="7"/>
      <c r="F392" s="7"/>
      <c r="G392" s="7"/>
      <c r="H392" s="38"/>
      <c r="I392" s="46"/>
      <c r="J392" s="18"/>
      <c r="K392" s="7"/>
      <c r="L392" s="38"/>
      <c r="M392" s="38"/>
      <c r="N392" s="38"/>
      <c r="O392" s="7"/>
      <c r="P392" s="7"/>
      <c r="Q392" s="33"/>
      <c r="R392" s="11"/>
      <c r="S392" s="11"/>
      <c r="T392" s="11" t="s">
        <v>98</v>
      </c>
      <c r="U392" s="12"/>
      <c r="V392" s="11"/>
      <c r="W392" s="13"/>
      <c r="X392" s="9"/>
      <c r="Y392" s="38"/>
      <c r="Z392" s="38"/>
      <c r="AA392" s="38"/>
      <c r="AB392" s="11"/>
      <c r="AC392" s="11"/>
      <c r="AD392" s="7"/>
      <c r="AE392" s="38"/>
      <c r="AF392" s="7"/>
      <c r="AG392" s="46"/>
      <c r="AH392" s="9"/>
      <c r="AI392" s="9"/>
      <c r="AJ392" s="9"/>
      <c r="AK392" s="9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53"/>
      <c r="AZ392" s="46"/>
      <c r="BA392" s="46"/>
      <c r="BB392" s="46"/>
      <c r="BC392" s="46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7"/>
      <c r="BR392" s="28"/>
      <c r="BS392" s="28"/>
      <c r="BT392" s="28"/>
      <c r="BU392" s="28"/>
      <c r="BV392" s="28"/>
      <c r="BW392" s="7"/>
      <c r="BX392" s="28"/>
      <c r="BY392" s="28"/>
      <c r="BZ392" s="28"/>
      <c r="CA392" s="28"/>
      <c r="CB392" s="28"/>
      <c r="CC392" s="7"/>
      <c r="CD392" s="7"/>
      <c r="CE392" s="29"/>
      <c r="CF392" s="18"/>
      <c r="CG392" s="29"/>
      <c r="CH392" s="29"/>
      <c r="CI392" s="29"/>
      <c r="CJ392" s="29"/>
      <c r="CK392" s="28"/>
      <c r="CL392" s="28"/>
      <c r="CM392" s="7"/>
      <c r="CN392" s="7"/>
      <c r="CO392" s="7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7"/>
      <c r="DG392" s="7"/>
      <c r="DH392" s="7"/>
      <c r="DI392" s="7"/>
      <c r="DJ392" s="7"/>
      <c r="DK392" s="28"/>
      <c r="DL392" s="28"/>
      <c r="DM392" s="7"/>
      <c r="DN392" s="29"/>
      <c r="DO392" s="28"/>
      <c r="DP392" s="28"/>
      <c r="DQ392" s="28"/>
    </row>
    <row r="393" spans="2:121">
      <c r="B393" s="7"/>
      <c r="C393" s="7"/>
      <c r="D393" s="7"/>
      <c r="E393" s="7"/>
      <c r="F393" s="7"/>
      <c r="G393" s="7"/>
      <c r="H393" s="38"/>
      <c r="I393" s="46"/>
      <c r="J393" s="18"/>
      <c r="K393" s="7"/>
      <c r="L393" s="38"/>
      <c r="M393" s="38"/>
      <c r="N393" s="38"/>
      <c r="O393" s="7"/>
      <c r="P393" s="7"/>
      <c r="Q393" s="33"/>
      <c r="R393" s="11"/>
      <c r="S393" s="11"/>
      <c r="T393" s="11" t="s">
        <v>98</v>
      </c>
      <c r="U393" s="12"/>
      <c r="V393" s="11"/>
      <c r="W393" s="13"/>
      <c r="X393" s="9"/>
      <c r="Y393" s="38"/>
      <c r="Z393" s="38"/>
      <c r="AA393" s="38"/>
      <c r="AB393" s="11"/>
      <c r="AC393" s="11"/>
      <c r="AD393" s="7"/>
      <c r="AE393" s="38"/>
      <c r="AF393" s="7"/>
      <c r="AG393" s="46"/>
      <c r="AH393" s="9"/>
      <c r="AI393" s="9"/>
      <c r="AJ393" s="9"/>
      <c r="AK393" s="9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53"/>
      <c r="AZ393" s="46"/>
      <c r="BA393" s="46"/>
      <c r="BB393" s="46"/>
      <c r="BC393" s="46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7"/>
      <c r="BR393" s="28"/>
      <c r="BS393" s="28"/>
      <c r="BT393" s="28"/>
      <c r="BU393" s="28"/>
      <c r="BV393" s="28"/>
      <c r="BW393" s="7"/>
      <c r="BX393" s="28"/>
      <c r="BY393" s="28"/>
      <c r="BZ393" s="28"/>
      <c r="CA393" s="28"/>
      <c r="CB393" s="28"/>
      <c r="CC393" s="7"/>
      <c r="CD393" s="7"/>
      <c r="CE393" s="29"/>
      <c r="CF393" s="18"/>
      <c r="CG393" s="29"/>
      <c r="CH393" s="29"/>
      <c r="CI393" s="29"/>
      <c r="CJ393" s="29"/>
      <c r="CK393" s="28"/>
      <c r="CL393" s="28"/>
      <c r="CM393" s="7"/>
      <c r="CN393" s="7"/>
      <c r="CO393" s="7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7"/>
      <c r="DG393" s="7"/>
      <c r="DH393" s="7"/>
      <c r="DI393" s="7"/>
      <c r="DJ393" s="7"/>
      <c r="DK393" s="28"/>
      <c r="DL393" s="28"/>
      <c r="DM393" s="7"/>
      <c r="DN393" s="29"/>
      <c r="DO393" s="28"/>
      <c r="DP393" s="28"/>
      <c r="DQ393" s="28"/>
    </row>
    <row r="394" spans="2:121">
      <c r="B394" s="7"/>
      <c r="C394" s="7"/>
      <c r="D394" s="7"/>
      <c r="E394" s="7"/>
      <c r="F394" s="7"/>
      <c r="G394" s="7"/>
      <c r="H394" s="38"/>
      <c r="I394" s="46"/>
      <c r="J394" s="18"/>
      <c r="K394" s="7"/>
      <c r="L394" s="38"/>
      <c r="M394" s="38"/>
      <c r="N394" s="38"/>
      <c r="O394" s="7"/>
      <c r="P394" s="7"/>
      <c r="Q394" s="33"/>
      <c r="R394" s="11"/>
      <c r="S394" s="11"/>
      <c r="T394" s="11" t="s">
        <v>98</v>
      </c>
      <c r="U394" s="12"/>
      <c r="V394" s="11"/>
      <c r="W394" s="13"/>
      <c r="X394" s="9"/>
      <c r="Y394" s="38"/>
      <c r="Z394" s="38"/>
      <c r="AA394" s="38"/>
      <c r="AB394" s="11"/>
      <c r="AC394" s="11"/>
      <c r="AD394" s="7"/>
      <c r="AE394" s="38"/>
      <c r="AF394" s="7"/>
      <c r="AG394" s="46"/>
      <c r="AH394" s="9"/>
      <c r="AI394" s="9"/>
      <c r="AJ394" s="9"/>
      <c r="AK394" s="9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53"/>
      <c r="AZ394" s="46"/>
      <c r="BA394" s="46"/>
      <c r="BB394" s="46"/>
      <c r="BC394" s="46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7"/>
      <c r="BR394" s="28"/>
      <c r="BS394" s="28"/>
      <c r="BT394" s="28"/>
      <c r="BU394" s="28"/>
      <c r="BV394" s="28"/>
      <c r="BW394" s="7"/>
      <c r="BX394" s="28"/>
      <c r="BY394" s="28"/>
      <c r="BZ394" s="28"/>
      <c r="CA394" s="28"/>
      <c r="CB394" s="28"/>
      <c r="CC394" s="7"/>
      <c r="CD394" s="7"/>
      <c r="CE394" s="29"/>
      <c r="CF394" s="18"/>
      <c r="CG394" s="29"/>
      <c r="CH394" s="29"/>
      <c r="CI394" s="29"/>
      <c r="CJ394" s="29"/>
      <c r="CK394" s="28"/>
      <c r="CL394" s="28"/>
      <c r="CM394" s="7"/>
      <c r="CN394" s="7"/>
      <c r="CO394" s="7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7"/>
      <c r="DG394" s="7"/>
      <c r="DH394" s="7"/>
      <c r="DI394" s="7"/>
      <c r="DJ394" s="7"/>
      <c r="DK394" s="28"/>
      <c r="DL394" s="28"/>
      <c r="DM394" s="7"/>
      <c r="DN394" s="29"/>
      <c r="DO394" s="28"/>
      <c r="DP394" s="28"/>
      <c r="DQ394" s="28"/>
    </row>
    <row r="395" spans="2:121">
      <c r="B395" s="7"/>
      <c r="C395" s="7"/>
      <c r="D395" s="7"/>
      <c r="E395" s="7"/>
      <c r="F395" s="7"/>
      <c r="G395" s="7"/>
      <c r="H395" s="38"/>
      <c r="I395" s="46"/>
      <c r="J395" s="18"/>
      <c r="K395" s="7"/>
      <c r="L395" s="38"/>
      <c r="M395" s="38"/>
      <c r="N395" s="38"/>
      <c r="O395" s="7"/>
      <c r="P395" s="7"/>
      <c r="Q395" s="33"/>
      <c r="R395" s="11"/>
      <c r="S395" s="11"/>
      <c r="T395" s="11" t="s">
        <v>98</v>
      </c>
      <c r="U395" s="12"/>
      <c r="V395" s="11"/>
      <c r="W395" s="13"/>
      <c r="X395" s="9"/>
      <c r="Y395" s="38"/>
      <c r="Z395" s="38"/>
      <c r="AA395" s="38"/>
      <c r="AB395" s="11"/>
      <c r="AC395" s="11"/>
      <c r="AD395" s="7"/>
      <c r="AE395" s="38"/>
      <c r="AF395" s="7"/>
      <c r="AG395" s="46"/>
      <c r="AH395" s="9"/>
      <c r="AI395" s="9"/>
      <c r="AJ395" s="9"/>
      <c r="AK395" s="9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53"/>
      <c r="AZ395" s="46"/>
      <c r="BA395" s="46"/>
      <c r="BB395" s="46"/>
      <c r="BC395" s="46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7"/>
      <c r="BR395" s="28"/>
      <c r="BS395" s="28"/>
      <c r="BT395" s="28"/>
      <c r="BU395" s="28"/>
      <c r="BV395" s="28"/>
      <c r="BW395" s="7"/>
      <c r="BX395" s="28"/>
      <c r="BY395" s="28"/>
      <c r="BZ395" s="28"/>
      <c r="CA395" s="28"/>
      <c r="CB395" s="28"/>
      <c r="CC395" s="7"/>
      <c r="CD395" s="7"/>
      <c r="CE395" s="29"/>
      <c r="CF395" s="18"/>
      <c r="CG395" s="29"/>
      <c r="CH395" s="29"/>
      <c r="CI395" s="29"/>
      <c r="CJ395" s="29"/>
      <c r="CK395" s="28"/>
      <c r="CL395" s="28"/>
      <c r="CM395" s="7"/>
      <c r="CN395" s="7"/>
      <c r="CO395" s="7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7"/>
      <c r="DG395" s="7"/>
      <c r="DH395" s="7"/>
      <c r="DI395" s="7"/>
      <c r="DJ395" s="7"/>
      <c r="DK395" s="28"/>
      <c r="DL395" s="28"/>
      <c r="DM395" s="7"/>
      <c r="DN395" s="29"/>
      <c r="DO395" s="28"/>
      <c r="DP395" s="28"/>
      <c r="DQ395" s="28"/>
    </row>
    <row r="396" spans="2:121">
      <c r="B396" s="7"/>
      <c r="C396" s="7"/>
      <c r="D396" s="7"/>
      <c r="E396" s="7"/>
      <c r="F396" s="7"/>
      <c r="G396" s="7"/>
      <c r="H396" s="38"/>
      <c r="I396" s="46"/>
      <c r="J396" s="18"/>
      <c r="K396" s="7"/>
      <c r="L396" s="38"/>
      <c r="M396" s="38"/>
      <c r="N396" s="38"/>
      <c r="O396" s="7"/>
      <c r="P396" s="7"/>
      <c r="Q396" s="33"/>
      <c r="R396" s="11"/>
      <c r="S396" s="11"/>
      <c r="T396" s="11" t="s">
        <v>98</v>
      </c>
      <c r="U396" s="12"/>
      <c r="V396" s="11"/>
      <c r="W396" s="13"/>
      <c r="X396" s="9"/>
      <c r="Y396" s="38"/>
      <c r="Z396" s="38"/>
      <c r="AA396" s="38"/>
      <c r="AB396" s="11"/>
      <c r="AC396" s="11"/>
      <c r="AD396" s="7"/>
      <c r="AE396" s="38"/>
      <c r="AF396" s="7"/>
      <c r="AG396" s="46"/>
      <c r="AH396" s="9"/>
      <c r="AI396" s="9"/>
      <c r="AJ396" s="9"/>
      <c r="AK396" s="9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53"/>
      <c r="AZ396" s="46"/>
      <c r="BA396" s="46"/>
      <c r="BB396" s="46"/>
      <c r="BC396" s="46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7"/>
      <c r="BR396" s="28"/>
      <c r="BS396" s="28"/>
      <c r="BT396" s="28"/>
      <c r="BU396" s="28"/>
      <c r="BV396" s="28"/>
      <c r="BW396" s="7"/>
      <c r="BX396" s="28"/>
      <c r="BY396" s="28"/>
      <c r="BZ396" s="28"/>
      <c r="CA396" s="28"/>
      <c r="CB396" s="28"/>
      <c r="CC396" s="7"/>
      <c r="CD396" s="7"/>
      <c r="CE396" s="29"/>
      <c r="CF396" s="18"/>
      <c r="CG396" s="29"/>
      <c r="CH396" s="29"/>
      <c r="CI396" s="29"/>
      <c r="CJ396" s="29"/>
      <c r="CK396" s="28"/>
      <c r="CL396" s="28"/>
      <c r="CM396" s="7"/>
      <c r="CN396" s="7"/>
      <c r="CO396" s="7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7"/>
      <c r="DG396" s="7"/>
      <c r="DH396" s="7"/>
      <c r="DI396" s="7"/>
      <c r="DJ396" s="7"/>
      <c r="DK396" s="28"/>
      <c r="DL396" s="28"/>
      <c r="DM396" s="7"/>
      <c r="DN396" s="29"/>
      <c r="DO396" s="28"/>
      <c r="DP396" s="28"/>
      <c r="DQ396" s="28"/>
    </row>
    <row r="397" spans="2:121">
      <c r="B397" s="7"/>
      <c r="C397" s="7"/>
      <c r="D397" s="7"/>
      <c r="E397" s="7"/>
      <c r="F397" s="7"/>
      <c r="G397" s="7"/>
      <c r="H397" s="38"/>
      <c r="I397" s="46"/>
      <c r="J397" s="18"/>
      <c r="K397" s="7"/>
      <c r="L397" s="38"/>
      <c r="M397" s="38"/>
      <c r="N397" s="38"/>
      <c r="O397" s="7"/>
      <c r="P397" s="7"/>
      <c r="Q397" s="33"/>
      <c r="R397" s="11"/>
      <c r="S397" s="11"/>
      <c r="T397" s="11" t="s">
        <v>98</v>
      </c>
      <c r="U397" s="12"/>
      <c r="V397" s="11"/>
      <c r="W397" s="13"/>
      <c r="X397" s="9"/>
      <c r="Y397" s="38"/>
      <c r="Z397" s="38"/>
      <c r="AA397" s="38"/>
      <c r="AB397" s="11"/>
      <c r="AC397" s="11"/>
      <c r="AD397" s="7"/>
      <c r="AE397" s="38"/>
      <c r="AF397" s="7"/>
      <c r="AG397" s="46"/>
      <c r="AH397" s="9"/>
      <c r="AI397" s="9"/>
      <c r="AJ397" s="9"/>
      <c r="AK397" s="9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53"/>
      <c r="AZ397" s="46"/>
      <c r="BA397" s="46"/>
      <c r="BB397" s="46"/>
      <c r="BC397" s="46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7"/>
      <c r="BR397" s="28"/>
      <c r="BS397" s="28"/>
      <c r="BT397" s="28"/>
      <c r="BU397" s="28"/>
      <c r="BV397" s="28"/>
      <c r="BW397" s="7"/>
      <c r="BX397" s="28"/>
      <c r="BY397" s="28"/>
      <c r="BZ397" s="28"/>
      <c r="CA397" s="28"/>
      <c r="CB397" s="28"/>
      <c r="CC397" s="7"/>
      <c r="CD397" s="7"/>
      <c r="CE397" s="29"/>
      <c r="CF397" s="18"/>
      <c r="CG397" s="29"/>
      <c r="CH397" s="29"/>
      <c r="CI397" s="29"/>
      <c r="CJ397" s="29"/>
      <c r="CK397" s="28"/>
      <c r="CL397" s="28"/>
      <c r="CM397" s="7"/>
      <c r="CN397" s="7"/>
      <c r="CO397" s="7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7"/>
      <c r="DG397" s="7"/>
      <c r="DH397" s="7"/>
      <c r="DI397" s="7"/>
      <c r="DJ397" s="7"/>
      <c r="DK397" s="28"/>
      <c r="DL397" s="28"/>
      <c r="DM397" s="7"/>
      <c r="DN397" s="29"/>
      <c r="DO397" s="28"/>
      <c r="DP397" s="28"/>
      <c r="DQ397" s="28"/>
    </row>
    <row r="398" spans="2:121">
      <c r="B398" s="7"/>
      <c r="C398" s="7"/>
      <c r="D398" s="7"/>
      <c r="E398" s="7"/>
      <c r="F398" s="7"/>
      <c r="G398" s="7"/>
      <c r="H398" s="38"/>
      <c r="I398" s="46"/>
      <c r="J398" s="18"/>
      <c r="K398" s="7"/>
      <c r="L398" s="38"/>
      <c r="M398" s="38"/>
      <c r="N398" s="38"/>
      <c r="O398" s="7"/>
      <c r="P398" s="7"/>
      <c r="Q398" s="33"/>
      <c r="R398" s="11"/>
      <c r="S398" s="11"/>
      <c r="T398" s="11" t="s">
        <v>98</v>
      </c>
      <c r="U398" s="12"/>
      <c r="V398" s="11"/>
      <c r="W398" s="13"/>
      <c r="X398" s="9"/>
      <c r="Y398" s="38"/>
      <c r="Z398" s="38"/>
      <c r="AA398" s="38"/>
      <c r="AB398" s="11"/>
      <c r="AC398" s="11"/>
      <c r="AD398" s="7"/>
      <c r="AE398" s="38"/>
      <c r="AF398" s="7"/>
      <c r="AG398" s="46"/>
      <c r="AH398" s="9"/>
      <c r="AI398" s="9"/>
      <c r="AJ398" s="9"/>
      <c r="AK398" s="9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53"/>
      <c r="AZ398" s="46"/>
      <c r="BA398" s="46"/>
      <c r="BB398" s="46"/>
      <c r="BC398" s="46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7"/>
      <c r="BR398" s="28"/>
      <c r="BS398" s="28"/>
      <c r="BT398" s="28"/>
      <c r="BU398" s="28"/>
      <c r="BV398" s="28"/>
      <c r="BW398" s="7"/>
      <c r="BX398" s="28"/>
      <c r="BY398" s="28"/>
      <c r="BZ398" s="28"/>
      <c r="CA398" s="28"/>
      <c r="CB398" s="28"/>
      <c r="CC398" s="7"/>
      <c r="CD398" s="7"/>
      <c r="CE398" s="29"/>
      <c r="CF398" s="18"/>
      <c r="CG398" s="29"/>
      <c r="CH398" s="29"/>
      <c r="CI398" s="29"/>
      <c r="CJ398" s="29"/>
      <c r="CK398" s="28"/>
      <c r="CL398" s="28"/>
      <c r="CM398" s="7"/>
      <c r="CN398" s="7"/>
      <c r="CO398" s="7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7"/>
      <c r="DG398" s="7"/>
      <c r="DH398" s="7"/>
      <c r="DI398" s="7"/>
      <c r="DJ398" s="7"/>
      <c r="DK398" s="28"/>
      <c r="DL398" s="28"/>
      <c r="DM398" s="7"/>
      <c r="DN398" s="29"/>
      <c r="DO398" s="28"/>
      <c r="DP398" s="28"/>
      <c r="DQ398" s="28"/>
    </row>
    <row r="399" spans="2:121">
      <c r="B399" s="7"/>
      <c r="C399" s="7"/>
      <c r="D399" s="7"/>
      <c r="E399" s="7"/>
      <c r="F399" s="7"/>
      <c r="G399" s="7"/>
      <c r="H399" s="38"/>
      <c r="I399" s="46"/>
      <c r="J399" s="18"/>
      <c r="K399" s="7"/>
      <c r="L399" s="38"/>
      <c r="M399" s="38"/>
      <c r="N399" s="38"/>
      <c r="O399" s="7"/>
      <c r="P399" s="7"/>
      <c r="Q399" s="33"/>
      <c r="R399" s="11"/>
      <c r="S399" s="11"/>
      <c r="T399" s="11" t="s">
        <v>98</v>
      </c>
      <c r="U399" s="12"/>
      <c r="V399" s="11"/>
      <c r="W399" s="13"/>
      <c r="X399" s="9"/>
      <c r="Y399" s="38"/>
      <c r="Z399" s="38"/>
      <c r="AA399" s="38"/>
      <c r="AB399" s="11"/>
      <c r="AC399" s="11"/>
      <c r="AD399" s="7"/>
      <c r="AE399" s="38"/>
      <c r="AF399" s="7"/>
      <c r="AG399" s="46"/>
      <c r="AH399" s="9"/>
      <c r="AI399" s="9"/>
      <c r="AJ399" s="9"/>
      <c r="AK399" s="9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53"/>
      <c r="AZ399" s="46"/>
      <c r="BA399" s="46"/>
      <c r="BB399" s="46"/>
      <c r="BC399" s="46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7"/>
      <c r="BR399" s="28"/>
      <c r="BS399" s="28"/>
      <c r="BT399" s="28"/>
      <c r="BU399" s="28"/>
      <c r="BV399" s="28"/>
      <c r="BW399" s="7"/>
      <c r="BX399" s="28"/>
      <c r="BY399" s="28"/>
      <c r="BZ399" s="28"/>
      <c r="CA399" s="28"/>
      <c r="CB399" s="28"/>
      <c r="CC399" s="7"/>
      <c r="CD399" s="7"/>
      <c r="CE399" s="29"/>
      <c r="CF399" s="18"/>
      <c r="CG399" s="29"/>
      <c r="CH399" s="29"/>
      <c r="CI399" s="29"/>
      <c r="CJ399" s="29"/>
      <c r="CK399" s="28"/>
      <c r="CL399" s="28"/>
      <c r="CM399" s="7"/>
      <c r="CN399" s="7"/>
      <c r="CO399" s="7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7"/>
      <c r="DG399" s="7"/>
      <c r="DH399" s="7"/>
      <c r="DI399" s="7"/>
      <c r="DJ399" s="7"/>
      <c r="DK399" s="28"/>
      <c r="DL399" s="28"/>
      <c r="DM399" s="7"/>
      <c r="DN399" s="29"/>
      <c r="DO399" s="28"/>
      <c r="DP399" s="28"/>
      <c r="DQ399" s="28"/>
    </row>
    <row r="400" spans="2:121">
      <c r="B400" s="7"/>
      <c r="C400" s="7"/>
      <c r="D400" s="7"/>
      <c r="E400" s="7"/>
      <c r="F400" s="7"/>
      <c r="G400" s="7"/>
      <c r="H400" s="38"/>
      <c r="I400" s="46"/>
      <c r="J400" s="18"/>
      <c r="K400" s="7"/>
      <c r="L400" s="38"/>
      <c r="M400" s="38"/>
      <c r="N400" s="38"/>
      <c r="O400" s="7"/>
      <c r="P400" s="7"/>
      <c r="Q400" s="33"/>
      <c r="R400" s="11"/>
      <c r="S400" s="11"/>
      <c r="T400" s="11" t="s">
        <v>98</v>
      </c>
      <c r="U400" s="12"/>
      <c r="V400" s="11"/>
      <c r="W400" s="13"/>
      <c r="X400" s="9"/>
      <c r="Y400" s="38"/>
      <c r="Z400" s="38"/>
      <c r="AA400" s="38"/>
      <c r="AB400" s="11"/>
      <c r="AC400" s="11"/>
      <c r="AD400" s="7"/>
      <c r="AE400" s="38"/>
      <c r="AF400" s="7"/>
      <c r="AG400" s="46"/>
      <c r="AH400" s="9"/>
      <c r="AI400" s="9"/>
      <c r="AJ400" s="9"/>
      <c r="AK400" s="9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53"/>
      <c r="AZ400" s="46"/>
      <c r="BA400" s="46"/>
      <c r="BB400" s="46"/>
      <c r="BC400" s="46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7"/>
      <c r="BR400" s="28"/>
      <c r="BS400" s="28"/>
      <c r="BT400" s="28"/>
      <c r="BU400" s="28"/>
      <c r="BV400" s="28"/>
      <c r="BW400" s="7"/>
      <c r="BX400" s="28"/>
      <c r="BY400" s="28"/>
      <c r="BZ400" s="28"/>
      <c r="CA400" s="28"/>
      <c r="CB400" s="28"/>
      <c r="CC400" s="7"/>
      <c r="CD400" s="7"/>
      <c r="CE400" s="29"/>
      <c r="CF400" s="18"/>
      <c r="CG400" s="29"/>
      <c r="CH400" s="29"/>
      <c r="CI400" s="29"/>
      <c r="CJ400" s="29"/>
      <c r="CK400" s="28"/>
      <c r="CL400" s="28"/>
      <c r="CM400" s="7"/>
      <c r="CN400" s="7"/>
      <c r="CO400" s="7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7"/>
      <c r="DG400" s="7"/>
      <c r="DH400" s="7"/>
      <c r="DI400" s="7"/>
      <c r="DJ400" s="7"/>
      <c r="DK400" s="28"/>
      <c r="DL400" s="28"/>
      <c r="DM400" s="7"/>
      <c r="DN400" s="29"/>
      <c r="DO400" s="28"/>
      <c r="DP400" s="28"/>
      <c r="DQ400" s="28"/>
    </row>
    <row r="401" spans="2:121">
      <c r="B401" s="7"/>
      <c r="C401" s="7"/>
      <c r="D401" s="7"/>
      <c r="E401" s="7"/>
      <c r="F401" s="7"/>
      <c r="G401" s="7"/>
      <c r="H401" s="38"/>
      <c r="I401" s="46"/>
      <c r="J401" s="18"/>
      <c r="K401" s="7"/>
      <c r="L401" s="38"/>
      <c r="M401" s="38"/>
      <c r="N401" s="38"/>
      <c r="O401" s="7"/>
      <c r="P401" s="7"/>
      <c r="Q401" s="33"/>
      <c r="R401" s="11"/>
      <c r="S401" s="11"/>
      <c r="T401" s="11" t="s">
        <v>98</v>
      </c>
      <c r="U401" s="12"/>
      <c r="V401" s="11"/>
      <c r="W401" s="13"/>
      <c r="X401" s="9"/>
      <c r="Y401" s="38"/>
      <c r="Z401" s="38"/>
      <c r="AA401" s="38"/>
      <c r="AB401" s="11"/>
      <c r="AC401" s="11"/>
      <c r="AD401" s="7"/>
      <c r="AE401" s="38"/>
      <c r="AF401" s="7"/>
      <c r="AG401" s="46"/>
      <c r="AH401" s="9"/>
      <c r="AI401" s="9"/>
      <c r="AJ401" s="9"/>
      <c r="AK401" s="9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53"/>
      <c r="AZ401" s="46"/>
      <c r="BA401" s="46"/>
      <c r="BB401" s="46"/>
      <c r="BC401" s="46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7"/>
      <c r="BR401" s="28"/>
      <c r="BS401" s="28"/>
      <c r="BT401" s="28"/>
      <c r="BU401" s="28"/>
      <c r="BV401" s="28"/>
      <c r="BW401" s="7"/>
      <c r="BX401" s="28"/>
      <c r="BY401" s="28"/>
      <c r="BZ401" s="28"/>
      <c r="CA401" s="28"/>
      <c r="CB401" s="28"/>
      <c r="CC401" s="7"/>
      <c r="CD401" s="7"/>
      <c r="CE401" s="29"/>
      <c r="CF401" s="18"/>
      <c r="CG401" s="29"/>
      <c r="CH401" s="29"/>
      <c r="CI401" s="29"/>
      <c r="CJ401" s="29"/>
      <c r="CK401" s="28"/>
      <c r="CL401" s="28"/>
      <c r="CM401" s="7"/>
      <c r="CN401" s="7"/>
      <c r="CO401" s="7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7"/>
      <c r="DG401" s="7"/>
      <c r="DH401" s="7"/>
      <c r="DI401" s="7"/>
      <c r="DJ401" s="7"/>
      <c r="DK401" s="28"/>
      <c r="DL401" s="28"/>
      <c r="DM401" s="7"/>
      <c r="DN401" s="29"/>
      <c r="DO401" s="28"/>
      <c r="DP401" s="28"/>
      <c r="DQ401" s="28"/>
    </row>
    <row r="402" spans="2:121">
      <c r="B402" s="7"/>
      <c r="C402" s="7"/>
      <c r="D402" s="7"/>
      <c r="E402" s="7"/>
      <c r="F402" s="7"/>
      <c r="G402" s="7"/>
      <c r="H402" s="38"/>
      <c r="I402" s="46"/>
      <c r="J402" s="18"/>
      <c r="K402" s="7"/>
      <c r="L402" s="38"/>
      <c r="M402" s="38"/>
      <c r="N402" s="38"/>
      <c r="O402" s="7"/>
      <c r="P402" s="7"/>
      <c r="Q402" s="33"/>
      <c r="R402" s="11"/>
      <c r="S402" s="11"/>
      <c r="T402" s="11" t="s">
        <v>98</v>
      </c>
      <c r="U402" s="12"/>
      <c r="V402" s="11"/>
      <c r="W402" s="13"/>
      <c r="X402" s="9"/>
      <c r="Y402" s="38"/>
      <c r="Z402" s="38"/>
      <c r="AA402" s="38"/>
      <c r="AB402" s="11"/>
      <c r="AC402" s="11"/>
      <c r="AD402" s="7"/>
      <c r="AE402" s="38"/>
      <c r="AF402" s="7"/>
      <c r="AG402" s="46"/>
      <c r="AH402" s="9"/>
      <c r="AI402" s="9"/>
      <c r="AJ402" s="9"/>
      <c r="AK402" s="9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53"/>
      <c r="AZ402" s="46"/>
      <c r="BA402" s="46"/>
      <c r="BB402" s="46"/>
      <c r="BC402" s="46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7"/>
      <c r="BR402" s="28"/>
      <c r="BS402" s="28"/>
      <c r="BT402" s="28"/>
      <c r="BU402" s="28"/>
      <c r="BV402" s="28"/>
      <c r="BW402" s="7"/>
      <c r="BX402" s="28"/>
      <c r="BY402" s="28"/>
      <c r="BZ402" s="28"/>
      <c r="CA402" s="28"/>
      <c r="CB402" s="28"/>
      <c r="CC402" s="7"/>
      <c r="CD402" s="7"/>
      <c r="CE402" s="29"/>
      <c r="CF402" s="18"/>
      <c r="CG402" s="29"/>
      <c r="CH402" s="29"/>
      <c r="CI402" s="29"/>
      <c r="CJ402" s="29"/>
      <c r="CK402" s="28"/>
      <c r="CL402" s="28"/>
      <c r="CM402" s="7"/>
      <c r="CN402" s="7"/>
      <c r="CO402" s="7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7"/>
      <c r="DG402" s="7"/>
      <c r="DH402" s="7"/>
      <c r="DI402" s="7"/>
      <c r="DJ402" s="7"/>
      <c r="DK402" s="28"/>
      <c r="DL402" s="28"/>
      <c r="DM402" s="7"/>
      <c r="DN402" s="29"/>
      <c r="DO402" s="28"/>
      <c r="DP402" s="28"/>
      <c r="DQ402" s="28"/>
    </row>
    <row r="403" spans="2:121">
      <c r="B403" s="7"/>
      <c r="C403" s="7"/>
      <c r="D403" s="7"/>
      <c r="E403" s="7"/>
      <c r="F403" s="7"/>
      <c r="G403" s="7"/>
      <c r="H403" s="38"/>
      <c r="I403" s="46"/>
      <c r="J403" s="18"/>
      <c r="K403" s="7"/>
      <c r="L403" s="38"/>
      <c r="M403" s="38"/>
      <c r="N403" s="38"/>
      <c r="O403" s="7"/>
      <c r="P403" s="7"/>
      <c r="Q403" s="33"/>
      <c r="R403" s="11"/>
      <c r="S403" s="11"/>
      <c r="T403" s="11" t="s">
        <v>98</v>
      </c>
      <c r="U403" s="12"/>
      <c r="V403" s="11"/>
      <c r="W403" s="13"/>
      <c r="X403" s="9"/>
      <c r="Y403" s="38"/>
      <c r="Z403" s="38"/>
      <c r="AA403" s="38"/>
      <c r="AB403" s="11"/>
      <c r="AC403" s="11"/>
      <c r="AD403" s="7"/>
      <c r="AE403" s="38"/>
      <c r="AF403" s="7"/>
      <c r="AG403" s="46"/>
      <c r="AH403" s="9"/>
      <c r="AI403" s="9"/>
      <c r="AJ403" s="9"/>
      <c r="AK403" s="9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53"/>
      <c r="AZ403" s="46"/>
      <c r="BA403" s="46"/>
      <c r="BB403" s="46"/>
      <c r="BC403" s="46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7"/>
      <c r="BR403" s="28"/>
      <c r="BS403" s="28"/>
      <c r="BT403" s="28"/>
      <c r="BU403" s="28"/>
      <c r="BV403" s="28"/>
      <c r="BW403" s="7"/>
      <c r="BX403" s="28"/>
      <c r="BY403" s="28"/>
      <c r="BZ403" s="28"/>
      <c r="CA403" s="28"/>
      <c r="CB403" s="28"/>
      <c r="CC403" s="7"/>
      <c r="CD403" s="7"/>
      <c r="CE403" s="29"/>
      <c r="CF403" s="18"/>
      <c r="CG403" s="29"/>
      <c r="CH403" s="29"/>
      <c r="CI403" s="29"/>
      <c r="CJ403" s="29"/>
      <c r="CK403" s="28"/>
      <c r="CL403" s="28"/>
      <c r="CM403" s="7"/>
      <c r="CN403" s="7"/>
      <c r="CO403" s="7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7"/>
      <c r="DG403" s="7"/>
      <c r="DH403" s="7"/>
      <c r="DI403" s="7"/>
      <c r="DJ403" s="7"/>
      <c r="DK403" s="28"/>
      <c r="DL403" s="28"/>
      <c r="DM403" s="7"/>
      <c r="DN403" s="29"/>
      <c r="DO403" s="28"/>
      <c r="DP403" s="28"/>
      <c r="DQ403" s="28"/>
    </row>
    <row r="404" spans="2:121">
      <c r="B404" s="7"/>
      <c r="C404" s="7"/>
      <c r="D404" s="7"/>
      <c r="E404" s="7"/>
      <c r="F404" s="7"/>
      <c r="G404" s="7"/>
      <c r="H404" s="38"/>
      <c r="I404" s="46"/>
      <c r="J404" s="18"/>
      <c r="K404" s="7"/>
      <c r="L404" s="38"/>
      <c r="M404" s="38"/>
      <c r="N404" s="38"/>
      <c r="O404" s="7"/>
      <c r="P404" s="7"/>
      <c r="Q404" s="33"/>
      <c r="R404" s="11"/>
      <c r="S404" s="11"/>
      <c r="T404" s="11" t="s">
        <v>98</v>
      </c>
      <c r="U404" s="12"/>
      <c r="V404" s="11"/>
      <c r="W404" s="13"/>
      <c r="X404" s="9"/>
      <c r="Y404" s="38"/>
      <c r="Z404" s="38"/>
      <c r="AA404" s="38"/>
      <c r="AB404" s="11"/>
      <c r="AC404" s="11"/>
      <c r="AD404" s="7"/>
      <c r="AE404" s="38"/>
      <c r="AF404" s="7"/>
      <c r="AG404" s="46"/>
      <c r="AH404" s="9"/>
      <c r="AI404" s="9"/>
      <c r="AJ404" s="9"/>
      <c r="AK404" s="9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53"/>
      <c r="AZ404" s="46"/>
      <c r="BA404" s="46"/>
      <c r="BB404" s="46"/>
      <c r="BC404" s="46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7"/>
      <c r="BR404" s="28"/>
      <c r="BS404" s="28"/>
      <c r="BT404" s="28"/>
      <c r="BU404" s="28"/>
      <c r="BV404" s="28"/>
      <c r="BW404" s="7"/>
      <c r="BX404" s="28"/>
      <c r="BY404" s="28"/>
      <c r="BZ404" s="28"/>
      <c r="CA404" s="28"/>
      <c r="CB404" s="28"/>
      <c r="CC404" s="7"/>
      <c r="CD404" s="7"/>
      <c r="CE404" s="29"/>
      <c r="CF404" s="18"/>
      <c r="CG404" s="29"/>
      <c r="CH404" s="29"/>
      <c r="CI404" s="29"/>
      <c r="CJ404" s="29"/>
      <c r="CK404" s="28"/>
      <c r="CL404" s="28"/>
      <c r="CM404" s="7"/>
      <c r="CN404" s="7"/>
      <c r="CO404" s="7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7"/>
      <c r="DG404" s="7"/>
      <c r="DH404" s="7"/>
      <c r="DI404" s="7"/>
      <c r="DJ404" s="7"/>
      <c r="DK404" s="28"/>
      <c r="DL404" s="28"/>
      <c r="DM404" s="7"/>
      <c r="DN404" s="29"/>
      <c r="DO404" s="28"/>
      <c r="DP404" s="28"/>
      <c r="DQ404" s="28"/>
    </row>
    <row r="405" spans="2:121">
      <c r="B405" s="7"/>
      <c r="C405" s="7"/>
      <c r="D405" s="7"/>
      <c r="E405" s="7"/>
      <c r="F405" s="7"/>
      <c r="G405" s="7"/>
      <c r="H405" s="38"/>
      <c r="I405" s="46"/>
      <c r="J405" s="18"/>
      <c r="K405" s="7"/>
      <c r="L405" s="38"/>
      <c r="M405" s="38"/>
      <c r="N405" s="38"/>
      <c r="O405" s="7"/>
      <c r="P405" s="7"/>
      <c r="Q405" s="33"/>
      <c r="R405" s="11"/>
      <c r="S405" s="11"/>
      <c r="T405" s="11" t="s">
        <v>98</v>
      </c>
      <c r="U405" s="12"/>
      <c r="V405" s="11"/>
      <c r="W405" s="13"/>
      <c r="X405" s="9"/>
      <c r="Y405" s="38"/>
      <c r="Z405" s="38"/>
      <c r="AA405" s="38"/>
      <c r="AB405" s="11"/>
      <c r="AC405" s="11"/>
      <c r="AD405" s="7"/>
      <c r="AE405" s="38"/>
      <c r="AF405" s="7"/>
      <c r="AG405" s="46"/>
      <c r="AH405" s="9"/>
      <c r="AI405" s="9"/>
      <c r="AJ405" s="9"/>
      <c r="AK405" s="9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53"/>
      <c r="AZ405" s="46"/>
      <c r="BA405" s="46"/>
      <c r="BB405" s="46"/>
      <c r="BC405" s="46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7"/>
      <c r="BR405" s="28"/>
      <c r="BS405" s="28"/>
      <c r="BT405" s="28"/>
      <c r="BU405" s="28"/>
      <c r="BV405" s="28"/>
      <c r="BW405" s="7"/>
      <c r="BX405" s="28"/>
      <c r="BY405" s="28"/>
      <c r="BZ405" s="28"/>
      <c r="CA405" s="28"/>
      <c r="CB405" s="28"/>
      <c r="CC405" s="7"/>
      <c r="CD405" s="7"/>
      <c r="CE405" s="29"/>
      <c r="CF405" s="18"/>
      <c r="CG405" s="29"/>
      <c r="CH405" s="29"/>
      <c r="CI405" s="29"/>
      <c r="CJ405" s="29"/>
      <c r="CK405" s="28"/>
      <c r="CL405" s="28"/>
      <c r="CM405" s="7"/>
      <c r="CN405" s="7"/>
      <c r="CO405" s="7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7"/>
      <c r="DG405" s="7"/>
      <c r="DH405" s="7"/>
      <c r="DI405" s="7"/>
      <c r="DJ405" s="7"/>
      <c r="DK405" s="28"/>
      <c r="DL405" s="28"/>
      <c r="DM405" s="7"/>
      <c r="DN405" s="29"/>
      <c r="DO405" s="28"/>
      <c r="DP405" s="28"/>
      <c r="DQ405" s="28"/>
    </row>
    <row r="406" spans="2:121">
      <c r="B406" s="7"/>
      <c r="C406" s="7"/>
      <c r="D406" s="7"/>
      <c r="E406" s="7"/>
      <c r="F406" s="7"/>
      <c r="G406" s="7"/>
      <c r="H406" s="38"/>
      <c r="I406" s="46"/>
      <c r="J406" s="18"/>
      <c r="K406" s="7"/>
      <c r="L406" s="38"/>
      <c r="M406" s="38"/>
      <c r="N406" s="38"/>
      <c r="O406" s="7"/>
      <c r="P406" s="7"/>
      <c r="Q406" s="33"/>
      <c r="R406" s="11"/>
      <c r="S406" s="11"/>
      <c r="T406" s="11" t="s">
        <v>98</v>
      </c>
      <c r="U406" s="12"/>
      <c r="V406" s="11"/>
      <c r="W406" s="13"/>
      <c r="X406" s="9"/>
      <c r="Y406" s="38"/>
      <c r="Z406" s="38"/>
      <c r="AA406" s="38"/>
      <c r="AB406" s="11"/>
      <c r="AC406" s="11"/>
      <c r="AD406" s="7"/>
      <c r="AE406" s="38"/>
      <c r="AF406" s="7"/>
      <c r="AG406" s="46"/>
      <c r="AH406" s="9"/>
      <c r="AI406" s="9"/>
      <c r="AJ406" s="9"/>
      <c r="AK406" s="9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53"/>
      <c r="AZ406" s="46"/>
      <c r="BA406" s="46"/>
      <c r="BB406" s="46"/>
      <c r="BC406" s="46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7"/>
      <c r="BR406" s="28"/>
      <c r="BS406" s="28"/>
      <c r="BT406" s="28"/>
      <c r="BU406" s="28"/>
      <c r="BV406" s="28"/>
      <c r="BW406" s="7"/>
      <c r="BX406" s="28"/>
      <c r="BY406" s="28"/>
      <c r="BZ406" s="28"/>
      <c r="CA406" s="28"/>
      <c r="CB406" s="28"/>
      <c r="CC406" s="7"/>
      <c r="CD406" s="7"/>
      <c r="CE406" s="29"/>
      <c r="CF406" s="18"/>
      <c r="CG406" s="29"/>
      <c r="CH406" s="29"/>
      <c r="CI406" s="29"/>
      <c r="CJ406" s="29"/>
      <c r="CK406" s="28"/>
      <c r="CL406" s="28"/>
      <c r="CM406" s="7"/>
      <c r="CN406" s="7"/>
      <c r="CO406" s="7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7"/>
      <c r="DG406" s="7"/>
      <c r="DH406" s="7"/>
      <c r="DI406" s="7"/>
      <c r="DJ406" s="7"/>
      <c r="DK406" s="28"/>
      <c r="DL406" s="28"/>
      <c r="DM406" s="7"/>
      <c r="DN406" s="29"/>
      <c r="DO406" s="28"/>
      <c r="DP406" s="28"/>
      <c r="DQ406" s="28"/>
    </row>
    <row r="407" spans="2:121">
      <c r="B407" s="7"/>
      <c r="C407" s="7"/>
      <c r="D407" s="7"/>
      <c r="E407" s="7"/>
      <c r="F407" s="7"/>
      <c r="G407" s="7"/>
      <c r="H407" s="38"/>
      <c r="I407" s="46"/>
      <c r="J407" s="18"/>
      <c r="K407" s="7"/>
      <c r="L407" s="38"/>
      <c r="M407" s="38"/>
      <c r="N407" s="38"/>
      <c r="O407" s="7"/>
      <c r="P407" s="7"/>
      <c r="Q407" s="33"/>
      <c r="R407" s="11"/>
      <c r="S407" s="11"/>
      <c r="T407" s="11" t="s">
        <v>98</v>
      </c>
      <c r="U407" s="12"/>
      <c r="V407" s="11"/>
      <c r="W407" s="13"/>
      <c r="X407" s="9"/>
      <c r="Y407" s="38"/>
      <c r="Z407" s="38"/>
      <c r="AA407" s="38"/>
      <c r="AB407" s="11"/>
      <c r="AC407" s="11"/>
      <c r="AD407" s="7"/>
      <c r="AE407" s="38"/>
      <c r="AF407" s="7"/>
      <c r="AG407" s="46"/>
      <c r="AH407" s="9"/>
      <c r="AI407" s="9"/>
      <c r="AJ407" s="9"/>
      <c r="AK407" s="9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53"/>
      <c r="AZ407" s="46"/>
      <c r="BA407" s="46"/>
      <c r="BB407" s="46"/>
      <c r="BC407" s="46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7"/>
      <c r="BR407" s="28"/>
      <c r="BS407" s="28"/>
      <c r="BT407" s="28"/>
      <c r="BU407" s="28"/>
      <c r="BV407" s="28"/>
      <c r="BW407" s="7"/>
      <c r="BX407" s="28"/>
      <c r="BY407" s="28"/>
      <c r="BZ407" s="28"/>
      <c r="CA407" s="28"/>
      <c r="CB407" s="28"/>
      <c r="CC407" s="7"/>
      <c r="CD407" s="7"/>
      <c r="CE407" s="29"/>
      <c r="CF407" s="18"/>
      <c r="CG407" s="29"/>
      <c r="CH407" s="29"/>
      <c r="CI407" s="29"/>
      <c r="CJ407" s="29"/>
      <c r="CK407" s="28"/>
      <c r="CL407" s="28"/>
      <c r="CM407" s="7"/>
      <c r="CN407" s="7"/>
      <c r="CO407" s="7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7"/>
      <c r="DG407" s="7"/>
      <c r="DH407" s="7"/>
      <c r="DI407" s="7"/>
      <c r="DJ407" s="7"/>
      <c r="DK407" s="28"/>
      <c r="DL407" s="28"/>
      <c r="DM407" s="7"/>
      <c r="DN407" s="29"/>
      <c r="DO407" s="28"/>
      <c r="DP407" s="28"/>
      <c r="DQ407" s="28"/>
    </row>
    <row r="408" spans="2:121">
      <c r="B408" s="7"/>
      <c r="C408" s="7"/>
      <c r="D408" s="7"/>
      <c r="E408" s="7"/>
      <c r="F408" s="7"/>
      <c r="G408" s="7"/>
      <c r="H408" s="38"/>
      <c r="I408" s="46"/>
      <c r="J408" s="18"/>
      <c r="K408" s="7"/>
      <c r="L408" s="38"/>
      <c r="M408" s="38"/>
      <c r="N408" s="38"/>
      <c r="O408" s="7"/>
      <c r="P408" s="7"/>
      <c r="Q408" s="33"/>
      <c r="R408" s="11"/>
      <c r="S408" s="11"/>
      <c r="T408" s="11" t="s">
        <v>98</v>
      </c>
      <c r="U408" s="12"/>
      <c r="V408" s="11"/>
      <c r="W408" s="13"/>
      <c r="X408" s="9"/>
      <c r="Y408" s="38"/>
      <c r="Z408" s="38"/>
      <c r="AA408" s="38"/>
      <c r="AB408" s="11"/>
      <c r="AC408" s="11"/>
      <c r="AD408" s="7"/>
      <c r="AE408" s="38"/>
      <c r="AF408" s="7"/>
      <c r="AG408" s="46"/>
      <c r="AH408" s="9"/>
      <c r="AI408" s="9"/>
      <c r="AJ408" s="9"/>
      <c r="AK408" s="9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53"/>
      <c r="AZ408" s="46"/>
      <c r="BA408" s="46"/>
      <c r="BB408" s="46"/>
      <c r="BC408" s="46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7"/>
      <c r="BR408" s="28"/>
      <c r="BS408" s="28"/>
      <c r="BT408" s="28"/>
      <c r="BU408" s="28"/>
      <c r="BV408" s="28"/>
      <c r="BW408" s="7"/>
      <c r="BX408" s="28"/>
      <c r="BY408" s="28"/>
      <c r="BZ408" s="28"/>
      <c r="CA408" s="28"/>
      <c r="CB408" s="28"/>
      <c r="CC408" s="7"/>
      <c r="CD408" s="7"/>
      <c r="CE408" s="29"/>
      <c r="CF408" s="18"/>
      <c r="CG408" s="29"/>
      <c r="CH408" s="29"/>
      <c r="CI408" s="29"/>
      <c r="CJ408" s="29"/>
      <c r="CK408" s="28"/>
      <c r="CL408" s="28"/>
      <c r="CM408" s="7"/>
      <c r="CN408" s="7"/>
      <c r="CO408" s="7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7"/>
      <c r="DG408" s="7"/>
      <c r="DH408" s="7"/>
      <c r="DI408" s="7"/>
      <c r="DJ408" s="7"/>
      <c r="DK408" s="28"/>
      <c r="DL408" s="28"/>
      <c r="DM408" s="7"/>
      <c r="DN408" s="29"/>
      <c r="DO408" s="28"/>
      <c r="DP408" s="28"/>
      <c r="DQ408" s="28"/>
    </row>
    <row r="409" spans="2:121">
      <c r="B409" s="7"/>
      <c r="C409" s="7"/>
      <c r="D409" s="7"/>
      <c r="E409" s="7"/>
      <c r="F409" s="7"/>
      <c r="G409" s="7"/>
      <c r="H409" s="38"/>
      <c r="I409" s="46"/>
      <c r="J409" s="18"/>
      <c r="K409" s="7"/>
      <c r="L409" s="38"/>
      <c r="M409" s="38"/>
      <c r="N409" s="38"/>
      <c r="O409" s="7"/>
      <c r="P409" s="7"/>
      <c r="Q409" s="33"/>
      <c r="R409" s="11"/>
      <c r="S409" s="11"/>
      <c r="T409" s="11" t="s">
        <v>98</v>
      </c>
      <c r="U409" s="12"/>
      <c r="V409" s="11"/>
      <c r="W409" s="13"/>
      <c r="X409" s="9"/>
      <c r="Y409" s="38"/>
      <c r="Z409" s="38"/>
      <c r="AA409" s="38"/>
      <c r="AB409" s="11"/>
      <c r="AC409" s="11"/>
      <c r="AD409" s="7"/>
      <c r="AE409" s="38"/>
      <c r="AF409" s="7"/>
      <c r="AG409" s="46"/>
      <c r="AH409" s="9"/>
      <c r="AI409" s="9"/>
      <c r="AJ409" s="9"/>
      <c r="AK409" s="9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53"/>
      <c r="AZ409" s="46"/>
      <c r="BA409" s="46"/>
      <c r="BB409" s="46"/>
      <c r="BC409" s="46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7"/>
      <c r="BR409" s="28"/>
      <c r="BS409" s="28"/>
      <c r="BT409" s="28"/>
      <c r="BU409" s="28"/>
      <c r="BV409" s="28"/>
      <c r="BW409" s="7"/>
      <c r="BX409" s="28"/>
      <c r="BY409" s="28"/>
      <c r="BZ409" s="28"/>
      <c r="CA409" s="28"/>
      <c r="CB409" s="28"/>
      <c r="CC409" s="7"/>
      <c r="CD409" s="7"/>
      <c r="CE409" s="29"/>
      <c r="CF409" s="18"/>
      <c r="CG409" s="29"/>
      <c r="CH409" s="29"/>
      <c r="CI409" s="29"/>
      <c r="CJ409" s="29"/>
      <c r="CK409" s="28"/>
      <c r="CL409" s="28"/>
      <c r="CM409" s="7"/>
      <c r="CN409" s="7"/>
      <c r="CO409" s="7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7"/>
      <c r="DG409" s="7"/>
      <c r="DH409" s="7"/>
      <c r="DI409" s="7"/>
      <c r="DJ409" s="7"/>
      <c r="DK409" s="28"/>
      <c r="DL409" s="28"/>
      <c r="DM409" s="7"/>
      <c r="DN409" s="29"/>
      <c r="DO409" s="28"/>
      <c r="DP409" s="28"/>
      <c r="DQ409" s="28"/>
    </row>
    <row r="410" spans="2:121">
      <c r="B410" s="7"/>
      <c r="C410" s="7"/>
      <c r="D410" s="7"/>
      <c r="E410" s="7"/>
      <c r="F410" s="7"/>
      <c r="G410" s="7"/>
      <c r="H410" s="38"/>
      <c r="I410" s="46"/>
      <c r="J410" s="18"/>
      <c r="K410" s="7"/>
      <c r="L410" s="38"/>
      <c r="M410" s="38"/>
      <c r="N410" s="38"/>
      <c r="O410" s="7"/>
      <c r="P410" s="7"/>
      <c r="Q410" s="33"/>
      <c r="R410" s="11"/>
      <c r="S410" s="11"/>
      <c r="T410" s="11" t="s">
        <v>98</v>
      </c>
      <c r="U410" s="12"/>
      <c r="V410" s="11"/>
      <c r="W410" s="13"/>
      <c r="X410" s="9"/>
      <c r="Y410" s="38"/>
      <c r="Z410" s="38"/>
      <c r="AA410" s="38"/>
      <c r="AB410" s="11"/>
      <c r="AC410" s="11"/>
      <c r="AD410" s="7"/>
      <c r="AE410" s="38"/>
      <c r="AF410" s="7"/>
      <c r="AG410" s="46"/>
      <c r="AH410" s="9"/>
      <c r="AI410" s="9"/>
      <c r="AJ410" s="9"/>
      <c r="AK410" s="9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53"/>
      <c r="AZ410" s="46"/>
      <c r="BA410" s="46"/>
      <c r="BB410" s="46"/>
      <c r="BC410" s="46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7"/>
      <c r="BR410" s="28"/>
      <c r="BS410" s="28"/>
      <c r="BT410" s="28"/>
      <c r="BU410" s="28"/>
      <c r="BV410" s="28"/>
      <c r="BW410" s="7"/>
      <c r="BX410" s="28"/>
      <c r="BY410" s="28"/>
      <c r="BZ410" s="28"/>
      <c r="CA410" s="28"/>
      <c r="CB410" s="28"/>
      <c r="CC410" s="7"/>
      <c r="CD410" s="7"/>
      <c r="CE410" s="29"/>
      <c r="CF410" s="18"/>
      <c r="CG410" s="29"/>
      <c r="CH410" s="29"/>
      <c r="CI410" s="29"/>
      <c r="CJ410" s="29"/>
      <c r="CK410" s="28"/>
      <c r="CL410" s="28"/>
      <c r="CM410" s="7"/>
      <c r="CN410" s="7"/>
      <c r="CO410" s="7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7"/>
      <c r="DG410" s="7"/>
      <c r="DH410" s="7"/>
      <c r="DI410" s="7"/>
      <c r="DJ410" s="7"/>
      <c r="DK410" s="28"/>
      <c r="DL410" s="28"/>
      <c r="DM410" s="7"/>
      <c r="DN410" s="29"/>
      <c r="DO410" s="28"/>
      <c r="DP410" s="28"/>
      <c r="DQ410" s="28"/>
    </row>
    <row r="411" spans="2:121">
      <c r="B411" s="7"/>
      <c r="C411" s="7"/>
      <c r="D411" s="7"/>
      <c r="E411" s="7"/>
      <c r="F411" s="7"/>
      <c r="G411" s="7"/>
      <c r="H411" s="38"/>
      <c r="I411" s="46"/>
      <c r="J411" s="18"/>
      <c r="K411" s="7"/>
      <c r="L411" s="38"/>
      <c r="M411" s="38"/>
      <c r="N411" s="38"/>
      <c r="O411" s="7"/>
      <c r="P411" s="7"/>
      <c r="Q411" s="33"/>
      <c r="R411" s="11"/>
      <c r="S411" s="11"/>
      <c r="T411" s="11" t="s">
        <v>98</v>
      </c>
      <c r="U411" s="12"/>
      <c r="V411" s="11"/>
      <c r="W411" s="13"/>
      <c r="X411" s="9"/>
      <c r="Y411" s="38"/>
      <c r="Z411" s="38"/>
      <c r="AA411" s="38"/>
      <c r="AB411" s="11"/>
      <c r="AC411" s="11"/>
      <c r="AD411" s="7"/>
      <c r="AE411" s="38"/>
      <c r="AF411" s="7"/>
      <c r="AG411" s="46"/>
      <c r="AH411" s="9"/>
      <c r="AI411" s="9"/>
      <c r="AJ411" s="9"/>
      <c r="AK411" s="9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53"/>
      <c r="AZ411" s="46"/>
      <c r="BA411" s="46"/>
      <c r="BB411" s="46"/>
      <c r="BC411" s="46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7"/>
      <c r="BR411" s="28"/>
      <c r="BS411" s="28"/>
      <c r="BT411" s="28"/>
      <c r="BU411" s="28"/>
      <c r="BV411" s="28"/>
      <c r="BW411" s="7"/>
      <c r="BX411" s="28"/>
      <c r="BY411" s="28"/>
      <c r="BZ411" s="28"/>
      <c r="CA411" s="28"/>
      <c r="CB411" s="28"/>
      <c r="CC411" s="7"/>
      <c r="CD411" s="7"/>
      <c r="CE411" s="29"/>
      <c r="CF411" s="18"/>
      <c r="CG411" s="29"/>
      <c r="CH411" s="29"/>
      <c r="CI411" s="29"/>
      <c r="CJ411" s="29"/>
      <c r="CK411" s="28"/>
      <c r="CL411" s="28"/>
      <c r="CM411" s="7"/>
      <c r="CN411" s="7"/>
      <c r="CO411" s="7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7"/>
      <c r="DG411" s="7"/>
      <c r="DH411" s="7"/>
      <c r="DI411" s="7"/>
      <c r="DJ411" s="7"/>
      <c r="DK411" s="28"/>
      <c r="DL411" s="28"/>
      <c r="DM411" s="7"/>
      <c r="DN411" s="29"/>
      <c r="DO411" s="28"/>
      <c r="DP411" s="28"/>
      <c r="DQ411" s="28"/>
    </row>
    <row r="412" spans="2:121">
      <c r="B412" s="7"/>
      <c r="C412" s="7"/>
      <c r="D412" s="7"/>
      <c r="E412" s="7"/>
      <c r="F412" s="7"/>
      <c r="G412" s="7"/>
      <c r="H412" s="38"/>
      <c r="I412" s="46"/>
      <c r="J412" s="18"/>
      <c r="K412" s="7"/>
      <c r="L412" s="38"/>
      <c r="M412" s="38"/>
      <c r="N412" s="38"/>
      <c r="O412" s="7"/>
      <c r="P412" s="7"/>
      <c r="Q412" s="33"/>
      <c r="R412" s="11"/>
      <c r="S412" s="11"/>
      <c r="T412" s="11" t="s">
        <v>98</v>
      </c>
      <c r="U412" s="12"/>
      <c r="V412" s="11"/>
      <c r="W412" s="13"/>
      <c r="X412" s="9"/>
      <c r="Y412" s="38"/>
      <c r="Z412" s="38"/>
      <c r="AA412" s="38"/>
      <c r="AB412" s="11"/>
      <c r="AC412" s="11"/>
      <c r="AD412" s="7"/>
      <c r="AE412" s="38"/>
      <c r="AF412" s="7"/>
      <c r="AG412" s="46"/>
      <c r="AH412" s="9"/>
      <c r="AI412" s="9"/>
      <c r="AJ412" s="9"/>
      <c r="AK412" s="9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53"/>
      <c r="AZ412" s="46"/>
      <c r="BA412" s="46"/>
      <c r="BB412" s="46"/>
      <c r="BC412" s="46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7"/>
      <c r="BR412" s="28"/>
      <c r="BS412" s="28"/>
      <c r="BT412" s="28"/>
      <c r="BU412" s="28"/>
      <c r="BV412" s="28"/>
      <c r="BW412" s="7"/>
      <c r="BX412" s="28"/>
      <c r="BY412" s="28"/>
      <c r="BZ412" s="28"/>
      <c r="CA412" s="28"/>
      <c r="CB412" s="28"/>
      <c r="CC412" s="7"/>
      <c r="CD412" s="7"/>
      <c r="CE412" s="29"/>
      <c r="CF412" s="18"/>
      <c r="CG412" s="29"/>
      <c r="CH412" s="29"/>
      <c r="CI412" s="29"/>
      <c r="CJ412" s="29"/>
      <c r="CK412" s="28"/>
      <c r="CL412" s="28"/>
      <c r="CM412" s="7"/>
      <c r="CN412" s="7"/>
      <c r="CO412" s="7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7"/>
      <c r="DG412" s="7"/>
      <c r="DH412" s="7"/>
      <c r="DI412" s="7"/>
      <c r="DJ412" s="7"/>
      <c r="DK412" s="28"/>
      <c r="DL412" s="28"/>
      <c r="DM412" s="7"/>
      <c r="DN412" s="29"/>
      <c r="DO412" s="28"/>
      <c r="DP412" s="28"/>
      <c r="DQ412" s="28"/>
    </row>
    <row r="413" spans="2:121">
      <c r="B413" s="7"/>
      <c r="C413" s="7"/>
      <c r="D413" s="7"/>
      <c r="E413" s="7"/>
      <c r="F413" s="7"/>
      <c r="G413" s="7"/>
      <c r="H413" s="38"/>
      <c r="I413" s="46"/>
      <c r="J413" s="18"/>
      <c r="K413" s="7"/>
      <c r="L413" s="38"/>
      <c r="M413" s="38"/>
      <c r="N413" s="38"/>
      <c r="O413" s="7"/>
      <c r="P413" s="7"/>
      <c r="Q413" s="33"/>
      <c r="R413" s="11"/>
      <c r="S413" s="11"/>
      <c r="T413" s="11" t="s">
        <v>98</v>
      </c>
      <c r="U413" s="12"/>
      <c r="V413" s="11"/>
      <c r="W413" s="13"/>
      <c r="X413" s="9"/>
      <c r="Y413" s="38"/>
      <c r="Z413" s="38"/>
      <c r="AA413" s="38"/>
      <c r="AB413" s="11"/>
      <c r="AC413" s="11"/>
      <c r="AD413" s="7"/>
      <c r="AE413" s="38"/>
      <c r="AF413" s="7"/>
      <c r="AG413" s="46"/>
      <c r="AH413" s="9"/>
      <c r="AI413" s="9"/>
      <c r="AJ413" s="9"/>
      <c r="AK413" s="9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53"/>
      <c r="AZ413" s="46"/>
      <c r="BA413" s="46"/>
      <c r="BB413" s="46"/>
      <c r="BC413" s="46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7"/>
      <c r="BR413" s="28"/>
      <c r="BS413" s="28"/>
      <c r="BT413" s="28"/>
      <c r="BU413" s="28"/>
      <c r="BV413" s="28"/>
      <c r="BW413" s="7"/>
      <c r="BX413" s="28"/>
      <c r="BY413" s="28"/>
      <c r="BZ413" s="28"/>
      <c r="CA413" s="28"/>
      <c r="CB413" s="28"/>
      <c r="CC413" s="7"/>
      <c r="CD413" s="7"/>
      <c r="CE413" s="29"/>
      <c r="CF413" s="18"/>
      <c r="CG413" s="29"/>
      <c r="CH413" s="29"/>
      <c r="CI413" s="29"/>
      <c r="CJ413" s="29"/>
      <c r="CK413" s="28"/>
      <c r="CL413" s="28"/>
      <c r="CM413" s="7"/>
      <c r="CN413" s="7"/>
      <c r="CO413" s="7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7"/>
      <c r="DG413" s="7"/>
      <c r="DH413" s="7"/>
      <c r="DI413" s="7"/>
      <c r="DJ413" s="7"/>
      <c r="DK413" s="28"/>
      <c r="DL413" s="28"/>
      <c r="DM413" s="7"/>
      <c r="DN413" s="29"/>
      <c r="DO413" s="28"/>
      <c r="DP413" s="28"/>
      <c r="DQ413" s="28"/>
    </row>
    <row r="414" spans="2:121">
      <c r="B414" s="7"/>
      <c r="C414" s="7"/>
      <c r="D414" s="7"/>
      <c r="E414" s="7"/>
      <c r="F414" s="7"/>
      <c r="G414" s="7"/>
      <c r="H414" s="38"/>
      <c r="I414" s="46"/>
      <c r="J414" s="18"/>
      <c r="K414" s="7"/>
      <c r="L414" s="38"/>
      <c r="M414" s="38"/>
      <c r="N414" s="38"/>
      <c r="O414" s="7"/>
      <c r="P414" s="7"/>
      <c r="Q414" s="33"/>
      <c r="R414" s="11"/>
      <c r="S414" s="11"/>
      <c r="T414" s="11" t="s">
        <v>98</v>
      </c>
      <c r="U414" s="12"/>
      <c r="V414" s="11"/>
      <c r="W414" s="13"/>
      <c r="X414" s="9"/>
      <c r="Y414" s="38"/>
      <c r="Z414" s="38"/>
      <c r="AA414" s="38"/>
      <c r="AB414" s="11"/>
      <c r="AC414" s="11"/>
      <c r="AD414" s="7"/>
      <c r="AE414" s="38"/>
      <c r="AF414" s="7"/>
      <c r="AG414" s="46"/>
      <c r="AH414" s="9"/>
      <c r="AI414" s="9"/>
      <c r="AJ414" s="9"/>
      <c r="AK414" s="9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53"/>
      <c r="AZ414" s="46"/>
      <c r="BA414" s="46"/>
      <c r="BB414" s="46"/>
      <c r="BC414" s="46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7"/>
      <c r="BR414" s="28"/>
      <c r="BS414" s="28"/>
      <c r="BT414" s="28"/>
      <c r="BU414" s="28"/>
      <c r="BV414" s="28"/>
      <c r="BW414" s="7"/>
      <c r="BX414" s="28"/>
      <c r="BY414" s="28"/>
      <c r="BZ414" s="28"/>
      <c r="CA414" s="28"/>
      <c r="CB414" s="28"/>
      <c r="CC414" s="7"/>
      <c r="CD414" s="7"/>
      <c r="CE414" s="29"/>
      <c r="CF414" s="18"/>
      <c r="CG414" s="29"/>
      <c r="CH414" s="29"/>
      <c r="CI414" s="29"/>
      <c r="CJ414" s="29"/>
      <c r="CK414" s="28"/>
      <c r="CL414" s="28"/>
      <c r="CM414" s="7"/>
      <c r="CN414" s="7"/>
      <c r="CO414" s="7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7"/>
      <c r="DG414" s="7"/>
      <c r="DH414" s="7"/>
      <c r="DI414" s="7"/>
      <c r="DJ414" s="7"/>
      <c r="DK414" s="28"/>
      <c r="DL414" s="28"/>
      <c r="DM414" s="7"/>
      <c r="DN414" s="29"/>
      <c r="DO414" s="28"/>
      <c r="DP414" s="28"/>
      <c r="DQ414" s="28"/>
    </row>
    <row r="415" spans="2:121">
      <c r="B415" s="7"/>
      <c r="C415" s="7"/>
      <c r="D415" s="7"/>
      <c r="E415" s="7"/>
      <c r="F415" s="7"/>
      <c r="G415" s="7"/>
      <c r="H415" s="38"/>
      <c r="I415" s="46"/>
      <c r="J415" s="18"/>
      <c r="K415" s="7"/>
      <c r="L415" s="38"/>
      <c r="M415" s="38"/>
      <c r="N415" s="38"/>
      <c r="O415" s="7"/>
      <c r="P415" s="7"/>
      <c r="Q415" s="33"/>
      <c r="R415" s="11"/>
      <c r="S415" s="11"/>
      <c r="T415" s="11" t="s">
        <v>98</v>
      </c>
      <c r="U415" s="12"/>
      <c r="V415" s="11"/>
      <c r="W415" s="13"/>
      <c r="X415" s="9"/>
      <c r="Y415" s="38"/>
      <c r="Z415" s="38"/>
      <c r="AA415" s="38"/>
      <c r="AB415" s="11"/>
      <c r="AC415" s="11"/>
      <c r="AD415" s="7"/>
      <c r="AE415" s="38"/>
      <c r="AF415" s="7"/>
      <c r="AG415" s="46"/>
      <c r="AH415" s="9"/>
      <c r="AI415" s="9"/>
      <c r="AJ415" s="9"/>
      <c r="AK415" s="9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53"/>
      <c r="AZ415" s="46"/>
      <c r="BA415" s="46"/>
      <c r="BB415" s="46"/>
      <c r="BC415" s="46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7"/>
      <c r="BR415" s="28"/>
      <c r="BS415" s="28"/>
      <c r="BT415" s="28"/>
      <c r="BU415" s="28"/>
      <c r="BV415" s="28"/>
      <c r="BW415" s="7"/>
      <c r="BX415" s="28"/>
      <c r="BY415" s="28"/>
      <c r="BZ415" s="28"/>
      <c r="CA415" s="28"/>
      <c r="CB415" s="28"/>
      <c r="CC415" s="7"/>
      <c r="CD415" s="7"/>
      <c r="CE415" s="29"/>
      <c r="CF415" s="18"/>
      <c r="CG415" s="29"/>
      <c r="CH415" s="29"/>
      <c r="CI415" s="29"/>
      <c r="CJ415" s="29"/>
      <c r="CK415" s="28"/>
      <c r="CL415" s="28"/>
      <c r="CM415" s="7"/>
      <c r="CN415" s="7"/>
      <c r="CO415" s="7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7"/>
      <c r="DG415" s="7"/>
      <c r="DH415" s="7"/>
      <c r="DI415" s="7"/>
      <c r="DJ415" s="7"/>
      <c r="DK415" s="28"/>
      <c r="DL415" s="28"/>
      <c r="DM415" s="7"/>
      <c r="DN415" s="29"/>
      <c r="DO415" s="28"/>
      <c r="DP415" s="28"/>
      <c r="DQ415" s="28"/>
    </row>
    <row r="416" spans="2:121">
      <c r="B416" s="7"/>
      <c r="C416" s="7"/>
      <c r="D416" s="7"/>
      <c r="E416" s="7"/>
      <c r="F416" s="7"/>
      <c r="G416" s="7"/>
      <c r="H416" s="38"/>
      <c r="I416" s="46"/>
      <c r="J416" s="18"/>
      <c r="K416" s="7"/>
      <c r="L416" s="38"/>
      <c r="M416" s="38"/>
      <c r="N416" s="38"/>
      <c r="O416" s="7"/>
      <c r="P416" s="7"/>
      <c r="Q416" s="33"/>
      <c r="R416" s="11"/>
      <c r="S416" s="11"/>
      <c r="T416" s="11" t="s">
        <v>98</v>
      </c>
      <c r="U416" s="12"/>
      <c r="V416" s="11"/>
      <c r="W416" s="13"/>
      <c r="X416" s="9"/>
      <c r="Y416" s="38"/>
      <c r="Z416" s="38"/>
      <c r="AA416" s="38"/>
      <c r="AB416" s="11"/>
      <c r="AC416" s="11"/>
      <c r="AD416" s="7"/>
      <c r="AE416" s="38"/>
      <c r="AF416" s="7"/>
      <c r="AG416" s="46"/>
      <c r="AH416" s="9"/>
      <c r="AI416" s="9"/>
      <c r="AJ416" s="9"/>
      <c r="AK416" s="9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53"/>
      <c r="AZ416" s="46"/>
      <c r="BA416" s="46"/>
      <c r="BB416" s="46"/>
      <c r="BC416" s="46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7"/>
      <c r="BR416" s="28"/>
      <c r="BS416" s="28"/>
      <c r="BT416" s="28"/>
      <c r="BU416" s="28"/>
      <c r="BV416" s="28"/>
      <c r="BW416" s="7"/>
      <c r="BX416" s="28"/>
      <c r="BY416" s="28"/>
      <c r="BZ416" s="28"/>
      <c r="CA416" s="28"/>
      <c r="CB416" s="28"/>
      <c r="CC416" s="7"/>
      <c r="CD416" s="7"/>
      <c r="CE416" s="29"/>
      <c r="CF416" s="18"/>
      <c r="CG416" s="29"/>
      <c r="CH416" s="29"/>
      <c r="CI416" s="29"/>
      <c r="CJ416" s="29"/>
      <c r="CK416" s="28"/>
      <c r="CL416" s="28"/>
      <c r="CM416" s="7"/>
      <c r="CN416" s="7"/>
      <c r="CO416" s="7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7"/>
      <c r="DG416" s="7"/>
      <c r="DH416" s="7"/>
      <c r="DI416" s="7"/>
      <c r="DJ416" s="7"/>
      <c r="DK416" s="28"/>
      <c r="DL416" s="28"/>
      <c r="DM416" s="7"/>
      <c r="DN416" s="29"/>
      <c r="DO416" s="28"/>
      <c r="DP416" s="28"/>
      <c r="DQ416" s="28"/>
    </row>
    <row r="417" spans="2:121">
      <c r="B417" s="7"/>
      <c r="C417" s="7"/>
      <c r="D417" s="7"/>
      <c r="E417" s="7"/>
      <c r="F417" s="7"/>
      <c r="G417" s="7"/>
      <c r="H417" s="38"/>
      <c r="I417" s="46"/>
      <c r="J417" s="18"/>
      <c r="K417" s="7"/>
      <c r="L417" s="38"/>
      <c r="M417" s="38"/>
      <c r="N417" s="38"/>
      <c r="O417" s="7"/>
      <c r="P417" s="7"/>
      <c r="Q417" s="33"/>
      <c r="R417" s="11"/>
      <c r="S417" s="11"/>
      <c r="T417" s="11" t="s">
        <v>98</v>
      </c>
      <c r="U417" s="12"/>
      <c r="V417" s="11"/>
      <c r="W417" s="13"/>
      <c r="X417" s="9"/>
      <c r="Y417" s="38"/>
      <c r="Z417" s="38"/>
      <c r="AA417" s="38"/>
      <c r="AB417" s="11"/>
      <c r="AC417" s="11"/>
      <c r="AD417" s="7"/>
      <c r="AE417" s="38"/>
      <c r="AF417" s="7"/>
      <c r="AG417" s="46"/>
      <c r="AH417" s="9"/>
      <c r="AI417" s="9"/>
      <c r="AJ417" s="9"/>
      <c r="AK417" s="9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53"/>
      <c r="AZ417" s="46"/>
      <c r="BA417" s="46"/>
      <c r="BB417" s="46"/>
      <c r="BC417" s="46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7"/>
      <c r="BR417" s="28"/>
      <c r="BS417" s="28"/>
      <c r="BT417" s="28"/>
      <c r="BU417" s="28"/>
      <c r="BV417" s="28"/>
      <c r="BW417" s="7"/>
      <c r="BX417" s="28"/>
      <c r="BY417" s="28"/>
      <c r="BZ417" s="28"/>
      <c r="CA417" s="28"/>
      <c r="CB417" s="28"/>
      <c r="CC417" s="7"/>
      <c r="CD417" s="7"/>
      <c r="CE417" s="29"/>
      <c r="CF417" s="18"/>
      <c r="CG417" s="29"/>
      <c r="CH417" s="29"/>
      <c r="CI417" s="29"/>
      <c r="CJ417" s="29"/>
      <c r="CK417" s="28"/>
      <c r="CL417" s="28"/>
      <c r="CM417" s="7"/>
      <c r="CN417" s="7"/>
      <c r="CO417" s="7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7"/>
      <c r="DG417" s="7"/>
      <c r="DH417" s="7"/>
      <c r="DI417" s="7"/>
      <c r="DJ417" s="7"/>
      <c r="DK417" s="28"/>
      <c r="DL417" s="28"/>
      <c r="DM417" s="7"/>
      <c r="DN417" s="29"/>
      <c r="DO417" s="28"/>
      <c r="DP417" s="28"/>
      <c r="DQ417" s="28"/>
    </row>
    <row r="418" spans="2:121">
      <c r="B418" s="7"/>
      <c r="C418" s="7"/>
      <c r="D418" s="7"/>
      <c r="E418" s="7"/>
      <c r="F418" s="7"/>
      <c r="G418" s="7"/>
      <c r="H418" s="38"/>
      <c r="I418" s="46"/>
      <c r="J418" s="18"/>
      <c r="K418" s="7"/>
      <c r="L418" s="38"/>
      <c r="M418" s="38"/>
      <c r="N418" s="38"/>
      <c r="O418" s="7"/>
      <c r="P418" s="7"/>
      <c r="Q418" s="33"/>
      <c r="R418" s="11"/>
      <c r="S418" s="11"/>
      <c r="T418" s="11" t="s">
        <v>98</v>
      </c>
      <c r="U418" s="12"/>
      <c r="V418" s="11"/>
      <c r="W418" s="13"/>
      <c r="X418" s="9"/>
      <c r="Y418" s="38"/>
      <c r="Z418" s="38"/>
      <c r="AA418" s="38"/>
      <c r="AB418" s="11"/>
      <c r="AC418" s="11"/>
      <c r="AD418" s="7"/>
      <c r="AE418" s="38"/>
      <c r="AF418" s="7"/>
      <c r="AG418" s="46"/>
      <c r="AH418" s="9"/>
      <c r="AI418" s="9"/>
      <c r="AJ418" s="9"/>
      <c r="AK418" s="9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53"/>
      <c r="AZ418" s="46"/>
      <c r="BA418" s="46"/>
      <c r="BB418" s="46"/>
      <c r="BC418" s="46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7"/>
      <c r="BR418" s="28"/>
      <c r="BS418" s="28"/>
      <c r="BT418" s="28"/>
      <c r="BU418" s="28"/>
      <c r="BV418" s="28"/>
      <c r="BW418" s="7"/>
      <c r="BX418" s="28"/>
      <c r="BY418" s="28"/>
      <c r="BZ418" s="28"/>
      <c r="CA418" s="28"/>
      <c r="CB418" s="28"/>
      <c r="CC418" s="7"/>
      <c r="CD418" s="7"/>
      <c r="CE418" s="29"/>
      <c r="CF418" s="18"/>
      <c r="CG418" s="29"/>
      <c r="CH418" s="29"/>
      <c r="CI418" s="29"/>
      <c r="CJ418" s="29"/>
      <c r="CK418" s="28"/>
      <c r="CL418" s="28"/>
      <c r="CM418" s="7"/>
      <c r="CN418" s="7"/>
      <c r="CO418" s="7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7"/>
      <c r="DG418" s="7"/>
      <c r="DH418" s="7"/>
      <c r="DI418" s="7"/>
      <c r="DJ418" s="7"/>
      <c r="DK418" s="28"/>
      <c r="DL418" s="28"/>
      <c r="DM418" s="7"/>
      <c r="DN418" s="29"/>
      <c r="DO418" s="28"/>
      <c r="DP418" s="28"/>
      <c r="DQ418" s="28"/>
    </row>
    <row r="419" spans="2:121">
      <c r="B419" s="7"/>
      <c r="C419" s="7"/>
      <c r="D419" s="7"/>
      <c r="E419" s="7"/>
      <c r="F419" s="7"/>
      <c r="G419" s="7"/>
      <c r="H419" s="38"/>
      <c r="I419" s="46"/>
      <c r="J419" s="18"/>
      <c r="K419" s="7"/>
      <c r="L419" s="38"/>
      <c r="M419" s="38"/>
      <c r="N419" s="38"/>
      <c r="O419" s="7"/>
      <c r="P419" s="7"/>
      <c r="Q419" s="33"/>
      <c r="R419" s="11"/>
      <c r="S419" s="11"/>
      <c r="T419" s="11" t="s">
        <v>98</v>
      </c>
      <c r="U419" s="12"/>
      <c r="V419" s="11"/>
      <c r="W419" s="13"/>
      <c r="X419" s="9"/>
      <c r="Y419" s="38"/>
      <c r="Z419" s="38"/>
      <c r="AA419" s="38"/>
      <c r="AB419" s="11"/>
      <c r="AC419" s="11"/>
      <c r="AD419" s="7"/>
      <c r="AE419" s="38"/>
      <c r="AF419" s="7"/>
      <c r="AG419" s="46"/>
      <c r="AH419" s="9"/>
      <c r="AI419" s="9"/>
      <c r="AJ419" s="9"/>
      <c r="AK419" s="9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53"/>
      <c r="AZ419" s="46"/>
      <c r="BA419" s="46"/>
      <c r="BB419" s="46"/>
      <c r="BC419" s="46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7"/>
      <c r="BR419" s="28"/>
      <c r="BS419" s="28"/>
      <c r="BT419" s="28"/>
      <c r="BU419" s="28"/>
      <c r="BV419" s="28"/>
      <c r="BW419" s="7"/>
      <c r="BX419" s="28"/>
      <c r="BY419" s="28"/>
      <c r="BZ419" s="28"/>
      <c r="CA419" s="28"/>
      <c r="CB419" s="28"/>
      <c r="CC419" s="7"/>
      <c r="CD419" s="7"/>
      <c r="CE419" s="29"/>
      <c r="CF419" s="18"/>
      <c r="CG419" s="29"/>
      <c r="CH419" s="29"/>
      <c r="CI419" s="29"/>
      <c r="CJ419" s="29"/>
      <c r="CK419" s="28"/>
      <c r="CL419" s="28"/>
      <c r="CM419" s="7"/>
      <c r="CN419" s="7"/>
      <c r="CO419" s="7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7"/>
      <c r="DG419" s="7"/>
      <c r="DH419" s="7"/>
      <c r="DI419" s="7"/>
      <c r="DJ419" s="7"/>
      <c r="DK419" s="28"/>
      <c r="DL419" s="28"/>
      <c r="DM419" s="7"/>
      <c r="DN419" s="29"/>
      <c r="DO419" s="28"/>
      <c r="DP419" s="28"/>
      <c r="DQ419" s="28"/>
    </row>
    <row r="420" spans="2:121">
      <c r="B420" s="7"/>
      <c r="C420" s="7"/>
      <c r="D420" s="7"/>
      <c r="E420" s="7"/>
      <c r="F420" s="7"/>
      <c r="G420" s="7"/>
      <c r="H420" s="38"/>
      <c r="I420" s="46"/>
      <c r="J420" s="18"/>
      <c r="K420" s="7"/>
      <c r="L420" s="38"/>
      <c r="M420" s="38"/>
      <c r="N420" s="38"/>
      <c r="O420" s="7"/>
      <c r="P420" s="7"/>
      <c r="Q420" s="33"/>
      <c r="R420" s="11"/>
      <c r="S420" s="11"/>
      <c r="T420" s="11" t="s">
        <v>98</v>
      </c>
      <c r="U420" s="12"/>
      <c r="V420" s="11"/>
      <c r="W420" s="13"/>
      <c r="X420" s="9"/>
      <c r="Y420" s="38"/>
      <c r="Z420" s="38"/>
      <c r="AA420" s="38"/>
      <c r="AB420" s="11"/>
      <c r="AC420" s="11"/>
      <c r="AD420" s="7"/>
      <c r="AE420" s="38"/>
      <c r="AF420" s="7"/>
      <c r="AG420" s="46"/>
      <c r="AH420" s="9"/>
      <c r="AI420" s="9"/>
      <c r="AJ420" s="9"/>
      <c r="AK420" s="9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53"/>
      <c r="AZ420" s="46"/>
      <c r="BA420" s="46"/>
      <c r="BB420" s="46"/>
      <c r="BC420" s="46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7"/>
      <c r="BR420" s="28"/>
      <c r="BS420" s="28"/>
      <c r="BT420" s="28"/>
      <c r="BU420" s="28"/>
      <c r="BV420" s="28"/>
      <c r="BW420" s="7"/>
      <c r="BX420" s="28"/>
      <c r="BY420" s="28"/>
      <c r="BZ420" s="28"/>
      <c r="CA420" s="28"/>
      <c r="CB420" s="28"/>
      <c r="CC420" s="7"/>
      <c r="CD420" s="7"/>
      <c r="CE420" s="29"/>
      <c r="CF420" s="18"/>
      <c r="CG420" s="29"/>
      <c r="CH420" s="29"/>
      <c r="CI420" s="29"/>
      <c r="CJ420" s="29"/>
      <c r="CK420" s="28"/>
      <c r="CL420" s="28"/>
      <c r="CM420" s="7"/>
      <c r="CN420" s="7"/>
      <c r="CO420" s="7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7"/>
      <c r="DG420" s="7"/>
      <c r="DH420" s="7"/>
      <c r="DI420" s="7"/>
      <c r="DJ420" s="7"/>
      <c r="DK420" s="28"/>
      <c r="DL420" s="28"/>
      <c r="DM420" s="7"/>
      <c r="DN420" s="29"/>
      <c r="DO420" s="28"/>
      <c r="DP420" s="28"/>
      <c r="DQ420" s="28"/>
    </row>
    <row r="421" spans="2:121">
      <c r="B421" s="7"/>
      <c r="C421" s="7"/>
      <c r="D421" s="7"/>
      <c r="E421" s="7"/>
      <c r="F421" s="7"/>
      <c r="G421" s="7"/>
      <c r="H421" s="38"/>
      <c r="I421" s="46"/>
      <c r="J421" s="18"/>
      <c r="K421" s="7"/>
      <c r="L421" s="38"/>
      <c r="M421" s="38"/>
      <c r="N421" s="38"/>
      <c r="O421" s="7"/>
      <c r="P421" s="7"/>
      <c r="Q421" s="33"/>
      <c r="R421" s="11"/>
      <c r="S421" s="11"/>
      <c r="T421" s="11" t="s">
        <v>98</v>
      </c>
      <c r="U421" s="12"/>
      <c r="V421" s="11"/>
      <c r="W421" s="13"/>
      <c r="X421" s="9"/>
      <c r="Y421" s="38"/>
      <c r="Z421" s="38"/>
      <c r="AA421" s="38"/>
      <c r="AB421" s="11"/>
      <c r="AC421" s="11"/>
      <c r="AD421" s="7"/>
      <c r="AE421" s="38"/>
      <c r="AF421" s="7"/>
      <c r="AG421" s="46"/>
      <c r="AH421" s="9"/>
      <c r="AI421" s="9"/>
      <c r="AJ421" s="9"/>
      <c r="AK421" s="9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53"/>
      <c r="AZ421" s="46"/>
      <c r="BA421" s="46"/>
      <c r="BB421" s="46"/>
      <c r="BC421" s="46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7"/>
      <c r="BR421" s="28"/>
      <c r="BS421" s="28"/>
      <c r="BT421" s="28"/>
      <c r="BU421" s="28"/>
      <c r="BV421" s="28"/>
      <c r="BW421" s="7"/>
      <c r="BX421" s="28"/>
      <c r="BY421" s="28"/>
      <c r="BZ421" s="28"/>
      <c r="CA421" s="28"/>
      <c r="CB421" s="28"/>
      <c r="CC421" s="7"/>
      <c r="CD421" s="7"/>
      <c r="CE421" s="29"/>
      <c r="CF421" s="18"/>
      <c r="CG421" s="29"/>
      <c r="CH421" s="29"/>
      <c r="CI421" s="29"/>
      <c r="CJ421" s="29"/>
      <c r="CK421" s="28"/>
      <c r="CL421" s="28"/>
      <c r="CM421" s="7"/>
      <c r="CN421" s="7"/>
      <c r="CO421" s="7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7"/>
      <c r="DG421" s="7"/>
      <c r="DH421" s="7"/>
      <c r="DI421" s="7"/>
      <c r="DJ421" s="7"/>
      <c r="DK421" s="28"/>
      <c r="DL421" s="28"/>
      <c r="DM421" s="7"/>
      <c r="DN421" s="29"/>
      <c r="DO421" s="28"/>
      <c r="DP421" s="28"/>
      <c r="DQ421" s="28"/>
    </row>
    <row r="422" spans="2:121">
      <c r="B422" s="7"/>
      <c r="C422" s="7"/>
      <c r="D422" s="7"/>
      <c r="E422" s="7"/>
      <c r="F422" s="7"/>
      <c r="G422" s="7"/>
      <c r="H422" s="38"/>
      <c r="I422" s="46"/>
      <c r="J422" s="18"/>
      <c r="K422" s="7"/>
      <c r="L422" s="38"/>
      <c r="M422" s="38"/>
      <c r="N422" s="38"/>
      <c r="O422" s="7"/>
      <c r="P422" s="7"/>
      <c r="Q422" s="33"/>
      <c r="R422" s="11"/>
      <c r="S422" s="11"/>
      <c r="T422" s="11" t="s">
        <v>98</v>
      </c>
      <c r="U422" s="12"/>
      <c r="V422" s="11"/>
      <c r="W422" s="13"/>
      <c r="X422" s="9"/>
      <c r="Y422" s="38"/>
      <c r="Z422" s="38"/>
      <c r="AA422" s="38"/>
      <c r="AB422" s="11"/>
      <c r="AC422" s="11"/>
      <c r="AD422" s="7"/>
      <c r="AE422" s="38"/>
      <c r="AF422" s="7"/>
      <c r="AG422" s="46"/>
      <c r="AH422" s="9"/>
      <c r="AI422" s="9"/>
      <c r="AJ422" s="9"/>
      <c r="AK422" s="9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53"/>
      <c r="AZ422" s="46"/>
      <c r="BA422" s="46"/>
      <c r="BB422" s="46"/>
      <c r="BC422" s="46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7"/>
      <c r="BR422" s="28"/>
      <c r="BS422" s="28"/>
      <c r="BT422" s="28"/>
      <c r="BU422" s="28"/>
      <c r="BV422" s="28"/>
      <c r="BW422" s="7"/>
      <c r="BX422" s="28"/>
      <c r="BY422" s="28"/>
      <c r="BZ422" s="28"/>
      <c r="CA422" s="28"/>
      <c r="CB422" s="28"/>
      <c r="CC422" s="7"/>
      <c r="CD422" s="7"/>
      <c r="CE422" s="29"/>
      <c r="CF422" s="18"/>
      <c r="CG422" s="29"/>
      <c r="CH422" s="29"/>
      <c r="CI422" s="29"/>
      <c r="CJ422" s="29"/>
      <c r="CK422" s="28"/>
      <c r="CL422" s="28"/>
      <c r="CM422" s="7"/>
      <c r="CN422" s="7"/>
      <c r="CO422" s="7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7"/>
      <c r="DG422" s="7"/>
      <c r="DH422" s="7"/>
      <c r="DI422" s="7"/>
      <c r="DJ422" s="7"/>
      <c r="DK422" s="28"/>
      <c r="DL422" s="28"/>
      <c r="DM422" s="7"/>
      <c r="DN422" s="29"/>
      <c r="DO422" s="28"/>
      <c r="DP422" s="28"/>
      <c r="DQ422" s="28"/>
    </row>
    <row r="423" spans="2:121">
      <c r="B423" s="7"/>
      <c r="C423" s="7"/>
      <c r="D423" s="7"/>
      <c r="E423" s="7"/>
      <c r="F423" s="7"/>
      <c r="G423" s="7"/>
      <c r="H423" s="38"/>
      <c r="I423" s="46"/>
      <c r="J423" s="18"/>
      <c r="K423" s="7"/>
      <c r="L423" s="38"/>
      <c r="M423" s="38"/>
      <c r="N423" s="38"/>
      <c r="O423" s="7"/>
      <c r="P423" s="7"/>
      <c r="Q423" s="33"/>
      <c r="R423" s="11"/>
      <c r="S423" s="11"/>
      <c r="T423" s="11" t="s">
        <v>98</v>
      </c>
      <c r="U423" s="12"/>
      <c r="V423" s="11"/>
      <c r="W423" s="13"/>
      <c r="X423" s="9"/>
      <c r="Y423" s="38"/>
      <c r="Z423" s="38"/>
      <c r="AA423" s="38"/>
      <c r="AB423" s="11"/>
      <c r="AC423" s="11"/>
      <c r="AD423" s="7"/>
      <c r="AE423" s="38"/>
      <c r="AF423" s="7"/>
      <c r="AG423" s="46"/>
      <c r="AH423" s="9"/>
      <c r="AI423" s="9"/>
      <c r="AJ423" s="9"/>
      <c r="AK423" s="9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53"/>
      <c r="AZ423" s="46"/>
      <c r="BA423" s="46"/>
      <c r="BB423" s="46"/>
      <c r="BC423" s="46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7"/>
      <c r="BR423" s="28"/>
      <c r="BS423" s="28"/>
      <c r="BT423" s="28"/>
      <c r="BU423" s="28"/>
      <c r="BV423" s="28"/>
      <c r="BW423" s="7"/>
      <c r="BX423" s="28"/>
      <c r="BY423" s="28"/>
      <c r="BZ423" s="28"/>
      <c r="CA423" s="28"/>
      <c r="CB423" s="28"/>
      <c r="CC423" s="7"/>
      <c r="CD423" s="7"/>
      <c r="CE423" s="29"/>
      <c r="CF423" s="18"/>
      <c r="CG423" s="29"/>
      <c r="CH423" s="29"/>
      <c r="CI423" s="29"/>
      <c r="CJ423" s="29"/>
      <c r="CK423" s="28"/>
      <c r="CL423" s="28"/>
      <c r="CM423" s="7"/>
      <c r="CN423" s="7"/>
      <c r="CO423" s="7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7"/>
      <c r="DG423" s="7"/>
      <c r="DH423" s="7"/>
      <c r="DI423" s="7"/>
      <c r="DJ423" s="7"/>
      <c r="DK423" s="28"/>
      <c r="DL423" s="28"/>
      <c r="DM423" s="7"/>
      <c r="DN423" s="29"/>
      <c r="DO423" s="28"/>
      <c r="DP423" s="28"/>
      <c r="DQ423" s="28"/>
    </row>
    <row r="424" spans="2:121">
      <c r="B424" s="7"/>
      <c r="C424" s="7"/>
      <c r="D424" s="7"/>
      <c r="E424" s="7"/>
      <c r="F424" s="7"/>
      <c r="G424" s="7"/>
      <c r="H424" s="38"/>
      <c r="I424" s="46"/>
      <c r="J424" s="18"/>
      <c r="K424" s="7"/>
      <c r="L424" s="38"/>
      <c r="M424" s="38"/>
      <c r="N424" s="38"/>
      <c r="O424" s="7"/>
      <c r="P424" s="7"/>
      <c r="Q424" s="33"/>
      <c r="R424" s="11"/>
      <c r="S424" s="11"/>
      <c r="T424" s="11" t="s">
        <v>98</v>
      </c>
      <c r="U424" s="12"/>
      <c r="V424" s="11"/>
      <c r="W424" s="13"/>
      <c r="X424" s="9"/>
      <c r="Y424" s="38"/>
      <c r="Z424" s="38"/>
      <c r="AA424" s="38"/>
      <c r="AB424" s="11"/>
      <c r="AC424" s="11"/>
      <c r="AD424" s="7"/>
      <c r="AE424" s="38"/>
      <c r="AF424" s="7"/>
      <c r="AG424" s="46"/>
      <c r="AH424" s="9"/>
      <c r="AI424" s="9"/>
      <c r="AJ424" s="9"/>
      <c r="AK424" s="9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53"/>
      <c r="AZ424" s="46"/>
      <c r="BA424" s="46"/>
      <c r="BB424" s="46"/>
      <c r="BC424" s="46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7"/>
      <c r="BR424" s="28"/>
      <c r="BS424" s="28"/>
      <c r="BT424" s="28"/>
      <c r="BU424" s="28"/>
      <c r="BV424" s="28"/>
      <c r="BW424" s="7"/>
      <c r="BX424" s="28"/>
      <c r="BY424" s="28"/>
      <c r="BZ424" s="28"/>
      <c r="CA424" s="28"/>
      <c r="CB424" s="28"/>
      <c r="CC424" s="7"/>
      <c r="CD424" s="7"/>
      <c r="CE424" s="29"/>
      <c r="CF424" s="18"/>
      <c r="CG424" s="29"/>
      <c r="CH424" s="29"/>
      <c r="CI424" s="29"/>
      <c r="CJ424" s="29"/>
      <c r="CK424" s="28"/>
      <c r="CL424" s="28"/>
      <c r="CM424" s="7"/>
      <c r="CN424" s="7"/>
      <c r="CO424" s="7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7"/>
      <c r="DG424" s="7"/>
      <c r="DH424" s="7"/>
      <c r="DI424" s="7"/>
      <c r="DJ424" s="7"/>
      <c r="DK424" s="28"/>
      <c r="DL424" s="28"/>
      <c r="DM424" s="7"/>
      <c r="DN424" s="29"/>
      <c r="DO424" s="28"/>
      <c r="DP424" s="28"/>
      <c r="DQ424" s="28"/>
    </row>
    <row r="425" spans="2:121">
      <c r="B425" s="7"/>
      <c r="C425" s="7"/>
      <c r="D425" s="7"/>
      <c r="E425" s="7"/>
      <c r="F425" s="7"/>
      <c r="G425" s="7"/>
      <c r="H425" s="38"/>
      <c r="I425" s="46"/>
      <c r="J425" s="18"/>
      <c r="K425" s="7"/>
      <c r="L425" s="38"/>
      <c r="M425" s="38"/>
      <c r="N425" s="38"/>
      <c r="O425" s="7"/>
      <c r="P425" s="7"/>
      <c r="Q425" s="33"/>
      <c r="R425" s="11"/>
      <c r="S425" s="11"/>
      <c r="T425" s="11" t="s">
        <v>98</v>
      </c>
      <c r="U425" s="12"/>
      <c r="V425" s="11"/>
      <c r="W425" s="13"/>
      <c r="X425" s="9"/>
      <c r="Y425" s="38"/>
      <c r="Z425" s="38"/>
      <c r="AA425" s="38"/>
      <c r="AB425" s="11"/>
      <c r="AC425" s="11"/>
      <c r="AD425" s="7"/>
      <c r="AE425" s="38"/>
      <c r="AF425" s="7"/>
      <c r="AG425" s="46"/>
      <c r="AH425" s="9"/>
      <c r="AI425" s="9"/>
      <c r="AJ425" s="9"/>
      <c r="AK425" s="9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53"/>
      <c r="AZ425" s="46"/>
      <c r="BA425" s="46"/>
      <c r="BB425" s="46"/>
      <c r="BC425" s="46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7"/>
      <c r="BR425" s="28"/>
      <c r="BS425" s="28"/>
      <c r="BT425" s="28"/>
      <c r="BU425" s="28"/>
      <c r="BV425" s="28"/>
      <c r="BW425" s="7"/>
      <c r="BX425" s="28"/>
      <c r="BY425" s="28"/>
      <c r="BZ425" s="28"/>
      <c r="CA425" s="28"/>
      <c r="CB425" s="28"/>
      <c r="CC425" s="7"/>
      <c r="CD425" s="7"/>
      <c r="CE425" s="29"/>
      <c r="CF425" s="18"/>
      <c r="CG425" s="29"/>
      <c r="CH425" s="29"/>
      <c r="CI425" s="29"/>
      <c r="CJ425" s="29"/>
      <c r="CK425" s="28"/>
      <c r="CL425" s="28"/>
      <c r="CM425" s="7"/>
      <c r="CN425" s="7"/>
      <c r="CO425" s="7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7"/>
      <c r="DG425" s="7"/>
      <c r="DH425" s="7"/>
      <c r="DI425" s="7"/>
      <c r="DJ425" s="7"/>
      <c r="DK425" s="28"/>
      <c r="DL425" s="28"/>
      <c r="DM425" s="7"/>
      <c r="DN425" s="29"/>
      <c r="DO425" s="28"/>
      <c r="DP425" s="28"/>
      <c r="DQ425" s="28"/>
    </row>
    <row r="426" spans="2:121">
      <c r="B426" s="7"/>
      <c r="C426" s="7"/>
      <c r="D426" s="7"/>
      <c r="E426" s="7"/>
      <c r="F426" s="7"/>
      <c r="G426" s="7"/>
      <c r="H426" s="38"/>
      <c r="I426" s="46"/>
      <c r="J426" s="18"/>
      <c r="K426" s="7"/>
      <c r="L426" s="38"/>
      <c r="M426" s="38"/>
      <c r="N426" s="38"/>
      <c r="O426" s="7"/>
      <c r="P426" s="7"/>
      <c r="Q426" s="33"/>
      <c r="R426" s="11"/>
      <c r="S426" s="11"/>
      <c r="T426" s="11" t="s">
        <v>98</v>
      </c>
      <c r="U426" s="12"/>
      <c r="V426" s="11"/>
      <c r="W426" s="13"/>
      <c r="X426" s="9"/>
      <c r="Y426" s="38"/>
      <c r="Z426" s="38"/>
      <c r="AA426" s="38"/>
      <c r="AB426" s="11"/>
      <c r="AC426" s="11"/>
      <c r="AD426" s="7"/>
      <c r="AE426" s="38"/>
      <c r="AF426" s="7"/>
      <c r="AG426" s="46"/>
      <c r="AH426" s="9"/>
      <c r="AI426" s="9"/>
      <c r="AJ426" s="9"/>
      <c r="AK426" s="9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53"/>
      <c r="AZ426" s="46"/>
      <c r="BA426" s="46"/>
      <c r="BB426" s="46"/>
      <c r="BC426" s="46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7"/>
      <c r="BR426" s="28"/>
      <c r="BS426" s="28"/>
      <c r="BT426" s="28"/>
      <c r="BU426" s="28"/>
      <c r="BV426" s="28"/>
      <c r="BW426" s="7"/>
      <c r="BX426" s="28"/>
      <c r="BY426" s="28"/>
      <c r="BZ426" s="28"/>
      <c r="CA426" s="28"/>
      <c r="CB426" s="28"/>
      <c r="CC426" s="7"/>
      <c r="CD426" s="7"/>
      <c r="CE426" s="29"/>
      <c r="CF426" s="18"/>
      <c r="CG426" s="29"/>
      <c r="CH426" s="29"/>
      <c r="CI426" s="29"/>
      <c r="CJ426" s="29"/>
      <c r="CK426" s="28"/>
      <c r="CL426" s="28"/>
      <c r="CM426" s="7"/>
      <c r="CN426" s="7"/>
      <c r="CO426" s="7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7"/>
      <c r="DG426" s="7"/>
      <c r="DH426" s="7"/>
      <c r="DI426" s="7"/>
      <c r="DJ426" s="7"/>
      <c r="DK426" s="28"/>
      <c r="DL426" s="28"/>
      <c r="DM426" s="7"/>
      <c r="DN426" s="29"/>
      <c r="DO426" s="28"/>
      <c r="DP426" s="28"/>
      <c r="DQ426" s="28"/>
    </row>
    <row r="427" spans="2:121">
      <c r="B427" s="7"/>
      <c r="C427" s="7"/>
      <c r="D427" s="7"/>
      <c r="E427" s="7"/>
      <c r="F427" s="7"/>
      <c r="G427" s="7"/>
      <c r="H427" s="38"/>
      <c r="I427" s="46"/>
      <c r="J427" s="18"/>
      <c r="K427" s="7"/>
      <c r="L427" s="38"/>
      <c r="M427" s="38"/>
      <c r="N427" s="38"/>
      <c r="O427" s="7"/>
      <c r="P427" s="7"/>
      <c r="Q427" s="33"/>
      <c r="R427" s="11"/>
      <c r="S427" s="11"/>
      <c r="T427" s="11" t="s">
        <v>98</v>
      </c>
      <c r="U427" s="12"/>
      <c r="V427" s="11"/>
      <c r="W427" s="13"/>
      <c r="X427" s="9"/>
      <c r="Y427" s="38"/>
      <c r="Z427" s="38"/>
      <c r="AA427" s="38"/>
      <c r="AB427" s="11"/>
      <c r="AC427" s="11"/>
      <c r="AD427" s="7"/>
      <c r="AE427" s="38"/>
      <c r="AF427" s="7"/>
      <c r="AG427" s="46"/>
      <c r="AH427" s="9"/>
      <c r="AI427" s="9"/>
      <c r="AJ427" s="9"/>
      <c r="AK427" s="9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53"/>
      <c r="AZ427" s="46"/>
      <c r="BA427" s="46"/>
      <c r="BB427" s="46"/>
      <c r="BC427" s="46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7"/>
      <c r="BR427" s="28"/>
      <c r="BS427" s="28"/>
      <c r="BT427" s="28"/>
      <c r="BU427" s="28"/>
      <c r="BV427" s="28"/>
      <c r="BW427" s="7"/>
      <c r="BX427" s="28"/>
      <c r="BY427" s="28"/>
      <c r="BZ427" s="28"/>
      <c r="CA427" s="28"/>
      <c r="CB427" s="28"/>
      <c r="CC427" s="7"/>
      <c r="CD427" s="7"/>
      <c r="CE427" s="29"/>
      <c r="CF427" s="18"/>
      <c r="CG427" s="29"/>
      <c r="CH427" s="29"/>
      <c r="CI427" s="29"/>
      <c r="CJ427" s="29"/>
      <c r="CK427" s="28"/>
      <c r="CL427" s="28"/>
      <c r="CM427" s="7"/>
      <c r="CN427" s="7"/>
      <c r="CO427" s="7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7"/>
      <c r="DG427" s="7"/>
      <c r="DH427" s="7"/>
      <c r="DI427" s="7"/>
      <c r="DJ427" s="7"/>
      <c r="DK427" s="28"/>
      <c r="DL427" s="28"/>
      <c r="DM427" s="7"/>
      <c r="DN427" s="29"/>
      <c r="DO427" s="28"/>
      <c r="DP427" s="28"/>
      <c r="DQ427" s="28"/>
    </row>
    <row r="428" spans="2:121">
      <c r="B428" s="7"/>
      <c r="C428" s="7"/>
      <c r="D428" s="7"/>
      <c r="E428" s="7"/>
      <c r="F428" s="7"/>
      <c r="G428" s="7"/>
      <c r="H428" s="38"/>
      <c r="I428" s="46"/>
      <c r="J428" s="18"/>
      <c r="K428" s="7"/>
      <c r="L428" s="38"/>
      <c r="M428" s="38"/>
      <c r="N428" s="38"/>
      <c r="O428" s="7"/>
      <c r="P428" s="7"/>
      <c r="Q428" s="33"/>
      <c r="R428" s="11"/>
      <c r="S428" s="11"/>
      <c r="T428" s="11" t="s">
        <v>98</v>
      </c>
      <c r="U428" s="12"/>
      <c r="V428" s="11"/>
      <c r="W428" s="13"/>
      <c r="X428" s="9"/>
      <c r="Y428" s="38"/>
      <c r="Z428" s="38"/>
      <c r="AA428" s="38"/>
      <c r="AB428" s="11"/>
      <c r="AC428" s="11"/>
      <c r="AD428" s="7"/>
      <c r="AE428" s="38"/>
      <c r="AF428" s="7"/>
      <c r="AG428" s="46"/>
      <c r="AH428" s="9"/>
      <c r="AI428" s="9"/>
      <c r="AJ428" s="9"/>
      <c r="AK428" s="9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53"/>
      <c r="AZ428" s="46"/>
      <c r="BA428" s="46"/>
      <c r="BB428" s="46"/>
      <c r="BC428" s="46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7"/>
      <c r="BR428" s="28"/>
      <c r="BS428" s="28"/>
      <c r="BT428" s="28"/>
      <c r="BU428" s="28"/>
      <c r="BV428" s="28"/>
      <c r="BW428" s="7"/>
      <c r="BX428" s="28"/>
      <c r="BY428" s="28"/>
      <c r="BZ428" s="28"/>
      <c r="CA428" s="28"/>
      <c r="CB428" s="28"/>
      <c r="CC428" s="7"/>
      <c r="CD428" s="7"/>
      <c r="CE428" s="29"/>
      <c r="CF428" s="18"/>
      <c r="CG428" s="29"/>
      <c r="CH428" s="29"/>
      <c r="CI428" s="29"/>
      <c r="CJ428" s="29"/>
      <c r="CK428" s="28"/>
      <c r="CL428" s="28"/>
      <c r="CM428" s="7"/>
      <c r="CN428" s="7"/>
      <c r="CO428" s="7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7"/>
      <c r="DG428" s="7"/>
      <c r="DH428" s="7"/>
      <c r="DI428" s="7"/>
      <c r="DJ428" s="7"/>
      <c r="DK428" s="28"/>
      <c r="DL428" s="28"/>
      <c r="DM428" s="7"/>
      <c r="DN428" s="29"/>
      <c r="DO428" s="28"/>
      <c r="DP428" s="28"/>
      <c r="DQ428" s="28"/>
    </row>
    <row r="429" spans="2:121">
      <c r="B429" s="7"/>
      <c r="C429" s="7"/>
      <c r="D429" s="7"/>
      <c r="E429" s="7"/>
      <c r="F429" s="7"/>
      <c r="G429" s="7"/>
      <c r="H429" s="38"/>
      <c r="I429" s="46"/>
      <c r="J429" s="18"/>
      <c r="K429" s="7"/>
      <c r="L429" s="38"/>
      <c r="M429" s="38"/>
      <c r="N429" s="38"/>
      <c r="O429" s="7"/>
      <c r="P429" s="7"/>
      <c r="Q429" s="33"/>
      <c r="R429" s="11"/>
      <c r="S429" s="11"/>
      <c r="T429" s="11" t="s">
        <v>98</v>
      </c>
      <c r="U429" s="12"/>
      <c r="V429" s="11"/>
      <c r="W429" s="13"/>
      <c r="X429" s="9"/>
      <c r="Y429" s="38"/>
      <c r="Z429" s="38"/>
      <c r="AA429" s="38"/>
      <c r="AB429" s="11"/>
      <c r="AC429" s="11"/>
      <c r="AD429" s="7"/>
      <c r="AE429" s="38"/>
      <c r="AF429" s="7"/>
      <c r="AG429" s="46"/>
      <c r="AH429" s="9"/>
      <c r="AI429" s="9"/>
      <c r="AJ429" s="9"/>
      <c r="AK429" s="9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53"/>
      <c r="AZ429" s="46"/>
      <c r="BA429" s="46"/>
      <c r="BB429" s="46"/>
      <c r="BC429" s="46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7"/>
      <c r="BR429" s="28"/>
      <c r="BS429" s="28"/>
      <c r="BT429" s="28"/>
      <c r="BU429" s="28"/>
      <c r="BV429" s="28"/>
      <c r="BW429" s="7"/>
      <c r="BX429" s="28"/>
      <c r="BY429" s="28"/>
      <c r="BZ429" s="28"/>
      <c r="CA429" s="28"/>
      <c r="CB429" s="28"/>
      <c r="CC429" s="7"/>
      <c r="CD429" s="7"/>
      <c r="CE429" s="29"/>
      <c r="CF429" s="18"/>
      <c r="CG429" s="29"/>
      <c r="CH429" s="29"/>
      <c r="CI429" s="29"/>
      <c r="CJ429" s="29"/>
      <c r="CK429" s="28"/>
      <c r="CL429" s="28"/>
      <c r="CM429" s="7"/>
      <c r="CN429" s="7"/>
      <c r="CO429" s="7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7"/>
      <c r="DG429" s="7"/>
      <c r="DH429" s="7"/>
      <c r="DI429" s="7"/>
      <c r="DJ429" s="7"/>
      <c r="DK429" s="28"/>
      <c r="DL429" s="28"/>
      <c r="DM429" s="7"/>
      <c r="DN429" s="29"/>
      <c r="DO429" s="28"/>
      <c r="DP429" s="28"/>
      <c r="DQ429" s="28"/>
    </row>
    <row r="430" spans="2:121">
      <c r="B430" s="7"/>
      <c r="C430" s="7"/>
      <c r="D430" s="7"/>
      <c r="E430" s="7"/>
      <c r="F430" s="7"/>
      <c r="G430" s="7"/>
      <c r="H430" s="38"/>
      <c r="I430" s="46"/>
      <c r="J430" s="18"/>
      <c r="K430" s="7"/>
      <c r="L430" s="38"/>
      <c r="M430" s="38"/>
      <c r="N430" s="38"/>
      <c r="O430" s="7"/>
      <c r="P430" s="7"/>
      <c r="Q430" s="33"/>
      <c r="R430" s="11"/>
      <c r="S430" s="11"/>
      <c r="T430" s="11" t="s">
        <v>98</v>
      </c>
      <c r="U430" s="12"/>
      <c r="V430" s="11"/>
      <c r="W430" s="13"/>
      <c r="X430" s="9"/>
      <c r="Y430" s="38"/>
      <c r="Z430" s="38"/>
      <c r="AA430" s="38"/>
      <c r="AB430" s="11"/>
      <c r="AC430" s="11"/>
      <c r="AD430" s="7"/>
      <c r="AE430" s="38"/>
      <c r="AF430" s="7"/>
      <c r="AG430" s="46"/>
      <c r="AH430" s="9"/>
      <c r="AI430" s="9"/>
      <c r="AJ430" s="9"/>
      <c r="AK430" s="9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53"/>
      <c r="AZ430" s="46"/>
      <c r="BA430" s="46"/>
      <c r="BB430" s="46"/>
      <c r="BC430" s="46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7"/>
      <c r="BR430" s="28"/>
      <c r="BS430" s="28"/>
      <c r="BT430" s="28"/>
      <c r="BU430" s="28"/>
      <c r="BV430" s="28"/>
      <c r="BW430" s="7"/>
      <c r="BX430" s="28"/>
      <c r="BY430" s="28"/>
      <c r="BZ430" s="28"/>
      <c r="CA430" s="28"/>
      <c r="CB430" s="28"/>
      <c r="CC430" s="7"/>
      <c r="CD430" s="7"/>
      <c r="CE430" s="29"/>
      <c r="CF430" s="18"/>
      <c r="CG430" s="29"/>
      <c r="CH430" s="29"/>
      <c r="CI430" s="29"/>
      <c r="CJ430" s="29"/>
      <c r="CK430" s="28"/>
      <c r="CL430" s="28"/>
      <c r="CM430" s="7"/>
      <c r="CN430" s="7"/>
      <c r="CO430" s="7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7"/>
      <c r="DG430" s="7"/>
      <c r="DH430" s="7"/>
      <c r="DI430" s="7"/>
      <c r="DJ430" s="7"/>
      <c r="DK430" s="28"/>
      <c r="DL430" s="28"/>
      <c r="DM430" s="7"/>
      <c r="DN430" s="29"/>
      <c r="DO430" s="28"/>
      <c r="DP430" s="28"/>
      <c r="DQ430" s="28"/>
    </row>
    <row r="431" spans="2:121">
      <c r="B431" s="7"/>
      <c r="C431" s="7"/>
      <c r="D431" s="7"/>
      <c r="E431" s="7"/>
      <c r="F431" s="7"/>
      <c r="G431" s="7"/>
      <c r="H431" s="38"/>
      <c r="I431" s="46"/>
      <c r="J431" s="18"/>
      <c r="K431" s="7"/>
      <c r="L431" s="38"/>
      <c r="M431" s="38"/>
      <c r="N431" s="38"/>
      <c r="O431" s="7"/>
      <c r="P431" s="7"/>
      <c r="Q431" s="33"/>
      <c r="R431" s="11"/>
      <c r="S431" s="11"/>
      <c r="T431" s="11" t="s">
        <v>98</v>
      </c>
      <c r="U431" s="12"/>
      <c r="V431" s="11"/>
      <c r="W431" s="13"/>
      <c r="X431" s="9"/>
      <c r="Y431" s="38"/>
      <c r="Z431" s="38"/>
      <c r="AA431" s="38"/>
      <c r="AB431" s="11"/>
      <c r="AC431" s="11"/>
      <c r="AD431" s="7"/>
      <c r="AE431" s="38"/>
      <c r="AF431" s="7"/>
      <c r="AG431" s="46"/>
      <c r="AH431" s="9"/>
      <c r="AI431" s="9"/>
      <c r="AJ431" s="9"/>
      <c r="AK431" s="9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53"/>
      <c r="AZ431" s="46"/>
      <c r="BA431" s="46"/>
      <c r="BB431" s="46"/>
      <c r="BC431" s="46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7"/>
      <c r="BR431" s="28"/>
      <c r="BS431" s="28"/>
      <c r="BT431" s="28"/>
      <c r="BU431" s="28"/>
      <c r="BV431" s="28"/>
      <c r="BW431" s="7"/>
      <c r="BX431" s="28"/>
      <c r="BY431" s="28"/>
      <c r="BZ431" s="28"/>
      <c r="CA431" s="28"/>
      <c r="CB431" s="28"/>
      <c r="CC431" s="7"/>
      <c r="CD431" s="7"/>
      <c r="CE431" s="29"/>
      <c r="CF431" s="18"/>
      <c r="CG431" s="29"/>
      <c r="CH431" s="29"/>
      <c r="CI431" s="29"/>
      <c r="CJ431" s="29"/>
      <c r="CK431" s="28"/>
      <c r="CL431" s="28"/>
      <c r="CM431" s="7"/>
      <c r="CN431" s="7"/>
      <c r="CO431" s="7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7"/>
      <c r="DG431" s="7"/>
      <c r="DH431" s="7"/>
      <c r="DI431" s="7"/>
      <c r="DJ431" s="7"/>
      <c r="DK431" s="28"/>
      <c r="DL431" s="28"/>
      <c r="DM431" s="7"/>
      <c r="DN431" s="29"/>
      <c r="DO431" s="28"/>
      <c r="DP431" s="28"/>
      <c r="DQ431" s="28"/>
    </row>
    <row r="432" spans="2:121">
      <c r="B432" s="7"/>
      <c r="C432" s="7"/>
      <c r="D432" s="7"/>
      <c r="E432" s="7"/>
      <c r="F432" s="7"/>
      <c r="G432" s="7"/>
      <c r="H432" s="38"/>
      <c r="I432" s="46"/>
      <c r="J432" s="18"/>
      <c r="K432" s="7"/>
      <c r="L432" s="38"/>
      <c r="M432" s="38"/>
      <c r="N432" s="38"/>
      <c r="O432" s="7"/>
      <c r="P432" s="7"/>
      <c r="Q432" s="33"/>
      <c r="R432" s="11"/>
      <c r="S432" s="11"/>
      <c r="T432" s="11" t="s">
        <v>98</v>
      </c>
      <c r="U432" s="12"/>
      <c r="V432" s="11"/>
      <c r="W432" s="13"/>
      <c r="X432" s="9"/>
      <c r="Y432" s="38"/>
      <c r="Z432" s="38"/>
      <c r="AA432" s="38"/>
      <c r="AB432" s="11"/>
      <c r="AC432" s="11"/>
      <c r="AD432" s="7"/>
      <c r="AE432" s="38"/>
      <c r="AF432" s="7"/>
      <c r="AG432" s="46"/>
      <c r="AH432" s="9"/>
      <c r="AI432" s="9"/>
      <c r="AJ432" s="9"/>
      <c r="AK432" s="9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53"/>
      <c r="AZ432" s="46"/>
      <c r="BA432" s="46"/>
      <c r="BB432" s="46"/>
      <c r="BC432" s="46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7"/>
      <c r="BR432" s="28"/>
      <c r="BS432" s="28"/>
      <c r="BT432" s="28"/>
      <c r="BU432" s="28"/>
      <c r="BV432" s="28"/>
      <c r="BW432" s="7"/>
      <c r="BX432" s="28"/>
      <c r="BY432" s="28"/>
      <c r="BZ432" s="28"/>
      <c r="CA432" s="28"/>
      <c r="CB432" s="28"/>
      <c r="CC432" s="7"/>
      <c r="CD432" s="7"/>
      <c r="CE432" s="29"/>
      <c r="CF432" s="18"/>
      <c r="CG432" s="29"/>
      <c r="CH432" s="29"/>
      <c r="CI432" s="29"/>
      <c r="CJ432" s="29"/>
      <c r="CK432" s="28"/>
      <c r="CL432" s="28"/>
      <c r="CM432" s="7"/>
      <c r="CN432" s="7"/>
      <c r="CO432" s="7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7"/>
      <c r="DG432" s="7"/>
      <c r="DH432" s="7"/>
      <c r="DI432" s="7"/>
      <c r="DJ432" s="7"/>
      <c r="DK432" s="28"/>
      <c r="DL432" s="28"/>
      <c r="DM432" s="7"/>
      <c r="DN432" s="29"/>
      <c r="DO432" s="28"/>
      <c r="DP432" s="28"/>
      <c r="DQ432" s="28"/>
    </row>
    <row r="433" spans="2:121">
      <c r="B433" s="7"/>
      <c r="C433" s="7"/>
      <c r="D433" s="7"/>
      <c r="E433" s="7"/>
      <c r="F433" s="7"/>
      <c r="G433" s="7"/>
      <c r="H433" s="38"/>
      <c r="I433" s="46"/>
      <c r="J433" s="18"/>
      <c r="K433" s="7"/>
      <c r="L433" s="38"/>
      <c r="M433" s="38"/>
      <c r="N433" s="38"/>
      <c r="O433" s="7"/>
      <c r="P433" s="7"/>
      <c r="Q433" s="33"/>
      <c r="R433" s="11"/>
      <c r="S433" s="11"/>
      <c r="T433" s="11" t="s">
        <v>98</v>
      </c>
      <c r="U433" s="12"/>
      <c r="V433" s="11"/>
      <c r="W433" s="13"/>
      <c r="X433" s="9"/>
      <c r="Y433" s="38"/>
      <c r="Z433" s="38"/>
      <c r="AA433" s="38"/>
      <c r="AB433" s="11"/>
      <c r="AC433" s="11"/>
      <c r="AD433" s="7"/>
      <c r="AE433" s="38"/>
      <c r="AF433" s="7"/>
      <c r="AG433" s="46"/>
      <c r="AH433" s="9"/>
      <c r="AI433" s="9"/>
      <c r="AJ433" s="9"/>
      <c r="AK433" s="9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53"/>
      <c r="AZ433" s="46"/>
      <c r="BA433" s="46"/>
      <c r="BB433" s="46"/>
      <c r="BC433" s="46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7"/>
      <c r="BR433" s="28"/>
      <c r="BS433" s="28"/>
      <c r="BT433" s="28"/>
      <c r="BU433" s="28"/>
      <c r="BV433" s="28"/>
      <c r="BW433" s="7"/>
      <c r="BX433" s="28"/>
      <c r="BY433" s="28"/>
      <c r="BZ433" s="28"/>
      <c r="CA433" s="28"/>
      <c r="CB433" s="28"/>
      <c r="CC433" s="7"/>
      <c r="CD433" s="7"/>
      <c r="CE433" s="29"/>
      <c r="CF433" s="18"/>
      <c r="CG433" s="29"/>
      <c r="CH433" s="29"/>
      <c r="CI433" s="29"/>
      <c r="CJ433" s="29"/>
      <c r="CK433" s="28"/>
      <c r="CL433" s="28"/>
      <c r="CM433" s="7"/>
      <c r="CN433" s="7"/>
      <c r="CO433" s="7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7"/>
      <c r="DG433" s="7"/>
      <c r="DH433" s="7"/>
      <c r="DI433" s="7"/>
      <c r="DJ433" s="7"/>
      <c r="DK433" s="28"/>
      <c r="DL433" s="28"/>
      <c r="DM433" s="7"/>
      <c r="DN433" s="29"/>
      <c r="DO433" s="28"/>
      <c r="DP433" s="28"/>
      <c r="DQ433" s="28"/>
    </row>
    <row r="434" spans="2:121">
      <c r="B434" s="7"/>
      <c r="C434" s="7"/>
      <c r="D434" s="7"/>
      <c r="E434" s="7"/>
      <c r="F434" s="7"/>
      <c r="G434" s="7"/>
      <c r="H434" s="38"/>
      <c r="I434" s="46"/>
      <c r="J434" s="18"/>
      <c r="K434" s="7"/>
      <c r="L434" s="38"/>
      <c r="M434" s="38"/>
      <c r="N434" s="38"/>
      <c r="O434" s="7"/>
      <c r="P434" s="7"/>
      <c r="Q434" s="33"/>
      <c r="R434" s="11"/>
      <c r="S434" s="11"/>
      <c r="T434" s="11" t="s">
        <v>98</v>
      </c>
      <c r="U434" s="12"/>
      <c r="V434" s="11"/>
      <c r="W434" s="13"/>
      <c r="X434" s="9"/>
      <c r="Y434" s="38"/>
      <c r="Z434" s="38"/>
      <c r="AA434" s="38"/>
      <c r="AB434" s="11"/>
      <c r="AC434" s="11"/>
      <c r="AD434" s="7"/>
      <c r="AE434" s="38"/>
      <c r="AF434" s="7"/>
      <c r="AG434" s="46"/>
      <c r="AH434" s="9"/>
      <c r="AI434" s="9"/>
      <c r="AJ434" s="9"/>
      <c r="AK434" s="9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53"/>
      <c r="AZ434" s="46"/>
      <c r="BA434" s="46"/>
      <c r="BB434" s="46"/>
      <c r="BC434" s="46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7"/>
      <c r="BR434" s="28"/>
      <c r="BS434" s="28"/>
      <c r="BT434" s="28"/>
      <c r="BU434" s="28"/>
      <c r="BV434" s="28"/>
      <c r="BW434" s="7"/>
      <c r="BX434" s="28"/>
      <c r="BY434" s="28"/>
      <c r="BZ434" s="28"/>
      <c r="CA434" s="28"/>
      <c r="CB434" s="28"/>
      <c r="CC434" s="7"/>
      <c r="CD434" s="7"/>
      <c r="CE434" s="29"/>
      <c r="CF434" s="18"/>
      <c r="CG434" s="29"/>
      <c r="CH434" s="29"/>
      <c r="CI434" s="29"/>
      <c r="CJ434" s="29"/>
      <c r="CK434" s="28"/>
      <c r="CL434" s="28"/>
      <c r="CM434" s="7"/>
      <c r="CN434" s="7"/>
      <c r="CO434" s="7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7"/>
      <c r="DG434" s="7"/>
      <c r="DH434" s="7"/>
      <c r="DI434" s="7"/>
      <c r="DJ434" s="7"/>
      <c r="DK434" s="28"/>
      <c r="DL434" s="28"/>
      <c r="DM434" s="7"/>
      <c r="DN434" s="29"/>
      <c r="DO434" s="28"/>
      <c r="DP434" s="28"/>
      <c r="DQ434" s="28"/>
    </row>
    <row r="435" spans="2:121">
      <c r="B435" s="7"/>
      <c r="C435" s="7"/>
      <c r="D435" s="7"/>
      <c r="E435" s="7"/>
      <c r="F435" s="7"/>
      <c r="G435" s="7"/>
      <c r="H435" s="38"/>
      <c r="I435" s="46"/>
      <c r="J435" s="18"/>
      <c r="K435" s="7"/>
      <c r="L435" s="38"/>
      <c r="M435" s="38"/>
      <c r="N435" s="38"/>
      <c r="O435" s="7"/>
      <c r="P435" s="7"/>
      <c r="Q435" s="33"/>
      <c r="R435" s="11"/>
      <c r="S435" s="11"/>
      <c r="T435" s="11" t="s">
        <v>98</v>
      </c>
      <c r="U435" s="12"/>
      <c r="V435" s="11"/>
      <c r="W435" s="13"/>
      <c r="X435" s="9"/>
      <c r="Y435" s="38"/>
      <c r="Z435" s="38"/>
      <c r="AA435" s="38"/>
      <c r="AB435" s="11"/>
      <c r="AC435" s="11"/>
      <c r="AD435" s="7"/>
      <c r="AE435" s="38"/>
      <c r="AF435" s="7"/>
      <c r="AG435" s="46"/>
      <c r="AH435" s="9"/>
      <c r="AI435" s="9"/>
      <c r="AJ435" s="9"/>
      <c r="AK435" s="9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53"/>
      <c r="AZ435" s="46"/>
      <c r="BA435" s="46"/>
      <c r="BB435" s="46"/>
      <c r="BC435" s="46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7"/>
      <c r="BR435" s="28"/>
      <c r="BS435" s="28"/>
      <c r="BT435" s="28"/>
      <c r="BU435" s="28"/>
      <c r="BV435" s="28"/>
      <c r="BW435" s="7"/>
      <c r="BX435" s="28"/>
      <c r="BY435" s="28"/>
      <c r="BZ435" s="28"/>
      <c r="CA435" s="28"/>
      <c r="CB435" s="28"/>
      <c r="CC435" s="7"/>
      <c r="CD435" s="7"/>
      <c r="CE435" s="29"/>
      <c r="CF435" s="18"/>
      <c r="CG435" s="29"/>
      <c r="CH435" s="29"/>
      <c r="CI435" s="29"/>
      <c r="CJ435" s="29"/>
      <c r="CK435" s="28"/>
      <c r="CL435" s="28"/>
      <c r="CM435" s="7"/>
      <c r="CN435" s="7"/>
      <c r="CO435" s="7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7"/>
      <c r="DG435" s="7"/>
      <c r="DH435" s="7"/>
      <c r="DI435" s="7"/>
      <c r="DJ435" s="7"/>
      <c r="DK435" s="28"/>
      <c r="DL435" s="28"/>
      <c r="DM435" s="7"/>
      <c r="DN435" s="29"/>
      <c r="DO435" s="28"/>
      <c r="DP435" s="28"/>
      <c r="DQ435" s="28"/>
    </row>
    <row r="436" spans="2:121">
      <c r="B436" s="7"/>
      <c r="C436" s="7"/>
      <c r="D436" s="7"/>
      <c r="E436" s="7"/>
      <c r="F436" s="7"/>
      <c r="G436" s="7"/>
      <c r="H436" s="38"/>
      <c r="I436" s="46"/>
      <c r="J436" s="18"/>
      <c r="K436" s="7"/>
      <c r="L436" s="38"/>
      <c r="M436" s="38"/>
      <c r="N436" s="38"/>
      <c r="O436" s="7"/>
      <c r="P436" s="7"/>
      <c r="Q436" s="33"/>
      <c r="R436" s="11"/>
      <c r="S436" s="11"/>
      <c r="T436" s="11" t="s">
        <v>98</v>
      </c>
      <c r="U436" s="12"/>
      <c r="V436" s="11"/>
      <c r="W436" s="13"/>
      <c r="X436" s="9"/>
      <c r="Y436" s="38"/>
      <c r="Z436" s="38"/>
      <c r="AA436" s="38"/>
      <c r="AB436" s="11"/>
      <c r="AC436" s="11"/>
      <c r="AD436" s="7"/>
      <c r="AE436" s="38"/>
      <c r="AF436" s="7"/>
      <c r="AG436" s="46"/>
      <c r="AH436" s="9"/>
      <c r="AI436" s="9"/>
      <c r="AJ436" s="9"/>
      <c r="AK436" s="9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53"/>
      <c r="AZ436" s="46"/>
      <c r="BA436" s="46"/>
      <c r="BB436" s="46"/>
      <c r="BC436" s="46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7"/>
      <c r="BR436" s="28"/>
      <c r="BS436" s="28"/>
      <c r="BT436" s="28"/>
      <c r="BU436" s="28"/>
      <c r="BV436" s="28"/>
      <c r="BW436" s="7"/>
      <c r="BX436" s="28"/>
      <c r="BY436" s="28"/>
      <c r="BZ436" s="28"/>
      <c r="CA436" s="28"/>
      <c r="CB436" s="28"/>
      <c r="CC436" s="7"/>
      <c r="CD436" s="7"/>
      <c r="CE436" s="29"/>
      <c r="CF436" s="18"/>
      <c r="CG436" s="29"/>
      <c r="CH436" s="29"/>
      <c r="CI436" s="29"/>
      <c r="CJ436" s="29"/>
      <c r="CK436" s="28"/>
      <c r="CL436" s="28"/>
      <c r="CM436" s="7"/>
      <c r="CN436" s="7"/>
      <c r="CO436" s="7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7"/>
      <c r="DG436" s="7"/>
      <c r="DH436" s="7"/>
      <c r="DI436" s="7"/>
      <c r="DJ436" s="7"/>
      <c r="DK436" s="28"/>
      <c r="DL436" s="28"/>
      <c r="DM436" s="7"/>
      <c r="DN436" s="29"/>
      <c r="DO436" s="28"/>
      <c r="DP436" s="28"/>
      <c r="DQ436" s="28"/>
    </row>
    <row r="437" spans="2:121">
      <c r="B437" s="7"/>
      <c r="C437" s="7"/>
      <c r="D437" s="7"/>
      <c r="E437" s="7"/>
      <c r="F437" s="7"/>
      <c r="G437" s="7"/>
      <c r="H437" s="38"/>
      <c r="I437" s="46"/>
      <c r="J437" s="18"/>
      <c r="K437" s="7"/>
      <c r="L437" s="38"/>
      <c r="M437" s="38"/>
      <c r="N437" s="38"/>
      <c r="O437" s="7"/>
      <c r="P437" s="7"/>
      <c r="Q437" s="33"/>
      <c r="R437" s="11"/>
      <c r="S437" s="11"/>
      <c r="T437" s="11" t="s">
        <v>98</v>
      </c>
      <c r="U437" s="12"/>
      <c r="V437" s="11"/>
      <c r="W437" s="13"/>
      <c r="X437" s="9"/>
      <c r="Y437" s="38"/>
      <c r="Z437" s="38"/>
      <c r="AA437" s="38"/>
      <c r="AB437" s="11"/>
      <c r="AC437" s="11"/>
      <c r="AD437" s="7"/>
      <c r="AE437" s="38"/>
      <c r="AF437" s="7"/>
      <c r="AG437" s="46"/>
      <c r="AH437" s="9"/>
      <c r="AI437" s="9"/>
      <c r="AJ437" s="9"/>
      <c r="AK437" s="9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53"/>
      <c r="AZ437" s="46"/>
      <c r="BA437" s="46"/>
      <c r="BB437" s="46"/>
      <c r="BC437" s="46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7"/>
      <c r="BR437" s="28"/>
      <c r="BS437" s="28"/>
      <c r="BT437" s="28"/>
      <c r="BU437" s="28"/>
      <c r="BV437" s="28"/>
      <c r="BW437" s="7"/>
      <c r="BX437" s="28"/>
      <c r="BY437" s="28"/>
      <c r="BZ437" s="28"/>
      <c r="CA437" s="28"/>
      <c r="CB437" s="28"/>
      <c r="CC437" s="7"/>
      <c r="CD437" s="7"/>
      <c r="CE437" s="29"/>
      <c r="CF437" s="18"/>
      <c r="CG437" s="29"/>
      <c r="CH437" s="29"/>
      <c r="CI437" s="29"/>
      <c r="CJ437" s="29"/>
      <c r="CK437" s="28"/>
      <c r="CL437" s="28"/>
      <c r="CM437" s="7"/>
      <c r="CN437" s="7"/>
      <c r="CO437" s="7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7"/>
      <c r="DG437" s="7"/>
      <c r="DH437" s="7"/>
      <c r="DI437" s="7"/>
      <c r="DJ437" s="7"/>
      <c r="DK437" s="28"/>
      <c r="DL437" s="28"/>
      <c r="DM437" s="7"/>
      <c r="DN437" s="29"/>
      <c r="DO437" s="28"/>
      <c r="DP437" s="28"/>
      <c r="DQ437" s="28"/>
    </row>
    <row r="438" spans="2:121">
      <c r="B438" s="7"/>
      <c r="C438" s="7"/>
      <c r="D438" s="7"/>
      <c r="E438" s="7"/>
      <c r="F438" s="7"/>
      <c r="G438" s="7"/>
      <c r="H438" s="38"/>
      <c r="I438" s="46"/>
      <c r="J438" s="18"/>
      <c r="K438" s="7"/>
      <c r="L438" s="38"/>
      <c r="M438" s="38"/>
      <c r="N438" s="38"/>
      <c r="O438" s="7"/>
      <c r="P438" s="7"/>
      <c r="Q438" s="33"/>
      <c r="R438" s="11"/>
      <c r="S438" s="11"/>
      <c r="T438" s="11" t="s">
        <v>98</v>
      </c>
      <c r="U438" s="12"/>
      <c r="V438" s="11"/>
      <c r="W438" s="13"/>
      <c r="X438" s="9"/>
      <c r="Y438" s="38"/>
      <c r="Z438" s="38"/>
      <c r="AA438" s="38"/>
      <c r="AB438" s="11"/>
      <c r="AC438" s="11"/>
      <c r="AD438" s="7"/>
      <c r="AE438" s="38"/>
      <c r="AF438" s="7"/>
      <c r="AG438" s="46"/>
      <c r="AH438" s="9"/>
      <c r="AI438" s="9"/>
      <c r="AJ438" s="9"/>
      <c r="AK438" s="9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53"/>
      <c r="AZ438" s="46"/>
      <c r="BA438" s="46"/>
      <c r="BB438" s="46"/>
      <c r="BC438" s="46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7"/>
      <c r="BR438" s="28"/>
      <c r="BS438" s="28"/>
      <c r="BT438" s="28"/>
      <c r="BU438" s="28"/>
      <c r="BV438" s="28"/>
      <c r="BW438" s="7"/>
      <c r="BX438" s="28"/>
      <c r="BY438" s="28"/>
      <c r="BZ438" s="28"/>
      <c r="CA438" s="28"/>
      <c r="CB438" s="28"/>
      <c r="CC438" s="7"/>
      <c r="CD438" s="7"/>
      <c r="CE438" s="29"/>
      <c r="CF438" s="18"/>
      <c r="CG438" s="29"/>
      <c r="CH438" s="29"/>
      <c r="CI438" s="29"/>
      <c r="CJ438" s="29"/>
      <c r="CK438" s="28"/>
      <c r="CL438" s="28"/>
      <c r="CM438" s="7"/>
      <c r="CN438" s="7"/>
      <c r="CO438" s="7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7"/>
      <c r="DG438" s="7"/>
      <c r="DH438" s="7"/>
      <c r="DI438" s="7"/>
      <c r="DJ438" s="7"/>
      <c r="DK438" s="28"/>
      <c r="DL438" s="28"/>
      <c r="DM438" s="7"/>
      <c r="DN438" s="29"/>
      <c r="DO438" s="28"/>
      <c r="DP438" s="28"/>
      <c r="DQ438" s="28"/>
    </row>
    <row r="439" spans="2:121">
      <c r="B439" s="7"/>
      <c r="C439" s="7"/>
      <c r="D439" s="7"/>
      <c r="E439" s="7"/>
      <c r="F439" s="7"/>
      <c r="G439" s="7"/>
      <c r="H439" s="38"/>
      <c r="I439" s="46"/>
      <c r="J439" s="18"/>
      <c r="K439" s="7"/>
      <c r="L439" s="38"/>
      <c r="M439" s="38"/>
      <c r="N439" s="38"/>
      <c r="O439" s="7"/>
      <c r="P439" s="7"/>
      <c r="Q439" s="33"/>
      <c r="R439" s="11"/>
      <c r="S439" s="11"/>
      <c r="T439" s="11" t="s">
        <v>98</v>
      </c>
      <c r="U439" s="12"/>
      <c r="V439" s="11"/>
      <c r="W439" s="13"/>
      <c r="X439" s="9"/>
      <c r="Y439" s="38"/>
      <c r="Z439" s="38"/>
      <c r="AA439" s="38"/>
      <c r="AB439" s="11"/>
      <c r="AC439" s="11"/>
      <c r="AD439" s="7"/>
      <c r="AE439" s="38"/>
      <c r="AF439" s="7"/>
      <c r="AG439" s="46"/>
      <c r="AH439" s="9"/>
      <c r="AI439" s="9"/>
      <c r="AJ439" s="9"/>
      <c r="AK439" s="9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53"/>
      <c r="AZ439" s="46"/>
      <c r="BA439" s="46"/>
      <c r="BB439" s="46"/>
      <c r="BC439" s="46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7"/>
      <c r="BR439" s="28"/>
      <c r="BS439" s="28"/>
      <c r="BT439" s="28"/>
      <c r="BU439" s="28"/>
      <c r="BV439" s="28"/>
      <c r="BW439" s="7"/>
      <c r="BX439" s="28"/>
      <c r="BY439" s="28"/>
      <c r="BZ439" s="28"/>
      <c r="CA439" s="28"/>
      <c r="CB439" s="28"/>
      <c r="CC439" s="7"/>
      <c r="CD439" s="7"/>
      <c r="CE439" s="29"/>
      <c r="CF439" s="18"/>
      <c r="CG439" s="29"/>
      <c r="CH439" s="29"/>
      <c r="CI439" s="29"/>
      <c r="CJ439" s="29"/>
      <c r="CK439" s="28"/>
      <c r="CL439" s="28"/>
      <c r="CM439" s="7"/>
      <c r="CN439" s="7"/>
      <c r="CO439" s="7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7"/>
      <c r="DG439" s="7"/>
      <c r="DH439" s="7"/>
      <c r="DI439" s="7"/>
      <c r="DJ439" s="7"/>
      <c r="DK439" s="28"/>
      <c r="DL439" s="28"/>
      <c r="DM439" s="7"/>
      <c r="DN439" s="29"/>
      <c r="DO439" s="28"/>
      <c r="DP439" s="28"/>
      <c r="DQ439" s="28"/>
    </row>
    <row r="440" spans="2:121">
      <c r="B440" s="7"/>
      <c r="C440" s="7"/>
      <c r="D440" s="7"/>
      <c r="E440" s="7"/>
      <c r="F440" s="7"/>
      <c r="G440" s="7"/>
      <c r="H440" s="38"/>
      <c r="I440" s="46"/>
      <c r="J440" s="18"/>
      <c r="K440" s="7"/>
      <c r="L440" s="38"/>
      <c r="M440" s="38"/>
      <c r="N440" s="38"/>
      <c r="O440" s="7"/>
      <c r="P440" s="7"/>
      <c r="Q440" s="33"/>
      <c r="R440" s="11"/>
      <c r="S440" s="11"/>
      <c r="T440" s="11" t="s">
        <v>98</v>
      </c>
      <c r="U440" s="12"/>
      <c r="V440" s="11"/>
      <c r="W440" s="13"/>
      <c r="X440" s="9"/>
      <c r="Y440" s="38"/>
      <c r="Z440" s="38"/>
      <c r="AA440" s="38"/>
      <c r="AB440" s="11"/>
      <c r="AC440" s="11"/>
      <c r="AD440" s="7"/>
      <c r="AE440" s="38"/>
      <c r="AF440" s="7"/>
      <c r="AG440" s="46"/>
      <c r="AH440" s="9"/>
      <c r="AI440" s="9"/>
      <c r="AJ440" s="9"/>
      <c r="AK440" s="9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53"/>
      <c r="AZ440" s="46"/>
      <c r="BA440" s="46"/>
      <c r="BB440" s="46"/>
      <c r="BC440" s="46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7"/>
      <c r="BR440" s="28"/>
      <c r="BS440" s="28"/>
      <c r="BT440" s="28"/>
      <c r="BU440" s="28"/>
      <c r="BV440" s="28"/>
      <c r="BW440" s="7"/>
      <c r="BX440" s="28"/>
      <c r="BY440" s="28"/>
      <c r="BZ440" s="28"/>
      <c r="CA440" s="28"/>
      <c r="CB440" s="28"/>
      <c r="CC440" s="7"/>
      <c r="CD440" s="7"/>
      <c r="CE440" s="29"/>
      <c r="CF440" s="18"/>
      <c r="CG440" s="29"/>
      <c r="CH440" s="29"/>
      <c r="CI440" s="29"/>
      <c r="CJ440" s="29"/>
      <c r="CK440" s="28"/>
      <c r="CL440" s="28"/>
      <c r="CM440" s="7"/>
      <c r="CN440" s="7"/>
      <c r="CO440" s="7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7"/>
      <c r="DG440" s="7"/>
      <c r="DH440" s="7"/>
      <c r="DI440" s="7"/>
      <c r="DJ440" s="7"/>
      <c r="DK440" s="28"/>
      <c r="DL440" s="28"/>
      <c r="DM440" s="7"/>
      <c r="DN440" s="29"/>
      <c r="DO440" s="28"/>
      <c r="DP440" s="28"/>
      <c r="DQ440" s="28"/>
    </row>
    <row r="441" spans="2:121">
      <c r="B441" s="7"/>
      <c r="C441" s="7"/>
      <c r="D441" s="7"/>
      <c r="E441" s="7"/>
      <c r="F441" s="7"/>
      <c r="G441" s="7"/>
      <c r="H441" s="38"/>
      <c r="I441" s="46"/>
      <c r="J441" s="18"/>
      <c r="K441" s="7"/>
      <c r="L441" s="38"/>
      <c r="M441" s="38"/>
      <c r="N441" s="38"/>
      <c r="O441" s="7"/>
      <c r="P441" s="7"/>
      <c r="Q441" s="33"/>
      <c r="R441" s="11"/>
      <c r="S441" s="11"/>
      <c r="T441" s="11" t="s">
        <v>98</v>
      </c>
      <c r="U441" s="12"/>
      <c r="V441" s="11"/>
      <c r="W441" s="13"/>
      <c r="X441" s="9"/>
      <c r="Y441" s="38"/>
      <c r="Z441" s="38"/>
      <c r="AA441" s="38"/>
      <c r="AB441" s="11"/>
      <c r="AC441" s="11"/>
      <c r="AD441" s="7"/>
      <c r="AE441" s="38"/>
      <c r="AF441" s="7"/>
      <c r="AG441" s="46"/>
      <c r="AH441" s="9"/>
      <c r="AI441" s="9"/>
      <c r="AJ441" s="9"/>
      <c r="AK441" s="9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53"/>
      <c r="AZ441" s="46"/>
      <c r="BA441" s="46"/>
      <c r="BB441" s="46"/>
      <c r="BC441" s="46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7"/>
      <c r="BR441" s="28"/>
      <c r="BS441" s="28"/>
      <c r="BT441" s="28"/>
      <c r="BU441" s="28"/>
      <c r="BV441" s="28"/>
      <c r="BW441" s="7"/>
      <c r="BX441" s="28"/>
      <c r="BY441" s="28"/>
      <c r="BZ441" s="28"/>
      <c r="CA441" s="28"/>
      <c r="CB441" s="28"/>
      <c r="CC441" s="7"/>
      <c r="CD441" s="7"/>
      <c r="CE441" s="29"/>
      <c r="CF441" s="18"/>
      <c r="CG441" s="29"/>
      <c r="CH441" s="29"/>
      <c r="CI441" s="29"/>
      <c r="CJ441" s="29"/>
      <c r="CK441" s="28"/>
      <c r="CL441" s="28"/>
      <c r="CM441" s="7"/>
      <c r="CN441" s="7"/>
      <c r="CO441" s="7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7"/>
      <c r="DG441" s="7"/>
      <c r="DH441" s="7"/>
      <c r="DI441" s="7"/>
      <c r="DJ441" s="7"/>
      <c r="DK441" s="28"/>
      <c r="DL441" s="28"/>
      <c r="DM441" s="7"/>
      <c r="DN441" s="29"/>
      <c r="DO441" s="28"/>
      <c r="DP441" s="28"/>
      <c r="DQ441" s="28"/>
    </row>
    <row r="442" spans="2:121">
      <c r="B442" s="7"/>
      <c r="C442" s="7"/>
      <c r="D442" s="7"/>
      <c r="E442" s="7"/>
      <c r="F442" s="7"/>
      <c r="G442" s="7"/>
      <c r="H442" s="38"/>
      <c r="I442" s="46"/>
      <c r="J442" s="18"/>
      <c r="K442" s="7"/>
      <c r="L442" s="38"/>
      <c r="M442" s="38"/>
      <c r="N442" s="38"/>
      <c r="O442" s="7"/>
      <c r="P442" s="7"/>
      <c r="Q442" s="33"/>
      <c r="R442" s="11"/>
      <c r="S442" s="11"/>
      <c r="T442" s="11" t="s">
        <v>98</v>
      </c>
      <c r="U442" s="12"/>
      <c r="V442" s="11"/>
      <c r="W442" s="13"/>
      <c r="X442" s="9"/>
      <c r="Y442" s="38"/>
      <c r="Z442" s="38"/>
      <c r="AA442" s="38"/>
      <c r="AB442" s="11"/>
      <c r="AC442" s="11"/>
      <c r="AD442" s="7"/>
      <c r="AE442" s="38"/>
      <c r="AF442" s="7"/>
      <c r="AG442" s="46"/>
      <c r="AH442" s="9"/>
      <c r="AI442" s="9"/>
      <c r="AJ442" s="9"/>
      <c r="AK442" s="9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53"/>
      <c r="AZ442" s="46"/>
      <c r="BA442" s="46"/>
      <c r="BB442" s="46"/>
      <c r="BC442" s="46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7"/>
      <c r="BR442" s="28"/>
      <c r="BS442" s="28"/>
      <c r="BT442" s="28"/>
      <c r="BU442" s="28"/>
      <c r="BV442" s="28"/>
      <c r="BW442" s="7"/>
      <c r="BX442" s="28"/>
      <c r="BY442" s="28"/>
      <c r="BZ442" s="28"/>
      <c r="CA442" s="28"/>
      <c r="CB442" s="28"/>
      <c r="CC442" s="7"/>
      <c r="CD442" s="7"/>
      <c r="CE442" s="29"/>
      <c r="CF442" s="18"/>
      <c r="CG442" s="29"/>
      <c r="CH442" s="29"/>
      <c r="CI442" s="29"/>
      <c r="CJ442" s="29"/>
      <c r="CK442" s="28"/>
      <c r="CL442" s="28"/>
      <c r="CM442" s="7"/>
      <c r="CN442" s="7"/>
      <c r="CO442" s="7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7"/>
      <c r="DG442" s="7"/>
      <c r="DH442" s="7"/>
      <c r="DI442" s="7"/>
      <c r="DJ442" s="7"/>
      <c r="DK442" s="28"/>
      <c r="DL442" s="28"/>
      <c r="DM442" s="7"/>
      <c r="DN442" s="29"/>
      <c r="DO442" s="28"/>
      <c r="DP442" s="28"/>
      <c r="DQ442" s="28"/>
    </row>
    <row r="443" spans="2:121">
      <c r="B443" s="7"/>
      <c r="C443" s="7"/>
      <c r="D443" s="7"/>
      <c r="E443" s="7"/>
      <c r="F443" s="7"/>
      <c r="G443" s="7"/>
      <c r="H443" s="38"/>
      <c r="I443" s="46"/>
      <c r="J443" s="18"/>
      <c r="K443" s="7"/>
      <c r="L443" s="38"/>
      <c r="M443" s="38"/>
      <c r="N443" s="38"/>
      <c r="O443" s="7"/>
      <c r="P443" s="7"/>
      <c r="Q443" s="33"/>
      <c r="R443" s="11"/>
      <c r="S443" s="11"/>
      <c r="T443" s="11" t="s">
        <v>98</v>
      </c>
      <c r="U443" s="12"/>
      <c r="V443" s="11"/>
      <c r="W443" s="13"/>
      <c r="X443" s="9"/>
      <c r="Y443" s="38"/>
      <c r="Z443" s="38"/>
      <c r="AA443" s="38"/>
      <c r="AB443" s="11"/>
      <c r="AC443" s="11"/>
      <c r="AD443" s="7"/>
      <c r="AE443" s="38"/>
      <c r="AF443" s="7"/>
      <c r="AG443" s="46"/>
      <c r="AH443" s="9"/>
      <c r="AI443" s="9"/>
      <c r="AJ443" s="9"/>
      <c r="AK443" s="9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53"/>
      <c r="AZ443" s="46"/>
      <c r="BA443" s="46"/>
      <c r="BB443" s="46"/>
      <c r="BC443" s="46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7"/>
      <c r="BR443" s="28"/>
      <c r="BS443" s="28"/>
      <c r="BT443" s="28"/>
      <c r="BU443" s="28"/>
      <c r="BV443" s="28"/>
      <c r="BW443" s="7"/>
      <c r="BX443" s="28"/>
      <c r="BY443" s="28"/>
      <c r="BZ443" s="28"/>
      <c r="CA443" s="28"/>
      <c r="CB443" s="28"/>
      <c r="CC443" s="7"/>
      <c r="CD443" s="7"/>
      <c r="CE443" s="29"/>
      <c r="CF443" s="18"/>
      <c r="CG443" s="29"/>
      <c r="CH443" s="29"/>
      <c r="CI443" s="29"/>
      <c r="CJ443" s="29"/>
      <c r="CK443" s="28"/>
      <c r="CL443" s="28"/>
      <c r="CM443" s="7"/>
      <c r="CN443" s="7"/>
      <c r="CO443" s="7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7"/>
      <c r="DG443" s="7"/>
      <c r="DH443" s="7"/>
      <c r="DI443" s="7"/>
      <c r="DJ443" s="7"/>
      <c r="DK443" s="28"/>
      <c r="DL443" s="28"/>
      <c r="DM443" s="7"/>
      <c r="DN443" s="29"/>
      <c r="DO443" s="28"/>
      <c r="DP443" s="28"/>
      <c r="DQ443" s="28"/>
    </row>
    <row r="444" spans="2:121">
      <c r="B444" s="7"/>
      <c r="C444" s="7"/>
      <c r="D444" s="7"/>
      <c r="E444" s="7"/>
      <c r="F444" s="7"/>
      <c r="G444" s="7"/>
      <c r="H444" s="38"/>
      <c r="I444" s="46"/>
      <c r="J444" s="18"/>
      <c r="K444" s="7"/>
      <c r="L444" s="38"/>
      <c r="M444" s="38"/>
      <c r="N444" s="38"/>
      <c r="O444" s="7"/>
      <c r="P444" s="7"/>
      <c r="Q444" s="33"/>
      <c r="R444" s="11"/>
      <c r="S444" s="11"/>
      <c r="T444" s="11" t="s">
        <v>98</v>
      </c>
      <c r="U444" s="12"/>
      <c r="V444" s="11"/>
      <c r="W444" s="13"/>
      <c r="X444" s="9"/>
      <c r="Y444" s="38"/>
      <c r="Z444" s="38"/>
      <c r="AA444" s="38"/>
      <c r="AB444" s="11"/>
      <c r="AC444" s="11"/>
      <c r="AD444" s="7"/>
      <c r="AE444" s="38"/>
      <c r="AF444" s="7"/>
      <c r="AG444" s="46"/>
      <c r="AH444" s="9"/>
      <c r="AI444" s="9"/>
      <c r="AJ444" s="9"/>
      <c r="AK444" s="9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53"/>
      <c r="AZ444" s="46"/>
      <c r="BA444" s="46"/>
      <c r="BB444" s="46"/>
      <c r="BC444" s="46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7"/>
      <c r="BR444" s="28"/>
      <c r="BS444" s="28"/>
      <c r="BT444" s="28"/>
      <c r="BU444" s="28"/>
      <c r="BV444" s="28"/>
      <c r="BW444" s="7"/>
      <c r="BX444" s="28"/>
      <c r="BY444" s="28"/>
      <c r="BZ444" s="28"/>
      <c r="CA444" s="28"/>
      <c r="CB444" s="28"/>
      <c r="CC444" s="7"/>
      <c r="CD444" s="7"/>
      <c r="CE444" s="29"/>
      <c r="CF444" s="18"/>
      <c r="CG444" s="29"/>
      <c r="CH444" s="29"/>
      <c r="CI444" s="29"/>
      <c r="CJ444" s="29"/>
      <c r="CK444" s="28"/>
      <c r="CL444" s="28"/>
      <c r="CM444" s="7"/>
      <c r="CN444" s="7"/>
      <c r="CO444" s="7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7"/>
      <c r="DG444" s="7"/>
      <c r="DH444" s="7"/>
      <c r="DI444" s="7"/>
      <c r="DJ444" s="7"/>
      <c r="DK444" s="28"/>
      <c r="DL444" s="28"/>
      <c r="DM444" s="7"/>
      <c r="DN444" s="29"/>
      <c r="DO444" s="28"/>
      <c r="DP444" s="28"/>
      <c r="DQ444" s="28"/>
    </row>
    <row r="445" spans="2:121">
      <c r="B445" s="7"/>
      <c r="C445" s="7"/>
      <c r="D445" s="7"/>
      <c r="E445" s="7"/>
      <c r="F445" s="7"/>
      <c r="G445" s="7"/>
      <c r="H445" s="38"/>
      <c r="I445" s="46"/>
      <c r="J445" s="18"/>
      <c r="K445" s="7"/>
      <c r="L445" s="38"/>
      <c r="M445" s="38"/>
      <c r="N445" s="38"/>
      <c r="O445" s="7"/>
      <c r="P445" s="7"/>
      <c r="Q445" s="33"/>
      <c r="R445" s="11"/>
      <c r="S445" s="11"/>
      <c r="T445" s="11" t="s">
        <v>98</v>
      </c>
      <c r="U445" s="12"/>
      <c r="V445" s="11"/>
      <c r="W445" s="13"/>
      <c r="X445" s="9"/>
      <c r="Y445" s="38"/>
      <c r="Z445" s="38"/>
      <c r="AA445" s="38"/>
      <c r="AB445" s="11"/>
      <c r="AC445" s="11"/>
      <c r="AD445" s="7"/>
      <c r="AE445" s="38"/>
      <c r="AF445" s="7"/>
      <c r="AG445" s="46"/>
      <c r="AH445" s="9"/>
      <c r="AI445" s="9"/>
      <c r="AJ445" s="9"/>
      <c r="AK445" s="9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53"/>
      <c r="AZ445" s="46"/>
      <c r="BA445" s="46"/>
      <c r="BB445" s="46"/>
      <c r="BC445" s="46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7"/>
      <c r="BR445" s="28"/>
      <c r="BS445" s="28"/>
      <c r="BT445" s="28"/>
      <c r="BU445" s="28"/>
      <c r="BV445" s="28"/>
      <c r="BW445" s="7"/>
      <c r="BX445" s="28"/>
      <c r="BY445" s="28"/>
      <c r="BZ445" s="28"/>
      <c r="CA445" s="28"/>
      <c r="CB445" s="28"/>
      <c r="CC445" s="7"/>
      <c r="CD445" s="7"/>
      <c r="CE445" s="29"/>
      <c r="CF445" s="18"/>
      <c r="CG445" s="29"/>
      <c r="CH445" s="29"/>
      <c r="CI445" s="29"/>
      <c r="CJ445" s="29"/>
      <c r="CK445" s="28"/>
      <c r="CL445" s="28"/>
      <c r="CM445" s="7"/>
      <c r="CN445" s="7"/>
      <c r="CO445" s="7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7"/>
      <c r="DG445" s="7"/>
      <c r="DH445" s="7"/>
      <c r="DI445" s="7"/>
      <c r="DJ445" s="7"/>
      <c r="DK445" s="28"/>
      <c r="DL445" s="28"/>
      <c r="DM445" s="7"/>
      <c r="DN445" s="29"/>
      <c r="DO445" s="28"/>
      <c r="DP445" s="28"/>
      <c r="DQ445" s="28"/>
    </row>
    <row r="446" spans="2:121">
      <c r="B446" s="7"/>
      <c r="C446" s="7"/>
      <c r="D446" s="7"/>
      <c r="E446" s="7"/>
      <c r="F446" s="7"/>
      <c r="G446" s="7"/>
      <c r="H446" s="38"/>
      <c r="I446" s="46"/>
      <c r="J446" s="18"/>
      <c r="K446" s="7"/>
      <c r="L446" s="38"/>
      <c r="M446" s="38"/>
      <c r="N446" s="38"/>
      <c r="O446" s="7"/>
      <c r="P446" s="7"/>
      <c r="Q446" s="33"/>
      <c r="R446" s="11"/>
      <c r="S446" s="11"/>
      <c r="T446" s="11" t="s">
        <v>98</v>
      </c>
      <c r="U446" s="12"/>
      <c r="V446" s="11"/>
      <c r="W446" s="13"/>
      <c r="X446" s="9"/>
      <c r="Y446" s="38"/>
      <c r="Z446" s="38"/>
      <c r="AA446" s="38"/>
      <c r="AB446" s="11"/>
      <c r="AC446" s="11"/>
      <c r="AD446" s="7"/>
      <c r="AE446" s="38"/>
      <c r="AF446" s="7"/>
      <c r="AG446" s="46"/>
      <c r="AH446" s="9"/>
      <c r="AI446" s="9"/>
      <c r="AJ446" s="9"/>
      <c r="AK446" s="9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53"/>
      <c r="AZ446" s="46"/>
      <c r="BA446" s="46"/>
      <c r="BB446" s="46"/>
      <c r="BC446" s="46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7"/>
      <c r="BR446" s="28"/>
      <c r="BS446" s="28"/>
      <c r="BT446" s="28"/>
      <c r="BU446" s="28"/>
      <c r="BV446" s="28"/>
      <c r="BW446" s="7"/>
      <c r="BX446" s="28"/>
      <c r="BY446" s="28"/>
      <c r="BZ446" s="28"/>
      <c r="CA446" s="28"/>
      <c r="CB446" s="28"/>
      <c r="CC446" s="7"/>
      <c r="CD446" s="7"/>
      <c r="CE446" s="29"/>
      <c r="CF446" s="18"/>
      <c r="CG446" s="29"/>
      <c r="CH446" s="29"/>
      <c r="CI446" s="29"/>
      <c r="CJ446" s="29"/>
      <c r="CK446" s="28"/>
      <c r="CL446" s="28"/>
      <c r="CM446" s="7"/>
      <c r="CN446" s="7"/>
      <c r="CO446" s="7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7"/>
      <c r="DG446" s="7"/>
      <c r="DH446" s="7"/>
      <c r="DI446" s="7"/>
      <c r="DJ446" s="7"/>
      <c r="DK446" s="28"/>
      <c r="DL446" s="28"/>
      <c r="DM446" s="7"/>
      <c r="DN446" s="29"/>
      <c r="DO446" s="28"/>
      <c r="DP446" s="28"/>
      <c r="DQ446" s="28"/>
    </row>
    <row r="447" spans="2:121">
      <c r="B447" s="7"/>
      <c r="C447" s="7"/>
      <c r="D447" s="7"/>
      <c r="E447" s="7"/>
      <c r="F447" s="7"/>
      <c r="G447" s="7"/>
      <c r="H447" s="38"/>
      <c r="I447" s="46"/>
      <c r="J447" s="18"/>
      <c r="K447" s="7"/>
      <c r="L447" s="38"/>
      <c r="M447" s="38"/>
      <c r="N447" s="38"/>
      <c r="O447" s="7"/>
      <c r="P447" s="7"/>
      <c r="Q447" s="33"/>
      <c r="R447" s="11"/>
      <c r="S447" s="11"/>
      <c r="T447" s="11" t="s">
        <v>98</v>
      </c>
      <c r="U447" s="12"/>
      <c r="V447" s="11"/>
      <c r="W447" s="13"/>
      <c r="X447" s="9"/>
      <c r="Y447" s="38"/>
      <c r="Z447" s="38"/>
      <c r="AA447" s="38"/>
      <c r="AB447" s="11"/>
      <c r="AC447" s="11"/>
      <c r="AD447" s="7"/>
      <c r="AE447" s="38"/>
      <c r="AF447" s="7"/>
      <c r="AG447" s="46"/>
      <c r="AH447" s="9"/>
      <c r="AI447" s="9"/>
      <c r="AJ447" s="9"/>
      <c r="AK447" s="9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53"/>
      <c r="AZ447" s="46"/>
      <c r="BA447" s="46"/>
      <c r="BB447" s="46"/>
      <c r="BC447" s="46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7"/>
      <c r="BR447" s="28"/>
      <c r="BS447" s="28"/>
      <c r="BT447" s="28"/>
      <c r="BU447" s="28"/>
      <c r="BV447" s="28"/>
      <c r="BW447" s="7"/>
      <c r="BX447" s="28"/>
      <c r="BY447" s="28"/>
      <c r="BZ447" s="28"/>
      <c r="CA447" s="28"/>
      <c r="CB447" s="28"/>
      <c r="CC447" s="7"/>
      <c r="CD447" s="7"/>
      <c r="CE447" s="29"/>
      <c r="CF447" s="18"/>
      <c r="CG447" s="29"/>
      <c r="CH447" s="29"/>
      <c r="CI447" s="29"/>
      <c r="CJ447" s="29"/>
      <c r="CK447" s="28"/>
      <c r="CL447" s="28"/>
      <c r="CM447" s="7"/>
      <c r="CN447" s="7"/>
      <c r="CO447" s="7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7"/>
      <c r="DG447" s="7"/>
      <c r="DH447" s="7"/>
      <c r="DI447" s="7"/>
      <c r="DJ447" s="7"/>
      <c r="DK447" s="28"/>
      <c r="DL447" s="28"/>
      <c r="DM447" s="7"/>
      <c r="DN447" s="29"/>
      <c r="DO447" s="28"/>
      <c r="DP447" s="28"/>
      <c r="DQ447" s="28"/>
    </row>
    <row r="448" spans="2:121">
      <c r="B448" s="7"/>
      <c r="C448" s="7"/>
      <c r="D448" s="7"/>
      <c r="E448" s="7"/>
      <c r="F448" s="7"/>
      <c r="G448" s="7"/>
      <c r="H448" s="38"/>
      <c r="I448" s="46"/>
      <c r="J448" s="18"/>
      <c r="K448" s="7"/>
      <c r="L448" s="38"/>
      <c r="M448" s="38"/>
      <c r="N448" s="38"/>
      <c r="O448" s="7"/>
      <c r="P448" s="7"/>
      <c r="Q448" s="33"/>
      <c r="R448" s="11"/>
      <c r="S448" s="11"/>
      <c r="T448" s="11" t="s">
        <v>98</v>
      </c>
      <c r="U448" s="12"/>
      <c r="V448" s="11"/>
      <c r="W448" s="13"/>
      <c r="X448" s="9"/>
      <c r="Y448" s="38"/>
      <c r="Z448" s="38"/>
      <c r="AA448" s="38"/>
      <c r="AB448" s="11"/>
      <c r="AC448" s="11"/>
      <c r="AD448" s="7"/>
      <c r="AE448" s="38"/>
      <c r="AF448" s="7"/>
      <c r="AG448" s="46"/>
      <c r="AH448" s="9"/>
      <c r="AI448" s="9"/>
      <c r="AJ448" s="9"/>
      <c r="AK448" s="9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53"/>
      <c r="AZ448" s="46"/>
      <c r="BA448" s="46"/>
      <c r="BB448" s="46"/>
      <c r="BC448" s="46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7"/>
      <c r="BR448" s="28"/>
      <c r="BS448" s="28"/>
      <c r="BT448" s="28"/>
      <c r="BU448" s="28"/>
      <c r="BV448" s="28"/>
      <c r="BW448" s="7"/>
      <c r="BX448" s="28"/>
      <c r="BY448" s="28"/>
      <c r="BZ448" s="28"/>
      <c r="CA448" s="28"/>
      <c r="CB448" s="28"/>
      <c r="CC448" s="7"/>
      <c r="CD448" s="7"/>
      <c r="CE448" s="29"/>
      <c r="CF448" s="18"/>
      <c r="CG448" s="29"/>
      <c r="CH448" s="29"/>
      <c r="CI448" s="29"/>
      <c r="CJ448" s="29"/>
      <c r="CK448" s="28"/>
      <c r="CL448" s="28"/>
      <c r="CM448" s="7"/>
      <c r="CN448" s="7"/>
      <c r="CO448" s="7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7"/>
      <c r="DG448" s="7"/>
      <c r="DH448" s="7"/>
      <c r="DI448" s="7"/>
      <c r="DJ448" s="7"/>
      <c r="DK448" s="28"/>
      <c r="DL448" s="28"/>
      <c r="DM448" s="7"/>
      <c r="DN448" s="29"/>
      <c r="DO448" s="28"/>
      <c r="DP448" s="28"/>
      <c r="DQ448" s="28"/>
    </row>
    <row r="449" spans="2:121">
      <c r="B449" s="7"/>
      <c r="C449" s="7"/>
      <c r="D449" s="7"/>
      <c r="E449" s="7"/>
      <c r="F449" s="7"/>
      <c r="G449" s="7"/>
      <c r="H449" s="38"/>
      <c r="I449" s="46"/>
      <c r="J449" s="18"/>
      <c r="K449" s="7"/>
      <c r="L449" s="38"/>
      <c r="M449" s="38"/>
      <c r="N449" s="38"/>
      <c r="O449" s="7"/>
      <c r="P449" s="7"/>
      <c r="Q449" s="33"/>
      <c r="R449" s="11"/>
      <c r="S449" s="11"/>
      <c r="T449" s="11" t="s">
        <v>98</v>
      </c>
      <c r="U449" s="12"/>
      <c r="V449" s="11"/>
      <c r="W449" s="13"/>
      <c r="X449" s="9"/>
      <c r="Y449" s="38"/>
      <c r="Z449" s="38"/>
      <c r="AA449" s="38"/>
      <c r="AB449" s="11"/>
      <c r="AC449" s="11"/>
      <c r="AD449" s="7"/>
      <c r="AE449" s="38"/>
      <c r="AF449" s="7"/>
      <c r="AG449" s="46"/>
      <c r="AH449" s="9"/>
      <c r="AI449" s="9"/>
      <c r="AJ449" s="9"/>
      <c r="AK449" s="9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53"/>
      <c r="AZ449" s="46"/>
      <c r="BA449" s="46"/>
      <c r="BB449" s="46"/>
      <c r="BC449" s="46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7"/>
      <c r="BR449" s="28"/>
      <c r="BS449" s="28"/>
      <c r="BT449" s="28"/>
      <c r="BU449" s="28"/>
      <c r="BV449" s="28"/>
      <c r="BW449" s="7"/>
      <c r="BX449" s="28"/>
      <c r="BY449" s="28"/>
      <c r="BZ449" s="28"/>
      <c r="CA449" s="28"/>
      <c r="CB449" s="28"/>
      <c r="CC449" s="7"/>
      <c r="CD449" s="7"/>
      <c r="CE449" s="29"/>
      <c r="CF449" s="18"/>
      <c r="CG449" s="29"/>
      <c r="CH449" s="29"/>
      <c r="CI449" s="29"/>
      <c r="CJ449" s="29"/>
      <c r="CK449" s="28"/>
      <c r="CL449" s="28"/>
      <c r="CM449" s="7"/>
      <c r="CN449" s="7"/>
      <c r="CO449" s="7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7"/>
      <c r="DG449" s="7"/>
      <c r="DH449" s="7"/>
      <c r="DI449" s="7"/>
      <c r="DJ449" s="7"/>
      <c r="DK449" s="28"/>
      <c r="DL449" s="28"/>
      <c r="DM449" s="7"/>
      <c r="DN449" s="29"/>
      <c r="DO449" s="28"/>
      <c r="DP449" s="28"/>
      <c r="DQ449" s="28"/>
    </row>
    <row r="450" spans="2:121">
      <c r="B450" s="7"/>
      <c r="C450" s="7"/>
      <c r="D450" s="7"/>
      <c r="E450" s="7"/>
      <c r="F450" s="7"/>
      <c r="G450" s="7"/>
      <c r="H450" s="38"/>
      <c r="I450" s="46"/>
      <c r="J450" s="18"/>
      <c r="K450" s="7"/>
      <c r="L450" s="38"/>
      <c r="M450" s="38"/>
      <c r="N450" s="38"/>
      <c r="O450" s="7"/>
      <c r="P450" s="7"/>
      <c r="Q450" s="33"/>
      <c r="R450" s="11"/>
      <c r="S450" s="11"/>
      <c r="T450" s="11" t="s">
        <v>98</v>
      </c>
      <c r="U450" s="12"/>
      <c r="V450" s="11"/>
      <c r="W450" s="13"/>
      <c r="X450" s="9"/>
      <c r="Y450" s="38"/>
      <c r="Z450" s="38"/>
      <c r="AA450" s="38"/>
      <c r="AB450" s="11"/>
      <c r="AC450" s="11"/>
      <c r="AD450" s="7"/>
      <c r="AE450" s="38"/>
      <c r="AF450" s="7"/>
      <c r="AG450" s="46"/>
      <c r="AH450" s="9"/>
      <c r="AI450" s="9"/>
      <c r="AJ450" s="9"/>
      <c r="AK450" s="9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53"/>
      <c r="AZ450" s="46"/>
      <c r="BA450" s="46"/>
      <c r="BB450" s="46"/>
      <c r="BC450" s="46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7"/>
      <c r="BR450" s="28"/>
      <c r="BS450" s="28"/>
      <c r="BT450" s="28"/>
      <c r="BU450" s="28"/>
      <c r="BV450" s="28"/>
      <c r="BW450" s="7"/>
      <c r="BX450" s="28"/>
      <c r="BY450" s="28"/>
      <c r="BZ450" s="28"/>
      <c r="CA450" s="28"/>
      <c r="CB450" s="28"/>
      <c r="CC450" s="7"/>
      <c r="CD450" s="7"/>
      <c r="CE450" s="29"/>
      <c r="CF450" s="18"/>
      <c r="CG450" s="29"/>
      <c r="CH450" s="29"/>
      <c r="CI450" s="29"/>
      <c r="CJ450" s="29"/>
      <c r="CK450" s="28"/>
      <c r="CL450" s="28"/>
      <c r="CM450" s="7"/>
      <c r="CN450" s="7"/>
      <c r="CO450" s="7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7"/>
      <c r="DG450" s="7"/>
      <c r="DH450" s="7"/>
      <c r="DI450" s="7"/>
      <c r="DJ450" s="7"/>
      <c r="DK450" s="28"/>
      <c r="DL450" s="28"/>
      <c r="DM450" s="7"/>
      <c r="DN450" s="29"/>
      <c r="DO450" s="28"/>
      <c r="DP450" s="28"/>
      <c r="DQ450" s="28"/>
    </row>
    <row r="451" spans="2:121">
      <c r="B451" s="7"/>
      <c r="C451" s="7"/>
      <c r="D451" s="7"/>
      <c r="E451" s="7"/>
      <c r="F451" s="7"/>
      <c r="G451" s="7"/>
      <c r="H451" s="38"/>
      <c r="I451" s="46"/>
      <c r="J451" s="18"/>
      <c r="K451" s="7"/>
      <c r="L451" s="38"/>
      <c r="M451" s="38"/>
      <c r="N451" s="38"/>
      <c r="O451" s="7"/>
      <c r="P451" s="7"/>
      <c r="Q451" s="33"/>
      <c r="R451" s="11"/>
      <c r="S451" s="11"/>
      <c r="T451" s="11" t="s">
        <v>98</v>
      </c>
      <c r="U451" s="12"/>
      <c r="V451" s="11"/>
      <c r="W451" s="13"/>
      <c r="X451" s="9"/>
      <c r="Y451" s="38"/>
      <c r="Z451" s="38"/>
      <c r="AA451" s="38"/>
      <c r="AB451" s="11"/>
      <c r="AC451" s="11"/>
      <c r="AD451" s="7"/>
      <c r="AE451" s="38"/>
      <c r="AF451" s="7"/>
      <c r="AG451" s="46"/>
      <c r="AH451" s="9"/>
      <c r="AI451" s="9"/>
      <c r="AJ451" s="9"/>
      <c r="AK451" s="9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53"/>
      <c r="AZ451" s="46"/>
      <c r="BA451" s="46"/>
      <c r="BB451" s="46"/>
      <c r="BC451" s="46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7"/>
      <c r="BR451" s="28"/>
      <c r="BS451" s="28"/>
      <c r="BT451" s="28"/>
      <c r="BU451" s="28"/>
      <c r="BV451" s="28"/>
      <c r="BW451" s="7"/>
      <c r="BX451" s="28"/>
      <c r="BY451" s="28"/>
      <c r="BZ451" s="28"/>
      <c r="CA451" s="28"/>
      <c r="CB451" s="28"/>
      <c r="CC451" s="7"/>
      <c r="CD451" s="7"/>
      <c r="CE451" s="29"/>
      <c r="CF451" s="18"/>
      <c r="CG451" s="29"/>
      <c r="CH451" s="29"/>
      <c r="CI451" s="29"/>
      <c r="CJ451" s="29"/>
      <c r="CK451" s="28"/>
      <c r="CL451" s="28"/>
      <c r="CM451" s="7"/>
      <c r="CN451" s="7"/>
      <c r="CO451" s="7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7"/>
      <c r="DG451" s="7"/>
      <c r="DH451" s="7"/>
      <c r="DI451" s="7"/>
      <c r="DJ451" s="7"/>
      <c r="DK451" s="28"/>
      <c r="DL451" s="28"/>
      <c r="DM451" s="7"/>
      <c r="DN451" s="29"/>
      <c r="DO451" s="28"/>
      <c r="DP451" s="28"/>
      <c r="DQ451" s="28"/>
    </row>
    <row r="452" spans="2:121">
      <c r="B452" s="7"/>
      <c r="C452" s="7"/>
      <c r="D452" s="7"/>
      <c r="E452" s="7"/>
      <c r="F452" s="7"/>
      <c r="G452" s="7"/>
      <c r="H452" s="38"/>
      <c r="I452" s="46"/>
      <c r="J452" s="18"/>
      <c r="K452" s="7"/>
      <c r="L452" s="38"/>
      <c r="M452" s="38"/>
      <c r="N452" s="38"/>
      <c r="O452" s="7"/>
      <c r="P452" s="7"/>
      <c r="Q452" s="33"/>
      <c r="R452" s="11"/>
      <c r="S452" s="11"/>
      <c r="T452" s="11" t="s">
        <v>98</v>
      </c>
      <c r="U452" s="12"/>
      <c r="V452" s="11"/>
      <c r="W452" s="13"/>
      <c r="X452" s="9"/>
      <c r="Y452" s="38"/>
      <c r="Z452" s="38"/>
      <c r="AA452" s="38"/>
      <c r="AB452" s="11"/>
      <c r="AC452" s="11"/>
      <c r="AD452" s="7"/>
      <c r="AE452" s="38"/>
      <c r="AF452" s="7"/>
      <c r="AG452" s="46"/>
      <c r="AH452" s="9"/>
      <c r="AI452" s="9"/>
      <c r="AJ452" s="9"/>
      <c r="AK452" s="9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53"/>
      <c r="AZ452" s="46"/>
      <c r="BA452" s="46"/>
      <c r="BB452" s="46"/>
      <c r="BC452" s="46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7"/>
      <c r="BR452" s="28"/>
      <c r="BS452" s="28"/>
      <c r="BT452" s="28"/>
      <c r="BU452" s="28"/>
      <c r="BV452" s="28"/>
      <c r="BW452" s="7"/>
      <c r="BX452" s="28"/>
      <c r="BY452" s="28"/>
      <c r="BZ452" s="28"/>
      <c r="CA452" s="28"/>
      <c r="CB452" s="28"/>
      <c r="CC452" s="7"/>
      <c r="CD452" s="7"/>
      <c r="CE452" s="29"/>
      <c r="CF452" s="18"/>
      <c r="CG452" s="29"/>
      <c r="CH452" s="29"/>
      <c r="CI452" s="29"/>
      <c r="CJ452" s="29"/>
      <c r="CK452" s="28"/>
      <c r="CL452" s="28"/>
      <c r="CM452" s="7"/>
      <c r="CN452" s="7"/>
      <c r="CO452" s="7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7"/>
      <c r="DG452" s="7"/>
      <c r="DH452" s="7"/>
      <c r="DI452" s="7"/>
      <c r="DJ452" s="7"/>
      <c r="DK452" s="28"/>
      <c r="DL452" s="28"/>
      <c r="DM452" s="7"/>
      <c r="DN452" s="29"/>
      <c r="DO452" s="28"/>
      <c r="DP452" s="28"/>
      <c r="DQ452" s="28"/>
    </row>
    <row r="453" spans="2:121">
      <c r="B453" s="7"/>
      <c r="C453" s="7"/>
      <c r="D453" s="7"/>
      <c r="E453" s="7"/>
      <c r="F453" s="7"/>
      <c r="G453" s="7"/>
      <c r="H453" s="38"/>
      <c r="I453" s="46"/>
      <c r="J453" s="18"/>
      <c r="K453" s="7"/>
      <c r="L453" s="38"/>
      <c r="M453" s="38"/>
      <c r="N453" s="38"/>
      <c r="O453" s="7"/>
      <c r="P453" s="7"/>
      <c r="Q453" s="33"/>
      <c r="R453" s="11"/>
      <c r="S453" s="11"/>
      <c r="T453" s="11" t="s">
        <v>98</v>
      </c>
      <c r="U453" s="12"/>
      <c r="V453" s="11"/>
      <c r="W453" s="13"/>
      <c r="X453" s="9"/>
      <c r="Y453" s="38"/>
      <c r="Z453" s="38"/>
      <c r="AA453" s="38"/>
      <c r="AB453" s="11"/>
      <c r="AC453" s="11"/>
      <c r="AD453" s="7"/>
      <c r="AE453" s="38"/>
      <c r="AF453" s="7"/>
      <c r="AG453" s="46"/>
      <c r="AH453" s="9"/>
      <c r="AI453" s="9"/>
      <c r="AJ453" s="9"/>
      <c r="AK453" s="9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53"/>
      <c r="AZ453" s="46"/>
      <c r="BA453" s="46"/>
      <c r="BB453" s="46"/>
      <c r="BC453" s="46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7"/>
      <c r="BR453" s="28"/>
      <c r="BS453" s="28"/>
      <c r="BT453" s="28"/>
      <c r="BU453" s="28"/>
      <c r="BV453" s="28"/>
      <c r="BW453" s="7"/>
      <c r="BX453" s="28"/>
      <c r="BY453" s="28"/>
      <c r="BZ453" s="28"/>
      <c r="CA453" s="28"/>
      <c r="CB453" s="28"/>
      <c r="CC453" s="7"/>
      <c r="CD453" s="7"/>
      <c r="CE453" s="29"/>
      <c r="CF453" s="18"/>
      <c r="CG453" s="29"/>
      <c r="CH453" s="29"/>
      <c r="CI453" s="29"/>
      <c r="CJ453" s="29"/>
      <c r="CK453" s="28"/>
      <c r="CL453" s="28"/>
      <c r="CM453" s="7"/>
      <c r="CN453" s="7"/>
      <c r="CO453" s="7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7"/>
      <c r="DG453" s="7"/>
      <c r="DH453" s="7"/>
      <c r="DI453" s="7"/>
      <c r="DJ453" s="7"/>
      <c r="DK453" s="28"/>
      <c r="DL453" s="28"/>
      <c r="DM453" s="7"/>
      <c r="DN453" s="29"/>
      <c r="DO453" s="28"/>
      <c r="DP453" s="28"/>
      <c r="DQ453" s="28"/>
    </row>
    <row r="454" spans="2:121">
      <c r="B454" s="7"/>
      <c r="C454" s="7"/>
      <c r="D454" s="7"/>
      <c r="E454" s="7"/>
      <c r="F454" s="7"/>
      <c r="G454" s="7"/>
      <c r="H454" s="38"/>
      <c r="I454" s="46"/>
      <c r="J454" s="18"/>
      <c r="K454" s="7"/>
      <c r="L454" s="38"/>
      <c r="M454" s="38"/>
      <c r="N454" s="38"/>
      <c r="O454" s="7"/>
      <c r="P454" s="7"/>
      <c r="Q454" s="33"/>
      <c r="R454" s="11"/>
      <c r="S454" s="11"/>
      <c r="T454" s="11" t="s">
        <v>98</v>
      </c>
      <c r="U454" s="12"/>
      <c r="V454" s="11"/>
      <c r="W454" s="13"/>
      <c r="X454" s="9"/>
      <c r="Y454" s="38"/>
      <c r="Z454" s="38"/>
      <c r="AA454" s="38"/>
      <c r="AB454" s="11"/>
      <c r="AC454" s="11"/>
      <c r="AD454" s="7"/>
      <c r="AE454" s="38"/>
      <c r="AF454" s="7"/>
      <c r="AG454" s="46"/>
      <c r="AH454" s="9"/>
      <c r="AI454" s="9"/>
      <c r="AJ454" s="9"/>
      <c r="AK454" s="9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53"/>
      <c r="AZ454" s="46"/>
      <c r="BA454" s="46"/>
      <c r="BB454" s="46"/>
      <c r="BC454" s="46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7"/>
      <c r="BR454" s="28"/>
      <c r="BS454" s="28"/>
      <c r="BT454" s="28"/>
      <c r="BU454" s="28"/>
      <c r="BV454" s="28"/>
      <c r="BW454" s="7"/>
      <c r="BX454" s="28"/>
      <c r="BY454" s="28"/>
      <c r="BZ454" s="28"/>
      <c r="CA454" s="28"/>
      <c r="CB454" s="28"/>
      <c r="CC454" s="7"/>
      <c r="CD454" s="7"/>
      <c r="CE454" s="29"/>
      <c r="CF454" s="18"/>
      <c r="CG454" s="29"/>
      <c r="CH454" s="29"/>
      <c r="CI454" s="29"/>
      <c r="CJ454" s="29"/>
      <c r="CK454" s="28"/>
      <c r="CL454" s="28"/>
      <c r="CM454" s="7"/>
      <c r="CN454" s="7"/>
      <c r="CO454" s="7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7"/>
      <c r="DG454" s="7"/>
      <c r="DH454" s="7"/>
      <c r="DI454" s="7"/>
      <c r="DJ454" s="7"/>
      <c r="DK454" s="28"/>
      <c r="DL454" s="28"/>
      <c r="DM454" s="7"/>
      <c r="DN454" s="29"/>
      <c r="DO454" s="28"/>
      <c r="DP454" s="28"/>
      <c r="DQ454" s="28"/>
    </row>
    <row r="455" spans="2:121">
      <c r="B455" s="7"/>
      <c r="C455" s="7"/>
      <c r="D455" s="7"/>
      <c r="E455" s="7"/>
      <c r="F455" s="7"/>
      <c r="G455" s="7"/>
      <c r="H455" s="38"/>
      <c r="I455" s="46"/>
      <c r="J455" s="18"/>
      <c r="K455" s="7"/>
      <c r="L455" s="38"/>
      <c r="M455" s="38"/>
      <c r="N455" s="38"/>
      <c r="O455" s="7"/>
      <c r="P455" s="7"/>
      <c r="Q455" s="33"/>
      <c r="R455" s="11"/>
      <c r="S455" s="11"/>
      <c r="T455" s="11" t="s">
        <v>98</v>
      </c>
      <c r="U455" s="12"/>
      <c r="V455" s="11"/>
      <c r="W455" s="13"/>
      <c r="X455" s="9"/>
      <c r="Y455" s="38"/>
      <c r="Z455" s="38"/>
      <c r="AA455" s="38"/>
      <c r="AB455" s="11"/>
      <c r="AC455" s="11"/>
      <c r="AD455" s="7"/>
      <c r="AE455" s="38"/>
      <c r="AF455" s="7"/>
      <c r="AG455" s="46"/>
      <c r="AH455" s="9"/>
      <c r="AI455" s="9"/>
      <c r="AJ455" s="9"/>
      <c r="AK455" s="9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53"/>
      <c r="AZ455" s="46"/>
      <c r="BA455" s="46"/>
      <c r="BB455" s="46"/>
      <c r="BC455" s="46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7"/>
      <c r="BR455" s="28"/>
      <c r="BS455" s="28"/>
      <c r="BT455" s="28"/>
      <c r="BU455" s="28"/>
      <c r="BV455" s="28"/>
      <c r="BW455" s="7"/>
      <c r="BX455" s="28"/>
      <c r="BY455" s="28"/>
      <c r="BZ455" s="28"/>
      <c r="CA455" s="28"/>
      <c r="CB455" s="28"/>
      <c r="CC455" s="7"/>
      <c r="CD455" s="7"/>
      <c r="CE455" s="29"/>
      <c r="CF455" s="18"/>
      <c r="CG455" s="29"/>
      <c r="CH455" s="29"/>
      <c r="CI455" s="29"/>
      <c r="CJ455" s="29"/>
      <c r="CK455" s="28"/>
      <c r="CL455" s="28"/>
      <c r="CM455" s="7"/>
      <c r="CN455" s="7"/>
      <c r="CO455" s="7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7"/>
      <c r="DG455" s="7"/>
      <c r="DH455" s="7"/>
      <c r="DI455" s="7"/>
      <c r="DJ455" s="7"/>
      <c r="DK455" s="28"/>
      <c r="DL455" s="28"/>
      <c r="DM455" s="7"/>
      <c r="DN455" s="29"/>
      <c r="DO455" s="28"/>
      <c r="DP455" s="28"/>
      <c r="DQ455" s="28"/>
    </row>
    <row r="456" spans="2:121">
      <c r="B456" s="7"/>
      <c r="C456" s="7"/>
      <c r="D456" s="7"/>
      <c r="E456" s="7"/>
      <c r="F456" s="7"/>
      <c r="G456" s="7"/>
      <c r="H456" s="38"/>
      <c r="I456" s="46"/>
      <c r="J456" s="18"/>
      <c r="K456" s="7"/>
      <c r="L456" s="38"/>
      <c r="M456" s="38"/>
      <c r="N456" s="38"/>
      <c r="O456" s="7"/>
      <c r="P456" s="7"/>
      <c r="Q456" s="33"/>
      <c r="R456" s="11"/>
      <c r="S456" s="11"/>
      <c r="T456" s="11" t="s">
        <v>98</v>
      </c>
      <c r="U456" s="12"/>
      <c r="V456" s="11"/>
      <c r="W456" s="13"/>
      <c r="X456" s="9"/>
      <c r="Y456" s="38"/>
      <c r="Z456" s="38"/>
      <c r="AA456" s="38"/>
      <c r="AB456" s="11"/>
      <c r="AC456" s="11"/>
      <c r="AD456" s="7"/>
      <c r="AE456" s="38"/>
      <c r="AF456" s="7"/>
      <c r="AG456" s="46"/>
      <c r="AH456" s="9"/>
      <c r="AI456" s="9"/>
      <c r="AJ456" s="9"/>
      <c r="AK456" s="9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53"/>
      <c r="AZ456" s="46"/>
      <c r="BA456" s="46"/>
      <c r="BB456" s="46"/>
      <c r="BC456" s="46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7"/>
      <c r="BR456" s="28"/>
      <c r="BS456" s="28"/>
      <c r="BT456" s="28"/>
      <c r="BU456" s="28"/>
      <c r="BV456" s="28"/>
      <c r="BW456" s="7"/>
      <c r="BX456" s="28"/>
      <c r="BY456" s="28"/>
      <c r="BZ456" s="28"/>
      <c r="CA456" s="28"/>
      <c r="CB456" s="28"/>
      <c r="CC456" s="7"/>
      <c r="CD456" s="7"/>
      <c r="CE456" s="29"/>
      <c r="CF456" s="18"/>
      <c r="CG456" s="29"/>
      <c r="CH456" s="29"/>
      <c r="CI456" s="29"/>
      <c r="CJ456" s="29"/>
      <c r="CK456" s="28"/>
      <c r="CL456" s="28"/>
      <c r="CM456" s="7"/>
      <c r="CN456" s="7"/>
      <c r="CO456" s="7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7"/>
      <c r="DG456" s="7"/>
      <c r="DH456" s="7"/>
      <c r="DI456" s="7"/>
      <c r="DJ456" s="7"/>
      <c r="DK456" s="28"/>
      <c r="DL456" s="28"/>
      <c r="DM456" s="7"/>
      <c r="DN456" s="29"/>
      <c r="DO456" s="28"/>
      <c r="DP456" s="28"/>
      <c r="DQ456" s="28"/>
    </row>
    <row r="457" spans="2:121">
      <c r="B457" s="7"/>
      <c r="C457" s="7"/>
      <c r="D457" s="7"/>
      <c r="E457" s="7"/>
      <c r="F457" s="7"/>
      <c r="G457" s="7"/>
      <c r="H457" s="38"/>
      <c r="I457" s="46"/>
      <c r="J457" s="18"/>
      <c r="K457" s="7"/>
      <c r="L457" s="38"/>
      <c r="M457" s="38"/>
      <c r="N457" s="38"/>
      <c r="O457" s="7"/>
      <c r="P457" s="7"/>
      <c r="Q457" s="33"/>
      <c r="R457" s="11"/>
      <c r="S457" s="11"/>
      <c r="T457" s="11" t="s">
        <v>98</v>
      </c>
      <c r="U457" s="12"/>
      <c r="V457" s="11"/>
      <c r="W457" s="13"/>
      <c r="X457" s="9"/>
      <c r="Y457" s="38"/>
      <c r="Z457" s="38"/>
      <c r="AA457" s="38"/>
      <c r="AB457" s="11"/>
      <c r="AC457" s="11"/>
      <c r="AD457" s="7"/>
      <c r="AE457" s="38"/>
      <c r="AF457" s="7"/>
      <c r="AG457" s="46"/>
      <c r="AH457" s="9"/>
      <c r="AI457" s="9"/>
      <c r="AJ457" s="9"/>
      <c r="AK457" s="9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53"/>
      <c r="AZ457" s="46"/>
      <c r="BA457" s="46"/>
      <c r="BB457" s="46"/>
      <c r="BC457" s="46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7"/>
      <c r="BR457" s="28"/>
      <c r="BS457" s="28"/>
      <c r="BT457" s="28"/>
      <c r="BU457" s="28"/>
      <c r="BV457" s="28"/>
      <c r="BW457" s="7"/>
      <c r="BX457" s="28"/>
      <c r="BY457" s="28"/>
      <c r="BZ457" s="28"/>
      <c r="CA457" s="28"/>
      <c r="CB457" s="28"/>
      <c r="CC457" s="7"/>
      <c r="CD457" s="7"/>
      <c r="CE457" s="29"/>
      <c r="CF457" s="18"/>
      <c r="CG457" s="29"/>
      <c r="CH457" s="29"/>
      <c r="CI457" s="29"/>
      <c r="CJ457" s="29"/>
      <c r="CK457" s="28"/>
      <c r="CL457" s="28"/>
      <c r="CM457" s="7"/>
      <c r="CN457" s="7"/>
      <c r="CO457" s="7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7"/>
      <c r="DG457" s="7"/>
      <c r="DH457" s="7"/>
      <c r="DI457" s="7"/>
      <c r="DJ457" s="7"/>
      <c r="DK457" s="28"/>
      <c r="DL457" s="28"/>
      <c r="DM457" s="7"/>
      <c r="DN457" s="29"/>
      <c r="DO457" s="28"/>
      <c r="DP457" s="28"/>
      <c r="DQ457" s="28"/>
    </row>
    <row r="458" spans="2:121">
      <c r="B458" s="7"/>
      <c r="C458" s="7"/>
      <c r="D458" s="7"/>
      <c r="E458" s="7"/>
      <c r="F458" s="7"/>
      <c r="G458" s="7"/>
      <c r="H458" s="38"/>
      <c r="I458" s="46"/>
      <c r="J458" s="18"/>
      <c r="K458" s="7"/>
      <c r="L458" s="38"/>
      <c r="M458" s="38"/>
      <c r="N458" s="38"/>
      <c r="O458" s="7"/>
      <c r="P458" s="7"/>
      <c r="Q458" s="33"/>
      <c r="R458" s="11"/>
      <c r="S458" s="11"/>
      <c r="T458" s="11" t="s">
        <v>98</v>
      </c>
      <c r="U458" s="12"/>
      <c r="V458" s="11"/>
      <c r="W458" s="13"/>
      <c r="X458" s="9"/>
      <c r="Y458" s="38"/>
      <c r="Z458" s="38"/>
      <c r="AA458" s="38"/>
      <c r="AB458" s="11"/>
      <c r="AC458" s="11"/>
      <c r="AD458" s="7"/>
      <c r="AE458" s="38"/>
      <c r="AF458" s="7"/>
      <c r="AG458" s="46"/>
      <c r="AH458" s="9"/>
      <c r="AI458" s="9"/>
      <c r="AJ458" s="9"/>
      <c r="AK458" s="9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53"/>
      <c r="AZ458" s="46"/>
      <c r="BA458" s="46"/>
      <c r="BB458" s="46"/>
      <c r="BC458" s="46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7"/>
      <c r="BR458" s="28"/>
      <c r="BS458" s="28"/>
      <c r="BT458" s="28"/>
      <c r="BU458" s="28"/>
      <c r="BV458" s="28"/>
      <c r="BW458" s="7"/>
      <c r="BX458" s="28"/>
      <c r="BY458" s="28"/>
      <c r="BZ458" s="28"/>
      <c r="CA458" s="28"/>
      <c r="CB458" s="28"/>
      <c r="CC458" s="7"/>
      <c r="CD458" s="7"/>
      <c r="CE458" s="29"/>
      <c r="CF458" s="18"/>
      <c r="CG458" s="29"/>
      <c r="CH458" s="29"/>
      <c r="CI458" s="29"/>
      <c r="CJ458" s="29"/>
      <c r="CK458" s="28"/>
      <c r="CL458" s="28"/>
      <c r="CM458" s="7"/>
      <c r="CN458" s="7"/>
      <c r="CO458" s="7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7"/>
      <c r="DG458" s="7"/>
      <c r="DH458" s="7"/>
      <c r="DI458" s="7"/>
      <c r="DJ458" s="7"/>
      <c r="DK458" s="28"/>
      <c r="DL458" s="28"/>
      <c r="DM458" s="7"/>
      <c r="DN458" s="29"/>
      <c r="DO458" s="28"/>
      <c r="DP458" s="28"/>
      <c r="DQ458" s="28"/>
    </row>
    <row r="459" spans="2:121">
      <c r="B459" s="7"/>
      <c r="C459" s="7"/>
      <c r="D459" s="7"/>
      <c r="E459" s="7"/>
      <c r="F459" s="7"/>
      <c r="G459" s="7"/>
      <c r="H459" s="38"/>
      <c r="I459" s="46"/>
      <c r="J459" s="18"/>
      <c r="K459" s="7"/>
      <c r="L459" s="38"/>
      <c r="M459" s="38"/>
      <c r="N459" s="38"/>
      <c r="O459" s="7"/>
      <c r="P459" s="7"/>
      <c r="Q459" s="33"/>
      <c r="R459" s="11"/>
      <c r="S459" s="11"/>
      <c r="T459" s="11" t="s">
        <v>98</v>
      </c>
      <c r="U459" s="12"/>
      <c r="V459" s="11"/>
      <c r="W459" s="13"/>
      <c r="X459" s="9"/>
      <c r="Y459" s="38"/>
      <c r="Z459" s="38"/>
      <c r="AA459" s="38"/>
      <c r="AB459" s="11"/>
      <c r="AC459" s="11"/>
      <c r="AD459" s="7"/>
      <c r="AE459" s="38"/>
      <c r="AF459" s="7"/>
      <c r="AG459" s="46"/>
      <c r="AH459" s="9"/>
      <c r="AI459" s="9"/>
      <c r="AJ459" s="9"/>
      <c r="AK459" s="9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53"/>
      <c r="AZ459" s="46"/>
      <c r="BA459" s="46"/>
      <c r="BB459" s="46"/>
      <c r="BC459" s="46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7"/>
      <c r="BR459" s="28"/>
      <c r="BS459" s="28"/>
      <c r="BT459" s="28"/>
      <c r="BU459" s="28"/>
      <c r="BV459" s="28"/>
      <c r="BW459" s="7"/>
      <c r="BX459" s="28"/>
      <c r="BY459" s="28"/>
      <c r="BZ459" s="28"/>
      <c r="CA459" s="28"/>
      <c r="CB459" s="28"/>
      <c r="CC459" s="7"/>
      <c r="CD459" s="7"/>
      <c r="CE459" s="29"/>
      <c r="CF459" s="18"/>
      <c r="CG459" s="29"/>
      <c r="CH459" s="29"/>
      <c r="CI459" s="29"/>
      <c r="CJ459" s="29"/>
      <c r="CK459" s="28"/>
      <c r="CL459" s="28"/>
      <c r="CM459" s="7"/>
      <c r="CN459" s="7"/>
      <c r="CO459" s="7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7"/>
      <c r="DG459" s="7"/>
      <c r="DH459" s="7"/>
      <c r="DI459" s="7"/>
      <c r="DJ459" s="7"/>
      <c r="DK459" s="28"/>
      <c r="DL459" s="28"/>
      <c r="DM459" s="7"/>
      <c r="DN459" s="29"/>
      <c r="DO459" s="28"/>
      <c r="DP459" s="28"/>
      <c r="DQ459" s="28"/>
    </row>
    <row r="460" spans="2:121">
      <c r="B460" s="7"/>
      <c r="C460" s="7"/>
      <c r="D460" s="7"/>
      <c r="E460" s="7"/>
      <c r="F460" s="7"/>
      <c r="G460" s="7"/>
      <c r="H460" s="38"/>
      <c r="I460" s="46"/>
      <c r="J460" s="18"/>
      <c r="K460" s="7"/>
      <c r="L460" s="38"/>
      <c r="M460" s="38"/>
      <c r="N460" s="38"/>
      <c r="O460" s="7"/>
      <c r="P460" s="7"/>
      <c r="Q460" s="33"/>
      <c r="R460" s="11"/>
      <c r="S460" s="11"/>
      <c r="T460" s="11" t="s">
        <v>98</v>
      </c>
      <c r="U460" s="12"/>
      <c r="V460" s="11"/>
      <c r="W460" s="13"/>
      <c r="X460" s="9"/>
      <c r="Y460" s="38"/>
      <c r="Z460" s="38"/>
      <c r="AA460" s="38"/>
      <c r="AB460" s="11"/>
      <c r="AC460" s="11"/>
      <c r="AD460" s="7"/>
      <c r="AE460" s="38"/>
      <c r="AF460" s="7"/>
      <c r="AG460" s="46"/>
      <c r="AH460" s="9"/>
      <c r="AI460" s="9"/>
      <c r="AJ460" s="9"/>
      <c r="AK460" s="9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53"/>
      <c r="AZ460" s="46"/>
      <c r="BA460" s="46"/>
      <c r="BB460" s="46"/>
      <c r="BC460" s="46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7"/>
      <c r="BR460" s="28"/>
      <c r="BS460" s="28"/>
      <c r="BT460" s="28"/>
      <c r="BU460" s="28"/>
      <c r="BV460" s="28"/>
      <c r="BW460" s="7"/>
      <c r="BX460" s="28"/>
      <c r="BY460" s="28"/>
      <c r="BZ460" s="28"/>
      <c r="CA460" s="28"/>
      <c r="CB460" s="28"/>
      <c r="CC460" s="7"/>
      <c r="CD460" s="7"/>
      <c r="CE460" s="29"/>
      <c r="CF460" s="18"/>
      <c r="CG460" s="29"/>
      <c r="CH460" s="29"/>
      <c r="CI460" s="29"/>
      <c r="CJ460" s="29"/>
      <c r="CK460" s="28"/>
      <c r="CL460" s="28"/>
      <c r="CM460" s="7"/>
      <c r="CN460" s="7"/>
      <c r="CO460" s="7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7"/>
      <c r="DG460" s="7"/>
      <c r="DH460" s="7"/>
      <c r="DI460" s="7"/>
      <c r="DJ460" s="7"/>
      <c r="DK460" s="28"/>
      <c r="DL460" s="28"/>
      <c r="DM460" s="7"/>
      <c r="DN460" s="29"/>
      <c r="DO460" s="28"/>
      <c r="DP460" s="28"/>
      <c r="DQ460" s="28"/>
    </row>
    <row r="461" spans="2:121">
      <c r="B461" s="7"/>
      <c r="C461" s="7"/>
      <c r="D461" s="7"/>
      <c r="E461" s="7"/>
      <c r="F461" s="7"/>
      <c r="G461" s="7"/>
      <c r="H461" s="38"/>
      <c r="I461" s="46"/>
      <c r="J461" s="18"/>
      <c r="K461" s="7"/>
      <c r="L461" s="38"/>
      <c r="M461" s="38"/>
      <c r="N461" s="38"/>
      <c r="O461" s="7"/>
      <c r="P461" s="7"/>
      <c r="Q461" s="33"/>
      <c r="R461" s="11"/>
      <c r="S461" s="11"/>
      <c r="T461" s="11" t="s">
        <v>98</v>
      </c>
      <c r="U461" s="12"/>
      <c r="V461" s="11"/>
      <c r="W461" s="13"/>
      <c r="X461" s="9"/>
      <c r="Y461" s="38"/>
      <c r="Z461" s="38"/>
      <c r="AA461" s="38"/>
      <c r="AB461" s="11"/>
      <c r="AC461" s="11"/>
      <c r="AD461" s="7"/>
      <c r="AE461" s="38"/>
      <c r="AF461" s="7"/>
      <c r="AG461" s="46"/>
      <c r="AH461" s="9"/>
      <c r="AI461" s="9"/>
      <c r="AJ461" s="9"/>
      <c r="AK461" s="9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53"/>
      <c r="AZ461" s="46"/>
      <c r="BA461" s="46"/>
      <c r="BB461" s="46"/>
      <c r="BC461" s="46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7"/>
      <c r="BR461" s="28"/>
      <c r="BS461" s="28"/>
      <c r="BT461" s="28"/>
      <c r="BU461" s="28"/>
      <c r="BV461" s="28"/>
      <c r="BW461" s="7"/>
      <c r="BX461" s="28"/>
      <c r="BY461" s="28"/>
      <c r="BZ461" s="28"/>
      <c r="CA461" s="28"/>
      <c r="CB461" s="28"/>
      <c r="CC461" s="7"/>
      <c r="CD461" s="7"/>
      <c r="CE461" s="29"/>
      <c r="CF461" s="18"/>
      <c r="CG461" s="29"/>
      <c r="CH461" s="29"/>
      <c r="CI461" s="29"/>
      <c r="CJ461" s="29"/>
      <c r="CK461" s="28"/>
      <c r="CL461" s="28"/>
      <c r="CM461" s="7"/>
      <c r="CN461" s="7"/>
      <c r="CO461" s="7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7"/>
      <c r="DG461" s="7"/>
      <c r="DH461" s="7"/>
      <c r="DI461" s="7"/>
      <c r="DJ461" s="7"/>
      <c r="DK461" s="28"/>
      <c r="DL461" s="28"/>
      <c r="DM461" s="7"/>
      <c r="DN461" s="29"/>
      <c r="DO461" s="28"/>
      <c r="DP461" s="28"/>
      <c r="DQ461" s="28"/>
    </row>
    <row r="462" spans="2:121">
      <c r="B462" s="7"/>
      <c r="C462" s="7"/>
      <c r="D462" s="7"/>
      <c r="E462" s="7"/>
      <c r="F462" s="7"/>
      <c r="G462" s="7"/>
      <c r="H462" s="38"/>
      <c r="I462" s="46"/>
      <c r="J462" s="18"/>
      <c r="K462" s="7"/>
      <c r="L462" s="38"/>
      <c r="M462" s="38"/>
      <c r="N462" s="38"/>
      <c r="O462" s="7"/>
      <c r="P462" s="7"/>
      <c r="Q462" s="33"/>
      <c r="R462" s="11"/>
      <c r="S462" s="11"/>
      <c r="T462" s="11" t="s">
        <v>98</v>
      </c>
      <c r="U462" s="12"/>
      <c r="V462" s="11"/>
      <c r="W462" s="13"/>
      <c r="X462" s="9"/>
      <c r="Y462" s="38"/>
      <c r="Z462" s="38"/>
      <c r="AA462" s="38"/>
      <c r="AB462" s="11"/>
      <c r="AC462" s="11"/>
      <c r="AD462" s="7"/>
      <c r="AE462" s="38"/>
      <c r="AF462" s="7"/>
      <c r="AG462" s="46"/>
      <c r="AH462" s="9"/>
      <c r="AI462" s="9"/>
      <c r="AJ462" s="9"/>
      <c r="AK462" s="9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53"/>
      <c r="AZ462" s="46"/>
      <c r="BA462" s="46"/>
      <c r="BB462" s="46"/>
      <c r="BC462" s="46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7"/>
      <c r="BR462" s="28"/>
      <c r="BS462" s="28"/>
      <c r="BT462" s="28"/>
      <c r="BU462" s="28"/>
      <c r="BV462" s="28"/>
      <c r="BW462" s="7"/>
      <c r="BX462" s="28"/>
      <c r="BY462" s="28"/>
      <c r="BZ462" s="28"/>
      <c r="CA462" s="28"/>
      <c r="CB462" s="28"/>
      <c r="CC462" s="7"/>
      <c r="CD462" s="7"/>
      <c r="CE462" s="29"/>
      <c r="CF462" s="18"/>
      <c r="CG462" s="29"/>
      <c r="CH462" s="29"/>
      <c r="CI462" s="29"/>
      <c r="CJ462" s="29"/>
      <c r="CK462" s="28"/>
      <c r="CL462" s="28"/>
      <c r="CM462" s="7"/>
      <c r="CN462" s="7"/>
      <c r="CO462" s="7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7"/>
      <c r="DG462" s="7"/>
      <c r="DH462" s="7"/>
      <c r="DI462" s="7"/>
      <c r="DJ462" s="7"/>
      <c r="DK462" s="28"/>
      <c r="DL462" s="28"/>
      <c r="DM462" s="7"/>
      <c r="DN462" s="29"/>
      <c r="DO462" s="28"/>
      <c r="DP462" s="28"/>
      <c r="DQ462" s="28"/>
    </row>
    <row r="463" spans="2:121">
      <c r="B463" s="7"/>
      <c r="C463" s="7"/>
      <c r="D463" s="7"/>
      <c r="E463" s="7"/>
      <c r="F463" s="7"/>
      <c r="G463" s="7"/>
      <c r="H463" s="38"/>
      <c r="I463" s="46"/>
      <c r="J463" s="18"/>
      <c r="K463" s="7"/>
      <c r="L463" s="38"/>
      <c r="M463" s="38"/>
      <c r="N463" s="38"/>
      <c r="O463" s="7"/>
      <c r="P463" s="7"/>
      <c r="Q463" s="33"/>
      <c r="R463" s="11"/>
      <c r="S463" s="11"/>
      <c r="T463" s="11" t="s">
        <v>98</v>
      </c>
      <c r="U463" s="12"/>
      <c r="V463" s="11"/>
      <c r="W463" s="13"/>
      <c r="X463" s="9"/>
      <c r="Y463" s="38"/>
      <c r="Z463" s="38"/>
      <c r="AA463" s="38"/>
      <c r="AB463" s="11"/>
      <c r="AC463" s="11"/>
      <c r="AD463" s="7"/>
      <c r="AE463" s="38"/>
      <c r="AF463" s="7"/>
      <c r="AG463" s="46"/>
      <c r="AH463" s="9"/>
      <c r="AI463" s="9"/>
      <c r="AJ463" s="9"/>
      <c r="AK463" s="9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53"/>
      <c r="AZ463" s="46"/>
      <c r="BA463" s="46"/>
      <c r="BB463" s="46"/>
      <c r="BC463" s="46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7"/>
      <c r="BR463" s="28"/>
      <c r="BS463" s="28"/>
      <c r="BT463" s="28"/>
      <c r="BU463" s="28"/>
      <c r="BV463" s="28"/>
      <c r="BW463" s="7"/>
      <c r="BX463" s="28"/>
      <c r="BY463" s="28"/>
      <c r="BZ463" s="28"/>
      <c r="CA463" s="28"/>
      <c r="CB463" s="28"/>
      <c r="CC463" s="7"/>
      <c r="CD463" s="7"/>
      <c r="CE463" s="29"/>
      <c r="CF463" s="18"/>
      <c r="CG463" s="29"/>
      <c r="CH463" s="29"/>
      <c r="CI463" s="29"/>
      <c r="CJ463" s="29"/>
      <c r="CK463" s="28"/>
      <c r="CL463" s="28"/>
      <c r="CM463" s="7"/>
      <c r="CN463" s="7"/>
      <c r="CO463" s="7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7"/>
      <c r="DG463" s="7"/>
      <c r="DH463" s="7"/>
      <c r="DI463" s="7"/>
      <c r="DJ463" s="7"/>
      <c r="DK463" s="28"/>
      <c r="DL463" s="28"/>
      <c r="DM463" s="7"/>
      <c r="DN463" s="29"/>
      <c r="DO463" s="28"/>
      <c r="DP463" s="28"/>
      <c r="DQ463" s="28"/>
    </row>
    <row r="464" spans="2:121">
      <c r="B464" s="7"/>
      <c r="C464" s="7"/>
      <c r="D464" s="7"/>
      <c r="E464" s="7"/>
      <c r="F464" s="7"/>
      <c r="G464" s="7"/>
      <c r="H464" s="38"/>
      <c r="I464" s="46"/>
      <c r="J464" s="18"/>
      <c r="K464" s="7"/>
      <c r="L464" s="38"/>
      <c r="M464" s="38"/>
      <c r="N464" s="38"/>
      <c r="O464" s="7"/>
      <c r="P464" s="7"/>
      <c r="Q464" s="33"/>
      <c r="R464" s="11"/>
      <c r="S464" s="11"/>
      <c r="T464" s="11" t="s">
        <v>98</v>
      </c>
      <c r="U464" s="12"/>
      <c r="V464" s="11"/>
      <c r="W464" s="13"/>
      <c r="X464" s="9"/>
      <c r="Y464" s="38"/>
      <c r="Z464" s="38"/>
      <c r="AA464" s="38"/>
      <c r="AB464" s="11"/>
      <c r="AC464" s="11"/>
      <c r="AD464" s="7"/>
      <c r="AE464" s="38"/>
      <c r="AF464" s="7"/>
      <c r="AG464" s="46"/>
      <c r="AH464" s="9"/>
      <c r="AI464" s="9"/>
      <c r="AJ464" s="9"/>
      <c r="AK464" s="9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53"/>
      <c r="AZ464" s="46"/>
      <c r="BA464" s="46"/>
      <c r="BB464" s="46"/>
      <c r="BC464" s="46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7"/>
      <c r="BR464" s="28"/>
      <c r="BS464" s="28"/>
      <c r="BT464" s="28"/>
      <c r="BU464" s="28"/>
      <c r="BV464" s="28"/>
      <c r="BW464" s="7"/>
      <c r="BX464" s="28"/>
      <c r="BY464" s="28"/>
      <c r="BZ464" s="28"/>
      <c r="CA464" s="28"/>
      <c r="CB464" s="28"/>
      <c r="CC464" s="7"/>
      <c r="CD464" s="7"/>
      <c r="CE464" s="29"/>
      <c r="CF464" s="18"/>
      <c r="CG464" s="29"/>
      <c r="CH464" s="29"/>
      <c r="CI464" s="29"/>
      <c r="CJ464" s="29"/>
      <c r="CK464" s="28"/>
      <c r="CL464" s="28"/>
      <c r="CM464" s="7"/>
      <c r="CN464" s="7"/>
      <c r="CO464" s="7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7"/>
      <c r="DG464" s="7"/>
      <c r="DH464" s="7"/>
      <c r="DI464" s="7"/>
      <c r="DJ464" s="7"/>
      <c r="DK464" s="28"/>
      <c r="DL464" s="28"/>
      <c r="DM464" s="7"/>
      <c r="DN464" s="29"/>
      <c r="DO464" s="28"/>
      <c r="DP464" s="28"/>
      <c r="DQ464" s="28"/>
    </row>
    <row r="465" spans="2:121">
      <c r="B465" s="7"/>
      <c r="C465" s="7"/>
      <c r="D465" s="7"/>
      <c r="E465" s="7"/>
      <c r="F465" s="7"/>
      <c r="G465" s="7"/>
      <c r="H465" s="38"/>
      <c r="I465" s="46"/>
      <c r="J465" s="18"/>
      <c r="K465" s="7"/>
      <c r="L465" s="38"/>
      <c r="M465" s="38"/>
      <c r="N465" s="38"/>
      <c r="O465" s="7"/>
      <c r="P465" s="7"/>
      <c r="Q465" s="33"/>
      <c r="R465" s="11"/>
      <c r="S465" s="11"/>
      <c r="T465" s="11" t="s">
        <v>98</v>
      </c>
      <c r="U465" s="12"/>
      <c r="V465" s="11"/>
      <c r="W465" s="13"/>
      <c r="X465" s="9"/>
      <c r="Y465" s="38"/>
      <c r="Z465" s="38"/>
      <c r="AA465" s="38"/>
      <c r="AB465" s="11"/>
      <c r="AC465" s="11"/>
      <c r="AD465" s="7"/>
      <c r="AE465" s="38"/>
      <c r="AF465" s="7"/>
      <c r="AG465" s="46"/>
      <c r="AH465" s="9"/>
      <c r="AI465" s="9"/>
      <c r="AJ465" s="9"/>
      <c r="AK465" s="9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53"/>
      <c r="AZ465" s="46"/>
      <c r="BA465" s="46"/>
      <c r="BB465" s="46"/>
      <c r="BC465" s="46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7"/>
      <c r="BR465" s="28"/>
      <c r="BS465" s="28"/>
      <c r="BT465" s="28"/>
      <c r="BU465" s="28"/>
      <c r="BV465" s="28"/>
      <c r="BW465" s="7"/>
      <c r="BX465" s="28"/>
      <c r="BY465" s="28"/>
      <c r="BZ465" s="28"/>
      <c r="CA465" s="28"/>
      <c r="CB465" s="28"/>
      <c r="CC465" s="7"/>
      <c r="CD465" s="7"/>
      <c r="CE465" s="29"/>
      <c r="CF465" s="18"/>
      <c r="CG465" s="29"/>
      <c r="CH465" s="29"/>
      <c r="CI465" s="29"/>
      <c r="CJ465" s="29"/>
      <c r="CK465" s="28"/>
      <c r="CL465" s="28"/>
      <c r="CM465" s="7"/>
      <c r="CN465" s="7"/>
      <c r="CO465" s="7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7"/>
      <c r="DG465" s="7"/>
      <c r="DH465" s="7"/>
      <c r="DI465" s="7"/>
      <c r="DJ465" s="7"/>
      <c r="DK465" s="28"/>
      <c r="DL465" s="28"/>
      <c r="DM465" s="7"/>
      <c r="DN465" s="29"/>
      <c r="DO465" s="28"/>
      <c r="DP465" s="28"/>
      <c r="DQ465" s="28"/>
    </row>
    <row r="466" spans="2:121">
      <c r="B466" s="7"/>
      <c r="C466" s="7"/>
      <c r="D466" s="7"/>
      <c r="E466" s="7"/>
      <c r="F466" s="7"/>
      <c r="G466" s="7"/>
      <c r="H466" s="38"/>
      <c r="I466" s="46"/>
      <c r="J466" s="18"/>
      <c r="K466" s="7"/>
      <c r="L466" s="38"/>
      <c r="M466" s="38"/>
      <c r="N466" s="38"/>
      <c r="O466" s="7"/>
      <c r="P466" s="7"/>
      <c r="Q466" s="33"/>
      <c r="R466" s="11"/>
      <c r="S466" s="11"/>
      <c r="T466" s="11" t="s">
        <v>98</v>
      </c>
      <c r="U466" s="12"/>
      <c r="V466" s="11"/>
      <c r="W466" s="13"/>
      <c r="X466" s="9"/>
      <c r="Y466" s="38"/>
      <c r="Z466" s="38"/>
      <c r="AA466" s="38"/>
      <c r="AB466" s="11"/>
      <c r="AC466" s="11"/>
      <c r="AD466" s="7"/>
      <c r="AE466" s="38"/>
      <c r="AF466" s="7"/>
      <c r="AG466" s="46"/>
      <c r="AH466" s="9"/>
      <c r="AI466" s="9"/>
      <c r="AJ466" s="9"/>
      <c r="AK466" s="9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53"/>
      <c r="AZ466" s="46"/>
      <c r="BA466" s="46"/>
      <c r="BB466" s="46"/>
      <c r="BC466" s="46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7"/>
      <c r="BR466" s="28"/>
      <c r="BS466" s="28"/>
      <c r="BT466" s="28"/>
      <c r="BU466" s="28"/>
      <c r="BV466" s="28"/>
      <c r="BW466" s="7"/>
      <c r="BX466" s="28"/>
      <c r="BY466" s="28"/>
      <c r="BZ466" s="28"/>
      <c r="CA466" s="28"/>
      <c r="CB466" s="28"/>
      <c r="CC466" s="7"/>
      <c r="CD466" s="7"/>
      <c r="CE466" s="29"/>
      <c r="CF466" s="18"/>
      <c r="CG466" s="29"/>
      <c r="CH466" s="29"/>
      <c r="CI466" s="29"/>
      <c r="CJ466" s="29"/>
      <c r="CK466" s="28"/>
      <c r="CL466" s="28"/>
      <c r="CM466" s="7"/>
      <c r="CN466" s="7"/>
      <c r="CO466" s="7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7"/>
      <c r="DG466" s="7"/>
      <c r="DH466" s="7"/>
      <c r="DI466" s="7"/>
      <c r="DJ466" s="7"/>
      <c r="DK466" s="28"/>
      <c r="DL466" s="28"/>
      <c r="DM466" s="7"/>
      <c r="DN466" s="29"/>
      <c r="DO466" s="28"/>
      <c r="DP466" s="28"/>
      <c r="DQ466" s="28"/>
    </row>
    <row r="467" spans="2:121">
      <c r="B467" s="7"/>
      <c r="C467" s="7"/>
      <c r="D467" s="7"/>
      <c r="E467" s="7"/>
      <c r="F467" s="7"/>
      <c r="G467" s="7"/>
      <c r="H467" s="38"/>
      <c r="I467" s="46"/>
      <c r="J467" s="18"/>
      <c r="K467" s="7"/>
      <c r="L467" s="38"/>
      <c r="M467" s="38"/>
      <c r="N467" s="38"/>
      <c r="O467" s="7"/>
      <c r="P467" s="7"/>
      <c r="Q467" s="33"/>
      <c r="R467" s="11"/>
      <c r="S467" s="11"/>
      <c r="T467" s="11" t="s">
        <v>98</v>
      </c>
      <c r="U467" s="12"/>
      <c r="V467" s="11"/>
      <c r="W467" s="13"/>
      <c r="X467" s="9"/>
      <c r="Y467" s="38"/>
      <c r="Z467" s="38"/>
      <c r="AA467" s="38"/>
      <c r="AB467" s="11"/>
      <c r="AC467" s="11"/>
      <c r="AD467" s="7"/>
      <c r="AE467" s="38"/>
      <c r="AF467" s="7"/>
      <c r="AG467" s="46"/>
      <c r="AH467" s="9"/>
      <c r="AI467" s="9"/>
      <c r="AJ467" s="9"/>
      <c r="AK467" s="9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53"/>
      <c r="AZ467" s="46"/>
      <c r="BA467" s="46"/>
      <c r="BB467" s="46"/>
      <c r="BC467" s="46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7"/>
      <c r="BR467" s="28"/>
      <c r="BS467" s="28"/>
      <c r="BT467" s="28"/>
      <c r="BU467" s="28"/>
      <c r="BV467" s="28"/>
      <c r="BW467" s="7"/>
      <c r="BX467" s="28"/>
      <c r="BY467" s="28"/>
      <c r="BZ467" s="28"/>
      <c r="CA467" s="28"/>
      <c r="CB467" s="28"/>
      <c r="CC467" s="7"/>
      <c r="CD467" s="7"/>
      <c r="CE467" s="29"/>
      <c r="CF467" s="18"/>
      <c r="CG467" s="29"/>
      <c r="CH467" s="29"/>
      <c r="CI467" s="29"/>
      <c r="CJ467" s="29"/>
      <c r="CK467" s="28"/>
      <c r="CL467" s="28"/>
      <c r="CM467" s="7"/>
      <c r="CN467" s="7"/>
      <c r="CO467" s="7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7"/>
      <c r="DG467" s="7"/>
      <c r="DH467" s="7"/>
      <c r="DI467" s="7"/>
      <c r="DJ467" s="7"/>
      <c r="DK467" s="28"/>
      <c r="DL467" s="28"/>
      <c r="DM467" s="7"/>
      <c r="DN467" s="29"/>
      <c r="DO467" s="28"/>
      <c r="DP467" s="28"/>
      <c r="DQ467" s="28"/>
    </row>
    <row r="468" spans="2:121">
      <c r="B468" s="7"/>
      <c r="C468" s="7"/>
      <c r="D468" s="7"/>
      <c r="E468" s="7"/>
      <c r="F468" s="7"/>
      <c r="G468" s="7"/>
      <c r="H468" s="38"/>
      <c r="I468" s="46"/>
      <c r="J468" s="18"/>
      <c r="K468" s="7"/>
      <c r="L468" s="38"/>
      <c r="M468" s="38"/>
      <c r="N468" s="38"/>
      <c r="O468" s="7"/>
      <c r="P468" s="7"/>
      <c r="Q468" s="33"/>
      <c r="R468" s="11"/>
      <c r="S468" s="11"/>
      <c r="T468" s="11" t="s">
        <v>98</v>
      </c>
      <c r="U468" s="12"/>
      <c r="V468" s="11"/>
      <c r="W468" s="13"/>
      <c r="X468" s="9"/>
      <c r="Y468" s="38"/>
      <c r="Z468" s="38"/>
      <c r="AA468" s="38"/>
      <c r="AB468" s="11"/>
      <c r="AC468" s="11"/>
      <c r="AD468" s="7"/>
      <c r="AE468" s="38"/>
      <c r="AF468" s="7"/>
      <c r="AG468" s="46"/>
      <c r="AH468" s="9"/>
      <c r="AI468" s="9"/>
      <c r="AJ468" s="9"/>
      <c r="AK468" s="9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53"/>
      <c r="AZ468" s="46"/>
      <c r="BA468" s="46"/>
      <c r="BB468" s="46"/>
      <c r="BC468" s="46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7"/>
      <c r="BR468" s="28"/>
      <c r="BS468" s="28"/>
      <c r="BT468" s="28"/>
      <c r="BU468" s="28"/>
      <c r="BV468" s="28"/>
      <c r="BW468" s="7"/>
      <c r="BX468" s="28"/>
      <c r="BY468" s="28"/>
      <c r="BZ468" s="28"/>
      <c r="CA468" s="28"/>
      <c r="CB468" s="28"/>
      <c r="CC468" s="7"/>
      <c r="CD468" s="7"/>
      <c r="CE468" s="29"/>
      <c r="CF468" s="18"/>
      <c r="CG468" s="29"/>
      <c r="CH468" s="29"/>
      <c r="CI468" s="29"/>
      <c r="CJ468" s="29"/>
      <c r="CK468" s="28"/>
      <c r="CL468" s="28"/>
      <c r="CM468" s="7"/>
      <c r="CN468" s="7"/>
      <c r="CO468" s="7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7"/>
      <c r="DG468" s="7"/>
      <c r="DH468" s="7"/>
      <c r="DI468" s="7"/>
      <c r="DJ468" s="7"/>
      <c r="DK468" s="28"/>
      <c r="DL468" s="28"/>
      <c r="DM468" s="7"/>
      <c r="DN468" s="29"/>
      <c r="DO468" s="28"/>
      <c r="DP468" s="28"/>
      <c r="DQ468" s="28"/>
    </row>
    <row r="469" spans="2:121">
      <c r="B469" s="7"/>
      <c r="C469" s="7"/>
      <c r="D469" s="7"/>
      <c r="E469" s="7"/>
      <c r="F469" s="7"/>
      <c r="G469" s="7"/>
      <c r="H469" s="38"/>
      <c r="I469" s="46"/>
      <c r="J469" s="18"/>
      <c r="K469" s="7"/>
      <c r="L469" s="38"/>
      <c r="M469" s="38"/>
      <c r="N469" s="38"/>
      <c r="O469" s="7"/>
      <c r="P469" s="7"/>
      <c r="Q469" s="33"/>
      <c r="R469" s="11"/>
      <c r="S469" s="11"/>
      <c r="T469" s="11" t="s">
        <v>98</v>
      </c>
      <c r="U469" s="12"/>
      <c r="V469" s="11"/>
      <c r="W469" s="13"/>
      <c r="X469" s="9"/>
      <c r="Y469" s="38"/>
      <c r="Z469" s="38"/>
      <c r="AA469" s="38"/>
      <c r="AB469" s="11"/>
      <c r="AC469" s="11"/>
      <c r="AD469" s="7"/>
      <c r="AE469" s="38"/>
      <c r="AF469" s="7"/>
      <c r="AG469" s="46"/>
      <c r="AH469" s="9"/>
      <c r="AI469" s="9"/>
      <c r="AJ469" s="9"/>
      <c r="AK469" s="9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53"/>
      <c r="AZ469" s="46"/>
      <c r="BA469" s="46"/>
      <c r="BB469" s="46"/>
      <c r="BC469" s="46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7"/>
      <c r="BR469" s="28"/>
      <c r="BS469" s="28"/>
      <c r="BT469" s="28"/>
      <c r="BU469" s="28"/>
      <c r="BV469" s="28"/>
      <c r="BW469" s="7"/>
      <c r="BX469" s="28"/>
      <c r="BY469" s="28"/>
      <c r="BZ469" s="28"/>
      <c r="CA469" s="28"/>
      <c r="CB469" s="28"/>
      <c r="CC469" s="7"/>
      <c r="CD469" s="7"/>
      <c r="CE469" s="29"/>
      <c r="CF469" s="18"/>
      <c r="CG469" s="29"/>
      <c r="CH469" s="29"/>
      <c r="CI469" s="29"/>
      <c r="CJ469" s="29"/>
      <c r="CK469" s="28"/>
      <c r="CL469" s="28"/>
      <c r="CM469" s="7"/>
      <c r="CN469" s="7"/>
      <c r="CO469" s="7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7"/>
      <c r="DG469" s="7"/>
      <c r="DH469" s="7"/>
      <c r="DI469" s="7"/>
      <c r="DJ469" s="7"/>
      <c r="DK469" s="28"/>
      <c r="DL469" s="28"/>
      <c r="DM469" s="7"/>
      <c r="DN469" s="29"/>
      <c r="DO469" s="28"/>
      <c r="DP469" s="28"/>
      <c r="DQ469" s="28"/>
    </row>
    <row r="470" spans="2:121">
      <c r="B470" s="7"/>
      <c r="C470" s="7"/>
      <c r="D470" s="7"/>
      <c r="E470" s="7"/>
      <c r="F470" s="7"/>
      <c r="G470" s="7"/>
      <c r="H470" s="38"/>
      <c r="I470" s="46"/>
      <c r="J470" s="18"/>
      <c r="K470" s="7"/>
      <c r="L470" s="38"/>
      <c r="M470" s="38"/>
      <c r="N470" s="38"/>
      <c r="O470" s="7"/>
      <c r="P470" s="7"/>
      <c r="Q470" s="33"/>
      <c r="R470" s="11"/>
      <c r="S470" s="11"/>
      <c r="T470" s="11" t="s">
        <v>98</v>
      </c>
      <c r="U470" s="12"/>
      <c r="V470" s="11"/>
      <c r="W470" s="13"/>
      <c r="X470" s="9"/>
      <c r="Y470" s="38"/>
      <c r="Z470" s="38"/>
      <c r="AA470" s="38"/>
      <c r="AB470" s="11"/>
      <c r="AC470" s="11"/>
      <c r="AD470" s="7"/>
      <c r="AE470" s="38"/>
      <c r="AF470" s="7"/>
      <c r="AG470" s="46"/>
      <c r="AH470" s="9"/>
      <c r="AI470" s="9"/>
      <c r="AJ470" s="9"/>
      <c r="AK470" s="9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53"/>
      <c r="AZ470" s="46"/>
      <c r="BA470" s="46"/>
      <c r="BB470" s="46"/>
      <c r="BC470" s="46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7"/>
      <c r="BR470" s="28"/>
      <c r="BS470" s="28"/>
      <c r="BT470" s="28"/>
      <c r="BU470" s="28"/>
      <c r="BV470" s="28"/>
      <c r="BW470" s="7"/>
      <c r="BX470" s="28"/>
      <c r="BY470" s="28"/>
      <c r="BZ470" s="28"/>
      <c r="CA470" s="28"/>
      <c r="CB470" s="28"/>
      <c r="CC470" s="7"/>
      <c r="CD470" s="7"/>
      <c r="CE470" s="29"/>
      <c r="CF470" s="18"/>
      <c r="CG470" s="29"/>
      <c r="CH470" s="29"/>
      <c r="CI470" s="29"/>
      <c r="CJ470" s="29"/>
      <c r="CK470" s="28"/>
      <c r="CL470" s="28"/>
      <c r="CM470" s="7"/>
      <c r="CN470" s="7"/>
      <c r="CO470" s="7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7"/>
      <c r="DG470" s="7"/>
      <c r="DH470" s="7"/>
      <c r="DI470" s="7"/>
      <c r="DJ470" s="7"/>
      <c r="DK470" s="28"/>
      <c r="DL470" s="28"/>
      <c r="DM470" s="7"/>
      <c r="DN470" s="29"/>
      <c r="DO470" s="28"/>
      <c r="DP470" s="28"/>
      <c r="DQ470" s="28"/>
    </row>
    <row r="471" spans="2:121">
      <c r="B471" s="7"/>
      <c r="C471" s="7"/>
      <c r="D471" s="7"/>
      <c r="E471" s="7"/>
      <c r="F471" s="7"/>
      <c r="G471" s="7"/>
      <c r="H471" s="38"/>
      <c r="I471" s="46"/>
      <c r="J471" s="18"/>
      <c r="K471" s="7"/>
      <c r="L471" s="38"/>
      <c r="M471" s="38"/>
      <c r="N471" s="38"/>
      <c r="O471" s="7"/>
      <c r="P471" s="7"/>
      <c r="Q471" s="33"/>
      <c r="R471" s="11"/>
      <c r="S471" s="11"/>
      <c r="T471" s="11" t="s">
        <v>98</v>
      </c>
      <c r="U471" s="12"/>
      <c r="V471" s="11"/>
      <c r="W471" s="13"/>
      <c r="X471" s="9"/>
      <c r="Y471" s="38"/>
      <c r="Z471" s="38"/>
      <c r="AA471" s="38"/>
      <c r="AB471" s="11"/>
      <c r="AC471" s="11"/>
      <c r="AD471" s="7"/>
      <c r="AE471" s="38"/>
      <c r="AF471" s="7"/>
      <c r="AG471" s="46"/>
      <c r="AH471" s="9"/>
      <c r="AI471" s="9"/>
      <c r="AJ471" s="9"/>
      <c r="AK471" s="9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53"/>
      <c r="AZ471" s="46"/>
      <c r="BA471" s="46"/>
      <c r="BB471" s="46"/>
      <c r="BC471" s="46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7"/>
      <c r="BR471" s="28"/>
      <c r="BS471" s="28"/>
      <c r="BT471" s="28"/>
      <c r="BU471" s="28"/>
      <c r="BV471" s="28"/>
      <c r="BW471" s="7"/>
      <c r="BX471" s="28"/>
      <c r="BY471" s="28"/>
      <c r="BZ471" s="28"/>
      <c r="CA471" s="28"/>
      <c r="CB471" s="28"/>
      <c r="CC471" s="7"/>
      <c r="CD471" s="7"/>
      <c r="CE471" s="29"/>
      <c r="CF471" s="18"/>
      <c r="CG471" s="29"/>
      <c r="CH471" s="29"/>
      <c r="CI471" s="29"/>
      <c r="CJ471" s="29"/>
      <c r="CK471" s="28"/>
      <c r="CL471" s="28"/>
      <c r="CM471" s="7"/>
      <c r="CN471" s="7"/>
      <c r="CO471" s="7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7"/>
      <c r="DG471" s="7"/>
      <c r="DH471" s="7"/>
      <c r="DI471" s="7"/>
      <c r="DJ471" s="7"/>
      <c r="DK471" s="28"/>
      <c r="DL471" s="28"/>
      <c r="DM471" s="7"/>
      <c r="DN471" s="29"/>
      <c r="DO471" s="28"/>
      <c r="DP471" s="28"/>
      <c r="DQ471" s="28"/>
    </row>
    <row r="472" spans="2:121">
      <c r="B472" s="7"/>
      <c r="C472" s="7"/>
      <c r="D472" s="7"/>
      <c r="E472" s="7"/>
      <c r="F472" s="7"/>
      <c r="G472" s="7"/>
      <c r="H472" s="38"/>
      <c r="I472" s="46"/>
      <c r="J472" s="18"/>
      <c r="K472" s="7"/>
      <c r="L472" s="38"/>
      <c r="M472" s="38"/>
      <c r="N472" s="38"/>
      <c r="O472" s="7"/>
      <c r="P472" s="7"/>
      <c r="Q472" s="33"/>
      <c r="R472" s="11"/>
      <c r="S472" s="11"/>
      <c r="T472" s="11" t="s">
        <v>98</v>
      </c>
      <c r="U472" s="12"/>
      <c r="V472" s="11"/>
      <c r="W472" s="13"/>
      <c r="X472" s="9"/>
      <c r="Y472" s="38"/>
      <c r="Z472" s="38"/>
      <c r="AA472" s="38"/>
      <c r="AB472" s="11"/>
      <c r="AC472" s="11"/>
      <c r="AD472" s="7"/>
      <c r="AE472" s="38"/>
      <c r="AF472" s="7"/>
      <c r="AG472" s="46"/>
      <c r="AH472" s="9"/>
      <c r="AI472" s="9"/>
      <c r="AJ472" s="9"/>
      <c r="AK472" s="9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53"/>
      <c r="AZ472" s="46"/>
      <c r="BA472" s="46"/>
      <c r="BB472" s="46"/>
      <c r="BC472" s="46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7"/>
      <c r="BR472" s="28"/>
      <c r="BS472" s="28"/>
      <c r="BT472" s="28"/>
      <c r="BU472" s="28"/>
      <c r="BV472" s="28"/>
      <c r="BW472" s="7"/>
      <c r="BX472" s="28"/>
      <c r="BY472" s="28"/>
      <c r="BZ472" s="28"/>
      <c r="CA472" s="28"/>
      <c r="CB472" s="28"/>
      <c r="CC472" s="7"/>
      <c r="CD472" s="7"/>
      <c r="CE472" s="29"/>
      <c r="CF472" s="18"/>
      <c r="CG472" s="29"/>
      <c r="CH472" s="29"/>
      <c r="CI472" s="29"/>
      <c r="CJ472" s="29"/>
      <c r="CK472" s="28"/>
      <c r="CL472" s="28"/>
      <c r="CM472" s="7"/>
      <c r="CN472" s="7"/>
      <c r="CO472" s="7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7"/>
      <c r="DG472" s="7"/>
      <c r="DH472" s="7"/>
      <c r="DI472" s="7"/>
      <c r="DJ472" s="7"/>
      <c r="DK472" s="28"/>
      <c r="DL472" s="28"/>
      <c r="DM472" s="7"/>
      <c r="DN472" s="29"/>
      <c r="DO472" s="28"/>
      <c r="DP472" s="28"/>
      <c r="DQ472" s="28"/>
    </row>
    <row r="473" spans="2:121">
      <c r="B473" s="7"/>
      <c r="C473" s="7"/>
      <c r="D473" s="7"/>
      <c r="E473" s="7"/>
      <c r="F473" s="7"/>
      <c r="G473" s="7"/>
      <c r="H473" s="38"/>
      <c r="I473" s="46"/>
      <c r="J473" s="18"/>
      <c r="K473" s="7"/>
      <c r="L473" s="38"/>
      <c r="M473" s="38"/>
      <c r="N473" s="38"/>
      <c r="O473" s="7"/>
      <c r="P473" s="7"/>
      <c r="Q473" s="33"/>
      <c r="R473" s="11"/>
      <c r="S473" s="11"/>
      <c r="T473" s="11" t="s">
        <v>98</v>
      </c>
      <c r="U473" s="12"/>
      <c r="V473" s="11"/>
      <c r="W473" s="13"/>
      <c r="X473" s="9"/>
      <c r="Y473" s="38"/>
      <c r="Z473" s="38"/>
      <c r="AA473" s="38"/>
      <c r="AB473" s="11"/>
      <c r="AC473" s="11"/>
      <c r="AD473" s="7"/>
      <c r="AE473" s="38"/>
      <c r="AF473" s="7"/>
      <c r="AG473" s="46"/>
      <c r="AH473" s="9"/>
      <c r="AI473" s="9"/>
      <c r="AJ473" s="9"/>
      <c r="AK473" s="9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53"/>
      <c r="AZ473" s="46"/>
      <c r="BA473" s="46"/>
      <c r="BB473" s="46"/>
      <c r="BC473" s="46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7"/>
      <c r="BR473" s="28"/>
      <c r="BS473" s="28"/>
      <c r="BT473" s="28"/>
      <c r="BU473" s="28"/>
      <c r="BV473" s="28"/>
      <c r="BW473" s="7"/>
      <c r="BX473" s="28"/>
      <c r="BY473" s="28"/>
      <c r="BZ473" s="28"/>
      <c r="CA473" s="28"/>
      <c r="CB473" s="28"/>
      <c r="CC473" s="7"/>
      <c r="CD473" s="7"/>
      <c r="CE473" s="29"/>
      <c r="CF473" s="18"/>
      <c r="CG473" s="29"/>
      <c r="CH473" s="29"/>
      <c r="CI473" s="29"/>
      <c r="CJ473" s="29"/>
      <c r="CK473" s="28"/>
      <c r="CL473" s="28"/>
      <c r="CM473" s="7"/>
      <c r="CN473" s="7"/>
      <c r="CO473" s="7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7"/>
      <c r="DG473" s="7"/>
      <c r="DH473" s="7"/>
      <c r="DI473" s="7"/>
      <c r="DJ473" s="7"/>
      <c r="DK473" s="28"/>
      <c r="DL473" s="28"/>
      <c r="DM473" s="7"/>
      <c r="DN473" s="29"/>
      <c r="DO473" s="28"/>
      <c r="DP473" s="28"/>
      <c r="DQ473" s="28"/>
    </row>
    <row r="474" spans="2:121">
      <c r="B474" s="7"/>
      <c r="C474" s="7"/>
      <c r="D474" s="7"/>
      <c r="E474" s="7"/>
      <c r="F474" s="7"/>
      <c r="G474" s="7"/>
      <c r="H474" s="38"/>
      <c r="I474" s="46"/>
      <c r="J474" s="18"/>
      <c r="K474" s="7"/>
      <c r="L474" s="38"/>
      <c r="M474" s="38"/>
      <c r="N474" s="38"/>
      <c r="O474" s="7"/>
      <c r="P474" s="7"/>
      <c r="Q474" s="33"/>
      <c r="R474" s="11"/>
      <c r="S474" s="11"/>
      <c r="T474" s="11" t="s">
        <v>98</v>
      </c>
      <c r="U474" s="12"/>
      <c r="V474" s="11"/>
      <c r="W474" s="13"/>
      <c r="X474" s="9"/>
      <c r="Y474" s="38"/>
      <c r="Z474" s="38"/>
      <c r="AA474" s="38"/>
      <c r="AB474" s="11"/>
      <c r="AC474" s="11"/>
      <c r="AD474" s="7"/>
      <c r="AE474" s="38"/>
      <c r="AF474" s="7"/>
      <c r="AG474" s="46"/>
      <c r="AH474" s="9"/>
      <c r="AI474" s="9"/>
      <c r="AJ474" s="9"/>
      <c r="AK474" s="9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53"/>
      <c r="AZ474" s="46"/>
      <c r="BA474" s="46"/>
      <c r="BB474" s="46"/>
      <c r="BC474" s="46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7"/>
      <c r="BR474" s="28"/>
      <c r="BS474" s="28"/>
      <c r="BT474" s="28"/>
      <c r="BU474" s="28"/>
      <c r="BV474" s="28"/>
      <c r="BW474" s="7"/>
      <c r="BX474" s="28"/>
      <c r="BY474" s="28"/>
      <c r="BZ474" s="28"/>
      <c r="CA474" s="28"/>
      <c r="CB474" s="28"/>
      <c r="CC474" s="7"/>
      <c r="CD474" s="7"/>
      <c r="CE474" s="29"/>
      <c r="CF474" s="18"/>
      <c r="CG474" s="29"/>
      <c r="CH474" s="29"/>
      <c r="CI474" s="29"/>
      <c r="CJ474" s="29"/>
      <c r="CK474" s="28"/>
      <c r="CL474" s="28"/>
      <c r="CM474" s="7"/>
      <c r="CN474" s="7"/>
      <c r="CO474" s="7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7"/>
      <c r="DG474" s="7"/>
      <c r="DH474" s="7"/>
      <c r="DI474" s="7"/>
      <c r="DJ474" s="7"/>
      <c r="DK474" s="28"/>
      <c r="DL474" s="28"/>
      <c r="DM474" s="7"/>
      <c r="DN474" s="29"/>
      <c r="DO474" s="28"/>
      <c r="DP474" s="28"/>
      <c r="DQ474" s="28"/>
    </row>
    <row r="475" spans="2:121">
      <c r="B475" s="7"/>
      <c r="C475" s="7"/>
      <c r="D475" s="7"/>
      <c r="E475" s="7"/>
      <c r="F475" s="7"/>
      <c r="G475" s="7"/>
      <c r="H475" s="38"/>
      <c r="I475" s="46"/>
      <c r="J475" s="18"/>
      <c r="K475" s="7"/>
      <c r="L475" s="38"/>
      <c r="M475" s="38"/>
      <c r="N475" s="38"/>
      <c r="O475" s="7"/>
      <c r="P475" s="7"/>
      <c r="Q475" s="33"/>
      <c r="R475" s="11"/>
      <c r="S475" s="11"/>
      <c r="T475" s="11" t="s">
        <v>98</v>
      </c>
      <c r="U475" s="12"/>
      <c r="V475" s="11"/>
      <c r="W475" s="13"/>
      <c r="X475" s="9"/>
      <c r="Y475" s="38"/>
      <c r="Z475" s="38"/>
      <c r="AA475" s="38"/>
      <c r="AB475" s="11"/>
      <c r="AC475" s="11"/>
      <c r="AD475" s="7"/>
      <c r="AE475" s="38"/>
      <c r="AF475" s="7"/>
      <c r="AG475" s="46"/>
      <c r="AH475" s="9"/>
      <c r="AI475" s="9"/>
      <c r="AJ475" s="9"/>
      <c r="AK475" s="9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53"/>
      <c r="AZ475" s="46"/>
      <c r="BA475" s="46"/>
      <c r="BB475" s="46"/>
      <c r="BC475" s="46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7"/>
      <c r="BR475" s="28"/>
      <c r="BS475" s="28"/>
      <c r="BT475" s="28"/>
      <c r="BU475" s="28"/>
      <c r="BV475" s="28"/>
      <c r="BW475" s="7"/>
      <c r="BX475" s="28"/>
      <c r="BY475" s="28"/>
      <c r="BZ475" s="28"/>
      <c r="CA475" s="28"/>
      <c r="CB475" s="28"/>
      <c r="CC475" s="7"/>
      <c r="CD475" s="7"/>
      <c r="CE475" s="29"/>
      <c r="CF475" s="18"/>
      <c r="CG475" s="29"/>
      <c r="CH475" s="29"/>
      <c r="CI475" s="29"/>
      <c r="CJ475" s="29"/>
      <c r="CK475" s="28"/>
      <c r="CL475" s="28"/>
      <c r="CM475" s="7"/>
      <c r="CN475" s="7"/>
      <c r="CO475" s="7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7"/>
      <c r="DG475" s="7"/>
      <c r="DH475" s="7"/>
      <c r="DI475" s="7"/>
      <c r="DJ475" s="7"/>
      <c r="DK475" s="28"/>
      <c r="DL475" s="28"/>
      <c r="DM475" s="7"/>
      <c r="DN475" s="29"/>
      <c r="DO475" s="28"/>
      <c r="DP475" s="28"/>
      <c r="DQ475" s="28"/>
    </row>
    <row r="476" spans="2:121">
      <c r="B476" s="7"/>
      <c r="C476" s="7"/>
      <c r="D476" s="7"/>
      <c r="E476" s="7"/>
      <c r="F476" s="7"/>
      <c r="G476" s="7"/>
      <c r="H476" s="38"/>
      <c r="I476" s="46"/>
      <c r="J476" s="18"/>
      <c r="K476" s="7"/>
      <c r="L476" s="38"/>
      <c r="M476" s="38"/>
      <c r="N476" s="38"/>
      <c r="O476" s="7"/>
      <c r="P476" s="7"/>
      <c r="Q476" s="33"/>
      <c r="R476" s="11"/>
      <c r="S476" s="11"/>
      <c r="T476" s="11" t="s">
        <v>98</v>
      </c>
      <c r="U476" s="12"/>
      <c r="V476" s="11"/>
      <c r="W476" s="13"/>
      <c r="X476" s="9"/>
      <c r="Y476" s="38"/>
      <c r="Z476" s="38"/>
      <c r="AA476" s="38"/>
      <c r="AB476" s="11"/>
      <c r="AC476" s="11"/>
      <c r="AD476" s="7"/>
      <c r="AE476" s="38"/>
      <c r="AF476" s="7"/>
      <c r="AG476" s="46"/>
      <c r="AH476" s="9"/>
      <c r="AI476" s="9"/>
      <c r="AJ476" s="9"/>
      <c r="AK476" s="9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53"/>
      <c r="AZ476" s="46"/>
      <c r="BA476" s="46"/>
      <c r="BB476" s="46"/>
      <c r="BC476" s="46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7"/>
      <c r="BR476" s="28"/>
      <c r="BS476" s="28"/>
      <c r="BT476" s="28"/>
      <c r="BU476" s="28"/>
      <c r="BV476" s="28"/>
      <c r="BW476" s="7"/>
      <c r="BX476" s="28"/>
      <c r="BY476" s="28"/>
      <c r="BZ476" s="28"/>
      <c r="CA476" s="28"/>
      <c r="CB476" s="28"/>
      <c r="CC476" s="7"/>
      <c r="CD476" s="7"/>
      <c r="CE476" s="29"/>
      <c r="CF476" s="18"/>
      <c r="CG476" s="29"/>
      <c r="CH476" s="29"/>
      <c r="CI476" s="29"/>
      <c r="CJ476" s="29"/>
      <c r="CK476" s="28"/>
      <c r="CL476" s="28"/>
      <c r="CM476" s="7"/>
      <c r="CN476" s="7"/>
      <c r="CO476" s="7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7"/>
      <c r="DG476" s="7"/>
      <c r="DH476" s="7"/>
      <c r="DI476" s="7"/>
      <c r="DJ476" s="7"/>
      <c r="DK476" s="28"/>
      <c r="DL476" s="28"/>
      <c r="DM476" s="7"/>
      <c r="DN476" s="29"/>
      <c r="DO476" s="28"/>
      <c r="DP476" s="28"/>
      <c r="DQ476" s="28"/>
    </row>
    <row r="477" spans="2:121">
      <c r="B477" s="7"/>
      <c r="C477" s="7"/>
      <c r="D477" s="7"/>
      <c r="E477" s="7"/>
      <c r="F477" s="7"/>
      <c r="G477" s="7"/>
      <c r="H477" s="38"/>
      <c r="I477" s="46"/>
      <c r="J477" s="18"/>
      <c r="K477" s="7"/>
      <c r="L477" s="38"/>
      <c r="M477" s="38"/>
      <c r="N477" s="38"/>
      <c r="O477" s="7"/>
      <c r="P477" s="7"/>
      <c r="Q477" s="33"/>
      <c r="R477" s="11"/>
      <c r="S477" s="11"/>
      <c r="T477" s="11" t="s">
        <v>98</v>
      </c>
      <c r="U477" s="12"/>
      <c r="V477" s="11"/>
      <c r="W477" s="13"/>
      <c r="X477" s="9"/>
      <c r="Y477" s="38"/>
      <c r="Z477" s="38"/>
      <c r="AA477" s="38"/>
      <c r="AB477" s="11"/>
      <c r="AC477" s="11"/>
      <c r="AD477" s="7"/>
      <c r="AE477" s="38"/>
      <c r="AF477" s="7"/>
      <c r="AG477" s="46"/>
      <c r="AH477" s="9"/>
      <c r="AI477" s="9"/>
      <c r="AJ477" s="9"/>
      <c r="AK477" s="9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53"/>
      <c r="AZ477" s="46"/>
      <c r="BA477" s="46"/>
      <c r="BB477" s="46"/>
      <c r="BC477" s="46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7"/>
      <c r="BR477" s="28"/>
      <c r="BS477" s="28"/>
      <c r="BT477" s="28"/>
      <c r="BU477" s="28"/>
      <c r="BV477" s="28"/>
      <c r="BW477" s="7"/>
      <c r="BX477" s="28"/>
      <c r="BY477" s="28"/>
      <c r="BZ477" s="28"/>
      <c r="CA477" s="28"/>
      <c r="CB477" s="28"/>
      <c r="CC477" s="7"/>
      <c r="CD477" s="7"/>
      <c r="CE477" s="29"/>
      <c r="CF477" s="18"/>
      <c r="CG477" s="29"/>
      <c r="CH477" s="29"/>
      <c r="CI477" s="29"/>
      <c r="CJ477" s="29"/>
      <c r="CK477" s="28"/>
      <c r="CL477" s="28"/>
      <c r="CM477" s="7"/>
      <c r="CN477" s="7"/>
      <c r="CO477" s="7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7"/>
      <c r="DG477" s="7"/>
      <c r="DH477" s="7"/>
      <c r="DI477" s="7"/>
      <c r="DJ477" s="7"/>
      <c r="DK477" s="28"/>
      <c r="DL477" s="28"/>
      <c r="DM477" s="7"/>
      <c r="DN477" s="29"/>
      <c r="DO477" s="28"/>
      <c r="DP477" s="28"/>
      <c r="DQ477" s="28"/>
    </row>
    <row r="478" spans="2:121">
      <c r="B478" s="7"/>
      <c r="C478" s="7"/>
      <c r="D478" s="7"/>
      <c r="E478" s="7"/>
      <c r="F478" s="7"/>
      <c r="G478" s="7"/>
      <c r="H478" s="38"/>
      <c r="I478" s="46"/>
      <c r="J478" s="18"/>
      <c r="K478" s="7"/>
      <c r="L478" s="38"/>
      <c r="M478" s="38"/>
      <c r="N478" s="38"/>
      <c r="O478" s="7"/>
      <c r="P478" s="7"/>
      <c r="Q478" s="33"/>
      <c r="R478" s="11"/>
      <c r="S478" s="11"/>
      <c r="T478" s="11" t="s">
        <v>98</v>
      </c>
      <c r="U478" s="12"/>
      <c r="V478" s="11"/>
      <c r="W478" s="13"/>
      <c r="X478" s="9"/>
      <c r="Y478" s="38"/>
      <c r="Z478" s="38"/>
      <c r="AA478" s="38"/>
      <c r="AB478" s="11"/>
      <c r="AC478" s="11"/>
      <c r="AD478" s="7"/>
      <c r="AE478" s="38"/>
      <c r="AF478" s="7"/>
      <c r="AG478" s="46"/>
      <c r="AH478" s="9"/>
      <c r="AI478" s="9"/>
      <c r="AJ478" s="9"/>
      <c r="AK478" s="9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53"/>
      <c r="AZ478" s="46"/>
      <c r="BA478" s="46"/>
      <c r="BB478" s="46"/>
      <c r="BC478" s="46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7"/>
      <c r="BR478" s="28"/>
      <c r="BS478" s="28"/>
      <c r="BT478" s="28"/>
      <c r="BU478" s="28"/>
      <c r="BV478" s="28"/>
      <c r="BW478" s="7"/>
      <c r="BX478" s="28"/>
      <c r="BY478" s="28"/>
      <c r="BZ478" s="28"/>
      <c r="CA478" s="28"/>
      <c r="CB478" s="28"/>
      <c r="CC478" s="7"/>
      <c r="CD478" s="7"/>
      <c r="CE478" s="29"/>
      <c r="CF478" s="18"/>
      <c r="CG478" s="29"/>
      <c r="CH478" s="29"/>
      <c r="CI478" s="29"/>
      <c r="CJ478" s="29"/>
      <c r="CK478" s="28"/>
      <c r="CL478" s="28"/>
      <c r="CM478" s="7"/>
      <c r="CN478" s="7"/>
      <c r="CO478" s="7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7"/>
      <c r="DG478" s="7"/>
      <c r="DH478" s="7"/>
      <c r="DI478" s="7"/>
      <c r="DJ478" s="7"/>
      <c r="DK478" s="28"/>
      <c r="DL478" s="28"/>
      <c r="DM478" s="7"/>
      <c r="DN478" s="29"/>
      <c r="DO478" s="28"/>
      <c r="DP478" s="28"/>
      <c r="DQ478" s="28"/>
    </row>
    <row r="479" spans="2:121">
      <c r="B479" s="7"/>
      <c r="C479" s="7"/>
      <c r="D479" s="7"/>
      <c r="E479" s="7"/>
      <c r="F479" s="7"/>
      <c r="G479" s="7"/>
      <c r="H479" s="38"/>
      <c r="I479" s="46"/>
      <c r="J479" s="18"/>
      <c r="K479" s="7"/>
      <c r="L479" s="38"/>
      <c r="M479" s="38"/>
      <c r="N479" s="38"/>
      <c r="O479" s="7"/>
      <c r="P479" s="7"/>
      <c r="Q479" s="33"/>
      <c r="R479" s="11"/>
      <c r="S479" s="11"/>
      <c r="T479" s="11" t="s">
        <v>98</v>
      </c>
      <c r="U479" s="12"/>
      <c r="V479" s="11"/>
      <c r="W479" s="13"/>
      <c r="X479" s="9"/>
      <c r="Y479" s="38"/>
      <c r="Z479" s="38"/>
      <c r="AA479" s="38"/>
      <c r="AB479" s="11"/>
      <c r="AC479" s="11"/>
      <c r="AD479" s="7"/>
      <c r="AE479" s="38"/>
      <c r="AF479" s="7"/>
      <c r="AG479" s="46"/>
      <c r="AH479" s="9"/>
      <c r="AI479" s="9"/>
      <c r="AJ479" s="9"/>
      <c r="AK479" s="9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53"/>
      <c r="AZ479" s="46"/>
      <c r="BA479" s="46"/>
      <c r="BB479" s="46"/>
      <c r="BC479" s="46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7"/>
      <c r="BR479" s="28"/>
      <c r="BS479" s="28"/>
      <c r="BT479" s="28"/>
      <c r="BU479" s="28"/>
      <c r="BV479" s="28"/>
      <c r="BW479" s="7"/>
      <c r="BX479" s="28"/>
      <c r="BY479" s="28"/>
      <c r="BZ479" s="28"/>
      <c r="CA479" s="28"/>
      <c r="CB479" s="28"/>
      <c r="CC479" s="7"/>
      <c r="CD479" s="7"/>
      <c r="CE479" s="29"/>
      <c r="CF479" s="18"/>
      <c r="CG479" s="29"/>
      <c r="CH479" s="29"/>
      <c r="CI479" s="29"/>
      <c r="CJ479" s="29"/>
      <c r="CK479" s="28"/>
      <c r="CL479" s="28"/>
      <c r="CM479" s="7"/>
      <c r="CN479" s="7"/>
      <c r="CO479" s="7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7"/>
      <c r="DG479" s="7"/>
      <c r="DH479" s="7"/>
      <c r="DI479" s="7"/>
      <c r="DJ479" s="7"/>
      <c r="DK479" s="28"/>
      <c r="DL479" s="28"/>
      <c r="DM479" s="7"/>
      <c r="DN479" s="29"/>
      <c r="DO479" s="28"/>
      <c r="DP479" s="28"/>
      <c r="DQ479" s="28"/>
    </row>
    <row r="480" spans="2:121">
      <c r="B480" s="7"/>
      <c r="C480" s="7"/>
      <c r="D480" s="7"/>
      <c r="E480" s="7"/>
      <c r="F480" s="7"/>
      <c r="G480" s="7"/>
      <c r="H480" s="38"/>
      <c r="I480" s="46"/>
      <c r="J480" s="18"/>
      <c r="K480" s="7"/>
      <c r="L480" s="38"/>
      <c r="M480" s="38"/>
      <c r="N480" s="38"/>
      <c r="O480" s="7"/>
      <c r="P480" s="7"/>
      <c r="Q480" s="33"/>
      <c r="R480" s="11"/>
      <c r="S480" s="11"/>
      <c r="T480" s="11" t="s">
        <v>98</v>
      </c>
      <c r="U480" s="12"/>
      <c r="V480" s="11"/>
      <c r="W480" s="13"/>
      <c r="X480" s="9"/>
      <c r="Y480" s="38"/>
      <c r="Z480" s="38"/>
      <c r="AA480" s="38"/>
      <c r="AB480" s="11"/>
      <c r="AC480" s="11"/>
      <c r="AD480" s="7"/>
      <c r="AE480" s="38"/>
      <c r="AF480" s="7"/>
      <c r="AG480" s="46"/>
      <c r="AH480" s="9"/>
      <c r="AI480" s="9"/>
      <c r="AJ480" s="9"/>
      <c r="AK480" s="9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53"/>
      <c r="AZ480" s="46"/>
      <c r="BA480" s="46"/>
      <c r="BB480" s="46"/>
      <c r="BC480" s="46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7"/>
      <c r="BR480" s="28"/>
      <c r="BS480" s="28"/>
      <c r="BT480" s="28"/>
      <c r="BU480" s="28"/>
      <c r="BV480" s="28"/>
      <c r="BW480" s="7"/>
      <c r="BX480" s="28"/>
      <c r="BY480" s="28"/>
      <c r="BZ480" s="28"/>
      <c r="CA480" s="28"/>
      <c r="CB480" s="28"/>
      <c r="CC480" s="7"/>
      <c r="CD480" s="7"/>
      <c r="CE480" s="29"/>
      <c r="CF480" s="18"/>
      <c r="CG480" s="29"/>
      <c r="CH480" s="29"/>
      <c r="CI480" s="29"/>
      <c r="CJ480" s="29"/>
      <c r="CK480" s="28"/>
      <c r="CL480" s="28"/>
      <c r="CM480" s="7"/>
      <c r="CN480" s="7"/>
      <c r="CO480" s="7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7"/>
      <c r="DG480" s="7"/>
      <c r="DH480" s="7"/>
      <c r="DI480" s="7"/>
      <c r="DJ480" s="7"/>
      <c r="DK480" s="28"/>
      <c r="DL480" s="28"/>
      <c r="DM480" s="7"/>
      <c r="DN480" s="29"/>
      <c r="DO480" s="28"/>
      <c r="DP480" s="28"/>
      <c r="DQ480" s="28"/>
    </row>
    <row r="481" spans="2:121">
      <c r="B481" s="7"/>
      <c r="C481" s="7"/>
      <c r="D481" s="7"/>
      <c r="E481" s="7"/>
      <c r="F481" s="7"/>
      <c r="G481" s="7"/>
      <c r="H481" s="38"/>
      <c r="I481" s="46"/>
      <c r="J481" s="18"/>
      <c r="K481" s="7"/>
      <c r="L481" s="38"/>
      <c r="M481" s="38"/>
      <c r="N481" s="38"/>
      <c r="O481" s="7"/>
      <c r="P481" s="7"/>
      <c r="Q481" s="33"/>
      <c r="R481" s="11"/>
      <c r="S481" s="11"/>
      <c r="T481" s="11" t="s">
        <v>98</v>
      </c>
      <c r="U481" s="12"/>
      <c r="V481" s="11"/>
      <c r="W481" s="13"/>
      <c r="X481" s="9"/>
      <c r="Y481" s="38"/>
      <c r="Z481" s="38"/>
      <c r="AA481" s="38"/>
      <c r="AB481" s="11"/>
      <c r="AC481" s="11"/>
      <c r="AD481" s="7"/>
      <c r="AE481" s="38"/>
      <c r="AF481" s="7"/>
      <c r="AG481" s="46"/>
      <c r="AH481" s="9"/>
      <c r="AI481" s="9"/>
      <c r="AJ481" s="9"/>
      <c r="AK481" s="9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53"/>
      <c r="AZ481" s="46"/>
      <c r="BA481" s="46"/>
      <c r="BB481" s="46"/>
      <c r="BC481" s="46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7"/>
      <c r="BR481" s="28"/>
      <c r="BS481" s="28"/>
      <c r="BT481" s="28"/>
      <c r="BU481" s="28"/>
      <c r="BV481" s="28"/>
      <c r="BW481" s="7"/>
      <c r="BX481" s="28"/>
      <c r="BY481" s="28"/>
      <c r="BZ481" s="28"/>
      <c r="CA481" s="28"/>
      <c r="CB481" s="28"/>
      <c r="CC481" s="7"/>
      <c r="CD481" s="7"/>
      <c r="CE481" s="29"/>
      <c r="CF481" s="18"/>
      <c r="CG481" s="29"/>
      <c r="CH481" s="29"/>
      <c r="CI481" s="29"/>
      <c r="CJ481" s="29"/>
      <c r="CK481" s="28"/>
      <c r="CL481" s="28"/>
      <c r="CM481" s="7"/>
      <c r="CN481" s="7"/>
      <c r="CO481" s="7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7"/>
      <c r="DG481" s="7"/>
      <c r="DH481" s="7"/>
      <c r="DI481" s="7"/>
      <c r="DJ481" s="7"/>
      <c r="DK481" s="28"/>
      <c r="DL481" s="28"/>
      <c r="DM481" s="7"/>
      <c r="DN481" s="29"/>
      <c r="DO481" s="28"/>
      <c r="DP481" s="28"/>
      <c r="DQ481" s="28"/>
    </row>
    <row r="482" spans="2:121">
      <c r="B482" s="7"/>
      <c r="C482" s="7"/>
      <c r="D482" s="7"/>
      <c r="E482" s="7"/>
      <c r="F482" s="7"/>
      <c r="G482" s="7"/>
      <c r="H482" s="38"/>
      <c r="I482" s="46"/>
      <c r="J482" s="18"/>
      <c r="K482" s="7"/>
      <c r="L482" s="38"/>
      <c r="M482" s="38"/>
      <c r="N482" s="38"/>
      <c r="O482" s="7"/>
      <c r="P482" s="7"/>
      <c r="Q482" s="33"/>
      <c r="R482" s="11"/>
      <c r="S482" s="11"/>
      <c r="T482" s="11" t="s">
        <v>98</v>
      </c>
      <c r="U482" s="12"/>
      <c r="V482" s="11"/>
      <c r="W482" s="13"/>
      <c r="X482" s="9"/>
      <c r="Y482" s="38"/>
      <c r="Z482" s="38"/>
      <c r="AA482" s="38"/>
      <c r="AB482" s="11"/>
      <c r="AC482" s="11"/>
      <c r="AD482" s="7"/>
      <c r="AE482" s="38"/>
      <c r="AF482" s="7"/>
      <c r="AG482" s="46"/>
      <c r="AH482" s="9"/>
      <c r="AI482" s="9"/>
      <c r="AJ482" s="9"/>
      <c r="AK482" s="9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53"/>
      <c r="AZ482" s="46"/>
      <c r="BA482" s="46"/>
      <c r="BB482" s="46"/>
      <c r="BC482" s="46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7"/>
      <c r="BR482" s="28"/>
      <c r="BS482" s="28"/>
      <c r="BT482" s="28"/>
      <c r="BU482" s="28"/>
      <c r="BV482" s="28"/>
      <c r="BW482" s="7"/>
      <c r="BX482" s="28"/>
      <c r="BY482" s="28"/>
      <c r="BZ482" s="28"/>
      <c r="CA482" s="28"/>
      <c r="CB482" s="28"/>
      <c r="CC482" s="7"/>
      <c r="CD482" s="7"/>
      <c r="CE482" s="29"/>
      <c r="CF482" s="18"/>
      <c r="CG482" s="29"/>
      <c r="CH482" s="29"/>
      <c r="CI482" s="29"/>
      <c r="CJ482" s="29"/>
      <c r="CK482" s="28"/>
      <c r="CL482" s="28"/>
      <c r="CM482" s="7"/>
      <c r="CN482" s="7"/>
      <c r="CO482" s="7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7"/>
      <c r="DG482" s="7"/>
      <c r="DH482" s="7"/>
      <c r="DI482" s="7"/>
      <c r="DJ482" s="7"/>
      <c r="DK482" s="28"/>
      <c r="DL482" s="28"/>
      <c r="DM482" s="7"/>
      <c r="DN482" s="29"/>
      <c r="DO482" s="28"/>
      <c r="DP482" s="28"/>
      <c r="DQ482" s="28"/>
    </row>
    <row r="483" spans="2:121">
      <c r="B483" s="7"/>
      <c r="C483" s="7"/>
      <c r="D483" s="7"/>
      <c r="E483" s="7"/>
      <c r="F483" s="7"/>
      <c r="G483" s="7"/>
      <c r="H483" s="38"/>
      <c r="I483" s="46"/>
      <c r="J483" s="18"/>
      <c r="K483" s="7"/>
      <c r="L483" s="38"/>
      <c r="M483" s="38"/>
      <c r="N483" s="38"/>
      <c r="O483" s="7"/>
      <c r="P483" s="7"/>
      <c r="Q483" s="33"/>
      <c r="R483" s="11"/>
      <c r="S483" s="11"/>
      <c r="T483" s="11" t="s">
        <v>98</v>
      </c>
      <c r="U483" s="12"/>
      <c r="V483" s="11"/>
      <c r="W483" s="13"/>
      <c r="X483" s="9"/>
      <c r="Y483" s="38"/>
      <c r="Z483" s="38"/>
      <c r="AA483" s="38"/>
      <c r="AB483" s="11"/>
      <c r="AC483" s="11"/>
      <c r="AD483" s="7"/>
      <c r="AE483" s="38"/>
      <c r="AF483" s="7"/>
      <c r="AG483" s="46"/>
      <c r="AH483" s="9"/>
      <c r="AI483" s="9"/>
      <c r="AJ483" s="9"/>
      <c r="AK483" s="9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53"/>
      <c r="AZ483" s="46"/>
      <c r="BA483" s="46"/>
      <c r="BB483" s="46"/>
      <c r="BC483" s="46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7"/>
      <c r="BR483" s="28"/>
      <c r="BS483" s="28"/>
      <c r="BT483" s="28"/>
      <c r="BU483" s="28"/>
      <c r="BV483" s="28"/>
      <c r="BW483" s="7"/>
      <c r="BX483" s="28"/>
      <c r="BY483" s="28"/>
      <c r="BZ483" s="28"/>
      <c r="CA483" s="28"/>
      <c r="CB483" s="28"/>
      <c r="CC483" s="7"/>
      <c r="CD483" s="7"/>
      <c r="CE483" s="29"/>
      <c r="CF483" s="18"/>
      <c r="CG483" s="29"/>
      <c r="CH483" s="29"/>
      <c r="CI483" s="29"/>
      <c r="CJ483" s="29"/>
      <c r="CK483" s="28"/>
      <c r="CL483" s="28"/>
      <c r="CM483" s="7"/>
      <c r="CN483" s="7"/>
      <c r="CO483" s="7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7"/>
      <c r="DG483" s="7"/>
      <c r="DH483" s="7"/>
      <c r="DI483" s="7"/>
      <c r="DJ483" s="7"/>
      <c r="DK483" s="28"/>
      <c r="DL483" s="28"/>
      <c r="DM483" s="7"/>
      <c r="DN483" s="29"/>
      <c r="DO483" s="28"/>
      <c r="DP483" s="28"/>
      <c r="DQ483" s="28"/>
    </row>
    <row r="484" spans="2:121">
      <c r="B484" s="7"/>
      <c r="C484" s="7"/>
      <c r="D484" s="7"/>
      <c r="E484" s="7"/>
      <c r="F484" s="7"/>
      <c r="G484" s="7"/>
      <c r="H484" s="38"/>
      <c r="I484" s="46"/>
      <c r="J484" s="18"/>
      <c r="K484" s="7"/>
      <c r="L484" s="38"/>
      <c r="M484" s="38"/>
      <c r="N484" s="38"/>
      <c r="O484" s="7"/>
      <c r="P484" s="7"/>
      <c r="Q484" s="33"/>
      <c r="R484" s="11"/>
      <c r="S484" s="11"/>
      <c r="T484" s="11" t="s">
        <v>98</v>
      </c>
      <c r="U484" s="12"/>
      <c r="V484" s="11"/>
      <c r="W484" s="13"/>
      <c r="X484" s="9"/>
      <c r="Y484" s="38"/>
      <c r="Z484" s="38"/>
      <c r="AA484" s="38"/>
      <c r="AB484" s="11"/>
      <c r="AC484" s="11"/>
      <c r="AD484" s="7"/>
      <c r="AE484" s="38"/>
      <c r="AF484" s="7"/>
      <c r="AG484" s="46"/>
      <c r="AH484" s="9"/>
      <c r="AI484" s="9"/>
      <c r="AJ484" s="9"/>
      <c r="AK484" s="9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53"/>
      <c r="AZ484" s="46"/>
      <c r="BA484" s="46"/>
      <c r="BB484" s="46"/>
      <c r="BC484" s="46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7"/>
      <c r="BR484" s="28"/>
      <c r="BS484" s="28"/>
      <c r="BT484" s="28"/>
      <c r="BU484" s="28"/>
      <c r="BV484" s="28"/>
      <c r="BW484" s="7"/>
      <c r="BX484" s="28"/>
      <c r="BY484" s="28"/>
      <c r="BZ484" s="28"/>
      <c r="CA484" s="28"/>
      <c r="CB484" s="28"/>
      <c r="CC484" s="7"/>
      <c r="CD484" s="7"/>
      <c r="CE484" s="29"/>
      <c r="CF484" s="18"/>
      <c r="CG484" s="29"/>
      <c r="CH484" s="29"/>
      <c r="CI484" s="29"/>
      <c r="CJ484" s="29"/>
      <c r="CK484" s="28"/>
      <c r="CL484" s="28"/>
      <c r="CM484" s="7"/>
      <c r="CN484" s="7"/>
      <c r="CO484" s="7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7"/>
      <c r="DG484" s="7"/>
      <c r="DH484" s="7"/>
      <c r="DI484" s="7"/>
      <c r="DJ484" s="7"/>
      <c r="DK484" s="28"/>
      <c r="DL484" s="28"/>
      <c r="DM484" s="7"/>
      <c r="DN484" s="29"/>
      <c r="DO484" s="28"/>
      <c r="DP484" s="28"/>
      <c r="DQ484" s="28"/>
    </row>
    <row r="485" spans="2:121">
      <c r="B485" s="7"/>
      <c r="C485" s="7"/>
      <c r="D485" s="7"/>
      <c r="E485" s="7"/>
      <c r="F485" s="7"/>
      <c r="G485" s="7"/>
      <c r="H485" s="38"/>
      <c r="I485" s="46"/>
      <c r="J485" s="18"/>
      <c r="K485" s="7"/>
      <c r="L485" s="38"/>
      <c r="M485" s="38"/>
      <c r="N485" s="38"/>
      <c r="O485" s="7"/>
      <c r="P485" s="7"/>
      <c r="Q485" s="33"/>
      <c r="R485" s="11"/>
      <c r="S485" s="11"/>
      <c r="T485" s="11" t="s">
        <v>98</v>
      </c>
      <c r="U485" s="12"/>
      <c r="V485" s="11"/>
      <c r="W485" s="13"/>
      <c r="X485" s="9"/>
      <c r="Y485" s="38"/>
      <c r="Z485" s="38"/>
      <c r="AA485" s="38"/>
      <c r="AB485" s="11"/>
      <c r="AC485" s="11"/>
      <c r="AD485" s="7"/>
      <c r="AE485" s="38"/>
      <c r="AF485" s="7"/>
      <c r="AG485" s="46"/>
      <c r="AH485" s="9"/>
      <c r="AI485" s="9"/>
      <c r="AJ485" s="9"/>
      <c r="AK485" s="9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53"/>
      <c r="AZ485" s="46"/>
      <c r="BA485" s="46"/>
      <c r="BB485" s="46"/>
      <c r="BC485" s="46"/>
      <c r="BD485" s="9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7"/>
      <c r="BR485" s="28"/>
      <c r="BS485" s="28"/>
      <c r="BT485" s="28"/>
      <c r="BU485" s="28"/>
      <c r="BV485" s="28"/>
      <c r="BW485" s="7"/>
      <c r="BX485" s="28"/>
      <c r="BY485" s="28"/>
      <c r="BZ485" s="28"/>
      <c r="CA485" s="28"/>
      <c r="CB485" s="28"/>
      <c r="CC485" s="7"/>
      <c r="CD485" s="7"/>
      <c r="CE485" s="29"/>
      <c r="CF485" s="18"/>
      <c r="CG485" s="29"/>
      <c r="CH485" s="29"/>
      <c r="CI485" s="29"/>
      <c r="CJ485" s="29"/>
      <c r="CK485" s="28"/>
      <c r="CL485" s="28"/>
      <c r="CM485" s="7"/>
      <c r="CN485" s="7"/>
      <c r="CO485" s="7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7"/>
      <c r="DG485" s="7"/>
      <c r="DH485" s="7"/>
      <c r="DI485" s="7"/>
      <c r="DJ485" s="7"/>
      <c r="DK485" s="28"/>
      <c r="DL485" s="28"/>
      <c r="DM485" s="7"/>
      <c r="DN485" s="29"/>
      <c r="DO485" s="28"/>
      <c r="DP485" s="28"/>
      <c r="DQ485" s="28"/>
    </row>
    <row r="486" spans="2:121">
      <c r="B486" s="7"/>
      <c r="C486" s="7"/>
      <c r="D486" s="7"/>
      <c r="E486" s="7"/>
      <c r="F486" s="7"/>
      <c r="G486" s="7"/>
      <c r="H486" s="38"/>
      <c r="I486" s="46"/>
      <c r="J486" s="18"/>
      <c r="K486" s="7"/>
      <c r="L486" s="38"/>
      <c r="M486" s="38"/>
      <c r="N486" s="38"/>
      <c r="O486" s="7"/>
      <c r="P486" s="7"/>
      <c r="Q486" s="33"/>
      <c r="R486" s="11"/>
      <c r="S486" s="11"/>
      <c r="T486" s="11" t="s">
        <v>98</v>
      </c>
      <c r="U486" s="12"/>
      <c r="V486" s="11"/>
      <c r="W486" s="13"/>
      <c r="X486" s="9"/>
      <c r="Y486" s="38"/>
      <c r="Z486" s="38"/>
      <c r="AA486" s="38"/>
      <c r="AB486" s="11"/>
      <c r="AC486" s="11"/>
      <c r="AD486" s="7"/>
      <c r="AE486" s="38"/>
      <c r="AF486" s="7"/>
      <c r="AG486" s="46"/>
      <c r="AH486" s="9"/>
      <c r="AI486" s="9"/>
      <c r="AJ486" s="9"/>
      <c r="AK486" s="9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53"/>
      <c r="AZ486" s="46"/>
      <c r="BA486" s="46"/>
      <c r="BB486" s="46"/>
      <c r="BC486" s="46"/>
      <c r="BD486" s="9"/>
      <c r="BE486" s="9"/>
      <c r="BF486" s="9"/>
      <c r="BG486" s="9"/>
      <c r="BH486" s="9"/>
      <c r="BI486" s="9"/>
      <c r="BJ486" s="9"/>
      <c r="BK486" s="7"/>
      <c r="BL486" s="9"/>
      <c r="BM486" s="9"/>
      <c r="BN486" s="9"/>
      <c r="BO486" s="9"/>
      <c r="BP486" s="9"/>
      <c r="BQ486" s="46"/>
      <c r="BR486" s="38"/>
      <c r="BS486" s="7"/>
      <c r="BT486" s="38"/>
      <c r="BU486" s="38"/>
      <c r="BV486" s="38"/>
      <c r="BW486" s="38"/>
      <c r="BX486" s="38"/>
      <c r="BY486" s="38"/>
      <c r="BZ486" s="38"/>
      <c r="CA486" s="38"/>
      <c r="CB486" s="15"/>
      <c r="CC486" s="15"/>
      <c r="CD486" s="15"/>
      <c r="CE486" s="46"/>
      <c r="CF486" s="9"/>
      <c r="CG486" s="9"/>
      <c r="CH486" s="9"/>
      <c r="CI486" s="9"/>
      <c r="CJ486" s="46"/>
      <c r="CK486" s="50"/>
      <c r="CL486" s="49"/>
      <c r="CM486" s="16"/>
      <c r="CN486" s="38"/>
      <c r="CO486" s="38"/>
      <c r="CP486" s="38"/>
      <c r="CQ486" s="38"/>
      <c r="CR486" s="38"/>
      <c r="CS486" s="46"/>
      <c r="CT486" s="24"/>
      <c r="CU486" s="38"/>
      <c r="CV486" s="38"/>
      <c r="CW486" s="38"/>
      <c r="CX486" s="38"/>
      <c r="CY486" s="38"/>
      <c r="CZ486" s="38"/>
      <c r="DA486" s="38"/>
      <c r="DB486" s="24"/>
      <c r="DC486" s="24"/>
      <c r="DD486" s="24"/>
      <c r="DE486" s="24"/>
      <c r="DF486" s="38"/>
      <c r="DG486" s="38"/>
      <c r="DH486" s="38"/>
      <c r="DI486" s="38"/>
      <c r="DJ486" s="38"/>
      <c r="DK486" s="47"/>
      <c r="DL486" s="47"/>
      <c r="DM486" s="38"/>
      <c r="DN486" s="46"/>
      <c r="DO486" s="38"/>
      <c r="DP486" s="38"/>
      <c r="DQ486" s="47"/>
    </row>
    <row r="487" spans="2:121">
      <c r="B487" s="7"/>
      <c r="C487" s="7"/>
      <c r="D487" s="7"/>
      <c r="E487" s="7"/>
      <c r="F487" s="7"/>
      <c r="G487" s="7"/>
      <c r="H487" s="38"/>
      <c r="I487" s="46"/>
      <c r="J487" s="18"/>
      <c r="K487" s="7"/>
      <c r="L487" s="38"/>
      <c r="M487" s="38"/>
      <c r="N487" s="38"/>
      <c r="O487" s="7"/>
      <c r="P487" s="7"/>
      <c r="Q487" s="33"/>
      <c r="R487" s="11"/>
      <c r="S487" s="11"/>
      <c r="T487" s="11" t="s">
        <v>98</v>
      </c>
      <c r="U487" s="12"/>
      <c r="V487" s="11"/>
      <c r="W487" s="13"/>
      <c r="X487" s="9"/>
      <c r="Y487" s="38"/>
      <c r="Z487" s="38"/>
      <c r="AA487" s="38"/>
      <c r="AB487" s="11"/>
      <c r="AC487" s="11"/>
      <c r="AD487" s="7"/>
      <c r="AE487" s="38"/>
      <c r="AF487" s="7"/>
      <c r="AG487" s="46"/>
      <c r="AH487" s="9"/>
      <c r="AI487" s="9"/>
      <c r="AJ487" s="9"/>
      <c r="AK487" s="9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53"/>
      <c r="AZ487" s="46"/>
      <c r="BA487" s="46"/>
      <c r="BB487" s="46"/>
      <c r="BC487" s="46"/>
      <c r="BD487" s="9"/>
      <c r="BE487" s="9"/>
      <c r="BF487" s="9"/>
      <c r="BG487" s="9"/>
      <c r="BH487" s="9"/>
      <c r="BI487" s="9"/>
      <c r="BJ487" s="9"/>
      <c r="BK487" s="7"/>
      <c r="BL487" s="9"/>
      <c r="BM487" s="9"/>
      <c r="BN487" s="9"/>
      <c r="BO487" s="9"/>
      <c r="BP487" s="9"/>
      <c r="BQ487" s="46"/>
      <c r="BR487" s="38"/>
      <c r="BS487" s="7"/>
      <c r="BT487" s="38"/>
      <c r="BU487" s="38"/>
      <c r="BV487" s="38"/>
      <c r="BW487" s="38"/>
      <c r="BX487" s="38"/>
      <c r="BY487" s="38"/>
      <c r="BZ487" s="38"/>
      <c r="CA487" s="38"/>
      <c r="CB487" s="15"/>
      <c r="CC487" s="15"/>
      <c r="CD487" s="15"/>
      <c r="CE487" s="46"/>
      <c r="CF487" s="9"/>
      <c r="CG487" s="9"/>
      <c r="CH487" s="9"/>
      <c r="CI487" s="9"/>
      <c r="CJ487" s="46"/>
      <c r="CK487" s="50"/>
      <c r="CL487" s="49"/>
      <c r="CM487" s="16"/>
      <c r="CN487" s="38"/>
      <c r="CO487" s="38"/>
      <c r="CP487" s="38"/>
      <c r="CQ487" s="38"/>
      <c r="CR487" s="38"/>
      <c r="CS487" s="46"/>
      <c r="CT487" s="24"/>
      <c r="CU487" s="38"/>
      <c r="CV487" s="38"/>
      <c r="CW487" s="38"/>
      <c r="CX487" s="38"/>
      <c r="CY487" s="38"/>
      <c r="CZ487" s="38"/>
      <c r="DA487" s="38"/>
      <c r="DB487" s="24"/>
      <c r="DC487" s="24"/>
      <c r="DD487" s="24"/>
      <c r="DE487" s="24"/>
      <c r="DF487" s="38"/>
      <c r="DG487" s="38"/>
      <c r="DH487" s="38"/>
      <c r="DI487" s="38"/>
      <c r="DJ487" s="38"/>
      <c r="DK487" s="47"/>
      <c r="DL487" s="47"/>
      <c r="DM487" s="38"/>
      <c r="DN487" s="46"/>
      <c r="DO487" s="38"/>
      <c r="DP487" s="38"/>
      <c r="DQ487" s="47"/>
    </row>
    <row r="488" spans="2:121">
      <c r="B488" s="7"/>
      <c r="C488" s="7"/>
      <c r="D488" s="7"/>
      <c r="E488" s="7"/>
      <c r="F488" s="7"/>
      <c r="G488" s="7"/>
      <c r="H488" s="38"/>
      <c r="I488" s="46"/>
      <c r="J488" s="18"/>
      <c r="K488" s="7"/>
      <c r="L488" s="38"/>
      <c r="M488" s="38"/>
      <c r="N488" s="38"/>
      <c r="O488" s="7"/>
      <c r="P488" s="7"/>
      <c r="Q488" s="33"/>
      <c r="R488" s="11"/>
      <c r="S488" s="11"/>
      <c r="T488" s="11" t="s">
        <v>98</v>
      </c>
      <c r="U488" s="12"/>
      <c r="V488" s="11"/>
      <c r="W488" s="13"/>
      <c r="X488" s="9"/>
      <c r="Y488" s="38"/>
      <c r="Z488" s="38"/>
      <c r="AA488" s="38"/>
      <c r="AB488" s="11"/>
      <c r="AC488" s="11"/>
      <c r="AD488" s="7"/>
      <c r="AE488" s="38"/>
      <c r="AF488" s="7"/>
      <c r="AG488" s="46"/>
      <c r="AH488" s="9"/>
      <c r="AI488" s="9"/>
      <c r="AJ488" s="9"/>
      <c r="AK488" s="9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53"/>
      <c r="AZ488" s="46"/>
      <c r="BA488" s="46"/>
      <c r="BB488" s="46"/>
      <c r="BC488" s="46"/>
      <c r="BD488" s="9"/>
      <c r="BE488" s="9"/>
      <c r="BF488" s="9"/>
      <c r="BG488" s="9"/>
      <c r="BH488" s="9"/>
      <c r="BI488" s="9"/>
      <c r="BJ488" s="9"/>
      <c r="BK488" s="7"/>
      <c r="BL488" s="9"/>
      <c r="BM488" s="9"/>
      <c r="BN488" s="9"/>
      <c r="BO488" s="9"/>
      <c r="BP488" s="9"/>
      <c r="BQ488" s="46"/>
      <c r="BR488" s="38"/>
      <c r="BS488" s="7"/>
      <c r="BT488" s="38"/>
      <c r="BU488" s="38"/>
      <c r="BV488" s="38"/>
      <c r="BW488" s="38"/>
      <c r="BX488" s="38"/>
      <c r="BY488" s="38"/>
      <c r="BZ488" s="38"/>
      <c r="CA488" s="38"/>
      <c r="CB488" s="15"/>
      <c r="CC488" s="15"/>
      <c r="CD488" s="15"/>
      <c r="CE488" s="46"/>
      <c r="CF488" s="9"/>
      <c r="CG488" s="9"/>
      <c r="CH488" s="9"/>
      <c r="CI488" s="9"/>
      <c r="CJ488" s="46"/>
      <c r="CK488" s="50"/>
      <c r="CL488" s="49"/>
      <c r="CM488" s="16"/>
      <c r="CN488" s="38"/>
      <c r="CO488" s="38"/>
      <c r="CP488" s="38"/>
      <c r="CQ488" s="38"/>
      <c r="CR488" s="38"/>
      <c r="CS488" s="46"/>
      <c r="CT488" s="24"/>
      <c r="CU488" s="38"/>
      <c r="CV488" s="38"/>
      <c r="CW488" s="38"/>
      <c r="CX488" s="38"/>
      <c r="CY488" s="38"/>
      <c r="CZ488" s="38"/>
      <c r="DA488" s="38"/>
      <c r="DB488" s="24"/>
      <c r="DC488" s="24"/>
      <c r="DD488" s="24"/>
      <c r="DE488" s="24"/>
      <c r="DF488" s="38"/>
      <c r="DG488" s="38"/>
      <c r="DH488" s="38"/>
      <c r="DI488" s="38"/>
      <c r="DJ488" s="38"/>
      <c r="DK488" s="47"/>
      <c r="DL488" s="47"/>
      <c r="DM488" s="38"/>
      <c r="DN488" s="46"/>
      <c r="DO488" s="38"/>
      <c r="DP488" s="38"/>
      <c r="DQ488" s="47"/>
    </row>
    <row r="489" spans="2:121">
      <c r="B489" s="7"/>
      <c r="C489" s="7"/>
      <c r="D489" s="7"/>
      <c r="E489" s="7"/>
      <c r="F489" s="7"/>
      <c r="G489" s="7"/>
      <c r="H489" s="38"/>
      <c r="I489" s="46"/>
      <c r="J489" s="18"/>
      <c r="K489" s="7"/>
      <c r="L489" s="38"/>
      <c r="M489" s="38"/>
      <c r="N489" s="38"/>
      <c r="O489" s="7"/>
      <c r="P489" s="7"/>
      <c r="Q489" s="33"/>
      <c r="R489" s="11"/>
      <c r="S489" s="11"/>
      <c r="T489" s="11" t="s">
        <v>98</v>
      </c>
      <c r="U489" s="12"/>
      <c r="V489" s="11"/>
      <c r="W489" s="13"/>
      <c r="X489" s="9"/>
      <c r="Y489" s="38"/>
      <c r="Z489" s="38"/>
      <c r="AA489" s="38"/>
      <c r="AB489" s="11"/>
      <c r="AC489" s="11"/>
      <c r="AD489" s="7"/>
      <c r="AE489" s="38"/>
      <c r="AF489" s="7"/>
      <c r="AG489" s="46"/>
      <c r="AH489" s="9"/>
      <c r="AI489" s="9"/>
      <c r="AJ489" s="9"/>
      <c r="AK489" s="9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53"/>
      <c r="AZ489" s="46"/>
      <c r="BA489" s="46"/>
      <c r="BB489" s="46"/>
      <c r="BC489" s="46"/>
      <c r="BD489" s="9"/>
      <c r="BE489" s="9"/>
      <c r="BF489" s="9"/>
      <c r="BG489" s="9"/>
      <c r="BH489" s="9"/>
      <c r="BI489" s="9"/>
      <c r="BJ489" s="9"/>
      <c r="BK489" s="7"/>
      <c r="BL489" s="9"/>
      <c r="BM489" s="9"/>
      <c r="BN489" s="9"/>
      <c r="BO489" s="9"/>
      <c r="BP489" s="9"/>
      <c r="BQ489" s="46"/>
      <c r="BR489" s="38"/>
      <c r="BS489" s="7"/>
      <c r="BT489" s="38"/>
      <c r="BU489" s="38"/>
      <c r="BV489" s="38"/>
      <c r="BW489" s="38"/>
      <c r="BX489" s="38"/>
      <c r="BY489" s="38"/>
      <c r="BZ489" s="38"/>
      <c r="CA489" s="38"/>
      <c r="CB489" s="15"/>
      <c r="CC489" s="15"/>
      <c r="CD489" s="15"/>
      <c r="CE489" s="46"/>
      <c r="CF489" s="9"/>
      <c r="CG489" s="9"/>
      <c r="CH489" s="9"/>
      <c r="CI489" s="9"/>
      <c r="CJ489" s="46"/>
      <c r="CK489" s="50"/>
      <c r="CL489" s="49"/>
      <c r="CM489" s="16"/>
      <c r="CN489" s="38"/>
      <c r="CO489" s="38"/>
      <c r="CP489" s="38"/>
      <c r="CQ489" s="38"/>
      <c r="CR489" s="38"/>
      <c r="CS489" s="46"/>
      <c r="CT489" s="24"/>
      <c r="CU489" s="38"/>
      <c r="CV489" s="38"/>
      <c r="CW489" s="38"/>
      <c r="CX489" s="38"/>
      <c r="CY489" s="38"/>
      <c r="CZ489" s="38"/>
      <c r="DA489" s="38"/>
      <c r="DB489" s="24"/>
      <c r="DC489" s="24"/>
      <c r="DD489" s="24"/>
      <c r="DE489" s="24"/>
      <c r="DF489" s="38"/>
      <c r="DG489" s="38"/>
      <c r="DH489" s="38"/>
      <c r="DI489" s="38"/>
      <c r="DJ489" s="38"/>
      <c r="DK489" s="47"/>
      <c r="DL489" s="47"/>
      <c r="DM489" s="38"/>
      <c r="DN489" s="46"/>
      <c r="DO489" s="38"/>
      <c r="DP489" s="38"/>
      <c r="DQ489" s="47"/>
    </row>
    <row r="490" spans="2:121">
      <c r="B490" s="7"/>
      <c r="C490" s="7"/>
      <c r="D490" s="7"/>
      <c r="E490" s="7"/>
      <c r="F490" s="7"/>
      <c r="G490" s="7"/>
      <c r="H490" s="38"/>
      <c r="I490" s="46"/>
      <c r="J490" s="18"/>
      <c r="K490" s="7"/>
      <c r="L490" s="38"/>
      <c r="M490" s="38"/>
      <c r="N490" s="38"/>
      <c r="O490" s="7"/>
      <c r="P490" s="7"/>
      <c r="Q490" s="33"/>
      <c r="R490" s="11"/>
      <c r="S490" s="11"/>
      <c r="T490" s="11" t="s">
        <v>98</v>
      </c>
      <c r="U490" s="12"/>
      <c r="V490" s="11"/>
      <c r="W490" s="13"/>
      <c r="X490" s="9"/>
      <c r="Y490" s="38"/>
      <c r="Z490" s="38"/>
      <c r="AA490" s="38"/>
      <c r="AB490" s="11"/>
      <c r="AC490" s="11"/>
      <c r="AD490" s="7"/>
      <c r="AE490" s="38"/>
      <c r="AF490" s="7"/>
      <c r="AG490" s="46"/>
      <c r="AH490" s="9"/>
      <c r="AI490" s="9"/>
      <c r="AJ490" s="9"/>
      <c r="AK490" s="9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53"/>
      <c r="AZ490" s="46"/>
      <c r="BA490" s="46"/>
      <c r="BB490" s="46"/>
      <c r="BC490" s="46"/>
      <c r="BD490" s="9"/>
      <c r="BE490" s="9"/>
      <c r="BF490" s="9"/>
      <c r="BG490" s="9"/>
      <c r="BH490" s="9"/>
      <c r="BI490" s="9"/>
      <c r="BJ490" s="9"/>
      <c r="BK490" s="7"/>
      <c r="BL490" s="9"/>
      <c r="BM490" s="9"/>
      <c r="BN490" s="9"/>
      <c r="BO490" s="9"/>
      <c r="BP490" s="9"/>
      <c r="BQ490" s="46"/>
      <c r="BR490" s="38"/>
      <c r="BS490" s="7"/>
      <c r="BT490" s="38"/>
      <c r="BU490" s="38"/>
      <c r="BV490" s="38"/>
      <c r="BW490" s="38"/>
      <c r="BX490" s="38"/>
      <c r="BY490" s="38"/>
      <c r="BZ490" s="38"/>
      <c r="CA490" s="38"/>
      <c r="CB490" s="15"/>
      <c r="CC490" s="15"/>
      <c r="CD490" s="15"/>
      <c r="CE490" s="46"/>
      <c r="CF490" s="9"/>
      <c r="CG490" s="9"/>
      <c r="CH490" s="9"/>
      <c r="CI490" s="9"/>
      <c r="CJ490" s="46"/>
      <c r="CK490" s="50"/>
      <c r="CL490" s="49"/>
      <c r="CM490" s="16"/>
      <c r="CN490" s="38"/>
      <c r="CO490" s="38"/>
      <c r="CP490" s="38"/>
      <c r="CQ490" s="38"/>
      <c r="CR490" s="38"/>
      <c r="CS490" s="46"/>
      <c r="CT490" s="24"/>
      <c r="CU490" s="38"/>
      <c r="CV490" s="38"/>
      <c r="CW490" s="38"/>
      <c r="CX490" s="38"/>
      <c r="CY490" s="38"/>
      <c r="CZ490" s="38"/>
      <c r="DA490" s="38"/>
      <c r="DB490" s="24"/>
      <c r="DC490" s="24"/>
      <c r="DD490" s="24"/>
      <c r="DE490" s="24"/>
      <c r="DF490" s="38"/>
      <c r="DG490" s="38"/>
      <c r="DH490" s="38"/>
      <c r="DI490" s="38"/>
      <c r="DJ490" s="38"/>
      <c r="DK490" s="47"/>
      <c r="DL490" s="47"/>
      <c r="DM490" s="38"/>
      <c r="DN490" s="46"/>
      <c r="DO490" s="38"/>
      <c r="DP490" s="38"/>
      <c r="DQ490" s="47"/>
    </row>
    <row r="491" spans="2:121">
      <c r="B491" s="7"/>
      <c r="C491" s="7"/>
      <c r="D491" s="7"/>
      <c r="E491" s="7"/>
      <c r="F491" s="7"/>
      <c r="G491" s="7"/>
      <c r="H491" s="38"/>
      <c r="I491" s="46"/>
      <c r="J491" s="18"/>
      <c r="K491" s="7"/>
      <c r="L491" s="38"/>
      <c r="M491" s="38"/>
      <c r="N491" s="38"/>
      <c r="O491" s="7"/>
      <c r="P491" s="7"/>
      <c r="Q491" s="33"/>
      <c r="R491" s="11"/>
      <c r="S491" s="11"/>
      <c r="T491" s="11" t="s">
        <v>98</v>
      </c>
      <c r="U491" s="12"/>
      <c r="V491" s="11"/>
      <c r="W491" s="13"/>
      <c r="X491" s="9"/>
      <c r="Y491" s="38"/>
      <c r="Z491" s="38"/>
      <c r="AA491" s="38"/>
      <c r="AB491" s="11"/>
      <c r="AC491" s="11"/>
      <c r="AD491" s="7"/>
      <c r="AE491" s="38"/>
      <c r="AF491" s="7"/>
      <c r="AG491" s="46"/>
      <c r="AH491" s="9"/>
      <c r="AI491" s="9"/>
      <c r="AJ491" s="9"/>
      <c r="AK491" s="9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53"/>
      <c r="AZ491" s="46"/>
      <c r="BA491" s="46"/>
      <c r="BB491" s="46"/>
      <c r="BC491" s="46"/>
      <c r="BD491" s="9"/>
      <c r="BE491" s="9"/>
      <c r="BF491" s="9"/>
      <c r="BG491" s="9"/>
      <c r="BH491" s="9"/>
      <c r="BI491" s="9"/>
      <c r="BJ491" s="9"/>
      <c r="BK491" s="7"/>
      <c r="BL491" s="9"/>
      <c r="BM491" s="9"/>
      <c r="BN491" s="9"/>
      <c r="BO491" s="9"/>
      <c r="BP491" s="9"/>
      <c r="BQ491" s="46"/>
      <c r="BR491" s="38"/>
      <c r="BS491" s="7"/>
      <c r="BT491" s="38"/>
      <c r="BU491" s="38"/>
      <c r="BV491" s="38"/>
      <c r="BW491" s="38"/>
      <c r="BX491" s="38"/>
      <c r="BY491" s="38"/>
      <c r="BZ491" s="38"/>
      <c r="CA491" s="38"/>
      <c r="CB491" s="15"/>
      <c r="CC491" s="15"/>
      <c r="CD491" s="15"/>
      <c r="CE491" s="46"/>
      <c r="CF491" s="9"/>
      <c r="CG491" s="9"/>
      <c r="CH491" s="9"/>
      <c r="CI491" s="9"/>
      <c r="CJ491" s="46"/>
      <c r="CK491" s="50"/>
      <c r="CL491" s="49"/>
      <c r="CM491" s="16"/>
      <c r="CN491" s="38"/>
      <c r="CO491" s="38"/>
      <c r="CP491" s="38"/>
      <c r="CQ491" s="38"/>
      <c r="CR491" s="38"/>
      <c r="CS491" s="46"/>
      <c r="CT491" s="24"/>
      <c r="CU491" s="38"/>
      <c r="CV491" s="38"/>
      <c r="CW491" s="38"/>
      <c r="CX491" s="38"/>
      <c r="CY491" s="38"/>
      <c r="CZ491" s="38"/>
      <c r="DA491" s="38"/>
      <c r="DB491" s="24"/>
      <c r="DC491" s="24"/>
      <c r="DD491" s="24"/>
      <c r="DE491" s="24"/>
      <c r="DF491" s="38"/>
      <c r="DG491" s="38"/>
      <c r="DH491" s="38"/>
      <c r="DI491" s="38"/>
      <c r="DJ491" s="38"/>
      <c r="DK491" s="47"/>
      <c r="DL491" s="47"/>
      <c r="DM491" s="38"/>
      <c r="DN491" s="46"/>
      <c r="DO491" s="38"/>
      <c r="DP491" s="38"/>
      <c r="DQ491" s="47"/>
    </row>
    <row r="492" spans="2:121">
      <c r="B492" s="7"/>
      <c r="C492" s="7"/>
      <c r="D492" s="7"/>
      <c r="E492" s="7"/>
      <c r="F492" s="7"/>
      <c r="G492" s="7"/>
      <c r="H492" s="38"/>
      <c r="I492" s="46"/>
      <c r="J492" s="18"/>
      <c r="K492" s="7"/>
      <c r="L492" s="38"/>
      <c r="M492" s="38"/>
      <c r="N492" s="38"/>
      <c r="O492" s="7"/>
      <c r="P492" s="7"/>
      <c r="Q492" s="33"/>
      <c r="R492" s="11"/>
      <c r="S492" s="11"/>
      <c r="T492" s="11" t="s">
        <v>98</v>
      </c>
      <c r="U492" s="12"/>
      <c r="V492" s="11"/>
      <c r="W492" s="13"/>
      <c r="X492" s="9"/>
      <c r="Y492" s="38"/>
      <c r="Z492" s="38"/>
      <c r="AA492" s="38"/>
      <c r="AB492" s="11"/>
      <c r="AC492" s="11"/>
      <c r="AD492" s="7"/>
      <c r="AE492" s="38"/>
      <c r="AF492" s="7"/>
      <c r="AG492" s="46"/>
      <c r="AH492" s="9"/>
      <c r="AI492" s="9"/>
      <c r="AJ492" s="9"/>
      <c r="AK492" s="9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53"/>
      <c r="AZ492" s="46"/>
      <c r="BA492" s="46"/>
      <c r="BB492" s="46"/>
      <c r="BC492" s="46"/>
      <c r="BD492" s="9"/>
      <c r="BE492" s="9"/>
      <c r="BF492" s="9"/>
      <c r="BG492" s="9"/>
      <c r="BH492" s="9"/>
      <c r="BI492" s="9"/>
      <c r="BJ492" s="9"/>
      <c r="BK492" s="7"/>
      <c r="BL492" s="9"/>
      <c r="BM492" s="9"/>
      <c r="BN492" s="9"/>
      <c r="BO492" s="9"/>
      <c r="BP492" s="9"/>
      <c r="BQ492" s="46"/>
      <c r="BR492" s="38"/>
      <c r="BS492" s="7"/>
      <c r="BT492" s="38"/>
      <c r="BU492" s="38"/>
      <c r="BV492" s="38"/>
      <c r="BW492" s="38"/>
      <c r="BX492" s="38"/>
      <c r="BY492" s="38"/>
      <c r="BZ492" s="38"/>
      <c r="CA492" s="38"/>
      <c r="CB492" s="15"/>
      <c r="CC492" s="15"/>
      <c r="CD492" s="15"/>
      <c r="CE492" s="46"/>
      <c r="CF492" s="9"/>
      <c r="CG492" s="9"/>
      <c r="CH492" s="9"/>
      <c r="CI492" s="9"/>
      <c r="CJ492" s="46"/>
      <c r="CK492" s="50"/>
      <c r="CL492" s="49"/>
      <c r="CM492" s="16"/>
      <c r="CN492" s="38"/>
      <c r="CO492" s="38"/>
      <c r="CP492" s="38"/>
      <c r="CQ492" s="38"/>
      <c r="CR492" s="38"/>
      <c r="CS492" s="46"/>
      <c r="CT492" s="24"/>
      <c r="CU492" s="38"/>
      <c r="CV492" s="38"/>
      <c r="CW492" s="38"/>
      <c r="CX492" s="38"/>
      <c r="CY492" s="38"/>
      <c r="CZ492" s="38"/>
      <c r="DA492" s="38"/>
      <c r="DB492" s="24"/>
      <c r="DC492" s="24"/>
      <c r="DD492" s="24"/>
      <c r="DE492" s="24"/>
      <c r="DF492" s="38"/>
      <c r="DG492" s="38"/>
      <c r="DH492" s="38"/>
      <c r="DI492" s="38"/>
      <c r="DJ492" s="38"/>
      <c r="DK492" s="47"/>
      <c r="DL492" s="47"/>
      <c r="DM492" s="38"/>
      <c r="DN492" s="46"/>
      <c r="DO492" s="38"/>
      <c r="DP492" s="38"/>
      <c r="DQ492" s="47"/>
    </row>
    <row r="493" spans="2:121">
      <c r="B493" s="7"/>
      <c r="C493" s="7"/>
      <c r="D493" s="7"/>
      <c r="E493" s="7"/>
      <c r="F493" s="7"/>
      <c r="G493" s="7"/>
      <c r="H493" s="38"/>
      <c r="I493" s="46"/>
      <c r="J493" s="18"/>
      <c r="K493" s="7"/>
      <c r="L493" s="38"/>
      <c r="M493" s="38"/>
      <c r="N493" s="38"/>
      <c r="O493" s="7"/>
      <c r="P493" s="7"/>
      <c r="Q493" s="33"/>
      <c r="R493" s="11"/>
      <c r="S493" s="11"/>
      <c r="T493" s="11" t="s">
        <v>98</v>
      </c>
      <c r="U493" s="12"/>
      <c r="V493" s="11"/>
      <c r="W493" s="13"/>
      <c r="X493" s="9"/>
      <c r="Y493" s="38"/>
      <c r="Z493" s="38"/>
      <c r="AA493" s="38"/>
      <c r="AB493" s="11"/>
      <c r="AC493" s="11"/>
      <c r="AD493" s="7"/>
      <c r="AE493" s="38"/>
      <c r="AF493" s="7"/>
      <c r="AG493" s="46"/>
      <c r="AH493" s="9"/>
      <c r="AI493" s="9"/>
      <c r="AJ493" s="9"/>
      <c r="AK493" s="9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53"/>
      <c r="AZ493" s="46"/>
      <c r="BA493" s="46"/>
      <c r="BB493" s="46"/>
      <c r="BC493" s="46"/>
      <c r="BD493" s="9"/>
      <c r="BE493" s="9"/>
      <c r="BF493" s="9"/>
      <c r="BG493" s="9"/>
      <c r="BH493" s="9"/>
      <c r="BI493" s="9"/>
      <c r="BJ493" s="9"/>
      <c r="BK493" s="7"/>
      <c r="BL493" s="9"/>
      <c r="BM493" s="9"/>
      <c r="BN493" s="9"/>
      <c r="BO493" s="9"/>
      <c r="BP493" s="9"/>
      <c r="BQ493" s="46"/>
      <c r="BR493" s="38"/>
      <c r="BS493" s="7"/>
      <c r="BT493" s="38"/>
      <c r="BU493" s="38"/>
      <c r="BV493" s="38"/>
      <c r="BW493" s="38"/>
      <c r="BX493" s="38"/>
      <c r="BY493" s="38"/>
      <c r="BZ493" s="38"/>
      <c r="CA493" s="38"/>
      <c r="CB493" s="15"/>
      <c r="CC493" s="15"/>
      <c r="CD493" s="15"/>
      <c r="CE493" s="46"/>
      <c r="CF493" s="9"/>
      <c r="CG493" s="9"/>
      <c r="CH493" s="9"/>
      <c r="CI493" s="9"/>
      <c r="CJ493" s="46"/>
      <c r="CK493" s="50"/>
      <c r="CL493" s="49"/>
      <c r="CM493" s="16"/>
      <c r="CN493" s="38"/>
      <c r="CO493" s="38"/>
      <c r="CP493" s="38"/>
      <c r="CQ493" s="38"/>
      <c r="CR493" s="38"/>
      <c r="CS493" s="46"/>
      <c r="CT493" s="24"/>
      <c r="CU493" s="38"/>
      <c r="CV493" s="38"/>
      <c r="CW493" s="38"/>
      <c r="CX493" s="38"/>
      <c r="CY493" s="38"/>
      <c r="CZ493" s="38"/>
      <c r="DA493" s="38"/>
      <c r="DB493" s="24"/>
      <c r="DC493" s="24"/>
      <c r="DD493" s="24"/>
      <c r="DE493" s="24"/>
      <c r="DF493" s="38"/>
      <c r="DG493" s="38"/>
      <c r="DH493" s="38"/>
      <c r="DI493" s="38"/>
      <c r="DJ493" s="38"/>
      <c r="DK493" s="47"/>
      <c r="DL493" s="47"/>
      <c r="DM493" s="38"/>
      <c r="DN493" s="46"/>
      <c r="DO493" s="38"/>
      <c r="DP493" s="38"/>
      <c r="DQ493" s="47"/>
    </row>
    <row r="494" spans="2:121">
      <c r="B494" s="7"/>
      <c r="C494" s="7"/>
      <c r="D494" s="7"/>
      <c r="E494" s="7"/>
      <c r="F494" s="7"/>
      <c r="G494" s="7"/>
      <c r="H494" s="38"/>
      <c r="I494" s="46"/>
      <c r="J494" s="18"/>
      <c r="K494" s="7"/>
      <c r="L494" s="38"/>
      <c r="M494" s="38"/>
      <c r="N494" s="38"/>
      <c r="O494" s="7"/>
      <c r="P494" s="7"/>
      <c r="Q494" s="33"/>
      <c r="R494" s="11"/>
      <c r="S494" s="11"/>
      <c r="T494" s="11" t="s">
        <v>98</v>
      </c>
      <c r="U494" s="12"/>
      <c r="V494" s="11"/>
      <c r="W494" s="13"/>
      <c r="X494" s="9"/>
      <c r="Y494" s="38"/>
      <c r="Z494" s="38"/>
      <c r="AA494" s="38"/>
      <c r="AB494" s="11"/>
      <c r="AC494" s="11"/>
      <c r="AD494" s="7"/>
      <c r="AE494" s="38"/>
      <c r="AF494" s="7"/>
      <c r="AG494" s="46"/>
      <c r="AH494" s="9"/>
      <c r="AI494" s="9"/>
      <c r="AJ494" s="9"/>
      <c r="AK494" s="9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53"/>
      <c r="AZ494" s="46"/>
      <c r="BA494" s="46"/>
      <c r="BB494" s="46"/>
      <c r="BC494" s="46"/>
      <c r="BD494" s="9"/>
      <c r="BE494" s="9"/>
      <c r="BF494" s="9"/>
      <c r="BG494" s="9"/>
      <c r="BH494" s="9"/>
      <c r="BI494" s="9"/>
      <c r="BJ494" s="9"/>
      <c r="BK494" s="7"/>
      <c r="BL494" s="9"/>
      <c r="BM494" s="9"/>
      <c r="BN494" s="9"/>
      <c r="BO494" s="9"/>
      <c r="BP494" s="9"/>
      <c r="BQ494" s="46"/>
      <c r="BR494" s="38"/>
      <c r="BS494" s="7"/>
      <c r="BT494" s="38"/>
      <c r="BU494" s="38"/>
      <c r="BV494" s="38"/>
      <c r="BW494" s="38"/>
      <c r="BX494" s="38"/>
      <c r="BY494" s="38"/>
      <c r="BZ494" s="38"/>
      <c r="CA494" s="38"/>
      <c r="CB494" s="15"/>
      <c r="CC494" s="15"/>
      <c r="CD494" s="15"/>
      <c r="CE494" s="46"/>
      <c r="CF494" s="9"/>
      <c r="CG494" s="9"/>
      <c r="CH494" s="9"/>
      <c r="CI494" s="9"/>
      <c r="CJ494" s="46"/>
      <c r="CK494" s="50"/>
      <c r="CL494" s="49"/>
      <c r="CM494" s="16"/>
      <c r="CN494" s="38"/>
      <c r="CO494" s="38"/>
      <c r="CP494" s="38"/>
      <c r="CQ494" s="38"/>
      <c r="CR494" s="38"/>
      <c r="CS494" s="46"/>
      <c r="CT494" s="24"/>
      <c r="CU494" s="38"/>
      <c r="CV494" s="38"/>
      <c r="CW494" s="38"/>
      <c r="CX494" s="38"/>
      <c r="CY494" s="38"/>
      <c r="CZ494" s="38"/>
      <c r="DA494" s="38"/>
      <c r="DB494" s="24"/>
      <c r="DC494" s="24"/>
      <c r="DD494" s="24"/>
      <c r="DE494" s="24"/>
      <c r="DF494" s="38"/>
      <c r="DG494" s="38"/>
      <c r="DH494" s="38"/>
      <c r="DI494" s="38"/>
      <c r="DJ494" s="38"/>
      <c r="DK494" s="47"/>
      <c r="DL494" s="47"/>
      <c r="DM494" s="38"/>
      <c r="DN494" s="46"/>
      <c r="DO494" s="38"/>
      <c r="DP494" s="38"/>
      <c r="DQ494" s="47"/>
    </row>
    <row r="495" spans="2:121">
      <c r="B495" s="7"/>
      <c r="C495" s="7"/>
      <c r="D495" s="7"/>
      <c r="E495" s="7"/>
      <c r="F495" s="7"/>
      <c r="G495" s="7"/>
      <c r="H495" s="38"/>
      <c r="I495" s="46"/>
      <c r="J495" s="18"/>
      <c r="K495" s="7"/>
      <c r="L495" s="38"/>
      <c r="M495" s="38"/>
      <c r="N495" s="38"/>
      <c r="O495" s="7"/>
      <c r="P495" s="7"/>
      <c r="Q495" s="33"/>
      <c r="R495" s="11"/>
      <c r="S495" s="11"/>
      <c r="T495" s="11" t="s">
        <v>98</v>
      </c>
      <c r="U495" s="12"/>
      <c r="V495" s="11"/>
      <c r="W495" s="13"/>
      <c r="X495" s="9"/>
      <c r="Y495" s="38"/>
      <c r="Z495" s="38"/>
      <c r="AA495" s="38"/>
      <c r="AB495" s="11"/>
      <c r="AC495" s="11"/>
      <c r="AD495" s="7"/>
      <c r="AE495" s="38"/>
      <c r="AF495" s="7"/>
      <c r="AG495" s="46"/>
      <c r="AH495" s="9"/>
      <c r="AI495" s="9"/>
      <c r="AJ495" s="9"/>
      <c r="AK495" s="9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53"/>
      <c r="AZ495" s="46"/>
      <c r="BA495" s="46"/>
      <c r="BB495" s="46"/>
      <c r="BC495" s="46"/>
      <c r="BD495" s="9"/>
      <c r="BE495" s="9"/>
      <c r="BF495" s="9"/>
      <c r="BG495" s="9"/>
      <c r="BH495" s="9"/>
      <c r="BI495" s="9"/>
      <c r="BJ495" s="9"/>
      <c r="BK495" s="7"/>
      <c r="BL495" s="9"/>
      <c r="BM495" s="9"/>
      <c r="BN495" s="9"/>
      <c r="BO495" s="9"/>
      <c r="BP495" s="9"/>
      <c r="BQ495" s="46"/>
      <c r="BR495" s="38"/>
      <c r="BS495" s="7"/>
      <c r="BT495" s="38"/>
      <c r="BU495" s="38"/>
      <c r="BV495" s="38"/>
      <c r="BW495" s="38"/>
      <c r="BX495" s="38"/>
      <c r="BY495" s="38"/>
      <c r="BZ495" s="38"/>
      <c r="CA495" s="38"/>
      <c r="CB495" s="15"/>
      <c r="CC495" s="15"/>
      <c r="CD495" s="15"/>
      <c r="CE495" s="46"/>
      <c r="CF495" s="9"/>
      <c r="CG495" s="9"/>
      <c r="CH495" s="9"/>
      <c r="CI495" s="9"/>
      <c r="CJ495" s="46"/>
      <c r="CK495" s="50"/>
      <c r="CL495" s="49"/>
      <c r="CM495" s="16"/>
      <c r="CN495" s="38"/>
      <c r="CO495" s="38"/>
      <c r="CP495" s="38"/>
      <c r="CQ495" s="38"/>
      <c r="CR495" s="38"/>
      <c r="CS495" s="46"/>
      <c r="CT495" s="24"/>
      <c r="CU495" s="38"/>
      <c r="CV495" s="38"/>
      <c r="CW495" s="38"/>
      <c r="CX495" s="38"/>
      <c r="CY495" s="38"/>
      <c r="CZ495" s="38"/>
      <c r="DA495" s="38"/>
      <c r="DB495" s="24"/>
      <c r="DC495" s="24"/>
      <c r="DD495" s="24"/>
      <c r="DE495" s="24"/>
      <c r="DF495" s="38"/>
      <c r="DG495" s="38"/>
      <c r="DH495" s="38"/>
      <c r="DI495" s="38"/>
      <c r="DJ495" s="38"/>
      <c r="DK495" s="47"/>
      <c r="DL495" s="47"/>
      <c r="DM495" s="38"/>
      <c r="DN495" s="46"/>
      <c r="DO495" s="38"/>
      <c r="DP495" s="38"/>
      <c r="DQ495" s="47"/>
    </row>
    <row r="496" spans="2:121">
      <c r="B496" s="7"/>
      <c r="C496" s="7"/>
      <c r="D496" s="7"/>
      <c r="E496" s="7"/>
      <c r="F496" s="7"/>
      <c r="G496" s="7"/>
      <c r="H496" s="38"/>
      <c r="I496" s="46"/>
      <c r="J496" s="18"/>
      <c r="K496" s="7"/>
      <c r="L496" s="38"/>
      <c r="M496" s="38"/>
      <c r="N496" s="38"/>
      <c r="O496" s="7"/>
      <c r="P496" s="7"/>
      <c r="Q496" s="33"/>
      <c r="R496" s="11"/>
      <c r="S496" s="11"/>
      <c r="T496" s="11" t="s">
        <v>98</v>
      </c>
      <c r="U496" s="12"/>
      <c r="V496" s="11"/>
      <c r="W496" s="13"/>
      <c r="X496" s="9"/>
      <c r="Y496" s="38"/>
      <c r="Z496" s="38"/>
      <c r="AA496" s="38"/>
      <c r="AB496" s="11"/>
      <c r="AC496" s="11"/>
      <c r="AD496" s="7"/>
      <c r="AE496" s="38"/>
      <c r="AF496" s="7"/>
      <c r="AG496" s="46"/>
      <c r="AH496" s="9"/>
      <c r="AI496" s="9"/>
      <c r="AJ496" s="9"/>
      <c r="AK496" s="9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53"/>
      <c r="AZ496" s="46"/>
      <c r="BA496" s="46"/>
      <c r="BB496" s="46"/>
      <c r="BC496" s="46"/>
      <c r="BD496" s="9"/>
      <c r="BE496" s="9"/>
      <c r="BF496" s="9"/>
      <c r="BG496" s="9"/>
      <c r="BH496" s="9"/>
      <c r="BI496" s="9"/>
      <c r="BJ496" s="9"/>
      <c r="BK496" s="7"/>
      <c r="BL496" s="9"/>
      <c r="BM496" s="9"/>
      <c r="BN496" s="9"/>
      <c r="BO496" s="9"/>
      <c r="BP496" s="9"/>
      <c r="BQ496" s="46"/>
      <c r="BR496" s="38"/>
      <c r="BS496" s="7"/>
      <c r="BT496" s="38"/>
      <c r="BU496" s="38"/>
      <c r="BV496" s="38"/>
      <c r="BW496" s="38"/>
      <c r="BX496" s="38"/>
      <c r="BY496" s="38"/>
      <c r="BZ496" s="38"/>
      <c r="CA496" s="38"/>
      <c r="CB496" s="15"/>
      <c r="CC496" s="15"/>
      <c r="CD496" s="15"/>
      <c r="CE496" s="46"/>
      <c r="CF496" s="9"/>
      <c r="CG496" s="9"/>
      <c r="CH496" s="9"/>
      <c r="CI496" s="9"/>
      <c r="CJ496" s="46"/>
      <c r="CK496" s="50"/>
      <c r="CL496" s="49"/>
      <c r="CM496" s="16"/>
      <c r="CN496" s="38"/>
      <c r="CO496" s="38"/>
      <c r="CP496" s="38"/>
      <c r="CQ496" s="38"/>
      <c r="CR496" s="38"/>
      <c r="CS496" s="46"/>
      <c r="CT496" s="24"/>
      <c r="CU496" s="38"/>
      <c r="CV496" s="38"/>
      <c r="CW496" s="38"/>
      <c r="CX496" s="38"/>
      <c r="CY496" s="38"/>
      <c r="CZ496" s="38"/>
      <c r="DA496" s="38"/>
      <c r="DB496" s="24"/>
      <c r="DC496" s="24"/>
      <c r="DD496" s="24"/>
      <c r="DE496" s="24"/>
      <c r="DF496" s="38"/>
      <c r="DG496" s="38"/>
      <c r="DH496" s="38"/>
      <c r="DI496" s="38"/>
      <c r="DJ496" s="38"/>
      <c r="DK496" s="47"/>
      <c r="DL496" s="47"/>
      <c r="DM496" s="38"/>
      <c r="DN496" s="46"/>
      <c r="DO496" s="38"/>
      <c r="DP496" s="38"/>
      <c r="DQ496" s="47"/>
    </row>
  </sheetData>
  <autoFilter ref="A3:DQ3" xr:uid="{90AC24D6-CE87-44CB-824B-782F21EFCCC9}">
    <sortState xmlns:xlrd2="http://schemas.microsoft.com/office/spreadsheetml/2017/richdata2" ref="A4:DQ496">
      <sortCondition ref="B3"/>
    </sortState>
  </autoFilter>
  <phoneticPr fontId="2" type="noConversion"/>
  <conditionalFormatting sqref="B5:B196">
    <cfRule type="expression" dxfId="176" priority="285">
      <formula>MOD(ROW(),2)=0</formula>
    </cfRule>
  </conditionalFormatting>
  <conditionalFormatting sqref="B496:DQ496 X41:AF92 AZ42:BD55 AG49:AW55 BL56:CO65 AG56:BK79 DH80:DK80 DF80:DG87 BE80:BK91 AH80:AW92 AG80:AG96 CQ80:CQ97 CR80:DE98 AX80:BD110">
    <cfRule type="expression" dxfId="175" priority="427">
      <formula>MOD(ROW(),2)=0</formula>
    </cfRule>
  </conditionalFormatting>
  <conditionalFormatting sqref="C154:C159">
    <cfRule type="expression" dxfId="174" priority="219">
      <formula>MOD(ROW(),2)=0</formula>
    </cfRule>
  </conditionalFormatting>
  <conditionalFormatting sqref="C161:C162">
    <cfRule type="expression" dxfId="173" priority="91">
      <formula>MOD(ROW(),2)=0</formula>
    </cfRule>
  </conditionalFormatting>
  <conditionalFormatting sqref="C164:C167">
    <cfRule type="expression" dxfId="172" priority="28">
      <formula>MOD(ROW(),2)=0</formula>
    </cfRule>
  </conditionalFormatting>
  <conditionalFormatting sqref="C76:J79">
    <cfRule type="expression" dxfId="171" priority="227">
      <formula>MOD(ROW(),2)=0</formula>
    </cfRule>
  </conditionalFormatting>
  <conditionalFormatting sqref="C123:D127 H123:J127">
    <cfRule type="expression" dxfId="170" priority="333">
      <formula>MOD(ROW(),2)=0</formula>
    </cfRule>
  </conditionalFormatting>
  <conditionalFormatting sqref="C130:J134">
    <cfRule type="expression" dxfId="169" priority="332">
      <formula>MOD(ROW(),2)=0</formula>
    </cfRule>
  </conditionalFormatting>
  <conditionalFormatting sqref="V4:W21 DK21:DM21 X21:AW40 AZ21:BD40 AX21:AY55 BE21:CO55 P21:P79 Q21:W97 DN21:DQ120 CP21:CP124 BM56:BM141 C21:O71">
    <cfRule type="expression" dxfId="168" priority="334">
      <formula>MOD(ROW(),2)=0</formula>
    </cfRule>
  </conditionalFormatting>
  <conditionalFormatting sqref="C80:P94 Q107:X107 H108:X110 C95:D110 H95:P107 AA107:AW110 E95:G129">
    <cfRule type="expression" dxfId="167" priority="419">
      <formula>MOD(ROW(),2)=0</formula>
    </cfRule>
  </conditionalFormatting>
  <conditionalFormatting sqref="C111:D112 H111:P112">
    <cfRule type="expression" dxfId="166" priority="367">
      <formula>MOD(ROW(),2)=0</formula>
    </cfRule>
  </conditionalFormatting>
  <conditionalFormatting sqref="C150:U150 C151:DQ151">
    <cfRule type="expression" dxfId="165" priority="304">
      <formula>MOD(ROW(),2)=0</formula>
    </cfRule>
  </conditionalFormatting>
  <conditionalFormatting sqref="C119:D120 H119:W120">
    <cfRule type="expression" dxfId="164" priority="373">
      <formula>MOD(ROW(),2)=0</formula>
    </cfRule>
  </conditionalFormatting>
  <conditionalFormatting sqref="C145:W149">
    <cfRule type="expression" dxfId="163" priority="318">
      <formula>MOD(ROW(),2)=0</formula>
    </cfRule>
  </conditionalFormatting>
  <conditionalFormatting sqref="C139:AE139">
    <cfRule type="expression" dxfId="162" priority="329">
      <formula>MOD(ROW(),2)=0</formula>
    </cfRule>
  </conditionalFormatting>
  <conditionalFormatting sqref="C141:AE143">
    <cfRule type="expression" dxfId="161" priority="323">
      <formula>MOD(ROW(),2)=0</formula>
    </cfRule>
  </conditionalFormatting>
  <conditionalFormatting sqref="C160:AE160">
    <cfRule type="expression" dxfId="160" priority="130">
      <formula>MOD(ROW(),2)=0</formula>
    </cfRule>
  </conditionalFormatting>
  <conditionalFormatting sqref="C144:BZ144">
    <cfRule type="expression" dxfId="159" priority="321">
      <formula>MOD(ROW(),2)=0</formula>
    </cfRule>
  </conditionalFormatting>
  <conditionalFormatting sqref="C113:D118 AG116:CE116 H113:X118 AA113:CE115 AA116:AE116 AA117:CE118">
    <cfRule type="expression" dxfId="158" priority="368">
      <formula>MOD(ROW(),2)=0</formula>
    </cfRule>
  </conditionalFormatting>
  <conditionalFormatting sqref="C121:D122 H121:X122 AA121:CE122">
    <cfRule type="expression" dxfId="157" priority="363">
      <formula>MOD(ROW(),2)=0</formula>
    </cfRule>
  </conditionalFormatting>
  <conditionalFormatting sqref="C135:CL135">
    <cfRule type="expression" dxfId="156" priority="270">
      <formula>MOD(ROW(),2)=0</formula>
    </cfRule>
  </conditionalFormatting>
  <conditionalFormatting sqref="C136:DK136 C137:DI137 C138:DQ138 DM121:DQ136 CN135:DK135">
    <cfRule type="expression" dxfId="155" priority="330">
      <formula>MOD(ROW(),2)=0</formula>
    </cfRule>
  </conditionalFormatting>
  <conditionalFormatting sqref="C152:DL153">
    <cfRule type="expression" dxfId="154" priority="223">
      <formula>MOD(ROW(),2)=0</formula>
    </cfRule>
  </conditionalFormatting>
  <conditionalFormatting sqref="C140:DQ140">
    <cfRule type="expression" dxfId="153" priority="326">
      <formula>MOD(ROW(),2)=0</formula>
    </cfRule>
  </conditionalFormatting>
  <conditionalFormatting sqref="C163:DQ163">
    <cfRule type="expression" dxfId="152" priority="82">
      <formula>MOD(ROW(),2)=0</formula>
    </cfRule>
  </conditionalFormatting>
  <conditionalFormatting sqref="C168:DQ168">
    <cfRule type="expression" dxfId="151" priority="3">
      <formula>MOD(ROW(),2)=0</formula>
    </cfRule>
  </conditionalFormatting>
  <conditionalFormatting sqref="D4:D168">
    <cfRule type="expression" dxfId="150" priority="53">
      <formula>MOD(ROW(),2)=0</formula>
    </cfRule>
  </conditionalFormatting>
  <conditionalFormatting sqref="D162:V162">
    <cfRule type="expression" dxfId="149" priority="99">
      <formula>MOD(ROW(),2)=0</formula>
    </cfRule>
  </conditionalFormatting>
  <conditionalFormatting sqref="D165:DQ165">
    <cfRule type="expression" dxfId="148" priority="54">
      <formula>MOD(ROW(),2)=0</formula>
    </cfRule>
  </conditionalFormatting>
  <conditionalFormatting sqref="E6:E9">
    <cfRule type="expression" dxfId="147" priority="280">
      <formula>MOD(ROW(),2)=0</formula>
    </cfRule>
  </conditionalFormatting>
  <conditionalFormatting sqref="E15:E16">
    <cfRule type="expression" dxfId="146" priority="292">
      <formula>MOD(ROW(),2)=0</formula>
    </cfRule>
  </conditionalFormatting>
  <conditionalFormatting sqref="E154:G158">
    <cfRule type="expression" dxfId="145" priority="174">
      <formula>MOD(ROW(),2)=0</formula>
    </cfRule>
  </conditionalFormatting>
  <conditionalFormatting sqref="E18:J18">
    <cfRule type="expression" dxfId="144" priority="188">
      <formula>MOD(ROW(),2)=0</formula>
    </cfRule>
  </conditionalFormatting>
  <conditionalFormatting sqref="E164:M164">
    <cfRule type="expression" dxfId="143" priority="76">
      <formula>MOD(ROW(),2)=0</formula>
    </cfRule>
  </conditionalFormatting>
  <conditionalFormatting sqref="E166:M167">
    <cfRule type="expression" dxfId="142" priority="26">
      <formula>MOD(ROW(),2)=0</formula>
    </cfRule>
  </conditionalFormatting>
  <conditionalFormatting sqref="E4:S4 E5:R7 E9:O9 E10:R17 B4:C4 U4:AC4 AR4:AS17 AN4:AQ19 AT4:AT19 AU5:CH17 BU5:DI19 C5:C20 U5:U20 V18:AS19 AU18:DI19 C128:D128">
    <cfRule type="expression" dxfId="141" priority="354">
      <formula>MOD(ROW(),2)=0</formula>
    </cfRule>
  </conditionalFormatting>
  <conditionalFormatting sqref="F8:R8">
    <cfRule type="expression" dxfId="140" priority="283">
      <formula>MOD(ROW(),2)=0</formula>
    </cfRule>
  </conditionalFormatting>
  <conditionalFormatting sqref="H154:AH154 E161:U161 N164:U164 N166:P166 N167:U167 C169:BD196 B197:BD495 Y161:AE161">
    <cfRule type="expression" dxfId="139" priority="331">
      <formula>MOD(ROW(),2)=0</formula>
    </cfRule>
  </conditionalFormatting>
  <conditionalFormatting sqref="H155:CE155 H156:O158 P156:CE159 D159:O159">
    <cfRule type="expression" dxfId="138" priority="182">
      <formula>MOD(ROW(),2)=0</formula>
    </cfRule>
  </conditionalFormatting>
  <conditionalFormatting sqref="K126:L127">
    <cfRule type="expression" dxfId="137" priority="353">
      <formula>MOD(ROW(),2)=0</formula>
    </cfRule>
  </conditionalFormatting>
  <conditionalFormatting sqref="K77:O79">
    <cfRule type="expression" dxfId="136" priority="433">
      <formula>MOD(ROW(),2)=0</formula>
    </cfRule>
  </conditionalFormatting>
  <conditionalFormatting sqref="K18:T18 E19:T20">
    <cfRule type="expression" dxfId="135" priority="282">
      <formula>MOD(ROW(),2)=0</formula>
    </cfRule>
  </conditionalFormatting>
  <conditionalFormatting sqref="K130:U130 AY126:BR126 AA129:AC129">
    <cfRule type="expression" dxfId="134" priority="352">
      <formula>MOD(ROW(),2)=0</formula>
    </cfRule>
  </conditionalFormatting>
  <conditionalFormatting sqref="K131:V134">
    <cfRule type="expression" dxfId="133" priority="339">
      <formula>MOD(ROW(),2)=0</formula>
    </cfRule>
  </conditionalFormatting>
  <conditionalFormatting sqref="K123:W124">
    <cfRule type="expression" dxfId="132" priority="366">
      <formula>MOD(ROW(),2)=0</formula>
    </cfRule>
  </conditionalFormatting>
  <conditionalFormatting sqref="K125:X125 AA125:AW125">
    <cfRule type="expression" dxfId="131" priority="359">
      <formula>MOD(ROW(),2)=0</formula>
    </cfRule>
  </conditionalFormatting>
  <conditionalFormatting sqref="M72:O76">
    <cfRule type="expression" dxfId="130" priority="435">
      <formula>MOD(ROW(),2)=0</formula>
    </cfRule>
  </conditionalFormatting>
  <conditionalFormatting sqref="M126:U129">
    <cfRule type="expression" dxfId="129" priority="351">
      <formula>MOD(ROW(),2)=0</formula>
    </cfRule>
  </conditionalFormatting>
  <conditionalFormatting sqref="O1:O1048576">
    <cfRule type="duplicateValues" dxfId="128" priority="269"/>
  </conditionalFormatting>
  <conditionalFormatting sqref="P6:P9">
    <cfRule type="expression" dxfId="127" priority="299">
      <formula>MOD(ROW(),2)=0</formula>
    </cfRule>
  </conditionalFormatting>
  <conditionalFormatting sqref="Q9:R9">
    <cfRule type="expression" dxfId="126" priority="300">
      <formula>MOD(ROW(),2)=0</formula>
    </cfRule>
  </conditionalFormatting>
  <conditionalFormatting sqref="Q101:X106 AA101:AD106">
    <cfRule type="expression" dxfId="125" priority="420">
      <formula>MOD(ROW(),2)=0</formula>
    </cfRule>
  </conditionalFormatting>
  <conditionalFormatting sqref="Q97:X100 AA100:AR100 AA97:AW99">
    <cfRule type="expression" dxfId="124" priority="430">
      <formula>MOD(ROW(),2)=0</formula>
    </cfRule>
  </conditionalFormatting>
  <conditionalFormatting sqref="Q112:X112 AA112:CE112">
    <cfRule type="expression" dxfId="123" priority="386">
      <formula>MOD(ROW(),2)=0</formula>
    </cfRule>
  </conditionalFormatting>
  <conditionalFormatting sqref="Q166:DQ166">
    <cfRule type="expression" dxfId="122" priority="29">
      <formula>MOD(ROW(),2)=0</formula>
    </cfRule>
  </conditionalFormatting>
  <conditionalFormatting sqref="T4:T17">
    <cfRule type="expression" dxfId="121" priority="277">
      <formula>MOD(ROW(),2)=0</formula>
    </cfRule>
  </conditionalFormatting>
  <conditionalFormatting sqref="V20">
    <cfRule type="expression" dxfId="120" priority="284">
      <formula>MOD(ROW(),2)=0</formula>
    </cfRule>
  </conditionalFormatting>
  <conditionalFormatting sqref="V126:V130">
    <cfRule type="expression" dxfId="119" priority="350">
      <formula>MOD(ROW(),2)=0</formula>
    </cfRule>
  </conditionalFormatting>
  <conditionalFormatting sqref="V161">
    <cfRule type="expression" dxfId="118" priority="121">
      <formula>MOD(ROW(),2)=0</formula>
    </cfRule>
  </conditionalFormatting>
  <conditionalFormatting sqref="V147:AC149">
    <cfRule type="expression" dxfId="117" priority="315">
      <formula>MOD(ROW(),2)=0</formula>
    </cfRule>
  </conditionalFormatting>
  <conditionalFormatting sqref="V150:AE150">
    <cfRule type="expression" dxfId="116" priority="142">
      <formula>MOD(ROW(),2)=0</formula>
    </cfRule>
  </conditionalFormatting>
  <conditionalFormatting sqref="V164:AE164">
    <cfRule type="expression" dxfId="115" priority="73">
      <formula>MOD(ROW(),2)=0</formula>
    </cfRule>
  </conditionalFormatting>
  <conditionalFormatting sqref="V167:DQ167">
    <cfRule type="expression" dxfId="114" priority="16">
      <formula>MOD(ROW(),2)=0</formula>
    </cfRule>
  </conditionalFormatting>
  <conditionalFormatting sqref="W4:W22">
    <cfRule type="expression" dxfId="113" priority="275">
      <formula>MOD(ROW(),2)=0</formula>
    </cfRule>
  </conditionalFormatting>
  <conditionalFormatting sqref="W126:W134">
    <cfRule type="expression" dxfId="112" priority="349">
      <formula>MOD(ROW(),2)=0</formula>
    </cfRule>
  </conditionalFormatting>
  <conditionalFormatting sqref="W161:X162">
    <cfRule type="expression" dxfId="111" priority="97">
      <formula>MOD(ROW(),2)=0</formula>
    </cfRule>
  </conditionalFormatting>
  <conditionalFormatting sqref="X6:X16 X17:Z17">
    <cfRule type="expression" dxfId="110" priority="298">
      <formula>MOD(ROW(),2)=0</formula>
    </cfRule>
  </conditionalFormatting>
  <conditionalFormatting sqref="X104:X120">
    <cfRule type="expression" dxfId="109" priority="380">
      <formula>MOD(ROW(),2)=0</formula>
    </cfRule>
  </conditionalFormatting>
  <conditionalFormatting sqref="X126:X130">
    <cfRule type="expression" dxfId="108" priority="348">
      <formula>MOD(ROW(),2)=0</formula>
    </cfRule>
  </conditionalFormatting>
  <conditionalFormatting sqref="X155:X159">
    <cfRule type="expression" dxfId="107" priority="158">
      <formula>MOD(ROW(),2)=0</formula>
    </cfRule>
  </conditionalFormatting>
  <conditionalFormatting sqref="X10:Z15">
    <cfRule type="expression" dxfId="106" priority="291">
      <formula>MOD(ROW(),2)=0</formula>
    </cfRule>
  </conditionalFormatting>
  <conditionalFormatting sqref="X145:AC146">
    <cfRule type="expression" dxfId="105" priority="314">
      <formula>MOD(ROW(),2)=0</formula>
    </cfRule>
  </conditionalFormatting>
  <conditionalFormatting sqref="X124 AA124:AE124">
    <cfRule type="expression" dxfId="104" priority="356">
      <formula>MOD(ROW(),2)=0</formula>
    </cfRule>
  </conditionalFormatting>
  <conditionalFormatting sqref="X93:AW93 X94:X97 AA94:AW97">
    <cfRule type="expression" dxfId="103" priority="426">
      <formula>MOD(ROW(),2)=0</formula>
    </cfRule>
  </conditionalFormatting>
  <conditionalFormatting sqref="X132:BL134">
    <cfRule type="expression" dxfId="102" priority="337">
      <formula>MOD(ROW(),2)=0</formula>
    </cfRule>
  </conditionalFormatting>
  <conditionalFormatting sqref="X123 AA123:CO123">
    <cfRule type="expression" dxfId="101" priority="336">
      <formula>MOD(ROW(),2)=0</formula>
    </cfRule>
  </conditionalFormatting>
  <conditionalFormatting sqref="X131:DK131">
    <cfRule type="expression" dxfId="100" priority="340">
      <formula>MOD(ROW(),2)=0</formula>
    </cfRule>
  </conditionalFormatting>
  <conditionalFormatting sqref="Y9:Z9">
    <cfRule type="expression" dxfId="99" priority="294">
      <formula>MOD(ROW(),2)=0</formula>
    </cfRule>
  </conditionalFormatting>
  <conditionalFormatting sqref="Y16:Z16">
    <cfRule type="expression" dxfId="98" priority="297">
      <formula>MOD(ROW(),2)=0</formula>
    </cfRule>
  </conditionalFormatting>
  <conditionalFormatting sqref="AA128:AC128">
    <cfRule type="expression" dxfId="96" priority="344">
      <formula>MOD(ROW(),2)=0</formula>
    </cfRule>
  </conditionalFormatting>
  <conditionalFormatting sqref="AA126:AH127">
    <cfRule type="expression" dxfId="95" priority="347">
      <formula>MOD(ROW(),2)=0</formula>
    </cfRule>
  </conditionalFormatting>
  <conditionalFormatting sqref="Y130:AH130">
    <cfRule type="expression" dxfId="94" priority="342">
      <formula>MOD(ROW(),2)=0</formula>
    </cfRule>
  </conditionalFormatting>
  <conditionalFormatting sqref="AA119:CE120">
    <cfRule type="expression" dxfId="93" priority="371">
      <formula>MOD(ROW(),2)=0</formula>
    </cfRule>
  </conditionalFormatting>
  <conditionalFormatting sqref="Y162:DQ162">
    <cfRule type="expression" dxfId="92" priority="79">
      <formula>MOD(ROW(),2)=0</formula>
    </cfRule>
  </conditionalFormatting>
  <conditionalFormatting sqref="AD145:AE149">
    <cfRule type="expression" dxfId="91" priority="317">
      <formula>MOD(ROW(),2)=0</formula>
    </cfRule>
  </conditionalFormatting>
  <conditionalFormatting sqref="AD128:AH129">
    <cfRule type="expression" dxfId="90" priority="343">
      <formula>MOD(ROW(),2)=0</formula>
    </cfRule>
  </conditionalFormatting>
  <conditionalFormatting sqref="AD4:AN17">
    <cfRule type="expression" dxfId="89" priority="274">
      <formula>MOD(ROW(),2)=0</formula>
    </cfRule>
  </conditionalFormatting>
  <conditionalFormatting sqref="AE6:AE17">
    <cfRule type="expression" dxfId="88" priority="288">
      <formula>MOD(ROW(),2)=0</formula>
    </cfRule>
  </conditionalFormatting>
  <conditionalFormatting sqref="AE98:AE106">
    <cfRule type="expression" dxfId="87" priority="429">
      <formula>MOD(ROW(),2)=0</formula>
    </cfRule>
  </conditionalFormatting>
  <conditionalFormatting sqref="AF21:AF150">
    <cfRule type="expression" dxfId="86" priority="190">
      <formula>MOD(ROW(),2)=0</formula>
    </cfRule>
  </conditionalFormatting>
  <conditionalFormatting sqref="AF155:AF166">
    <cfRule type="expression" dxfId="85" priority="72">
      <formula>MOD(ROW(),2)=0</formula>
    </cfRule>
  </conditionalFormatting>
  <conditionalFormatting sqref="AF101:AR101">
    <cfRule type="expression" dxfId="84" priority="428">
      <formula>MOD(ROW(),2)=0</formula>
    </cfRule>
  </conditionalFormatting>
  <conditionalFormatting sqref="AF102:AW106">
    <cfRule type="expression" dxfId="83" priority="423">
      <formula>MOD(ROW(),2)=0</formula>
    </cfRule>
  </conditionalFormatting>
  <conditionalFormatting sqref="AG124:AW124">
    <cfRule type="expression" dxfId="82" priority="355">
      <formula>MOD(ROW(),2)=0</formula>
    </cfRule>
  </conditionalFormatting>
  <conditionalFormatting sqref="AG139:BL139">
    <cfRule type="expression" dxfId="81" priority="328">
      <formula>MOD(ROW(),2)=0</formula>
    </cfRule>
  </conditionalFormatting>
  <conditionalFormatting sqref="AG141:BL141">
    <cfRule type="expression" dxfId="80" priority="325">
      <formula>MOD(ROW(),2)=0</formula>
    </cfRule>
  </conditionalFormatting>
  <conditionalFormatting sqref="AG142:BZ143">
    <cfRule type="expression" dxfId="79" priority="322">
      <formula>MOD(ROW(),2)=0</formula>
    </cfRule>
  </conditionalFormatting>
  <conditionalFormatting sqref="AG145:DQ150">
    <cfRule type="expression" dxfId="78" priority="131">
      <formula>MOD(ROW(),2)=0</formula>
    </cfRule>
  </conditionalFormatting>
  <conditionalFormatting sqref="AG160:DQ161">
    <cfRule type="expression" dxfId="77" priority="92">
      <formula>MOD(ROW(),2)=0</formula>
    </cfRule>
  </conditionalFormatting>
  <conditionalFormatting sqref="AG164:DQ164">
    <cfRule type="expression" dxfId="76" priority="30">
      <formula>MOD(ROW(),2)=0</formula>
    </cfRule>
  </conditionalFormatting>
  <conditionalFormatting sqref="AH41:AR41 AG42:AR48 C72:L75 K76:L76 X95:X96 H128:L129 C129:D129 BE169:DQ496 AA95:AF96">
    <cfRule type="expression" dxfId="75" priority="436">
      <formula>MOD(ROW(),2)=0</formula>
    </cfRule>
  </conditionalFormatting>
  <conditionalFormatting sqref="AH96:AW96">
    <cfRule type="expression" dxfId="74" priority="432">
      <formula>MOD(ROW(),2)=0</formula>
    </cfRule>
  </conditionalFormatting>
  <conditionalFormatting sqref="AI126:AI130">
    <cfRule type="expression" dxfId="73" priority="346">
      <formula>MOD(ROW(),2)=0</formula>
    </cfRule>
  </conditionalFormatting>
  <conditionalFormatting sqref="AI154:DQ154">
    <cfRule type="expression" dxfId="72" priority="189">
      <formula>MOD(ROW(),2)=0</formula>
    </cfRule>
  </conditionalFormatting>
  <conditionalFormatting sqref="AJ126:AW126">
    <cfRule type="expression" dxfId="71" priority="345">
      <formula>MOD(ROW(),2)=0</formula>
    </cfRule>
  </conditionalFormatting>
  <conditionalFormatting sqref="AJ127:BR130">
    <cfRule type="expression" dxfId="70" priority="341">
      <formula>MOD(ROW(),2)=0</formula>
    </cfRule>
  </conditionalFormatting>
  <conditionalFormatting sqref="AS97">
    <cfRule type="expression" dxfId="69" priority="424">
      <formula>MOD(ROW(),2)=0</formula>
    </cfRule>
  </conditionalFormatting>
  <conditionalFormatting sqref="AS41:AW48">
    <cfRule type="expression" dxfId="68" priority="388">
      <formula>MOD(ROW(),2)=0</formula>
    </cfRule>
  </conditionalFormatting>
  <conditionalFormatting sqref="AS100:AW101">
    <cfRule type="expression" dxfId="67" priority="425">
      <formula>MOD(ROW(),2)=0</formula>
    </cfRule>
  </conditionalFormatting>
  <conditionalFormatting sqref="AU4:DQ4 CI5:DH5 DI5:DI6 W5:Z8 S5:S17 V5:V17 AA5:AC17 DJ5:DJ39">
    <cfRule type="expression" dxfId="66" priority="296">
      <formula>MOD(ROW(),2)=0</formula>
    </cfRule>
  </conditionalFormatting>
  <conditionalFormatting sqref="AX124:AX126">
    <cfRule type="expression" dxfId="65" priority="358">
      <formula>MOD(ROW(),2)=0</formula>
    </cfRule>
  </conditionalFormatting>
  <conditionalFormatting sqref="AY124:CO124">
    <cfRule type="expression" dxfId="64" priority="357">
      <formula>MOD(ROW(),2)=0</formula>
    </cfRule>
  </conditionalFormatting>
  <conditionalFormatting sqref="AY125:DK125">
    <cfRule type="expression" dxfId="63" priority="361">
      <formula>MOD(ROW(),2)=0</formula>
    </cfRule>
  </conditionalFormatting>
  <conditionalFormatting sqref="BB41:BD41 Q111:X111 AA111:BD111">
    <cfRule type="expression" dxfId="62" priority="422">
      <formula>MOD(ROW(),2)=0</formula>
    </cfRule>
  </conditionalFormatting>
  <conditionalFormatting sqref="BE97:BE99">
    <cfRule type="expression" dxfId="61" priority="408">
      <formula>MOD(ROW(),2)=0</formula>
    </cfRule>
  </conditionalFormatting>
  <conditionalFormatting sqref="BE96:BF97 BH96:CO97">
    <cfRule type="expression" dxfId="60" priority="402">
      <formula>MOD(ROW(),2)=0</formula>
    </cfRule>
  </conditionalFormatting>
  <conditionalFormatting sqref="BE99:BF100 BH99:BR100">
    <cfRule type="expression" dxfId="59" priority="401">
      <formula>MOD(ROW(),2)=0</formula>
    </cfRule>
  </conditionalFormatting>
  <conditionalFormatting sqref="BE81:BJ81">
    <cfRule type="expression" dxfId="58" priority="382">
      <formula>MOD(ROW(),2)=0</formula>
    </cfRule>
  </conditionalFormatting>
  <conditionalFormatting sqref="BE92:BP93">
    <cfRule type="expression" dxfId="57" priority="413">
      <formula>MOD(ROW(),2)=0</formula>
    </cfRule>
  </conditionalFormatting>
  <conditionalFormatting sqref="BE101:BR111">
    <cfRule type="expression" dxfId="56" priority="389">
      <formula>MOD(ROW(),2)=0</formula>
    </cfRule>
  </conditionalFormatting>
  <conditionalFormatting sqref="BE94:CO95">
    <cfRule type="expression" dxfId="55" priority="395">
      <formula>MOD(ROW(),2)=0</formula>
    </cfRule>
  </conditionalFormatting>
  <conditionalFormatting sqref="BG96:BG100">
    <cfRule type="expression" dxfId="54" priority="394">
      <formula>MOD(ROW(),2)=0</formula>
    </cfRule>
  </conditionalFormatting>
  <conditionalFormatting sqref="BK98:BR99">
    <cfRule type="expression" dxfId="53" priority="409">
      <formula>MOD(ROW(),2)=0</formula>
    </cfRule>
  </conditionalFormatting>
  <conditionalFormatting sqref="BK97:BS98">
    <cfRule type="expression" dxfId="52" priority="410">
      <formula>MOD(ROW(),2)=0</formula>
    </cfRule>
  </conditionalFormatting>
  <conditionalFormatting sqref="BL91:BP91">
    <cfRule type="expression" dxfId="51" priority="384">
      <formula>MOD(ROW(),2)=0</formula>
    </cfRule>
  </conditionalFormatting>
  <conditionalFormatting sqref="BL88:BQ90 BF90:BJ93 BF96:BF99 BH96:BJ99">
    <cfRule type="expression" dxfId="50" priority="407">
      <formula>MOD(ROW(),2)=0</formula>
    </cfRule>
  </conditionalFormatting>
  <conditionalFormatting sqref="BL66:CM79 BL80:CO87">
    <cfRule type="expression" dxfId="49" priority="381">
      <formula>MOD(ROW(),2)=0</formula>
    </cfRule>
  </conditionalFormatting>
  <conditionalFormatting sqref="BM155:BM159">
    <cfRule type="expression" dxfId="48" priority="155">
      <formula>MOD(ROW(),2)=0</formula>
    </cfRule>
  </conditionalFormatting>
  <conditionalFormatting sqref="BN132:DK134">
    <cfRule type="expression" dxfId="47" priority="338">
      <formula>MOD(ROW(),2)=0</formula>
    </cfRule>
  </conditionalFormatting>
  <conditionalFormatting sqref="BN139:DQ139">
    <cfRule type="expression" dxfId="46" priority="221">
      <formula>MOD(ROW(),2)=0</formula>
    </cfRule>
  </conditionalFormatting>
  <conditionalFormatting sqref="BN141:DQ141">
    <cfRule type="expression" dxfId="45" priority="222">
      <formula>MOD(ROW(),2)=0</formula>
    </cfRule>
  </conditionalFormatting>
  <conditionalFormatting sqref="BQ91:CM92">
    <cfRule type="expression" dxfId="44" priority="399">
      <formula>MOD(ROW(),2)=0</formula>
    </cfRule>
  </conditionalFormatting>
  <conditionalFormatting sqref="BR88:CO89">
    <cfRule type="expression" dxfId="43" priority="400">
      <formula>MOD(ROW(),2)=0</formula>
    </cfRule>
  </conditionalFormatting>
  <conditionalFormatting sqref="BS94:BS111">
    <cfRule type="expression" dxfId="42" priority="406">
      <formula>MOD(ROW(),2)=0</formula>
    </cfRule>
  </conditionalFormatting>
  <conditionalFormatting sqref="BS126:DK130">
    <cfRule type="expression" dxfId="41" priority="335">
      <formula>MOD(ROW(),2)=0</formula>
    </cfRule>
  </conditionalFormatting>
  <conditionalFormatting sqref="BT78:BT79 CN78:CO79 BR90:CM90 BE90:BE92 CN90:CO92 BQ93:CO93">
    <cfRule type="expression" dxfId="40" priority="418">
      <formula>MOD(ROW(),2)=0</formula>
    </cfRule>
  </conditionalFormatting>
  <conditionalFormatting sqref="BT95:BT99">
    <cfRule type="expression" dxfId="39" priority="412">
      <formula>MOD(ROW(),2)=0</formula>
    </cfRule>
  </conditionalFormatting>
  <conditionalFormatting sqref="BT99:CO111">
    <cfRule type="expression" dxfId="38" priority="390">
      <formula>MOD(ROW(),2)=0</formula>
    </cfRule>
  </conditionalFormatting>
  <conditionalFormatting sqref="BU97:CO99">
    <cfRule type="expression" dxfId="37" priority="411">
      <formula>MOD(ROW(),2)=0</formula>
    </cfRule>
  </conditionalFormatting>
  <conditionalFormatting sqref="CA142:DQ144">
    <cfRule type="expression" dxfId="36" priority="320">
      <formula>MOD(ROW(),2)=0</formula>
    </cfRule>
  </conditionalFormatting>
  <conditionalFormatting sqref="CC141:CD142">
    <cfRule type="expression" dxfId="35" priority="324">
      <formula>MOD(ROW(),2)=0</formula>
    </cfRule>
  </conditionalFormatting>
  <conditionalFormatting sqref="CF112:CO122">
    <cfRule type="expression" dxfId="34" priority="370">
      <formula>MOD(ROW(),2)=0</formula>
    </cfRule>
  </conditionalFormatting>
  <conditionalFormatting sqref="CF155:DQ159">
    <cfRule type="expression" dxfId="33" priority="149">
      <formula>MOD(ROW(),2)=0</formula>
    </cfRule>
  </conditionalFormatting>
  <conditionalFormatting sqref="CI6:CN17">
    <cfRule type="expression" dxfId="32" priority="295">
      <formula>MOD(ROW(),2)=0</formula>
    </cfRule>
  </conditionalFormatting>
  <conditionalFormatting sqref="CL98">
    <cfRule type="expression" dxfId="31" priority="398">
      <formula>MOD(ROW(),2)=0</formula>
    </cfRule>
  </conditionalFormatting>
  <conditionalFormatting sqref="CL100:CL103">
    <cfRule type="expression" dxfId="30" priority="397">
      <formula>MOD(ROW(),2)=0</formula>
    </cfRule>
  </conditionalFormatting>
  <conditionalFormatting sqref="CL105">
    <cfRule type="expression" dxfId="29" priority="396">
      <formula>MOD(ROW(),2)=0</formula>
    </cfRule>
  </conditionalFormatting>
  <conditionalFormatting sqref="CM106">
    <cfRule type="expression" dxfId="28" priority="392">
      <formula>MOD(ROW(),2)=0</formula>
    </cfRule>
  </conditionalFormatting>
  <conditionalFormatting sqref="CN66:CN67">
    <cfRule type="expression" dxfId="27" priority="416">
      <formula>MOD(ROW(),2)=0</formula>
    </cfRule>
  </conditionalFormatting>
  <conditionalFormatting sqref="CN69:CN72">
    <cfRule type="expression" dxfId="26" priority="417">
      <formula>MOD(ROW(),2)=0</formula>
    </cfRule>
  </conditionalFormatting>
  <conditionalFormatting sqref="CN74:CN77">
    <cfRule type="expression" dxfId="25" priority="414">
      <formula>MOD(ROW(),2)=0</formula>
    </cfRule>
  </conditionalFormatting>
  <conditionalFormatting sqref="CO66:CO77">
    <cfRule type="expression" dxfId="24" priority="415">
      <formula>MOD(ROW(),2)=0</formula>
    </cfRule>
  </conditionalFormatting>
  <conditionalFormatting sqref="CO6:DH6">
    <cfRule type="expression" dxfId="23" priority="290">
      <formula>MOD(ROW(),2)=0</formula>
    </cfRule>
  </conditionalFormatting>
  <conditionalFormatting sqref="CQ21:DI39 DK22:DK39">
    <cfRule type="expression" dxfId="22" priority="226">
      <formula>MOD(ROW(),2)=0</formula>
    </cfRule>
  </conditionalFormatting>
  <conditionalFormatting sqref="CQ40:DK79">
    <cfRule type="expression" dxfId="21" priority="209">
      <formula>MOD(ROW(),2)=0</formula>
    </cfRule>
  </conditionalFormatting>
  <conditionalFormatting sqref="CQ97:DK124">
    <cfRule type="expression" dxfId="20" priority="195">
      <formula>MOD(ROW(),2)=0</formula>
    </cfRule>
  </conditionalFormatting>
  <conditionalFormatting sqref="CR96">
    <cfRule type="expression" dxfId="19" priority="405">
      <formula>MOD(ROW(),2)=0</formula>
    </cfRule>
  </conditionalFormatting>
  <conditionalFormatting sqref="CT96:CU96">
    <cfRule type="expression" dxfId="18" priority="404">
      <formula>MOD(ROW(),2)=0</formula>
    </cfRule>
  </conditionalFormatting>
  <conditionalFormatting sqref="DC96:DE96">
    <cfRule type="expression" dxfId="17" priority="403">
      <formula>MOD(ROW(),2)=0</formula>
    </cfRule>
  </conditionalFormatting>
  <conditionalFormatting sqref="DF88:DF97">
    <cfRule type="expression" dxfId="16" priority="377">
      <formula>MOD(ROW(),2)=0</formula>
    </cfRule>
  </conditionalFormatting>
  <conditionalFormatting sqref="DF106:DK106">
    <cfRule type="expression" dxfId="15" priority="393">
      <formula>MOD(ROW(),2)=0</formula>
    </cfRule>
  </conditionalFormatting>
  <conditionalFormatting sqref="DG88:DI90">
    <cfRule type="expression" dxfId="14" priority="385">
      <formula>MOD(ROW(),2)=0</formula>
    </cfRule>
  </conditionalFormatting>
  <conditionalFormatting sqref="DG91:DK97">
    <cfRule type="expression" dxfId="13" priority="201">
      <formula>MOD(ROW(),2)=0</formula>
    </cfRule>
  </conditionalFormatting>
  <conditionalFormatting sqref="DH81:DI87">
    <cfRule type="expression" dxfId="12" priority="387">
      <formula>MOD(ROW(),2)=0</formula>
    </cfRule>
  </conditionalFormatting>
  <conditionalFormatting sqref="DJ81:DK90">
    <cfRule type="expression" dxfId="11" priority="205">
      <formula>MOD(ROW(),2)=0</formula>
    </cfRule>
  </conditionalFormatting>
  <conditionalFormatting sqref="DJ137:DQ137">
    <cfRule type="expression" dxfId="10" priority="193">
      <formula>MOD(ROW(),2)=0</formula>
    </cfRule>
  </conditionalFormatting>
  <conditionalFormatting sqref="DK4:DO17 CO7:DI17">
    <cfRule type="expression" dxfId="9" priority="289">
      <formula>MOD(ROW(),2)=0</formula>
    </cfRule>
  </conditionalFormatting>
  <conditionalFormatting sqref="DK5:DQ20 X20:DI20">
    <cfRule type="expression" dxfId="8" priority="273">
      <formula>MOD(ROW(),2)=0</formula>
    </cfRule>
  </conditionalFormatting>
  <conditionalFormatting sqref="DL22:DL136">
    <cfRule type="expression" dxfId="7" priority="220">
      <formula>MOD(ROW(),2)=0</formula>
    </cfRule>
  </conditionalFormatting>
  <conditionalFormatting sqref="DM22:DM116">
    <cfRule type="expression" dxfId="6" priority="364">
      <formula>MOD(ROW(),2)=0</formula>
    </cfRule>
  </conditionalFormatting>
  <conditionalFormatting sqref="DM118:DM120">
    <cfRule type="expression" dxfId="5" priority="372">
      <formula>MOD(ROW(),2)=0</formula>
    </cfRule>
  </conditionalFormatting>
  <conditionalFormatting sqref="DM153:DN153">
    <cfRule type="expression" dxfId="4" priority="225">
      <formula>MOD(ROW(),2)=0</formula>
    </cfRule>
  </conditionalFormatting>
  <conditionalFormatting sqref="DM117:DQ117">
    <cfRule type="expression" dxfId="3" priority="376">
      <formula>MOD(ROW(),2)=0</formula>
    </cfRule>
  </conditionalFormatting>
  <conditionalFormatting sqref="DM152:DQ152">
    <cfRule type="expression" dxfId="2" priority="259">
      <formula>MOD(ROW(),2)=0</formula>
    </cfRule>
  </conditionalFormatting>
  <conditionalFormatting sqref="Y94:Z94">
    <cfRule type="expression" dxfId="1" priority="2">
      <formula>MOD(ROW(),2)=0</formula>
    </cfRule>
  </conditionalFormatting>
  <conditionalFormatting sqref="Y95:Z129">
    <cfRule type="expression" dxfId="0" priority="1">
      <formula>MOD(ROW(),2)=0</formula>
    </cfRule>
  </conditionalFormatting>
  <hyperlinks>
    <hyperlink ref="CM21:CM40" r:id="rId1" display="kumho3780@naver.com" xr:uid="{9F206A4C-A2B2-415A-8EAE-3FC69D9DA0E3}"/>
    <hyperlink ref="CM42" r:id="rId2" xr:uid="{4F57ACCC-ECAE-444A-9C04-BC493392A2C9}"/>
    <hyperlink ref="CM43" r:id="rId3" xr:uid="{0FF23416-B26C-4BAF-9BC0-55C986E0E8EF}"/>
    <hyperlink ref="CM44" r:id="rId4" xr:uid="{894BA99B-392E-4418-A070-1E25467D0BAD}"/>
    <hyperlink ref="CM45" r:id="rId5" xr:uid="{54146E07-C244-4CF9-819D-A51F925B0D5D}"/>
    <hyperlink ref="CM46" r:id="rId6" xr:uid="{75FD084F-D11D-45B1-A92B-0799F1AFF805}"/>
    <hyperlink ref="CM48" r:id="rId7" xr:uid="{603C4F7F-8019-4154-A432-AB1D95100D9C}"/>
    <hyperlink ref="CM50" r:id="rId8" xr:uid="{6C10806B-6672-4550-80D4-D1C8CB357393}"/>
    <hyperlink ref="CM49" r:id="rId9" display="kumho3780@naver.com" xr:uid="{DDAC1DD3-44CD-4818-B875-F9B2765F749B}"/>
    <hyperlink ref="CM55" r:id="rId10" xr:uid="{347A216F-D9DB-47FB-86E9-09DA68271EAC}"/>
    <hyperlink ref="CN49" r:id="rId11" xr:uid="{F1F4C727-64A8-49D3-AFF3-71841639D05B}"/>
    <hyperlink ref="CM52" r:id="rId12" xr:uid="{3AFAED53-AD47-4E4E-83B4-CA7007F60287}"/>
    <hyperlink ref="CM54" r:id="rId13" xr:uid="{E7097285-123B-4020-847E-A9875A96020F}"/>
    <hyperlink ref="CM57" r:id="rId14" xr:uid="{D10267DF-1DF6-4095-AFC4-7F7EB721CF63}"/>
    <hyperlink ref="CM58" r:id="rId15" xr:uid="{D8DDD097-0419-49B6-AE44-35E403CAF345}"/>
    <hyperlink ref="CN55" r:id="rId16" xr:uid="{C7D84335-B685-4DC7-83F2-ADF6190FD2FF}"/>
    <hyperlink ref="CM70" r:id="rId17" xr:uid="{74350266-0C71-407F-90F8-535DA4283870}"/>
    <hyperlink ref="CM56" r:id="rId18" xr:uid="{7E1EB93B-FC3D-4703-BFB7-597C9FC2FCC9}"/>
    <hyperlink ref="CM59" r:id="rId19" display="kumho3780@naver.com" xr:uid="{F3FC57D0-52B9-4707-BCC6-B317CF85CA4E}"/>
    <hyperlink ref="CM58:CM59" r:id="rId20" display="kumho3780@naver.com" xr:uid="{F06E5414-4D8A-4583-A4F4-3871588FB2B5}"/>
    <hyperlink ref="CM62" r:id="rId21" display="kumho3780@naver.com" xr:uid="{DF15C0F8-0F60-4AD5-B529-A6800C2446EB}"/>
    <hyperlink ref="CM67" r:id="rId22" display="kumho3780@naver.com" xr:uid="{11881512-3B44-42E6-BE07-EDB692CA5384}"/>
    <hyperlink ref="CM68" r:id="rId23" display="kumho3780@naver.com" xr:uid="{EE74AB50-58C3-4203-9335-E8B74D2A9149}"/>
    <hyperlink ref="CM64" r:id="rId24" xr:uid="{9D5C0EC1-93F5-4E7F-B66B-41B8DB5E0273}"/>
    <hyperlink ref="CM66" r:id="rId25" xr:uid="{66F521EB-CB29-4152-957A-5A4EFF4DECB5}"/>
    <hyperlink ref="CM41" r:id="rId26" xr:uid="{935F959A-9584-4821-8C78-0812393F5F5C}"/>
    <hyperlink ref="CN41" r:id="rId27" xr:uid="{A651C725-FD69-42C3-8439-D5623162CB82}"/>
    <hyperlink ref="CM69" r:id="rId28" xr:uid="{507A74E0-D1A9-45C4-BD58-406B3B063CAF}"/>
    <hyperlink ref="CM87" r:id="rId29" xr:uid="{F4C01895-44A2-4218-8048-7C34540C24C0}"/>
    <hyperlink ref="CM71" r:id="rId30" xr:uid="{76B83900-56C3-4667-9FE7-7A51F288489B}"/>
    <hyperlink ref="CM73" r:id="rId31" display="kumho3780@naver.com" xr:uid="{74CDB8BF-20E4-440B-873E-7D08FF206F12}"/>
    <hyperlink ref="CM63" r:id="rId32" display="kumho3780@naver.com" xr:uid="{15393237-0F1E-4122-8AEF-13F759148E0E}"/>
    <hyperlink ref="CM65" r:id="rId33" display="kumho3780@naver.com" xr:uid="{F4EA7208-7E86-45A9-9155-639059C7F866}"/>
    <hyperlink ref="CM83:CM87" r:id="rId34" display="kumho3780@naver.com" xr:uid="{4E04D0A8-9954-4FE9-A8F0-C8D764024DFC}"/>
    <hyperlink ref="CM89" r:id="rId35" xr:uid="{921D62A5-0F89-4E76-842B-C51AE9C2F082}"/>
    <hyperlink ref="CM77" r:id="rId36" xr:uid="{AED78E31-2752-4168-8B91-024003593E3F}"/>
    <hyperlink ref="CM78" r:id="rId37" xr:uid="{BDDA3BB8-EA8D-4AF0-85E9-23BC4C5C0B94}"/>
    <hyperlink ref="CM79" r:id="rId38" display="serim@serimbng.co.kr" xr:uid="{9A967395-493C-4FE8-A7FE-B089B996C54C}"/>
    <hyperlink ref="CM81" r:id="rId39" xr:uid="{6012FD6B-80BD-408D-BB2A-F4E3FBBE17FA}"/>
    <hyperlink ref="CM90" r:id="rId40" xr:uid="{D0F01B3B-9AC1-4A4C-AE07-AB59B7925797}"/>
    <hyperlink ref="CM92" r:id="rId41" xr:uid="{39D64CE4-0475-4876-8EB6-3DA036B697E6}"/>
    <hyperlink ref="CM91" r:id="rId42" xr:uid="{C784D03D-0FE2-464C-B90D-2CFFBAC980E8}"/>
    <hyperlink ref="CN76" r:id="rId43" xr:uid="{83BF2122-CB06-44D3-B550-19154E9B63D7}"/>
    <hyperlink ref="CM76" r:id="rId44" xr:uid="{A76CB2CC-C6E2-430E-A4C9-AEC9C4D6514A}"/>
    <hyperlink ref="CM51" r:id="rId45" xr:uid="{765BFA0F-11A1-421E-996F-A236E252C0E3}"/>
    <hyperlink ref="CM93" r:id="rId46" xr:uid="{FFA742C5-C2C0-41C1-BB98-5C04A81991FD}"/>
    <hyperlink ref="CM95" r:id="rId47" display="shtel124@shtel.co.kr" xr:uid="{DE8864DC-C8F6-42FE-803E-A5DD312AB8BD}"/>
    <hyperlink ref="CM101" r:id="rId48" xr:uid="{0BF33DAB-B12F-4B2D-A8D9-6CF6BB209EC9}"/>
    <hyperlink ref="CM102" r:id="rId49" xr:uid="{2121C3BD-0A8C-4BD4-90DB-23B36A24D403}"/>
    <hyperlink ref="CM47" r:id="rId50" xr:uid="{31BEF980-3557-4E72-83AB-ADAD44C7E01F}"/>
    <hyperlink ref="CM103" r:id="rId51" xr:uid="{F90F8190-A546-4D3B-B5CE-A21AE41F12FF}"/>
    <hyperlink ref="CM105" r:id="rId52" xr:uid="{D40E186A-E872-4F5B-9960-001AD3D9B087}"/>
    <hyperlink ref="CM104" r:id="rId53" xr:uid="{7107D2D8-4C91-4A22-9467-7EF03E026D66}"/>
    <hyperlink ref="CM107" r:id="rId54" xr:uid="{8181DB0A-AA2E-42D7-960A-0F23B11E2167}"/>
    <hyperlink ref="CM108" r:id="rId55" xr:uid="{9B72D085-5254-45B0-A5B3-8A910A8F8956}"/>
    <hyperlink ref="CM40" r:id="rId56" xr:uid="{AD39A9BD-EAA1-4E10-BAFD-658DE618C317}"/>
    <hyperlink ref="CN40" r:id="rId57" xr:uid="{20E8C093-023C-4A0F-882F-AE07DF223ABB}"/>
    <hyperlink ref="CN88" r:id="rId58" xr:uid="{9167CD67-1BCC-4BFC-8C78-24AD9F3D98AA}"/>
    <hyperlink ref="CM88" r:id="rId59" xr:uid="{70941D4A-FF30-42FA-83C5-A2393A9D4F78}"/>
    <hyperlink ref="CM109" r:id="rId60" xr:uid="{E762EDAD-8016-4A1C-9083-DFA4FC0DFAB6}"/>
    <hyperlink ref="CM110" r:id="rId61" xr:uid="{2B41BE13-EEB7-43AF-B96A-AB5BA5AE6F33}"/>
    <hyperlink ref="CN112" r:id="rId62" xr:uid="{138DC75B-14CF-49BB-ADB4-8AF9FF88CC10}"/>
    <hyperlink ref="CM113" r:id="rId63" xr:uid="{BAD5D8C4-9592-4D1F-B0DA-0C67F3F6EEFC}"/>
    <hyperlink ref="CM114" r:id="rId64" display="kumho3780@naver.com" xr:uid="{96B4955A-64B0-46EB-A0A5-EB1ABED13CEF}"/>
    <hyperlink ref="CM115" r:id="rId65" xr:uid="{D1864B96-E37E-4A6D-A757-609610804E52}"/>
    <hyperlink ref="CM117" r:id="rId66" xr:uid="{5ECE7F9A-3A64-447C-8DE3-5C4657101870}"/>
    <hyperlink ref="CM116" r:id="rId67" xr:uid="{6A55FFA1-297D-4936-8640-D6648623599E}"/>
    <hyperlink ref="CM118" r:id="rId68" xr:uid="{56F9BFCC-1310-452B-936F-1F6364A65307}"/>
    <hyperlink ref="CM119" r:id="rId69" xr:uid="{EBB51822-7064-4686-850B-E740CC72AE24}"/>
    <hyperlink ref="CM120" r:id="rId70" xr:uid="{07C5103A-248E-4466-B9E7-AEA4C5ACE929}"/>
    <hyperlink ref="CM100" r:id="rId71" xr:uid="{9F9312FC-C2FC-4F22-AED3-05CA604234AB}"/>
    <hyperlink ref="CM122" r:id="rId72" xr:uid="{7C95E6B6-687B-476A-8269-77328F9CBE4A}"/>
    <hyperlink ref="CM123" r:id="rId73" xr:uid="{41D96393-017C-42E6-88B7-441CE2B3566D}"/>
    <hyperlink ref="CM125" r:id="rId74" xr:uid="{A5279C9C-2B04-4D6C-91F9-9CC013F065FB}"/>
    <hyperlink ref="CM124" r:id="rId75" xr:uid="{2354797C-648F-4CE4-8D2D-CC691B3858D0}"/>
    <hyperlink ref="CM131" r:id="rId76" xr:uid="{46DA6FC3-3A47-4F55-8424-EEB65E83B72E}"/>
    <hyperlink ref="CM126" r:id="rId77" display="ametech1@wehago.com" xr:uid="{2434337A-9F31-44F7-B345-9344D94A7CC7}"/>
    <hyperlink ref="CM127" r:id="rId78" display="ametech1@wehago.com" xr:uid="{57A655A6-AEF0-49DE-BCA1-5A159A35685B}"/>
    <hyperlink ref="CM130" r:id="rId79" xr:uid="{2F9BD91D-8DB3-4086-BC42-C11C0E5B08F9}"/>
    <hyperlink ref="CM132" r:id="rId80" xr:uid="{DE76A889-B0AE-48F9-9FD5-FB3816A3E14C}"/>
    <hyperlink ref="CM133" r:id="rId81" display="ametech1@wehago.com" xr:uid="{73F5A27B-9B80-41C8-B231-3454A9DA602E}"/>
    <hyperlink ref="CM134" r:id="rId82" display="ametech1@wehago.com" xr:uid="{28DAD06E-FA03-4524-BD54-FB58AD144FFE}"/>
    <hyperlink ref="CN128" r:id="rId83" xr:uid="{BAC6218B-8B59-4956-8224-22FD4F61CB2B}"/>
    <hyperlink ref="CN123" r:id="rId84" xr:uid="{737AA034-D997-4391-92E2-A2B3B1824934}"/>
    <hyperlink ref="CM128" r:id="rId85" xr:uid="{7764FECC-70DC-42AB-944C-C9657CF55677}"/>
    <hyperlink ref="CN135" r:id="rId86" xr:uid="{B02D6BF0-C31D-4F8A-BD91-26272407E464}"/>
    <hyperlink ref="CM136" r:id="rId87" xr:uid="{323EEBAE-258F-41BE-A4B1-C3701DCB6529}"/>
    <hyperlink ref="CM137" r:id="rId88" xr:uid="{EC7F1268-EDF4-449C-9720-F920A0B351B6}"/>
    <hyperlink ref="CM138" r:id="rId89" xr:uid="{43F278A9-A4F4-4B05-BA92-E0ECE6811331}"/>
    <hyperlink ref="CM139" r:id="rId90" xr:uid="{EAD9B1BA-60AE-47AF-B038-76965C8B5361}"/>
    <hyperlink ref="CM140" r:id="rId91" xr:uid="{9347D91B-6A4C-4348-B232-A27A60BAFDAB}"/>
    <hyperlink ref="CM141" r:id="rId92" xr:uid="{AC5BF344-3B77-447F-B4D6-112630EB3E6B}"/>
    <hyperlink ref="CN143" r:id="rId93" xr:uid="{26EB1549-CF95-4CFE-9838-E1BB512EA786}"/>
    <hyperlink ref="CM143" r:id="rId94" xr:uid="{5CAA7C6D-5C9E-4EA3-9C8D-B8AFDB32FEAC}"/>
    <hyperlink ref="CM144" r:id="rId95" xr:uid="{3BB935B0-86F5-4EC0-B93C-0AA5735B0FBB}"/>
    <hyperlink ref="CM145" r:id="rId96" xr:uid="{6C914276-B7E6-4A31-A404-BF93C6DDA781}"/>
    <hyperlink ref="CM148" r:id="rId97" xr:uid="{BBAD59CA-14D9-4E93-8F9D-B933ECBC008A}"/>
    <hyperlink ref="CM149" r:id="rId98" xr:uid="{7FA391B3-6C02-4220-BD11-7B60B187C204}"/>
    <hyperlink ref="CM147" r:id="rId99" xr:uid="{180BE85B-023F-4F5E-8D92-99891DA17D81}"/>
    <hyperlink ref="CM146" r:id="rId100" xr:uid="{0E6F4918-9832-4C8B-8417-4BF84D951B5D}"/>
    <hyperlink ref="CM112" r:id="rId101" xr:uid="{D3E1135E-E9C4-48D1-969E-EFD9F09956D5}"/>
    <hyperlink ref="CM135" r:id="rId102" display="mailto:bdlee@hwawoo.com" xr:uid="{5C0A9655-A349-49F1-91B1-D5F568D8D04C}"/>
    <hyperlink ref="CM151" r:id="rId103" xr:uid="{6F757E1C-D4FD-4FD5-986F-3A50FAA2A2CE}"/>
    <hyperlink ref="CM80" r:id="rId104" display="serim@serimbng.co.kr" xr:uid="{9CFDD26E-2163-4232-9E92-AA96DCA8B963}"/>
    <hyperlink ref="CM152" r:id="rId105" xr:uid="{717CC150-15A7-461B-BED6-84169B3A9125}"/>
    <hyperlink ref="CM153" r:id="rId106" xr:uid="{DC14C333-3662-47B8-98D2-C9D67D1958C6}"/>
    <hyperlink ref="CM159" r:id="rId107" xr:uid="{18D86E91-5680-4C47-9C56-DA17D3A8ECCA}"/>
    <hyperlink ref="CM155" r:id="rId108" xr:uid="{2973822F-1E74-4B8F-865D-C31DD7AD1EC6}"/>
    <hyperlink ref="CM156" r:id="rId109" xr:uid="{8812B44E-F3B6-46FA-832E-8807D9CB6D8D}"/>
    <hyperlink ref="CM157" r:id="rId110" xr:uid="{A2421498-C00E-4F53-9908-8B7F4D6D1BE0}"/>
    <hyperlink ref="CM158" r:id="rId111" xr:uid="{45301A09-3CC0-4C60-86B6-DD5C9E47FE35}"/>
    <hyperlink ref="CM150" r:id="rId112" xr:uid="{B55B4B59-0C93-423F-A9F7-1A457E13C7B3}"/>
    <hyperlink ref="CN126" r:id="rId113" xr:uid="{5114F9DA-AB9D-436A-B7F8-EFD82B1C1604}"/>
    <hyperlink ref="CN127" r:id="rId114" display="ametech1@wehago.com" xr:uid="{4F6BFA4E-78FF-4EF7-8A02-5773DF57714F}"/>
    <hyperlink ref="CN160" r:id="rId115" xr:uid="{BB101058-4078-453F-8CBF-A11EEB89E9B7}"/>
    <hyperlink ref="CM160" r:id="rId116" xr:uid="{9E012E3F-E8BB-4FA2-AF20-A5929834452A}"/>
    <hyperlink ref="CM162" r:id="rId117" display="ametech1@wehago.com" xr:uid="{68956940-B0E9-4A51-ACF3-2F94E9EB0CCD}"/>
    <hyperlink ref="CM163" r:id="rId118" display="kumho3780@naver.com" xr:uid="{8A197A56-1B85-4954-BDE1-A586E925A3E6}"/>
    <hyperlink ref="CM53" r:id="rId119" xr:uid="{FE75556F-46B7-470A-ABD5-1F1FD819AE68}"/>
    <hyperlink ref="CN53" r:id="rId120" xr:uid="{A1A9399B-96C3-4A38-A455-5CD08E7882D7}"/>
    <hyperlink ref="CM165" r:id="rId121" display="ametech1@wehago.com" xr:uid="{1A3B53B6-33F9-46D8-BEC3-F7890936D7CC}"/>
    <hyperlink ref="CM164" r:id="rId122" xr:uid="{8FE36951-B4BD-4092-A40B-596F226F6049}"/>
    <hyperlink ref="CM166" r:id="rId123" xr:uid="{97B34E70-73D8-454C-BC33-02401F7DDD9C}"/>
    <hyperlink ref="CN166" r:id="rId124" xr:uid="{5C57E53F-9121-4AE3-A8E9-52C5D0AD8E90}"/>
    <hyperlink ref="CM167" r:id="rId125" xr:uid="{ED8E2BD8-C306-4A7E-8B9E-E6A94F039DC1}"/>
    <hyperlink ref="CM168" r:id="rId126" xr:uid="{76B93964-AD2D-4137-AC6C-195A864DE782}"/>
  </hyperlinks>
  <printOptions horizontalCentered="1" verticalCentered="1"/>
  <pageMargins left="0.25" right="0.25" top="0.75" bottom="0.75" header="0.3" footer="0.3"/>
  <pageSetup paperSize="9" scale="10" orientation="landscape" r:id="rId1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DB_렌트_차량관리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DOOSIK LEE</dc:creator>
  <cp:keywords/>
  <dc:description/>
  <cp:lastModifiedBy>Rent Benefit</cp:lastModifiedBy>
  <cp:revision/>
  <cp:lastPrinted>2026-03-12T04:33:07Z</cp:lastPrinted>
  <dcterms:created xsi:type="dcterms:W3CDTF">2021-10-13T09:42:26Z</dcterms:created>
  <dcterms:modified xsi:type="dcterms:W3CDTF">2026-08-18T10:11:39Z</dcterms:modified>
  <cp:category/>
  <cp:contentStatus/>
</cp:coreProperties>
</file>