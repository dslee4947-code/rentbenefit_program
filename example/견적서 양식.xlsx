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dibenefit-my.sharepoint.com/personal/rent_sdibenefit_com/Documents/rentbenefit/rentbenefit_program/example/"/>
    </mc:Choice>
  </mc:AlternateContent>
  <xr:revisionPtr revIDLastSave="8" documentId="13_ncr:1_{DF7A4611-7950-4002-A141-D40E13DB9E62}" xr6:coauthVersionLast="47" xr6:coauthVersionMax="47" xr10:uidLastSave="{69209416-32CA-4CA5-8498-70CEC7D1A5EF}"/>
  <bookViews>
    <workbookView xWindow="-110" yWindow="-110" windowWidth="38620" windowHeight="21100" xr2:uid="{00000000-000D-0000-FFFF-FFFF00000000}"/>
  </bookViews>
  <sheets>
    <sheet name="고객용 (3)" sheetId="22" r:id="rId1"/>
    <sheet name="고객용" sheetId="11" r:id="rId2"/>
    <sheet name="견적서 보고용" sheetId="10" r:id="rId3"/>
    <sheet name="차량 옵션비교표" sheetId="15" r:id="rId4"/>
    <sheet name="렌트 리스 비교표" sheetId="18" r:id="rId5"/>
    <sheet name="메모 양식" sheetId="13" r:id="rId6"/>
    <sheet name="렌트 견적 비교" sheetId="12" r:id="rId7"/>
    <sheet name="기본 정비내용" sheetId="20" r:id="rId8"/>
    <sheet name="Sheet2" sheetId="21" r:id="rId9"/>
  </sheets>
  <externalReferences>
    <externalReference r:id="rId10"/>
    <externalReference r:id="rId11"/>
  </externalReferences>
  <definedNames>
    <definedName name="_xlnm.Print_Area" localSheetId="4">'렌트 리스 비교표'!$A$1:$F$20</definedName>
    <definedName name="법개" localSheetId="7">[1]목록상자!$D$2:$D$3</definedName>
    <definedName name="법개">[2]목록상자!$D$2:$D$3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0" l="1"/>
  <c r="E40" i="10" l="1"/>
  <c r="E38" i="10"/>
  <c r="E36" i="10"/>
  <c r="E7" i="10"/>
  <c r="E28" i="10"/>
  <c r="T7" i="10"/>
  <c r="T28" i="10"/>
  <c r="O7" i="10"/>
  <c r="J7" i="10"/>
  <c r="J28" i="10"/>
  <c r="Z37" i="22"/>
  <c r="S8" i="22"/>
  <c r="S6" i="22"/>
  <c r="Y42" i="22"/>
  <c r="Y44" i="22"/>
  <c r="Y43" i="22"/>
  <c r="Y41" i="22"/>
  <c r="F8" i="21"/>
  <c r="F9" i="21"/>
  <c r="F10" i="21"/>
  <c r="F11" i="21"/>
  <c r="F12" i="21"/>
  <c r="F14" i="21"/>
  <c r="F15" i="21"/>
  <c r="F16" i="21"/>
  <c r="F17" i="21"/>
  <c r="F18" i="21"/>
  <c r="F19" i="21"/>
  <c r="F20" i="21"/>
  <c r="F21" i="21"/>
  <c r="F22" i="21"/>
  <c r="E9" i="21"/>
  <c r="E10" i="21"/>
  <c r="E18" i="21"/>
  <c r="F3" i="21"/>
  <c r="E7" i="21"/>
  <c r="F7" i="21"/>
  <c r="D20" i="20"/>
  <c r="E22" i="21"/>
  <c r="E14" i="21"/>
  <c r="E21" i="21"/>
  <c r="E20" i="21"/>
  <c r="E12" i="21"/>
  <c r="E13" i="21"/>
  <c r="F13" i="21"/>
  <c r="F23" i="21"/>
  <c r="E19" i="21"/>
  <c r="E11" i="21"/>
  <c r="E17" i="21"/>
  <c r="E16" i="21"/>
  <c r="E8" i="21"/>
  <c r="E15" i="21"/>
  <c r="T33" i="11"/>
  <c r="E10" i="11"/>
  <c r="E24" i="10"/>
  <c r="V22" i="15"/>
  <c r="V11" i="15"/>
  <c r="K15" i="15"/>
  <c r="K22" i="15"/>
  <c r="K23" i="15"/>
  <c r="AS13" i="10"/>
  <c r="AN13" i="10"/>
  <c r="AI13" i="10"/>
  <c r="D26" i="11"/>
  <c r="D24" i="11"/>
  <c r="D22" i="11"/>
  <c r="D20" i="11"/>
  <c r="Z37" i="11"/>
  <c r="Y42" i="11"/>
  <c r="E9" i="11"/>
  <c r="I8" i="13"/>
  <c r="E8" i="11"/>
  <c r="L5" i="13"/>
  <c r="S26" i="11"/>
  <c r="V26" i="11"/>
  <c r="P26" i="11"/>
  <c r="B25" i="11"/>
  <c r="L6" i="13"/>
  <c r="E20" i="18"/>
  <c r="D20" i="18"/>
  <c r="C20" i="18"/>
  <c r="B20" i="18"/>
  <c r="E19" i="18"/>
  <c r="D19" i="18"/>
  <c r="C19" i="18"/>
  <c r="B19" i="18"/>
  <c r="A3" i="18"/>
  <c r="B4" i="18"/>
  <c r="E6" i="15"/>
  <c r="D11" i="18"/>
  <c r="C11" i="18"/>
  <c r="B11" i="18"/>
  <c r="C3" i="18"/>
  <c r="S8" i="11"/>
  <c r="AT21" i="10"/>
  <c r="U4" i="10"/>
  <c r="AP21" i="10"/>
  <c r="E14" i="10"/>
  <c r="AL21" i="10"/>
  <c r="AH21" i="10"/>
  <c r="AD21" i="10"/>
  <c r="E31" i="12"/>
  <c r="Q19" i="12"/>
  <c r="Q22" i="12"/>
  <c r="K22" i="12"/>
  <c r="E22" i="12"/>
  <c r="Q25" i="12"/>
  <c r="L9" i="13"/>
  <c r="I9" i="13"/>
  <c r="F9" i="13"/>
  <c r="C9" i="13"/>
  <c r="L7" i="13"/>
  <c r="I7" i="13"/>
  <c r="F7" i="13"/>
  <c r="C7" i="13"/>
  <c r="AD24" i="10"/>
  <c r="E14" i="12"/>
  <c r="K25" i="12"/>
  <c r="E13" i="12"/>
  <c r="S6" i="12"/>
  <c r="J32" i="10"/>
  <c r="O32" i="10"/>
  <c r="T32" i="10"/>
  <c r="E12" i="18"/>
  <c r="E32" i="10"/>
  <c r="B23" i="11"/>
  <c r="I6" i="13"/>
  <c r="B21" i="11"/>
  <c r="F6" i="13"/>
  <c r="B19" i="11"/>
  <c r="E7" i="11"/>
  <c r="E6" i="11"/>
  <c r="E6" i="12"/>
  <c r="E25" i="10"/>
  <c r="J25" i="10"/>
  <c r="O25" i="10"/>
  <c r="T25" i="10"/>
  <c r="S6" i="11"/>
  <c r="S24" i="11"/>
  <c r="S22" i="11"/>
  <c r="P24" i="11"/>
  <c r="P22" i="11"/>
  <c r="V24" i="11"/>
  <c r="V22" i="11"/>
  <c r="V20" i="11"/>
  <c r="S20" i="11"/>
  <c r="P20" i="11"/>
  <c r="J14" i="10"/>
  <c r="Q24" i="12"/>
  <c r="Y23" i="11"/>
  <c r="I15" i="13"/>
  <c r="K24" i="12"/>
  <c r="Y21" i="11"/>
  <c r="F15" i="13"/>
  <c r="Y19" i="11"/>
  <c r="C15" i="13"/>
  <c r="T14" i="10"/>
  <c r="B12" i="18"/>
  <c r="B13" i="18"/>
  <c r="O14" i="10"/>
  <c r="L8" i="13"/>
  <c r="K3" i="13"/>
  <c r="C5" i="13"/>
  <c r="F5" i="13"/>
  <c r="C8" i="13"/>
  <c r="I5" i="13"/>
  <c r="F8" i="13"/>
  <c r="E3" i="13"/>
  <c r="H3" i="13"/>
  <c r="E23" i="12"/>
  <c r="E30" i="12"/>
  <c r="I19" i="11"/>
  <c r="C11" i="13"/>
  <c r="C6" i="13"/>
  <c r="I21" i="11"/>
  <c r="F11" i="13"/>
  <c r="AI16" i="10"/>
  <c r="E42" i="10"/>
  <c r="AD16" i="10"/>
  <c r="I25" i="11"/>
  <c r="L11" i="13"/>
  <c r="AS16" i="10"/>
  <c r="Y44" i="11"/>
  <c r="Y43" i="11"/>
  <c r="Y41" i="11"/>
  <c r="O24" i="10"/>
  <c r="J24" i="10"/>
  <c r="Q23" i="12"/>
  <c r="Q30" i="12"/>
  <c r="AN16" i="10"/>
  <c r="O42" i="10"/>
  <c r="I23" i="11"/>
  <c r="I11" i="13"/>
  <c r="V23" i="15"/>
  <c r="V24" i="15"/>
  <c r="D12" i="18"/>
  <c r="C12" i="18"/>
  <c r="K23" i="12"/>
  <c r="K30" i="12"/>
  <c r="J42" i="10"/>
  <c r="AD13" i="10"/>
  <c r="T24" i="10"/>
  <c r="O36" i="10"/>
  <c r="B3" i="13"/>
  <c r="C13" i="18"/>
  <c r="D13" i="18"/>
  <c r="O38" i="10"/>
  <c r="S27" i="12"/>
  <c r="AI2" i="10"/>
  <c r="D6" i="18"/>
  <c r="AN2" i="10"/>
  <c r="L23" i="11"/>
  <c r="P23" i="11"/>
  <c r="I12" i="13"/>
  <c r="O40" i="10"/>
  <c r="O16" i="10"/>
  <c r="O9" i="10"/>
  <c r="O11" i="10"/>
  <c r="AN6" i="10"/>
  <c r="E9" i="10"/>
  <c r="E11" i="10"/>
  <c r="E22" i="10"/>
  <c r="T40" i="10"/>
  <c r="L25" i="11"/>
  <c r="V25" i="11"/>
  <c r="L14" i="13"/>
  <c r="T38" i="10"/>
  <c r="J40" i="10"/>
  <c r="J16" i="10"/>
  <c r="B6" i="18"/>
  <c r="L19" i="11"/>
  <c r="C10" i="13"/>
  <c r="AD2" i="10"/>
  <c r="J36" i="10"/>
  <c r="M26" i="12"/>
  <c r="K26" i="12"/>
  <c r="L21" i="11"/>
  <c r="S21" i="11"/>
  <c r="F13" i="13"/>
  <c r="E16" i="10"/>
  <c r="B9" i="18"/>
  <c r="J9" i="10"/>
  <c r="J11" i="10"/>
  <c r="J22" i="10"/>
  <c r="AS2" i="10"/>
  <c r="AS31" i="10"/>
  <c r="C6" i="18"/>
  <c r="J38" i="10"/>
  <c r="T9" i="10"/>
  <c r="T11" i="10"/>
  <c r="E6" i="18"/>
  <c r="T36" i="10"/>
  <c r="E9" i="18"/>
  <c r="D9" i="18"/>
  <c r="S26" i="12"/>
  <c r="E8" i="18"/>
  <c r="T16" i="10"/>
  <c r="D7" i="18"/>
  <c r="C8" i="18"/>
  <c r="E7" i="18"/>
  <c r="B7" i="18"/>
  <c r="D8" i="18"/>
  <c r="V23" i="11"/>
  <c r="I14" i="13"/>
  <c r="I10" i="13"/>
  <c r="S23" i="11"/>
  <c r="I13" i="13"/>
  <c r="O22" i="10"/>
  <c r="O21" i="10"/>
  <c r="E21" i="10"/>
  <c r="E13" i="10"/>
  <c r="AD6" i="10"/>
  <c r="S28" i="12"/>
  <c r="Q28" i="12"/>
  <c r="O43" i="10"/>
  <c r="L10" i="13"/>
  <c r="P25" i="11"/>
  <c r="L12" i="13"/>
  <c r="S25" i="11"/>
  <c r="L13" i="13"/>
  <c r="M28" i="12"/>
  <c r="K28" i="12"/>
  <c r="P19" i="11"/>
  <c r="C12" i="13"/>
  <c r="V19" i="11"/>
  <c r="C14" i="13"/>
  <c r="S19" i="11"/>
  <c r="C13" i="13"/>
  <c r="J43" i="10"/>
  <c r="C9" i="18"/>
  <c r="J21" i="10"/>
  <c r="J13" i="10"/>
  <c r="AI6" i="10"/>
  <c r="F10" i="13"/>
  <c r="V21" i="11"/>
  <c r="F14" i="13"/>
  <c r="E43" i="10"/>
  <c r="P21" i="11"/>
  <c r="F12" i="13"/>
  <c r="B8" i="18"/>
  <c r="G28" i="12"/>
  <c r="E29" i="12"/>
  <c r="T22" i="10"/>
  <c r="AS6" i="10"/>
  <c r="T21" i="10"/>
  <c r="M27" i="12"/>
  <c r="K27" i="12"/>
  <c r="C7" i="18"/>
  <c r="Q26" i="12"/>
  <c r="Q27" i="12"/>
  <c r="C5" i="18"/>
  <c r="O13" i="10"/>
  <c r="O12" i="10"/>
  <c r="B14" i="18"/>
  <c r="B5" i="18"/>
  <c r="E14" i="18"/>
  <c r="E5" i="18"/>
  <c r="D5" i="18"/>
  <c r="T13" i="10"/>
  <c r="T12" i="10"/>
  <c r="D10" i="18"/>
  <c r="E18" i="10"/>
  <c r="E17" i="10" s="1"/>
  <c r="D14" i="18"/>
  <c r="E10" i="18"/>
  <c r="B10" i="18"/>
  <c r="J15" i="10"/>
  <c r="J19" i="10"/>
  <c r="Q29" i="12"/>
  <c r="Q31" i="12"/>
  <c r="E12" i="10"/>
  <c r="E28" i="12"/>
  <c r="C14" i="18"/>
  <c r="C10" i="18"/>
  <c r="K29" i="12"/>
  <c r="K31" i="12"/>
  <c r="J12" i="10"/>
  <c r="O15" i="10"/>
  <c r="O19" i="10"/>
  <c r="O30" i="10"/>
  <c r="O44" i="10"/>
  <c r="B17" i="18"/>
  <c r="T15" i="10"/>
  <c r="T19" i="10"/>
  <c r="D17" i="18"/>
  <c r="J18" i="10"/>
  <c r="J17" i="10"/>
  <c r="E19" i="10"/>
  <c r="E30" i="10"/>
  <c r="E44" i="10"/>
  <c r="AD31" i="10"/>
  <c r="C17" i="18"/>
  <c r="AN31" i="10"/>
  <c r="O18" i="10"/>
  <c r="O17" i="10"/>
  <c r="C18" i="18"/>
  <c r="D18" i="18"/>
  <c r="T18" i="10"/>
  <c r="T17" i="10"/>
  <c r="J30" i="10"/>
  <c r="J44" i="10"/>
  <c r="AI31" i="10"/>
  <c r="T30" i="10"/>
  <c r="T43" i="10"/>
  <c r="T42" i="10"/>
  <c r="T41" i="10"/>
  <c r="E11" i="18"/>
  <c r="E13" i="18"/>
  <c r="E17" i="18"/>
  <c r="E18" i="18"/>
  <c r="Y25" i="11"/>
  <c r="L15" i="13"/>
</calcChain>
</file>

<file path=xl/sharedStrings.xml><?xml version="1.0" encoding="utf-8"?>
<sst xmlns="http://schemas.openxmlformats.org/spreadsheetml/2006/main" count="519" uniqueCount="326">
  <si>
    <t>장기렌터카 견적서</t>
    <phoneticPr fontId="1" type="noConversion"/>
  </si>
  <si>
    <t>고객명</t>
    <phoneticPr fontId="1" type="noConversion"/>
  </si>
  <si>
    <t>작 성 일</t>
    <phoneticPr fontId="1" type="noConversion"/>
  </si>
  <si>
    <t>법인 / 개인</t>
    <phoneticPr fontId="1" type="noConversion"/>
  </si>
  <si>
    <t>견적서 보관 기간</t>
    <phoneticPr fontId="1" type="noConversion"/>
  </si>
  <si>
    <t>작성일로부터 10일 간 보관</t>
    <phoneticPr fontId="1" type="noConversion"/>
  </si>
  <si>
    <t>렌트베네핏</t>
    <phoneticPr fontId="1" type="noConversion"/>
  </si>
  <si>
    <t>담 당 자</t>
    <phoneticPr fontId="1" type="noConversion"/>
  </si>
  <si>
    <t>이두식 팀장</t>
    <phoneticPr fontId="1" type="noConversion"/>
  </si>
  <si>
    <t>연 락 처</t>
    <phoneticPr fontId="1" type="noConversion"/>
  </si>
  <si>
    <t>TEL</t>
    <phoneticPr fontId="1" type="noConversion"/>
  </si>
  <si>
    <t>02-547-0303 / 010-9061-3000</t>
    <phoneticPr fontId="1" type="noConversion"/>
  </si>
  <si>
    <t>FAX</t>
    <phoneticPr fontId="1" type="noConversion"/>
  </si>
  <si>
    <t>02-529-3303</t>
    <phoneticPr fontId="1" type="noConversion"/>
  </si>
  <si>
    <t>E-Mail</t>
    <phoneticPr fontId="1" type="noConversion"/>
  </si>
  <si>
    <t>rent@sdibenefit.com</t>
    <phoneticPr fontId="1" type="noConversion"/>
  </si>
  <si>
    <r>
      <rPr>
        <sz val="6"/>
        <color theme="1"/>
        <rFont val="Calibri"/>
        <family val="3"/>
      </rPr>
      <t xml:space="preserve"> </t>
    </r>
    <r>
      <rPr>
        <sz val="6"/>
        <color theme="1"/>
        <rFont val="Wingdings"/>
        <family val="3"/>
        <charset val="2"/>
      </rPr>
      <t></t>
    </r>
    <r>
      <rPr>
        <sz val="6"/>
        <color theme="1"/>
        <rFont val="맑은 고딕"/>
        <family val="3"/>
        <charset val="129"/>
      </rPr>
      <t>매출액</t>
    </r>
    <r>
      <rPr>
        <sz val="6"/>
        <color theme="1"/>
        <rFont val="Calibri"/>
        <family val="3"/>
      </rPr>
      <t xml:space="preserve"> 10</t>
    </r>
    <r>
      <rPr>
        <sz val="6"/>
        <color theme="1"/>
        <rFont val="맑은 고딕"/>
        <family val="3"/>
        <charset val="129"/>
      </rPr>
      <t>억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이하인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경우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및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최근</t>
    </r>
    <r>
      <rPr>
        <sz val="6"/>
        <color theme="1"/>
        <rFont val="Calibri"/>
        <family val="3"/>
      </rPr>
      <t xml:space="preserve"> 2</t>
    </r>
    <r>
      <rPr>
        <sz val="6"/>
        <color theme="1"/>
        <rFont val="맑은 고딕"/>
        <family val="3"/>
        <charset val="129"/>
      </rPr>
      <t>개년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재무제표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미제출시에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한함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Wingdings"/>
        <family val="3"/>
        <charset val="2"/>
      </rPr>
      <t></t>
    </r>
    <r>
      <rPr>
        <sz val="6"/>
        <color theme="1"/>
        <rFont val="Calibri"/>
        <family val="3"/>
      </rPr>
      <t xml:space="preserve">
 1. </t>
    </r>
    <r>
      <rPr>
        <sz val="6"/>
        <color theme="1"/>
        <rFont val="맑은 고딕"/>
        <family val="3"/>
        <charset val="129"/>
      </rPr>
      <t>기업의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신용도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판단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목적으로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대표자의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개인신용정보를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조회할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경우</t>
    </r>
    <r>
      <rPr>
        <sz val="6"/>
        <color theme="1"/>
        <rFont val="Calibri"/>
        <family val="3"/>
      </rPr>
      <t xml:space="preserve">, </t>
    </r>
    <r>
      <rPr>
        <sz val="6"/>
        <color theme="1"/>
        <rFont val="맑은 고딕"/>
        <family val="3"/>
        <charset val="129"/>
      </rPr>
      <t>렌트베네핏은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해당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기업의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대표자에게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조회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사실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및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이유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등을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사전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고지해야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합니다</t>
    </r>
    <r>
      <rPr>
        <sz val="6"/>
        <color theme="1"/>
        <rFont val="Calibri"/>
        <family val="3"/>
      </rPr>
      <t xml:space="preserve">. 
 2. </t>
    </r>
    <r>
      <rPr>
        <sz val="6"/>
        <color theme="1"/>
        <rFont val="맑은 고딕"/>
        <family val="3"/>
        <charset val="129"/>
      </rPr>
      <t>렌트베네핏에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상품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견적을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요청한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업무담당자께서는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귀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사의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대표자에게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신용조회가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발생할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수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있음을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반드시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사전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보고해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주시기</t>
    </r>
    <r>
      <rPr>
        <sz val="6"/>
        <color theme="1"/>
        <rFont val="Calibri"/>
        <family val="3"/>
      </rPr>
      <t xml:space="preserve"> </t>
    </r>
    <r>
      <rPr>
        <sz val="6"/>
        <color theme="1"/>
        <rFont val="맑은 고딕"/>
        <family val="3"/>
        <charset val="129"/>
      </rPr>
      <t>바랍니다</t>
    </r>
    <r>
      <rPr>
        <sz val="6"/>
        <color theme="1"/>
        <rFont val="Calibri"/>
        <family val="3"/>
      </rPr>
      <t>.</t>
    </r>
    <phoneticPr fontId="1" type="noConversion"/>
  </si>
  <si>
    <t>구분</t>
    <phoneticPr fontId="1" type="noConversion"/>
  </si>
  <si>
    <t>차종</t>
    <phoneticPr fontId="1" type="noConversion"/>
  </si>
  <si>
    <t>수량</t>
    <phoneticPr fontId="1" type="noConversion"/>
  </si>
  <si>
    <t>계약기간</t>
    <phoneticPr fontId="1" type="noConversion"/>
  </si>
  <si>
    <t>차량가격</t>
    <phoneticPr fontId="1" type="noConversion"/>
  </si>
  <si>
    <t>보증금</t>
    <phoneticPr fontId="1" type="noConversion"/>
  </si>
  <si>
    <t>선수금</t>
    <phoneticPr fontId="1" type="noConversion"/>
  </si>
  <si>
    <t>인수가</t>
    <phoneticPr fontId="1" type="noConversion"/>
  </si>
  <si>
    <t>월대여료</t>
    <phoneticPr fontId="1" type="noConversion"/>
  </si>
  <si>
    <t>(대당/ 차량소비자가격 " 옵션 및 VAT포함/ 월대여료 : VAT포함</t>
    <phoneticPr fontId="1" type="noConversion"/>
  </si>
  <si>
    <t xml:space="preserve"> * 상기 견적 금액은 운용대수(계약대수/차량보유대수), 차량가 변동 또는 정부 시책에 따라 변동될 수 있습니다. 
 * 상기 견적 중 선납금을 선택하신 경우는 선납금액을 계약기간으로 균등하게 나눈 금액을 월대여료에서 차감하고 청구됩니다. 
 * 차량 등급별 세부 옵션 사항을 반드시 확인하시기 바라며, 각 차종의 세부 욥션 사항은 차량제조사 홈페이지에서 확인이 가능합니다. 
 * 전기차 지역 보조금 소진 및 정부 정책에 따라 견적 상세 내용이 변경될 수 있으며, 안내되는 보조금 신청 사항 및 서류 접수 내용과 상이할 경우 견적이 취소됩니다. </t>
    <phoneticPr fontId="1" type="noConversion"/>
  </si>
  <si>
    <t>월대여료 포함사항</t>
    <phoneticPr fontId="1" type="noConversion"/>
  </si>
  <si>
    <t>대여 조건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</si>
  <si>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보험료, 차량 검사비, 세금, 공과금 전부 포함</t>
    </r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</si>
  <si>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차량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점검</t>
    </r>
    <r>
      <rPr>
        <sz val="7"/>
        <color theme="1"/>
        <rFont val="Calibri"/>
        <family val="3"/>
      </rPr>
      <t xml:space="preserve">, </t>
    </r>
    <r>
      <rPr>
        <sz val="7"/>
        <color theme="1"/>
        <rFont val="맑은 고딕"/>
        <family val="3"/>
        <charset val="129"/>
        <scheme val="minor"/>
      </rPr>
      <t>수리</t>
    </r>
    <r>
      <rPr>
        <sz val="7"/>
        <color theme="1"/>
        <rFont val="Calibri"/>
        <family val="3"/>
      </rPr>
      <t xml:space="preserve"> / </t>
    </r>
    <r>
      <rPr>
        <sz val="7"/>
        <color theme="1"/>
        <rFont val="맑은 고딕"/>
        <family val="3"/>
        <charset val="129"/>
        <scheme val="minor"/>
      </rPr>
      <t>소모품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교체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비용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등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불포함</t>
    </r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</si>
  <si>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유류비</t>
    </r>
    <r>
      <rPr>
        <sz val="7"/>
        <color theme="1"/>
        <rFont val="Calibri"/>
        <family val="3"/>
      </rPr>
      <t xml:space="preserve">, </t>
    </r>
    <r>
      <rPr>
        <sz val="7"/>
        <color theme="1"/>
        <rFont val="맑은 고딕"/>
        <family val="3"/>
        <charset val="129"/>
        <scheme val="minor"/>
      </rPr>
      <t>세차비</t>
    </r>
    <r>
      <rPr>
        <sz val="7"/>
        <color theme="1"/>
        <rFont val="Calibri"/>
        <family val="3"/>
      </rPr>
      <t xml:space="preserve">, </t>
    </r>
    <r>
      <rPr>
        <sz val="7"/>
        <color theme="1"/>
        <rFont val="맑은 고딕"/>
        <family val="3"/>
        <charset val="129"/>
        <scheme val="minor"/>
      </rPr>
      <t>과태료</t>
    </r>
    <r>
      <rPr>
        <sz val="7"/>
        <color theme="1"/>
        <rFont val="Calibri"/>
        <family val="3"/>
      </rPr>
      <t xml:space="preserve">, </t>
    </r>
    <r>
      <rPr>
        <sz val="7"/>
        <color theme="1"/>
        <rFont val="맑은 고딕"/>
        <family val="3"/>
        <charset val="129"/>
        <scheme val="minor"/>
      </rPr>
      <t>범칙금은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임차인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부담</t>
    </r>
    <phoneticPr fontId="1" type="noConversion"/>
  </si>
  <si>
    <t>보험 가입 내용</t>
    <phoneticPr fontId="1" type="noConversion"/>
  </si>
  <si>
    <t>차량 관리 서비스</t>
    <phoneticPr fontId="1" type="noConversion"/>
  </si>
  <si>
    <t>기본제공
사항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</si>
  <si>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차량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법정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검사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대행</t>
    </r>
    <phoneticPr fontId="1" type="noConversion"/>
  </si>
  <si>
    <t>대           인</t>
    <phoneticPr fontId="1" type="noConversion"/>
  </si>
  <si>
    <t>무 제 한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</si>
  <si>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차량사고시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사고처리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및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사고수리</t>
    </r>
    <phoneticPr fontId="1" type="noConversion"/>
  </si>
  <si>
    <t>대           물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</si>
  <si>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차량사고</t>
    </r>
    <r>
      <rPr>
        <sz val="7"/>
        <color theme="1"/>
        <rFont val="Calibri"/>
        <family val="3"/>
      </rPr>
      <t>/</t>
    </r>
    <r>
      <rPr>
        <sz val="7"/>
        <color theme="1"/>
        <rFont val="맑은 고딕"/>
        <family val="3"/>
        <charset val="129"/>
        <scheme val="minor"/>
      </rPr>
      <t>고장시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긴급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출동서비스</t>
    </r>
    <phoneticPr fontId="1" type="noConversion"/>
  </si>
  <si>
    <t>자  기  손  해</t>
    <phoneticPr fontId="1" type="noConversion"/>
  </si>
  <si>
    <t>자기부담금(CMD)</t>
    <phoneticPr fontId="1" type="noConversion"/>
  </si>
  <si>
    <t>서비스별
적용사항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</si>
  <si>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순회정비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차량을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이용한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정기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순회점검</t>
    </r>
    <phoneticPr fontId="1" type="noConversion"/>
  </si>
  <si>
    <t>무보험차상해</t>
    <phoneticPr fontId="1" type="noConversion"/>
  </si>
  <si>
    <t>2억원 / 1인당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</si>
  <si>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일반정비</t>
    </r>
    <r>
      <rPr>
        <sz val="7"/>
        <color theme="1"/>
        <rFont val="Calibri"/>
        <family val="3"/>
      </rPr>
      <t xml:space="preserve"> (</t>
    </r>
    <r>
      <rPr>
        <sz val="7"/>
        <color theme="1"/>
        <rFont val="맑은 고딕"/>
        <family val="3"/>
        <charset val="129"/>
        <scheme val="minor"/>
      </rPr>
      <t>고장수리</t>
    </r>
    <r>
      <rPr>
        <sz val="7"/>
        <color theme="1"/>
        <rFont val="Calibri"/>
        <family val="3"/>
      </rPr>
      <t xml:space="preserve">) </t>
    </r>
    <r>
      <rPr>
        <sz val="7"/>
        <color theme="1"/>
        <rFont val="맑은 고딕"/>
        <family val="3"/>
        <charset val="129"/>
        <scheme val="minor"/>
      </rPr>
      <t>서비스</t>
    </r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</si>
  <si>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소모품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교환</t>
    </r>
    <r>
      <rPr>
        <sz val="7"/>
        <color theme="1"/>
        <rFont val="Calibri"/>
        <family val="3"/>
      </rPr>
      <t>(</t>
    </r>
    <r>
      <rPr>
        <sz val="7"/>
        <color theme="1"/>
        <rFont val="맑은 고딕"/>
        <family val="3"/>
        <charset val="129"/>
        <scheme val="minor"/>
      </rPr>
      <t>오일류</t>
    </r>
    <r>
      <rPr>
        <sz val="7"/>
        <color theme="1"/>
        <rFont val="Calibri"/>
        <family val="3"/>
      </rPr>
      <t xml:space="preserve">, </t>
    </r>
    <r>
      <rPr>
        <sz val="7"/>
        <color theme="1"/>
        <rFont val="맑은 고딕"/>
        <family val="3"/>
        <charset val="129"/>
        <scheme val="minor"/>
      </rPr>
      <t>배터리</t>
    </r>
    <r>
      <rPr>
        <sz val="7"/>
        <color theme="1"/>
        <rFont val="Calibri"/>
        <family val="3"/>
      </rPr>
      <t xml:space="preserve">, </t>
    </r>
    <r>
      <rPr>
        <sz val="7"/>
        <color theme="1"/>
        <rFont val="맑은 고딕"/>
        <family val="3"/>
        <charset val="129"/>
        <scheme val="minor"/>
      </rPr>
      <t>기타</t>
    </r>
    <r>
      <rPr>
        <sz val="7"/>
        <color theme="1"/>
        <rFont val="Calibri"/>
        <family val="3"/>
      </rPr>
      <t>)</t>
    </r>
    <phoneticPr fontId="1" type="noConversion"/>
  </si>
  <si>
    <t>* 자차손해면책제도(CMD) : 사용자의 귀책으로 인한 사고시 사용자의 자가차량 수리 부담 최대 금액을 한정하는 제도</t>
    <phoneticPr fontId="1" type="noConversion"/>
  </si>
  <si>
    <t>특약사항</t>
    <phoneticPr fontId="1" type="noConversion"/>
  </si>
  <si>
    <r>
      <rPr>
        <sz val="6"/>
        <color theme="1"/>
        <rFont val="Wingdings"/>
        <family val="2"/>
        <charset val="2"/>
      </rPr>
      <t>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개별소비세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관련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정부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정책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변경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이후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출고되는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차량의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렌탈료는</t>
    </r>
    <r>
      <rPr>
        <sz val="6"/>
        <color theme="1"/>
        <rFont val="Calibri"/>
        <family val="2"/>
      </rPr>
      <t>[</t>
    </r>
    <r>
      <rPr>
        <sz val="6"/>
        <color theme="1"/>
        <rFont val="맑은 고딕"/>
        <family val="2"/>
        <charset val="129"/>
        <scheme val="minor"/>
      </rPr>
      <t>개별소비세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변동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금액</t>
    </r>
    <r>
      <rPr>
        <sz val="6"/>
        <color theme="1"/>
        <rFont val="Calibri"/>
        <family val="2"/>
      </rPr>
      <t>/</t>
    </r>
    <r>
      <rPr>
        <sz val="6"/>
        <color theme="1"/>
        <rFont val="맑은 고딕"/>
        <family val="2"/>
        <charset val="129"/>
        <scheme val="minor"/>
      </rPr>
      <t>계약개월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수</t>
    </r>
    <r>
      <rPr>
        <sz val="6"/>
        <color theme="1"/>
        <rFont val="Calibri"/>
        <family val="2"/>
      </rPr>
      <t>]</t>
    </r>
    <r>
      <rPr>
        <sz val="6"/>
        <color theme="1"/>
        <rFont val="맑은 고딕"/>
        <family val="2"/>
        <charset val="129"/>
        <scheme val="minor"/>
      </rPr>
      <t>만큼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변동됩니다</t>
    </r>
    <r>
      <rPr>
        <sz val="6"/>
        <color theme="1"/>
        <rFont val="Calibri"/>
        <family val="2"/>
      </rPr>
      <t>.</t>
    </r>
    <phoneticPr fontId="1" type="noConversion"/>
  </si>
  <si>
    <r>
      <rPr>
        <sz val="6"/>
        <color theme="1"/>
        <rFont val="Wingdings"/>
        <family val="2"/>
        <charset val="2"/>
      </rPr>
      <t>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전기차의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대차는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내연기관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차량으로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제공됩니다</t>
    </r>
    <r>
      <rPr>
        <sz val="6"/>
        <color theme="1"/>
        <rFont val="Calibri"/>
        <family val="2"/>
      </rPr>
      <t>.</t>
    </r>
    <phoneticPr fontId="1" type="noConversion"/>
  </si>
  <si>
    <t>계약시
필요서류</t>
    <phoneticPr fontId="1" type="noConversion"/>
  </si>
  <si>
    <r>
      <rPr>
        <b/>
        <sz val="7"/>
        <color theme="1"/>
        <rFont val="Wingdings"/>
        <family val="2"/>
        <charset val="2"/>
      </rPr>
      <t></t>
    </r>
    <r>
      <rPr>
        <b/>
        <sz val="7"/>
        <color theme="1"/>
        <rFont val="Calibri"/>
        <family val="2"/>
      </rPr>
      <t xml:space="preserve"> </t>
    </r>
    <r>
      <rPr>
        <b/>
        <sz val="7"/>
        <color theme="1"/>
        <rFont val="맑은 고딕"/>
        <family val="2"/>
        <charset val="129"/>
        <scheme val="minor"/>
      </rPr>
      <t>법인</t>
    </r>
    <r>
      <rPr>
        <b/>
        <sz val="7"/>
        <color theme="1"/>
        <rFont val="Calibri"/>
        <family val="2"/>
      </rPr>
      <t xml:space="preserve"> : </t>
    </r>
    <r>
      <rPr>
        <b/>
        <sz val="7"/>
        <color theme="1"/>
        <rFont val="맑은 고딕"/>
        <family val="2"/>
        <charset val="129"/>
        <scheme val="minor"/>
      </rPr>
      <t>법인등기부등본</t>
    </r>
    <r>
      <rPr>
        <b/>
        <sz val="7"/>
        <color theme="1"/>
        <rFont val="Calibri"/>
        <family val="2"/>
      </rPr>
      <t>(</t>
    </r>
    <r>
      <rPr>
        <b/>
        <sz val="7"/>
        <color theme="1"/>
        <rFont val="맑은 고딕"/>
        <family val="2"/>
        <charset val="129"/>
        <scheme val="minor"/>
      </rPr>
      <t>원본</t>
    </r>
    <r>
      <rPr>
        <b/>
        <sz val="7"/>
        <color theme="1"/>
        <rFont val="Calibri"/>
        <family val="2"/>
      </rPr>
      <t xml:space="preserve">), </t>
    </r>
    <r>
      <rPr>
        <b/>
        <sz val="7"/>
        <color theme="1"/>
        <rFont val="맑은 고딕"/>
        <family val="2"/>
        <charset val="129"/>
        <scheme val="minor"/>
      </rPr>
      <t>법인인감증명서</t>
    </r>
    <r>
      <rPr>
        <b/>
        <sz val="7"/>
        <color theme="1"/>
        <rFont val="Calibri"/>
        <family val="2"/>
      </rPr>
      <t>(</t>
    </r>
    <r>
      <rPr>
        <b/>
        <sz val="7"/>
        <color theme="1"/>
        <rFont val="맑은 고딕"/>
        <family val="2"/>
        <charset val="129"/>
        <scheme val="minor"/>
      </rPr>
      <t>원본</t>
    </r>
    <r>
      <rPr>
        <b/>
        <sz val="7"/>
        <color theme="1"/>
        <rFont val="Calibri"/>
        <family val="2"/>
      </rPr>
      <t xml:space="preserve">), </t>
    </r>
    <r>
      <rPr>
        <b/>
        <sz val="7"/>
        <color theme="1"/>
        <rFont val="맑은 고딕"/>
        <family val="2"/>
        <charset val="129"/>
        <scheme val="minor"/>
      </rPr>
      <t>사업자등록증</t>
    </r>
    <r>
      <rPr>
        <b/>
        <sz val="7"/>
        <color theme="1"/>
        <rFont val="Calibri"/>
        <family val="2"/>
      </rPr>
      <t>(</t>
    </r>
    <r>
      <rPr>
        <b/>
        <sz val="7"/>
        <color theme="1"/>
        <rFont val="맑은 고딕"/>
        <family val="2"/>
        <charset val="129"/>
        <scheme val="minor"/>
      </rPr>
      <t>사본</t>
    </r>
    <r>
      <rPr>
        <b/>
        <sz val="7"/>
        <color theme="1"/>
        <rFont val="Calibri"/>
        <family val="2"/>
      </rPr>
      <t xml:space="preserve">), </t>
    </r>
    <r>
      <rPr>
        <b/>
        <sz val="7"/>
        <color theme="1"/>
        <rFont val="맑은 고딕"/>
        <family val="2"/>
        <charset val="129"/>
        <scheme val="minor"/>
      </rPr>
      <t>사용인감사용시</t>
    </r>
    <r>
      <rPr>
        <b/>
        <sz val="7"/>
        <color theme="1"/>
        <rFont val="Calibri"/>
        <family val="2"/>
      </rPr>
      <t xml:space="preserve"> </t>
    </r>
    <r>
      <rPr>
        <b/>
        <sz val="7"/>
        <color theme="1"/>
        <rFont val="맑은 고딕"/>
        <family val="2"/>
        <charset val="129"/>
        <scheme val="minor"/>
      </rPr>
      <t>사용인감계</t>
    </r>
    <r>
      <rPr>
        <b/>
        <sz val="7"/>
        <color theme="1"/>
        <rFont val="Calibri"/>
        <family val="2"/>
      </rPr>
      <t xml:space="preserve">, </t>
    </r>
    <r>
      <rPr>
        <b/>
        <sz val="7"/>
        <color theme="1"/>
        <rFont val="맑은 고딕"/>
        <family val="2"/>
        <charset val="129"/>
        <scheme val="minor"/>
      </rPr>
      <t>대리인</t>
    </r>
    <r>
      <rPr>
        <b/>
        <sz val="7"/>
        <color theme="1"/>
        <rFont val="Calibri"/>
        <family val="2"/>
      </rPr>
      <t xml:space="preserve"> </t>
    </r>
    <r>
      <rPr>
        <b/>
        <sz val="7"/>
        <color theme="1"/>
        <rFont val="맑은 고딕"/>
        <family val="2"/>
        <charset val="129"/>
        <scheme val="minor"/>
      </rPr>
      <t>날인시</t>
    </r>
    <r>
      <rPr>
        <b/>
        <sz val="7"/>
        <color theme="1"/>
        <rFont val="Calibri"/>
        <family val="2"/>
      </rPr>
      <t xml:space="preserve"> </t>
    </r>
    <r>
      <rPr>
        <b/>
        <sz val="7"/>
        <color theme="1"/>
        <rFont val="맑은 고딕"/>
        <family val="2"/>
        <charset val="129"/>
        <scheme val="minor"/>
      </rPr>
      <t>위임자</t>
    </r>
    <r>
      <rPr>
        <b/>
        <sz val="7"/>
        <color theme="1"/>
        <rFont val="Calibri"/>
        <family val="2"/>
      </rPr>
      <t>,  CMS</t>
    </r>
    <r>
      <rPr>
        <b/>
        <sz val="7"/>
        <color theme="1"/>
        <rFont val="맑은 고딕"/>
        <family val="2"/>
        <charset val="129"/>
        <scheme val="minor"/>
      </rPr>
      <t>통장사본</t>
    </r>
    <phoneticPr fontId="1" type="noConversion"/>
  </si>
  <si>
    <t>주식회사</t>
    <phoneticPr fontId="1" type="noConversion"/>
  </si>
  <si>
    <t>대표이사</t>
    <phoneticPr fontId="1" type="noConversion"/>
  </si>
  <si>
    <t>신   동   일</t>
    <phoneticPr fontId="1" type="noConversion"/>
  </si>
  <si>
    <t>■ 차량정보</t>
    <phoneticPr fontId="3" type="noConversion"/>
  </si>
  <si>
    <t>모델명</t>
    <phoneticPr fontId="1" type="noConversion"/>
  </si>
  <si>
    <t>옵션</t>
    <phoneticPr fontId="1" type="noConversion"/>
  </si>
  <si>
    <t>차량가격</t>
  </si>
  <si>
    <t>연료</t>
    <phoneticPr fontId="3" type="noConversion"/>
  </si>
  <si>
    <t>배기량</t>
    <phoneticPr fontId="3" type="noConversion"/>
  </si>
  <si>
    <t>cc</t>
    <phoneticPr fontId="3" type="noConversion"/>
  </si>
  <si>
    <t>옵션가격</t>
    <phoneticPr fontId="3" type="noConversion"/>
  </si>
  <si>
    <t>총 차량가격</t>
    <phoneticPr fontId="3" type="noConversion"/>
  </si>
  <si>
    <t>■ 캐피탈</t>
    <phoneticPr fontId="3" type="noConversion"/>
  </si>
  <si>
    <t>기본 계산식</t>
    <phoneticPr fontId="1" type="noConversion"/>
  </si>
  <si>
    <t>할인/면세율</t>
    <phoneticPr fontId="3" type="noConversion"/>
  </si>
  <si>
    <t>조달원금</t>
    <phoneticPr fontId="3" type="noConversion"/>
  </si>
  <si>
    <t>할인/면세</t>
    <phoneticPr fontId="3" type="noConversion"/>
  </si>
  <si>
    <t>조달이자</t>
    <phoneticPr fontId="3" type="noConversion"/>
  </si>
  <si>
    <t>차량가격</t>
    <phoneticPr fontId="3" type="noConversion"/>
  </si>
  <si>
    <t>월할부금</t>
    <phoneticPr fontId="3" type="noConversion"/>
  </si>
  <si>
    <t>조달원금율</t>
    <phoneticPr fontId="3" type="noConversion"/>
  </si>
  <si>
    <t>월할부금계</t>
    <phoneticPr fontId="3" type="noConversion"/>
  </si>
  <si>
    <t>할부 시 총구입가</t>
    <phoneticPr fontId="3" type="noConversion"/>
  </si>
  <si>
    <t>이자부담율</t>
    <phoneticPr fontId="3" type="noConversion"/>
  </si>
  <si>
    <t>선수금분이자</t>
    <phoneticPr fontId="3" type="noConversion"/>
  </si>
  <si>
    <t>취득세</t>
    <phoneticPr fontId="3" type="noConversion"/>
  </si>
  <si>
    <t>공채</t>
    <phoneticPr fontId="3" type="noConversion"/>
  </si>
  <si>
    <t>보험</t>
    <phoneticPr fontId="3" type="noConversion"/>
  </si>
  <si>
    <t>■ 등록비용</t>
    <phoneticPr fontId="3" type="noConversion"/>
  </si>
  <si>
    <t>자동차세</t>
    <phoneticPr fontId="3" type="noConversion"/>
  </si>
  <si>
    <t>등록비용</t>
    <phoneticPr fontId="3" type="noConversion"/>
  </si>
  <si>
    <t>■ 렌트베네핏 총구입가</t>
    <phoneticPr fontId="3" type="noConversion"/>
  </si>
  <si>
    <t>렌트기간</t>
    <phoneticPr fontId="3" type="noConversion"/>
  </si>
  <si>
    <t>■ 이용정보</t>
    <phoneticPr fontId="3" type="noConversion"/>
  </si>
  <si>
    <t>약정거리</t>
    <phoneticPr fontId="3" type="noConversion"/>
  </si>
  <si>
    <t>인수가</t>
    <phoneticPr fontId="3" type="noConversion"/>
  </si>
  <si>
    <t>보증금</t>
    <phoneticPr fontId="3" type="noConversion"/>
  </si>
  <si>
    <t>렌트년수</t>
    <phoneticPr fontId="3" type="noConversion"/>
  </si>
  <si>
    <t>선수금</t>
    <phoneticPr fontId="3" type="noConversion"/>
  </si>
  <si>
    <t>월 렌트료</t>
    <phoneticPr fontId="3" type="noConversion"/>
  </si>
  <si>
    <t>인수가율</t>
    <phoneticPr fontId="3" type="noConversion"/>
  </si>
  <si>
    <t>월 렌트료 계</t>
    <phoneticPr fontId="3" type="noConversion"/>
  </si>
  <si>
    <t>총구입가</t>
    <phoneticPr fontId="3" type="noConversion"/>
  </si>
  <si>
    <t>보증금율</t>
    <phoneticPr fontId="3" type="noConversion"/>
  </si>
  <si>
    <t>영업이익</t>
    <phoneticPr fontId="3" type="noConversion"/>
  </si>
  <si>
    <t>선수금율</t>
    <phoneticPr fontId="3" type="noConversion"/>
  </si>
  <si>
    <t>딜러 인센</t>
    <phoneticPr fontId="3" type="noConversion"/>
  </si>
  <si>
    <t>자기부담금</t>
    <phoneticPr fontId="1" type="noConversion"/>
  </si>
  <si>
    <t>5회/년</t>
    <phoneticPr fontId="1" type="noConversion"/>
  </si>
  <si>
    <t>■ 렌트베네핏 수수료</t>
    <phoneticPr fontId="3" type="noConversion"/>
  </si>
  <si>
    <t>■ 딜러 수수료</t>
    <phoneticPr fontId="3" type="noConversion"/>
  </si>
  <si>
    <t>판관비/노무비</t>
    <phoneticPr fontId="1" type="noConversion"/>
  </si>
  <si>
    <t>■ 타이어</t>
    <phoneticPr fontId="3" type="noConversion"/>
  </si>
  <si>
    <t>P</t>
    <phoneticPr fontId="3" type="noConversion"/>
  </si>
  <si>
    <t>정기점검</t>
    <phoneticPr fontId="3" type="noConversion"/>
  </si>
  <si>
    <t xml:space="preserve">타이어교체 </t>
    <phoneticPr fontId="3" type="noConversion"/>
  </si>
  <si>
    <t>■ 차량 정비(정기점검)</t>
    <phoneticPr fontId="3" type="noConversion"/>
  </si>
  <si>
    <t>타이어교체 비용</t>
    <phoneticPr fontId="3" type="noConversion"/>
  </si>
  <si>
    <t>타이어 비용</t>
    <phoneticPr fontId="3" type="noConversion"/>
  </si>
  <si>
    <t>총구입가</t>
    <phoneticPr fontId="1" type="noConversion"/>
  </si>
  <si>
    <t>정비</t>
    <phoneticPr fontId="1" type="noConversion"/>
  </si>
  <si>
    <t>견적서</t>
    <phoneticPr fontId="1" type="noConversion"/>
  </si>
  <si>
    <t>선택사양</t>
    <phoneticPr fontId="1" type="noConversion"/>
  </si>
  <si>
    <t>색상</t>
    <phoneticPr fontId="1" type="noConversion"/>
  </si>
  <si>
    <t>가격사항</t>
    <phoneticPr fontId="1" type="noConversion"/>
  </si>
  <si>
    <t>비고</t>
    <phoneticPr fontId="1" type="noConversion"/>
  </si>
  <si>
    <t>순수차량가격</t>
    <phoneticPr fontId="1" type="noConversion"/>
  </si>
  <si>
    <t>기간</t>
    <phoneticPr fontId="1" type="noConversion"/>
  </si>
  <si>
    <t>월 렌트료</t>
    <phoneticPr fontId="1" type="noConversion"/>
  </si>
  <si>
    <t>약정주행거리</t>
    <phoneticPr fontId="1" type="noConversion"/>
  </si>
  <si>
    <t>잔존가치</t>
    <phoneticPr fontId="1" type="noConversion"/>
  </si>
  <si>
    <t>선납금</t>
    <phoneticPr fontId="1" type="noConversion"/>
  </si>
  <si>
    <t>초기납입금</t>
    <phoneticPr fontId="1" type="noConversion"/>
  </si>
  <si>
    <t>렌트료 계</t>
    <phoneticPr fontId="1" type="noConversion"/>
  </si>
  <si>
    <t>고객 상담 내용</t>
    <phoneticPr fontId="1" type="noConversion"/>
  </si>
  <si>
    <t>차
량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</si>
  <si>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약정주행거리                        20,000 KM/년</t>
    </r>
    <phoneticPr fontId="1" type="noConversion"/>
  </si>
  <si>
    <t>km/년</t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</si>
  <si>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중도해지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맑은 고딕"/>
        <family val="3"/>
        <charset val="129"/>
        <scheme val="minor"/>
      </rPr>
      <t>수수료율</t>
    </r>
    <phoneticPr fontId="1" type="noConversion"/>
  </si>
  <si>
    <r>
      <rPr>
        <sz val="7"/>
        <color theme="1"/>
        <rFont val="Calibri"/>
        <family val="3"/>
      </rPr>
      <t xml:space="preserve"> </t>
    </r>
    <r>
      <rPr>
        <sz val="7"/>
        <color theme="1"/>
        <rFont val="Wingdings"/>
        <family val="3"/>
        <charset val="2"/>
      </rPr>
      <t></t>
    </r>
    <r>
      <rPr>
        <sz val="7"/>
        <color theme="1"/>
        <rFont val="Calibri"/>
        <family val="3"/>
      </rPr>
      <t xml:space="preserve"> </t>
    </r>
    <r>
      <rPr>
        <sz val="7"/>
        <color theme="1"/>
        <rFont val="Arial Unicode MS"/>
        <family val="3"/>
        <charset val="129"/>
      </rPr>
      <t>연체 이율</t>
    </r>
    <phoneticPr fontId="1" type="noConversion"/>
  </si>
  <si>
    <t>연 25%</t>
    <phoneticPr fontId="1" type="noConversion"/>
  </si>
  <si>
    <t>운전 범위</t>
    <phoneticPr fontId="1" type="noConversion"/>
  </si>
  <si>
    <t>임직원</t>
    <phoneticPr fontId="1" type="noConversion"/>
  </si>
  <si>
    <t>/</t>
    <phoneticPr fontId="1" type="noConversion"/>
  </si>
  <si>
    <t>운전자 연령</t>
    <phoneticPr fontId="1" type="noConversion"/>
  </si>
  <si>
    <t>만26세</t>
    <phoneticPr fontId="1" type="noConversion"/>
  </si>
  <si>
    <t>긴급출동</t>
    <phoneticPr fontId="1" type="noConversion"/>
  </si>
  <si>
    <t>■ 이자율</t>
    <phoneticPr fontId="3" type="noConversion"/>
  </si>
  <si>
    <t>1년</t>
    <phoneticPr fontId="1" type="noConversion"/>
  </si>
  <si>
    <t>2년</t>
    <phoneticPr fontId="1" type="noConversion"/>
  </si>
  <si>
    <t>3년</t>
    <phoneticPr fontId="1" type="noConversion"/>
  </si>
  <si>
    <t>4년</t>
    <phoneticPr fontId="1" type="noConversion"/>
  </si>
  <si>
    <t>5년</t>
    <phoneticPr fontId="1" type="noConversion"/>
  </si>
  <si>
    <t>■ 선수금 이자율 할인</t>
    <phoneticPr fontId="3" type="noConversion"/>
  </si>
  <si>
    <t>2안</t>
    <phoneticPr fontId="3" type="noConversion"/>
  </si>
  <si>
    <t>3안</t>
    <phoneticPr fontId="3" type="noConversion"/>
  </si>
  <si>
    <t xml:space="preserve">-. 예상납기 : </t>
    <phoneticPr fontId="1" type="noConversion"/>
  </si>
  <si>
    <t xml:space="preserve">-. 차종 : </t>
    <phoneticPr fontId="1" type="noConversion"/>
  </si>
  <si>
    <t xml:space="preserve">-. 수량 : </t>
    <phoneticPr fontId="1" type="noConversion"/>
  </si>
  <si>
    <t xml:space="preserve">-. 색상 : </t>
    <phoneticPr fontId="1" type="noConversion"/>
  </si>
  <si>
    <t xml:space="preserve">-. 옵션 : </t>
    <phoneticPr fontId="1" type="noConversion"/>
  </si>
  <si>
    <t xml:space="preserve">-. 차량가 : </t>
    <phoneticPr fontId="1" type="noConversion"/>
  </si>
  <si>
    <t>예상납기</t>
    <phoneticPr fontId="1" type="noConversion"/>
  </si>
  <si>
    <t xml:space="preserve">-. 보증금 : </t>
    <phoneticPr fontId="1" type="noConversion"/>
  </si>
  <si>
    <t xml:space="preserve">-. 인수가 : </t>
    <phoneticPr fontId="1" type="noConversion"/>
  </si>
  <si>
    <t xml:space="preserve">-. 월 대여료 : </t>
    <phoneticPr fontId="1" type="noConversion"/>
  </si>
  <si>
    <t xml:space="preserve">-. 기간 : </t>
    <phoneticPr fontId="1" type="noConversion"/>
  </si>
  <si>
    <t xml:space="preserve">-. 선수금 : </t>
    <phoneticPr fontId="1" type="noConversion"/>
  </si>
  <si>
    <t>신차 구매</t>
    <phoneticPr fontId="1" type="noConversion"/>
  </si>
  <si>
    <t>탁송료</t>
    <phoneticPr fontId="1" type="noConversion"/>
  </si>
  <si>
    <t>부대비용</t>
    <phoneticPr fontId="1" type="noConversion"/>
  </si>
  <si>
    <t>최종 차량가</t>
    <phoneticPr fontId="1" type="noConversion"/>
  </si>
  <si>
    <t>레이의 경우 신차 구매시 취득록세 면제</t>
    <phoneticPr fontId="1" type="noConversion"/>
  </si>
  <si>
    <t>[외장] 화이트 / [내장] 블랙</t>
    <phoneticPr fontId="1" type="noConversion"/>
  </si>
  <si>
    <t>납기</t>
    <phoneticPr fontId="1" type="noConversion"/>
  </si>
  <si>
    <t>3.5개월</t>
    <phoneticPr fontId="1" type="noConversion"/>
  </si>
  <si>
    <t>운용리스</t>
    <phoneticPr fontId="1" type="noConversion"/>
  </si>
  <si>
    <t>렌트의 경우 보험료 및 자동차세 포함</t>
    <phoneticPr fontId="1" type="noConversion"/>
  </si>
  <si>
    <t>자손 1억 / 부상 1500만</t>
    <phoneticPr fontId="1" type="noConversion"/>
  </si>
  <si>
    <t>30만원</t>
    <phoneticPr fontId="1" type="noConversion"/>
  </si>
  <si>
    <t>-</t>
    <phoneticPr fontId="1" type="noConversion"/>
  </si>
  <si>
    <t>견적 번호</t>
    <phoneticPr fontId="1" type="noConversion"/>
  </si>
  <si>
    <t>정기점검 비용</t>
    <phoneticPr fontId="3" type="noConversion"/>
  </si>
  <si>
    <t>추가 내용</t>
    <phoneticPr fontId="1" type="noConversion"/>
  </si>
  <si>
    <t>옵션 비교표</t>
    <phoneticPr fontId="1" type="noConversion"/>
  </si>
  <si>
    <t>마우이블랙</t>
    <phoneticPr fontId="1" type="noConversion"/>
  </si>
  <si>
    <t>내장 색상</t>
    <phoneticPr fontId="1" type="noConversion"/>
  </si>
  <si>
    <t>가격</t>
    <phoneticPr fontId="1" type="noConversion"/>
  </si>
  <si>
    <t>차량</t>
    <phoneticPr fontId="1" type="noConversion"/>
  </si>
  <si>
    <t>2023 Genesis G90</t>
    <phoneticPr fontId="1" type="noConversion"/>
  </si>
  <si>
    <t>구동방식</t>
    <phoneticPr fontId="1" type="noConversion"/>
  </si>
  <si>
    <t>AWD</t>
    <phoneticPr fontId="1" type="noConversion"/>
  </si>
  <si>
    <t>옵션사항</t>
    <phoneticPr fontId="1" type="noConversion"/>
  </si>
  <si>
    <t>O</t>
    <phoneticPr fontId="1" type="noConversion"/>
  </si>
  <si>
    <t>빌트인 캠</t>
    <phoneticPr fontId="1" type="noConversion"/>
  </si>
  <si>
    <t>옵션가격</t>
    <phoneticPr fontId="1" type="noConversion"/>
  </si>
  <si>
    <t>20인치 다이아몬드 컷팅 휠</t>
    <phoneticPr fontId="1" type="noConversion"/>
  </si>
  <si>
    <t>총 차량가격</t>
    <phoneticPr fontId="1" type="noConversion"/>
  </si>
  <si>
    <t>휠</t>
    <phoneticPr fontId="1" type="noConversion"/>
  </si>
  <si>
    <t>외장 색상</t>
    <phoneticPr fontId="1" type="noConversion"/>
  </si>
  <si>
    <t>파노라마 선루프</t>
    <phoneticPr fontId="1" type="noConversion"/>
  </si>
  <si>
    <t>X</t>
    <phoneticPr fontId="1" type="noConversion"/>
  </si>
  <si>
    <t>차액</t>
    <phoneticPr fontId="1" type="noConversion"/>
  </si>
  <si>
    <t>차량 조건비교표</t>
    <phoneticPr fontId="49" type="noConversion"/>
  </si>
  <si>
    <t>구    분</t>
    <phoneticPr fontId="49" type="noConversion"/>
  </si>
  <si>
    <t>출고전 납입액</t>
    <phoneticPr fontId="49" type="noConversion"/>
  </si>
  <si>
    <t>월 납입액</t>
    <phoneticPr fontId="54" type="noConversion"/>
  </si>
  <si>
    <t>기간(개월)</t>
    <phoneticPr fontId="49" type="noConversion"/>
  </si>
  <si>
    <t>월 납입액계</t>
    <phoneticPr fontId="49" type="noConversion"/>
  </si>
  <si>
    <t>종료 후 납입액</t>
    <phoneticPr fontId="1" type="noConversion"/>
  </si>
  <si>
    <t>예상보험료</t>
    <phoneticPr fontId="1" type="noConversion"/>
  </si>
  <si>
    <t>자동차세</t>
    <phoneticPr fontId="1" type="noConversion"/>
  </si>
  <si>
    <t>비교금액</t>
    <phoneticPr fontId="1" type="noConversion"/>
  </si>
  <si>
    <t>약정운행거리(년)</t>
    <phoneticPr fontId="1" type="noConversion"/>
  </si>
  <si>
    <t>탁송료</t>
    <phoneticPr fontId="3" type="noConversion"/>
  </si>
  <si>
    <t>작성일</t>
    <phoneticPr fontId="1" type="noConversion"/>
  </si>
  <si>
    <t>보험(자차 보험비)</t>
    <phoneticPr fontId="3" type="noConversion"/>
  </si>
  <si>
    <t>정비 서비스</t>
    <phoneticPr fontId="1" type="noConversion"/>
  </si>
  <si>
    <t>외장</t>
    <phoneticPr fontId="1" type="noConversion"/>
  </si>
  <si>
    <t>내장</t>
    <phoneticPr fontId="1" type="noConversion"/>
  </si>
  <si>
    <t>■ 옵션표</t>
    <phoneticPr fontId="3" type="noConversion"/>
  </si>
  <si>
    <t>2 억원</t>
    <phoneticPr fontId="1" type="noConversion"/>
  </si>
  <si>
    <r>
      <t xml:space="preserve"> </t>
    </r>
    <r>
      <rPr>
        <sz val="7"/>
        <rFont val="Wingdings"/>
        <family val="3"/>
        <charset val="2"/>
      </rPr>
      <t></t>
    </r>
    <r>
      <rPr>
        <sz val="7"/>
        <rFont val="맑은 고딕"/>
        <family val="3"/>
        <charset val="129"/>
      </rPr>
      <t xml:space="preserve"> 타이어 교체</t>
    </r>
    <phoneticPr fontId="1" type="noConversion"/>
  </si>
  <si>
    <t>2024 Genesis G90</t>
    <phoneticPr fontId="1" type="noConversion"/>
  </si>
  <si>
    <t>신현용 대표님</t>
    <phoneticPr fontId="1" type="noConversion"/>
  </si>
  <si>
    <t>김병현 대표님</t>
    <phoneticPr fontId="1" type="noConversion"/>
  </si>
  <si>
    <t>뱅앤올룹슨 사운드</t>
    <phoneticPr fontId="1" type="noConversion"/>
  </si>
  <si>
    <t>시그니쳐 디자인 셀렉션 - 옵시디언 블랙 모노톤</t>
    <phoneticPr fontId="1" type="noConversion"/>
  </si>
  <si>
    <r>
      <t xml:space="preserve">파퓰러 컬렉션 + 뒷좌석 컴포트 패키지 II
</t>
    </r>
    <r>
      <rPr>
        <sz val="8"/>
        <color theme="1"/>
        <rFont val="맑은 고딕"/>
        <family val="3"/>
        <charset val="129"/>
        <scheme val="minor"/>
      </rPr>
      <t>-.앞좌석 컴포트 패키지
-.뒷좌석 컴포트 패키지 I
-.하이테크 패키지
-.뒷좌석 컴포트 패키지 II</t>
    </r>
    <phoneticPr fontId="1" type="noConversion"/>
  </si>
  <si>
    <t>O(프레스티지 컬렉션 포함)</t>
    <phoneticPr fontId="1" type="noConversion"/>
  </si>
  <si>
    <r>
      <rPr>
        <b/>
        <sz val="9"/>
        <rFont val="맑은 고딕"/>
        <family val="3"/>
        <charset val="129"/>
        <scheme val="minor"/>
      </rPr>
      <t>시그니쳐 디자인 셀렉션 - 옵시디언 블랙 모노톤</t>
    </r>
    <r>
      <rPr>
        <b/>
        <sz val="9"/>
        <color rgb="FFFF0000"/>
        <rFont val="맑은 고딕"/>
        <family val="3"/>
        <charset val="129"/>
        <scheme val="minor"/>
      </rPr>
      <t>, 
포지드 카본 메탈 G-Matrix 패턴 (시그니쳐 디자인 셀렉션)</t>
    </r>
    <phoneticPr fontId="1" type="noConversion"/>
  </si>
  <si>
    <r>
      <t xml:space="preserve">프레스티지 컬렉션
</t>
    </r>
    <r>
      <rPr>
        <sz val="8"/>
        <color theme="1"/>
        <rFont val="맑은 고딕"/>
        <family val="3"/>
        <charset val="129"/>
        <scheme val="minor"/>
      </rPr>
      <t xml:space="preserve">-.앞좌석 컴포트 패키지
-.뒷좌석 컴포트 패키지 I
-.하이테크 패키지
-.뒷좌석 컴포트 패키지 II
</t>
    </r>
    <r>
      <rPr>
        <sz val="8"/>
        <color rgb="FFFF0000"/>
        <rFont val="맑은 고딕"/>
        <family val="3"/>
        <charset val="129"/>
        <scheme val="minor"/>
      </rPr>
      <t xml:space="preserve">-.이지 클로즈 시스템
</t>
    </r>
    <r>
      <rPr>
        <sz val="8"/>
        <color theme="1"/>
        <rFont val="맑은 고딕"/>
        <family val="3"/>
        <charset val="129"/>
        <scheme val="minor"/>
      </rPr>
      <t xml:space="preserve">-.멀티 챔버 에어 서스펜션
-.능동형 후륜 조향 (RWS)
-.시그니쳐 디자인 셀렉션
</t>
    </r>
    <r>
      <rPr>
        <sz val="8"/>
        <color rgb="FFFF0000"/>
        <rFont val="맑은 고딕"/>
        <family val="3"/>
        <charset val="129"/>
        <scheme val="minor"/>
      </rPr>
      <t>-.전동식 뒷좌석 듀얼 모니터</t>
    </r>
    <phoneticPr fontId="1" type="noConversion"/>
  </si>
  <si>
    <t>능동형 후륜 조향
멀티 챔버 에어 서스펜션</t>
    <phoneticPr fontId="1" type="noConversion"/>
  </si>
  <si>
    <t>48V 일렉트릭 슈퍼차저</t>
    <phoneticPr fontId="1" type="noConversion"/>
  </si>
  <si>
    <r>
      <rPr>
        <sz val="6"/>
        <color theme="1"/>
        <rFont val="Wingdings"/>
        <family val="2"/>
        <charset val="2"/>
      </rPr>
      <t>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전기차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일반형</t>
    </r>
    <r>
      <rPr>
        <sz val="6"/>
        <color theme="1"/>
        <rFont val="Calibri"/>
        <family val="2"/>
      </rPr>
      <t>/</t>
    </r>
    <r>
      <rPr>
        <sz val="6"/>
        <color theme="1"/>
        <rFont val="맑은 고딕"/>
        <family val="2"/>
        <charset val="129"/>
        <scheme val="minor"/>
      </rPr>
      <t>일반형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정비상품은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순회정비시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소모품은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에어컨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필터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와이퍼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워셔액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교체만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가능하며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외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서비스</t>
    </r>
    <r>
      <rPr>
        <sz val="6"/>
        <color theme="1"/>
        <rFont val="Calibri"/>
        <family val="2"/>
      </rPr>
      <t>(</t>
    </r>
    <r>
      <rPr>
        <sz val="6"/>
        <color theme="1"/>
        <rFont val="맑은 고딕"/>
        <family val="2"/>
        <charset val="129"/>
        <scheme val="minor"/>
      </rPr>
      <t>소독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차량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생활흠집</t>
    </r>
    <r>
      <rPr>
        <sz val="6"/>
        <color theme="1"/>
        <rFont val="Calibri"/>
        <family val="2"/>
      </rPr>
      <t xml:space="preserve">, </t>
    </r>
    <r>
      <rPr>
        <sz val="6"/>
        <color theme="1"/>
        <rFont val="맑은 고딕"/>
        <family val="2"/>
        <charset val="129"/>
        <scheme val="minor"/>
      </rPr>
      <t>스캐너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진단</t>
    </r>
    <r>
      <rPr>
        <sz val="6"/>
        <color theme="1"/>
        <rFont val="Calibri"/>
        <family val="2"/>
      </rPr>
      <t>)</t>
    </r>
    <r>
      <rPr>
        <sz val="6"/>
        <color theme="1"/>
        <rFont val="맑은 고딕"/>
        <family val="2"/>
        <charset val="129"/>
        <scheme val="minor"/>
      </rPr>
      <t>는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희망시</t>
    </r>
    <r>
      <rPr>
        <sz val="6"/>
        <color theme="1"/>
        <rFont val="Calibri"/>
        <family val="2"/>
      </rPr>
      <t xml:space="preserve"> </t>
    </r>
    <r>
      <rPr>
        <sz val="6"/>
        <color theme="1"/>
        <rFont val="맑은 고딕"/>
        <family val="2"/>
        <charset val="129"/>
        <scheme val="minor"/>
      </rPr>
      <t>제공됩니다</t>
    </r>
    <r>
      <rPr>
        <sz val="6"/>
        <color theme="1"/>
        <rFont val="Calibri"/>
        <family val="2"/>
      </rPr>
      <t>.</t>
    </r>
    <phoneticPr fontId="1" type="noConversion"/>
  </si>
  <si>
    <t>1안</t>
    <phoneticPr fontId="1" type="noConversion"/>
  </si>
  <si>
    <t>2안</t>
    <phoneticPr fontId="1" type="noConversion"/>
  </si>
  <si>
    <t>3안</t>
    <phoneticPr fontId="1" type="noConversion"/>
  </si>
  <si>
    <t>4안</t>
    <phoneticPr fontId="1" type="noConversion"/>
  </si>
  <si>
    <t>P 기준</t>
    <phoneticPr fontId="3" type="noConversion"/>
  </si>
  <si>
    <t xml:space="preserve">*8000만원 이상 차량 대상으로 법인 고객 선택 시 법인전용 연두색 번호판 적용 대상
</t>
    <phoneticPr fontId="1" type="noConversion"/>
  </si>
  <si>
    <t>소모품</t>
    <phoneticPr fontId="1" type="noConversion"/>
  </si>
  <si>
    <t>교환주시</t>
    <phoneticPr fontId="1" type="noConversion"/>
  </si>
  <si>
    <t>부품내역</t>
    <phoneticPr fontId="1" type="noConversion"/>
  </si>
  <si>
    <t>금액</t>
    <phoneticPr fontId="1" type="noConversion"/>
  </si>
  <si>
    <t>엔진오일</t>
    <phoneticPr fontId="1" type="noConversion"/>
  </si>
  <si>
    <t>7,000~8,000km</t>
    <phoneticPr fontId="1" type="noConversion"/>
  </si>
  <si>
    <t>오일필터+에어 클리너</t>
    <phoneticPr fontId="1" type="noConversion"/>
  </si>
  <si>
    <t>에어컨 향균필터</t>
    <phoneticPr fontId="1" type="noConversion"/>
  </si>
  <si>
    <t>15,000~20,000km 또는 1년 도래시</t>
    <phoneticPr fontId="1" type="noConversion"/>
  </si>
  <si>
    <t>향균필터</t>
    <phoneticPr fontId="1" type="noConversion"/>
  </si>
  <si>
    <t>와이퍼</t>
    <phoneticPr fontId="1" type="noConversion"/>
  </si>
  <si>
    <t>1년 도래 시</t>
    <phoneticPr fontId="1" type="noConversion"/>
  </si>
  <si>
    <t>에어컨 가스</t>
    <phoneticPr fontId="1" type="noConversion"/>
  </si>
  <si>
    <t>부족할 시</t>
    <phoneticPr fontId="1" type="noConversion"/>
  </si>
  <si>
    <t>타이어 위치 교환</t>
    <phoneticPr fontId="1" type="noConversion"/>
  </si>
  <si>
    <t xml:space="preserve">20,000km </t>
    <phoneticPr fontId="1" type="noConversion"/>
  </si>
  <si>
    <t>타이어 로테이션 + 휠 밸런스</t>
    <phoneticPr fontId="1" type="noConversion"/>
  </si>
  <si>
    <t>타이어 공기압 보충</t>
    <phoneticPr fontId="1" type="noConversion"/>
  </si>
  <si>
    <t>매 점검시</t>
    <phoneticPr fontId="1" type="noConversion"/>
  </si>
  <si>
    <t>타이어 교체</t>
    <phoneticPr fontId="1" type="noConversion"/>
  </si>
  <si>
    <t>50,000~70,000km</t>
    <phoneticPr fontId="1" type="noConversion"/>
  </si>
  <si>
    <t>타이어*마모 한계선 도래 시 교체</t>
    <phoneticPr fontId="1" type="noConversion"/>
  </si>
  <si>
    <t>연료 필터</t>
    <phoneticPr fontId="1" type="noConversion"/>
  </si>
  <si>
    <t>40,000km</t>
    <phoneticPr fontId="1" type="noConversion"/>
  </si>
  <si>
    <t>앞 브레이크 패드 / 라이닝</t>
    <phoneticPr fontId="1" type="noConversion"/>
  </si>
  <si>
    <t>40,000km 또는 마모 시</t>
    <phoneticPr fontId="1" type="noConversion"/>
  </si>
  <si>
    <t>앞 디스크 브레이크 패드</t>
    <phoneticPr fontId="1" type="noConversion"/>
  </si>
  <si>
    <t>뒤 브레이크 패드 / 라이닝</t>
    <phoneticPr fontId="1" type="noConversion"/>
  </si>
  <si>
    <t xml:space="preserve">70,000km 또는 마모 시 </t>
    <phoneticPr fontId="1" type="noConversion"/>
  </si>
  <si>
    <t>뒤 브레이크 라이닝</t>
    <phoneticPr fontId="1" type="noConversion"/>
  </si>
  <si>
    <t>오일류</t>
    <phoneticPr fontId="1" type="noConversion"/>
  </si>
  <si>
    <t>50,000~60,000km</t>
    <phoneticPr fontId="1" type="noConversion"/>
  </si>
  <si>
    <t>변속기/브레이크/파워오일</t>
    <phoneticPr fontId="1" type="noConversion"/>
  </si>
  <si>
    <t>밸프류</t>
    <phoneticPr fontId="1" type="noConversion"/>
  </si>
  <si>
    <t>50,000km</t>
    <phoneticPr fontId="1" type="noConversion"/>
  </si>
  <si>
    <t>에어컨/파워/팬 벨트</t>
    <phoneticPr fontId="1" type="noConversion"/>
  </si>
  <si>
    <t>전구류</t>
    <phoneticPr fontId="1" type="noConversion"/>
  </si>
  <si>
    <t>필요시</t>
    <phoneticPr fontId="1" type="noConversion"/>
  </si>
  <si>
    <t>라이트/안개</t>
    <phoneticPr fontId="1" type="noConversion"/>
  </si>
  <si>
    <t>베터리</t>
    <phoneticPr fontId="1" type="noConversion"/>
  </si>
  <si>
    <t>80,000~100,000km</t>
    <phoneticPr fontId="1" type="noConversion"/>
  </si>
  <si>
    <t>점화플러그</t>
    <phoneticPr fontId="1" type="noConversion"/>
  </si>
  <si>
    <t>일반 40,000km / 백금 100,000km</t>
    <phoneticPr fontId="1" type="noConversion"/>
  </si>
  <si>
    <t>점화 플러그, 배선</t>
    <phoneticPr fontId="1" type="noConversion"/>
  </si>
  <si>
    <t>타이밍벨트/워터펌프</t>
    <phoneticPr fontId="1" type="noConversion"/>
  </si>
  <si>
    <t>80,000~90,000km</t>
    <phoneticPr fontId="1" type="noConversion"/>
  </si>
  <si>
    <t>타이밍 벨트 세트</t>
    <phoneticPr fontId="1" type="noConversion"/>
  </si>
  <si>
    <t>부동액</t>
    <phoneticPr fontId="1" type="noConversion"/>
  </si>
  <si>
    <t>100,000km 또는 필요시</t>
    <phoneticPr fontId="1" type="noConversion"/>
  </si>
  <si>
    <t>기타 보충</t>
    <phoneticPr fontId="1" type="noConversion"/>
  </si>
  <si>
    <t>수시</t>
    <phoneticPr fontId="1" type="noConversion"/>
  </si>
  <si>
    <t>A열</t>
  </si>
  <si>
    <t>B열(기준km)</t>
  </si>
  <si>
    <t>C열(기준년)</t>
  </si>
  <si>
    <t>D열(금액)</t>
  </si>
  <si>
    <t>E열(교환횟수)</t>
  </si>
  <si>
    <t>F열(총비용)</t>
  </si>
  <si>
    <t>소모품</t>
  </si>
  <si>
    <t>엔진오일</t>
  </si>
  <si>
    <t>에어컨 향균필터</t>
  </si>
  <si>
    <t>와이퍼</t>
  </si>
  <si>
    <t>에어컨 가스</t>
  </si>
  <si>
    <t>타이어 위치 교환</t>
  </si>
  <si>
    <t>타이어 교체</t>
  </si>
  <si>
    <t>연료 필터</t>
  </si>
  <si>
    <t>앞 브레이크 패드</t>
  </si>
  <si>
    <t>뒤 브레이크 패드</t>
  </si>
  <si>
    <t>오일류(변속기 등)</t>
  </si>
  <si>
    <t>벨트류</t>
  </si>
  <si>
    <t>전구류</t>
  </si>
  <si>
    <t>배터리</t>
  </si>
  <si>
    <t>점화플러그</t>
  </si>
  <si>
    <t>타이밍벨트/워터펌프</t>
  </si>
  <si>
    <t>연간 주행거리</t>
    <phoneticPr fontId="1" type="noConversion"/>
  </si>
  <si>
    <t>총주행거리</t>
    <phoneticPr fontId="1" type="noConversion"/>
  </si>
  <si>
    <t>총금액</t>
    <phoneticPr fontId="1" type="noConversion"/>
  </si>
  <si>
    <t>교환km</t>
    <phoneticPr fontId="1" type="noConversion"/>
  </si>
  <si>
    <t>교환년</t>
    <phoneticPr fontId="1" type="noConversion"/>
  </si>
  <si>
    <t>교환횟수</t>
    <phoneticPr fontId="1" type="noConversion"/>
  </si>
  <si>
    <t>총비용</t>
    <phoneticPr fontId="1" type="noConversion"/>
  </si>
  <si>
    <t>가입</t>
    <phoneticPr fontId="1" type="noConversion"/>
  </si>
  <si>
    <t>자상 1억 / 부상 1500만</t>
    <phoneticPr fontId="1" type="noConversion"/>
  </si>
  <si>
    <t>화이트</t>
    <phoneticPr fontId="1" type="noConversion"/>
  </si>
  <si>
    <t>블랙</t>
    <phoneticPr fontId="1" type="noConversion"/>
  </si>
  <si>
    <t xml:space="preserve"> 팰리세이드 (H) 2.5 2WD 프레스티지 9인승</t>
  </si>
  <si>
    <t>1개월</t>
  </si>
  <si>
    <t>빌트인캠2, 원격스마트 주차보조</t>
  </si>
  <si>
    <t>이희웅 대표님</t>
  </si>
  <si>
    <t>1안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</si>
</sst>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#,##0_ "/>
    <numFmt numFmtId="178" formatCode="_(* #,##0.00_);_(* \(#,##0.00\);_(* &quot;-&quot;_);_(@_)"/>
    <numFmt numFmtId="179" formatCode="yyyy&quot;년&quot;\ m&quot;월&quot;;@"/>
    <numFmt numFmtId="180" formatCode="0.0%"/>
    <numFmt numFmtId="181" formatCode="0.000%"/>
    <numFmt numFmtId="182" formatCode="#,##0\ ;\-#,##0\ "/>
  </numFmts>
  <fonts count="6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신한세빛 L"/>
      <family val="2"/>
      <charset val="129"/>
    </font>
    <font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b/>
      <sz val="10"/>
      <color theme="1" tint="0.34998626667073579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6"/>
      <color theme="1"/>
      <name val="맑은 고딕"/>
      <family val="3"/>
      <charset val="2"/>
    </font>
    <font>
      <sz val="6"/>
      <color theme="1"/>
      <name val="Calibri"/>
      <family val="3"/>
    </font>
    <font>
      <sz val="6"/>
      <color theme="1"/>
      <name val="Wingdings"/>
      <family val="3"/>
      <charset val="2"/>
    </font>
    <font>
      <sz val="6"/>
      <color theme="1"/>
      <name val="맑은 고딕"/>
      <family val="3"/>
      <charset val="129"/>
    </font>
    <font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2"/>
      <scheme val="minor"/>
    </font>
    <font>
      <sz val="7"/>
      <color theme="1"/>
      <name val="Calibri"/>
      <family val="3"/>
    </font>
    <font>
      <sz val="7"/>
      <color theme="1"/>
      <name val="Wingdings"/>
      <family val="3"/>
      <charset val="2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4.5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2"/>
      <scheme val="minor"/>
    </font>
    <font>
      <sz val="6"/>
      <color theme="1"/>
      <name val="Wingdings"/>
      <family val="2"/>
      <charset val="2"/>
    </font>
    <font>
      <sz val="6"/>
      <color theme="1"/>
      <name val="Calibri"/>
      <family val="2"/>
    </font>
    <font>
      <b/>
      <sz val="7"/>
      <color theme="1"/>
      <name val="맑은 고딕"/>
      <family val="2"/>
      <charset val="2"/>
      <scheme val="minor"/>
    </font>
    <font>
      <b/>
      <sz val="7"/>
      <color theme="1"/>
      <name val="Wingdings"/>
      <family val="2"/>
      <charset val="2"/>
    </font>
    <font>
      <b/>
      <sz val="7"/>
      <color theme="1"/>
      <name val="Calibri"/>
      <family val="2"/>
    </font>
    <font>
      <b/>
      <sz val="7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7"/>
      <color theme="0" tint="-0.499984740745262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ajor"/>
    </font>
    <font>
      <b/>
      <sz val="1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7"/>
      <color theme="1"/>
      <name val="Arial Unicode MS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ajor"/>
    </font>
    <font>
      <sz val="6.5"/>
      <color theme="1"/>
      <name val="맑은 고딕"/>
      <family val="3"/>
      <charset val="129"/>
      <scheme val="minor"/>
    </font>
    <font>
      <sz val="6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6"/>
      <name val="HY견고딕"/>
      <family val="1"/>
      <charset val="129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7"/>
      <name val="맑은 고딕"/>
      <family val="3"/>
      <charset val="129"/>
    </font>
    <font>
      <sz val="7"/>
      <name val="Wingdings"/>
      <family val="3"/>
      <charset val="2"/>
    </font>
    <font>
      <sz val="7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6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6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 style="medium">
        <color rgb="FF002060"/>
      </top>
      <bottom style="dotted">
        <color theme="4" tint="0.39994506668294322"/>
      </bottom>
      <diagonal/>
    </border>
    <border>
      <left/>
      <right/>
      <top style="dotted">
        <color theme="4" tint="0.39994506668294322"/>
      </top>
      <bottom style="dotted">
        <color theme="4" tint="0.39994506668294322"/>
      </bottom>
      <diagonal/>
    </border>
    <border>
      <left/>
      <right/>
      <top style="dotted">
        <color theme="4" tint="0.39994506668294322"/>
      </top>
      <bottom style="thin">
        <color rgb="FF002060"/>
      </bottom>
      <diagonal/>
    </border>
    <border>
      <left/>
      <right/>
      <top style="medium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dotted">
        <color theme="4" tint="0.39994506668294322"/>
      </top>
      <bottom/>
      <diagonal/>
    </border>
    <border>
      <left/>
      <right/>
      <top/>
      <bottom style="dotted">
        <color theme="4" tint="0.39994506668294322"/>
      </bottom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theme="1" tint="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 tint="0.34998626667073579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medium">
        <color theme="1" tint="0.34998626667073579"/>
      </top>
      <bottom style="thin">
        <color theme="0" tint="-0.14993743705557422"/>
      </bottom>
      <diagonal/>
    </border>
    <border>
      <left/>
      <right/>
      <top style="medium">
        <color theme="1" tint="0.34998626667073579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medium">
        <color theme="1" tint="0.34998626667073579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medium">
        <color theme="1" tint="0.34998626667073579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medium">
        <color theme="1" tint="0.34998626667073579"/>
      </bottom>
      <diagonal/>
    </border>
    <border>
      <left/>
      <right/>
      <top style="thin">
        <color theme="0" tint="-0.14993743705557422"/>
      </top>
      <bottom style="medium">
        <color theme="1" tint="0.34998626667073579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medium">
        <color theme="1" tint="0.34998626667073579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medium">
        <color theme="1" tint="0.34998626667073579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/>
      <bottom/>
      <diagonal/>
    </border>
    <border>
      <left/>
      <right style="medium">
        <color theme="0" tint="-0.14996795556505021"/>
      </right>
      <top/>
      <bottom/>
      <diagonal/>
    </border>
    <border>
      <left style="medium">
        <color theme="0" tint="-0.14996795556505021"/>
      </left>
      <right/>
      <top/>
      <bottom style="medium">
        <color theme="0" tint="-0.14996795556505021"/>
      </bottom>
      <diagonal/>
    </border>
    <border>
      <left/>
      <right/>
      <top/>
      <bottom style="medium">
        <color theme="0" tint="-0.14996795556505021"/>
      </bottom>
      <diagonal/>
    </border>
    <border>
      <left/>
      <right style="medium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0" tint="-0.14996795556505021"/>
      </left>
      <right style="thin">
        <color theme="0" tint="-0.14993743705557422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0" tint="-0.14993743705557422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thin">
        <color theme="0" tint="-0.14996795556505021"/>
      </right>
      <top style="medium">
        <color theme="1" tint="0.34998626667073579"/>
      </top>
      <bottom style="medium">
        <color theme="1" tint="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medium">
        <color theme="1" tint="0.34998626667073579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medium">
        <color theme="0" tint="-0.14996795556505021"/>
      </bottom>
      <diagonal/>
    </border>
    <border>
      <left/>
      <right/>
      <top style="thin">
        <color theme="0" tint="-0.14993743705557422"/>
      </top>
      <bottom style="medium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14996795556505021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theme="1" tint="0.34998626667073579"/>
      </bottom>
      <diagonal/>
    </border>
    <border>
      <left style="thin">
        <color theme="0" tint="-0.14996795556505021"/>
      </left>
      <right/>
      <top style="medium">
        <color theme="1" tint="0.34998626667073579"/>
      </top>
      <bottom style="medium">
        <color theme="0" tint="-0.14996795556505021"/>
      </bottom>
      <diagonal/>
    </border>
    <border>
      <left/>
      <right/>
      <top style="medium">
        <color theme="1" tint="0.34998626667073579"/>
      </top>
      <bottom style="medium">
        <color theme="0" tint="-0.14996795556505021"/>
      </bottom>
      <diagonal/>
    </border>
    <border>
      <left/>
      <right style="thin">
        <color theme="0" tint="-0.14996795556505021"/>
      </right>
      <top style="medium">
        <color theme="1" tint="0.34998626667073579"/>
      </top>
      <bottom style="medium">
        <color theme="0" tint="-0.14996795556505021"/>
      </bottom>
      <diagonal/>
    </border>
    <border>
      <left style="thin">
        <color theme="0" tint="-0.14996795556505021"/>
      </left>
      <right/>
      <top style="medium">
        <color theme="0" tint="-0.14996795556505021"/>
      </top>
      <bottom/>
      <diagonal/>
    </border>
    <border>
      <left/>
      <right style="thin">
        <color theme="0" tint="-0.14996795556505021"/>
      </right>
      <top style="medium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medium">
        <color theme="0" tint="-0.14996795556505021"/>
      </top>
      <bottom style="thin">
        <color theme="0" tint="-0.14993743705557422"/>
      </bottom>
      <diagonal/>
    </border>
    <border>
      <left/>
      <right/>
      <top style="medium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/>
      <right style="thin">
        <color theme="0" tint="-0.14996795556505021"/>
      </right>
      <top/>
      <bottom style="medium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thin">
        <color theme="0" tint="-0.14996795556505021"/>
      </right>
      <top/>
      <bottom style="medium">
        <color theme="1" tint="0.34998626667073579"/>
      </bottom>
      <diagonal/>
    </border>
    <border>
      <left style="thin">
        <color theme="0" tint="-0.14993743705557422"/>
      </left>
      <right/>
      <top style="medium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medium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medium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medium">
        <color theme="0" tint="-0.14996795556505021"/>
      </bottom>
      <diagonal/>
    </border>
    <border>
      <left/>
      <right/>
      <top style="thin">
        <color rgb="FF002060"/>
      </top>
      <bottom/>
      <diagonal/>
    </border>
    <border>
      <left/>
      <right/>
      <top style="medium">
        <color rgb="FF002060"/>
      </top>
      <bottom style="dotted">
        <color theme="8" tint="0.39994506668294322"/>
      </bottom>
      <diagonal/>
    </border>
    <border>
      <left/>
      <right style="thin">
        <color theme="0"/>
      </right>
      <top style="medium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medium">
        <color theme="0" tint="-0.499984740745262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0" tint="-0.499984740745262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 tint="-0.499984740745262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medium">
        <color theme="0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/>
      <top/>
      <bottom style="medium">
        <color theme="1" tint="0.34998626667073579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medium">
        <color theme="1" tint="0.34998626667073579"/>
      </bottom>
      <diagonal/>
    </border>
    <border>
      <left/>
      <right/>
      <top/>
      <bottom style="thick">
        <color theme="0" tint="-0.499984740745262"/>
      </bottom>
      <diagonal/>
    </border>
    <border>
      <left/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medium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ck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3743705557422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1499374370555742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1499374370555742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1499374370555742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1499374370555742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1499374370555742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14996795556505021"/>
      </left>
      <right style="hair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14996795556505021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14996795556505021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medium">
        <color theme="1" tint="0.34998626667073579"/>
      </bottom>
      <diagonal/>
    </border>
    <border>
      <left style="thin">
        <color rgb="FF002060"/>
      </left>
      <right/>
      <top style="medium">
        <color rgb="FF002060"/>
      </top>
      <bottom/>
      <diagonal/>
    </border>
    <border>
      <left/>
      <right style="thin">
        <color rgb="FF002060"/>
      </right>
      <top style="medium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</borders>
  <cellStyleXfs count="5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46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6" fillId="0" borderId="4" xfId="0" applyFont="1" applyBorder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0" fontId="10" fillId="2" borderId="0" xfId="0" applyFont="1" applyFill="1">
      <alignment vertical="center"/>
    </xf>
    <xf numFmtId="0" fontId="10" fillId="0" borderId="0" xfId="0" applyFont="1">
      <alignment vertical="center"/>
    </xf>
    <xf numFmtId="0" fontId="10" fillId="4" borderId="39" xfId="0" applyFont="1" applyFill="1" applyBorder="1">
      <alignment vertical="center"/>
    </xf>
    <xf numFmtId="0" fontId="12" fillId="4" borderId="41" xfId="0" applyFont="1" applyFill="1" applyBorder="1">
      <alignment vertical="center"/>
    </xf>
    <xf numFmtId="176" fontId="10" fillId="0" borderId="0" xfId="0" applyNumberFormat="1" applyFont="1">
      <alignment vertical="center"/>
    </xf>
    <xf numFmtId="0" fontId="25" fillId="2" borderId="0" xfId="0" applyFont="1" applyFill="1">
      <alignment vertical="center"/>
    </xf>
    <xf numFmtId="0" fontId="26" fillId="2" borderId="32" xfId="0" applyFont="1" applyFill="1" applyBorder="1">
      <alignment vertical="center"/>
    </xf>
    <xf numFmtId="0" fontId="25" fillId="2" borderId="61" xfId="0" applyFont="1" applyFill="1" applyBorder="1">
      <alignment vertical="center"/>
    </xf>
    <xf numFmtId="0" fontId="25" fillId="2" borderId="63" xfId="0" applyFont="1" applyFill="1" applyBorder="1">
      <alignment vertical="center"/>
    </xf>
    <xf numFmtId="0" fontId="26" fillId="2" borderId="68" xfId="0" applyFont="1" applyFill="1" applyBorder="1">
      <alignment vertical="center"/>
    </xf>
    <xf numFmtId="0" fontId="25" fillId="2" borderId="69" xfId="0" applyFont="1" applyFill="1" applyBorder="1">
      <alignment vertical="center"/>
    </xf>
    <xf numFmtId="0" fontId="25" fillId="2" borderId="43" xfId="0" applyFont="1" applyFill="1" applyBorder="1">
      <alignment vertical="center"/>
    </xf>
    <xf numFmtId="0" fontId="25" fillId="2" borderId="74" xfId="0" applyFont="1" applyFill="1" applyBorder="1">
      <alignment vertical="center"/>
    </xf>
    <xf numFmtId="0" fontId="21" fillId="2" borderId="0" xfId="0" applyFont="1" applyFill="1" applyAlignment="1">
      <alignment horizontal="left" vertical="center"/>
    </xf>
    <xf numFmtId="0" fontId="12" fillId="0" borderId="54" xfId="0" applyFont="1" applyBorder="1" applyAlignment="1">
      <alignment horizontal="center" vertical="center"/>
    </xf>
    <xf numFmtId="177" fontId="4" fillId="0" borderId="0" xfId="0" applyNumberFormat="1" applyFont="1">
      <alignment vertical="center"/>
    </xf>
    <xf numFmtId="0" fontId="10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2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176" fontId="7" fillId="0" borderId="1" xfId="1" applyFont="1" applyBorder="1" applyAlignment="1" applyProtection="1">
      <alignment horizontal="center" vertical="center"/>
    </xf>
    <xf numFmtId="0" fontId="5" fillId="0" borderId="7" xfId="0" applyFont="1" applyBorder="1">
      <alignment vertical="center"/>
    </xf>
    <xf numFmtId="0" fontId="25" fillId="0" borderId="32" xfId="0" applyFont="1" applyBorder="1" applyAlignment="1">
      <alignment horizontal="left" vertical="center"/>
    </xf>
    <xf numFmtId="0" fontId="25" fillId="0" borderId="61" xfId="0" applyFont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4" fillId="2" borderId="0" xfId="0" applyFont="1" applyFill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12" fillId="0" borderId="0" xfId="1" applyFont="1" applyFill="1" applyBorder="1">
      <alignment vertical="center"/>
    </xf>
    <xf numFmtId="3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76" fontId="12" fillId="0" borderId="0" xfId="1" applyFont="1" applyFill="1" applyBorder="1" applyAlignment="1">
      <alignment horizontal="right" vertical="center"/>
    </xf>
    <xf numFmtId="176" fontId="12" fillId="0" borderId="0" xfId="1" applyFont="1" applyFill="1" applyBorder="1" applyAlignment="1">
      <alignment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176" fontId="39" fillId="0" borderId="95" xfId="1" applyFont="1" applyFill="1" applyBorder="1" applyAlignment="1">
      <alignment horizontal="right" vertical="center"/>
    </xf>
    <xf numFmtId="176" fontId="39" fillId="0" borderId="0" xfId="1" applyFont="1" applyFill="1" applyBorder="1" applyAlignment="1">
      <alignment horizontal="left" vertical="center"/>
    </xf>
    <xf numFmtId="176" fontId="39" fillId="0" borderId="0" xfId="1" applyFont="1" applyFill="1" applyBorder="1" applyAlignment="1">
      <alignment horizontal="center" vertical="center"/>
    </xf>
    <xf numFmtId="176" fontId="14" fillId="0" borderId="0" xfId="1" applyFont="1" applyFill="1" applyBorder="1" applyAlignment="1">
      <alignment horizontal="center" vertical="center"/>
    </xf>
    <xf numFmtId="176" fontId="39" fillId="0" borderId="94" xfId="1" applyFont="1" applyFill="1" applyBorder="1" applyAlignment="1">
      <alignment horizontal="right" vertical="center"/>
    </xf>
    <xf numFmtId="10" fontId="5" fillId="0" borderId="0" xfId="2" applyNumberFormat="1" applyFont="1" applyFill="1" applyBorder="1" applyAlignment="1">
      <alignment horizontal="right" vertical="center" indent="1"/>
    </xf>
    <xf numFmtId="177" fontId="5" fillId="0" borderId="0" xfId="2" applyNumberFormat="1" applyFont="1" applyFill="1" applyBorder="1" applyAlignment="1">
      <alignment horizontal="right" vertical="center"/>
    </xf>
    <xf numFmtId="176" fontId="7" fillId="0" borderId="0" xfId="1" applyFont="1" applyFill="1" applyBorder="1" applyAlignment="1" applyProtection="1">
      <alignment horizontal="center" vertical="center"/>
    </xf>
    <xf numFmtId="176" fontId="3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177" fontId="5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6" fontId="5" fillId="0" borderId="0" xfId="1" applyFont="1" applyFill="1" applyBorder="1" applyAlignment="1">
      <alignment horizontal="right" vertical="center"/>
    </xf>
    <xf numFmtId="10" fontId="5" fillId="0" borderId="0" xfId="2" applyNumberFormat="1" applyFont="1" applyFill="1" applyBorder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left" vertical="center"/>
    </xf>
    <xf numFmtId="0" fontId="25" fillId="0" borderId="63" xfId="0" applyFont="1" applyBorder="1" applyAlignment="1">
      <alignment horizontal="left" vertical="center"/>
    </xf>
    <xf numFmtId="0" fontId="25" fillId="0" borderId="32" xfId="0" applyFont="1" applyBorder="1">
      <alignment vertical="center"/>
    </xf>
    <xf numFmtId="0" fontId="25" fillId="0" borderId="74" xfId="0" applyFont="1" applyBorder="1" applyAlignment="1">
      <alignment horizontal="left" vertical="center"/>
    </xf>
    <xf numFmtId="0" fontId="25" fillId="0" borderId="75" xfId="0" applyFont="1" applyBorder="1" applyAlignment="1">
      <alignment horizontal="left" vertical="center"/>
    </xf>
    <xf numFmtId="0" fontId="26" fillId="2" borderId="65" xfId="0" applyFont="1" applyFill="1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35" fillId="7" borderId="97" xfId="0" quotePrefix="1" applyFont="1" applyFill="1" applyBorder="1" applyAlignment="1">
      <alignment horizontal="center" vertical="center"/>
    </xf>
    <xf numFmtId="179" fontId="0" fillId="0" borderId="97" xfId="0" applyNumberFormat="1" applyBorder="1">
      <alignment vertical="center"/>
    </xf>
    <xf numFmtId="0" fontId="0" fillId="0" borderId="97" xfId="0" applyBorder="1">
      <alignment vertical="center"/>
    </xf>
    <xf numFmtId="41" fontId="0" fillId="0" borderId="97" xfId="4" applyFont="1" applyBorder="1">
      <alignment vertical="center"/>
    </xf>
    <xf numFmtId="0" fontId="20" fillId="2" borderId="0" xfId="0" applyFont="1" applyFill="1">
      <alignment vertical="center"/>
    </xf>
    <xf numFmtId="0" fontId="25" fillId="2" borderId="74" xfId="0" applyFont="1" applyFill="1" applyBorder="1" applyAlignment="1">
      <alignment horizontal="center" vertical="center"/>
    </xf>
    <xf numFmtId="0" fontId="4" fillId="0" borderId="11" xfId="0" applyFont="1" applyBorder="1">
      <alignment vertical="center"/>
    </xf>
    <xf numFmtId="181" fontId="4" fillId="0" borderId="11" xfId="2" applyNumberFormat="1" applyFont="1" applyBorder="1">
      <alignment vertical="center"/>
    </xf>
    <xf numFmtId="182" fontId="51" fillId="8" borderId="97" xfId="4" applyNumberFormat="1" applyFont="1" applyFill="1" applyBorder="1" applyAlignment="1">
      <alignment horizontal="center" vertical="center" wrapText="1"/>
    </xf>
    <xf numFmtId="182" fontId="53" fillId="0" borderId="97" xfId="4" applyNumberFormat="1" applyFont="1" applyBorder="1" applyAlignment="1">
      <alignment horizontal="center" vertical="center"/>
    </xf>
    <xf numFmtId="41" fontId="53" fillId="0" borderId="97" xfId="4" applyFont="1" applyBorder="1" applyAlignment="1">
      <alignment horizontal="center" vertical="center" wrapText="1"/>
    </xf>
    <xf numFmtId="182" fontId="52" fillId="0" borderId="97" xfId="4" applyNumberFormat="1" applyFont="1" applyFill="1" applyBorder="1" applyAlignment="1">
      <alignment horizontal="center" vertical="center"/>
    </xf>
    <xf numFmtId="41" fontId="52" fillId="0" borderId="97" xfId="4" applyFont="1" applyBorder="1" applyAlignment="1">
      <alignment horizontal="center" vertical="center" wrapText="1"/>
    </xf>
    <xf numFmtId="182" fontId="55" fillId="0" borderId="97" xfId="4" applyNumberFormat="1" applyFont="1" applyFill="1" applyBorder="1" applyAlignment="1">
      <alignment horizontal="right" vertical="center" wrapText="1"/>
    </xf>
    <xf numFmtId="41" fontId="53" fillId="0" borderId="97" xfId="4" applyFont="1" applyBorder="1" applyAlignment="1">
      <alignment horizontal="right" vertical="center" wrapText="1"/>
    </xf>
    <xf numFmtId="182" fontId="52" fillId="9" borderId="97" xfId="4" applyNumberFormat="1" applyFont="1" applyFill="1" applyBorder="1" applyAlignment="1">
      <alignment horizontal="center" vertical="center"/>
    </xf>
    <xf numFmtId="41" fontId="52" fillId="9" borderId="97" xfId="4" applyFont="1" applyFill="1" applyBorder="1" applyAlignment="1">
      <alignment horizontal="right" vertical="center" wrapText="1"/>
    </xf>
    <xf numFmtId="182" fontId="56" fillId="0" borderId="97" xfId="4" applyNumberFormat="1" applyFont="1" applyFill="1" applyBorder="1" applyAlignment="1">
      <alignment horizontal="center" vertical="center"/>
    </xf>
    <xf numFmtId="41" fontId="56" fillId="0" borderId="97" xfId="4" applyFont="1" applyFill="1" applyBorder="1" applyAlignment="1">
      <alignment horizontal="right" vertical="center" wrapText="1"/>
    </xf>
    <xf numFmtId="182" fontId="52" fillId="0" borderId="97" xfId="4" applyNumberFormat="1" applyFont="1" applyFill="1" applyBorder="1" applyAlignment="1">
      <alignment horizontal="center" vertical="center" wrapText="1"/>
    </xf>
    <xf numFmtId="0" fontId="0" fillId="5" borderId="97" xfId="0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59" fillId="2" borderId="74" xfId="0" applyFont="1" applyFill="1" applyBorder="1" applyAlignment="1">
      <alignment horizontal="left" vertical="center"/>
    </xf>
    <xf numFmtId="0" fontId="42" fillId="5" borderId="97" xfId="0" applyFont="1" applyFill="1" applyBorder="1" applyAlignment="1">
      <alignment horizontal="center" vertical="center"/>
    </xf>
    <xf numFmtId="0" fontId="64" fillId="2" borderId="0" xfId="0" applyFont="1" applyFill="1">
      <alignment vertical="center"/>
    </xf>
    <xf numFmtId="0" fontId="64" fillId="0" borderId="0" xfId="0" applyFont="1">
      <alignment vertical="center"/>
    </xf>
    <xf numFmtId="44" fontId="64" fillId="0" borderId="0" xfId="0" applyNumberFormat="1" applyFont="1">
      <alignment vertical="center"/>
    </xf>
    <xf numFmtId="0" fontId="42" fillId="11" borderId="97" xfId="0" applyFont="1" applyFill="1" applyBorder="1" applyAlignment="1">
      <alignment horizontal="center" vertical="center"/>
    </xf>
    <xf numFmtId="0" fontId="42" fillId="0" borderId="97" xfId="0" applyFont="1" applyBorder="1" applyAlignment="1">
      <alignment horizontal="center" vertical="center"/>
    </xf>
    <xf numFmtId="41" fontId="42" fillId="0" borderId="97" xfId="4" applyFont="1" applyBorder="1" applyAlignment="1">
      <alignment horizontal="center" vertical="center"/>
    </xf>
    <xf numFmtId="0" fontId="65" fillId="5" borderId="97" xfId="0" applyFont="1" applyFill="1" applyBorder="1" applyAlignment="1">
      <alignment horizontal="center" vertical="center" wrapText="1"/>
    </xf>
    <xf numFmtId="0" fontId="0" fillId="6" borderId="97" xfId="0" applyFill="1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176" fontId="0" fillId="0" borderId="97" xfId="1" applyFont="1" applyBorder="1" applyAlignment="1">
      <alignment horizontal="center" vertical="center" wrapText="1"/>
    </xf>
    <xf numFmtId="0" fontId="0" fillId="3" borderId="97" xfId="0" applyFill="1" applyBorder="1" applyAlignment="1">
      <alignment horizontal="center" vertical="center"/>
    </xf>
    <xf numFmtId="0" fontId="0" fillId="10" borderId="97" xfId="0" applyFill="1" applyBorder="1" applyAlignment="1">
      <alignment horizontal="center" vertical="center" wrapText="1"/>
    </xf>
    <xf numFmtId="176" fontId="0" fillId="10" borderId="97" xfId="1" applyFont="1" applyFill="1" applyBorder="1" applyAlignment="1">
      <alignment horizontal="center" vertical="center" wrapText="1"/>
    </xf>
    <xf numFmtId="0" fontId="4" fillId="0" borderId="11" xfId="0" applyFont="1" applyBorder="1">
      <alignment vertical="center"/>
    </xf>
    <xf numFmtId="176" fontId="4" fillId="0" borderId="11" xfId="1" applyFont="1" applyBorder="1">
      <alignment vertical="center"/>
    </xf>
    <xf numFmtId="9" fontId="4" fillId="0" borderId="11" xfId="2" applyFont="1" applyBorder="1">
      <alignment vertical="center"/>
    </xf>
    <xf numFmtId="177" fontId="4" fillId="0" borderId="11" xfId="0" applyNumberFormat="1" applyFont="1" applyBorder="1">
      <alignment vertical="center"/>
    </xf>
    <xf numFmtId="181" fontId="4" fillId="0" borderId="11" xfId="2" applyNumberFormat="1" applyFont="1" applyBorder="1">
      <alignment vertical="center"/>
    </xf>
    <xf numFmtId="0" fontId="8" fillId="0" borderId="4" xfId="0" applyFont="1" applyBorder="1">
      <alignment vertical="center"/>
    </xf>
    <xf numFmtId="0" fontId="5" fillId="0" borderId="7" xfId="0" applyFont="1" applyBorder="1">
      <alignment vertical="center"/>
    </xf>
    <xf numFmtId="176" fontId="5" fillId="3" borderId="7" xfId="1" applyFont="1" applyFill="1" applyBorder="1" applyAlignment="1">
      <alignment horizontal="right" vertical="center"/>
    </xf>
    <xf numFmtId="180" fontId="44" fillId="3" borderId="4" xfId="2" applyNumberFormat="1" applyFont="1" applyFill="1" applyBorder="1" applyAlignment="1">
      <alignment horizontal="center" vertical="center"/>
    </xf>
    <xf numFmtId="10" fontId="5" fillId="3" borderId="7" xfId="0" applyNumberFormat="1" applyFont="1" applyFill="1" applyBorder="1" applyAlignment="1">
      <alignment horizontal="right" vertical="center"/>
    </xf>
    <xf numFmtId="178" fontId="5" fillId="0" borderId="81" xfId="1" applyNumberFormat="1" applyFont="1" applyFill="1" applyBorder="1" applyAlignment="1">
      <alignment horizontal="right" vertical="center"/>
    </xf>
    <xf numFmtId="0" fontId="8" fillId="0" borderId="6" xfId="0" applyFont="1" applyBorder="1">
      <alignment vertical="center"/>
    </xf>
    <xf numFmtId="176" fontId="5" fillId="0" borderId="6" xfId="1" applyFont="1" applyBorder="1" applyAlignment="1">
      <alignment horizontal="right" vertical="center"/>
    </xf>
    <xf numFmtId="177" fontId="5" fillId="0" borderId="12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right" vertical="center"/>
    </xf>
    <xf numFmtId="176" fontId="5" fillId="3" borderId="12" xfId="1" applyFont="1" applyFill="1" applyBorder="1" applyAlignment="1">
      <alignment horizontal="right" vertical="center"/>
    </xf>
    <xf numFmtId="177" fontId="5" fillId="0" borderId="6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177" fontId="4" fillId="0" borderId="80" xfId="0" applyNumberFormat="1" applyFont="1" applyBorder="1">
      <alignment vertical="center"/>
    </xf>
    <xf numFmtId="10" fontId="5" fillId="3" borderId="7" xfId="2" applyNumberFormat="1" applyFont="1" applyFill="1" applyBorder="1" applyAlignment="1">
      <alignment horizontal="right" vertical="center"/>
    </xf>
    <xf numFmtId="177" fontId="5" fillId="0" borderId="8" xfId="0" applyNumberFormat="1" applyFont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center" vertical="center"/>
    </xf>
    <xf numFmtId="177" fontId="5" fillId="3" borderId="7" xfId="0" applyNumberFormat="1" applyFont="1" applyFill="1" applyBorder="1" applyAlignment="1">
      <alignment horizontal="center" vertical="center"/>
    </xf>
    <xf numFmtId="177" fontId="5" fillId="0" borderId="7" xfId="0" applyNumberFormat="1" applyFont="1" applyBorder="1" applyAlignment="1">
      <alignment horizontal="right" vertical="center"/>
    </xf>
    <xf numFmtId="10" fontId="5" fillId="0" borderId="7" xfId="2" applyNumberFormat="1" applyFont="1" applyFill="1" applyBorder="1" applyAlignment="1">
      <alignment horizontal="right" vertical="center" indent="1"/>
    </xf>
    <xf numFmtId="0" fontId="5" fillId="10" borderId="6" xfId="0" applyFont="1" applyFill="1" applyBorder="1" applyAlignment="1">
      <alignment horizontal="center" vertical="center"/>
    </xf>
    <xf numFmtId="177" fontId="5" fillId="3" borderId="7" xfId="0" applyNumberFormat="1" applyFont="1" applyFill="1" applyBorder="1" applyAlignment="1">
      <alignment horizontal="right" vertical="center"/>
    </xf>
    <xf numFmtId="177" fontId="5" fillId="3" borderId="8" xfId="0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177" fontId="5" fillId="0" borderId="7" xfId="0" applyNumberFormat="1" applyFont="1" applyBorder="1">
      <alignment vertical="center"/>
    </xf>
    <xf numFmtId="177" fontId="5" fillId="0" borderId="8" xfId="0" applyNumberFormat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7" xfId="0" applyFont="1" applyBorder="1">
      <alignment vertical="center"/>
    </xf>
    <xf numFmtId="177" fontId="5" fillId="3" borderId="7" xfId="0" applyNumberFormat="1" applyFont="1" applyFill="1" applyBorder="1">
      <alignment vertical="center"/>
    </xf>
    <xf numFmtId="177" fontId="5" fillId="0" borderId="7" xfId="2" applyNumberFormat="1" applyFont="1" applyFill="1" applyBorder="1" applyAlignment="1">
      <alignment horizontal="right" vertical="center"/>
    </xf>
    <xf numFmtId="10" fontId="5" fillId="3" borderId="7" xfId="2" applyNumberFormat="1" applyFont="1" applyFill="1" applyBorder="1" applyAlignment="1">
      <alignment horizontal="right" vertical="center" indent="1"/>
    </xf>
    <xf numFmtId="176" fontId="7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center" vertical="center"/>
    </xf>
    <xf numFmtId="176" fontId="37" fillId="0" borderId="2" xfId="0" applyNumberFormat="1" applyFont="1" applyBorder="1" applyAlignment="1">
      <alignment horizontal="center" vertical="center"/>
    </xf>
    <xf numFmtId="0" fontId="8" fillId="10" borderId="6" xfId="0" applyFont="1" applyFill="1" applyBorder="1">
      <alignment vertical="center"/>
    </xf>
    <xf numFmtId="0" fontId="5" fillId="3" borderId="4" xfId="0" applyFont="1" applyFill="1" applyBorder="1" applyAlignment="1">
      <alignment horizontal="right" vertical="center"/>
    </xf>
    <xf numFmtId="0" fontId="5" fillId="0" borderId="5" xfId="0" applyFont="1" applyBorder="1">
      <alignment vertical="center"/>
    </xf>
    <xf numFmtId="0" fontId="5" fillId="0" borderId="3" xfId="0" applyFont="1" applyBorder="1">
      <alignment vertical="center"/>
    </xf>
    <xf numFmtId="176" fontId="7" fillId="3" borderId="1" xfId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 shrinkToFit="1"/>
    </xf>
    <xf numFmtId="0" fontId="7" fillId="0" borderId="9" xfId="0" applyFont="1" applyBorder="1" applyAlignment="1">
      <alignment horizontal="left" vertical="center" shrinkToFit="1"/>
    </xf>
    <xf numFmtId="0" fontId="4" fillId="0" borderId="7" xfId="0" applyFont="1" applyBorder="1">
      <alignment vertical="center"/>
    </xf>
    <xf numFmtId="10" fontId="5" fillId="0" borderId="6" xfId="2" applyNumberFormat="1" applyFont="1" applyBorder="1" applyAlignment="1">
      <alignment horizontal="right" vertical="center"/>
    </xf>
    <xf numFmtId="0" fontId="8" fillId="0" borderId="140" xfId="0" applyFont="1" applyBorder="1" applyAlignment="1">
      <alignment vertical="center" wrapText="1"/>
    </xf>
    <xf numFmtId="0" fontId="8" fillId="0" borderId="138" xfId="0" applyFont="1" applyBorder="1">
      <alignment vertical="center"/>
    </xf>
    <xf numFmtId="0" fontId="8" fillId="0" borderId="141" xfId="0" applyFont="1" applyBorder="1">
      <alignment vertical="center"/>
    </xf>
    <xf numFmtId="0" fontId="8" fillId="0" borderId="142" xfId="0" applyFont="1" applyBorder="1">
      <alignment vertical="center"/>
    </xf>
    <xf numFmtId="0" fontId="8" fillId="0" borderId="0" xfId="0" applyFont="1">
      <alignment vertical="center"/>
    </xf>
    <xf numFmtId="0" fontId="8" fillId="0" borderId="143" xfId="0" applyFont="1" applyBorder="1">
      <alignment vertical="center"/>
    </xf>
    <xf numFmtId="0" fontId="8" fillId="0" borderId="14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145" xfId="0" applyFont="1" applyBorder="1">
      <alignment vertical="center"/>
    </xf>
    <xf numFmtId="176" fontId="4" fillId="0" borderId="11" xfId="0" applyNumberFormat="1" applyFont="1" applyBorder="1">
      <alignment vertical="center"/>
    </xf>
    <xf numFmtId="10" fontId="4" fillId="0" borderId="11" xfId="2" applyNumberFormat="1" applyFont="1" applyBorder="1">
      <alignment vertical="center"/>
    </xf>
    <xf numFmtId="10" fontId="5" fillId="0" borderId="7" xfId="1" applyNumberFormat="1" applyFont="1" applyFill="1" applyBorder="1" applyAlignment="1">
      <alignment horizontal="right" vertical="center" indent="1"/>
    </xf>
    <xf numFmtId="0" fontId="21" fillId="2" borderId="0" xfId="0" applyFont="1" applyFill="1" applyAlignment="1">
      <alignment horizontal="center" vertical="center" wrapText="1"/>
    </xf>
    <xf numFmtId="0" fontId="31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right" vertical="center"/>
    </xf>
    <xf numFmtId="0" fontId="35" fillId="2" borderId="0" xfId="0" applyFont="1" applyFill="1" applyAlignment="1">
      <alignment horizontal="left" vertical="center"/>
    </xf>
    <xf numFmtId="0" fontId="25" fillId="2" borderId="74" xfId="0" applyFont="1" applyFill="1" applyBorder="1" applyAlignment="1">
      <alignment horizontal="center" vertical="center"/>
    </xf>
    <xf numFmtId="0" fontId="21" fillId="4" borderId="57" xfId="0" applyFont="1" applyFill="1" applyBorder="1" applyAlignment="1">
      <alignment horizontal="center" vertical="center"/>
    </xf>
    <xf numFmtId="0" fontId="21" fillId="4" borderId="58" xfId="0" applyFont="1" applyFill="1" applyBorder="1" applyAlignment="1">
      <alignment horizontal="center" vertical="center"/>
    </xf>
    <xf numFmtId="0" fontId="21" fillId="4" borderId="59" xfId="0" applyFont="1" applyFill="1" applyBorder="1" applyAlignment="1">
      <alignment horizontal="center" vertical="center"/>
    </xf>
    <xf numFmtId="0" fontId="63" fillId="2" borderId="60" xfId="0" applyFont="1" applyFill="1" applyBorder="1" applyAlignment="1">
      <alignment horizontal="left" vertical="top" wrapText="1"/>
    </xf>
    <xf numFmtId="0" fontId="62" fillId="2" borderId="32" xfId="0" applyFont="1" applyFill="1" applyBorder="1" applyAlignment="1">
      <alignment horizontal="left" vertical="top" wrapText="1"/>
    </xf>
    <xf numFmtId="0" fontId="62" fillId="2" borderId="61" xfId="0" applyFont="1" applyFill="1" applyBorder="1" applyAlignment="1">
      <alignment horizontal="left" vertical="top" wrapText="1"/>
    </xf>
    <xf numFmtId="0" fontId="62" fillId="2" borderId="62" xfId="0" applyFont="1" applyFill="1" applyBorder="1" applyAlignment="1">
      <alignment horizontal="left" vertical="top" wrapText="1"/>
    </xf>
    <xf numFmtId="0" fontId="62" fillId="2" borderId="0" xfId="0" applyFont="1" applyFill="1" applyAlignment="1">
      <alignment horizontal="left" vertical="top" wrapText="1"/>
    </xf>
    <xf numFmtId="0" fontId="62" fillId="2" borderId="63" xfId="0" applyFont="1" applyFill="1" applyBorder="1" applyAlignment="1">
      <alignment horizontal="left" vertical="top" wrapText="1"/>
    </xf>
    <xf numFmtId="0" fontId="62" fillId="2" borderId="73" xfId="0" applyFont="1" applyFill="1" applyBorder="1" applyAlignment="1">
      <alignment horizontal="left" vertical="top" wrapText="1"/>
    </xf>
    <xf numFmtId="0" fontId="62" fillId="2" borderId="74" xfId="0" applyFont="1" applyFill="1" applyBorder="1" applyAlignment="1">
      <alignment horizontal="left" vertical="top" wrapText="1"/>
    </xf>
    <xf numFmtId="0" fontId="62" fillId="2" borderId="75" xfId="0" applyFont="1" applyFill="1" applyBorder="1" applyAlignment="1">
      <alignment horizontal="left" vertical="top" wrapText="1"/>
    </xf>
    <xf numFmtId="0" fontId="28" fillId="2" borderId="60" xfId="0" applyFont="1" applyFill="1" applyBorder="1" applyAlignment="1">
      <alignment horizontal="left" vertical="center" wrapText="1"/>
    </xf>
    <xf numFmtId="0" fontId="28" fillId="2" borderId="32" xfId="0" applyFont="1" applyFill="1" applyBorder="1" applyAlignment="1">
      <alignment horizontal="left" vertical="center" wrapText="1"/>
    </xf>
    <xf numFmtId="0" fontId="28" fillId="2" borderId="61" xfId="0" applyFont="1" applyFill="1" applyBorder="1" applyAlignment="1">
      <alignment horizontal="left" vertical="center" wrapText="1"/>
    </xf>
    <xf numFmtId="0" fontId="28" fillId="2" borderId="62" xfId="0" applyFont="1" applyFill="1" applyBorder="1" applyAlignment="1">
      <alignment horizontal="left" vertical="center" wrapText="1"/>
    </xf>
    <xf numFmtId="0" fontId="28" fillId="2" borderId="0" xfId="0" applyFont="1" applyFill="1" applyAlignment="1">
      <alignment horizontal="left" vertical="center" wrapText="1"/>
    </xf>
    <xf numFmtId="0" fontId="28" fillId="2" borderId="63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0" fillId="2" borderId="63" xfId="0" applyFont="1" applyFill="1" applyBorder="1" applyAlignment="1">
      <alignment horizontal="left" vertical="center" wrapText="1"/>
    </xf>
    <xf numFmtId="0" fontId="28" fillId="2" borderId="73" xfId="0" applyFont="1" applyFill="1" applyBorder="1" applyAlignment="1">
      <alignment horizontal="left" vertical="center" wrapText="1"/>
    </xf>
    <xf numFmtId="0" fontId="28" fillId="2" borderId="74" xfId="0" applyFont="1" applyFill="1" applyBorder="1" applyAlignment="1">
      <alignment horizontal="left" vertical="center" wrapText="1"/>
    </xf>
    <xf numFmtId="0" fontId="28" fillId="2" borderId="75" xfId="0" applyFont="1" applyFill="1" applyBorder="1" applyAlignment="1">
      <alignment horizontal="left" vertical="center" wrapText="1"/>
    </xf>
    <xf numFmtId="0" fontId="26" fillId="2" borderId="71" xfId="0" applyFont="1" applyFill="1" applyBorder="1" applyAlignment="1">
      <alignment horizontal="center" vertical="center"/>
    </xf>
    <xf numFmtId="0" fontId="26" fillId="2" borderId="72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6" fillId="2" borderId="63" xfId="0" applyFont="1" applyFill="1" applyBorder="1" applyAlignment="1">
      <alignment horizontal="center" vertical="center"/>
    </xf>
    <xf numFmtId="0" fontId="27" fillId="2" borderId="73" xfId="0" applyFont="1" applyFill="1" applyBorder="1" applyAlignment="1">
      <alignment horizontal="left" vertical="center"/>
    </xf>
    <xf numFmtId="0" fontId="19" fillId="2" borderId="74" xfId="0" applyFont="1" applyFill="1" applyBorder="1" applyAlignment="1">
      <alignment horizontal="left" vertical="center"/>
    </xf>
    <xf numFmtId="0" fontId="19" fillId="2" borderId="75" xfId="0" applyFont="1" applyFill="1" applyBorder="1" applyAlignment="1">
      <alignment horizontal="left" vertical="center"/>
    </xf>
    <xf numFmtId="0" fontId="57" fillId="2" borderId="74" xfId="0" applyFont="1" applyFill="1" applyBorder="1" applyAlignment="1">
      <alignment horizontal="left" vertical="center"/>
    </xf>
    <xf numFmtId="0" fontId="26" fillId="2" borderId="74" xfId="0" applyFont="1" applyFill="1" applyBorder="1" applyAlignment="1">
      <alignment horizontal="center" vertical="center"/>
    </xf>
    <xf numFmtId="0" fontId="26" fillId="2" borderId="75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0" fontId="25" fillId="2" borderId="62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2" borderId="73" xfId="0" applyFont="1" applyFill="1" applyBorder="1" applyAlignment="1">
      <alignment horizontal="center" vertical="center" wrapText="1"/>
    </xf>
    <xf numFmtId="0" fontId="25" fillId="2" borderId="74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left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61" xfId="0" applyFont="1" applyFill="1" applyBorder="1" applyAlignment="1">
      <alignment horizontal="center" vertical="center"/>
    </xf>
    <xf numFmtId="0" fontId="25" fillId="2" borderId="70" xfId="0" applyFont="1" applyFill="1" applyBorder="1" applyAlignment="1">
      <alignment horizontal="center" vertical="center"/>
    </xf>
    <xf numFmtId="0" fontId="25" fillId="2" borderId="71" xfId="0" applyFont="1" applyFill="1" applyBorder="1" applyAlignment="1">
      <alignment horizontal="center" vertical="center"/>
    </xf>
    <xf numFmtId="0" fontId="22" fillId="2" borderId="68" xfId="0" applyFont="1" applyFill="1" applyBorder="1" applyAlignment="1">
      <alignment horizontal="left" vertical="center"/>
    </xf>
    <xf numFmtId="0" fontId="25" fillId="2" borderId="68" xfId="0" applyFont="1" applyFill="1" applyBorder="1" applyAlignment="1">
      <alignment horizontal="left" vertical="center"/>
    </xf>
    <xf numFmtId="0" fontId="25" fillId="2" borderId="64" xfId="0" applyFont="1" applyFill="1" applyBorder="1" applyAlignment="1">
      <alignment horizontal="center" vertical="center"/>
    </xf>
    <xf numFmtId="0" fontId="25" fillId="2" borderId="65" xfId="0" applyFont="1" applyFill="1" applyBorder="1" applyAlignment="1">
      <alignment horizontal="center" vertical="center"/>
    </xf>
    <xf numFmtId="0" fontId="26" fillId="2" borderId="65" xfId="0" applyFont="1" applyFill="1" applyBorder="1" applyAlignment="1">
      <alignment horizontal="left" vertical="center"/>
    </xf>
    <xf numFmtId="0" fontId="26" fillId="2" borderId="66" xfId="0" applyFont="1" applyFill="1" applyBorder="1" applyAlignment="1">
      <alignment horizontal="left" vertical="center"/>
    </xf>
    <xf numFmtId="0" fontId="25" fillId="2" borderId="60" xfId="0" applyFont="1" applyFill="1" applyBorder="1" applyAlignment="1">
      <alignment horizontal="center" vertical="center" wrapText="1"/>
    </xf>
    <xf numFmtId="0" fontId="25" fillId="2" borderId="32" xfId="0" applyFont="1" applyFill="1" applyBorder="1" applyAlignment="1">
      <alignment horizontal="center" vertical="center" wrapText="1"/>
    </xf>
    <xf numFmtId="0" fontId="25" fillId="2" borderId="67" xfId="0" applyFont="1" applyFill="1" applyBorder="1" applyAlignment="1">
      <alignment horizontal="center" vertical="center" wrapText="1"/>
    </xf>
    <xf numFmtId="0" fontId="25" fillId="2" borderId="68" xfId="0" applyFont="1" applyFill="1" applyBorder="1" applyAlignment="1">
      <alignment horizontal="center" vertical="center" wrapText="1"/>
    </xf>
    <xf numFmtId="0" fontId="25" fillId="2" borderId="32" xfId="0" applyFont="1" applyFill="1" applyBorder="1" applyAlignment="1">
      <alignment horizontal="left" vertical="center"/>
    </xf>
    <xf numFmtId="0" fontId="22" fillId="0" borderId="62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5" fillId="0" borderId="63" xfId="0" applyFont="1" applyBorder="1" applyAlignment="1">
      <alignment horizontal="left" vertical="center"/>
    </xf>
    <xf numFmtId="0" fontId="25" fillId="0" borderId="62" xfId="0" applyFont="1" applyBorder="1" applyAlignment="1">
      <alignment horizontal="left" vertical="center"/>
    </xf>
    <xf numFmtId="9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0" fontId="20" fillId="0" borderId="31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3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35" xfId="0" applyFont="1" applyBorder="1" applyAlignment="1">
      <alignment horizontal="left" vertical="center"/>
    </xf>
    <xf numFmtId="0" fontId="19" fillId="0" borderId="36" xfId="0" applyFont="1" applyBorder="1" applyAlignment="1">
      <alignment horizontal="left" vertical="center"/>
    </xf>
    <xf numFmtId="0" fontId="19" fillId="0" borderId="37" xfId="0" applyFont="1" applyBorder="1" applyAlignment="1">
      <alignment horizontal="left" vertical="center"/>
    </xf>
    <xf numFmtId="0" fontId="19" fillId="0" borderId="38" xfId="0" applyFont="1" applyBorder="1" applyAlignment="1">
      <alignment horizontal="left" vertical="center"/>
    </xf>
    <xf numFmtId="0" fontId="22" fillId="0" borderId="60" xfId="0" applyFont="1" applyBorder="1" applyAlignment="1">
      <alignment horizontal="left" vertical="center"/>
    </xf>
    <xf numFmtId="0" fontId="25" fillId="0" borderId="32" xfId="0" applyFont="1" applyBorder="1" applyAlignment="1">
      <alignment horizontal="left" vertical="center"/>
    </xf>
    <xf numFmtId="0" fontId="25" fillId="0" borderId="61" xfId="0" applyFont="1" applyBorder="1" applyAlignment="1">
      <alignment horizontal="left" vertical="center"/>
    </xf>
    <xf numFmtId="0" fontId="25" fillId="0" borderId="60" xfId="0" applyFont="1" applyBorder="1" applyAlignment="1">
      <alignment horizontal="left" vertical="center"/>
    </xf>
    <xf numFmtId="3" fontId="25" fillId="0" borderId="32" xfId="0" applyNumberFormat="1" applyFont="1" applyBorder="1" applyAlignment="1">
      <alignment horizontal="right" vertical="center"/>
    </xf>
    <xf numFmtId="176" fontId="12" fillId="0" borderId="47" xfId="1" applyFont="1" applyBorder="1" applyAlignment="1">
      <alignment horizontal="right" vertical="center"/>
    </xf>
    <xf numFmtId="176" fontId="12" fillId="0" borderId="76" xfId="1" applyFont="1" applyBorder="1" applyAlignment="1">
      <alignment vertical="center"/>
    </xf>
    <xf numFmtId="176" fontId="12" fillId="0" borderId="65" xfId="1" applyFont="1" applyBorder="1" applyAlignment="1">
      <alignment vertical="center"/>
    </xf>
    <xf numFmtId="176" fontId="12" fillId="0" borderId="66" xfId="1" applyFont="1" applyBorder="1" applyAlignment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9" fontId="36" fillId="0" borderId="139" xfId="0" applyNumberFormat="1" applyFont="1" applyBorder="1" applyAlignment="1">
      <alignment horizontal="right" vertical="center"/>
    </xf>
    <xf numFmtId="9" fontId="36" fillId="0" borderId="28" xfId="0" applyNumberFormat="1" applyFont="1" applyBorder="1" applyAlignment="1">
      <alignment horizontal="right" vertical="center"/>
    </xf>
    <xf numFmtId="9" fontId="36" fillId="0" borderId="29" xfId="0" applyNumberFormat="1" applyFont="1" applyBorder="1" applyAlignment="1">
      <alignment horizontal="right" vertical="center"/>
    </xf>
    <xf numFmtId="176" fontId="12" fillId="0" borderId="139" xfId="1" applyFont="1" applyBorder="1" applyAlignment="1">
      <alignment vertical="center"/>
    </xf>
    <xf numFmtId="176" fontId="12" fillId="0" borderId="28" xfId="1" applyFont="1" applyBorder="1" applyAlignment="1">
      <alignment vertical="center"/>
    </xf>
    <xf numFmtId="176" fontId="12" fillId="0" borderId="30" xfId="1" applyFont="1" applyBorder="1" applyAlignment="1">
      <alignment vertical="center"/>
    </xf>
    <xf numFmtId="0" fontId="12" fillId="4" borderId="53" xfId="0" applyFont="1" applyFill="1" applyBorder="1" applyAlignment="1">
      <alignment horizontal="center" vertical="center"/>
    </xf>
    <xf numFmtId="0" fontId="12" fillId="4" borderId="56" xfId="0" applyFont="1" applyFill="1" applyBorder="1" applyAlignment="1">
      <alignment horizontal="center" vertical="center"/>
    </xf>
    <xf numFmtId="0" fontId="45" fillId="0" borderId="64" xfId="0" applyFont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45" fillId="0" borderId="77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176" fontId="12" fillId="0" borderId="77" xfId="1" applyFont="1" applyBorder="1" applyAlignment="1">
      <alignment vertical="center"/>
    </xf>
    <xf numFmtId="3" fontId="12" fillId="0" borderId="47" xfId="0" applyNumberFormat="1" applyFont="1" applyBorder="1" applyAlignment="1">
      <alignment horizontal="right" vertical="center"/>
    </xf>
    <xf numFmtId="0" fontId="12" fillId="0" borderId="47" xfId="0" applyFont="1" applyBorder="1" applyAlignment="1">
      <alignment horizontal="right" vertical="center"/>
    </xf>
    <xf numFmtId="0" fontId="19" fillId="0" borderId="78" xfId="0" applyFont="1" applyBorder="1" applyAlignment="1">
      <alignment horizontal="left" vertical="center"/>
    </xf>
    <xf numFmtId="0" fontId="19" fillId="0" borderId="51" xfId="0" applyFont="1" applyBorder="1" applyAlignment="1">
      <alignment horizontal="left" vertical="center"/>
    </xf>
    <xf numFmtId="0" fontId="19" fillId="0" borderId="79" xfId="0" applyFont="1" applyBorder="1" applyAlignment="1">
      <alignment horizontal="left" vertical="center"/>
    </xf>
    <xf numFmtId="9" fontId="36" fillId="0" borderId="50" xfId="0" applyNumberFormat="1" applyFont="1" applyBorder="1" applyAlignment="1">
      <alignment horizontal="right" vertical="center"/>
    </xf>
    <xf numFmtId="9" fontId="36" fillId="0" borderId="51" xfId="0" applyNumberFormat="1" applyFont="1" applyBorder="1" applyAlignment="1">
      <alignment horizontal="right" vertical="center"/>
    </xf>
    <xf numFmtId="9" fontId="36" fillId="0" borderId="79" xfId="0" applyNumberFormat="1" applyFont="1" applyBorder="1" applyAlignment="1">
      <alignment horizontal="right" vertical="center"/>
    </xf>
    <xf numFmtId="176" fontId="12" fillId="0" borderId="50" xfId="1" applyFont="1" applyBorder="1" applyAlignment="1">
      <alignment vertical="center"/>
    </xf>
    <xf numFmtId="176" fontId="12" fillId="0" borderId="51" xfId="1" applyFont="1" applyBorder="1" applyAlignment="1">
      <alignment vertical="center"/>
    </xf>
    <xf numFmtId="176" fontId="12" fillId="0" borderId="52" xfId="1" applyFont="1" applyBorder="1" applyAlignment="1">
      <alignment vertical="center"/>
    </xf>
    <xf numFmtId="0" fontId="12" fillId="4" borderId="55" xfId="0" applyFont="1" applyFill="1" applyBorder="1" applyAlignment="1">
      <alignment horizontal="center" vertical="center"/>
    </xf>
    <xf numFmtId="176" fontId="12" fillId="0" borderId="48" xfId="1" applyFont="1" applyBorder="1" applyAlignment="1">
      <alignment vertical="center"/>
    </xf>
    <xf numFmtId="176" fontId="12" fillId="0" borderId="16" xfId="1" applyFont="1" applyBorder="1" applyAlignment="1">
      <alignment vertical="center"/>
    </xf>
    <xf numFmtId="176" fontId="12" fillId="0" borderId="18" xfId="1" applyFont="1" applyBorder="1" applyAlignment="1">
      <alignment vertical="center"/>
    </xf>
    <xf numFmtId="0" fontId="12" fillId="4" borderId="45" xfId="0" applyFont="1" applyFill="1" applyBorder="1" applyAlignment="1">
      <alignment horizontal="center" vertical="center"/>
    </xf>
    <xf numFmtId="0" fontId="12" fillId="4" borderId="49" xfId="0" applyFont="1" applyFill="1" applyBorder="1" applyAlignment="1">
      <alignment horizontal="center" vertical="center"/>
    </xf>
    <xf numFmtId="0" fontId="45" fillId="0" borderId="46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176" fontId="12" fillId="0" borderId="48" xfId="1" applyFont="1" applyBorder="1" applyAlignment="1">
      <alignment horizontal="center" vertical="center"/>
    </xf>
    <xf numFmtId="176" fontId="12" fillId="0" borderId="16" xfId="1" applyFont="1" applyBorder="1" applyAlignment="1">
      <alignment horizontal="center" vertical="center"/>
    </xf>
    <xf numFmtId="176" fontId="12" fillId="0" borderId="17" xfId="1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 wrapText="1"/>
    </xf>
    <xf numFmtId="0" fontId="19" fillId="0" borderId="32" xfId="0" applyFont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19" fillId="0" borderId="3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12" fillId="4" borderId="40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2" fillId="4" borderId="98" xfId="0" applyFont="1" applyFill="1" applyBorder="1" applyAlignment="1">
      <alignment horizontal="center" vertical="center"/>
    </xf>
    <xf numFmtId="0" fontId="12" fillId="4" borderId="99" xfId="0" applyFont="1" applyFill="1" applyBorder="1" applyAlignment="1">
      <alignment horizontal="center" vertical="center"/>
    </xf>
    <xf numFmtId="0" fontId="12" fillId="4" borderId="100" xfId="0" applyFont="1" applyFill="1" applyBorder="1" applyAlignment="1">
      <alignment horizontal="center" vertical="center"/>
    </xf>
    <xf numFmtId="0" fontId="12" fillId="4" borderId="10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63" xfId="0" applyFont="1" applyFill="1" applyBorder="1" applyAlignment="1">
      <alignment horizontal="center" vertical="center"/>
    </xf>
    <xf numFmtId="0" fontId="12" fillId="4" borderId="102" xfId="0" applyFont="1" applyFill="1" applyBorder="1" applyAlignment="1">
      <alignment horizontal="center" vertical="center"/>
    </xf>
    <xf numFmtId="0" fontId="12" fillId="4" borderId="74" xfId="0" applyFont="1" applyFill="1" applyBorder="1" applyAlignment="1">
      <alignment horizontal="center" vertical="center"/>
    </xf>
    <xf numFmtId="0" fontId="12" fillId="4" borderId="75" xfId="0" applyFont="1" applyFill="1" applyBorder="1" applyAlignment="1">
      <alignment horizontal="center" vertical="center"/>
    </xf>
    <xf numFmtId="0" fontId="46" fillId="0" borderId="103" xfId="0" applyFont="1" applyBorder="1" applyAlignment="1">
      <alignment horizontal="center" vertical="center" wrapText="1"/>
    </xf>
    <xf numFmtId="0" fontId="46" fillId="0" borderId="104" xfId="0" applyFont="1" applyBorder="1" applyAlignment="1">
      <alignment horizontal="center" vertical="center"/>
    </xf>
    <xf numFmtId="0" fontId="46" fillId="0" borderId="105" xfId="0" applyFont="1" applyBorder="1" applyAlignment="1">
      <alignment horizontal="center" vertical="center"/>
    </xf>
    <xf numFmtId="0" fontId="46" fillId="0" borderId="62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06" xfId="0" applyFont="1" applyBorder="1" applyAlignment="1">
      <alignment horizontal="center" vertical="center"/>
    </xf>
    <xf numFmtId="0" fontId="46" fillId="0" borderId="73" xfId="0" applyFont="1" applyBorder="1" applyAlignment="1">
      <alignment horizontal="center" vertical="center"/>
    </xf>
    <xf numFmtId="0" fontId="46" fillId="0" borderId="74" xfId="0" applyFont="1" applyBorder="1" applyAlignment="1">
      <alignment horizontal="center" vertical="center"/>
    </xf>
    <xf numFmtId="0" fontId="46" fillId="0" borderId="107" xfId="0" applyFont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3" fillId="0" borderId="27" xfId="3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2" fillId="4" borderId="19" xfId="0" applyFont="1" applyFill="1" applyBorder="1" applyAlignment="1">
      <alignment horizontal="center" vertical="center"/>
    </xf>
    <xf numFmtId="10" fontId="43" fillId="0" borderId="21" xfId="0" applyNumberFormat="1" applyFont="1" applyBorder="1" applyAlignment="1">
      <alignment horizontal="center" vertical="center"/>
    </xf>
    <xf numFmtId="0" fontId="43" fillId="0" borderId="22" xfId="0" applyFont="1" applyBorder="1" applyAlignment="1">
      <alignment horizontal="center" vertical="center"/>
    </xf>
    <xf numFmtId="0" fontId="43" fillId="0" borderId="23" xfId="0" applyFont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14" fontId="12" fillId="0" borderId="15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43" fillId="0" borderId="103" xfId="0" applyFont="1" applyBorder="1" applyAlignment="1">
      <alignment horizontal="center" vertical="center" wrapText="1"/>
    </xf>
    <xf numFmtId="0" fontId="43" fillId="0" borderId="21" xfId="0" applyFont="1" applyBorder="1" applyAlignment="1">
      <alignment horizontal="center" vertical="center"/>
    </xf>
    <xf numFmtId="0" fontId="39" fillId="5" borderId="112" xfId="0" applyFont="1" applyFill="1" applyBorder="1" applyAlignment="1">
      <alignment horizontal="center" vertical="center" wrapText="1"/>
    </xf>
    <xf numFmtId="0" fontId="39" fillId="5" borderId="113" xfId="0" applyFont="1" applyFill="1" applyBorder="1" applyAlignment="1">
      <alignment horizontal="center" vertical="center"/>
    </xf>
    <xf numFmtId="176" fontId="39" fillId="0" borderId="113" xfId="1" applyFont="1" applyFill="1" applyBorder="1" applyAlignment="1">
      <alignment horizontal="center" vertical="center"/>
    </xf>
    <xf numFmtId="176" fontId="21" fillId="0" borderId="113" xfId="1" applyFont="1" applyFill="1" applyBorder="1" applyAlignment="1">
      <alignment horizontal="center" vertical="center"/>
    </xf>
    <xf numFmtId="0" fontId="38" fillId="2" borderId="0" xfId="0" applyFont="1" applyFill="1">
      <alignment vertical="center"/>
    </xf>
    <xf numFmtId="14" fontId="14" fillId="0" borderId="113" xfId="0" applyNumberFormat="1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0" fontId="14" fillId="0" borderId="129" xfId="0" applyFont="1" applyBorder="1" applyAlignment="1">
      <alignment horizontal="center" vertical="center"/>
    </xf>
    <xf numFmtId="0" fontId="14" fillId="4" borderId="113" xfId="0" applyFont="1" applyFill="1" applyBorder="1" applyAlignment="1">
      <alignment horizontal="center" vertical="center"/>
    </xf>
    <xf numFmtId="0" fontId="14" fillId="4" borderId="126" xfId="0" applyFont="1" applyFill="1" applyBorder="1" applyAlignment="1">
      <alignment horizontal="center" vertical="center"/>
    </xf>
    <xf numFmtId="0" fontId="14" fillId="4" borderId="110" xfId="0" applyFont="1" applyFill="1" applyBorder="1" applyAlignment="1">
      <alignment horizontal="center" vertical="center"/>
    </xf>
    <xf numFmtId="176" fontId="39" fillId="0" borderId="116" xfId="1" applyFont="1" applyFill="1" applyBorder="1" applyAlignment="1">
      <alignment horizontal="center" vertical="center"/>
    </xf>
    <xf numFmtId="0" fontId="40" fillId="0" borderId="113" xfId="1" applyNumberFormat="1" applyFont="1" applyFill="1" applyBorder="1" applyAlignment="1">
      <alignment horizontal="center" vertical="center" wrapText="1"/>
    </xf>
    <xf numFmtId="0" fontId="39" fillId="5" borderId="112" xfId="0" applyFont="1" applyFill="1" applyBorder="1" applyAlignment="1">
      <alignment horizontal="center" vertical="center"/>
    </xf>
    <xf numFmtId="0" fontId="39" fillId="0" borderId="113" xfId="1" applyNumberFormat="1" applyFont="1" applyFill="1" applyBorder="1" applyAlignment="1">
      <alignment horizontal="left" vertical="center" wrapText="1"/>
    </xf>
    <xf numFmtId="0" fontId="39" fillId="0" borderId="113" xfId="1" applyNumberFormat="1" applyFont="1" applyFill="1" applyBorder="1" applyAlignment="1">
      <alignment horizontal="left" vertical="center"/>
    </xf>
    <xf numFmtId="0" fontId="39" fillId="5" borderId="115" xfId="0" applyFont="1" applyFill="1" applyBorder="1" applyAlignment="1">
      <alignment horizontal="center" vertical="center"/>
    </xf>
    <xf numFmtId="0" fontId="39" fillId="5" borderId="116" xfId="0" applyFont="1" applyFill="1" applyBorder="1" applyAlignment="1">
      <alignment horizontal="center" vertical="center"/>
    </xf>
    <xf numFmtId="176" fontId="39" fillId="5" borderId="110" xfId="1" applyFont="1" applyFill="1" applyBorder="1" applyAlignment="1">
      <alignment horizontal="center" vertical="center"/>
    </xf>
    <xf numFmtId="176" fontId="40" fillId="0" borderId="116" xfId="1" applyFont="1" applyFill="1" applyBorder="1" applyAlignment="1">
      <alignment horizontal="center" vertical="center"/>
    </xf>
    <xf numFmtId="176" fontId="40" fillId="0" borderId="117" xfId="1" applyFont="1" applyFill="1" applyBorder="1" applyAlignment="1">
      <alignment horizontal="center" vertical="center"/>
    </xf>
    <xf numFmtId="0" fontId="39" fillId="0" borderId="118" xfId="0" quotePrefix="1" applyFont="1" applyBorder="1" applyAlignment="1">
      <alignment horizontal="left" vertical="center" wrapText="1"/>
    </xf>
    <xf numFmtId="0" fontId="39" fillId="0" borderId="0" xfId="0" quotePrefix="1" applyFont="1" applyAlignment="1">
      <alignment horizontal="left" vertical="center" wrapText="1"/>
    </xf>
    <xf numFmtId="0" fontId="39" fillId="0" borderId="119" xfId="0" quotePrefix="1" applyFont="1" applyBorder="1" applyAlignment="1">
      <alignment horizontal="left" vertical="center" wrapText="1"/>
    </xf>
    <xf numFmtId="0" fontId="14" fillId="0" borderId="110" xfId="0" applyFont="1" applyBorder="1" applyAlignment="1">
      <alignment horizontal="center" vertical="center"/>
    </xf>
    <xf numFmtId="0" fontId="14" fillId="0" borderId="127" xfId="0" applyFont="1" applyBorder="1" applyAlignment="1">
      <alignment horizontal="center" vertical="center"/>
    </xf>
    <xf numFmtId="0" fontId="14" fillId="4" borderId="132" xfId="0" applyFont="1" applyFill="1" applyBorder="1" applyAlignment="1">
      <alignment horizontal="center" vertical="center"/>
    </xf>
    <xf numFmtId="0" fontId="14" fillId="4" borderId="133" xfId="0" applyFont="1" applyFill="1" applyBorder="1" applyAlignment="1">
      <alignment horizontal="center" vertical="center"/>
    </xf>
    <xf numFmtId="0" fontId="14" fillId="4" borderId="134" xfId="0" applyFont="1" applyFill="1" applyBorder="1" applyAlignment="1">
      <alignment horizontal="center" vertical="center"/>
    </xf>
    <xf numFmtId="0" fontId="14" fillId="4" borderId="116" xfId="0" applyFont="1" applyFill="1" applyBorder="1" applyAlignment="1">
      <alignment horizontal="center" vertical="center"/>
    </xf>
    <xf numFmtId="0" fontId="14" fillId="0" borderId="116" xfId="0" applyFont="1" applyBorder="1" applyAlignment="1">
      <alignment horizontal="center" vertical="center"/>
    </xf>
    <xf numFmtId="0" fontId="14" fillId="0" borderId="131" xfId="0" applyFont="1" applyBorder="1" applyAlignment="1">
      <alignment horizontal="center" vertical="center"/>
    </xf>
    <xf numFmtId="0" fontId="13" fillId="0" borderId="116" xfId="3" applyFont="1" applyBorder="1" applyAlignment="1">
      <alignment horizontal="center" vertical="center"/>
    </xf>
    <xf numFmtId="0" fontId="39" fillId="5" borderId="109" xfId="0" applyFont="1" applyFill="1" applyBorder="1" applyAlignment="1">
      <alignment horizontal="center" vertical="center"/>
    </xf>
    <xf numFmtId="0" fontId="39" fillId="5" borderId="110" xfId="0" applyFont="1" applyFill="1" applyBorder="1" applyAlignment="1">
      <alignment horizontal="center" vertical="center"/>
    </xf>
    <xf numFmtId="0" fontId="39" fillId="5" borderId="135" xfId="0" applyFont="1" applyFill="1" applyBorder="1" applyAlignment="1">
      <alignment horizontal="center" vertical="center"/>
    </xf>
    <xf numFmtId="0" fontId="39" fillId="5" borderId="136" xfId="0" applyFont="1" applyFill="1" applyBorder="1" applyAlignment="1">
      <alignment horizontal="center" vertical="center"/>
    </xf>
    <xf numFmtId="176" fontId="39" fillId="0" borderId="136" xfId="1" applyFont="1" applyFill="1" applyBorder="1" applyAlignment="1">
      <alignment horizontal="center" vertical="center"/>
    </xf>
    <xf numFmtId="0" fontId="39" fillId="0" borderId="108" xfId="0" applyFont="1" applyBorder="1" applyAlignment="1">
      <alignment horizontal="left"/>
    </xf>
    <xf numFmtId="176" fontId="39" fillId="5" borderId="111" xfId="1" applyFont="1" applyFill="1" applyBorder="1" applyAlignment="1">
      <alignment horizontal="center" vertical="center"/>
    </xf>
    <xf numFmtId="0" fontId="47" fillId="5" borderId="112" xfId="0" applyFont="1" applyFill="1" applyBorder="1" applyAlignment="1">
      <alignment horizontal="center" vertical="center" wrapText="1"/>
    </xf>
    <xf numFmtId="0" fontId="47" fillId="5" borderId="113" xfId="0" applyFont="1" applyFill="1" applyBorder="1" applyAlignment="1">
      <alignment horizontal="center" vertical="center"/>
    </xf>
    <xf numFmtId="176" fontId="40" fillId="0" borderId="113" xfId="1" applyFont="1" applyFill="1" applyBorder="1" applyAlignment="1">
      <alignment horizontal="center" vertical="center" wrapText="1"/>
    </xf>
    <xf numFmtId="176" fontId="40" fillId="0" borderId="113" xfId="1" applyFont="1" applyFill="1" applyBorder="1" applyAlignment="1">
      <alignment horizontal="center" vertical="center"/>
    </xf>
    <xf numFmtId="0" fontId="60" fillId="5" borderId="112" xfId="0" applyFont="1" applyFill="1" applyBorder="1" applyAlignment="1">
      <alignment horizontal="center" vertical="center"/>
    </xf>
    <xf numFmtId="0" fontId="60" fillId="5" borderId="113" xfId="0" applyFont="1" applyFill="1" applyBorder="1" applyAlignment="1">
      <alignment horizontal="center" vertical="center"/>
    </xf>
    <xf numFmtId="176" fontId="39" fillId="0" borderId="136" xfId="1" applyFont="1" applyFill="1" applyBorder="1" applyAlignment="1">
      <alignment horizontal="center" vertical="center" wrapText="1"/>
    </xf>
    <xf numFmtId="176" fontId="39" fillId="0" borderId="137" xfId="1" applyFont="1" applyFill="1" applyBorder="1" applyAlignment="1">
      <alignment horizontal="center" vertical="center"/>
    </xf>
    <xf numFmtId="176" fontId="39" fillId="0" borderId="114" xfId="1" applyFont="1" applyFill="1" applyBorder="1" applyAlignment="1">
      <alignment horizontal="center" vertical="center"/>
    </xf>
    <xf numFmtId="176" fontId="61" fillId="0" borderId="113" xfId="1" applyFont="1" applyFill="1" applyBorder="1" applyAlignment="1">
      <alignment horizontal="center" vertical="center"/>
    </xf>
    <xf numFmtId="176" fontId="60" fillId="0" borderId="113" xfId="1" applyFont="1" applyFill="1" applyBorder="1" applyAlignment="1">
      <alignment horizontal="center" vertical="center" wrapText="1"/>
    </xf>
    <xf numFmtId="0" fontId="14" fillId="4" borderId="128" xfId="0" applyFont="1" applyFill="1" applyBorder="1" applyAlignment="1">
      <alignment horizontal="center" vertical="center"/>
    </xf>
    <xf numFmtId="0" fontId="14" fillId="4" borderId="130" xfId="0" applyFont="1" applyFill="1" applyBorder="1" applyAlignment="1">
      <alignment horizontal="center" vertical="center"/>
    </xf>
    <xf numFmtId="176" fontId="60" fillId="0" borderId="113" xfId="1" applyFont="1" applyFill="1" applyBorder="1" applyAlignment="1">
      <alignment horizontal="center" vertical="center"/>
    </xf>
    <xf numFmtId="182" fontId="48" fillId="0" borderId="0" xfId="4" applyNumberFormat="1" applyFont="1" applyAlignment="1">
      <alignment horizontal="center" vertical="center"/>
    </xf>
    <xf numFmtId="182" fontId="50" fillId="0" borderId="120" xfId="4" applyNumberFormat="1" applyFont="1" applyBorder="1" applyAlignment="1">
      <alignment vertical="center"/>
    </xf>
    <xf numFmtId="182" fontId="52" fillId="8" borderId="97" xfId="4" applyNumberFormat="1" applyFont="1" applyFill="1" applyBorder="1" applyAlignment="1">
      <alignment horizontal="center" vertical="center" wrapText="1"/>
    </xf>
    <xf numFmtId="182" fontId="52" fillId="8" borderId="121" xfId="4" applyNumberFormat="1" applyFont="1" applyFill="1" applyBorder="1" applyAlignment="1">
      <alignment horizontal="center" vertical="center" wrapText="1"/>
    </xf>
    <xf numFmtId="182" fontId="52" fillId="8" borderId="122" xfId="4" applyNumberFormat="1" applyFont="1" applyFill="1" applyBorder="1" applyAlignment="1">
      <alignment horizontal="center" vertical="center" wrapText="1"/>
    </xf>
    <xf numFmtId="182" fontId="52" fillId="8" borderId="123" xfId="4" applyNumberFormat="1" applyFont="1" applyFill="1" applyBorder="1" applyAlignment="1">
      <alignment horizontal="center" vertical="center" wrapText="1"/>
    </xf>
    <xf numFmtId="182" fontId="52" fillId="8" borderId="124" xfId="4" applyNumberFormat="1" applyFont="1" applyFill="1" applyBorder="1" applyAlignment="1">
      <alignment horizontal="center" vertical="center" wrapText="1"/>
    </xf>
    <xf numFmtId="182" fontId="52" fillId="8" borderId="125" xfId="4" applyNumberFormat="1" applyFont="1" applyFill="1" applyBorder="1" applyAlignment="1">
      <alignment horizontal="center" vertical="center" wrapText="1"/>
    </xf>
    <xf numFmtId="14" fontId="51" fillId="0" borderId="120" xfId="4" applyNumberFormat="1" applyFont="1" applyBorder="1" applyAlignment="1">
      <alignment horizontal="right"/>
    </xf>
    <xf numFmtId="0" fontId="0" fillId="5" borderId="97" xfId="0" applyFill="1" applyBorder="1">
      <alignment vertical="center"/>
    </xf>
    <xf numFmtId="0" fontId="39" fillId="5" borderId="94" xfId="0" applyFont="1" applyFill="1" applyBorder="1" applyAlignment="1">
      <alignment horizontal="center" vertical="center"/>
    </xf>
    <xf numFmtId="176" fontId="39" fillId="0" borderId="94" xfId="1" applyFont="1" applyFill="1" applyBorder="1" applyAlignment="1">
      <alignment horizontal="right" vertical="center"/>
    </xf>
    <xf numFmtId="0" fontId="39" fillId="0" borderId="94" xfId="0" quotePrefix="1" applyFont="1" applyBorder="1" applyAlignment="1">
      <alignment horizontal="left" vertical="center"/>
    </xf>
    <xf numFmtId="0" fontId="39" fillId="0" borderId="94" xfId="0" applyFont="1" applyBorder="1" applyAlignment="1">
      <alignment horizontal="left" vertical="center"/>
    </xf>
    <xf numFmtId="0" fontId="10" fillId="0" borderId="94" xfId="0" applyFont="1" applyBorder="1" applyAlignment="1">
      <alignment horizontal="left" vertical="center"/>
    </xf>
    <xf numFmtId="0" fontId="10" fillId="0" borderId="95" xfId="0" applyFont="1" applyBorder="1" applyAlignment="1">
      <alignment horizontal="left" vertical="center"/>
    </xf>
    <xf numFmtId="176" fontId="39" fillId="0" borderId="93" xfId="1" applyFont="1" applyFill="1" applyBorder="1" applyAlignment="1">
      <alignment horizontal="center" vertical="center"/>
    </xf>
    <xf numFmtId="0" fontId="39" fillId="5" borderId="95" xfId="0" applyFont="1" applyFill="1" applyBorder="1" applyAlignment="1">
      <alignment horizontal="center" vertical="center"/>
    </xf>
    <xf numFmtId="176" fontId="40" fillId="0" borderId="95" xfId="1" applyFont="1" applyFill="1" applyBorder="1" applyAlignment="1">
      <alignment horizontal="right" vertical="center"/>
    </xf>
    <xf numFmtId="0" fontId="39" fillId="0" borderId="96" xfId="0" quotePrefix="1" applyFont="1" applyBorder="1" applyAlignment="1">
      <alignment horizontal="left" vertical="center"/>
    </xf>
    <xf numFmtId="0" fontId="39" fillId="0" borderId="96" xfId="0" applyFont="1" applyBorder="1" applyAlignment="1">
      <alignment horizontal="left" vertical="center"/>
    </xf>
    <xf numFmtId="176" fontId="40" fillId="0" borderId="94" xfId="1" applyFont="1" applyFill="1" applyBorder="1" applyAlignment="1">
      <alignment horizontal="right" vertical="center"/>
    </xf>
    <xf numFmtId="9" fontId="39" fillId="6" borderId="94" xfId="2" applyFont="1" applyFill="1" applyBorder="1" applyAlignment="1">
      <alignment horizontal="right" vertical="center"/>
    </xf>
    <xf numFmtId="0" fontId="39" fillId="5" borderId="93" xfId="0" applyFont="1" applyFill="1" applyBorder="1" applyAlignment="1">
      <alignment horizontal="center" vertical="center"/>
    </xf>
    <xf numFmtId="0" fontId="39" fillId="0" borderId="93" xfId="1" applyNumberFormat="1" applyFont="1" applyFill="1" applyBorder="1" applyAlignment="1">
      <alignment horizontal="center" vertical="center"/>
    </xf>
    <xf numFmtId="0" fontId="14" fillId="4" borderId="82" xfId="0" applyFont="1" applyFill="1" applyBorder="1" applyAlignment="1">
      <alignment horizontal="center" vertical="center" wrapText="1"/>
    </xf>
    <xf numFmtId="0" fontId="14" fillId="4" borderId="86" xfId="0" applyFont="1" applyFill="1" applyBorder="1" applyAlignment="1">
      <alignment horizontal="center" vertical="center"/>
    </xf>
    <xf numFmtId="0" fontId="14" fillId="4" borderId="89" xfId="0" applyFont="1" applyFill="1" applyBorder="1" applyAlignment="1">
      <alignment horizontal="center" vertical="center"/>
    </xf>
    <xf numFmtId="0" fontId="14" fillId="5" borderId="83" xfId="0" applyFont="1" applyFill="1" applyBorder="1" applyAlignment="1">
      <alignment horizontal="center" vertical="center"/>
    </xf>
    <xf numFmtId="0" fontId="14" fillId="5" borderId="84" xfId="0" applyFont="1" applyFill="1" applyBorder="1" applyAlignment="1">
      <alignment horizontal="center" vertical="center"/>
    </xf>
    <xf numFmtId="0" fontId="14" fillId="0" borderId="85" xfId="0" applyFont="1" applyBorder="1" applyAlignment="1">
      <alignment horizontal="left" vertical="center" indent="1"/>
    </xf>
    <xf numFmtId="0" fontId="14" fillId="5" borderId="87" xfId="0" applyFont="1" applyFill="1" applyBorder="1" applyAlignment="1">
      <alignment horizontal="center" vertical="center"/>
    </xf>
    <xf numFmtId="0" fontId="14" fillId="5" borderId="88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left" vertical="center" wrapText="1" indent="1"/>
    </xf>
    <xf numFmtId="0" fontId="14" fillId="0" borderId="20" xfId="0" applyFont="1" applyBorder="1" applyAlignment="1">
      <alignment horizontal="left" vertical="center" indent="1"/>
    </xf>
    <xf numFmtId="0" fontId="14" fillId="5" borderId="90" xfId="0" applyFont="1" applyFill="1" applyBorder="1" applyAlignment="1">
      <alignment horizontal="center" vertical="center"/>
    </xf>
    <xf numFmtId="0" fontId="14" fillId="5" borderId="91" xfId="0" applyFont="1" applyFill="1" applyBorder="1" applyAlignment="1">
      <alignment horizontal="center" vertical="center"/>
    </xf>
    <xf numFmtId="0" fontId="14" fillId="0" borderId="92" xfId="0" applyFont="1" applyBorder="1" applyAlignment="1">
      <alignment horizontal="left" vertical="center" indent="1"/>
    </xf>
    <xf numFmtId="0" fontId="14" fillId="4" borderId="20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176" fontId="0" fillId="10" borderId="121" xfId="1" applyFont="1" applyFill="1" applyBorder="1" applyAlignment="1">
      <alignment horizontal="center" vertical="center" wrapText="1"/>
    </xf>
    <xf numFmtId="176" fontId="0" fillId="10" borderId="122" xfId="1" applyFont="1" applyFill="1" applyBorder="1" applyAlignment="1">
      <alignment horizontal="center" vertical="center" wrapText="1"/>
    </xf>
    <xf numFmtId="176" fontId="0" fillId="10" borderId="123" xfId="1" applyFont="1" applyFill="1" applyBorder="1" applyAlignment="1">
      <alignment horizontal="center" vertical="center" wrapText="1"/>
    </xf>
  </cellXfs>
  <cellStyles count="5">
    <cellStyle name="백분율" xfId="2" builtinId="5"/>
    <cellStyle name="쉼표 [0]" xfId="1" builtinId="6"/>
    <cellStyle name="쉼표 [0] 3" xfId="4" xr:uid="{DEC4011C-7B74-4A4E-A7C0-98275606980B}"/>
    <cellStyle name="표준" xfId="0" builtinId="0"/>
    <cellStyle name="하이퍼링크" xfId="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82550</xdr:colOff>
      <xdr:row>1</xdr:row>
      <xdr:rowOff>133350</xdr:rowOff>
    </xdr:from>
    <xdr:to>
      <xdr:col>26</xdr:col>
      <xdr:colOff>212874</xdr:colOff>
      <xdr:row>4</xdr:row>
      <xdr:rowOff>48631</xdr:rowOff>
    </xdr:to>
    <xdr:pic>
      <xdr:nvPicPr>
        <xdr:cNvPr id="2" name="그림 1" descr="텍스트이(가) 표시된 사진&#10;&#10;자동 생성된 설명">
          <a:extLst>
            <a:ext uri="{FF2B5EF4-FFF2-40B4-BE49-F238E27FC236}">
              <a16:creationId xmlns:a16="http://schemas.microsoft.com/office/drawing/2014/main" id="{3D6AA3AC-8049-4500-8F23-89CAC196C6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3" t="5017" r="4103"/>
        <a:stretch/>
      </xdr:blipFill>
      <xdr:spPr>
        <a:xfrm>
          <a:off x="5435600" y="276225"/>
          <a:ext cx="1120924" cy="429631"/>
        </a:xfrm>
        <a:prstGeom prst="rect">
          <a:avLst/>
        </a:prstGeom>
      </xdr:spPr>
    </xdr:pic>
    <xdr:clientData/>
  </xdr:twoCellAnchor>
  <xdr:twoCellAnchor editAs="oneCell">
    <xdr:from>
      <xdr:col>9</xdr:col>
      <xdr:colOff>128671</xdr:colOff>
      <xdr:row>58</xdr:row>
      <xdr:rowOff>74974</xdr:rowOff>
    </xdr:from>
    <xdr:to>
      <xdr:col>17</xdr:col>
      <xdr:colOff>172168</xdr:colOff>
      <xdr:row>59</xdr:row>
      <xdr:rowOff>48176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AAD6429-26DE-408F-AB77-6DCDF89DC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7963"/>
        <a:stretch/>
      </xdr:blipFill>
      <xdr:spPr>
        <a:xfrm>
          <a:off x="2357521" y="9628549"/>
          <a:ext cx="1929447" cy="1446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29766</xdr:rowOff>
    </xdr:from>
    <xdr:to>
      <xdr:col>5</xdr:col>
      <xdr:colOff>5953</xdr:colOff>
      <xdr:row>3</xdr:row>
      <xdr:rowOff>120185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868E820-BFC8-4249-A0F8-2D481A79F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4091"/>
          <a:ext cx="1244203" cy="2618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82550</xdr:colOff>
      <xdr:row>1</xdr:row>
      <xdr:rowOff>133350</xdr:rowOff>
    </xdr:from>
    <xdr:to>
      <xdr:col>26</xdr:col>
      <xdr:colOff>212874</xdr:colOff>
      <xdr:row>4</xdr:row>
      <xdr:rowOff>48631</xdr:rowOff>
    </xdr:to>
    <xdr:pic>
      <xdr:nvPicPr>
        <xdr:cNvPr id="2" name="그림 1" descr="텍스트이(가) 표시된 사진&#10;&#10;자동 생성된 설명">
          <a:extLst>
            <a:ext uri="{FF2B5EF4-FFF2-40B4-BE49-F238E27FC236}">
              <a16:creationId xmlns:a16="http://schemas.microsoft.com/office/drawing/2014/main" id="{47BF9085-5247-4375-9D3D-09CD6744AB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3" t="5017" r="4103"/>
        <a:stretch/>
      </xdr:blipFill>
      <xdr:spPr>
        <a:xfrm>
          <a:off x="5387975" y="276225"/>
          <a:ext cx="1120924" cy="429631"/>
        </a:xfrm>
        <a:prstGeom prst="rect">
          <a:avLst/>
        </a:prstGeom>
      </xdr:spPr>
    </xdr:pic>
    <xdr:clientData/>
  </xdr:twoCellAnchor>
  <xdr:twoCellAnchor editAs="oneCell">
    <xdr:from>
      <xdr:col>9</xdr:col>
      <xdr:colOff>128671</xdr:colOff>
      <xdr:row>58</xdr:row>
      <xdr:rowOff>74974</xdr:rowOff>
    </xdr:from>
    <xdr:to>
      <xdr:col>17</xdr:col>
      <xdr:colOff>172168</xdr:colOff>
      <xdr:row>59</xdr:row>
      <xdr:rowOff>48176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9EE6336-D8E4-4324-B49B-BB409FB5E4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77963"/>
        <a:stretch/>
      </xdr:blipFill>
      <xdr:spPr>
        <a:xfrm>
          <a:off x="2357521" y="9971449"/>
          <a:ext cx="1929447" cy="1446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29766</xdr:rowOff>
    </xdr:from>
    <xdr:to>
      <xdr:col>5</xdr:col>
      <xdr:colOff>5953</xdr:colOff>
      <xdr:row>3</xdr:row>
      <xdr:rowOff>120185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2D1D46B-A671-4055-A2B3-933F2CC05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44091"/>
          <a:ext cx="1244203" cy="2618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20</xdr:row>
      <xdr:rowOff>0</xdr:rowOff>
    </xdr:from>
    <xdr:ext cx="0" cy="9526"/>
    <xdr:pic>
      <xdr:nvPicPr>
        <xdr:cNvPr id="2" name="Picture 3" descr="검정 글씨만">
          <a:extLst>
            <a:ext uri="{FF2B5EF4-FFF2-40B4-BE49-F238E27FC236}">
              <a16:creationId xmlns:a16="http://schemas.microsoft.com/office/drawing/2014/main" id="{8B350652-D49C-4730-9788-B98112F0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" name="Picture 2" descr="검정로고만">
          <a:extLst>
            <a:ext uri="{FF2B5EF4-FFF2-40B4-BE49-F238E27FC236}">
              <a16:creationId xmlns:a16="http://schemas.microsoft.com/office/drawing/2014/main" id="{9FEC09A4-598A-4959-B9B9-5B7E1C51B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" name="Picture 2" descr="검정로고만">
          <a:extLst>
            <a:ext uri="{FF2B5EF4-FFF2-40B4-BE49-F238E27FC236}">
              <a16:creationId xmlns:a16="http://schemas.microsoft.com/office/drawing/2014/main" id="{F6E29CF8-3871-413E-98F3-FEE3D9D9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" name="Picture 2" descr="검정로고만">
          <a:extLst>
            <a:ext uri="{FF2B5EF4-FFF2-40B4-BE49-F238E27FC236}">
              <a16:creationId xmlns:a16="http://schemas.microsoft.com/office/drawing/2014/main" id="{FE2396A9-C61B-44B4-954B-27BF24466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" name="Picture 2" descr="검정로고만">
          <a:extLst>
            <a:ext uri="{FF2B5EF4-FFF2-40B4-BE49-F238E27FC236}">
              <a16:creationId xmlns:a16="http://schemas.microsoft.com/office/drawing/2014/main" id="{7E28DD1F-722A-4F66-9B4D-8DB20ECF1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" name="Picture 2" descr="검정로고만">
          <a:extLst>
            <a:ext uri="{FF2B5EF4-FFF2-40B4-BE49-F238E27FC236}">
              <a16:creationId xmlns:a16="http://schemas.microsoft.com/office/drawing/2014/main" id="{896FC6FB-DFE7-44E8-91A2-2D78D496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" name="Picture 2" descr="검정로고만">
          <a:extLst>
            <a:ext uri="{FF2B5EF4-FFF2-40B4-BE49-F238E27FC236}">
              <a16:creationId xmlns:a16="http://schemas.microsoft.com/office/drawing/2014/main" id="{23D2B4AF-06A6-4ED1-91E0-CA227BD4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" name="Picture 2" descr="검정로고만">
          <a:extLst>
            <a:ext uri="{FF2B5EF4-FFF2-40B4-BE49-F238E27FC236}">
              <a16:creationId xmlns:a16="http://schemas.microsoft.com/office/drawing/2014/main" id="{9C034876-6555-4D6F-8874-32E1E8B8A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" name="Picture 2" descr="검정로고만">
          <a:extLst>
            <a:ext uri="{FF2B5EF4-FFF2-40B4-BE49-F238E27FC236}">
              <a16:creationId xmlns:a16="http://schemas.microsoft.com/office/drawing/2014/main" id="{9517777D-3C4D-4AD6-B889-183B83274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" name="Picture 2" descr="검정로고만">
          <a:extLst>
            <a:ext uri="{FF2B5EF4-FFF2-40B4-BE49-F238E27FC236}">
              <a16:creationId xmlns:a16="http://schemas.microsoft.com/office/drawing/2014/main" id="{373ED575-C5A8-4D34-951A-89D182BE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" name="Picture 2" descr="검정로고만">
          <a:extLst>
            <a:ext uri="{FF2B5EF4-FFF2-40B4-BE49-F238E27FC236}">
              <a16:creationId xmlns:a16="http://schemas.microsoft.com/office/drawing/2014/main" id="{2A71CA04-8DF2-48C3-AF9D-A52B8ADA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" name="Picture 2" descr="검정로고만">
          <a:extLst>
            <a:ext uri="{FF2B5EF4-FFF2-40B4-BE49-F238E27FC236}">
              <a16:creationId xmlns:a16="http://schemas.microsoft.com/office/drawing/2014/main" id="{06CA1E0C-FE96-41AC-BC87-6E09C05A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" name="Picture 2" descr="검정로고만">
          <a:extLst>
            <a:ext uri="{FF2B5EF4-FFF2-40B4-BE49-F238E27FC236}">
              <a16:creationId xmlns:a16="http://schemas.microsoft.com/office/drawing/2014/main" id="{BBB6397C-2FFF-4F81-8AEA-AB1CD3A62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" name="Picture 2" descr="검정로고만">
          <a:extLst>
            <a:ext uri="{FF2B5EF4-FFF2-40B4-BE49-F238E27FC236}">
              <a16:creationId xmlns:a16="http://schemas.microsoft.com/office/drawing/2014/main" id="{43937993-0683-4E72-B8FE-F77F79DB7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" name="Picture 2" descr="검정로고만">
          <a:extLst>
            <a:ext uri="{FF2B5EF4-FFF2-40B4-BE49-F238E27FC236}">
              <a16:creationId xmlns:a16="http://schemas.microsoft.com/office/drawing/2014/main" id="{2D1EC03B-BF73-48A7-996D-5432F8171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" name="Picture 2" descr="검정로고만">
          <a:extLst>
            <a:ext uri="{FF2B5EF4-FFF2-40B4-BE49-F238E27FC236}">
              <a16:creationId xmlns:a16="http://schemas.microsoft.com/office/drawing/2014/main" id="{1A922E0B-385F-4B8B-9316-53F00DC2C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" name="Picture 2" descr="검정로고만">
          <a:extLst>
            <a:ext uri="{FF2B5EF4-FFF2-40B4-BE49-F238E27FC236}">
              <a16:creationId xmlns:a16="http://schemas.microsoft.com/office/drawing/2014/main" id="{A0F7E812-6DE4-48B0-8C23-9AEEFA369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" name="Picture 2" descr="검정로고만">
          <a:extLst>
            <a:ext uri="{FF2B5EF4-FFF2-40B4-BE49-F238E27FC236}">
              <a16:creationId xmlns:a16="http://schemas.microsoft.com/office/drawing/2014/main" id="{2DC7E30D-2C0A-4B16-90CA-D5711AA58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" name="Picture 2" descr="검정로고만">
          <a:extLst>
            <a:ext uri="{FF2B5EF4-FFF2-40B4-BE49-F238E27FC236}">
              <a16:creationId xmlns:a16="http://schemas.microsoft.com/office/drawing/2014/main" id="{C2827FB0-78B6-4D1D-96F5-945AFFF64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" name="Picture 2" descr="검정로고만">
          <a:extLst>
            <a:ext uri="{FF2B5EF4-FFF2-40B4-BE49-F238E27FC236}">
              <a16:creationId xmlns:a16="http://schemas.microsoft.com/office/drawing/2014/main" id="{A055C89B-7EF4-4435-8A6B-B86382F4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" name="Picture 2" descr="검정로고만">
          <a:extLst>
            <a:ext uri="{FF2B5EF4-FFF2-40B4-BE49-F238E27FC236}">
              <a16:creationId xmlns:a16="http://schemas.microsoft.com/office/drawing/2014/main" id="{A9E09D6B-0FF7-4E03-B49E-BBD3AA8FD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" name="Picture 2" descr="검정로고만">
          <a:extLst>
            <a:ext uri="{FF2B5EF4-FFF2-40B4-BE49-F238E27FC236}">
              <a16:creationId xmlns:a16="http://schemas.microsoft.com/office/drawing/2014/main" id="{71609CF4-04B2-43AE-A626-63FE7DF98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" name="Picture 2" descr="검정로고만">
          <a:extLst>
            <a:ext uri="{FF2B5EF4-FFF2-40B4-BE49-F238E27FC236}">
              <a16:creationId xmlns:a16="http://schemas.microsoft.com/office/drawing/2014/main" id="{674DDE27-CB95-4B4F-A97C-A87D4D1A7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" name="Picture 2" descr="검정로고만">
          <a:extLst>
            <a:ext uri="{FF2B5EF4-FFF2-40B4-BE49-F238E27FC236}">
              <a16:creationId xmlns:a16="http://schemas.microsoft.com/office/drawing/2014/main" id="{B28F17F2-8291-4F4F-ABBB-B74FFD60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" name="Picture 2" descr="검정로고만">
          <a:extLst>
            <a:ext uri="{FF2B5EF4-FFF2-40B4-BE49-F238E27FC236}">
              <a16:creationId xmlns:a16="http://schemas.microsoft.com/office/drawing/2014/main" id="{D2E89186-1B06-426F-9C12-52F644785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" name="Picture 2" descr="검정로고만">
          <a:extLst>
            <a:ext uri="{FF2B5EF4-FFF2-40B4-BE49-F238E27FC236}">
              <a16:creationId xmlns:a16="http://schemas.microsoft.com/office/drawing/2014/main" id="{59357910-56FE-49FE-9A77-D65A3F4F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" name="Picture 2" descr="검정로고만">
          <a:extLst>
            <a:ext uri="{FF2B5EF4-FFF2-40B4-BE49-F238E27FC236}">
              <a16:creationId xmlns:a16="http://schemas.microsoft.com/office/drawing/2014/main" id="{6CA4504C-090A-432F-88F6-5F4F11E61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" name="Picture 2" descr="검정로고만">
          <a:extLst>
            <a:ext uri="{FF2B5EF4-FFF2-40B4-BE49-F238E27FC236}">
              <a16:creationId xmlns:a16="http://schemas.microsoft.com/office/drawing/2014/main" id="{BC68AB26-AF17-4969-AF35-6F260A1EC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" name="Picture 2" descr="검정로고만">
          <a:extLst>
            <a:ext uri="{FF2B5EF4-FFF2-40B4-BE49-F238E27FC236}">
              <a16:creationId xmlns:a16="http://schemas.microsoft.com/office/drawing/2014/main" id="{E9DE203F-4DDB-49A6-BE01-5B067A582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" name="Picture 2" descr="검정로고만">
          <a:extLst>
            <a:ext uri="{FF2B5EF4-FFF2-40B4-BE49-F238E27FC236}">
              <a16:creationId xmlns:a16="http://schemas.microsoft.com/office/drawing/2014/main" id="{EC64BF7E-75D0-467F-B867-2675FB71A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" name="Picture 2" descr="검정로고만">
          <a:extLst>
            <a:ext uri="{FF2B5EF4-FFF2-40B4-BE49-F238E27FC236}">
              <a16:creationId xmlns:a16="http://schemas.microsoft.com/office/drawing/2014/main" id="{EA264F36-0869-449B-9A38-71208E261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" name="Picture 2" descr="검정로고만">
          <a:extLst>
            <a:ext uri="{FF2B5EF4-FFF2-40B4-BE49-F238E27FC236}">
              <a16:creationId xmlns:a16="http://schemas.microsoft.com/office/drawing/2014/main" id="{96A2BCF8-C80F-417C-B18E-142A2F1C4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" name="Picture 2" descr="검정로고만">
          <a:extLst>
            <a:ext uri="{FF2B5EF4-FFF2-40B4-BE49-F238E27FC236}">
              <a16:creationId xmlns:a16="http://schemas.microsoft.com/office/drawing/2014/main" id="{F9CEBB12-2359-4727-BE2C-32CC5A081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" name="Picture 2" descr="검정로고만">
          <a:extLst>
            <a:ext uri="{FF2B5EF4-FFF2-40B4-BE49-F238E27FC236}">
              <a16:creationId xmlns:a16="http://schemas.microsoft.com/office/drawing/2014/main" id="{4C363E11-C912-4D67-BF64-992BCF955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" name="Picture 2" descr="검정로고만">
          <a:extLst>
            <a:ext uri="{FF2B5EF4-FFF2-40B4-BE49-F238E27FC236}">
              <a16:creationId xmlns:a16="http://schemas.microsoft.com/office/drawing/2014/main" id="{B50F8C7F-EA08-40B8-9E46-2DB5FABF1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" name="Picture 2" descr="검정로고만">
          <a:extLst>
            <a:ext uri="{FF2B5EF4-FFF2-40B4-BE49-F238E27FC236}">
              <a16:creationId xmlns:a16="http://schemas.microsoft.com/office/drawing/2014/main" id="{830E3D9F-ABEC-4151-8910-155E045BC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" name="Picture 2" descr="검정로고만">
          <a:extLst>
            <a:ext uri="{FF2B5EF4-FFF2-40B4-BE49-F238E27FC236}">
              <a16:creationId xmlns:a16="http://schemas.microsoft.com/office/drawing/2014/main" id="{98BE6833-0CA2-4BBA-9558-5839514DB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" name="Picture 2" descr="검정로고만">
          <a:extLst>
            <a:ext uri="{FF2B5EF4-FFF2-40B4-BE49-F238E27FC236}">
              <a16:creationId xmlns:a16="http://schemas.microsoft.com/office/drawing/2014/main" id="{62F70A91-B0F3-4B62-B66D-86D886EF5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" name="Picture 2" descr="검정로고만">
          <a:extLst>
            <a:ext uri="{FF2B5EF4-FFF2-40B4-BE49-F238E27FC236}">
              <a16:creationId xmlns:a16="http://schemas.microsoft.com/office/drawing/2014/main" id="{5EE64512-CA14-4831-B61D-DD99BA10C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" name="Picture 2" descr="검정로고만">
          <a:extLst>
            <a:ext uri="{FF2B5EF4-FFF2-40B4-BE49-F238E27FC236}">
              <a16:creationId xmlns:a16="http://schemas.microsoft.com/office/drawing/2014/main" id="{28591EB7-13A9-4509-BDA6-B0988939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" name="Picture 2" descr="검정로고만">
          <a:extLst>
            <a:ext uri="{FF2B5EF4-FFF2-40B4-BE49-F238E27FC236}">
              <a16:creationId xmlns:a16="http://schemas.microsoft.com/office/drawing/2014/main" id="{8E1B6BCD-B581-4042-9FD2-C63CF0BB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3" name="Picture 3" descr="검정 글씨만">
          <a:extLst>
            <a:ext uri="{FF2B5EF4-FFF2-40B4-BE49-F238E27FC236}">
              <a16:creationId xmlns:a16="http://schemas.microsoft.com/office/drawing/2014/main" id="{DDC70BB2-EAC2-4E7D-81FC-99816627C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" name="Picture 2" descr="검정로고만">
          <a:extLst>
            <a:ext uri="{FF2B5EF4-FFF2-40B4-BE49-F238E27FC236}">
              <a16:creationId xmlns:a16="http://schemas.microsoft.com/office/drawing/2014/main" id="{82BBF536-7EEC-480D-88DD-713CD098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" name="Picture 2" descr="검정로고만">
          <a:extLst>
            <a:ext uri="{FF2B5EF4-FFF2-40B4-BE49-F238E27FC236}">
              <a16:creationId xmlns:a16="http://schemas.microsoft.com/office/drawing/2014/main" id="{AF01FE51-BA93-4E68-B580-91085DEF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" name="Picture 2" descr="검정로고만">
          <a:extLst>
            <a:ext uri="{FF2B5EF4-FFF2-40B4-BE49-F238E27FC236}">
              <a16:creationId xmlns:a16="http://schemas.microsoft.com/office/drawing/2014/main" id="{0826EFE1-41E3-4ED3-953D-5C3223BC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" name="Picture 2" descr="검정로고만">
          <a:extLst>
            <a:ext uri="{FF2B5EF4-FFF2-40B4-BE49-F238E27FC236}">
              <a16:creationId xmlns:a16="http://schemas.microsoft.com/office/drawing/2014/main" id="{84D7CF5A-D604-4718-955A-73D2F97F4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" name="Picture 2" descr="검정로고만">
          <a:extLst>
            <a:ext uri="{FF2B5EF4-FFF2-40B4-BE49-F238E27FC236}">
              <a16:creationId xmlns:a16="http://schemas.microsoft.com/office/drawing/2014/main" id="{AE9B70AB-D9BF-403E-90A0-A361D9153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" name="Picture 2" descr="검정로고만">
          <a:extLst>
            <a:ext uri="{FF2B5EF4-FFF2-40B4-BE49-F238E27FC236}">
              <a16:creationId xmlns:a16="http://schemas.microsoft.com/office/drawing/2014/main" id="{6F2C984D-469F-45EA-8DD8-4AE700BF8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" name="Picture 2" descr="검정로고만">
          <a:extLst>
            <a:ext uri="{FF2B5EF4-FFF2-40B4-BE49-F238E27FC236}">
              <a16:creationId xmlns:a16="http://schemas.microsoft.com/office/drawing/2014/main" id="{9E1E6DB7-14FB-4AF4-A3EC-F89B2A086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" name="Picture 2" descr="검정로고만">
          <a:extLst>
            <a:ext uri="{FF2B5EF4-FFF2-40B4-BE49-F238E27FC236}">
              <a16:creationId xmlns:a16="http://schemas.microsoft.com/office/drawing/2014/main" id="{A7459392-2824-4B62-A731-A03364D7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2" name="Picture 3" descr="검정 글씨만">
          <a:extLst>
            <a:ext uri="{FF2B5EF4-FFF2-40B4-BE49-F238E27FC236}">
              <a16:creationId xmlns:a16="http://schemas.microsoft.com/office/drawing/2014/main" id="{38602337-D538-47C6-B140-AF64EFB7D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" name="Picture 2" descr="검정로고만">
          <a:extLst>
            <a:ext uri="{FF2B5EF4-FFF2-40B4-BE49-F238E27FC236}">
              <a16:creationId xmlns:a16="http://schemas.microsoft.com/office/drawing/2014/main" id="{D6E94E45-5ABA-49B3-86BE-6059CB2AD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" name="Picture 2" descr="검정로고만">
          <a:extLst>
            <a:ext uri="{FF2B5EF4-FFF2-40B4-BE49-F238E27FC236}">
              <a16:creationId xmlns:a16="http://schemas.microsoft.com/office/drawing/2014/main" id="{AECEA2E4-ACAF-4F4D-89EE-7ED293AD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" name="Picture 2" descr="검정로고만">
          <a:extLst>
            <a:ext uri="{FF2B5EF4-FFF2-40B4-BE49-F238E27FC236}">
              <a16:creationId xmlns:a16="http://schemas.microsoft.com/office/drawing/2014/main" id="{78395BF4-D0B2-4987-8302-09F086770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" name="Picture 2" descr="검정로고만">
          <a:extLst>
            <a:ext uri="{FF2B5EF4-FFF2-40B4-BE49-F238E27FC236}">
              <a16:creationId xmlns:a16="http://schemas.microsoft.com/office/drawing/2014/main" id="{7BF13371-6AF1-4710-83CF-10CAABFBD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" name="Picture 2" descr="검정로고만">
          <a:extLst>
            <a:ext uri="{FF2B5EF4-FFF2-40B4-BE49-F238E27FC236}">
              <a16:creationId xmlns:a16="http://schemas.microsoft.com/office/drawing/2014/main" id="{B2FACC9C-2A11-49C1-8DF8-3B19B907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" name="Picture 2" descr="검정로고만">
          <a:extLst>
            <a:ext uri="{FF2B5EF4-FFF2-40B4-BE49-F238E27FC236}">
              <a16:creationId xmlns:a16="http://schemas.microsoft.com/office/drawing/2014/main" id="{23F6E4F3-E08E-4A4E-8080-409AB638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" name="Picture 2" descr="검정로고만">
          <a:extLst>
            <a:ext uri="{FF2B5EF4-FFF2-40B4-BE49-F238E27FC236}">
              <a16:creationId xmlns:a16="http://schemas.microsoft.com/office/drawing/2014/main" id="{16ED8CCA-EE25-4234-AA16-1ABB90AA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" name="Picture 2" descr="검정로고만">
          <a:extLst>
            <a:ext uri="{FF2B5EF4-FFF2-40B4-BE49-F238E27FC236}">
              <a16:creationId xmlns:a16="http://schemas.microsoft.com/office/drawing/2014/main" id="{85A56A9C-324F-4DAE-8760-7CEE048E8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61" name="Picture 3" descr="검정 글씨만">
          <a:extLst>
            <a:ext uri="{FF2B5EF4-FFF2-40B4-BE49-F238E27FC236}">
              <a16:creationId xmlns:a16="http://schemas.microsoft.com/office/drawing/2014/main" id="{020D54C1-41FD-4849-A90E-17A083ED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" name="Picture 2" descr="검정로고만">
          <a:extLst>
            <a:ext uri="{FF2B5EF4-FFF2-40B4-BE49-F238E27FC236}">
              <a16:creationId xmlns:a16="http://schemas.microsoft.com/office/drawing/2014/main" id="{8203AC52-EC70-4115-9524-1F721A45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" name="Picture 2" descr="검정로고만">
          <a:extLst>
            <a:ext uri="{FF2B5EF4-FFF2-40B4-BE49-F238E27FC236}">
              <a16:creationId xmlns:a16="http://schemas.microsoft.com/office/drawing/2014/main" id="{7B553B86-0CC6-4CA4-94BD-4CBEA9EBC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" name="Picture 2" descr="검정로고만">
          <a:extLst>
            <a:ext uri="{FF2B5EF4-FFF2-40B4-BE49-F238E27FC236}">
              <a16:creationId xmlns:a16="http://schemas.microsoft.com/office/drawing/2014/main" id="{7B195713-C005-4E34-82F6-9C2580A85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" name="Picture 2" descr="검정로고만">
          <a:extLst>
            <a:ext uri="{FF2B5EF4-FFF2-40B4-BE49-F238E27FC236}">
              <a16:creationId xmlns:a16="http://schemas.microsoft.com/office/drawing/2014/main" id="{D963AD6B-D0E6-4B67-AE2C-EDC14F45E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" name="Picture 2" descr="검정로고만">
          <a:extLst>
            <a:ext uri="{FF2B5EF4-FFF2-40B4-BE49-F238E27FC236}">
              <a16:creationId xmlns:a16="http://schemas.microsoft.com/office/drawing/2014/main" id="{4C8F53C8-5BD3-4AC9-801E-45D189ADA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" name="Picture 2" descr="검정로고만">
          <a:extLst>
            <a:ext uri="{FF2B5EF4-FFF2-40B4-BE49-F238E27FC236}">
              <a16:creationId xmlns:a16="http://schemas.microsoft.com/office/drawing/2014/main" id="{EC0D9498-B873-4066-B79D-8D1C1F17F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" name="Picture 2" descr="검정로고만">
          <a:extLst>
            <a:ext uri="{FF2B5EF4-FFF2-40B4-BE49-F238E27FC236}">
              <a16:creationId xmlns:a16="http://schemas.microsoft.com/office/drawing/2014/main" id="{5DF47FF8-586F-4693-BE3F-48CE1751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" name="Picture 2" descr="검정로고만">
          <a:extLst>
            <a:ext uri="{FF2B5EF4-FFF2-40B4-BE49-F238E27FC236}">
              <a16:creationId xmlns:a16="http://schemas.microsoft.com/office/drawing/2014/main" id="{81F91697-E8CA-428F-B2FD-A85DBABC7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" name="Picture 2" descr="검정로고만">
          <a:extLst>
            <a:ext uri="{FF2B5EF4-FFF2-40B4-BE49-F238E27FC236}">
              <a16:creationId xmlns:a16="http://schemas.microsoft.com/office/drawing/2014/main" id="{C5B8661F-B315-4783-82A0-52E001913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" name="Picture 2" descr="검정로고만">
          <a:extLst>
            <a:ext uri="{FF2B5EF4-FFF2-40B4-BE49-F238E27FC236}">
              <a16:creationId xmlns:a16="http://schemas.microsoft.com/office/drawing/2014/main" id="{1844B897-3646-4643-B1C3-5EB2AA992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" name="Picture 2" descr="검정로고만">
          <a:extLst>
            <a:ext uri="{FF2B5EF4-FFF2-40B4-BE49-F238E27FC236}">
              <a16:creationId xmlns:a16="http://schemas.microsoft.com/office/drawing/2014/main" id="{8D2691BD-0BE4-4FBF-9D8F-10FF0726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" name="Picture 2" descr="검정로고만">
          <a:extLst>
            <a:ext uri="{FF2B5EF4-FFF2-40B4-BE49-F238E27FC236}">
              <a16:creationId xmlns:a16="http://schemas.microsoft.com/office/drawing/2014/main" id="{EFC4694C-6A11-4AAC-ACEB-04DA94952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" name="Picture 2" descr="검정로고만">
          <a:extLst>
            <a:ext uri="{FF2B5EF4-FFF2-40B4-BE49-F238E27FC236}">
              <a16:creationId xmlns:a16="http://schemas.microsoft.com/office/drawing/2014/main" id="{037A35E6-5418-47AA-9769-F92A8F647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" name="Picture 2" descr="검정로고만">
          <a:extLst>
            <a:ext uri="{FF2B5EF4-FFF2-40B4-BE49-F238E27FC236}">
              <a16:creationId xmlns:a16="http://schemas.microsoft.com/office/drawing/2014/main" id="{F705A11C-C269-4EF6-8BE3-218A8085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" name="Picture 2" descr="검정로고만">
          <a:extLst>
            <a:ext uri="{FF2B5EF4-FFF2-40B4-BE49-F238E27FC236}">
              <a16:creationId xmlns:a16="http://schemas.microsoft.com/office/drawing/2014/main" id="{779CE45D-4BEB-4F8E-BC3B-482337EA6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" name="Picture 2" descr="검정로고만">
          <a:extLst>
            <a:ext uri="{FF2B5EF4-FFF2-40B4-BE49-F238E27FC236}">
              <a16:creationId xmlns:a16="http://schemas.microsoft.com/office/drawing/2014/main" id="{DC9F1C9E-14A3-4278-8406-F51F92C2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" name="Picture 2" descr="검정로고만">
          <a:extLst>
            <a:ext uri="{FF2B5EF4-FFF2-40B4-BE49-F238E27FC236}">
              <a16:creationId xmlns:a16="http://schemas.microsoft.com/office/drawing/2014/main" id="{9EA952C4-A602-44DD-9798-8BF7C9ED1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" name="Picture 2" descr="검정로고만">
          <a:extLst>
            <a:ext uri="{FF2B5EF4-FFF2-40B4-BE49-F238E27FC236}">
              <a16:creationId xmlns:a16="http://schemas.microsoft.com/office/drawing/2014/main" id="{F3C330E6-038C-415D-A3DD-C295EB5F2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" name="Picture 2" descr="검정로고만">
          <a:extLst>
            <a:ext uri="{FF2B5EF4-FFF2-40B4-BE49-F238E27FC236}">
              <a16:creationId xmlns:a16="http://schemas.microsoft.com/office/drawing/2014/main" id="{43975893-92CC-4EFD-91C2-1E03D2B8F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" name="Picture 2" descr="검정로고만">
          <a:extLst>
            <a:ext uri="{FF2B5EF4-FFF2-40B4-BE49-F238E27FC236}">
              <a16:creationId xmlns:a16="http://schemas.microsoft.com/office/drawing/2014/main" id="{B9B9AE99-F057-43D0-9526-C5CA34B99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" name="Picture 2" descr="검정로고만">
          <a:extLst>
            <a:ext uri="{FF2B5EF4-FFF2-40B4-BE49-F238E27FC236}">
              <a16:creationId xmlns:a16="http://schemas.microsoft.com/office/drawing/2014/main" id="{6160C0CB-FF14-4422-91F1-AB02005D1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" name="Picture 2" descr="검정로고만">
          <a:extLst>
            <a:ext uri="{FF2B5EF4-FFF2-40B4-BE49-F238E27FC236}">
              <a16:creationId xmlns:a16="http://schemas.microsoft.com/office/drawing/2014/main" id="{627DD5DF-33B7-4FEC-8E7F-899C31265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" name="Picture 2" descr="검정로고만">
          <a:extLst>
            <a:ext uri="{FF2B5EF4-FFF2-40B4-BE49-F238E27FC236}">
              <a16:creationId xmlns:a16="http://schemas.microsoft.com/office/drawing/2014/main" id="{8B463088-8A9D-45A7-9EB2-99A9A098F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" name="Picture 2" descr="검정로고만">
          <a:extLst>
            <a:ext uri="{FF2B5EF4-FFF2-40B4-BE49-F238E27FC236}">
              <a16:creationId xmlns:a16="http://schemas.microsoft.com/office/drawing/2014/main" id="{4967BEBB-216E-46FC-8CA0-6C21441E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" name="Picture 2" descr="검정로고만">
          <a:extLst>
            <a:ext uri="{FF2B5EF4-FFF2-40B4-BE49-F238E27FC236}">
              <a16:creationId xmlns:a16="http://schemas.microsoft.com/office/drawing/2014/main" id="{F5C5FA16-379A-4D3F-A4E0-25C41A95B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" name="Picture 2" descr="검정로고만">
          <a:extLst>
            <a:ext uri="{FF2B5EF4-FFF2-40B4-BE49-F238E27FC236}">
              <a16:creationId xmlns:a16="http://schemas.microsoft.com/office/drawing/2014/main" id="{055DF40F-0C29-4A30-BF73-AFA637D0E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" name="Picture 2" descr="검정로고만">
          <a:extLst>
            <a:ext uri="{FF2B5EF4-FFF2-40B4-BE49-F238E27FC236}">
              <a16:creationId xmlns:a16="http://schemas.microsoft.com/office/drawing/2014/main" id="{9E7461DC-8721-462D-B9AF-FD32FB601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" name="Picture 2" descr="검정로고만">
          <a:extLst>
            <a:ext uri="{FF2B5EF4-FFF2-40B4-BE49-F238E27FC236}">
              <a16:creationId xmlns:a16="http://schemas.microsoft.com/office/drawing/2014/main" id="{D7BB48B0-3E7B-4757-A8A3-AEE46FB6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" name="Picture 2" descr="검정로고만">
          <a:extLst>
            <a:ext uri="{FF2B5EF4-FFF2-40B4-BE49-F238E27FC236}">
              <a16:creationId xmlns:a16="http://schemas.microsoft.com/office/drawing/2014/main" id="{F11CC5ED-C9DB-42AF-AADE-F0A1AB77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" name="Picture 2" descr="검정로고만">
          <a:extLst>
            <a:ext uri="{FF2B5EF4-FFF2-40B4-BE49-F238E27FC236}">
              <a16:creationId xmlns:a16="http://schemas.microsoft.com/office/drawing/2014/main" id="{09BCD24E-7656-4155-8E58-B9C76506D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" name="Picture 2" descr="검정로고만">
          <a:extLst>
            <a:ext uri="{FF2B5EF4-FFF2-40B4-BE49-F238E27FC236}">
              <a16:creationId xmlns:a16="http://schemas.microsoft.com/office/drawing/2014/main" id="{A2DF0FE5-CE27-47E3-8C8E-0330C188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" name="Picture 2" descr="검정로고만">
          <a:extLst>
            <a:ext uri="{FF2B5EF4-FFF2-40B4-BE49-F238E27FC236}">
              <a16:creationId xmlns:a16="http://schemas.microsoft.com/office/drawing/2014/main" id="{9C96761E-7B67-4981-BE15-98C7E740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" name="Picture 2" descr="검정로고만">
          <a:extLst>
            <a:ext uri="{FF2B5EF4-FFF2-40B4-BE49-F238E27FC236}">
              <a16:creationId xmlns:a16="http://schemas.microsoft.com/office/drawing/2014/main" id="{9CC92EEE-6179-4388-859A-A31267E9F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" name="Picture 2" descr="검정로고만">
          <a:extLst>
            <a:ext uri="{FF2B5EF4-FFF2-40B4-BE49-F238E27FC236}">
              <a16:creationId xmlns:a16="http://schemas.microsoft.com/office/drawing/2014/main" id="{61C0D212-BE30-4B96-B2F5-8B1739F5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" name="Picture 2" descr="검정로고만">
          <a:extLst>
            <a:ext uri="{FF2B5EF4-FFF2-40B4-BE49-F238E27FC236}">
              <a16:creationId xmlns:a16="http://schemas.microsoft.com/office/drawing/2014/main" id="{B126FE84-AAD7-499C-BD2B-CE7B8FDEB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" name="Picture 2" descr="검정로고만">
          <a:extLst>
            <a:ext uri="{FF2B5EF4-FFF2-40B4-BE49-F238E27FC236}">
              <a16:creationId xmlns:a16="http://schemas.microsoft.com/office/drawing/2014/main" id="{F190D74D-5DC3-4C48-BC08-0A6F65D00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" name="Picture 2" descr="검정로고만">
          <a:extLst>
            <a:ext uri="{FF2B5EF4-FFF2-40B4-BE49-F238E27FC236}">
              <a16:creationId xmlns:a16="http://schemas.microsoft.com/office/drawing/2014/main" id="{9F75D194-B93B-4A50-93B6-34DF8BDA5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" name="Picture 2" descr="검정로고만">
          <a:extLst>
            <a:ext uri="{FF2B5EF4-FFF2-40B4-BE49-F238E27FC236}">
              <a16:creationId xmlns:a16="http://schemas.microsoft.com/office/drawing/2014/main" id="{35EB36FD-5F33-46C1-8A23-D62BAE1F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" name="Picture 2" descr="검정로고만">
          <a:extLst>
            <a:ext uri="{FF2B5EF4-FFF2-40B4-BE49-F238E27FC236}">
              <a16:creationId xmlns:a16="http://schemas.microsoft.com/office/drawing/2014/main" id="{F01685AC-4236-4057-BDE5-C0C8DDD3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" name="Picture 2" descr="검정로고만">
          <a:extLst>
            <a:ext uri="{FF2B5EF4-FFF2-40B4-BE49-F238E27FC236}">
              <a16:creationId xmlns:a16="http://schemas.microsoft.com/office/drawing/2014/main" id="{C33CA7A0-66FD-47B6-BD9D-27B71188B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02" name="Picture 3" descr="검정 글씨만">
          <a:extLst>
            <a:ext uri="{FF2B5EF4-FFF2-40B4-BE49-F238E27FC236}">
              <a16:creationId xmlns:a16="http://schemas.microsoft.com/office/drawing/2014/main" id="{F626BC0C-2C83-41EB-8E80-1D6C3C62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" name="Picture 2" descr="검정로고만">
          <a:extLst>
            <a:ext uri="{FF2B5EF4-FFF2-40B4-BE49-F238E27FC236}">
              <a16:creationId xmlns:a16="http://schemas.microsoft.com/office/drawing/2014/main" id="{46AF6DE2-7551-424E-AC12-D4ACA11E4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" name="Picture 2" descr="검정로고만">
          <a:extLst>
            <a:ext uri="{FF2B5EF4-FFF2-40B4-BE49-F238E27FC236}">
              <a16:creationId xmlns:a16="http://schemas.microsoft.com/office/drawing/2014/main" id="{13845523-3AAC-4FA3-A19B-DB8BA869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" name="Picture 2" descr="검정로고만">
          <a:extLst>
            <a:ext uri="{FF2B5EF4-FFF2-40B4-BE49-F238E27FC236}">
              <a16:creationId xmlns:a16="http://schemas.microsoft.com/office/drawing/2014/main" id="{79D76EE4-41FF-4347-8F97-229EB4C9F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" name="Picture 2" descr="검정로고만">
          <a:extLst>
            <a:ext uri="{FF2B5EF4-FFF2-40B4-BE49-F238E27FC236}">
              <a16:creationId xmlns:a16="http://schemas.microsoft.com/office/drawing/2014/main" id="{CBCC8809-364A-44BC-8C5B-B68392FC8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" name="Picture 2" descr="검정로고만">
          <a:extLst>
            <a:ext uri="{FF2B5EF4-FFF2-40B4-BE49-F238E27FC236}">
              <a16:creationId xmlns:a16="http://schemas.microsoft.com/office/drawing/2014/main" id="{8553E723-851A-429C-8E13-E194176C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" name="Picture 2" descr="검정로고만">
          <a:extLst>
            <a:ext uri="{FF2B5EF4-FFF2-40B4-BE49-F238E27FC236}">
              <a16:creationId xmlns:a16="http://schemas.microsoft.com/office/drawing/2014/main" id="{38D3218B-4CA7-435D-B4DC-BB6A7B761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" name="Picture 2" descr="검정로고만">
          <a:extLst>
            <a:ext uri="{FF2B5EF4-FFF2-40B4-BE49-F238E27FC236}">
              <a16:creationId xmlns:a16="http://schemas.microsoft.com/office/drawing/2014/main" id="{7F284BDD-42A7-43D6-8997-B7DADD14F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" name="Picture 2" descr="검정로고만">
          <a:extLst>
            <a:ext uri="{FF2B5EF4-FFF2-40B4-BE49-F238E27FC236}">
              <a16:creationId xmlns:a16="http://schemas.microsoft.com/office/drawing/2014/main" id="{B441F8C6-D1FF-44AB-A086-0BE90C3A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11" name="Picture 3" descr="검정 글씨만">
          <a:extLst>
            <a:ext uri="{FF2B5EF4-FFF2-40B4-BE49-F238E27FC236}">
              <a16:creationId xmlns:a16="http://schemas.microsoft.com/office/drawing/2014/main" id="{21DA514C-EFCA-4D89-8FC8-39ACBF0BD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" name="Picture 2" descr="검정로고만">
          <a:extLst>
            <a:ext uri="{FF2B5EF4-FFF2-40B4-BE49-F238E27FC236}">
              <a16:creationId xmlns:a16="http://schemas.microsoft.com/office/drawing/2014/main" id="{91172FE7-0B92-46F1-98B3-3DD2AD8F0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" name="Picture 2" descr="검정로고만">
          <a:extLst>
            <a:ext uri="{FF2B5EF4-FFF2-40B4-BE49-F238E27FC236}">
              <a16:creationId xmlns:a16="http://schemas.microsoft.com/office/drawing/2014/main" id="{8C46E938-A094-4DBE-8AD6-4C1FCABD2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" name="Picture 2" descr="검정로고만">
          <a:extLst>
            <a:ext uri="{FF2B5EF4-FFF2-40B4-BE49-F238E27FC236}">
              <a16:creationId xmlns:a16="http://schemas.microsoft.com/office/drawing/2014/main" id="{8CCE3EA0-115A-4882-B065-A6F57FE0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" name="Picture 2" descr="검정로고만">
          <a:extLst>
            <a:ext uri="{FF2B5EF4-FFF2-40B4-BE49-F238E27FC236}">
              <a16:creationId xmlns:a16="http://schemas.microsoft.com/office/drawing/2014/main" id="{3CA9C68A-2EA1-40CD-BF9E-24F47E68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" name="Picture 2" descr="검정로고만">
          <a:extLst>
            <a:ext uri="{FF2B5EF4-FFF2-40B4-BE49-F238E27FC236}">
              <a16:creationId xmlns:a16="http://schemas.microsoft.com/office/drawing/2014/main" id="{5626AFFE-A0CF-40A2-98A5-F10923201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" name="Picture 2" descr="검정로고만">
          <a:extLst>
            <a:ext uri="{FF2B5EF4-FFF2-40B4-BE49-F238E27FC236}">
              <a16:creationId xmlns:a16="http://schemas.microsoft.com/office/drawing/2014/main" id="{D6B4B7A9-72C2-4153-9121-5F13BAA4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" name="Picture 2" descr="검정로고만">
          <a:extLst>
            <a:ext uri="{FF2B5EF4-FFF2-40B4-BE49-F238E27FC236}">
              <a16:creationId xmlns:a16="http://schemas.microsoft.com/office/drawing/2014/main" id="{A57C4073-41A6-45A7-ABB8-52AC19DAB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" name="Picture 2" descr="검정로고만">
          <a:extLst>
            <a:ext uri="{FF2B5EF4-FFF2-40B4-BE49-F238E27FC236}">
              <a16:creationId xmlns:a16="http://schemas.microsoft.com/office/drawing/2014/main" id="{20897A65-63A1-490B-AF1F-B9D501C14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20" name="Picture 3" descr="검정 글씨만">
          <a:extLst>
            <a:ext uri="{FF2B5EF4-FFF2-40B4-BE49-F238E27FC236}">
              <a16:creationId xmlns:a16="http://schemas.microsoft.com/office/drawing/2014/main" id="{7CF6CAD8-1B4F-4A54-B80F-93289796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" name="Picture 2" descr="검정로고만">
          <a:extLst>
            <a:ext uri="{FF2B5EF4-FFF2-40B4-BE49-F238E27FC236}">
              <a16:creationId xmlns:a16="http://schemas.microsoft.com/office/drawing/2014/main" id="{86298DEA-2D40-4D2B-BB7E-A32494F7A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" name="Picture 2" descr="검정로고만">
          <a:extLst>
            <a:ext uri="{FF2B5EF4-FFF2-40B4-BE49-F238E27FC236}">
              <a16:creationId xmlns:a16="http://schemas.microsoft.com/office/drawing/2014/main" id="{4D31EB6C-24CE-41F2-BB3B-0E48D21AC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" name="Picture 2" descr="검정로고만">
          <a:extLst>
            <a:ext uri="{FF2B5EF4-FFF2-40B4-BE49-F238E27FC236}">
              <a16:creationId xmlns:a16="http://schemas.microsoft.com/office/drawing/2014/main" id="{87B55F58-BAE1-47C3-AEF7-0A1495E6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" name="Picture 2" descr="검정로고만">
          <a:extLst>
            <a:ext uri="{FF2B5EF4-FFF2-40B4-BE49-F238E27FC236}">
              <a16:creationId xmlns:a16="http://schemas.microsoft.com/office/drawing/2014/main" id="{C19D89CC-5D94-4BEA-9B70-28671E4C0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" name="Picture 2" descr="검정로고만">
          <a:extLst>
            <a:ext uri="{FF2B5EF4-FFF2-40B4-BE49-F238E27FC236}">
              <a16:creationId xmlns:a16="http://schemas.microsoft.com/office/drawing/2014/main" id="{9A508899-012D-4D03-BE1B-256A891D1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" name="Picture 2" descr="검정로고만">
          <a:extLst>
            <a:ext uri="{FF2B5EF4-FFF2-40B4-BE49-F238E27FC236}">
              <a16:creationId xmlns:a16="http://schemas.microsoft.com/office/drawing/2014/main" id="{874B3F01-C102-421B-82AF-8E445C5C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" name="Picture 2" descr="검정로고만">
          <a:extLst>
            <a:ext uri="{FF2B5EF4-FFF2-40B4-BE49-F238E27FC236}">
              <a16:creationId xmlns:a16="http://schemas.microsoft.com/office/drawing/2014/main" id="{2B50E2FE-0831-4522-8A31-5D5AF2CFC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" name="Picture 2" descr="검정로고만">
          <a:extLst>
            <a:ext uri="{FF2B5EF4-FFF2-40B4-BE49-F238E27FC236}">
              <a16:creationId xmlns:a16="http://schemas.microsoft.com/office/drawing/2014/main" id="{E81B1401-826F-4E74-A42C-55AB2BA84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" name="Picture 2" descr="검정로고만">
          <a:extLst>
            <a:ext uri="{FF2B5EF4-FFF2-40B4-BE49-F238E27FC236}">
              <a16:creationId xmlns:a16="http://schemas.microsoft.com/office/drawing/2014/main" id="{87A54A6A-0CCF-4A0C-B0AB-CFDE195DC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" name="Picture 2" descr="검정로고만">
          <a:extLst>
            <a:ext uri="{FF2B5EF4-FFF2-40B4-BE49-F238E27FC236}">
              <a16:creationId xmlns:a16="http://schemas.microsoft.com/office/drawing/2014/main" id="{B1A26129-BFD1-454E-8E13-BADDAB31B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" name="Picture 2" descr="검정로고만">
          <a:extLst>
            <a:ext uri="{FF2B5EF4-FFF2-40B4-BE49-F238E27FC236}">
              <a16:creationId xmlns:a16="http://schemas.microsoft.com/office/drawing/2014/main" id="{5AA34C93-5318-493C-B3EE-17A2FB47A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" name="Picture 2" descr="검정로고만">
          <a:extLst>
            <a:ext uri="{FF2B5EF4-FFF2-40B4-BE49-F238E27FC236}">
              <a16:creationId xmlns:a16="http://schemas.microsoft.com/office/drawing/2014/main" id="{A0FC30B9-460C-46B6-AE99-6E319F19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" name="Picture 2" descr="검정로고만">
          <a:extLst>
            <a:ext uri="{FF2B5EF4-FFF2-40B4-BE49-F238E27FC236}">
              <a16:creationId xmlns:a16="http://schemas.microsoft.com/office/drawing/2014/main" id="{56A4CF56-7407-4B4E-824A-CFDCC7BA6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" name="Picture 2" descr="검정로고만">
          <a:extLst>
            <a:ext uri="{FF2B5EF4-FFF2-40B4-BE49-F238E27FC236}">
              <a16:creationId xmlns:a16="http://schemas.microsoft.com/office/drawing/2014/main" id="{78724529-F1F7-4145-86A5-0F8E4E2B0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" name="Picture 2" descr="검정로고만">
          <a:extLst>
            <a:ext uri="{FF2B5EF4-FFF2-40B4-BE49-F238E27FC236}">
              <a16:creationId xmlns:a16="http://schemas.microsoft.com/office/drawing/2014/main" id="{A623A5CD-0AE7-407F-9E65-DADEA18B6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" name="Picture 2" descr="검정로고만">
          <a:extLst>
            <a:ext uri="{FF2B5EF4-FFF2-40B4-BE49-F238E27FC236}">
              <a16:creationId xmlns:a16="http://schemas.microsoft.com/office/drawing/2014/main" id="{FEB346E5-493C-42E5-B4E6-ACDB9CE42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" name="Picture 2" descr="검정로고만">
          <a:extLst>
            <a:ext uri="{FF2B5EF4-FFF2-40B4-BE49-F238E27FC236}">
              <a16:creationId xmlns:a16="http://schemas.microsoft.com/office/drawing/2014/main" id="{8FAFE575-81C1-4461-BD8E-F273A320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" name="Picture 2" descr="검정로고만">
          <a:extLst>
            <a:ext uri="{FF2B5EF4-FFF2-40B4-BE49-F238E27FC236}">
              <a16:creationId xmlns:a16="http://schemas.microsoft.com/office/drawing/2014/main" id="{55ED3F2E-BEB0-4BCD-A1B0-2B02B254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" name="Picture 2" descr="검정로고만">
          <a:extLst>
            <a:ext uri="{FF2B5EF4-FFF2-40B4-BE49-F238E27FC236}">
              <a16:creationId xmlns:a16="http://schemas.microsoft.com/office/drawing/2014/main" id="{63E497E5-7F70-4D1C-BCA9-96736D43B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" name="Picture 2" descr="검정로고만">
          <a:extLst>
            <a:ext uri="{FF2B5EF4-FFF2-40B4-BE49-F238E27FC236}">
              <a16:creationId xmlns:a16="http://schemas.microsoft.com/office/drawing/2014/main" id="{EB710AC4-1B5E-4775-A39D-D93D6E5A8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" name="Picture 2" descr="검정로고만">
          <a:extLst>
            <a:ext uri="{FF2B5EF4-FFF2-40B4-BE49-F238E27FC236}">
              <a16:creationId xmlns:a16="http://schemas.microsoft.com/office/drawing/2014/main" id="{D272F660-12FA-4E27-8631-D737D0DF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" name="Picture 2" descr="검정로고만">
          <a:extLst>
            <a:ext uri="{FF2B5EF4-FFF2-40B4-BE49-F238E27FC236}">
              <a16:creationId xmlns:a16="http://schemas.microsoft.com/office/drawing/2014/main" id="{3AFD114A-9081-47FF-A291-B01580D0B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" name="Picture 2" descr="검정로고만">
          <a:extLst>
            <a:ext uri="{FF2B5EF4-FFF2-40B4-BE49-F238E27FC236}">
              <a16:creationId xmlns:a16="http://schemas.microsoft.com/office/drawing/2014/main" id="{2787DC6B-88A8-435B-A663-1DDC05EB2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" name="Picture 2" descr="검정로고만">
          <a:extLst>
            <a:ext uri="{FF2B5EF4-FFF2-40B4-BE49-F238E27FC236}">
              <a16:creationId xmlns:a16="http://schemas.microsoft.com/office/drawing/2014/main" id="{1B33CF33-B970-4420-A215-6F7401354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" name="Picture 2" descr="검정로고만">
          <a:extLst>
            <a:ext uri="{FF2B5EF4-FFF2-40B4-BE49-F238E27FC236}">
              <a16:creationId xmlns:a16="http://schemas.microsoft.com/office/drawing/2014/main" id="{F3754341-C8F3-4F87-A681-4D571AD61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" name="Picture 2" descr="검정로고만">
          <a:extLst>
            <a:ext uri="{FF2B5EF4-FFF2-40B4-BE49-F238E27FC236}">
              <a16:creationId xmlns:a16="http://schemas.microsoft.com/office/drawing/2014/main" id="{81FC4606-8908-4DE8-89D3-CB5CE0B67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" name="Picture 2" descr="검정로고만">
          <a:extLst>
            <a:ext uri="{FF2B5EF4-FFF2-40B4-BE49-F238E27FC236}">
              <a16:creationId xmlns:a16="http://schemas.microsoft.com/office/drawing/2014/main" id="{04E9B502-3668-462E-B701-02010C1C8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" name="Picture 2" descr="검정로고만">
          <a:extLst>
            <a:ext uri="{FF2B5EF4-FFF2-40B4-BE49-F238E27FC236}">
              <a16:creationId xmlns:a16="http://schemas.microsoft.com/office/drawing/2014/main" id="{6BE9FE01-CEFC-4AEA-A96A-60115C576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" name="Picture 2" descr="검정로고만">
          <a:extLst>
            <a:ext uri="{FF2B5EF4-FFF2-40B4-BE49-F238E27FC236}">
              <a16:creationId xmlns:a16="http://schemas.microsoft.com/office/drawing/2014/main" id="{DF95CC35-F126-4377-B17D-E0D170CA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" name="Picture 2" descr="검정로고만">
          <a:extLst>
            <a:ext uri="{FF2B5EF4-FFF2-40B4-BE49-F238E27FC236}">
              <a16:creationId xmlns:a16="http://schemas.microsoft.com/office/drawing/2014/main" id="{AA96FAD6-68A9-49E5-B10A-7A0F98C83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" name="Picture 2" descr="검정로고만">
          <a:extLst>
            <a:ext uri="{FF2B5EF4-FFF2-40B4-BE49-F238E27FC236}">
              <a16:creationId xmlns:a16="http://schemas.microsoft.com/office/drawing/2014/main" id="{FBB23C08-7CEC-4C01-B88F-389F9AA6E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" name="Picture 2" descr="검정로고만">
          <a:extLst>
            <a:ext uri="{FF2B5EF4-FFF2-40B4-BE49-F238E27FC236}">
              <a16:creationId xmlns:a16="http://schemas.microsoft.com/office/drawing/2014/main" id="{537B0D8B-BE94-4C2E-86A7-AF931DA0E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" name="Picture 2" descr="검정로고만">
          <a:extLst>
            <a:ext uri="{FF2B5EF4-FFF2-40B4-BE49-F238E27FC236}">
              <a16:creationId xmlns:a16="http://schemas.microsoft.com/office/drawing/2014/main" id="{E1F070F2-0A73-45E9-9199-5CEF99E5D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" name="Picture 2" descr="검정로고만">
          <a:extLst>
            <a:ext uri="{FF2B5EF4-FFF2-40B4-BE49-F238E27FC236}">
              <a16:creationId xmlns:a16="http://schemas.microsoft.com/office/drawing/2014/main" id="{E9641270-17AE-47C5-A649-7B8973FE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" name="Picture 2" descr="검정로고만">
          <a:extLst>
            <a:ext uri="{FF2B5EF4-FFF2-40B4-BE49-F238E27FC236}">
              <a16:creationId xmlns:a16="http://schemas.microsoft.com/office/drawing/2014/main" id="{25C02B83-D177-4138-8033-126A9E13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" name="Picture 2" descr="검정로고만">
          <a:extLst>
            <a:ext uri="{FF2B5EF4-FFF2-40B4-BE49-F238E27FC236}">
              <a16:creationId xmlns:a16="http://schemas.microsoft.com/office/drawing/2014/main" id="{9577CA33-1F88-443C-AD69-8A257FC3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" name="Picture 2" descr="검정로고만">
          <a:extLst>
            <a:ext uri="{FF2B5EF4-FFF2-40B4-BE49-F238E27FC236}">
              <a16:creationId xmlns:a16="http://schemas.microsoft.com/office/drawing/2014/main" id="{7226352F-D4F9-4FB1-854A-4AC20DBDB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" name="Picture 2" descr="검정로고만">
          <a:extLst>
            <a:ext uri="{FF2B5EF4-FFF2-40B4-BE49-F238E27FC236}">
              <a16:creationId xmlns:a16="http://schemas.microsoft.com/office/drawing/2014/main" id="{C228782A-157D-4DD5-B0F4-935D389A4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" name="Picture 2" descr="검정로고만">
          <a:extLst>
            <a:ext uri="{FF2B5EF4-FFF2-40B4-BE49-F238E27FC236}">
              <a16:creationId xmlns:a16="http://schemas.microsoft.com/office/drawing/2014/main" id="{8CA58729-C5ED-4C4D-9603-B55379839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" name="Picture 2" descr="검정로고만">
          <a:extLst>
            <a:ext uri="{FF2B5EF4-FFF2-40B4-BE49-F238E27FC236}">
              <a16:creationId xmlns:a16="http://schemas.microsoft.com/office/drawing/2014/main" id="{1F640ED2-2CB9-4674-9E22-C1D6B48F8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61" name="Picture 3" descr="검정 글씨만">
          <a:extLst>
            <a:ext uri="{FF2B5EF4-FFF2-40B4-BE49-F238E27FC236}">
              <a16:creationId xmlns:a16="http://schemas.microsoft.com/office/drawing/2014/main" id="{DE48D2FA-0234-4EB0-A568-A6AF4759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" name="Picture 2" descr="검정로고만">
          <a:extLst>
            <a:ext uri="{FF2B5EF4-FFF2-40B4-BE49-F238E27FC236}">
              <a16:creationId xmlns:a16="http://schemas.microsoft.com/office/drawing/2014/main" id="{CBD2ECB2-EB8A-47E7-BC2C-EB75A7ECA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" name="Picture 2" descr="검정로고만">
          <a:extLst>
            <a:ext uri="{FF2B5EF4-FFF2-40B4-BE49-F238E27FC236}">
              <a16:creationId xmlns:a16="http://schemas.microsoft.com/office/drawing/2014/main" id="{4493D6CA-6790-4D1C-9132-376353F98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" name="Picture 2" descr="검정로고만">
          <a:extLst>
            <a:ext uri="{FF2B5EF4-FFF2-40B4-BE49-F238E27FC236}">
              <a16:creationId xmlns:a16="http://schemas.microsoft.com/office/drawing/2014/main" id="{18EBA6F7-4881-45E5-A66E-4E29E862F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" name="Picture 2" descr="검정로고만">
          <a:extLst>
            <a:ext uri="{FF2B5EF4-FFF2-40B4-BE49-F238E27FC236}">
              <a16:creationId xmlns:a16="http://schemas.microsoft.com/office/drawing/2014/main" id="{01FE8F6C-6907-490C-BDD5-ED7F79075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" name="Picture 2" descr="검정로고만">
          <a:extLst>
            <a:ext uri="{FF2B5EF4-FFF2-40B4-BE49-F238E27FC236}">
              <a16:creationId xmlns:a16="http://schemas.microsoft.com/office/drawing/2014/main" id="{348AAC71-8A21-455A-B74B-E1848390F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" name="Picture 2" descr="검정로고만">
          <a:extLst>
            <a:ext uri="{FF2B5EF4-FFF2-40B4-BE49-F238E27FC236}">
              <a16:creationId xmlns:a16="http://schemas.microsoft.com/office/drawing/2014/main" id="{57D66C17-9144-4155-B799-1C2F313A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" name="Picture 2" descr="검정로고만">
          <a:extLst>
            <a:ext uri="{FF2B5EF4-FFF2-40B4-BE49-F238E27FC236}">
              <a16:creationId xmlns:a16="http://schemas.microsoft.com/office/drawing/2014/main" id="{A302DBC3-C0C1-4363-B12F-6B845E4E7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" name="Picture 2" descr="검정로고만">
          <a:extLst>
            <a:ext uri="{FF2B5EF4-FFF2-40B4-BE49-F238E27FC236}">
              <a16:creationId xmlns:a16="http://schemas.microsoft.com/office/drawing/2014/main" id="{EC405424-409C-4F21-B320-25D6F30F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70" name="Picture 3" descr="검정 글씨만">
          <a:extLst>
            <a:ext uri="{FF2B5EF4-FFF2-40B4-BE49-F238E27FC236}">
              <a16:creationId xmlns:a16="http://schemas.microsoft.com/office/drawing/2014/main" id="{DCAB59CF-EC63-4913-9BC8-0761EAA6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" name="Picture 2" descr="검정로고만">
          <a:extLst>
            <a:ext uri="{FF2B5EF4-FFF2-40B4-BE49-F238E27FC236}">
              <a16:creationId xmlns:a16="http://schemas.microsoft.com/office/drawing/2014/main" id="{5F18EA76-8A8B-463E-978A-EDF222063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" name="Picture 2" descr="검정로고만">
          <a:extLst>
            <a:ext uri="{FF2B5EF4-FFF2-40B4-BE49-F238E27FC236}">
              <a16:creationId xmlns:a16="http://schemas.microsoft.com/office/drawing/2014/main" id="{051BF2ED-83EF-4447-A3D1-6428A5F7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" name="Picture 2" descr="검정로고만">
          <a:extLst>
            <a:ext uri="{FF2B5EF4-FFF2-40B4-BE49-F238E27FC236}">
              <a16:creationId xmlns:a16="http://schemas.microsoft.com/office/drawing/2014/main" id="{18A96798-6E64-409D-BD09-55B8CC1D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" name="Picture 2" descr="검정로고만">
          <a:extLst>
            <a:ext uri="{FF2B5EF4-FFF2-40B4-BE49-F238E27FC236}">
              <a16:creationId xmlns:a16="http://schemas.microsoft.com/office/drawing/2014/main" id="{D3F9B446-A258-46EE-B196-F9073F911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" name="Picture 2" descr="검정로고만">
          <a:extLst>
            <a:ext uri="{FF2B5EF4-FFF2-40B4-BE49-F238E27FC236}">
              <a16:creationId xmlns:a16="http://schemas.microsoft.com/office/drawing/2014/main" id="{E526ED90-6D67-44A9-A6BF-F4FFCEC3C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" name="Picture 2" descr="검정로고만">
          <a:extLst>
            <a:ext uri="{FF2B5EF4-FFF2-40B4-BE49-F238E27FC236}">
              <a16:creationId xmlns:a16="http://schemas.microsoft.com/office/drawing/2014/main" id="{9D424337-324F-4A66-B91F-45CF80607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" name="Picture 2" descr="검정로고만">
          <a:extLst>
            <a:ext uri="{FF2B5EF4-FFF2-40B4-BE49-F238E27FC236}">
              <a16:creationId xmlns:a16="http://schemas.microsoft.com/office/drawing/2014/main" id="{90747026-475D-464A-8F40-7E19B920F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" name="Picture 2" descr="검정로고만">
          <a:extLst>
            <a:ext uri="{FF2B5EF4-FFF2-40B4-BE49-F238E27FC236}">
              <a16:creationId xmlns:a16="http://schemas.microsoft.com/office/drawing/2014/main" id="{5ED1E18B-8A65-4477-A22D-B5EF7CCF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" name="Picture 2" descr="검정로고만">
          <a:extLst>
            <a:ext uri="{FF2B5EF4-FFF2-40B4-BE49-F238E27FC236}">
              <a16:creationId xmlns:a16="http://schemas.microsoft.com/office/drawing/2014/main" id="{CB561644-FD34-4F72-9336-4118C8E3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" name="Picture 2" descr="검정로고만">
          <a:extLst>
            <a:ext uri="{FF2B5EF4-FFF2-40B4-BE49-F238E27FC236}">
              <a16:creationId xmlns:a16="http://schemas.microsoft.com/office/drawing/2014/main" id="{5E886F5A-1E6D-40D5-B1DD-03D9F7CF4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" name="Picture 2" descr="검정로고만">
          <a:extLst>
            <a:ext uri="{FF2B5EF4-FFF2-40B4-BE49-F238E27FC236}">
              <a16:creationId xmlns:a16="http://schemas.microsoft.com/office/drawing/2014/main" id="{A25FCD85-DDAD-4981-976D-EC3D48BB4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" name="Picture 2" descr="검정로고만">
          <a:extLst>
            <a:ext uri="{FF2B5EF4-FFF2-40B4-BE49-F238E27FC236}">
              <a16:creationId xmlns:a16="http://schemas.microsoft.com/office/drawing/2014/main" id="{EB02CA77-8E90-4829-8F77-9BC9D251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" name="Picture 2" descr="검정로고만">
          <a:extLst>
            <a:ext uri="{FF2B5EF4-FFF2-40B4-BE49-F238E27FC236}">
              <a16:creationId xmlns:a16="http://schemas.microsoft.com/office/drawing/2014/main" id="{C88A4036-ADE0-4FB7-998F-61A62DD6B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" name="Picture 2" descr="검정로고만">
          <a:extLst>
            <a:ext uri="{FF2B5EF4-FFF2-40B4-BE49-F238E27FC236}">
              <a16:creationId xmlns:a16="http://schemas.microsoft.com/office/drawing/2014/main" id="{2C05E3D0-4A3F-41A9-9822-93679E27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" name="Picture 2" descr="검정로고만">
          <a:extLst>
            <a:ext uri="{FF2B5EF4-FFF2-40B4-BE49-F238E27FC236}">
              <a16:creationId xmlns:a16="http://schemas.microsoft.com/office/drawing/2014/main" id="{10CEDBAA-D44E-4435-8527-2EE83641F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" name="Picture 2" descr="검정로고만">
          <a:extLst>
            <a:ext uri="{FF2B5EF4-FFF2-40B4-BE49-F238E27FC236}">
              <a16:creationId xmlns:a16="http://schemas.microsoft.com/office/drawing/2014/main" id="{12C00B1E-57A2-47AA-84D6-6F6BE8771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" name="Picture 2" descr="검정로고만">
          <a:extLst>
            <a:ext uri="{FF2B5EF4-FFF2-40B4-BE49-F238E27FC236}">
              <a16:creationId xmlns:a16="http://schemas.microsoft.com/office/drawing/2014/main" id="{C05FBF4C-3721-4D35-A273-D5E7520C9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" name="Picture 2" descr="검정로고만">
          <a:extLst>
            <a:ext uri="{FF2B5EF4-FFF2-40B4-BE49-F238E27FC236}">
              <a16:creationId xmlns:a16="http://schemas.microsoft.com/office/drawing/2014/main" id="{AF85A2BE-FC19-4467-B608-3A49B9CA0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" name="Picture 2" descr="검정로고만">
          <a:extLst>
            <a:ext uri="{FF2B5EF4-FFF2-40B4-BE49-F238E27FC236}">
              <a16:creationId xmlns:a16="http://schemas.microsoft.com/office/drawing/2014/main" id="{4F6E92EF-B476-4E23-93FF-B8B3D293A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" name="Picture 2" descr="검정로고만">
          <a:extLst>
            <a:ext uri="{FF2B5EF4-FFF2-40B4-BE49-F238E27FC236}">
              <a16:creationId xmlns:a16="http://schemas.microsoft.com/office/drawing/2014/main" id="{E0C2D6DB-8AB3-49D4-95B4-E407235C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" name="Picture 2" descr="검정로고만">
          <a:extLst>
            <a:ext uri="{FF2B5EF4-FFF2-40B4-BE49-F238E27FC236}">
              <a16:creationId xmlns:a16="http://schemas.microsoft.com/office/drawing/2014/main" id="{FF97228C-6A43-472E-ACCB-467859273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" name="Picture 2" descr="검정로고만">
          <a:extLst>
            <a:ext uri="{FF2B5EF4-FFF2-40B4-BE49-F238E27FC236}">
              <a16:creationId xmlns:a16="http://schemas.microsoft.com/office/drawing/2014/main" id="{7DAB78E4-22EB-4730-8565-A00AF2AEC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" name="Picture 2" descr="검정로고만">
          <a:extLst>
            <a:ext uri="{FF2B5EF4-FFF2-40B4-BE49-F238E27FC236}">
              <a16:creationId xmlns:a16="http://schemas.microsoft.com/office/drawing/2014/main" id="{EB43C348-BE7A-4258-B37D-7B16100A7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" name="Picture 2" descr="검정로고만">
          <a:extLst>
            <a:ext uri="{FF2B5EF4-FFF2-40B4-BE49-F238E27FC236}">
              <a16:creationId xmlns:a16="http://schemas.microsoft.com/office/drawing/2014/main" id="{B2AA518C-4A47-4C80-B534-F9BB3EC6D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" name="Picture 2" descr="검정로고만">
          <a:extLst>
            <a:ext uri="{FF2B5EF4-FFF2-40B4-BE49-F238E27FC236}">
              <a16:creationId xmlns:a16="http://schemas.microsoft.com/office/drawing/2014/main" id="{BF30F435-A9BE-47CD-83B5-6C1D1F6C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" name="Picture 2" descr="검정로고만">
          <a:extLst>
            <a:ext uri="{FF2B5EF4-FFF2-40B4-BE49-F238E27FC236}">
              <a16:creationId xmlns:a16="http://schemas.microsoft.com/office/drawing/2014/main" id="{106C27E4-B9E7-4831-B15E-500B83F52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" name="Picture 2" descr="검정로고만">
          <a:extLst>
            <a:ext uri="{FF2B5EF4-FFF2-40B4-BE49-F238E27FC236}">
              <a16:creationId xmlns:a16="http://schemas.microsoft.com/office/drawing/2014/main" id="{ACF6531E-730E-44EA-A912-A90CF35C3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" name="Picture 2" descr="검정로고만">
          <a:extLst>
            <a:ext uri="{FF2B5EF4-FFF2-40B4-BE49-F238E27FC236}">
              <a16:creationId xmlns:a16="http://schemas.microsoft.com/office/drawing/2014/main" id="{80F2ABCE-5EAA-4CFE-92A3-66D3080B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" name="Picture 2" descr="검정로고만">
          <a:extLst>
            <a:ext uri="{FF2B5EF4-FFF2-40B4-BE49-F238E27FC236}">
              <a16:creationId xmlns:a16="http://schemas.microsoft.com/office/drawing/2014/main" id="{D1884B12-F13F-4CF6-8210-6132E77B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" name="Picture 2" descr="검정로고만">
          <a:extLst>
            <a:ext uri="{FF2B5EF4-FFF2-40B4-BE49-F238E27FC236}">
              <a16:creationId xmlns:a16="http://schemas.microsoft.com/office/drawing/2014/main" id="{82082050-7E16-4F3F-876D-25ACF2E12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" name="Picture 2" descr="검정로고만">
          <a:extLst>
            <a:ext uri="{FF2B5EF4-FFF2-40B4-BE49-F238E27FC236}">
              <a16:creationId xmlns:a16="http://schemas.microsoft.com/office/drawing/2014/main" id="{14249ED5-FDAC-4A21-8931-BB666B2D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" name="Picture 2" descr="검정로고만">
          <a:extLst>
            <a:ext uri="{FF2B5EF4-FFF2-40B4-BE49-F238E27FC236}">
              <a16:creationId xmlns:a16="http://schemas.microsoft.com/office/drawing/2014/main" id="{21144C5B-1E42-44AF-89E9-DB3AA9EA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" name="Picture 2" descr="검정로고만">
          <a:extLst>
            <a:ext uri="{FF2B5EF4-FFF2-40B4-BE49-F238E27FC236}">
              <a16:creationId xmlns:a16="http://schemas.microsoft.com/office/drawing/2014/main" id="{CC0D9847-B87B-4097-AADD-C7D130BD1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" name="Picture 2" descr="검정로고만">
          <a:extLst>
            <a:ext uri="{FF2B5EF4-FFF2-40B4-BE49-F238E27FC236}">
              <a16:creationId xmlns:a16="http://schemas.microsoft.com/office/drawing/2014/main" id="{3F99F10D-23E2-4D8B-8DBF-BD2377CC1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" name="Picture 2" descr="검정로고만">
          <a:extLst>
            <a:ext uri="{FF2B5EF4-FFF2-40B4-BE49-F238E27FC236}">
              <a16:creationId xmlns:a16="http://schemas.microsoft.com/office/drawing/2014/main" id="{474C233C-DF81-44B9-9DFF-93495597F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" name="Picture 2" descr="검정로고만">
          <a:extLst>
            <a:ext uri="{FF2B5EF4-FFF2-40B4-BE49-F238E27FC236}">
              <a16:creationId xmlns:a16="http://schemas.microsoft.com/office/drawing/2014/main" id="{FEC8561E-87C4-42CD-8E67-30ACAD0AD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" name="Picture 2" descr="검정로고만">
          <a:extLst>
            <a:ext uri="{FF2B5EF4-FFF2-40B4-BE49-F238E27FC236}">
              <a16:creationId xmlns:a16="http://schemas.microsoft.com/office/drawing/2014/main" id="{22E01D11-792E-4C32-84EE-315CF35F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" name="Picture 2" descr="검정로고만">
          <a:extLst>
            <a:ext uri="{FF2B5EF4-FFF2-40B4-BE49-F238E27FC236}">
              <a16:creationId xmlns:a16="http://schemas.microsoft.com/office/drawing/2014/main" id="{EB3CAAFA-89C7-4249-A056-66FEEE7BF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" name="Picture 2" descr="검정로고만">
          <a:extLst>
            <a:ext uri="{FF2B5EF4-FFF2-40B4-BE49-F238E27FC236}">
              <a16:creationId xmlns:a16="http://schemas.microsoft.com/office/drawing/2014/main" id="{F4330D16-D918-4F9E-826B-D5B349D8A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" name="Picture 2" descr="검정로고만">
          <a:extLst>
            <a:ext uri="{FF2B5EF4-FFF2-40B4-BE49-F238E27FC236}">
              <a16:creationId xmlns:a16="http://schemas.microsoft.com/office/drawing/2014/main" id="{267EC577-75B7-4543-B378-D2F8D5762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11" name="Picture 3" descr="검정 글씨만">
          <a:extLst>
            <a:ext uri="{FF2B5EF4-FFF2-40B4-BE49-F238E27FC236}">
              <a16:creationId xmlns:a16="http://schemas.microsoft.com/office/drawing/2014/main" id="{5EF3069E-6F18-4EE4-BC00-C41B18C7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" name="Picture 2" descr="검정로고만">
          <a:extLst>
            <a:ext uri="{FF2B5EF4-FFF2-40B4-BE49-F238E27FC236}">
              <a16:creationId xmlns:a16="http://schemas.microsoft.com/office/drawing/2014/main" id="{452DDAA0-C71B-49E8-BEF2-B4BA94CC2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" name="Picture 2" descr="검정로고만">
          <a:extLst>
            <a:ext uri="{FF2B5EF4-FFF2-40B4-BE49-F238E27FC236}">
              <a16:creationId xmlns:a16="http://schemas.microsoft.com/office/drawing/2014/main" id="{8DD4596B-B1ED-4075-8637-13A58A398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" name="Picture 2" descr="검정로고만">
          <a:extLst>
            <a:ext uri="{FF2B5EF4-FFF2-40B4-BE49-F238E27FC236}">
              <a16:creationId xmlns:a16="http://schemas.microsoft.com/office/drawing/2014/main" id="{CEB0A6A8-6FA0-4C8C-AC4E-9ED2FD9A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" name="Picture 2" descr="검정로고만">
          <a:extLst>
            <a:ext uri="{FF2B5EF4-FFF2-40B4-BE49-F238E27FC236}">
              <a16:creationId xmlns:a16="http://schemas.microsoft.com/office/drawing/2014/main" id="{D050C24F-87AB-4CEC-8F4E-DB24F5EC8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" name="Picture 2" descr="검정로고만">
          <a:extLst>
            <a:ext uri="{FF2B5EF4-FFF2-40B4-BE49-F238E27FC236}">
              <a16:creationId xmlns:a16="http://schemas.microsoft.com/office/drawing/2014/main" id="{96DFB5A3-46B1-4F6C-B6A5-C687D78C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" name="Picture 2" descr="검정로고만">
          <a:extLst>
            <a:ext uri="{FF2B5EF4-FFF2-40B4-BE49-F238E27FC236}">
              <a16:creationId xmlns:a16="http://schemas.microsoft.com/office/drawing/2014/main" id="{E0D09DA1-AE31-4A08-A197-819050EED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" name="Picture 2" descr="검정로고만">
          <a:extLst>
            <a:ext uri="{FF2B5EF4-FFF2-40B4-BE49-F238E27FC236}">
              <a16:creationId xmlns:a16="http://schemas.microsoft.com/office/drawing/2014/main" id="{8B43F9C0-E07B-4092-94AC-6BE38643F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" name="Picture 2" descr="검정로고만">
          <a:extLst>
            <a:ext uri="{FF2B5EF4-FFF2-40B4-BE49-F238E27FC236}">
              <a16:creationId xmlns:a16="http://schemas.microsoft.com/office/drawing/2014/main" id="{CD9CC518-4C56-4FA0-B706-25CBA609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20" name="Picture 3" descr="검정 글씨만">
          <a:extLst>
            <a:ext uri="{FF2B5EF4-FFF2-40B4-BE49-F238E27FC236}">
              <a16:creationId xmlns:a16="http://schemas.microsoft.com/office/drawing/2014/main" id="{38BC920C-F2AC-4E98-8469-BA9607646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" name="Picture 2" descr="검정로고만">
          <a:extLst>
            <a:ext uri="{FF2B5EF4-FFF2-40B4-BE49-F238E27FC236}">
              <a16:creationId xmlns:a16="http://schemas.microsoft.com/office/drawing/2014/main" id="{BAB0C267-3430-4AAF-8B82-6559C489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" name="Picture 2" descr="검정로고만">
          <a:extLst>
            <a:ext uri="{FF2B5EF4-FFF2-40B4-BE49-F238E27FC236}">
              <a16:creationId xmlns:a16="http://schemas.microsoft.com/office/drawing/2014/main" id="{5787AA07-BCB4-468B-94B6-93087192D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" name="Picture 2" descr="검정로고만">
          <a:extLst>
            <a:ext uri="{FF2B5EF4-FFF2-40B4-BE49-F238E27FC236}">
              <a16:creationId xmlns:a16="http://schemas.microsoft.com/office/drawing/2014/main" id="{6EF4BFE8-9F7A-4451-BB92-CB79FCE99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" name="Picture 2" descr="검정로고만">
          <a:extLst>
            <a:ext uri="{FF2B5EF4-FFF2-40B4-BE49-F238E27FC236}">
              <a16:creationId xmlns:a16="http://schemas.microsoft.com/office/drawing/2014/main" id="{9552FA07-AB2D-4632-A95A-33831D767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" name="Picture 2" descr="검정로고만">
          <a:extLst>
            <a:ext uri="{FF2B5EF4-FFF2-40B4-BE49-F238E27FC236}">
              <a16:creationId xmlns:a16="http://schemas.microsoft.com/office/drawing/2014/main" id="{FBFDF012-5DAA-4F62-A0E2-204AF6CC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" name="Picture 2" descr="검정로고만">
          <a:extLst>
            <a:ext uri="{FF2B5EF4-FFF2-40B4-BE49-F238E27FC236}">
              <a16:creationId xmlns:a16="http://schemas.microsoft.com/office/drawing/2014/main" id="{CFB00418-8DA9-447A-B2F0-B2E0039EB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" name="Picture 2" descr="검정로고만">
          <a:extLst>
            <a:ext uri="{FF2B5EF4-FFF2-40B4-BE49-F238E27FC236}">
              <a16:creationId xmlns:a16="http://schemas.microsoft.com/office/drawing/2014/main" id="{EB7C50B2-5895-4C35-883E-DD6EBDB82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" name="Picture 2" descr="검정로고만">
          <a:extLst>
            <a:ext uri="{FF2B5EF4-FFF2-40B4-BE49-F238E27FC236}">
              <a16:creationId xmlns:a16="http://schemas.microsoft.com/office/drawing/2014/main" id="{92DFAB9D-B6F4-43D8-9B39-88A08C50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29" name="Picture 3" descr="검정 글씨만">
          <a:extLst>
            <a:ext uri="{FF2B5EF4-FFF2-40B4-BE49-F238E27FC236}">
              <a16:creationId xmlns:a16="http://schemas.microsoft.com/office/drawing/2014/main" id="{4D3BE251-2A75-4B38-B5BC-B261E1069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" name="Picture 2" descr="검정로고만">
          <a:extLst>
            <a:ext uri="{FF2B5EF4-FFF2-40B4-BE49-F238E27FC236}">
              <a16:creationId xmlns:a16="http://schemas.microsoft.com/office/drawing/2014/main" id="{DA5E5496-3BF7-40AE-B947-912A187EA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" name="Picture 2" descr="검정로고만">
          <a:extLst>
            <a:ext uri="{FF2B5EF4-FFF2-40B4-BE49-F238E27FC236}">
              <a16:creationId xmlns:a16="http://schemas.microsoft.com/office/drawing/2014/main" id="{B4BDBB9E-58A3-4D55-8023-4D50C03DB5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" name="Picture 2" descr="검정로고만">
          <a:extLst>
            <a:ext uri="{FF2B5EF4-FFF2-40B4-BE49-F238E27FC236}">
              <a16:creationId xmlns:a16="http://schemas.microsoft.com/office/drawing/2014/main" id="{8AA5CF86-4E75-4F5F-9437-FEB98F29E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" name="Picture 2" descr="검정로고만">
          <a:extLst>
            <a:ext uri="{FF2B5EF4-FFF2-40B4-BE49-F238E27FC236}">
              <a16:creationId xmlns:a16="http://schemas.microsoft.com/office/drawing/2014/main" id="{628073B8-9134-450F-AE61-99B573DF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" name="Picture 2" descr="검정로고만">
          <a:extLst>
            <a:ext uri="{FF2B5EF4-FFF2-40B4-BE49-F238E27FC236}">
              <a16:creationId xmlns:a16="http://schemas.microsoft.com/office/drawing/2014/main" id="{8C8A8CD4-DD12-4B2C-938E-E133C891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" name="Picture 2" descr="검정로고만">
          <a:extLst>
            <a:ext uri="{FF2B5EF4-FFF2-40B4-BE49-F238E27FC236}">
              <a16:creationId xmlns:a16="http://schemas.microsoft.com/office/drawing/2014/main" id="{78EE58FB-B77B-4D58-8D3B-05A6AE5ED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" name="Picture 2" descr="검정로고만">
          <a:extLst>
            <a:ext uri="{FF2B5EF4-FFF2-40B4-BE49-F238E27FC236}">
              <a16:creationId xmlns:a16="http://schemas.microsoft.com/office/drawing/2014/main" id="{9B1C8573-32E2-45D3-8DD9-A90EA80FD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" name="Picture 2" descr="검정로고만">
          <a:extLst>
            <a:ext uri="{FF2B5EF4-FFF2-40B4-BE49-F238E27FC236}">
              <a16:creationId xmlns:a16="http://schemas.microsoft.com/office/drawing/2014/main" id="{A352CF4A-1726-412B-83F0-063B8E544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38" name="Picture 3" descr="검정 글씨만">
          <a:extLst>
            <a:ext uri="{FF2B5EF4-FFF2-40B4-BE49-F238E27FC236}">
              <a16:creationId xmlns:a16="http://schemas.microsoft.com/office/drawing/2014/main" id="{82173BDF-3E77-448C-BD19-84310C10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" name="Picture 2" descr="검정로고만">
          <a:extLst>
            <a:ext uri="{FF2B5EF4-FFF2-40B4-BE49-F238E27FC236}">
              <a16:creationId xmlns:a16="http://schemas.microsoft.com/office/drawing/2014/main" id="{7A279153-0063-4D12-8C82-3BA652643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" name="Picture 2" descr="검정로고만">
          <a:extLst>
            <a:ext uri="{FF2B5EF4-FFF2-40B4-BE49-F238E27FC236}">
              <a16:creationId xmlns:a16="http://schemas.microsoft.com/office/drawing/2014/main" id="{D6144515-9380-4A6B-B7A4-F11A9519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" name="Picture 2" descr="검정로고만">
          <a:extLst>
            <a:ext uri="{FF2B5EF4-FFF2-40B4-BE49-F238E27FC236}">
              <a16:creationId xmlns:a16="http://schemas.microsoft.com/office/drawing/2014/main" id="{9E268DE7-CE01-46EE-845D-79F3AE376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" name="Picture 2" descr="검정로고만">
          <a:extLst>
            <a:ext uri="{FF2B5EF4-FFF2-40B4-BE49-F238E27FC236}">
              <a16:creationId xmlns:a16="http://schemas.microsoft.com/office/drawing/2014/main" id="{B9070DFA-2A83-4B89-8609-C2685AC7E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" name="Picture 2" descr="검정로고만">
          <a:extLst>
            <a:ext uri="{FF2B5EF4-FFF2-40B4-BE49-F238E27FC236}">
              <a16:creationId xmlns:a16="http://schemas.microsoft.com/office/drawing/2014/main" id="{26FEBA83-B217-4E6A-8ED9-9BFEBA47F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" name="Picture 2" descr="검정로고만">
          <a:extLst>
            <a:ext uri="{FF2B5EF4-FFF2-40B4-BE49-F238E27FC236}">
              <a16:creationId xmlns:a16="http://schemas.microsoft.com/office/drawing/2014/main" id="{4F3B5FAF-F0B7-4607-9388-0D1BBFBB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" name="Picture 2" descr="검정로고만">
          <a:extLst>
            <a:ext uri="{FF2B5EF4-FFF2-40B4-BE49-F238E27FC236}">
              <a16:creationId xmlns:a16="http://schemas.microsoft.com/office/drawing/2014/main" id="{8471F63F-A7B5-4F2B-BAEC-7EA7E2518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" name="Picture 2" descr="검정로고만">
          <a:extLst>
            <a:ext uri="{FF2B5EF4-FFF2-40B4-BE49-F238E27FC236}">
              <a16:creationId xmlns:a16="http://schemas.microsoft.com/office/drawing/2014/main" id="{ED73665B-F5F9-4EFD-BA42-578F0BBE4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47" name="Picture 3" descr="검정 글씨만">
          <a:extLst>
            <a:ext uri="{FF2B5EF4-FFF2-40B4-BE49-F238E27FC236}">
              <a16:creationId xmlns:a16="http://schemas.microsoft.com/office/drawing/2014/main" id="{B866C36F-74C1-42E5-AA1D-23F97CC2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" name="Picture 2" descr="검정로고만">
          <a:extLst>
            <a:ext uri="{FF2B5EF4-FFF2-40B4-BE49-F238E27FC236}">
              <a16:creationId xmlns:a16="http://schemas.microsoft.com/office/drawing/2014/main" id="{1DD0D5E7-A6B5-4668-8687-483E9FB0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" name="Picture 2" descr="검정로고만">
          <a:extLst>
            <a:ext uri="{FF2B5EF4-FFF2-40B4-BE49-F238E27FC236}">
              <a16:creationId xmlns:a16="http://schemas.microsoft.com/office/drawing/2014/main" id="{D58823C4-9249-4A69-B40A-116D8638B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" name="Picture 2" descr="검정로고만">
          <a:extLst>
            <a:ext uri="{FF2B5EF4-FFF2-40B4-BE49-F238E27FC236}">
              <a16:creationId xmlns:a16="http://schemas.microsoft.com/office/drawing/2014/main" id="{4ECDEC82-8CED-4BA2-AC95-DB8ED199B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" name="Picture 2" descr="검정로고만">
          <a:extLst>
            <a:ext uri="{FF2B5EF4-FFF2-40B4-BE49-F238E27FC236}">
              <a16:creationId xmlns:a16="http://schemas.microsoft.com/office/drawing/2014/main" id="{5B6D1758-0E14-407D-AF71-0BFB51686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" name="Picture 2" descr="검정로고만">
          <a:extLst>
            <a:ext uri="{FF2B5EF4-FFF2-40B4-BE49-F238E27FC236}">
              <a16:creationId xmlns:a16="http://schemas.microsoft.com/office/drawing/2014/main" id="{CF7603C2-974D-43CE-B004-4F67D6522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" name="Picture 2" descr="검정로고만">
          <a:extLst>
            <a:ext uri="{FF2B5EF4-FFF2-40B4-BE49-F238E27FC236}">
              <a16:creationId xmlns:a16="http://schemas.microsoft.com/office/drawing/2014/main" id="{36E52032-40F4-4159-961A-3DDDEBFF4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" name="Picture 2" descr="검정로고만">
          <a:extLst>
            <a:ext uri="{FF2B5EF4-FFF2-40B4-BE49-F238E27FC236}">
              <a16:creationId xmlns:a16="http://schemas.microsoft.com/office/drawing/2014/main" id="{CD8C3A88-17C7-48AB-9EA1-B04F14413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" name="Picture 2" descr="검정로고만">
          <a:extLst>
            <a:ext uri="{FF2B5EF4-FFF2-40B4-BE49-F238E27FC236}">
              <a16:creationId xmlns:a16="http://schemas.microsoft.com/office/drawing/2014/main" id="{35C2624F-8D84-4791-A981-3866FEA7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" name="Picture 2" descr="검정로고만">
          <a:extLst>
            <a:ext uri="{FF2B5EF4-FFF2-40B4-BE49-F238E27FC236}">
              <a16:creationId xmlns:a16="http://schemas.microsoft.com/office/drawing/2014/main" id="{4FB54AE5-48C8-4774-9FF0-EB7B475A2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" name="Picture 2" descr="검정로고만">
          <a:extLst>
            <a:ext uri="{FF2B5EF4-FFF2-40B4-BE49-F238E27FC236}">
              <a16:creationId xmlns:a16="http://schemas.microsoft.com/office/drawing/2014/main" id="{04754CDB-309D-4814-8FD0-BD7854AE6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" name="Picture 2" descr="검정로고만">
          <a:extLst>
            <a:ext uri="{FF2B5EF4-FFF2-40B4-BE49-F238E27FC236}">
              <a16:creationId xmlns:a16="http://schemas.microsoft.com/office/drawing/2014/main" id="{CB1CB6C5-F183-40F5-97B7-E08B03BD1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" name="Picture 2" descr="검정로고만">
          <a:extLst>
            <a:ext uri="{FF2B5EF4-FFF2-40B4-BE49-F238E27FC236}">
              <a16:creationId xmlns:a16="http://schemas.microsoft.com/office/drawing/2014/main" id="{CDC3D32D-2CD6-4E50-9BBC-DF1181FDA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" name="Picture 2" descr="검정로고만">
          <a:extLst>
            <a:ext uri="{FF2B5EF4-FFF2-40B4-BE49-F238E27FC236}">
              <a16:creationId xmlns:a16="http://schemas.microsoft.com/office/drawing/2014/main" id="{BED9871D-B1F7-46B9-8A76-EB68E1BBF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" name="Picture 2" descr="검정로고만">
          <a:extLst>
            <a:ext uri="{FF2B5EF4-FFF2-40B4-BE49-F238E27FC236}">
              <a16:creationId xmlns:a16="http://schemas.microsoft.com/office/drawing/2014/main" id="{713BA6BF-9A3F-4E7A-A5F3-708B048CE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" name="Picture 2" descr="검정로고만">
          <a:extLst>
            <a:ext uri="{FF2B5EF4-FFF2-40B4-BE49-F238E27FC236}">
              <a16:creationId xmlns:a16="http://schemas.microsoft.com/office/drawing/2014/main" id="{B62880CF-1A7C-4FB0-9061-760447929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" name="Picture 2" descr="검정로고만">
          <a:extLst>
            <a:ext uri="{FF2B5EF4-FFF2-40B4-BE49-F238E27FC236}">
              <a16:creationId xmlns:a16="http://schemas.microsoft.com/office/drawing/2014/main" id="{55275F68-1E93-422F-A3E0-38EE35B0B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" name="Picture 2" descr="검정로고만">
          <a:extLst>
            <a:ext uri="{FF2B5EF4-FFF2-40B4-BE49-F238E27FC236}">
              <a16:creationId xmlns:a16="http://schemas.microsoft.com/office/drawing/2014/main" id="{1306BE66-9460-44D7-8A73-B671D5131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" name="Picture 2" descr="검정로고만">
          <a:extLst>
            <a:ext uri="{FF2B5EF4-FFF2-40B4-BE49-F238E27FC236}">
              <a16:creationId xmlns:a16="http://schemas.microsoft.com/office/drawing/2014/main" id="{64D92011-68EA-45C9-8C02-B13F8EB19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" name="Picture 2" descr="검정로고만">
          <a:extLst>
            <a:ext uri="{FF2B5EF4-FFF2-40B4-BE49-F238E27FC236}">
              <a16:creationId xmlns:a16="http://schemas.microsoft.com/office/drawing/2014/main" id="{52CF3C72-B196-447F-81F2-5DAC8C18A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" name="Picture 2" descr="검정로고만">
          <a:extLst>
            <a:ext uri="{FF2B5EF4-FFF2-40B4-BE49-F238E27FC236}">
              <a16:creationId xmlns:a16="http://schemas.microsoft.com/office/drawing/2014/main" id="{EA1CFF32-73B3-4F84-83DC-CFF3D626C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" name="Picture 2" descr="검정로고만">
          <a:extLst>
            <a:ext uri="{FF2B5EF4-FFF2-40B4-BE49-F238E27FC236}">
              <a16:creationId xmlns:a16="http://schemas.microsoft.com/office/drawing/2014/main" id="{C67C1A1C-5A00-47DF-899F-A6CED4BC1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" name="Picture 2" descr="검정로고만">
          <a:extLst>
            <a:ext uri="{FF2B5EF4-FFF2-40B4-BE49-F238E27FC236}">
              <a16:creationId xmlns:a16="http://schemas.microsoft.com/office/drawing/2014/main" id="{A5AC4A14-BE13-42EF-9EEF-489286FE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" name="Picture 2" descr="검정로고만">
          <a:extLst>
            <a:ext uri="{FF2B5EF4-FFF2-40B4-BE49-F238E27FC236}">
              <a16:creationId xmlns:a16="http://schemas.microsoft.com/office/drawing/2014/main" id="{D0696ECA-BE43-4A37-8DD1-050AB1074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" name="Picture 2" descr="검정로고만">
          <a:extLst>
            <a:ext uri="{FF2B5EF4-FFF2-40B4-BE49-F238E27FC236}">
              <a16:creationId xmlns:a16="http://schemas.microsoft.com/office/drawing/2014/main" id="{FF3F1073-929D-47B6-AD11-938C5AE4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" name="Picture 2" descr="검정로고만">
          <a:extLst>
            <a:ext uri="{FF2B5EF4-FFF2-40B4-BE49-F238E27FC236}">
              <a16:creationId xmlns:a16="http://schemas.microsoft.com/office/drawing/2014/main" id="{6117456B-6BE8-43AE-9427-E00DE36C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" name="Picture 2" descr="검정로고만">
          <a:extLst>
            <a:ext uri="{FF2B5EF4-FFF2-40B4-BE49-F238E27FC236}">
              <a16:creationId xmlns:a16="http://schemas.microsoft.com/office/drawing/2014/main" id="{44CA7A9A-F443-48F1-AAD3-E6A1FCB9F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" name="Picture 2" descr="검정로고만">
          <a:extLst>
            <a:ext uri="{FF2B5EF4-FFF2-40B4-BE49-F238E27FC236}">
              <a16:creationId xmlns:a16="http://schemas.microsoft.com/office/drawing/2014/main" id="{A5CB34CF-145A-424E-B4EE-89B4D4F8A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" name="Picture 2" descr="검정로고만">
          <a:extLst>
            <a:ext uri="{FF2B5EF4-FFF2-40B4-BE49-F238E27FC236}">
              <a16:creationId xmlns:a16="http://schemas.microsoft.com/office/drawing/2014/main" id="{976E7CB5-554F-47D8-9A7D-85F818CA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" name="Picture 2" descr="검정로고만">
          <a:extLst>
            <a:ext uri="{FF2B5EF4-FFF2-40B4-BE49-F238E27FC236}">
              <a16:creationId xmlns:a16="http://schemas.microsoft.com/office/drawing/2014/main" id="{B5590825-6A96-4C5B-8987-6234BEA34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" name="Picture 2" descr="검정로고만">
          <a:extLst>
            <a:ext uri="{FF2B5EF4-FFF2-40B4-BE49-F238E27FC236}">
              <a16:creationId xmlns:a16="http://schemas.microsoft.com/office/drawing/2014/main" id="{7A843328-C930-4CB7-846C-6D60FCF04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" name="Picture 2" descr="검정로고만">
          <a:extLst>
            <a:ext uri="{FF2B5EF4-FFF2-40B4-BE49-F238E27FC236}">
              <a16:creationId xmlns:a16="http://schemas.microsoft.com/office/drawing/2014/main" id="{1D455BC5-BEAA-4602-9714-7D416E7A4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" name="Picture 2" descr="검정로고만">
          <a:extLst>
            <a:ext uri="{FF2B5EF4-FFF2-40B4-BE49-F238E27FC236}">
              <a16:creationId xmlns:a16="http://schemas.microsoft.com/office/drawing/2014/main" id="{AA4C9D0C-A028-440C-AC62-E1DCA113C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" name="Picture 2" descr="검정로고만">
          <a:extLst>
            <a:ext uri="{FF2B5EF4-FFF2-40B4-BE49-F238E27FC236}">
              <a16:creationId xmlns:a16="http://schemas.microsoft.com/office/drawing/2014/main" id="{0B7C1C32-F704-431B-8674-3529135C9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" name="Picture 2" descr="검정로고만">
          <a:extLst>
            <a:ext uri="{FF2B5EF4-FFF2-40B4-BE49-F238E27FC236}">
              <a16:creationId xmlns:a16="http://schemas.microsoft.com/office/drawing/2014/main" id="{D2FFAD5E-0E89-491B-B5EB-6734FE05A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" name="Picture 2" descr="검정로고만">
          <a:extLst>
            <a:ext uri="{FF2B5EF4-FFF2-40B4-BE49-F238E27FC236}">
              <a16:creationId xmlns:a16="http://schemas.microsoft.com/office/drawing/2014/main" id="{666FE4EB-33EC-4B0B-AD01-294D7E90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3" name="Picture 2" descr="검정로고만">
          <a:extLst>
            <a:ext uri="{FF2B5EF4-FFF2-40B4-BE49-F238E27FC236}">
              <a16:creationId xmlns:a16="http://schemas.microsoft.com/office/drawing/2014/main" id="{DFE15815-0B6C-4BD7-B99A-BE7028344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4" name="Picture 2" descr="검정로고만">
          <a:extLst>
            <a:ext uri="{FF2B5EF4-FFF2-40B4-BE49-F238E27FC236}">
              <a16:creationId xmlns:a16="http://schemas.microsoft.com/office/drawing/2014/main" id="{6010C09E-3F88-45AC-B383-0DCD4436D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5" name="Picture 2" descr="검정로고만">
          <a:extLst>
            <a:ext uri="{FF2B5EF4-FFF2-40B4-BE49-F238E27FC236}">
              <a16:creationId xmlns:a16="http://schemas.microsoft.com/office/drawing/2014/main" id="{0279C033-4AE4-42C1-A424-4A789A8C2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6" name="Picture 2" descr="검정로고만">
          <a:extLst>
            <a:ext uri="{FF2B5EF4-FFF2-40B4-BE49-F238E27FC236}">
              <a16:creationId xmlns:a16="http://schemas.microsoft.com/office/drawing/2014/main" id="{B29759C2-7A57-4DB2-B3FD-21EA7AD47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7" name="Picture 2" descr="검정로고만">
          <a:extLst>
            <a:ext uri="{FF2B5EF4-FFF2-40B4-BE49-F238E27FC236}">
              <a16:creationId xmlns:a16="http://schemas.microsoft.com/office/drawing/2014/main" id="{D3752C84-68E2-4E89-B157-7C289CFFC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88" name="Picture 3" descr="검정 글씨만">
          <a:extLst>
            <a:ext uri="{FF2B5EF4-FFF2-40B4-BE49-F238E27FC236}">
              <a16:creationId xmlns:a16="http://schemas.microsoft.com/office/drawing/2014/main" id="{F21E7F0B-9A45-4FDA-B88F-1CBB0AA7B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9" name="Picture 2" descr="검정로고만">
          <a:extLst>
            <a:ext uri="{FF2B5EF4-FFF2-40B4-BE49-F238E27FC236}">
              <a16:creationId xmlns:a16="http://schemas.microsoft.com/office/drawing/2014/main" id="{442CC6AE-E6E4-446E-9288-330DAF7A0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0" name="Picture 2" descr="검정로고만">
          <a:extLst>
            <a:ext uri="{FF2B5EF4-FFF2-40B4-BE49-F238E27FC236}">
              <a16:creationId xmlns:a16="http://schemas.microsoft.com/office/drawing/2014/main" id="{7B813975-C537-45A8-99D0-AC5CF3364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1" name="Picture 2" descr="검정로고만">
          <a:extLst>
            <a:ext uri="{FF2B5EF4-FFF2-40B4-BE49-F238E27FC236}">
              <a16:creationId xmlns:a16="http://schemas.microsoft.com/office/drawing/2014/main" id="{C07D6E9E-2377-427F-B379-A675638F0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2" name="Picture 2" descr="검정로고만">
          <a:extLst>
            <a:ext uri="{FF2B5EF4-FFF2-40B4-BE49-F238E27FC236}">
              <a16:creationId xmlns:a16="http://schemas.microsoft.com/office/drawing/2014/main" id="{8F94B831-CB8A-4BB3-B307-898EF2C5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3" name="Picture 2" descr="검정로고만">
          <a:extLst>
            <a:ext uri="{FF2B5EF4-FFF2-40B4-BE49-F238E27FC236}">
              <a16:creationId xmlns:a16="http://schemas.microsoft.com/office/drawing/2014/main" id="{35A7C064-F18E-4DE8-A107-2CDEAE5D3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4" name="Picture 2" descr="검정로고만">
          <a:extLst>
            <a:ext uri="{FF2B5EF4-FFF2-40B4-BE49-F238E27FC236}">
              <a16:creationId xmlns:a16="http://schemas.microsoft.com/office/drawing/2014/main" id="{4EA87BE5-D1E9-4FF4-AF42-76A28CC43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5" name="Picture 2" descr="검정로고만">
          <a:extLst>
            <a:ext uri="{FF2B5EF4-FFF2-40B4-BE49-F238E27FC236}">
              <a16:creationId xmlns:a16="http://schemas.microsoft.com/office/drawing/2014/main" id="{542BBF16-D4DD-4C42-9D92-CE1FCAA6F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6" name="Picture 2" descr="검정로고만">
          <a:extLst>
            <a:ext uri="{FF2B5EF4-FFF2-40B4-BE49-F238E27FC236}">
              <a16:creationId xmlns:a16="http://schemas.microsoft.com/office/drawing/2014/main" id="{C32B84B3-0C5D-4B97-9D99-92A31F68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97" name="Picture 3" descr="검정 글씨만">
          <a:extLst>
            <a:ext uri="{FF2B5EF4-FFF2-40B4-BE49-F238E27FC236}">
              <a16:creationId xmlns:a16="http://schemas.microsoft.com/office/drawing/2014/main" id="{E52B53DF-FBF8-41CE-BF76-D4CF75A5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8" name="Picture 2" descr="검정로고만">
          <a:extLst>
            <a:ext uri="{FF2B5EF4-FFF2-40B4-BE49-F238E27FC236}">
              <a16:creationId xmlns:a16="http://schemas.microsoft.com/office/drawing/2014/main" id="{A7184B30-FE41-465F-B701-F95C6529B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99" name="Picture 2" descr="검정로고만">
          <a:extLst>
            <a:ext uri="{FF2B5EF4-FFF2-40B4-BE49-F238E27FC236}">
              <a16:creationId xmlns:a16="http://schemas.microsoft.com/office/drawing/2014/main" id="{4532E8D7-9ABB-4EF3-9E6F-C519A730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0" name="Picture 2" descr="검정로고만">
          <a:extLst>
            <a:ext uri="{FF2B5EF4-FFF2-40B4-BE49-F238E27FC236}">
              <a16:creationId xmlns:a16="http://schemas.microsoft.com/office/drawing/2014/main" id="{5E1288EB-769E-45F4-BC15-C46E9ED63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1" name="Picture 2" descr="검정로고만">
          <a:extLst>
            <a:ext uri="{FF2B5EF4-FFF2-40B4-BE49-F238E27FC236}">
              <a16:creationId xmlns:a16="http://schemas.microsoft.com/office/drawing/2014/main" id="{2CFBC2F2-3992-44B4-B5C7-687D30A7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2" name="Picture 2" descr="검정로고만">
          <a:extLst>
            <a:ext uri="{FF2B5EF4-FFF2-40B4-BE49-F238E27FC236}">
              <a16:creationId xmlns:a16="http://schemas.microsoft.com/office/drawing/2014/main" id="{09BADAB6-8F3D-408D-84A6-D01D9E244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3" name="Picture 2" descr="검정로고만">
          <a:extLst>
            <a:ext uri="{FF2B5EF4-FFF2-40B4-BE49-F238E27FC236}">
              <a16:creationId xmlns:a16="http://schemas.microsoft.com/office/drawing/2014/main" id="{42A847C7-4E23-4505-9E38-F24657C10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4" name="Picture 2" descr="검정로고만">
          <a:extLst>
            <a:ext uri="{FF2B5EF4-FFF2-40B4-BE49-F238E27FC236}">
              <a16:creationId xmlns:a16="http://schemas.microsoft.com/office/drawing/2014/main" id="{A1918F62-BB5D-43B9-A9FE-A93DDCDD4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5" name="Picture 2" descr="검정로고만">
          <a:extLst>
            <a:ext uri="{FF2B5EF4-FFF2-40B4-BE49-F238E27FC236}">
              <a16:creationId xmlns:a16="http://schemas.microsoft.com/office/drawing/2014/main" id="{5C3CE282-58BB-410C-A4E0-98F656A5E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306" name="Picture 3" descr="검정 글씨만">
          <a:extLst>
            <a:ext uri="{FF2B5EF4-FFF2-40B4-BE49-F238E27FC236}">
              <a16:creationId xmlns:a16="http://schemas.microsoft.com/office/drawing/2014/main" id="{6D953CA1-D0B6-49FF-B0A4-B5DA6711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7" name="Picture 2" descr="검정로고만">
          <a:extLst>
            <a:ext uri="{FF2B5EF4-FFF2-40B4-BE49-F238E27FC236}">
              <a16:creationId xmlns:a16="http://schemas.microsoft.com/office/drawing/2014/main" id="{E8D425EA-9A80-43C0-87C2-7C1DF7BB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8" name="Picture 2" descr="검정로고만">
          <a:extLst>
            <a:ext uri="{FF2B5EF4-FFF2-40B4-BE49-F238E27FC236}">
              <a16:creationId xmlns:a16="http://schemas.microsoft.com/office/drawing/2014/main" id="{1F6E0BCC-E2B0-4CAF-A76A-A8E3201E5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09" name="Picture 2" descr="검정로고만">
          <a:extLst>
            <a:ext uri="{FF2B5EF4-FFF2-40B4-BE49-F238E27FC236}">
              <a16:creationId xmlns:a16="http://schemas.microsoft.com/office/drawing/2014/main" id="{72DF4820-8262-455E-99A2-4A103F0C7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0" name="Picture 2" descr="검정로고만">
          <a:extLst>
            <a:ext uri="{FF2B5EF4-FFF2-40B4-BE49-F238E27FC236}">
              <a16:creationId xmlns:a16="http://schemas.microsoft.com/office/drawing/2014/main" id="{0D4FB9D6-00C5-427B-8779-4EC220BD2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1" name="Picture 2" descr="검정로고만">
          <a:extLst>
            <a:ext uri="{FF2B5EF4-FFF2-40B4-BE49-F238E27FC236}">
              <a16:creationId xmlns:a16="http://schemas.microsoft.com/office/drawing/2014/main" id="{34610EE3-CCDA-42AE-AF16-8E7DC1CFE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2" name="Picture 2" descr="검정로고만">
          <a:extLst>
            <a:ext uri="{FF2B5EF4-FFF2-40B4-BE49-F238E27FC236}">
              <a16:creationId xmlns:a16="http://schemas.microsoft.com/office/drawing/2014/main" id="{70D71649-05F2-4DE6-9946-DF55A983D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3" name="Picture 2" descr="검정로고만">
          <a:extLst>
            <a:ext uri="{FF2B5EF4-FFF2-40B4-BE49-F238E27FC236}">
              <a16:creationId xmlns:a16="http://schemas.microsoft.com/office/drawing/2014/main" id="{327349B1-0452-4DB1-A923-FE1B2E370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4" name="Picture 2" descr="검정로고만">
          <a:extLst>
            <a:ext uri="{FF2B5EF4-FFF2-40B4-BE49-F238E27FC236}">
              <a16:creationId xmlns:a16="http://schemas.microsoft.com/office/drawing/2014/main" id="{3B50FB77-3096-4A2D-A71A-2DCEEB69B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5" name="Picture 2" descr="검정로고만">
          <a:extLst>
            <a:ext uri="{FF2B5EF4-FFF2-40B4-BE49-F238E27FC236}">
              <a16:creationId xmlns:a16="http://schemas.microsoft.com/office/drawing/2014/main" id="{3B0A76D2-B6C8-4267-81E1-F3BAE9BA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6" name="Picture 2" descr="검정로고만">
          <a:extLst>
            <a:ext uri="{FF2B5EF4-FFF2-40B4-BE49-F238E27FC236}">
              <a16:creationId xmlns:a16="http://schemas.microsoft.com/office/drawing/2014/main" id="{13C66B77-1DB1-4994-B7EE-3A4DA051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7" name="Picture 2" descr="검정로고만">
          <a:extLst>
            <a:ext uri="{FF2B5EF4-FFF2-40B4-BE49-F238E27FC236}">
              <a16:creationId xmlns:a16="http://schemas.microsoft.com/office/drawing/2014/main" id="{0CF30488-65D8-4A32-811F-37AEF439C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8" name="Picture 2" descr="검정로고만">
          <a:extLst>
            <a:ext uri="{FF2B5EF4-FFF2-40B4-BE49-F238E27FC236}">
              <a16:creationId xmlns:a16="http://schemas.microsoft.com/office/drawing/2014/main" id="{9B535C94-CAED-4456-B9F5-EA24D92E4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19" name="Picture 2" descr="검정로고만">
          <a:extLst>
            <a:ext uri="{FF2B5EF4-FFF2-40B4-BE49-F238E27FC236}">
              <a16:creationId xmlns:a16="http://schemas.microsoft.com/office/drawing/2014/main" id="{8EF58416-4F42-48C6-835D-29155DE98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0" name="Picture 2" descr="검정로고만">
          <a:extLst>
            <a:ext uri="{FF2B5EF4-FFF2-40B4-BE49-F238E27FC236}">
              <a16:creationId xmlns:a16="http://schemas.microsoft.com/office/drawing/2014/main" id="{63FE2067-9BBF-42F7-B7F8-B2F0D2C48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1" name="Picture 2" descr="검정로고만">
          <a:extLst>
            <a:ext uri="{FF2B5EF4-FFF2-40B4-BE49-F238E27FC236}">
              <a16:creationId xmlns:a16="http://schemas.microsoft.com/office/drawing/2014/main" id="{1564177C-BAD1-4321-8404-25A41B8FB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2" name="Picture 2" descr="검정로고만">
          <a:extLst>
            <a:ext uri="{FF2B5EF4-FFF2-40B4-BE49-F238E27FC236}">
              <a16:creationId xmlns:a16="http://schemas.microsoft.com/office/drawing/2014/main" id="{DE24BBE1-09D7-46E5-84A7-7CB3529B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3" name="Picture 2" descr="검정로고만">
          <a:extLst>
            <a:ext uri="{FF2B5EF4-FFF2-40B4-BE49-F238E27FC236}">
              <a16:creationId xmlns:a16="http://schemas.microsoft.com/office/drawing/2014/main" id="{D675C2AB-95BE-49DE-8986-E9F5BA600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4" name="Picture 2" descr="검정로고만">
          <a:extLst>
            <a:ext uri="{FF2B5EF4-FFF2-40B4-BE49-F238E27FC236}">
              <a16:creationId xmlns:a16="http://schemas.microsoft.com/office/drawing/2014/main" id="{E0BE325D-066E-47B6-A01F-0B2D9E08D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5" name="Picture 2" descr="검정로고만">
          <a:extLst>
            <a:ext uri="{FF2B5EF4-FFF2-40B4-BE49-F238E27FC236}">
              <a16:creationId xmlns:a16="http://schemas.microsoft.com/office/drawing/2014/main" id="{3FB369B4-E02B-4E0F-9A3C-333188E9A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6" name="Picture 2" descr="검정로고만">
          <a:extLst>
            <a:ext uri="{FF2B5EF4-FFF2-40B4-BE49-F238E27FC236}">
              <a16:creationId xmlns:a16="http://schemas.microsoft.com/office/drawing/2014/main" id="{EC375C23-371D-48BC-80EB-2CEB3EDB2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7" name="Picture 2" descr="검정로고만">
          <a:extLst>
            <a:ext uri="{FF2B5EF4-FFF2-40B4-BE49-F238E27FC236}">
              <a16:creationId xmlns:a16="http://schemas.microsoft.com/office/drawing/2014/main" id="{9CA5C118-8705-49D9-954A-014C82D52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8" name="Picture 2" descr="검정로고만">
          <a:extLst>
            <a:ext uri="{FF2B5EF4-FFF2-40B4-BE49-F238E27FC236}">
              <a16:creationId xmlns:a16="http://schemas.microsoft.com/office/drawing/2014/main" id="{E62E1B89-1571-446F-9DB0-2588CE30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29" name="Picture 2" descr="검정로고만">
          <a:extLst>
            <a:ext uri="{FF2B5EF4-FFF2-40B4-BE49-F238E27FC236}">
              <a16:creationId xmlns:a16="http://schemas.microsoft.com/office/drawing/2014/main" id="{87892475-960D-4323-9BB7-B9AA2F78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0" name="Picture 2" descr="검정로고만">
          <a:extLst>
            <a:ext uri="{FF2B5EF4-FFF2-40B4-BE49-F238E27FC236}">
              <a16:creationId xmlns:a16="http://schemas.microsoft.com/office/drawing/2014/main" id="{1F6D4C9C-6B6E-44B5-9A62-890999ED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1" name="Picture 2" descr="검정로고만">
          <a:extLst>
            <a:ext uri="{FF2B5EF4-FFF2-40B4-BE49-F238E27FC236}">
              <a16:creationId xmlns:a16="http://schemas.microsoft.com/office/drawing/2014/main" id="{D32ECF22-68BF-4898-A135-A4FBA973C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2" name="Picture 2" descr="검정로고만">
          <a:extLst>
            <a:ext uri="{FF2B5EF4-FFF2-40B4-BE49-F238E27FC236}">
              <a16:creationId xmlns:a16="http://schemas.microsoft.com/office/drawing/2014/main" id="{A7EC7344-05B7-4C19-A6C2-C0DB6981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3" name="Picture 2" descr="검정로고만">
          <a:extLst>
            <a:ext uri="{FF2B5EF4-FFF2-40B4-BE49-F238E27FC236}">
              <a16:creationId xmlns:a16="http://schemas.microsoft.com/office/drawing/2014/main" id="{8E18BC7D-129B-461E-84EB-45355711B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4" name="Picture 2" descr="검정로고만">
          <a:extLst>
            <a:ext uri="{FF2B5EF4-FFF2-40B4-BE49-F238E27FC236}">
              <a16:creationId xmlns:a16="http://schemas.microsoft.com/office/drawing/2014/main" id="{5FD380FF-7239-4076-A26D-0F430A0C4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5" name="Picture 2" descr="검정로고만">
          <a:extLst>
            <a:ext uri="{FF2B5EF4-FFF2-40B4-BE49-F238E27FC236}">
              <a16:creationId xmlns:a16="http://schemas.microsoft.com/office/drawing/2014/main" id="{9D847DE3-EF2C-4C77-B301-F42267A57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6" name="Picture 2" descr="검정로고만">
          <a:extLst>
            <a:ext uri="{FF2B5EF4-FFF2-40B4-BE49-F238E27FC236}">
              <a16:creationId xmlns:a16="http://schemas.microsoft.com/office/drawing/2014/main" id="{83CB55BA-A43B-404C-A4B5-14BB4792E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7" name="Picture 2" descr="검정로고만">
          <a:extLst>
            <a:ext uri="{FF2B5EF4-FFF2-40B4-BE49-F238E27FC236}">
              <a16:creationId xmlns:a16="http://schemas.microsoft.com/office/drawing/2014/main" id="{E54C2DC8-3094-4A04-9FDB-52F97ECBD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8" name="Picture 2" descr="검정로고만">
          <a:extLst>
            <a:ext uri="{FF2B5EF4-FFF2-40B4-BE49-F238E27FC236}">
              <a16:creationId xmlns:a16="http://schemas.microsoft.com/office/drawing/2014/main" id="{DB839EF9-42DC-4D5B-81DA-CD4919C86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39" name="Picture 2" descr="검정로고만">
          <a:extLst>
            <a:ext uri="{FF2B5EF4-FFF2-40B4-BE49-F238E27FC236}">
              <a16:creationId xmlns:a16="http://schemas.microsoft.com/office/drawing/2014/main" id="{0EF0B443-1140-4F42-B5DF-262E48CA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0" name="Picture 2" descr="검정로고만">
          <a:extLst>
            <a:ext uri="{FF2B5EF4-FFF2-40B4-BE49-F238E27FC236}">
              <a16:creationId xmlns:a16="http://schemas.microsoft.com/office/drawing/2014/main" id="{39EB263E-CCD0-4409-86D0-1BA51F7D0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1" name="Picture 2" descr="검정로고만">
          <a:extLst>
            <a:ext uri="{FF2B5EF4-FFF2-40B4-BE49-F238E27FC236}">
              <a16:creationId xmlns:a16="http://schemas.microsoft.com/office/drawing/2014/main" id="{A4D965A0-5FED-4BFA-8AB9-7736AF936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2" name="Picture 2" descr="검정로고만">
          <a:extLst>
            <a:ext uri="{FF2B5EF4-FFF2-40B4-BE49-F238E27FC236}">
              <a16:creationId xmlns:a16="http://schemas.microsoft.com/office/drawing/2014/main" id="{BB3A86EE-A659-4373-867F-2F43B60E5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3" name="Picture 2" descr="검정로고만">
          <a:extLst>
            <a:ext uri="{FF2B5EF4-FFF2-40B4-BE49-F238E27FC236}">
              <a16:creationId xmlns:a16="http://schemas.microsoft.com/office/drawing/2014/main" id="{C116B0DC-90F5-449B-AEAD-2BA473284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4" name="Picture 2" descr="검정로고만">
          <a:extLst>
            <a:ext uri="{FF2B5EF4-FFF2-40B4-BE49-F238E27FC236}">
              <a16:creationId xmlns:a16="http://schemas.microsoft.com/office/drawing/2014/main" id="{A18F80B9-65A1-4958-BF85-ED9B3D76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5" name="Picture 2" descr="검정로고만">
          <a:extLst>
            <a:ext uri="{FF2B5EF4-FFF2-40B4-BE49-F238E27FC236}">
              <a16:creationId xmlns:a16="http://schemas.microsoft.com/office/drawing/2014/main" id="{BEB291CD-4D99-42E7-A771-EB0C64D6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6" name="Picture 2" descr="검정로고만">
          <a:extLst>
            <a:ext uri="{FF2B5EF4-FFF2-40B4-BE49-F238E27FC236}">
              <a16:creationId xmlns:a16="http://schemas.microsoft.com/office/drawing/2014/main" id="{9C55AA0B-C145-40D1-B614-69C96155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47" name="Picture 3" descr="검정 글씨만">
          <a:extLst>
            <a:ext uri="{FF2B5EF4-FFF2-40B4-BE49-F238E27FC236}">
              <a16:creationId xmlns:a16="http://schemas.microsoft.com/office/drawing/2014/main" id="{B14D4EC5-1ED6-4A31-85F4-7225715F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8" name="Picture 2" descr="검정로고만">
          <a:extLst>
            <a:ext uri="{FF2B5EF4-FFF2-40B4-BE49-F238E27FC236}">
              <a16:creationId xmlns:a16="http://schemas.microsoft.com/office/drawing/2014/main" id="{15BB93CD-E242-412E-A25F-C78FE395B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49" name="Picture 2" descr="검정로고만">
          <a:extLst>
            <a:ext uri="{FF2B5EF4-FFF2-40B4-BE49-F238E27FC236}">
              <a16:creationId xmlns:a16="http://schemas.microsoft.com/office/drawing/2014/main" id="{13CB47AC-D943-4952-9626-9F11BEDB4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0" name="Picture 2" descr="검정로고만">
          <a:extLst>
            <a:ext uri="{FF2B5EF4-FFF2-40B4-BE49-F238E27FC236}">
              <a16:creationId xmlns:a16="http://schemas.microsoft.com/office/drawing/2014/main" id="{FEAD3FFC-4ABC-484C-AFA0-87D9CF4A9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1" name="Picture 2" descr="검정로고만">
          <a:extLst>
            <a:ext uri="{FF2B5EF4-FFF2-40B4-BE49-F238E27FC236}">
              <a16:creationId xmlns:a16="http://schemas.microsoft.com/office/drawing/2014/main" id="{718C44EC-5928-485A-A2F9-A46A9DB1E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2" name="Picture 2" descr="검정로고만">
          <a:extLst>
            <a:ext uri="{FF2B5EF4-FFF2-40B4-BE49-F238E27FC236}">
              <a16:creationId xmlns:a16="http://schemas.microsoft.com/office/drawing/2014/main" id="{29ABDF6B-09E6-4020-8B1D-FFC093E64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3" name="Picture 2" descr="검정로고만">
          <a:extLst>
            <a:ext uri="{FF2B5EF4-FFF2-40B4-BE49-F238E27FC236}">
              <a16:creationId xmlns:a16="http://schemas.microsoft.com/office/drawing/2014/main" id="{37B0C693-C9D6-4B38-8231-23B59E4D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4" name="Picture 2" descr="검정로고만">
          <a:extLst>
            <a:ext uri="{FF2B5EF4-FFF2-40B4-BE49-F238E27FC236}">
              <a16:creationId xmlns:a16="http://schemas.microsoft.com/office/drawing/2014/main" id="{8EFA098B-7317-473C-92DB-D1119BCC9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5" name="Picture 2" descr="검정로고만">
          <a:extLst>
            <a:ext uri="{FF2B5EF4-FFF2-40B4-BE49-F238E27FC236}">
              <a16:creationId xmlns:a16="http://schemas.microsoft.com/office/drawing/2014/main" id="{7B5A9A60-3352-401D-A7F1-6EB5E9987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356" name="Picture 3" descr="검정 글씨만">
          <a:extLst>
            <a:ext uri="{FF2B5EF4-FFF2-40B4-BE49-F238E27FC236}">
              <a16:creationId xmlns:a16="http://schemas.microsoft.com/office/drawing/2014/main" id="{D30C3217-2F39-4595-8941-BCF460A6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7" name="Picture 2" descr="검정로고만">
          <a:extLst>
            <a:ext uri="{FF2B5EF4-FFF2-40B4-BE49-F238E27FC236}">
              <a16:creationId xmlns:a16="http://schemas.microsoft.com/office/drawing/2014/main" id="{BA88F5AA-882D-433E-9F86-F1903764E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8" name="Picture 2" descr="검정로고만">
          <a:extLst>
            <a:ext uri="{FF2B5EF4-FFF2-40B4-BE49-F238E27FC236}">
              <a16:creationId xmlns:a16="http://schemas.microsoft.com/office/drawing/2014/main" id="{EEE40D36-8D55-46D4-AD5A-A6AD46506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59" name="Picture 2" descr="검정로고만">
          <a:extLst>
            <a:ext uri="{FF2B5EF4-FFF2-40B4-BE49-F238E27FC236}">
              <a16:creationId xmlns:a16="http://schemas.microsoft.com/office/drawing/2014/main" id="{82F8EC01-1D29-4EF1-9063-43A0C79D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0" name="Picture 2" descr="검정로고만">
          <a:extLst>
            <a:ext uri="{FF2B5EF4-FFF2-40B4-BE49-F238E27FC236}">
              <a16:creationId xmlns:a16="http://schemas.microsoft.com/office/drawing/2014/main" id="{CFBB3694-50F4-4D10-8D39-70F34D61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1" name="Picture 2" descr="검정로고만">
          <a:extLst>
            <a:ext uri="{FF2B5EF4-FFF2-40B4-BE49-F238E27FC236}">
              <a16:creationId xmlns:a16="http://schemas.microsoft.com/office/drawing/2014/main" id="{F2A965F6-5C6F-4116-ADCF-74FEB52B4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2" name="Picture 2" descr="검정로고만">
          <a:extLst>
            <a:ext uri="{FF2B5EF4-FFF2-40B4-BE49-F238E27FC236}">
              <a16:creationId xmlns:a16="http://schemas.microsoft.com/office/drawing/2014/main" id="{3F1BFB57-25EE-4906-8646-BF221F28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3" name="Picture 2" descr="검정로고만">
          <a:extLst>
            <a:ext uri="{FF2B5EF4-FFF2-40B4-BE49-F238E27FC236}">
              <a16:creationId xmlns:a16="http://schemas.microsoft.com/office/drawing/2014/main" id="{8A591102-C1AA-46B4-B88A-1AAC648D1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4" name="Picture 2" descr="검정로고만">
          <a:extLst>
            <a:ext uri="{FF2B5EF4-FFF2-40B4-BE49-F238E27FC236}">
              <a16:creationId xmlns:a16="http://schemas.microsoft.com/office/drawing/2014/main" id="{067A6D0B-7368-422A-AF41-2E593533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5" name="Picture 2" descr="검정로고만">
          <a:extLst>
            <a:ext uri="{FF2B5EF4-FFF2-40B4-BE49-F238E27FC236}">
              <a16:creationId xmlns:a16="http://schemas.microsoft.com/office/drawing/2014/main" id="{20B2906D-1305-4E91-8A53-299EC0942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6" name="Picture 2" descr="검정로고만">
          <a:extLst>
            <a:ext uri="{FF2B5EF4-FFF2-40B4-BE49-F238E27FC236}">
              <a16:creationId xmlns:a16="http://schemas.microsoft.com/office/drawing/2014/main" id="{001E8467-872A-4001-98BF-0893E0C05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7" name="Picture 2" descr="검정로고만">
          <a:extLst>
            <a:ext uri="{FF2B5EF4-FFF2-40B4-BE49-F238E27FC236}">
              <a16:creationId xmlns:a16="http://schemas.microsoft.com/office/drawing/2014/main" id="{3928B67B-85F4-459E-9CF8-5F9B6374F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8" name="Picture 2" descr="검정로고만">
          <a:extLst>
            <a:ext uri="{FF2B5EF4-FFF2-40B4-BE49-F238E27FC236}">
              <a16:creationId xmlns:a16="http://schemas.microsoft.com/office/drawing/2014/main" id="{537C1856-15E2-4B75-94D5-C2CC7C556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69" name="Picture 2" descr="검정로고만">
          <a:extLst>
            <a:ext uri="{FF2B5EF4-FFF2-40B4-BE49-F238E27FC236}">
              <a16:creationId xmlns:a16="http://schemas.microsoft.com/office/drawing/2014/main" id="{EB9E89E2-3F76-48BD-B43C-4F0316B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0" name="Picture 2" descr="검정로고만">
          <a:extLst>
            <a:ext uri="{FF2B5EF4-FFF2-40B4-BE49-F238E27FC236}">
              <a16:creationId xmlns:a16="http://schemas.microsoft.com/office/drawing/2014/main" id="{1E4B9056-AB19-482D-B1FF-C92296D2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1" name="Picture 2" descr="검정로고만">
          <a:extLst>
            <a:ext uri="{FF2B5EF4-FFF2-40B4-BE49-F238E27FC236}">
              <a16:creationId xmlns:a16="http://schemas.microsoft.com/office/drawing/2014/main" id="{FD1A95AC-CE2A-4362-8D6D-10C47626C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2" name="Picture 2" descr="검정로고만">
          <a:extLst>
            <a:ext uri="{FF2B5EF4-FFF2-40B4-BE49-F238E27FC236}">
              <a16:creationId xmlns:a16="http://schemas.microsoft.com/office/drawing/2014/main" id="{9645509A-9884-45A4-917E-A3D77CA2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3" name="Picture 2" descr="검정로고만">
          <a:extLst>
            <a:ext uri="{FF2B5EF4-FFF2-40B4-BE49-F238E27FC236}">
              <a16:creationId xmlns:a16="http://schemas.microsoft.com/office/drawing/2014/main" id="{58ADDA6B-4C09-4C61-933F-D0D68D5C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4" name="Picture 2" descr="검정로고만">
          <a:extLst>
            <a:ext uri="{FF2B5EF4-FFF2-40B4-BE49-F238E27FC236}">
              <a16:creationId xmlns:a16="http://schemas.microsoft.com/office/drawing/2014/main" id="{C36CDD80-D5D3-4C2F-91BA-0076B37E6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5" name="Picture 2" descr="검정로고만">
          <a:extLst>
            <a:ext uri="{FF2B5EF4-FFF2-40B4-BE49-F238E27FC236}">
              <a16:creationId xmlns:a16="http://schemas.microsoft.com/office/drawing/2014/main" id="{CFE7FB2C-A6CF-4F34-824B-6DEE642F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6" name="Picture 2" descr="검정로고만">
          <a:extLst>
            <a:ext uri="{FF2B5EF4-FFF2-40B4-BE49-F238E27FC236}">
              <a16:creationId xmlns:a16="http://schemas.microsoft.com/office/drawing/2014/main" id="{2D9EEBA3-1ACE-4503-8ECD-FB27270EF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7" name="Picture 2" descr="검정로고만">
          <a:extLst>
            <a:ext uri="{FF2B5EF4-FFF2-40B4-BE49-F238E27FC236}">
              <a16:creationId xmlns:a16="http://schemas.microsoft.com/office/drawing/2014/main" id="{BF5E0637-7C3A-4E0B-8346-F2DDA329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8" name="Picture 2" descr="검정로고만">
          <a:extLst>
            <a:ext uri="{FF2B5EF4-FFF2-40B4-BE49-F238E27FC236}">
              <a16:creationId xmlns:a16="http://schemas.microsoft.com/office/drawing/2014/main" id="{703CDBD1-2AC9-4120-9DCA-DB680296D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79" name="Picture 2" descr="검정로고만">
          <a:extLst>
            <a:ext uri="{FF2B5EF4-FFF2-40B4-BE49-F238E27FC236}">
              <a16:creationId xmlns:a16="http://schemas.microsoft.com/office/drawing/2014/main" id="{37E72D83-42D5-4D56-A994-E9C2ACCDF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0" name="Picture 2" descr="검정로고만">
          <a:extLst>
            <a:ext uri="{FF2B5EF4-FFF2-40B4-BE49-F238E27FC236}">
              <a16:creationId xmlns:a16="http://schemas.microsoft.com/office/drawing/2014/main" id="{16435058-F6E7-42E2-94B0-ACC6C128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1" name="Picture 2" descr="검정로고만">
          <a:extLst>
            <a:ext uri="{FF2B5EF4-FFF2-40B4-BE49-F238E27FC236}">
              <a16:creationId xmlns:a16="http://schemas.microsoft.com/office/drawing/2014/main" id="{05637706-322A-467D-B5EB-0161EFE9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2" name="Picture 2" descr="검정로고만">
          <a:extLst>
            <a:ext uri="{FF2B5EF4-FFF2-40B4-BE49-F238E27FC236}">
              <a16:creationId xmlns:a16="http://schemas.microsoft.com/office/drawing/2014/main" id="{96940FD0-64F3-40A5-81EB-C45832FEF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3" name="Picture 2" descr="검정로고만">
          <a:extLst>
            <a:ext uri="{FF2B5EF4-FFF2-40B4-BE49-F238E27FC236}">
              <a16:creationId xmlns:a16="http://schemas.microsoft.com/office/drawing/2014/main" id="{07987511-5D2C-4F90-B9A1-43015DDD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4" name="Picture 2" descr="검정로고만">
          <a:extLst>
            <a:ext uri="{FF2B5EF4-FFF2-40B4-BE49-F238E27FC236}">
              <a16:creationId xmlns:a16="http://schemas.microsoft.com/office/drawing/2014/main" id="{40C5B4EB-6110-403B-B922-145596EB2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5" name="Picture 2" descr="검정로고만">
          <a:extLst>
            <a:ext uri="{FF2B5EF4-FFF2-40B4-BE49-F238E27FC236}">
              <a16:creationId xmlns:a16="http://schemas.microsoft.com/office/drawing/2014/main" id="{884712FA-5588-4F5A-B66B-BCF4C730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6" name="Picture 2" descr="검정로고만">
          <a:extLst>
            <a:ext uri="{FF2B5EF4-FFF2-40B4-BE49-F238E27FC236}">
              <a16:creationId xmlns:a16="http://schemas.microsoft.com/office/drawing/2014/main" id="{36B2F7C5-BAEE-4532-85D6-548ADB42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7" name="Picture 2" descr="검정로고만">
          <a:extLst>
            <a:ext uri="{FF2B5EF4-FFF2-40B4-BE49-F238E27FC236}">
              <a16:creationId xmlns:a16="http://schemas.microsoft.com/office/drawing/2014/main" id="{80055195-39F6-47C1-B43A-C32E68DD6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8" name="Picture 2" descr="검정로고만">
          <a:extLst>
            <a:ext uri="{FF2B5EF4-FFF2-40B4-BE49-F238E27FC236}">
              <a16:creationId xmlns:a16="http://schemas.microsoft.com/office/drawing/2014/main" id="{3125ED5D-110D-404A-B07E-EE1BE031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89" name="Picture 2" descr="검정로고만">
          <a:extLst>
            <a:ext uri="{FF2B5EF4-FFF2-40B4-BE49-F238E27FC236}">
              <a16:creationId xmlns:a16="http://schemas.microsoft.com/office/drawing/2014/main" id="{1C277E14-E1A3-4686-AE5F-8A9502890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0" name="Picture 2" descr="검정로고만">
          <a:extLst>
            <a:ext uri="{FF2B5EF4-FFF2-40B4-BE49-F238E27FC236}">
              <a16:creationId xmlns:a16="http://schemas.microsoft.com/office/drawing/2014/main" id="{BB65A1B8-902D-48D0-A69F-53B40A4DD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1" name="Picture 2" descr="검정로고만">
          <a:extLst>
            <a:ext uri="{FF2B5EF4-FFF2-40B4-BE49-F238E27FC236}">
              <a16:creationId xmlns:a16="http://schemas.microsoft.com/office/drawing/2014/main" id="{AABA2C93-8806-466C-A03C-9EA172418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2" name="Picture 2" descr="검정로고만">
          <a:extLst>
            <a:ext uri="{FF2B5EF4-FFF2-40B4-BE49-F238E27FC236}">
              <a16:creationId xmlns:a16="http://schemas.microsoft.com/office/drawing/2014/main" id="{EE606A9B-87FE-4266-92B1-52B6CE313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3" name="Picture 2" descr="검정로고만">
          <a:extLst>
            <a:ext uri="{FF2B5EF4-FFF2-40B4-BE49-F238E27FC236}">
              <a16:creationId xmlns:a16="http://schemas.microsoft.com/office/drawing/2014/main" id="{EE83F7F2-8868-452B-9B8A-206863830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4" name="Picture 2" descr="검정로고만">
          <a:extLst>
            <a:ext uri="{FF2B5EF4-FFF2-40B4-BE49-F238E27FC236}">
              <a16:creationId xmlns:a16="http://schemas.microsoft.com/office/drawing/2014/main" id="{889A08BC-194B-49E9-A773-50A8545C9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5" name="Picture 2" descr="검정로고만">
          <a:extLst>
            <a:ext uri="{FF2B5EF4-FFF2-40B4-BE49-F238E27FC236}">
              <a16:creationId xmlns:a16="http://schemas.microsoft.com/office/drawing/2014/main" id="{0E66BCE1-BCF0-4D5F-BC57-BF2E9EDB2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6" name="Picture 2" descr="검정로고만">
          <a:extLst>
            <a:ext uri="{FF2B5EF4-FFF2-40B4-BE49-F238E27FC236}">
              <a16:creationId xmlns:a16="http://schemas.microsoft.com/office/drawing/2014/main" id="{B8D955F9-0020-4790-8B43-74628D22D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397" name="Picture 3" descr="검정 글씨만">
          <a:extLst>
            <a:ext uri="{FF2B5EF4-FFF2-40B4-BE49-F238E27FC236}">
              <a16:creationId xmlns:a16="http://schemas.microsoft.com/office/drawing/2014/main" id="{F4EBD03D-56B5-41D9-8ED2-94713CCF0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8" name="Picture 2" descr="검정로고만">
          <a:extLst>
            <a:ext uri="{FF2B5EF4-FFF2-40B4-BE49-F238E27FC236}">
              <a16:creationId xmlns:a16="http://schemas.microsoft.com/office/drawing/2014/main" id="{2371C673-435C-4BFC-A790-48A2FEA5F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399" name="Picture 2" descr="검정로고만">
          <a:extLst>
            <a:ext uri="{FF2B5EF4-FFF2-40B4-BE49-F238E27FC236}">
              <a16:creationId xmlns:a16="http://schemas.microsoft.com/office/drawing/2014/main" id="{87F86252-02BA-4356-AA5D-E8DD0B083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0" name="Picture 2" descr="검정로고만">
          <a:extLst>
            <a:ext uri="{FF2B5EF4-FFF2-40B4-BE49-F238E27FC236}">
              <a16:creationId xmlns:a16="http://schemas.microsoft.com/office/drawing/2014/main" id="{4F2F097E-641D-42CB-A134-8A42FB745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1" name="Picture 2" descr="검정로고만">
          <a:extLst>
            <a:ext uri="{FF2B5EF4-FFF2-40B4-BE49-F238E27FC236}">
              <a16:creationId xmlns:a16="http://schemas.microsoft.com/office/drawing/2014/main" id="{3292D71A-3F50-450D-82AA-7733DB9B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2" name="Picture 2" descr="검정로고만">
          <a:extLst>
            <a:ext uri="{FF2B5EF4-FFF2-40B4-BE49-F238E27FC236}">
              <a16:creationId xmlns:a16="http://schemas.microsoft.com/office/drawing/2014/main" id="{756DCBEC-57D2-470F-A3F3-DDF423F69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3" name="Picture 2" descr="검정로고만">
          <a:extLst>
            <a:ext uri="{FF2B5EF4-FFF2-40B4-BE49-F238E27FC236}">
              <a16:creationId xmlns:a16="http://schemas.microsoft.com/office/drawing/2014/main" id="{55AE10D9-E7B2-49C1-BC91-B03511596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4" name="Picture 2" descr="검정로고만">
          <a:extLst>
            <a:ext uri="{FF2B5EF4-FFF2-40B4-BE49-F238E27FC236}">
              <a16:creationId xmlns:a16="http://schemas.microsoft.com/office/drawing/2014/main" id="{20480BD0-4988-479D-AFEE-D96E76A6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5" name="Picture 2" descr="검정로고만">
          <a:extLst>
            <a:ext uri="{FF2B5EF4-FFF2-40B4-BE49-F238E27FC236}">
              <a16:creationId xmlns:a16="http://schemas.microsoft.com/office/drawing/2014/main" id="{D2F2DB75-EF8C-439C-8DEB-0993AF5EF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06" name="Picture 3" descr="검정 글씨만">
          <a:extLst>
            <a:ext uri="{FF2B5EF4-FFF2-40B4-BE49-F238E27FC236}">
              <a16:creationId xmlns:a16="http://schemas.microsoft.com/office/drawing/2014/main" id="{58440EA3-1526-40EC-857A-4659C2E6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7" name="Picture 2" descr="검정로고만">
          <a:extLst>
            <a:ext uri="{FF2B5EF4-FFF2-40B4-BE49-F238E27FC236}">
              <a16:creationId xmlns:a16="http://schemas.microsoft.com/office/drawing/2014/main" id="{8B97BCA9-6973-460F-84B3-2F38413A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8" name="Picture 2" descr="검정로고만">
          <a:extLst>
            <a:ext uri="{FF2B5EF4-FFF2-40B4-BE49-F238E27FC236}">
              <a16:creationId xmlns:a16="http://schemas.microsoft.com/office/drawing/2014/main" id="{CAF7878C-50B6-49DE-8EC9-22B3D01C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09" name="Picture 2" descr="검정로고만">
          <a:extLst>
            <a:ext uri="{FF2B5EF4-FFF2-40B4-BE49-F238E27FC236}">
              <a16:creationId xmlns:a16="http://schemas.microsoft.com/office/drawing/2014/main" id="{97E16E0B-2112-4014-B1D3-C1523F335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0" name="Picture 2" descr="검정로고만">
          <a:extLst>
            <a:ext uri="{FF2B5EF4-FFF2-40B4-BE49-F238E27FC236}">
              <a16:creationId xmlns:a16="http://schemas.microsoft.com/office/drawing/2014/main" id="{A097A663-A3C1-4BD2-AA7E-40CCF03B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1" name="Picture 2" descr="검정로고만">
          <a:extLst>
            <a:ext uri="{FF2B5EF4-FFF2-40B4-BE49-F238E27FC236}">
              <a16:creationId xmlns:a16="http://schemas.microsoft.com/office/drawing/2014/main" id="{D75C79F6-81F1-4B1F-A79E-89D5E768B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2" name="Picture 2" descr="검정로고만">
          <a:extLst>
            <a:ext uri="{FF2B5EF4-FFF2-40B4-BE49-F238E27FC236}">
              <a16:creationId xmlns:a16="http://schemas.microsoft.com/office/drawing/2014/main" id="{E0B27307-970A-463B-A2EB-2A4349BFE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3" name="Picture 2" descr="검정로고만">
          <a:extLst>
            <a:ext uri="{FF2B5EF4-FFF2-40B4-BE49-F238E27FC236}">
              <a16:creationId xmlns:a16="http://schemas.microsoft.com/office/drawing/2014/main" id="{6B7B24A2-EEAF-4B65-86D7-0B1399614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4" name="Picture 2" descr="검정로고만">
          <a:extLst>
            <a:ext uri="{FF2B5EF4-FFF2-40B4-BE49-F238E27FC236}">
              <a16:creationId xmlns:a16="http://schemas.microsoft.com/office/drawing/2014/main" id="{5143DEC0-E1FF-45FB-B938-50056FC1A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415" name="Picture 3" descr="검정 글씨만">
          <a:extLst>
            <a:ext uri="{FF2B5EF4-FFF2-40B4-BE49-F238E27FC236}">
              <a16:creationId xmlns:a16="http://schemas.microsoft.com/office/drawing/2014/main" id="{67F9CF68-427F-454C-9BEE-27EDB73F3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6" name="Picture 2" descr="검정로고만">
          <a:extLst>
            <a:ext uri="{FF2B5EF4-FFF2-40B4-BE49-F238E27FC236}">
              <a16:creationId xmlns:a16="http://schemas.microsoft.com/office/drawing/2014/main" id="{54E3CC21-676D-40A1-BEB0-DC78FD869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7" name="Picture 2" descr="검정로고만">
          <a:extLst>
            <a:ext uri="{FF2B5EF4-FFF2-40B4-BE49-F238E27FC236}">
              <a16:creationId xmlns:a16="http://schemas.microsoft.com/office/drawing/2014/main" id="{1E3E6B4F-573D-4D6B-93EF-62E8C030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8" name="Picture 2" descr="검정로고만">
          <a:extLst>
            <a:ext uri="{FF2B5EF4-FFF2-40B4-BE49-F238E27FC236}">
              <a16:creationId xmlns:a16="http://schemas.microsoft.com/office/drawing/2014/main" id="{46F3A61D-8022-4009-9E06-364F6FE78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19" name="Picture 2" descr="검정로고만">
          <a:extLst>
            <a:ext uri="{FF2B5EF4-FFF2-40B4-BE49-F238E27FC236}">
              <a16:creationId xmlns:a16="http://schemas.microsoft.com/office/drawing/2014/main" id="{52B1935F-7B44-411E-9258-104830577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0" name="Picture 2" descr="검정로고만">
          <a:extLst>
            <a:ext uri="{FF2B5EF4-FFF2-40B4-BE49-F238E27FC236}">
              <a16:creationId xmlns:a16="http://schemas.microsoft.com/office/drawing/2014/main" id="{3CA36BAA-5D99-4A66-B030-53E9804E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1" name="Picture 2" descr="검정로고만">
          <a:extLst>
            <a:ext uri="{FF2B5EF4-FFF2-40B4-BE49-F238E27FC236}">
              <a16:creationId xmlns:a16="http://schemas.microsoft.com/office/drawing/2014/main" id="{D3E51658-EA8F-49B8-9524-458E88AAF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2" name="Picture 2" descr="검정로고만">
          <a:extLst>
            <a:ext uri="{FF2B5EF4-FFF2-40B4-BE49-F238E27FC236}">
              <a16:creationId xmlns:a16="http://schemas.microsoft.com/office/drawing/2014/main" id="{8DC4EA6C-E28C-4574-A4C6-D1EED1BA7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3" name="Picture 2" descr="검정로고만">
          <a:extLst>
            <a:ext uri="{FF2B5EF4-FFF2-40B4-BE49-F238E27FC236}">
              <a16:creationId xmlns:a16="http://schemas.microsoft.com/office/drawing/2014/main" id="{F50A7D42-0C2D-4D60-97B4-E0F99F1F7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4" name="Picture 2" descr="검정로고만">
          <a:extLst>
            <a:ext uri="{FF2B5EF4-FFF2-40B4-BE49-F238E27FC236}">
              <a16:creationId xmlns:a16="http://schemas.microsoft.com/office/drawing/2014/main" id="{3F31207E-A144-4185-A0E5-6517FD64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5" name="Picture 2" descr="검정로고만">
          <a:extLst>
            <a:ext uri="{FF2B5EF4-FFF2-40B4-BE49-F238E27FC236}">
              <a16:creationId xmlns:a16="http://schemas.microsoft.com/office/drawing/2014/main" id="{BA01A421-5BFA-4007-A03B-0AB4819AF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6" name="Picture 2" descr="검정로고만">
          <a:extLst>
            <a:ext uri="{FF2B5EF4-FFF2-40B4-BE49-F238E27FC236}">
              <a16:creationId xmlns:a16="http://schemas.microsoft.com/office/drawing/2014/main" id="{7A5FC1D9-73C8-4066-8F78-9D183656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7" name="Picture 2" descr="검정로고만">
          <a:extLst>
            <a:ext uri="{FF2B5EF4-FFF2-40B4-BE49-F238E27FC236}">
              <a16:creationId xmlns:a16="http://schemas.microsoft.com/office/drawing/2014/main" id="{E3D83E2A-E88B-4ACE-ADCB-BD538349A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8" name="Picture 2" descr="검정로고만">
          <a:extLst>
            <a:ext uri="{FF2B5EF4-FFF2-40B4-BE49-F238E27FC236}">
              <a16:creationId xmlns:a16="http://schemas.microsoft.com/office/drawing/2014/main" id="{B3B918E2-1DB2-43B6-8B9E-EFBDB5C2D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29" name="Picture 2" descr="검정로고만">
          <a:extLst>
            <a:ext uri="{FF2B5EF4-FFF2-40B4-BE49-F238E27FC236}">
              <a16:creationId xmlns:a16="http://schemas.microsoft.com/office/drawing/2014/main" id="{CF972800-C3E3-4588-8CBF-CFD4D8CD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0" name="Picture 2" descr="검정로고만">
          <a:extLst>
            <a:ext uri="{FF2B5EF4-FFF2-40B4-BE49-F238E27FC236}">
              <a16:creationId xmlns:a16="http://schemas.microsoft.com/office/drawing/2014/main" id="{DBB10D20-0E9F-4BE1-87CD-79856B225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1" name="Picture 2" descr="검정로고만">
          <a:extLst>
            <a:ext uri="{FF2B5EF4-FFF2-40B4-BE49-F238E27FC236}">
              <a16:creationId xmlns:a16="http://schemas.microsoft.com/office/drawing/2014/main" id="{5F0B6EC0-49AC-4723-852B-EF2D40F54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2" name="Picture 2" descr="검정로고만">
          <a:extLst>
            <a:ext uri="{FF2B5EF4-FFF2-40B4-BE49-F238E27FC236}">
              <a16:creationId xmlns:a16="http://schemas.microsoft.com/office/drawing/2014/main" id="{6C95BC5D-C3C2-4AEF-8071-3E7857116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3" name="Picture 2" descr="검정로고만">
          <a:extLst>
            <a:ext uri="{FF2B5EF4-FFF2-40B4-BE49-F238E27FC236}">
              <a16:creationId xmlns:a16="http://schemas.microsoft.com/office/drawing/2014/main" id="{9DB5F11B-CF04-40CA-9977-382E06984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4" name="Picture 2" descr="검정로고만">
          <a:extLst>
            <a:ext uri="{FF2B5EF4-FFF2-40B4-BE49-F238E27FC236}">
              <a16:creationId xmlns:a16="http://schemas.microsoft.com/office/drawing/2014/main" id="{ECAD926F-11BA-46BC-885C-2717F6647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5" name="Picture 2" descr="검정로고만">
          <a:extLst>
            <a:ext uri="{FF2B5EF4-FFF2-40B4-BE49-F238E27FC236}">
              <a16:creationId xmlns:a16="http://schemas.microsoft.com/office/drawing/2014/main" id="{D5E2CA36-D4E7-4288-A6C5-E86C7A85A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6" name="Picture 2" descr="검정로고만">
          <a:extLst>
            <a:ext uri="{FF2B5EF4-FFF2-40B4-BE49-F238E27FC236}">
              <a16:creationId xmlns:a16="http://schemas.microsoft.com/office/drawing/2014/main" id="{EF2FAE96-4A2D-45F3-B362-1D49CE0F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7" name="Picture 2" descr="검정로고만">
          <a:extLst>
            <a:ext uri="{FF2B5EF4-FFF2-40B4-BE49-F238E27FC236}">
              <a16:creationId xmlns:a16="http://schemas.microsoft.com/office/drawing/2014/main" id="{56D01059-9B41-44B0-95AB-3A4F96C3A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8" name="Picture 2" descr="검정로고만">
          <a:extLst>
            <a:ext uri="{FF2B5EF4-FFF2-40B4-BE49-F238E27FC236}">
              <a16:creationId xmlns:a16="http://schemas.microsoft.com/office/drawing/2014/main" id="{00C2E535-BB82-4B75-B25D-5C9A99FE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39" name="Picture 2" descr="검정로고만">
          <a:extLst>
            <a:ext uri="{FF2B5EF4-FFF2-40B4-BE49-F238E27FC236}">
              <a16:creationId xmlns:a16="http://schemas.microsoft.com/office/drawing/2014/main" id="{38ECF4A8-06D9-4192-A49D-7389D197F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0" name="Picture 2" descr="검정로고만">
          <a:extLst>
            <a:ext uri="{FF2B5EF4-FFF2-40B4-BE49-F238E27FC236}">
              <a16:creationId xmlns:a16="http://schemas.microsoft.com/office/drawing/2014/main" id="{CCD4D49B-E39A-4BD6-BC4F-39B69BDA6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1" name="Picture 2" descr="검정로고만">
          <a:extLst>
            <a:ext uri="{FF2B5EF4-FFF2-40B4-BE49-F238E27FC236}">
              <a16:creationId xmlns:a16="http://schemas.microsoft.com/office/drawing/2014/main" id="{1633A069-DBED-4AF8-8355-113FCAFF2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2" name="Picture 2" descr="검정로고만">
          <a:extLst>
            <a:ext uri="{FF2B5EF4-FFF2-40B4-BE49-F238E27FC236}">
              <a16:creationId xmlns:a16="http://schemas.microsoft.com/office/drawing/2014/main" id="{00B20D96-3553-47A4-9276-1A246A9F5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3" name="Picture 2" descr="검정로고만">
          <a:extLst>
            <a:ext uri="{FF2B5EF4-FFF2-40B4-BE49-F238E27FC236}">
              <a16:creationId xmlns:a16="http://schemas.microsoft.com/office/drawing/2014/main" id="{565F76EC-26F8-4195-ABF1-7FB8E094D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4" name="Picture 2" descr="검정로고만">
          <a:extLst>
            <a:ext uri="{FF2B5EF4-FFF2-40B4-BE49-F238E27FC236}">
              <a16:creationId xmlns:a16="http://schemas.microsoft.com/office/drawing/2014/main" id="{3D50389F-972B-4B8D-AC12-8FDFA7470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5" name="Picture 2" descr="검정로고만">
          <a:extLst>
            <a:ext uri="{FF2B5EF4-FFF2-40B4-BE49-F238E27FC236}">
              <a16:creationId xmlns:a16="http://schemas.microsoft.com/office/drawing/2014/main" id="{30601BB1-E73F-45CE-87E8-188AE9C90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6" name="Picture 2" descr="검정로고만">
          <a:extLst>
            <a:ext uri="{FF2B5EF4-FFF2-40B4-BE49-F238E27FC236}">
              <a16:creationId xmlns:a16="http://schemas.microsoft.com/office/drawing/2014/main" id="{33FCF2AA-519C-4536-9F16-67EF37BAE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7" name="Picture 2" descr="검정로고만">
          <a:extLst>
            <a:ext uri="{FF2B5EF4-FFF2-40B4-BE49-F238E27FC236}">
              <a16:creationId xmlns:a16="http://schemas.microsoft.com/office/drawing/2014/main" id="{1C45A304-4BDB-4E18-B978-3902AE0BD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8" name="Picture 2" descr="검정로고만">
          <a:extLst>
            <a:ext uri="{FF2B5EF4-FFF2-40B4-BE49-F238E27FC236}">
              <a16:creationId xmlns:a16="http://schemas.microsoft.com/office/drawing/2014/main" id="{97F4DBC6-724A-44B7-B4F5-97891F958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49" name="Picture 2" descr="검정로고만">
          <a:extLst>
            <a:ext uri="{FF2B5EF4-FFF2-40B4-BE49-F238E27FC236}">
              <a16:creationId xmlns:a16="http://schemas.microsoft.com/office/drawing/2014/main" id="{4E6A66AE-D015-41B8-B731-D9E0AA552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0" name="Picture 2" descr="검정로고만">
          <a:extLst>
            <a:ext uri="{FF2B5EF4-FFF2-40B4-BE49-F238E27FC236}">
              <a16:creationId xmlns:a16="http://schemas.microsoft.com/office/drawing/2014/main" id="{1013F6D5-3AD5-4F62-A904-BCF3830F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1" name="Picture 2" descr="검정로고만">
          <a:extLst>
            <a:ext uri="{FF2B5EF4-FFF2-40B4-BE49-F238E27FC236}">
              <a16:creationId xmlns:a16="http://schemas.microsoft.com/office/drawing/2014/main" id="{F8AB5193-107D-446C-9C3A-9A57B3777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2" name="Picture 2" descr="검정로고만">
          <a:extLst>
            <a:ext uri="{FF2B5EF4-FFF2-40B4-BE49-F238E27FC236}">
              <a16:creationId xmlns:a16="http://schemas.microsoft.com/office/drawing/2014/main" id="{7FE418A1-43F1-4B64-87F6-A990FADF5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3" name="Picture 2" descr="검정로고만">
          <a:extLst>
            <a:ext uri="{FF2B5EF4-FFF2-40B4-BE49-F238E27FC236}">
              <a16:creationId xmlns:a16="http://schemas.microsoft.com/office/drawing/2014/main" id="{DDFB982C-9ADE-4EFF-9BE6-F73E75E33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4" name="Picture 2" descr="검정로고만">
          <a:extLst>
            <a:ext uri="{FF2B5EF4-FFF2-40B4-BE49-F238E27FC236}">
              <a16:creationId xmlns:a16="http://schemas.microsoft.com/office/drawing/2014/main" id="{F0EAFCC6-2A1F-408E-9906-02DEBF8FB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5" name="Picture 2" descr="검정로고만">
          <a:extLst>
            <a:ext uri="{FF2B5EF4-FFF2-40B4-BE49-F238E27FC236}">
              <a16:creationId xmlns:a16="http://schemas.microsoft.com/office/drawing/2014/main" id="{31447400-3FCF-49B4-BFCB-0C8405A84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56" name="Picture 3" descr="검정 글씨만">
          <a:extLst>
            <a:ext uri="{FF2B5EF4-FFF2-40B4-BE49-F238E27FC236}">
              <a16:creationId xmlns:a16="http://schemas.microsoft.com/office/drawing/2014/main" id="{4C57EA0A-1D9A-4EDD-92AA-5AB321FBB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7" name="Picture 2" descr="검정로고만">
          <a:extLst>
            <a:ext uri="{FF2B5EF4-FFF2-40B4-BE49-F238E27FC236}">
              <a16:creationId xmlns:a16="http://schemas.microsoft.com/office/drawing/2014/main" id="{D5E6F6D3-FD19-420C-BFD6-CD1B996E0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8" name="Picture 2" descr="검정로고만">
          <a:extLst>
            <a:ext uri="{FF2B5EF4-FFF2-40B4-BE49-F238E27FC236}">
              <a16:creationId xmlns:a16="http://schemas.microsoft.com/office/drawing/2014/main" id="{532A23BF-DEB2-493E-B2CA-8E4230ED3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59" name="Picture 2" descr="검정로고만">
          <a:extLst>
            <a:ext uri="{FF2B5EF4-FFF2-40B4-BE49-F238E27FC236}">
              <a16:creationId xmlns:a16="http://schemas.microsoft.com/office/drawing/2014/main" id="{BAB8963D-3F25-4E82-9FCB-C0F0CF6E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0" name="Picture 2" descr="검정로고만">
          <a:extLst>
            <a:ext uri="{FF2B5EF4-FFF2-40B4-BE49-F238E27FC236}">
              <a16:creationId xmlns:a16="http://schemas.microsoft.com/office/drawing/2014/main" id="{08659F4B-CD1F-4AF8-B202-D77FFB13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1" name="Picture 2" descr="검정로고만">
          <a:extLst>
            <a:ext uri="{FF2B5EF4-FFF2-40B4-BE49-F238E27FC236}">
              <a16:creationId xmlns:a16="http://schemas.microsoft.com/office/drawing/2014/main" id="{3C56DFDD-836B-4FB1-92B9-28B807D05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2" name="Picture 2" descr="검정로고만">
          <a:extLst>
            <a:ext uri="{FF2B5EF4-FFF2-40B4-BE49-F238E27FC236}">
              <a16:creationId xmlns:a16="http://schemas.microsoft.com/office/drawing/2014/main" id="{E75B677E-4E0A-4B7F-A715-F62A8711D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3" name="Picture 2" descr="검정로고만">
          <a:extLst>
            <a:ext uri="{FF2B5EF4-FFF2-40B4-BE49-F238E27FC236}">
              <a16:creationId xmlns:a16="http://schemas.microsoft.com/office/drawing/2014/main" id="{3519D5F3-7D7C-4BD0-9601-C523853F8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4" name="Picture 2" descr="검정로고만">
          <a:extLst>
            <a:ext uri="{FF2B5EF4-FFF2-40B4-BE49-F238E27FC236}">
              <a16:creationId xmlns:a16="http://schemas.microsoft.com/office/drawing/2014/main" id="{AC49B347-AF0A-4811-80E3-257E7D3F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465" name="Picture 3" descr="검정 글씨만">
          <a:extLst>
            <a:ext uri="{FF2B5EF4-FFF2-40B4-BE49-F238E27FC236}">
              <a16:creationId xmlns:a16="http://schemas.microsoft.com/office/drawing/2014/main" id="{DDADD7A1-7B17-4782-B83F-DD3325C9D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6" name="Picture 2" descr="검정로고만">
          <a:extLst>
            <a:ext uri="{FF2B5EF4-FFF2-40B4-BE49-F238E27FC236}">
              <a16:creationId xmlns:a16="http://schemas.microsoft.com/office/drawing/2014/main" id="{9B7060A7-1999-492C-8830-B84591B74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7" name="Picture 2" descr="검정로고만">
          <a:extLst>
            <a:ext uri="{FF2B5EF4-FFF2-40B4-BE49-F238E27FC236}">
              <a16:creationId xmlns:a16="http://schemas.microsoft.com/office/drawing/2014/main" id="{73B163EE-F679-4403-A5C6-B7F3A6F17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8" name="Picture 2" descr="검정로고만">
          <a:extLst>
            <a:ext uri="{FF2B5EF4-FFF2-40B4-BE49-F238E27FC236}">
              <a16:creationId xmlns:a16="http://schemas.microsoft.com/office/drawing/2014/main" id="{B294AB8B-A2FF-43C8-93F6-149BDD87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69" name="Picture 2" descr="검정로고만">
          <a:extLst>
            <a:ext uri="{FF2B5EF4-FFF2-40B4-BE49-F238E27FC236}">
              <a16:creationId xmlns:a16="http://schemas.microsoft.com/office/drawing/2014/main" id="{993FB2A7-B3A2-4536-86DE-19C4A256E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0" name="Picture 2" descr="검정로고만">
          <a:extLst>
            <a:ext uri="{FF2B5EF4-FFF2-40B4-BE49-F238E27FC236}">
              <a16:creationId xmlns:a16="http://schemas.microsoft.com/office/drawing/2014/main" id="{C6F971DD-CF03-4FFC-8385-3D1223FE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1" name="Picture 2" descr="검정로고만">
          <a:extLst>
            <a:ext uri="{FF2B5EF4-FFF2-40B4-BE49-F238E27FC236}">
              <a16:creationId xmlns:a16="http://schemas.microsoft.com/office/drawing/2014/main" id="{7B1DBF84-24DE-4F6D-92C9-7F0060F0C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2" name="Picture 2" descr="검정로고만">
          <a:extLst>
            <a:ext uri="{FF2B5EF4-FFF2-40B4-BE49-F238E27FC236}">
              <a16:creationId xmlns:a16="http://schemas.microsoft.com/office/drawing/2014/main" id="{2F88B43F-E91B-49ED-AD5E-158ACFFDA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3" name="Picture 2" descr="검정로고만">
          <a:extLst>
            <a:ext uri="{FF2B5EF4-FFF2-40B4-BE49-F238E27FC236}">
              <a16:creationId xmlns:a16="http://schemas.microsoft.com/office/drawing/2014/main" id="{0A1AEE6F-2EE3-44B1-9DF9-E01E684E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474" name="Picture 3" descr="검정 글씨만">
          <a:extLst>
            <a:ext uri="{FF2B5EF4-FFF2-40B4-BE49-F238E27FC236}">
              <a16:creationId xmlns:a16="http://schemas.microsoft.com/office/drawing/2014/main" id="{922FB458-EE4E-4948-B0C9-10E223B74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5" name="Picture 2" descr="검정로고만">
          <a:extLst>
            <a:ext uri="{FF2B5EF4-FFF2-40B4-BE49-F238E27FC236}">
              <a16:creationId xmlns:a16="http://schemas.microsoft.com/office/drawing/2014/main" id="{F99517D3-3CBB-43BA-BFCF-1D7C971C3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6" name="Picture 2" descr="검정로고만">
          <a:extLst>
            <a:ext uri="{FF2B5EF4-FFF2-40B4-BE49-F238E27FC236}">
              <a16:creationId xmlns:a16="http://schemas.microsoft.com/office/drawing/2014/main" id="{60562DBD-2309-4971-89B0-D5A038213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7" name="Picture 2" descr="검정로고만">
          <a:extLst>
            <a:ext uri="{FF2B5EF4-FFF2-40B4-BE49-F238E27FC236}">
              <a16:creationId xmlns:a16="http://schemas.microsoft.com/office/drawing/2014/main" id="{5DFA5A68-F086-43E5-A567-1E2B9911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8" name="Picture 2" descr="검정로고만">
          <a:extLst>
            <a:ext uri="{FF2B5EF4-FFF2-40B4-BE49-F238E27FC236}">
              <a16:creationId xmlns:a16="http://schemas.microsoft.com/office/drawing/2014/main" id="{02CE46F3-C36F-4B66-8BB9-E00B473E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79" name="Picture 2" descr="검정로고만">
          <a:extLst>
            <a:ext uri="{FF2B5EF4-FFF2-40B4-BE49-F238E27FC236}">
              <a16:creationId xmlns:a16="http://schemas.microsoft.com/office/drawing/2014/main" id="{9183C4BD-FE74-4B38-9843-55F6730F3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0" name="Picture 2" descr="검정로고만">
          <a:extLst>
            <a:ext uri="{FF2B5EF4-FFF2-40B4-BE49-F238E27FC236}">
              <a16:creationId xmlns:a16="http://schemas.microsoft.com/office/drawing/2014/main" id="{D2084756-D7A9-4952-B17E-CED375627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1" name="Picture 2" descr="검정로고만">
          <a:extLst>
            <a:ext uri="{FF2B5EF4-FFF2-40B4-BE49-F238E27FC236}">
              <a16:creationId xmlns:a16="http://schemas.microsoft.com/office/drawing/2014/main" id="{03F428DE-B452-4ACB-B643-B2484F988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2" name="Picture 2" descr="검정로고만">
          <a:extLst>
            <a:ext uri="{FF2B5EF4-FFF2-40B4-BE49-F238E27FC236}">
              <a16:creationId xmlns:a16="http://schemas.microsoft.com/office/drawing/2014/main" id="{07C93538-CE7B-4D9B-B743-643660FB6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3" name="Picture 2" descr="검정로고만">
          <a:extLst>
            <a:ext uri="{FF2B5EF4-FFF2-40B4-BE49-F238E27FC236}">
              <a16:creationId xmlns:a16="http://schemas.microsoft.com/office/drawing/2014/main" id="{2B5D2682-7547-4939-9BF8-0BA35392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4" name="Picture 2" descr="검정로고만">
          <a:extLst>
            <a:ext uri="{FF2B5EF4-FFF2-40B4-BE49-F238E27FC236}">
              <a16:creationId xmlns:a16="http://schemas.microsoft.com/office/drawing/2014/main" id="{CC495378-3D0B-40E9-B88B-9262D7D62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5" name="Picture 2" descr="검정로고만">
          <a:extLst>
            <a:ext uri="{FF2B5EF4-FFF2-40B4-BE49-F238E27FC236}">
              <a16:creationId xmlns:a16="http://schemas.microsoft.com/office/drawing/2014/main" id="{2A429AB0-A91F-4BE2-8266-5D1DCF12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6" name="Picture 2" descr="검정로고만">
          <a:extLst>
            <a:ext uri="{FF2B5EF4-FFF2-40B4-BE49-F238E27FC236}">
              <a16:creationId xmlns:a16="http://schemas.microsoft.com/office/drawing/2014/main" id="{42F20237-8F68-435A-8185-AF390A26F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7" name="Picture 2" descr="검정로고만">
          <a:extLst>
            <a:ext uri="{FF2B5EF4-FFF2-40B4-BE49-F238E27FC236}">
              <a16:creationId xmlns:a16="http://schemas.microsoft.com/office/drawing/2014/main" id="{7F9A495F-2109-469D-B488-F13F1EB3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8" name="Picture 2" descr="검정로고만">
          <a:extLst>
            <a:ext uri="{FF2B5EF4-FFF2-40B4-BE49-F238E27FC236}">
              <a16:creationId xmlns:a16="http://schemas.microsoft.com/office/drawing/2014/main" id="{882BA0D9-251B-44F4-B4EA-5AD992211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89" name="Picture 2" descr="검정로고만">
          <a:extLst>
            <a:ext uri="{FF2B5EF4-FFF2-40B4-BE49-F238E27FC236}">
              <a16:creationId xmlns:a16="http://schemas.microsoft.com/office/drawing/2014/main" id="{BF11962B-8F43-49F9-B060-AFFC59980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0" name="Picture 2" descr="검정로고만">
          <a:extLst>
            <a:ext uri="{FF2B5EF4-FFF2-40B4-BE49-F238E27FC236}">
              <a16:creationId xmlns:a16="http://schemas.microsoft.com/office/drawing/2014/main" id="{93F0DB40-6873-4B48-AFAE-A8854FA98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1" name="Picture 2" descr="검정로고만">
          <a:extLst>
            <a:ext uri="{FF2B5EF4-FFF2-40B4-BE49-F238E27FC236}">
              <a16:creationId xmlns:a16="http://schemas.microsoft.com/office/drawing/2014/main" id="{E31BCCB8-A8ED-45F6-8042-C9A751565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2" name="Picture 2" descr="검정로고만">
          <a:extLst>
            <a:ext uri="{FF2B5EF4-FFF2-40B4-BE49-F238E27FC236}">
              <a16:creationId xmlns:a16="http://schemas.microsoft.com/office/drawing/2014/main" id="{3991ACAF-B49C-4026-BB53-EE5A8B4E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3" name="Picture 2" descr="검정로고만">
          <a:extLst>
            <a:ext uri="{FF2B5EF4-FFF2-40B4-BE49-F238E27FC236}">
              <a16:creationId xmlns:a16="http://schemas.microsoft.com/office/drawing/2014/main" id="{7F0D51F0-CC4D-4189-AFD3-BD1C86DAF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4" name="Picture 2" descr="검정로고만">
          <a:extLst>
            <a:ext uri="{FF2B5EF4-FFF2-40B4-BE49-F238E27FC236}">
              <a16:creationId xmlns:a16="http://schemas.microsoft.com/office/drawing/2014/main" id="{83099722-A0D4-4C00-AC9B-8AF5435F6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5" name="Picture 2" descr="검정로고만">
          <a:extLst>
            <a:ext uri="{FF2B5EF4-FFF2-40B4-BE49-F238E27FC236}">
              <a16:creationId xmlns:a16="http://schemas.microsoft.com/office/drawing/2014/main" id="{D95BED80-46F8-47AE-8457-FAD260CAA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6" name="Picture 2" descr="검정로고만">
          <a:extLst>
            <a:ext uri="{FF2B5EF4-FFF2-40B4-BE49-F238E27FC236}">
              <a16:creationId xmlns:a16="http://schemas.microsoft.com/office/drawing/2014/main" id="{569F5B20-EFCD-4933-B944-D3AE3E862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7" name="Picture 2" descr="검정로고만">
          <a:extLst>
            <a:ext uri="{FF2B5EF4-FFF2-40B4-BE49-F238E27FC236}">
              <a16:creationId xmlns:a16="http://schemas.microsoft.com/office/drawing/2014/main" id="{536A26FF-185B-4B53-92BA-E72AD15FC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8" name="Picture 2" descr="검정로고만">
          <a:extLst>
            <a:ext uri="{FF2B5EF4-FFF2-40B4-BE49-F238E27FC236}">
              <a16:creationId xmlns:a16="http://schemas.microsoft.com/office/drawing/2014/main" id="{A77EC725-6ED3-4CC9-AE9F-A273AB968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499" name="Picture 2" descr="검정로고만">
          <a:extLst>
            <a:ext uri="{FF2B5EF4-FFF2-40B4-BE49-F238E27FC236}">
              <a16:creationId xmlns:a16="http://schemas.microsoft.com/office/drawing/2014/main" id="{C059A21B-490D-4042-BDC9-20E9E685C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0" name="Picture 2" descr="검정로고만">
          <a:extLst>
            <a:ext uri="{FF2B5EF4-FFF2-40B4-BE49-F238E27FC236}">
              <a16:creationId xmlns:a16="http://schemas.microsoft.com/office/drawing/2014/main" id="{D8368D50-1381-43C0-9A84-0C5C433B8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1" name="Picture 2" descr="검정로고만">
          <a:extLst>
            <a:ext uri="{FF2B5EF4-FFF2-40B4-BE49-F238E27FC236}">
              <a16:creationId xmlns:a16="http://schemas.microsoft.com/office/drawing/2014/main" id="{2554CEBD-31E6-4765-8DDA-88C4831FE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2" name="Picture 2" descr="검정로고만">
          <a:extLst>
            <a:ext uri="{FF2B5EF4-FFF2-40B4-BE49-F238E27FC236}">
              <a16:creationId xmlns:a16="http://schemas.microsoft.com/office/drawing/2014/main" id="{93DB1D38-0784-4FA9-9894-64B17C1D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3" name="Picture 2" descr="검정로고만">
          <a:extLst>
            <a:ext uri="{FF2B5EF4-FFF2-40B4-BE49-F238E27FC236}">
              <a16:creationId xmlns:a16="http://schemas.microsoft.com/office/drawing/2014/main" id="{1E702027-57A9-451A-BEC2-BF85AD349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4" name="Picture 2" descr="검정로고만">
          <a:extLst>
            <a:ext uri="{FF2B5EF4-FFF2-40B4-BE49-F238E27FC236}">
              <a16:creationId xmlns:a16="http://schemas.microsoft.com/office/drawing/2014/main" id="{253948B9-C964-43DF-86ED-32EAB8F7A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5" name="Picture 2" descr="검정로고만">
          <a:extLst>
            <a:ext uri="{FF2B5EF4-FFF2-40B4-BE49-F238E27FC236}">
              <a16:creationId xmlns:a16="http://schemas.microsoft.com/office/drawing/2014/main" id="{B8AD5421-31A4-4EEA-AC4E-9F0B026E0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6" name="Picture 2" descr="검정로고만">
          <a:extLst>
            <a:ext uri="{FF2B5EF4-FFF2-40B4-BE49-F238E27FC236}">
              <a16:creationId xmlns:a16="http://schemas.microsoft.com/office/drawing/2014/main" id="{2782FF4B-8E7B-439C-9C95-728223AC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7" name="Picture 2" descr="검정로고만">
          <a:extLst>
            <a:ext uri="{FF2B5EF4-FFF2-40B4-BE49-F238E27FC236}">
              <a16:creationId xmlns:a16="http://schemas.microsoft.com/office/drawing/2014/main" id="{F2BEAA82-90CA-40F8-8B13-2C6A34C56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8" name="Picture 2" descr="검정로고만">
          <a:extLst>
            <a:ext uri="{FF2B5EF4-FFF2-40B4-BE49-F238E27FC236}">
              <a16:creationId xmlns:a16="http://schemas.microsoft.com/office/drawing/2014/main" id="{4F834812-0912-4CA4-9DB1-A04E381A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09" name="Picture 2" descr="검정로고만">
          <a:extLst>
            <a:ext uri="{FF2B5EF4-FFF2-40B4-BE49-F238E27FC236}">
              <a16:creationId xmlns:a16="http://schemas.microsoft.com/office/drawing/2014/main" id="{7EFB82BF-7BAD-4BD6-880C-1DE6C0EE9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0" name="Picture 2" descr="검정로고만">
          <a:extLst>
            <a:ext uri="{FF2B5EF4-FFF2-40B4-BE49-F238E27FC236}">
              <a16:creationId xmlns:a16="http://schemas.microsoft.com/office/drawing/2014/main" id="{5A37EF1D-A382-4C51-ADD2-5F6B6A32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1" name="Picture 2" descr="검정로고만">
          <a:extLst>
            <a:ext uri="{FF2B5EF4-FFF2-40B4-BE49-F238E27FC236}">
              <a16:creationId xmlns:a16="http://schemas.microsoft.com/office/drawing/2014/main" id="{0598B941-5F68-4261-A1E0-26EB7D16E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2" name="Picture 2" descr="검정로고만">
          <a:extLst>
            <a:ext uri="{FF2B5EF4-FFF2-40B4-BE49-F238E27FC236}">
              <a16:creationId xmlns:a16="http://schemas.microsoft.com/office/drawing/2014/main" id="{F5844E19-00CF-4B62-A52D-8297530AE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3" name="Picture 2" descr="검정로고만">
          <a:extLst>
            <a:ext uri="{FF2B5EF4-FFF2-40B4-BE49-F238E27FC236}">
              <a16:creationId xmlns:a16="http://schemas.microsoft.com/office/drawing/2014/main" id="{FE493BA7-13EE-41ED-BFE5-3A30CD4A1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4" name="Picture 2" descr="검정로고만">
          <a:extLst>
            <a:ext uri="{FF2B5EF4-FFF2-40B4-BE49-F238E27FC236}">
              <a16:creationId xmlns:a16="http://schemas.microsoft.com/office/drawing/2014/main" id="{464DCD20-6BDF-4C02-8A5E-BE89117F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15" name="Picture 3" descr="검정 글씨만">
          <a:extLst>
            <a:ext uri="{FF2B5EF4-FFF2-40B4-BE49-F238E27FC236}">
              <a16:creationId xmlns:a16="http://schemas.microsoft.com/office/drawing/2014/main" id="{B857683A-6653-4BEE-A58B-5FE102975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6" name="Picture 2" descr="검정로고만">
          <a:extLst>
            <a:ext uri="{FF2B5EF4-FFF2-40B4-BE49-F238E27FC236}">
              <a16:creationId xmlns:a16="http://schemas.microsoft.com/office/drawing/2014/main" id="{019CEC60-08F0-49E9-B974-CBCD7DF6D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7" name="Picture 2" descr="검정로고만">
          <a:extLst>
            <a:ext uri="{FF2B5EF4-FFF2-40B4-BE49-F238E27FC236}">
              <a16:creationId xmlns:a16="http://schemas.microsoft.com/office/drawing/2014/main" id="{D84543CE-4681-4D5F-A155-DBB6CA0A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8" name="Picture 2" descr="검정로고만">
          <a:extLst>
            <a:ext uri="{FF2B5EF4-FFF2-40B4-BE49-F238E27FC236}">
              <a16:creationId xmlns:a16="http://schemas.microsoft.com/office/drawing/2014/main" id="{45F7164F-0C31-4E14-8A01-55A7C44E8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19" name="Picture 2" descr="검정로고만">
          <a:extLst>
            <a:ext uri="{FF2B5EF4-FFF2-40B4-BE49-F238E27FC236}">
              <a16:creationId xmlns:a16="http://schemas.microsoft.com/office/drawing/2014/main" id="{192655BF-1A26-4996-9BAC-DA953D828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0" name="Picture 2" descr="검정로고만">
          <a:extLst>
            <a:ext uri="{FF2B5EF4-FFF2-40B4-BE49-F238E27FC236}">
              <a16:creationId xmlns:a16="http://schemas.microsoft.com/office/drawing/2014/main" id="{4A4D5883-A739-417B-92DC-BAD0F2B22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1" name="Picture 2" descr="검정로고만">
          <a:extLst>
            <a:ext uri="{FF2B5EF4-FFF2-40B4-BE49-F238E27FC236}">
              <a16:creationId xmlns:a16="http://schemas.microsoft.com/office/drawing/2014/main" id="{A9114F72-0C33-4235-A778-3D0C38AD0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2" name="Picture 2" descr="검정로고만">
          <a:extLst>
            <a:ext uri="{FF2B5EF4-FFF2-40B4-BE49-F238E27FC236}">
              <a16:creationId xmlns:a16="http://schemas.microsoft.com/office/drawing/2014/main" id="{5062D88D-11DD-403B-ACC0-71F961BA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3" name="Picture 2" descr="검정로고만">
          <a:extLst>
            <a:ext uri="{FF2B5EF4-FFF2-40B4-BE49-F238E27FC236}">
              <a16:creationId xmlns:a16="http://schemas.microsoft.com/office/drawing/2014/main" id="{93779654-5320-428D-9A0D-F98B1EBA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524" name="Picture 3" descr="검정 글씨만">
          <a:extLst>
            <a:ext uri="{FF2B5EF4-FFF2-40B4-BE49-F238E27FC236}">
              <a16:creationId xmlns:a16="http://schemas.microsoft.com/office/drawing/2014/main" id="{9681EEE5-0383-441B-A9F1-3B481B81A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5" name="Picture 2" descr="검정로고만">
          <a:extLst>
            <a:ext uri="{FF2B5EF4-FFF2-40B4-BE49-F238E27FC236}">
              <a16:creationId xmlns:a16="http://schemas.microsoft.com/office/drawing/2014/main" id="{C411CFE0-7E52-43CF-A53E-A0DA9DCBF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6" name="Picture 2" descr="검정로고만">
          <a:extLst>
            <a:ext uri="{FF2B5EF4-FFF2-40B4-BE49-F238E27FC236}">
              <a16:creationId xmlns:a16="http://schemas.microsoft.com/office/drawing/2014/main" id="{BF2755D8-E54C-4F69-89FF-75022AC01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7" name="Picture 2" descr="검정로고만">
          <a:extLst>
            <a:ext uri="{FF2B5EF4-FFF2-40B4-BE49-F238E27FC236}">
              <a16:creationId xmlns:a16="http://schemas.microsoft.com/office/drawing/2014/main" id="{D8F8F21F-875C-4F01-B6CB-4E4B150DC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8" name="Picture 2" descr="검정로고만">
          <a:extLst>
            <a:ext uri="{FF2B5EF4-FFF2-40B4-BE49-F238E27FC236}">
              <a16:creationId xmlns:a16="http://schemas.microsoft.com/office/drawing/2014/main" id="{E346BB8F-A72F-4084-81C1-54180E3F1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29" name="Picture 2" descr="검정로고만">
          <a:extLst>
            <a:ext uri="{FF2B5EF4-FFF2-40B4-BE49-F238E27FC236}">
              <a16:creationId xmlns:a16="http://schemas.microsoft.com/office/drawing/2014/main" id="{38C1D363-7927-478D-A65B-CD5923B70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0" name="Picture 2" descr="검정로고만">
          <a:extLst>
            <a:ext uri="{FF2B5EF4-FFF2-40B4-BE49-F238E27FC236}">
              <a16:creationId xmlns:a16="http://schemas.microsoft.com/office/drawing/2014/main" id="{1F02D8B8-55D6-4E11-A42C-859957C9D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1" name="Picture 2" descr="검정로고만">
          <a:extLst>
            <a:ext uri="{FF2B5EF4-FFF2-40B4-BE49-F238E27FC236}">
              <a16:creationId xmlns:a16="http://schemas.microsoft.com/office/drawing/2014/main" id="{648710A6-8020-4664-94D6-0801D215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2" name="Picture 2" descr="검정로고만">
          <a:extLst>
            <a:ext uri="{FF2B5EF4-FFF2-40B4-BE49-F238E27FC236}">
              <a16:creationId xmlns:a16="http://schemas.microsoft.com/office/drawing/2014/main" id="{FF103F55-8D79-41A8-ACF8-D386B2A6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3" name="Picture 2" descr="검정로고만">
          <a:extLst>
            <a:ext uri="{FF2B5EF4-FFF2-40B4-BE49-F238E27FC236}">
              <a16:creationId xmlns:a16="http://schemas.microsoft.com/office/drawing/2014/main" id="{E8AA9CBB-D074-4BFE-B608-26C6B7F0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4" name="Picture 2" descr="검정로고만">
          <a:extLst>
            <a:ext uri="{FF2B5EF4-FFF2-40B4-BE49-F238E27FC236}">
              <a16:creationId xmlns:a16="http://schemas.microsoft.com/office/drawing/2014/main" id="{7E5590DF-641E-43F0-BDB0-5DDA2F4C8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5" name="Picture 2" descr="검정로고만">
          <a:extLst>
            <a:ext uri="{FF2B5EF4-FFF2-40B4-BE49-F238E27FC236}">
              <a16:creationId xmlns:a16="http://schemas.microsoft.com/office/drawing/2014/main" id="{15A8ACF2-D29B-46A7-AE84-EBBB029A5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6" name="Picture 2" descr="검정로고만">
          <a:extLst>
            <a:ext uri="{FF2B5EF4-FFF2-40B4-BE49-F238E27FC236}">
              <a16:creationId xmlns:a16="http://schemas.microsoft.com/office/drawing/2014/main" id="{34384C48-E782-48B5-88DE-0FA584AB4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7" name="Picture 2" descr="검정로고만">
          <a:extLst>
            <a:ext uri="{FF2B5EF4-FFF2-40B4-BE49-F238E27FC236}">
              <a16:creationId xmlns:a16="http://schemas.microsoft.com/office/drawing/2014/main" id="{ADAE48ED-4C92-4E44-BF20-FA8F6193B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8" name="Picture 2" descr="검정로고만">
          <a:extLst>
            <a:ext uri="{FF2B5EF4-FFF2-40B4-BE49-F238E27FC236}">
              <a16:creationId xmlns:a16="http://schemas.microsoft.com/office/drawing/2014/main" id="{BEA6B5C8-7410-4770-AF3D-1BF1895B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39" name="Picture 2" descr="검정로고만">
          <a:extLst>
            <a:ext uri="{FF2B5EF4-FFF2-40B4-BE49-F238E27FC236}">
              <a16:creationId xmlns:a16="http://schemas.microsoft.com/office/drawing/2014/main" id="{6E31C580-AE25-4068-898F-D4F21DF54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0" name="Picture 2" descr="검정로고만">
          <a:extLst>
            <a:ext uri="{FF2B5EF4-FFF2-40B4-BE49-F238E27FC236}">
              <a16:creationId xmlns:a16="http://schemas.microsoft.com/office/drawing/2014/main" id="{53A244A9-CEEB-498F-920B-33DBA381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1" name="Picture 2" descr="검정로고만">
          <a:extLst>
            <a:ext uri="{FF2B5EF4-FFF2-40B4-BE49-F238E27FC236}">
              <a16:creationId xmlns:a16="http://schemas.microsoft.com/office/drawing/2014/main" id="{9752D188-B970-4D7F-965C-DD288F71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2" name="Picture 2" descr="검정로고만">
          <a:extLst>
            <a:ext uri="{FF2B5EF4-FFF2-40B4-BE49-F238E27FC236}">
              <a16:creationId xmlns:a16="http://schemas.microsoft.com/office/drawing/2014/main" id="{A357C6B7-8655-4D70-9689-5966908D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3" name="Picture 2" descr="검정로고만">
          <a:extLst>
            <a:ext uri="{FF2B5EF4-FFF2-40B4-BE49-F238E27FC236}">
              <a16:creationId xmlns:a16="http://schemas.microsoft.com/office/drawing/2014/main" id="{7CFCDA7B-68F2-449A-8501-A67823D74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4" name="Picture 2" descr="검정로고만">
          <a:extLst>
            <a:ext uri="{FF2B5EF4-FFF2-40B4-BE49-F238E27FC236}">
              <a16:creationId xmlns:a16="http://schemas.microsoft.com/office/drawing/2014/main" id="{8A0F6865-4C06-4859-A795-804558280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5" name="Picture 2" descr="검정로고만">
          <a:extLst>
            <a:ext uri="{FF2B5EF4-FFF2-40B4-BE49-F238E27FC236}">
              <a16:creationId xmlns:a16="http://schemas.microsoft.com/office/drawing/2014/main" id="{3D0B95E3-CECA-4AA5-8016-FAF0D7E7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6" name="Picture 2" descr="검정로고만">
          <a:extLst>
            <a:ext uri="{FF2B5EF4-FFF2-40B4-BE49-F238E27FC236}">
              <a16:creationId xmlns:a16="http://schemas.microsoft.com/office/drawing/2014/main" id="{A75D45EE-2010-4F01-9A3B-CCECDAC5E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7" name="Picture 2" descr="검정로고만">
          <a:extLst>
            <a:ext uri="{FF2B5EF4-FFF2-40B4-BE49-F238E27FC236}">
              <a16:creationId xmlns:a16="http://schemas.microsoft.com/office/drawing/2014/main" id="{FFDD423F-475F-4F78-8599-C969BEEFB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8" name="Picture 2" descr="검정로고만">
          <a:extLst>
            <a:ext uri="{FF2B5EF4-FFF2-40B4-BE49-F238E27FC236}">
              <a16:creationId xmlns:a16="http://schemas.microsoft.com/office/drawing/2014/main" id="{B8DAA068-2F8A-4644-A0B8-4D6ED7B9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49" name="Picture 2" descr="검정로고만">
          <a:extLst>
            <a:ext uri="{FF2B5EF4-FFF2-40B4-BE49-F238E27FC236}">
              <a16:creationId xmlns:a16="http://schemas.microsoft.com/office/drawing/2014/main" id="{73B69920-5D13-4AE8-AE6F-0166DD1DA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0" name="Picture 2" descr="검정로고만">
          <a:extLst>
            <a:ext uri="{FF2B5EF4-FFF2-40B4-BE49-F238E27FC236}">
              <a16:creationId xmlns:a16="http://schemas.microsoft.com/office/drawing/2014/main" id="{231E7233-8519-4206-A87D-9513F16C6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1" name="Picture 2" descr="검정로고만">
          <a:extLst>
            <a:ext uri="{FF2B5EF4-FFF2-40B4-BE49-F238E27FC236}">
              <a16:creationId xmlns:a16="http://schemas.microsoft.com/office/drawing/2014/main" id="{C326460F-D85A-4C5E-8A72-E8FF273B4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2" name="Picture 2" descr="검정로고만">
          <a:extLst>
            <a:ext uri="{FF2B5EF4-FFF2-40B4-BE49-F238E27FC236}">
              <a16:creationId xmlns:a16="http://schemas.microsoft.com/office/drawing/2014/main" id="{494B6636-C49F-43DD-8FC3-2E28000F4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3" name="Picture 2" descr="검정로고만">
          <a:extLst>
            <a:ext uri="{FF2B5EF4-FFF2-40B4-BE49-F238E27FC236}">
              <a16:creationId xmlns:a16="http://schemas.microsoft.com/office/drawing/2014/main" id="{24E549AF-D0E8-4BA6-89CF-FEE2A57DC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4" name="Picture 2" descr="검정로고만">
          <a:extLst>
            <a:ext uri="{FF2B5EF4-FFF2-40B4-BE49-F238E27FC236}">
              <a16:creationId xmlns:a16="http://schemas.microsoft.com/office/drawing/2014/main" id="{B63551EB-4C63-4654-BB6A-E15A63C29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5" name="Picture 2" descr="검정로고만">
          <a:extLst>
            <a:ext uri="{FF2B5EF4-FFF2-40B4-BE49-F238E27FC236}">
              <a16:creationId xmlns:a16="http://schemas.microsoft.com/office/drawing/2014/main" id="{DD819A82-C8FA-4C16-851F-FF0811AA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6" name="Picture 2" descr="검정로고만">
          <a:extLst>
            <a:ext uri="{FF2B5EF4-FFF2-40B4-BE49-F238E27FC236}">
              <a16:creationId xmlns:a16="http://schemas.microsoft.com/office/drawing/2014/main" id="{9E84BC87-85DD-4B3C-B9AC-98D470A6C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7" name="Picture 2" descr="검정로고만">
          <a:extLst>
            <a:ext uri="{FF2B5EF4-FFF2-40B4-BE49-F238E27FC236}">
              <a16:creationId xmlns:a16="http://schemas.microsoft.com/office/drawing/2014/main" id="{1575FDAE-61F3-42E1-8DD6-6A93A3E69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8" name="Picture 2" descr="검정로고만">
          <a:extLst>
            <a:ext uri="{FF2B5EF4-FFF2-40B4-BE49-F238E27FC236}">
              <a16:creationId xmlns:a16="http://schemas.microsoft.com/office/drawing/2014/main" id="{FBAF8865-B1E5-4601-8DC1-CA63DE89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59" name="Picture 2" descr="검정로고만">
          <a:extLst>
            <a:ext uri="{FF2B5EF4-FFF2-40B4-BE49-F238E27FC236}">
              <a16:creationId xmlns:a16="http://schemas.microsoft.com/office/drawing/2014/main" id="{62D2DDEA-2B59-490E-8D20-9FC14F38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0" name="Picture 2" descr="검정로고만">
          <a:extLst>
            <a:ext uri="{FF2B5EF4-FFF2-40B4-BE49-F238E27FC236}">
              <a16:creationId xmlns:a16="http://schemas.microsoft.com/office/drawing/2014/main" id="{19222E4F-0D29-4B74-97A8-97AEECF5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1" name="Picture 2" descr="검정로고만">
          <a:extLst>
            <a:ext uri="{FF2B5EF4-FFF2-40B4-BE49-F238E27FC236}">
              <a16:creationId xmlns:a16="http://schemas.microsoft.com/office/drawing/2014/main" id="{5539C7E4-4A98-46F3-A9A6-4723787D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2" name="Picture 2" descr="검정로고만">
          <a:extLst>
            <a:ext uri="{FF2B5EF4-FFF2-40B4-BE49-F238E27FC236}">
              <a16:creationId xmlns:a16="http://schemas.microsoft.com/office/drawing/2014/main" id="{E4B81931-BB50-4B73-9071-BD6548886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3" name="Picture 2" descr="검정로고만">
          <a:extLst>
            <a:ext uri="{FF2B5EF4-FFF2-40B4-BE49-F238E27FC236}">
              <a16:creationId xmlns:a16="http://schemas.microsoft.com/office/drawing/2014/main" id="{948F58BC-C1D9-4229-B40D-BAC1A24F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4" name="Picture 2" descr="검정로고만">
          <a:extLst>
            <a:ext uri="{FF2B5EF4-FFF2-40B4-BE49-F238E27FC236}">
              <a16:creationId xmlns:a16="http://schemas.microsoft.com/office/drawing/2014/main" id="{62B7E210-B973-473A-8AC4-4A4FA4FF7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65" name="Picture 3" descr="검정 글씨만">
          <a:extLst>
            <a:ext uri="{FF2B5EF4-FFF2-40B4-BE49-F238E27FC236}">
              <a16:creationId xmlns:a16="http://schemas.microsoft.com/office/drawing/2014/main" id="{1D175FEE-01E2-409F-BEE5-FF9CD4500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6" name="Picture 2" descr="검정로고만">
          <a:extLst>
            <a:ext uri="{FF2B5EF4-FFF2-40B4-BE49-F238E27FC236}">
              <a16:creationId xmlns:a16="http://schemas.microsoft.com/office/drawing/2014/main" id="{6F602488-E53D-409E-8FD4-0ABEA7800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7" name="Picture 2" descr="검정로고만">
          <a:extLst>
            <a:ext uri="{FF2B5EF4-FFF2-40B4-BE49-F238E27FC236}">
              <a16:creationId xmlns:a16="http://schemas.microsoft.com/office/drawing/2014/main" id="{E39CF96C-CE65-45A7-828D-F90FF56E9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8" name="Picture 2" descr="검정로고만">
          <a:extLst>
            <a:ext uri="{FF2B5EF4-FFF2-40B4-BE49-F238E27FC236}">
              <a16:creationId xmlns:a16="http://schemas.microsoft.com/office/drawing/2014/main" id="{D8C4A801-1F8A-4505-9EBE-049361377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69" name="Picture 2" descr="검정로고만">
          <a:extLst>
            <a:ext uri="{FF2B5EF4-FFF2-40B4-BE49-F238E27FC236}">
              <a16:creationId xmlns:a16="http://schemas.microsoft.com/office/drawing/2014/main" id="{04BC662C-3B6D-48AF-A092-5529D12DE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0" name="Picture 2" descr="검정로고만">
          <a:extLst>
            <a:ext uri="{FF2B5EF4-FFF2-40B4-BE49-F238E27FC236}">
              <a16:creationId xmlns:a16="http://schemas.microsoft.com/office/drawing/2014/main" id="{2FA59655-6036-41B6-9818-93BF7A25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1" name="Picture 2" descr="검정로고만">
          <a:extLst>
            <a:ext uri="{FF2B5EF4-FFF2-40B4-BE49-F238E27FC236}">
              <a16:creationId xmlns:a16="http://schemas.microsoft.com/office/drawing/2014/main" id="{B0987434-1601-4D4B-918B-E522D7E31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2" name="Picture 2" descr="검정로고만">
          <a:extLst>
            <a:ext uri="{FF2B5EF4-FFF2-40B4-BE49-F238E27FC236}">
              <a16:creationId xmlns:a16="http://schemas.microsoft.com/office/drawing/2014/main" id="{0F5A9B9C-3D2D-4922-A000-4DD9F80D7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3" name="Picture 2" descr="검정로고만">
          <a:extLst>
            <a:ext uri="{FF2B5EF4-FFF2-40B4-BE49-F238E27FC236}">
              <a16:creationId xmlns:a16="http://schemas.microsoft.com/office/drawing/2014/main" id="{2E01593E-B5A6-4D68-800F-4FE4AA59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74" name="Picture 3" descr="검정 글씨만">
          <a:extLst>
            <a:ext uri="{FF2B5EF4-FFF2-40B4-BE49-F238E27FC236}">
              <a16:creationId xmlns:a16="http://schemas.microsoft.com/office/drawing/2014/main" id="{F2099D24-6492-438E-A5D1-D472E6144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5" name="Picture 2" descr="검정로고만">
          <a:extLst>
            <a:ext uri="{FF2B5EF4-FFF2-40B4-BE49-F238E27FC236}">
              <a16:creationId xmlns:a16="http://schemas.microsoft.com/office/drawing/2014/main" id="{D04879B2-10B8-4408-8DCA-CC7BD80F1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6" name="Picture 2" descr="검정로고만">
          <a:extLst>
            <a:ext uri="{FF2B5EF4-FFF2-40B4-BE49-F238E27FC236}">
              <a16:creationId xmlns:a16="http://schemas.microsoft.com/office/drawing/2014/main" id="{AD10153A-53EF-4CCA-9699-0CD271799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7" name="Picture 2" descr="검정로고만">
          <a:extLst>
            <a:ext uri="{FF2B5EF4-FFF2-40B4-BE49-F238E27FC236}">
              <a16:creationId xmlns:a16="http://schemas.microsoft.com/office/drawing/2014/main" id="{F36348E8-7D42-4AAC-B95F-8F33D0372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8" name="Picture 2" descr="검정로고만">
          <a:extLst>
            <a:ext uri="{FF2B5EF4-FFF2-40B4-BE49-F238E27FC236}">
              <a16:creationId xmlns:a16="http://schemas.microsoft.com/office/drawing/2014/main" id="{B2A9B36B-F7BF-41FE-9C06-BDD8E1FC3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79" name="Picture 2" descr="검정로고만">
          <a:extLst>
            <a:ext uri="{FF2B5EF4-FFF2-40B4-BE49-F238E27FC236}">
              <a16:creationId xmlns:a16="http://schemas.microsoft.com/office/drawing/2014/main" id="{9E10852B-D698-4873-A42F-7F5557AC8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0" name="Picture 2" descr="검정로고만">
          <a:extLst>
            <a:ext uri="{FF2B5EF4-FFF2-40B4-BE49-F238E27FC236}">
              <a16:creationId xmlns:a16="http://schemas.microsoft.com/office/drawing/2014/main" id="{E9C32E4B-638F-4653-A475-A49A96A4A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1" name="Picture 2" descr="검정로고만">
          <a:extLst>
            <a:ext uri="{FF2B5EF4-FFF2-40B4-BE49-F238E27FC236}">
              <a16:creationId xmlns:a16="http://schemas.microsoft.com/office/drawing/2014/main" id="{D02BB826-935C-411E-9244-03DE15EDF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2" name="Picture 2" descr="검정로고만">
          <a:extLst>
            <a:ext uri="{FF2B5EF4-FFF2-40B4-BE49-F238E27FC236}">
              <a16:creationId xmlns:a16="http://schemas.microsoft.com/office/drawing/2014/main" id="{04731493-C9F4-4909-A33D-3E3B8AC8E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83" name="Picture 3" descr="검정 글씨만">
          <a:extLst>
            <a:ext uri="{FF2B5EF4-FFF2-40B4-BE49-F238E27FC236}">
              <a16:creationId xmlns:a16="http://schemas.microsoft.com/office/drawing/2014/main" id="{1731CBE3-D2B1-4442-9819-0F175247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4" name="Picture 2" descr="검정로고만">
          <a:extLst>
            <a:ext uri="{FF2B5EF4-FFF2-40B4-BE49-F238E27FC236}">
              <a16:creationId xmlns:a16="http://schemas.microsoft.com/office/drawing/2014/main" id="{27D1815F-8469-43E7-B1D5-6362177EF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5" name="Picture 2" descr="검정로고만">
          <a:extLst>
            <a:ext uri="{FF2B5EF4-FFF2-40B4-BE49-F238E27FC236}">
              <a16:creationId xmlns:a16="http://schemas.microsoft.com/office/drawing/2014/main" id="{E534BF93-EAF5-47AD-8387-051397932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6" name="Picture 2" descr="검정로고만">
          <a:extLst>
            <a:ext uri="{FF2B5EF4-FFF2-40B4-BE49-F238E27FC236}">
              <a16:creationId xmlns:a16="http://schemas.microsoft.com/office/drawing/2014/main" id="{F1D174B4-20EA-46EA-82D5-1C6D3DFE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7" name="Picture 2" descr="검정로고만">
          <a:extLst>
            <a:ext uri="{FF2B5EF4-FFF2-40B4-BE49-F238E27FC236}">
              <a16:creationId xmlns:a16="http://schemas.microsoft.com/office/drawing/2014/main" id="{A890490C-0DAE-49C3-8117-417B1E22E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8" name="Picture 2" descr="검정로고만">
          <a:extLst>
            <a:ext uri="{FF2B5EF4-FFF2-40B4-BE49-F238E27FC236}">
              <a16:creationId xmlns:a16="http://schemas.microsoft.com/office/drawing/2014/main" id="{13142DA2-FF99-4DBF-98EE-BFED35980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89" name="Picture 2" descr="검정로고만">
          <a:extLst>
            <a:ext uri="{FF2B5EF4-FFF2-40B4-BE49-F238E27FC236}">
              <a16:creationId xmlns:a16="http://schemas.microsoft.com/office/drawing/2014/main" id="{13FEA623-CBB3-47E3-9DE0-0EE662AF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0" name="Picture 2" descr="검정로고만">
          <a:extLst>
            <a:ext uri="{FF2B5EF4-FFF2-40B4-BE49-F238E27FC236}">
              <a16:creationId xmlns:a16="http://schemas.microsoft.com/office/drawing/2014/main" id="{624ABB69-C380-4180-B0F4-34E6D7B92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1" name="Picture 2" descr="검정로고만">
          <a:extLst>
            <a:ext uri="{FF2B5EF4-FFF2-40B4-BE49-F238E27FC236}">
              <a16:creationId xmlns:a16="http://schemas.microsoft.com/office/drawing/2014/main" id="{09FD03E1-005B-4ECC-AB79-B98C3705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592" name="Picture 3" descr="검정 글씨만">
          <a:extLst>
            <a:ext uri="{FF2B5EF4-FFF2-40B4-BE49-F238E27FC236}">
              <a16:creationId xmlns:a16="http://schemas.microsoft.com/office/drawing/2014/main" id="{6C75AE1B-F557-48F7-A239-523ABEE7E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3" name="Picture 2" descr="검정로고만">
          <a:extLst>
            <a:ext uri="{FF2B5EF4-FFF2-40B4-BE49-F238E27FC236}">
              <a16:creationId xmlns:a16="http://schemas.microsoft.com/office/drawing/2014/main" id="{57A6CD66-AE81-4619-89E3-4FE657F41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4" name="Picture 2" descr="검정로고만">
          <a:extLst>
            <a:ext uri="{FF2B5EF4-FFF2-40B4-BE49-F238E27FC236}">
              <a16:creationId xmlns:a16="http://schemas.microsoft.com/office/drawing/2014/main" id="{4FE0A0AA-8322-443F-993A-4F5476B7A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5" name="Picture 2" descr="검정로고만">
          <a:extLst>
            <a:ext uri="{FF2B5EF4-FFF2-40B4-BE49-F238E27FC236}">
              <a16:creationId xmlns:a16="http://schemas.microsoft.com/office/drawing/2014/main" id="{303A18E6-54BA-4658-B413-B47875029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6" name="Picture 2" descr="검정로고만">
          <a:extLst>
            <a:ext uri="{FF2B5EF4-FFF2-40B4-BE49-F238E27FC236}">
              <a16:creationId xmlns:a16="http://schemas.microsoft.com/office/drawing/2014/main" id="{7725A22D-6626-478E-87A7-7BFD28F72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7" name="Picture 2" descr="검정로고만">
          <a:extLst>
            <a:ext uri="{FF2B5EF4-FFF2-40B4-BE49-F238E27FC236}">
              <a16:creationId xmlns:a16="http://schemas.microsoft.com/office/drawing/2014/main" id="{AAC769BD-F060-48D1-93EB-85ADC45B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8" name="Picture 2" descr="검정로고만">
          <a:extLst>
            <a:ext uri="{FF2B5EF4-FFF2-40B4-BE49-F238E27FC236}">
              <a16:creationId xmlns:a16="http://schemas.microsoft.com/office/drawing/2014/main" id="{F7841948-682B-4F7E-ABEC-C041E586D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599" name="Picture 2" descr="검정로고만">
          <a:extLst>
            <a:ext uri="{FF2B5EF4-FFF2-40B4-BE49-F238E27FC236}">
              <a16:creationId xmlns:a16="http://schemas.microsoft.com/office/drawing/2014/main" id="{CD8B7FB4-D2E1-4B51-9D48-99759BCD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0" name="Picture 2" descr="검정로고만">
          <a:extLst>
            <a:ext uri="{FF2B5EF4-FFF2-40B4-BE49-F238E27FC236}">
              <a16:creationId xmlns:a16="http://schemas.microsoft.com/office/drawing/2014/main" id="{CA3D7357-591E-4528-8D77-9084B1AA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601" name="Picture 3" descr="검정 글씨만">
          <a:extLst>
            <a:ext uri="{FF2B5EF4-FFF2-40B4-BE49-F238E27FC236}">
              <a16:creationId xmlns:a16="http://schemas.microsoft.com/office/drawing/2014/main" id="{647F616E-5887-4249-B795-0BDDE9EF0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2" name="Picture 2" descr="검정로고만">
          <a:extLst>
            <a:ext uri="{FF2B5EF4-FFF2-40B4-BE49-F238E27FC236}">
              <a16:creationId xmlns:a16="http://schemas.microsoft.com/office/drawing/2014/main" id="{242DD1BF-1224-430D-A719-6FD9E663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3" name="Picture 2" descr="검정로고만">
          <a:extLst>
            <a:ext uri="{FF2B5EF4-FFF2-40B4-BE49-F238E27FC236}">
              <a16:creationId xmlns:a16="http://schemas.microsoft.com/office/drawing/2014/main" id="{7F1095A3-DFDA-43E7-AF5A-FD843738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4" name="Picture 2" descr="검정로고만">
          <a:extLst>
            <a:ext uri="{FF2B5EF4-FFF2-40B4-BE49-F238E27FC236}">
              <a16:creationId xmlns:a16="http://schemas.microsoft.com/office/drawing/2014/main" id="{E191BFAF-10D1-47D5-940A-F1AFE95E3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5" name="Picture 2" descr="검정로고만">
          <a:extLst>
            <a:ext uri="{FF2B5EF4-FFF2-40B4-BE49-F238E27FC236}">
              <a16:creationId xmlns:a16="http://schemas.microsoft.com/office/drawing/2014/main" id="{5053CF98-BCAE-4B71-ACF4-9D7DC4748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6" name="Picture 2" descr="검정로고만">
          <a:extLst>
            <a:ext uri="{FF2B5EF4-FFF2-40B4-BE49-F238E27FC236}">
              <a16:creationId xmlns:a16="http://schemas.microsoft.com/office/drawing/2014/main" id="{7B521D92-673E-4B99-B0DD-DAED895C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7" name="Picture 2" descr="검정로고만">
          <a:extLst>
            <a:ext uri="{FF2B5EF4-FFF2-40B4-BE49-F238E27FC236}">
              <a16:creationId xmlns:a16="http://schemas.microsoft.com/office/drawing/2014/main" id="{79DDF1F1-69CD-4F68-8856-129A185A3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8" name="Picture 2" descr="검정로고만">
          <a:extLst>
            <a:ext uri="{FF2B5EF4-FFF2-40B4-BE49-F238E27FC236}">
              <a16:creationId xmlns:a16="http://schemas.microsoft.com/office/drawing/2014/main" id="{3CC7A5FB-7069-481D-BF08-86C78C68D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09" name="Picture 2" descr="검정로고만">
          <a:extLst>
            <a:ext uri="{FF2B5EF4-FFF2-40B4-BE49-F238E27FC236}">
              <a16:creationId xmlns:a16="http://schemas.microsoft.com/office/drawing/2014/main" id="{5A566805-60D1-4978-B254-975FB8114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0" name="Picture 2" descr="검정로고만">
          <a:extLst>
            <a:ext uri="{FF2B5EF4-FFF2-40B4-BE49-F238E27FC236}">
              <a16:creationId xmlns:a16="http://schemas.microsoft.com/office/drawing/2014/main" id="{48B070B8-71CE-4411-AF12-B1C744D71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1" name="Picture 2" descr="검정로고만">
          <a:extLst>
            <a:ext uri="{FF2B5EF4-FFF2-40B4-BE49-F238E27FC236}">
              <a16:creationId xmlns:a16="http://schemas.microsoft.com/office/drawing/2014/main" id="{EED12EC7-6197-4C46-AF9D-621011520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2" name="Picture 2" descr="검정로고만">
          <a:extLst>
            <a:ext uri="{FF2B5EF4-FFF2-40B4-BE49-F238E27FC236}">
              <a16:creationId xmlns:a16="http://schemas.microsoft.com/office/drawing/2014/main" id="{925E6301-06D8-4AF9-91CE-62126873E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3" name="Picture 2" descr="검정로고만">
          <a:extLst>
            <a:ext uri="{FF2B5EF4-FFF2-40B4-BE49-F238E27FC236}">
              <a16:creationId xmlns:a16="http://schemas.microsoft.com/office/drawing/2014/main" id="{932C9A2D-9910-4F58-B444-D6E9ED24D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4" name="Picture 2" descr="검정로고만">
          <a:extLst>
            <a:ext uri="{FF2B5EF4-FFF2-40B4-BE49-F238E27FC236}">
              <a16:creationId xmlns:a16="http://schemas.microsoft.com/office/drawing/2014/main" id="{BE5E467C-6551-482E-8A05-533ADE6F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5" name="Picture 2" descr="검정로고만">
          <a:extLst>
            <a:ext uri="{FF2B5EF4-FFF2-40B4-BE49-F238E27FC236}">
              <a16:creationId xmlns:a16="http://schemas.microsoft.com/office/drawing/2014/main" id="{88987072-15F2-4562-BC60-015953C4B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6" name="Picture 2" descr="검정로고만">
          <a:extLst>
            <a:ext uri="{FF2B5EF4-FFF2-40B4-BE49-F238E27FC236}">
              <a16:creationId xmlns:a16="http://schemas.microsoft.com/office/drawing/2014/main" id="{ED551384-A48D-4F07-B59A-6EE5826C6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7" name="Picture 2" descr="검정로고만">
          <a:extLst>
            <a:ext uri="{FF2B5EF4-FFF2-40B4-BE49-F238E27FC236}">
              <a16:creationId xmlns:a16="http://schemas.microsoft.com/office/drawing/2014/main" id="{1352BA97-2E42-4BF6-8A7B-E240BE92F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8" name="Picture 2" descr="검정로고만">
          <a:extLst>
            <a:ext uri="{FF2B5EF4-FFF2-40B4-BE49-F238E27FC236}">
              <a16:creationId xmlns:a16="http://schemas.microsoft.com/office/drawing/2014/main" id="{909D553C-48AE-469B-B799-89AEC703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19" name="Picture 2" descr="검정로고만">
          <a:extLst>
            <a:ext uri="{FF2B5EF4-FFF2-40B4-BE49-F238E27FC236}">
              <a16:creationId xmlns:a16="http://schemas.microsoft.com/office/drawing/2014/main" id="{EBB96BA7-82E8-41A8-A66B-A7DB10BD5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0" name="Picture 2" descr="검정로고만">
          <a:extLst>
            <a:ext uri="{FF2B5EF4-FFF2-40B4-BE49-F238E27FC236}">
              <a16:creationId xmlns:a16="http://schemas.microsoft.com/office/drawing/2014/main" id="{A84CB5F2-73B6-4071-A3DB-A04E68443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1" name="Picture 2" descr="검정로고만">
          <a:extLst>
            <a:ext uri="{FF2B5EF4-FFF2-40B4-BE49-F238E27FC236}">
              <a16:creationId xmlns:a16="http://schemas.microsoft.com/office/drawing/2014/main" id="{B2177A47-E7CA-4D2A-B8E7-8306A337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2" name="Picture 2" descr="검정로고만">
          <a:extLst>
            <a:ext uri="{FF2B5EF4-FFF2-40B4-BE49-F238E27FC236}">
              <a16:creationId xmlns:a16="http://schemas.microsoft.com/office/drawing/2014/main" id="{6731E40D-31A2-41EB-BE26-F4EDA446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3" name="Picture 2" descr="검정로고만">
          <a:extLst>
            <a:ext uri="{FF2B5EF4-FFF2-40B4-BE49-F238E27FC236}">
              <a16:creationId xmlns:a16="http://schemas.microsoft.com/office/drawing/2014/main" id="{656488BB-0C76-47E5-87BE-C55184F7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4" name="Picture 2" descr="검정로고만">
          <a:extLst>
            <a:ext uri="{FF2B5EF4-FFF2-40B4-BE49-F238E27FC236}">
              <a16:creationId xmlns:a16="http://schemas.microsoft.com/office/drawing/2014/main" id="{7B230F1C-C0D4-4F51-AEE5-0537BFAF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5" name="Picture 2" descr="검정로고만">
          <a:extLst>
            <a:ext uri="{FF2B5EF4-FFF2-40B4-BE49-F238E27FC236}">
              <a16:creationId xmlns:a16="http://schemas.microsoft.com/office/drawing/2014/main" id="{CAFB2A40-DEBB-472B-B7B5-964FF53B8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6" name="Picture 2" descr="검정로고만">
          <a:extLst>
            <a:ext uri="{FF2B5EF4-FFF2-40B4-BE49-F238E27FC236}">
              <a16:creationId xmlns:a16="http://schemas.microsoft.com/office/drawing/2014/main" id="{52B335D2-022C-4CAF-89EE-5AF9C0C76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7" name="Picture 2" descr="검정로고만">
          <a:extLst>
            <a:ext uri="{FF2B5EF4-FFF2-40B4-BE49-F238E27FC236}">
              <a16:creationId xmlns:a16="http://schemas.microsoft.com/office/drawing/2014/main" id="{E0CCEAB4-DFF1-4A30-A30D-FA9175532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8" name="Picture 2" descr="검정로고만">
          <a:extLst>
            <a:ext uri="{FF2B5EF4-FFF2-40B4-BE49-F238E27FC236}">
              <a16:creationId xmlns:a16="http://schemas.microsoft.com/office/drawing/2014/main" id="{138E9503-84E1-4219-AA09-C409C05C2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29" name="Picture 2" descr="검정로고만">
          <a:extLst>
            <a:ext uri="{FF2B5EF4-FFF2-40B4-BE49-F238E27FC236}">
              <a16:creationId xmlns:a16="http://schemas.microsoft.com/office/drawing/2014/main" id="{BF4C3226-CE7C-4CDD-BFF3-C34F37D75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0" name="Picture 2" descr="검정로고만">
          <a:extLst>
            <a:ext uri="{FF2B5EF4-FFF2-40B4-BE49-F238E27FC236}">
              <a16:creationId xmlns:a16="http://schemas.microsoft.com/office/drawing/2014/main" id="{82A16EC4-A1C8-4B12-A5C6-A9E6C4872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1" name="Picture 2" descr="검정로고만">
          <a:extLst>
            <a:ext uri="{FF2B5EF4-FFF2-40B4-BE49-F238E27FC236}">
              <a16:creationId xmlns:a16="http://schemas.microsoft.com/office/drawing/2014/main" id="{F047B59E-7248-49BE-A979-685F813B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2" name="Picture 2" descr="검정로고만">
          <a:extLst>
            <a:ext uri="{FF2B5EF4-FFF2-40B4-BE49-F238E27FC236}">
              <a16:creationId xmlns:a16="http://schemas.microsoft.com/office/drawing/2014/main" id="{2539A64A-0E40-4826-8E4B-DDE0B128B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3" name="Picture 2" descr="검정로고만">
          <a:extLst>
            <a:ext uri="{FF2B5EF4-FFF2-40B4-BE49-F238E27FC236}">
              <a16:creationId xmlns:a16="http://schemas.microsoft.com/office/drawing/2014/main" id="{1341D5C5-AAA9-4252-A7C9-51D286DA0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4" name="Picture 2" descr="검정로고만">
          <a:extLst>
            <a:ext uri="{FF2B5EF4-FFF2-40B4-BE49-F238E27FC236}">
              <a16:creationId xmlns:a16="http://schemas.microsoft.com/office/drawing/2014/main" id="{A7077AF3-28BD-41F6-A622-9F0A747A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5" name="Picture 2" descr="검정로고만">
          <a:extLst>
            <a:ext uri="{FF2B5EF4-FFF2-40B4-BE49-F238E27FC236}">
              <a16:creationId xmlns:a16="http://schemas.microsoft.com/office/drawing/2014/main" id="{4CCFC866-1A29-4574-8607-B3C8516C3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6" name="Picture 2" descr="검정로고만">
          <a:extLst>
            <a:ext uri="{FF2B5EF4-FFF2-40B4-BE49-F238E27FC236}">
              <a16:creationId xmlns:a16="http://schemas.microsoft.com/office/drawing/2014/main" id="{9B526740-1080-4BD3-B888-2ADB1F6B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7" name="Picture 2" descr="검정로고만">
          <a:extLst>
            <a:ext uri="{FF2B5EF4-FFF2-40B4-BE49-F238E27FC236}">
              <a16:creationId xmlns:a16="http://schemas.microsoft.com/office/drawing/2014/main" id="{0C5F8DB8-6265-4624-A827-BAEF98C11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8" name="Picture 2" descr="검정로고만">
          <a:extLst>
            <a:ext uri="{FF2B5EF4-FFF2-40B4-BE49-F238E27FC236}">
              <a16:creationId xmlns:a16="http://schemas.microsoft.com/office/drawing/2014/main" id="{4C738BB6-712A-4400-8FED-D3A1BA130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39" name="Picture 2" descr="검정로고만">
          <a:extLst>
            <a:ext uri="{FF2B5EF4-FFF2-40B4-BE49-F238E27FC236}">
              <a16:creationId xmlns:a16="http://schemas.microsoft.com/office/drawing/2014/main" id="{DCAE98BF-77A4-4990-882A-3C12A8513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0" name="Picture 2" descr="검정로고만">
          <a:extLst>
            <a:ext uri="{FF2B5EF4-FFF2-40B4-BE49-F238E27FC236}">
              <a16:creationId xmlns:a16="http://schemas.microsoft.com/office/drawing/2014/main" id="{D16C10B9-560D-4897-8C6C-1157BD2D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1" name="Picture 2" descr="검정로고만">
          <a:extLst>
            <a:ext uri="{FF2B5EF4-FFF2-40B4-BE49-F238E27FC236}">
              <a16:creationId xmlns:a16="http://schemas.microsoft.com/office/drawing/2014/main" id="{698D0432-0531-4FC9-85CA-D5439FFEA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42" name="Picture 3" descr="검정 글씨만">
          <a:extLst>
            <a:ext uri="{FF2B5EF4-FFF2-40B4-BE49-F238E27FC236}">
              <a16:creationId xmlns:a16="http://schemas.microsoft.com/office/drawing/2014/main" id="{9F996081-70A1-47FD-8232-F98AA0510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3" name="Picture 2" descr="검정로고만">
          <a:extLst>
            <a:ext uri="{FF2B5EF4-FFF2-40B4-BE49-F238E27FC236}">
              <a16:creationId xmlns:a16="http://schemas.microsoft.com/office/drawing/2014/main" id="{ADA2D393-D099-4C9B-B65B-1441BF187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4" name="Picture 2" descr="검정로고만">
          <a:extLst>
            <a:ext uri="{FF2B5EF4-FFF2-40B4-BE49-F238E27FC236}">
              <a16:creationId xmlns:a16="http://schemas.microsoft.com/office/drawing/2014/main" id="{3846BF4A-A6D7-44CF-B656-23BCA1949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5" name="Picture 2" descr="검정로고만">
          <a:extLst>
            <a:ext uri="{FF2B5EF4-FFF2-40B4-BE49-F238E27FC236}">
              <a16:creationId xmlns:a16="http://schemas.microsoft.com/office/drawing/2014/main" id="{C2E43B53-ACC9-4EC7-A2A5-8F2DAAF4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6" name="Picture 2" descr="검정로고만">
          <a:extLst>
            <a:ext uri="{FF2B5EF4-FFF2-40B4-BE49-F238E27FC236}">
              <a16:creationId xmlns:a16="http://schemas.microsoft.com/office/drawing/2014/main" id="{2D1D6A1C-232E-47CD-BADF-53AD78A81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7" name="Picture 2" descr="검정로고만">
          <a:extLst>
            <a:ext uri="{FF2B5EF4-FFF2-40B4-BE49-F238E27FC236}">
              <a16:creationId xmlns:a16="http://schemas.microsoft.com/office/drawing/2014/main" id="{3C32DFDE-D223-489A-8097-98A05A0E8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8" name="Picture 2" descr="검정로고만">
          <a:extLst>
            <a:ext uri="{FF2B5EF4-FFF2-40B4-BE49-F238E27FC236}">
              <a16:creationId xmlns:a16="http://schemas.microsoft.com/office/drawing/2014/main" id="{9138181E-3124-4810-B919-CA68EA1DF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49" name="Picture 2" descr="검정로고만">
          <a:extLst>
            <a:ext uri="{FF2B5EF4-FFF2-40B4-BE49-F238E27FC236}">
              <a16:creationId xmlns:a16="http://schemas.microsoft.com/office/drawing/2014/main" id="{1EAF187D-2588-4674-A548-A24F5CDA4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0" name="Picture 2" descr="검정로고만">
          <a:extLst>
            <a:ext uri="{FF2B5EF4-FFF2-40B4-BE49-F238E27FC236}">
              <a16:creationId xmlns:a16="http://schemas.microsoft.com/office/drawing/2014/main" id="{BCF5C01C-62E9-4817-B17D-B5AE5210D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651" name="Picture 3" descr="검정 글씨만">
          <a:extLst>
            <a:ext uri="{FF2B5EF4-FFF2-40B4-BE49-F238E27FC236}">
              <a16:creationId xmlns:a16="http://schemas.microsoft.com/office/drawing/2014/main" id="{A3623F26-A749-4C4A-9B6A-22E0851F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2" name="Picture 2" descr="검정로고만">
          <a:extLst>
            <a:ext uri="{FF2B5EF4-FFF2-40B4-BE49-F238E27FC236}">
              <a16:creationId xmlns:a16="http://schemas.microsoft.com/office/drawing/2014/main" id="{FA553119-4915-45F0-9958-BC23196FE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3" name="Picture 2" descr="검정로고만">
          <a:extLst>
            <a:ext uri="{FF2B5EF4-FFF2-40B4-BE49-F238E27FC236}">
              <a16:creationId xmlns:a16="http://schemas.microsoft.com/office/drawing/2014/main" id="{52D35D10-D958-425D-AB0C-FDB17111D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4" name="Picture 2" descr="검정로고만">
          <a:extLst>
            <a:ext uri="{FF2B5EF4-FFF2-40B4-BE49-F238E27FC236}">
              <a16:creationId xmlns:a16="http://schemas.microsoft.com/office/drawing/2014/main" id="{8CE1F587-A161-4E3F-A7E1-2B4B50D6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5" name="Picture 2" descr="검정로고만">
          <a:extLst>
            <a:ext uri="{FF2B5EF4-FFF2-40B4-BE49-F238E27FC236}">
              <a16:creationId xmlns:a16="http://schemas.microsoft.com/office/drawing/2014/main" id="{B0623512-AE57-49A5-84A7-85E336B5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6" name="Picture 2" descr="검정로고만">
          <a:extLst>
            <a:ext uri="{FF2B5EF4-FFF2-40B4-BE49-F238E27FC236}">
              <a16:creationId xmlns:a16="http://schemas.microsoft.com/office/drawing/2014/main" id="{5E9ECCCA-E112-480C-9828-577C93841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7" name="Picture 2" descr="검정로고만">
          <a:extLst>
            <a:ext uri="{FF2B5EF4-FFF2-40B4-BE49-F238E27FC236}">
              <a16:creationId xmlns:a16="http://schemas.microsoft.com/office/drawing/2014/main" id="{4946423B-119F-4D50-BA38-6196D7BED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8" name="Picture 2" descr="검정로고만">
          <a:extLst>
            <a:ext uri="{FF2B5EF4-FFF2-40B4-BE49-F238E27FC236}">
              <a16:creationId xmlns:a16="http://schemas.microsoft.com/office/drawing/2014/main" id="{6FAF9F2A-D252-4904-83D5-A29968B34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59" name="Picture 2" descr="검정로고만">
          <a:extLst>
            <a:ext uri="{FF2B5EF4-FFF2-40B4-BE49-F238E27FC236}">
              <a16:creationId xmlns:a16="http://schemas.microsoft.com/office/drawing/2014/main" id="{579C3B6F-32A0-47E6-B6C6-E0F195BBB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660" name="Picture 3" descr="검정 글씨만">
          <a:extLst>
            <a:ext uri="{FF2B5EF4-FFF2-40B4-BE49-F238E27FC236}">
              <a16:creationId xmlns:a16="http://schemas.microsoft.com/office/drawing/2014/main" id="{4D6D482A-3095-44F0-9789-BB4EBB35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1" name="Picture 2" descr="검정로고만">
          <a:extLst>
            <a:ext uri="{FF2B5EF4-FFF2-40B4-BE49-F238E27FC236}">
              <a16:creationId xmlns:a16="http://schemas.microsoft.com/office/drawing/2014/main" id="{FAE0746D-669A-439F-AB40-E61B0BE86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2" name="Picture 2" descr="검정로고만">
          <a:extLst>
            <a:ext uri="{FF2B5EF4-FFF2-40B4-BE49-F238E27FC236}">
              <a16:creationId xmlns:a16="http://schemas.microsoft.com/office/drawing/2014/main" id="{E935CDC1-D170-46A8-824C-BEE6C7576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3" name="Picture 2" descr="검정로고만">
          <a:extLst>
            <a:ext uri="{FF2B5EF4-FFF2-40B4-BE49-F238E27FC236}">
              <a16:creationId xmlns:a16="http://schemas.microsoft.com/office/drawing/2014/main" id="{916440DE-01C4-4E44-A566-709BEBF61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4" name="Picture 2" descr="검정로고만">
          <a:extLst>
            <a:ext uri="{FF2B5EF4-FFF2-40B4-BE49-F238E27FC236}">
              <a16:creationId xmlns:a16="http://schemas.microsoft.com/office/drawing/2014/main" id="{1A436946-0B56-4473-9D7E-5D6DFD80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5" name="Picture 2" descr="검정로고만">
          <a:extLst>
            <a:ext uri="{FF2B5EF4-FFF2-40B4-BE49-F238E27FC236}">
              <a16:creationId xmlns:a16="http://schemas.microsoft.com/office/drawing/2014/main" id="{B114C7A4-9234-44FA-8ED5-ED3920B16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6" name="Picture 2" descr="검정로고만">
          <a:extLst>
            <a:ext uri="{FF2B5EF4-FFF2-40B4-BE49-F238E27FC236}">
              <a16:creationId xmlns:a16="http://schemas.microsoft.com/office/drawing/2014/main" id="{A38CB049-B7A6-4220-9A3D-7CE623F8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7" name="Picture 2" descr="검정로고만">
          <a:extLst>
            <a:ext uri="{FF2B5EF4-FFF2-40B4-BE49-F238E27FC236}">
              <a16:creationId xmlns:a16="http://schemas.microsoft.com/office/drawing/2014/main" id="{43379526-530C-40F8-8145-80A4CD1E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8" name="Picture 2" descr="검정로고만">
          <a:extLst>
            <a:ext uri="{FF2B5EF4-FFF2-40B4-BE49-F238E27FC236}">
              <a16:creationId xmlns:a16="http://schemas.microsoft.com/office/drawing/2014/main" id="{1834D0F3-51CD-40A7-8437-A5F3ED110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69" name="Picture 2" descr="검정로고만">
          <a:extLst>
            <a:ext uri="{FF2B5EF4-FFF2-40B4-BE49-F238E27FC236}">
              <a16:creationId xmlns:a16="http://schemas.microsoft.com/office/drawing/2014/main" id="{992AA5A8-911C-49CB-9FA1-C3DD499A2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0" name="Picture 2" descr="검정로고만">
          <a:extLst>
            <a:ext uri="{FF2B5EF4-FFF2-40B4-BE49-F238E27FC236}">
              <a16:creationId xmlns:a16="http://schemas.microsoft.com/office/drawing/2014/main" id="{635DBEAD-8685-4E8C-834F-7F72E8E9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1" name="Picture 2" descr="검정로고만">
          <a:extLst>
            <a:ext uri="{FF2B5EF4-FFF2-40B4-BE49-F238E27FC236}">
              <a16:creationId xmlns:a16="http://schemas.microsoft.com/office/drawing/2014/main" id="{3CA4F34E-E66A-4F42-9404-3A628FDB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2" name="Picture 2" descr="검정로고만">
          <a:extLst>
            <a:ext uri="{FF2B5EF4-FFF2-40B4-BE49-F238E27FC236}">
              <a16:creationId xmlns:a16="http://schemas.microsoft.com/office/drawing/2014/main" id="{3B0DCF45-C4A7-4D5F-80D0-F70A6486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3" name="Picture 2" descr="검정로고만">
          <a:extLst>
            <a:ext uri="{FF2B5EF4-FFF2-40B4-BE49-F238E27FC236}">
              <a16:creationId xmlns:a16="http://schemas.microsoft.com/office/drawing/2014/main" id="{014A77B3-63D6-4AA1-B67D-CBDF247AD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4" name="Picture 2" descr="검정로고만">
          <a:extLst>
            <a:ext uri="{FF2B5EF4-FFF2-40B4-BE49-F238E27FC236}">
              <a16:creationId xmlns:a16="http://schemas.microsoft.com/office/drawing/2014/main" id="{88838689-DA15-454A-A6EA-93721A3DC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5" name="Picture 2" descr="검정로고만">
          <a:extLst>
            <a:ext uri="{FF2B5EF4-FFF2-40B4-BE49-F238E27FC236}">
              <a16:creationId xmlns:a16="http://schemas.microsoft.com/office/drawing/2014/main" id="{3573803C-5DA0-448F-A4FF-7A37F2AB4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6" name="Picture 2" descr="검정로고만">
          <a:extLst>
            <a:ext uri="{FF2B5EF4-FFF2-40B4-BE49-F238E27FC236}">
              <a16:creationId xmlns:a16="http://schemas.microsoft.com/office/drawing/2014/main" id="{23B112B0-5144-48D3-BAD1-BAD4F16E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7" name="Picture 2" descr="검정로고만">
          <a:extLst>
            <a:ext uri="{FF2B5EF4-FFF2-40B4-BE49-F238E27FC236}">
              <a16:creationId xmlns:a16="http://schemas.microsoft.com/office/drawing/2014/main" id="{398D0D7B-B371-47B4-9130-A121F792B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8" name="Picture 2" descr="검정로고만">
          <a:extLst>
            <a:ext uri="{FF2B5EF4-FFF2-40B4-BE49-F238E27FC236}">
              <a16:creationId xmlns:a16="http://schemas.microsoft.com/office/drawing/2014/main" id="{1E7763D3-47B2-43FB-A292-2399E8CF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79" name="Picture 2" descr="검정로고만">
          <a:extLst>
            <a:ext uri="{FF2B5EF4-FFF2-40B4-BE49-F238E27FC236}">
              <a16:creationId xmlns:a16="http://schemas.microsoft.com/office/drawing/2014/main" id="{3E4BE297-3415-4C96-9138-B1D0F36CA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0" name="Picture 2" descr="검정로고만">
          <a:extLst>
            <a:ext uri="{FF2B5EF4-FFF2-40B4-BE49-F238E27FC236}">
              <a16:creationId xmlns:a16="http://schemas.microsoft.com/office/drawing/2014/main" id="{95CF807E-A862-417C-B699-AB814431F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1" name="Picture 2" descr="검정로고만">
          <a:extLst>
            <a:ext uri="{FF2B5EF4-FFF2-40B4-BE49-F238E27FC236}">
              <a16:creationId xmlns:a16="http://schemas.microsoft.com/office/drawing/2014/main" id="{D65D21EE-3B84-4D43-B922-AC475160D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2" name="Picture 2" descr="검정로고만">
          <a:extLst>
            <a:ext uri="{FF2B5EF4-FFF2-40B4-BE49-F238E27FC236}">
              <a16:creationId xmlns:a16="http://schemas.microsoft.com/office/drawing/2014/main" id="{C3F906C3-99EA-4133-900D-E75E5F2CA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3" name="Picture 2" descr="검정로고만">
          <a:extLst>
            <a:ext uri="{FF2B5EF4-FFF2-40B4-BE49-F238E27FC236}">
              <a16:creationId xmlns:a16="http://schemas.microsoft.com/office/drawing/2014/main" id="{7A0662D3-5A56-4BC9-B0D0-639AE70F4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4" name="Picture 2" descr="검정로고만">
          <a:extLst>
            <a:ext uri="{FF2B5EF4-FFF2-40B4-BE49-F238E27FC236}">
              <a16:creationId xmlns:a16="http://schemas.microsoft.com/office/drawing/2014/main" id="{DAF97E1B-2DAE-4464-8197-DD918BCA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5" name="Picture 2" descr="검정로고만">
          <a:extLst>
            <a:ext uri="{FF2B5EF4-FFF2-40B4-BE49-F238E27FC236}">
              <a16:creationId xmlns:a16="http://schemas.microsoft.com/office/drawing/2014/main" id="{1CE62D67-DE51-413D-AC18-203C06149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6" name="Picture 2" descr="검정로고만">
          <a:extLst>
            <a:ext uri="{FF2B5EF4-FFF2-40B4-BE49-F238E27FC236}">
              <a16:creationId xmlns:a16="http://schemas.microsoft.com/office/drawing/2014/main" id="{8B12CD3E-4CB5-40E6-A318-A472212A4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7" name="Picture 2" descr="검정로고만">
          <a:extLst>
            <a:ext uri="{FF2B5EF4-FFF2-40B4-BE49-F238E27FC236}">
              <a16:creationId xmlns:a16="http://schemas.microsoft.com/office/drawing/2014/main" id="{FF18DFB8-0D2C-4FE4-9BF5-F5DD1AB67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8" name="Picture 2" descr="검정로고만">
          <a:extLst>
            <a:ext uri="{FF2B5EF4-FFF2-40B4-BE49-F238E27FC236}">
              <a16:creationId xmlns:a16="http://schemas.microsoft.com/office/drawing/2014/main" id="{73DC3836-9BA2-40EC-909B-9BF4B3A07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89" name="Picture 2" descr="검정로고만">
          <a:extLst>
            <a:ext uri="{FF2B5EF4-FFF2-40B4-BE49-F238E27FC236}">
              <a16:creationId xmlns:a16="http://schemas.microsoft.com/office/drawing/2014/main" id="{D91CA0D2-34DE-40AF-91B9-E3820A9D0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0" name="Picture 2" descr="검정로고만">
          <a:extLst>
            <a:ext uri="{FF2B5EF4-FFF2-40B4-BE49-F238E27FC236}">
              <a16:creationId xmlns:a16="http://schemas.microsoft.com/office/drawing/2014/main" id="{B0781D10-A7AF-481F-9DCB-96DE3708F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1" name="Picture 2" descr="검정로고만">
          <a:extLst>
            <a:ext uri="{FF2B5EF4-FFF2-40B4-BE49-F238E27FC236}">
              <a16:creationId xmlns:a16="http://schemas.microsoft.com/office/drawing/2014/main" id="{0B44A5C5-C631-4D53-887A-9A297F827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2" name="Picture 2" descr="검정로고만">
          <a:extLst>
            <a:ext uri="{FF2B5EF4-FFF2-40B4-BE49-F238E27FC236}">
              <a16:creationId xmlns:a16="http://schemas.microsoft.com/office/drawing/2014/main" id="{BDB0306F-0EFE-45BF-86B6-ED4E526EF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3" name="Picture 2" descr="검정로고만">
          <a:extLst>
            <a:ext uri="{FF2B5EF4-FFF2-40B4-BE49-F238E27FC236}">
              <a16:creationId xmlns:a16="http://schemas.microsoft.com/office/drawing/2014/main" id="{1BAA1C91-F48E-42AD-80CD-218812CA3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4" name="Picture 2" descr="검정로고만">
          <a:extLst>
            <a:ext uri="{FF2B5EF4-FFF2-40B4-BE49-F238E27FC236}">
              <a16:creationId xmlns:a16="http://schemas.microsoft.com/office/drawing/2014/main" id="{0C0C7B29-E7E5-4A2C-B0D7-8C426FB5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5" name="Picture 2" descr="검정로고만">
          <a:extLst>
            <a:ext uri="{FF2B5EF4-FFF2-40B4-BE49-F238E27FC236}">
              <a16:creationId xmlns:a16="http://schemas.microsoft.com/office/drawing/2014/main" id="{3AC7D9C3-5B1D-46CB-845A-86BFF74A4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6" name="Picture 2" descr="검정로고만">
          <a:extLst>
            <a:ext uri="{FF2B5EF4-FFF2-40B4-BE49-F238E27FC236}">
              <a16:creationId xmlns:a16="http://schemas.microsoft.com/office/drawing/2014/main" id="{E25A9C98-07C7-408C-9DB4-1C12AB66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7" name="Picture 2" descr="검정로고만">
          <a:extLst>
            <a:ext uri="{FF2B5EF4-FFF2-40B4-BE49-F238E27FC236}">
              <a16:creationId xmlns:a16="http://schemas.microsoft.com/office/drawing/2014/main" id="{13EA4C26-02DC-44E6-AED7-F37D70A09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8" name="Picture 2" descr="검정로고만">
          <a:extLst>
            <a:ext uri="{FF2B5EF4-FFF2-40B4-BE49-F238E27FC236}">
              <a16:creationId xmlns:a16="http://schemas.microsoft.com/office/drawing/2014/main" id="{F1D64BF5-0B88-4393-8AA2-6C14068E6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699" name="Picture 2" descr="검정로고만">
          <a:extLst>
            <a:ext uri="{FF2B5EF4-FFF2-40B4-BE49-F238E27FC236}">
              <a16:creationId xmlns:a16="http://schemas.microsoft.com/office/drawing/2014/main" id="{FF72F96C-CF96-4DB5-8325-377F767B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0" name="Picture 2" descr="검정로고만">
          <a:extLst>
            <a:ext uri="{FF2B5EF4-FFF2-40B4-BE49-F238E27FC236}">
              <a16:creationId xmlns:a16="http://schemas.microsoft.com/office/drawing/2014/main" id="{CE25B400-EF79-4DD7-9852-C44BCEF11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01" name="Picture 3" descr="검정 글씨만">
          <a:extLst>
            <a:ext uri="{FF2B5EF4-FFF2-40B4-BE49-F238E27FC236}">
              <a16:creationId xmlns:a16="http://schemas.microsoft.com/office/drawing/2014/main" id="{79F7F41F-7985-4B8B-88DC-058CC1487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2" name="Picture 2" descr="검정로고만">
          <a:extLst>
            <a:ext uri="{FF2B5EF4-FFF2-40B4-BE49-F238E27FC236}">
              <a16:creationId xmlns:a16="http://schemas.microsoft.com/office/drawing/2014/main" id="{5A0FD7E7-AEA5-4DF6-91C5-045A27DEF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3" name="Picture 2" descr="검정로고만">
          <a:extLst>
            <a:ext uri="{FF2B5EF4-FFF2-40B4-BE49-F238E27FC236}">
              <a16:creationId xmlns:a16="http://schemas.microsoft.com/office/drawing/2014/main" id="{F3CD2C01-B8F3-41D0-9179-1F9A761B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4" name="Picture 2" descr="검정로고만">
          <a:extLst>
            <a:ext uri="{FF2B5EF4-FFF2-40B4-BE49-F238E27FC236}">
              <a16:creationId xmlns:a16="http://schemas.microsoft.com/office/drawing/2014/main" id="{21D391F4-EA5C-4EE2-A3A0-8ED4BAB28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5" name="Picture 2" descr="검정로고만">
          <a:extLst>
            <a:ext uri="{FF2B5EF4-FFF2-40B4-BE49-F238E27FC236}">
              <a16:creationId xmlns:a16="http://schemas.microsoft.com/office/drawing/2014/main" id="{C1A85BD5-7DF0-4211-907C-18EED4D6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6" name="Picture 2" descr="검정로고만">
          <a:extLst>
            <a:ext uri="{FF2B5EF4-FFF2-40B4-BE49-F238E27FC236}">
              <a16:creationId xmlns:a16="http://schemas.microsoft.com/office/drawing/2014/main" id="{944FB114-EAFE-46E4-956B-9069EE58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7" name="Picture 2" descr="검정로고만">
          <a:extLst>
            <a:ext uri="{FF2B5EF4-FFF2-40B4-BE49-F238E27FC236}">
              <a16:creationId xmlns:a16="http://schemas.microsoft.com/office/drawing/2014/main" id="{CBBFDDA3-4589-4DF4-A3C6-AEF338286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8" name="Picture 2" descr="검정로고만">
          <a:extLst>
            <a:ext uri="{FF2B5EF4-FFF2-40B4-BE49-F238E27FC236}">
              <a16:creationId xmlns:a16="http://schemas.microsoft.com/office/drawing/2014/main" id="{8834DC93-6B55-4A3E-93B6-C06CECBAA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09" name="Picture 2" descr="검정로고만">
          <a:extLst>
            <a:ext uri="{FF2B5EF4-FFF2-40B4-BE49-F238E27FC236}">
              <a16:creationId xmlns:a16="http://schemas.microsoft.com/office/drawing/2014/main" id="{DA45B708-817A-4B4D-816C-E9A9E85BF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710" name="Picture 3" descr="검정 글씨만">
          <a:extLst>
            <a:ext uri="{FF2B5EF4-FFF2-40B4-BE49-F238E27FC236}">
              <a16:creationId xmlns:a16="http://schemas.microsoft.com/office/drawing/2014/main" id="{1AD1F4BD-A158-4243-8172-9CB6E47B9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1" name="Picture 2" descr="검정로고만">
          <a:extLst>
            <a:ext uri="{FF2B5EF4-FFF2-40B4-BE49-F238E27FC236}">
              <a16:creationId xmlns:a16="http://schemas.microsoft.com/office/drawing/2014/main" id="{603CB9A4-B468-452A-A318-AAA6FF191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2" name="Picture 2" descr="검정로고만">
          <a:extLst>
            <a:ext uri="{FF2B5EF4-FFF2-40B4-BE49-F238E27FC236}">
              <a16:creationId xmlns:a16="http://schemas.microsoft.com/office/drawing/2014/main" id="{85B02234-EFA1-4C42-84FC-7F7FDEF5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3" name="Picture 2" descr="검정로고만">
          <a:extLst>
            <a:ext uri="{FF2B5EF4-FFF2-40B4-BE49-F238E27FC236}">
              <a16:creationId xmlns:a16="http://schemas.microsoft.com/office/drawing/2014/main" id="{0199B82D-667B-46F1-A026-D654A724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4" name="Picture 2" descr="검정로고만">
          <a:extLst>
            <a:ext uri="{FF2B5EF4-FFF2-40B4-BE49-F238E27FC236}">
              <a16:creationId xmlns:a16="http://schemas.microsoft.com/office/drawing/2014/main" id="{D46DCE24-3948-43AA-B47F-67A34FA5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5" name="Picture 2" descr="검정로고만">
          <a:extLst>
            <a:ext uri="{FF2B5EF4-FFF2-40B4-BE49-F238E27FC236}">
              <a16:creationId xmlns:a16="http://schemas.microsoft.com/office/drawing/2014/main" id="{82745E11-1442-4981-A177-3922736EF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6" name="Picture 2" descr="검정로고만">
          <a:extLst>
            <a:ext uri="{FF2B5EF4-FFF2-40B4-BE49-F238E27FC236}">
              <a16:creationId xmlns:a16="http://schemas.microsoft.com/office/drawing/2014/main" id="{4622473F-5061-48EB-AC42-E9584A16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7" name="Picture 2" descr="검정로고만">
          <a:extLst>
            <a:ext uri="{FF2B5EF4-FFF2-40B4-BE49-F238E27FC236}">
              <a16:creationId xmlns:a16="http://schemas.microsoft.com/office/drawing/2014/main" id="{1F198674-4C9C-47E7-A7E8-F21B56FE5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8" name="Picture 2" descr="검정로고만">
          <a:extLst>
            <a:ext uri="{FF2B5EF4-FFF2-40B4-BE49-F238E27FC236}">
              <a16:creationId xmlns:a16="http://schemas.microsoft.com/office/drawing/2014/main" id="{2BC6CE95-DAD9-4742-88FA-CDA1FCF13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19" name="Picture 2" descr="검정로고만">
          <a:extLst>
            <a:ext uri="{FF2B5EF4-FFF2-40B4-BE49-F238E27FC236}">
              <a16:creationId xmlns:a16="http://schemas.microsoft.com/office/drawing/2014/main" id="{62420708-2507-49BF-9789-53F1B52BE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0" name="Picture 2" descr="검정로고만">
          <a:extLst>
            <a:ext uri="{FF2B5EF4-FFF2-40B4-BE49-F238E27FC236}">
              <a16:creationId xmlns:a16="http://schemas.microsoft.com/office/drawing/2014/main" id="{48EFFCE4-CC80-48EE-860B-09941C4D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1" name="Picture 2" descr="검정로고만">
          <a:extLst>
            <a:ext uri="{FF2B5EF4-FFF2-40B4-BE49-F238E27FC236}">
              <a16:creationId xmlns:a16="http://schemas.microsoft.com/office/drawing/2014/main" id="{F2B6FB11-75D1-4D20-B93A-E73627F97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2" name="Picture 2" descr="검정로고만">
          <a:extLst>
            <a:ext uri="{FF2B5EF4-FFF2-40B4-BE49-F238E27FC236}">
              <a16:creationId xmlns:a16="http://schemas.microsoft.com/office/drawing/2014/main" id="{C6F07EE9-F7A7-4811-A5A6-E302DAFBE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3" name="Picture 2" descr="검정로고만">
          <a:extLst>
            <a:ext uri="{FF2B5EF4-FFF2-40B4-BE49-F238E27FC236}">
              <a16:creationId xmlns:a16="http://schemas.microsoft.com/office/drawing/2014/main" id="{C6CCC30F-3074-4F4D-8558-BBCF3BD1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4" name="Picture 2" descr="검정로고만">
          <a:extLst>
            <a:ext uri="{FF2B5EF4-FFF2-40B4-BE49-F238E27FC236}">
              <a16:creationId xmlns:a16="http://schemas.microsoft.com/office/drawing/2014/main" id="{31EF0981-8591-4C86-ABB4-60FCFF787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5" name="Picture 2" descr="검정로고만">
          <a:extLst>
            <a:ext uri="{FF2B5EF4-FFF2-40B4-BE49-F238E27FC236}">
              <a16:creationId xmlns:a16="http://schemas.microsoft.com/office/drawing/2014/main" id="{92B47613-3F11-403C-9FB1-FC3443F51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6" name="Picture 2" descr="검정로고만">
          <a:extLst>
            <a:ext uri="{FF2B5EF4-FFF2-40B4-BE49-F238E27FC236}">
              <a16:creationId xmlns:a16="http://schemas.microsoft.com/office/drawing/2014/main" id="{FCB2FD2F-193F-49CA-9472-88244005C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7" name="Picture 2" descr="검정로고만">
          <a:extLst>
            <a:ext uri="{FF2B5EF4-FFF2-40B4-BE49-F238E27FC236}">
              <a16:creationId xmlns:a16="http://schemas.microsoft.com/office/drawing/2014/main" id="{9ECA598A-EB6E-4F2E-80C3-1DCF05941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8" name="Picture 2" descr="검정로고만">
          <a:extLst>
            <a:ext uri="{FF2B5EF4-FFF2-40B4-BE49-F238E27FC236}">
              <a16:creationId xmlns:a16="http://schemas.microsoft.com/office/drawing/2014/main" id="{3C51F5BC-1B05-4D24-9A45-DD6D55F69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29" name="Picture 2" descr="검정로고만">
          <a:extLst>
            <a:ext uri="{FF2B5EF4-FFF2-40B4-BE49-F238E27FC236}">
              <a16:creationId xmlns:a16="http://schemas.microsoft.com/office/drawing/2014/main" id="{06FF0724-1629-4BD6-9177-31EA3C9C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0" name="Picture 2" descr="검정로고만">
          <a:extLst>
            <a:ext uri="{FF2B5EF4-FFF2-40B4-BE49-F238E27FC236}">
              <a16:creationId xmlns:a16="http://schemas.microsoft.com/office/drawing/2014/main" id="{8AF8843E-72F1-4962-9AEA-302F38C6F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1" name="Picture 2" descr="검정로고만">
          <a:extLst>
            <a:ext uri="{FF2B5EF4-FFF2-40B4-BE49-F238E27FC236}">
              <a16:creationId xmlns:a16="http://schemas.microsoft.com/office/drawing/2014/main" id="{61F3BCFB-8602-47A8-A661-83CBB295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2" name="Picture 2" descr="검정로고만">
          <a:extLst>
            <a:ext uri="{FF2B5EF4-FFF2-40B4-BE49-F238E27FC236}">
              <a16:creationId xmlns:a16="http://schemas.microsoft.com/office/drawing/2014/main" id="{A12228B7-EFDC-4EF0-AF7D-DA5D944F6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3" name="Picture 2" descr="검정로고만">
          <a:extLst>
            <a:ext uri="{FF2B5EF4-FFF2-40B4-BE49-F238E27FC236}">
              <a16:creationId xmlns:a16="http://schemas.microsoft.com/office/drawing/2014/main" id="{17F36F59-0FD9-461E-BFE8-7A2B05D6F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4" name="Picture 2" descr="검정로고만">
          <a:extLst>
            <a:ext uri="{FF2B5EF4-FFF2-40B4-BE49-F238E27FC236}">
              <a16:creationId xmlns:a16="http://schemas.microsoft.com/office/drawing/2014/main" id="{799405DA-E71D-4DB3-B51D-3ED1F7DA2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5" name="Picture 2" descr="검정로고만">
          <a:extLst>
            <a:ext uri="{FF2B5EF4-FFF2-40B4-BE49-F238E27FC236}">
              <a16:creationId xmlns:a16="http://schemas.microsoft.com/office/drawing/2014/main" id="{6EDEFA71-B860-476E-8C1D-9EA88D838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6" name="Picture 2" descr="검정로고만">
          <a:extLst>
            <a:ext uri="{FF2B5EF4-FFF2-40B4-BE49-F238E27FC236}">
              <a16:creationId xmlns:a16="http://schemas.microsoft.com/office/drawing/2014/main" id="{F6418678-8A64-432A-A321-B90E981E1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7" name="Picture 2" descr="검정로고만">
          <a:extLst>
            <a:ext uri="{FF2B5EF4-FFF2-40B4-BE49-F238E27FC236}">
              <a16:creationId xmlns:a16="http://schemas.microsoft.com/office/drawing/2014/main" id="{79D64269-0F1D-410B-8DBA-80068B68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8" name="Picture 2" descr="검정로고만">
          <a:extLst>
            <a:ext uri="{FF2B5EF4-FFF2-40B4-BE49-F238E27FC236}">
              <a16:creationId xmlns:a16="http://schemas.microsoft.com/office/drawing/2014/main" id="{6543F3FE-2ED4-47B9-B302-BFB29DE6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39" name="Picture 2" descr="검정로고만">
          <a:extLst>
            <a:ext uri="{FF2B5EF4-FFF2-40B4-BE49-F238E27FC236}">
              <a16:creationId xmlns:a16="http://schemas.microsoft.com/office/drawing/2014/main" id="{79AA2A9F-126B-44B8-9AF3-5E6D74C7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0" name="Picture 2" descr="검정로고만">
          <a:extLst>
            <a:ext uri="{FF2B5EF4-FFF2-40B4-BE49-F238E27FC236}">
              <a16:creationId xmlns:a16="http://schemas.microsoft.com/office/drawing/2014/main" id="{9456197B-040A-4465-8D37-86499FB91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1" name="Picture 2" descr="검정로고만">
          <a:extLst>
            <a:ext uri="{FF2B5EF4-FFF2-40B4-BE49-F238E27FC236}">
              <a16:creationId xmlns:a16="http://schemas.microsoft.com/office/drawing/2014/main" id="{80BFA413-196C-4ACA-BADC-A560D465C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2" name="Picture 2" descr="검정로고만">
          <a:extLst>
            <a:ext uri="{FF2B5EF4-FFF2-40B4-BE49-F238E27FC236}">
              <a16:creationId xmlns:a16="http://schemas.microsoft.com/office/drawing/2014/main" id="{358A6A20-7B35-44B6-A4A0-791EA3CF6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3" name="Picture 2" descr="검정로고만">
          <a:extLst>
            <a:ext uri="{FF2B5EF4-FFF2-40B4-BE49-F238E27FC236}">
              <a16:creationId xmlns:a16="http://schemas.microsoft.com/office/drawing/2014/main" id="{74B831ED-FB71-45BE-B1C4-3C303EDF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4" name="Picture 2" descr="검정로고만">
          <a:extLst>
            <a:ext uri="{FF2B5EF4-FFF2-40B4-BE49-F238E27FC236}">
              <a16:creationId xmlns:a16="http://schemas.microsoft.com/office/drawing/2014/main" id="{4E333C9B-5A7D-40B3-9FB5-3EC72907E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5" name="Picture 2" descr="검정로고만">
          <a:extLst>
            <a:ext uri="{FF2B5EF4-FFF2-40B4-BE49-F238E27FC236}">
              <a16:creationId xmlns:a16="http://schemas.microsoft.com/office/drawing/2014/main" id="{C4905AF8-809D-43D5-91E8-643679A9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6" name="Picture 2" descr="검정로고만">
          <a:extLst>
            <a:ext uri="{FF2B5EF4-FFF2-40B4-BE49-F238E27FC236}">
              <a16:creationId xmlns:a16="http://schemas.microsoft.com/office/drawing/2014/main" id="{DD1C8017-4FFD-4D20-A777-49DC532C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7" name="Picture 2" descr="검정로고만">
          <a:extLst>
            <a:ext uri="{FF2B5EF4-FFF2-40B4-BE49-F238E27FC236}">
              <a16:creationId xmlns:a16="http://schemas.microsoft.com/office/drawing/2014/main" id="{3A7B70EC-BAE9-48A2-93D8-18DBD1C80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8" name="Picture 2" descr="검정로고만">
          <a:extLst>
            <a:ext uri="{FF2B5EF4-FFF2-40B4-BE49-F238E27FC236}">
              <a16:creationId xmlns:a16="http://schemas.microsoft.com/office/drawing/2014/main" id="{A7D81115-5FEF-4DD3-8EDB-BD35FFD9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49" name="Picture 2" descr="검정로고만">
          <a:extLst>
            <a:ext uri="{FF2B5EF4-FFF2-40B4-BE49-F238E27FC236}">
              <a16:creationId xmlns:a16="http://schemas.microsoft.com/office/drawing/2014/main" id="{8224CF79-D265-4B08-BBCF-D12BA666B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0" name="Picture 2" descr="검정로고만">
          <a:extLst>
            <a:ext uri="{FF2B5EF4-FFF2-40B4-BE49-F238E27FC236}">
              <a16:creationId xmlns:a16="http://schemas.microsoft.com/office/drawing/2014/main" id="{8E6FD545-2B61-4956-97CF-1BC71C705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51" name="Picture 3" descr="검정 글씨만">
          <a:extLst>
            <a:ext uri="{FF2B5EF4-FFF2-40B4-BE49-F238E27FC236}">
              <a16:creationId xmlns:a16="http://schemas.microsoft.com/office/drawing/2014/main" id="{4E316CF1-77AC-4EB2-A7CA-597A9E69C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2" name="Picture 2" descr="검정로고만">
          <a:extLst>
            <a:ext uri="{FF2B5EF4-FFF2-40B4-BE49-F238E27FC236}">
              <a16:creationId xmlns:a16="http://schemas.microsoft.com/office/drawing/2014/main" id="{4314B37A-F40C-441C-A739-28157E84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3" name="Picture 2" descr="검정로고만">
          <a:extLst>
            <a:ext uri="{FF2B5EF4-FFF2-40B4-BE49-F238E27FC236}">
              <a16:creationId xmlns:a16="http://schemas.microsoft.com/office/drawing/2014/main" id="{A2C3E14E-5E58-4830-B579-EEDCB11D2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4" name="Picture 2" descr="검정로고만">
          <a:extLst>
            <a:ext uri="{FF2B5EF4-FFF2-40B4-BE49-F238E27FC236}">
              <a16:creationId xmlns:a16="http://schemas.microsoft.com/office/drawing/2014/main" id="{6F25956F-1B41-4043-971C-E7007979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5" name="Picture 2" descr="검정로고만">
          <a:extLst>
            <a:ext uri="{FF2B5EF4-FFF2-40B4-BE49-F238E27FC236}">
              <a16:creationId xmlns:a16="http://schemas.microsoft.com/office/drawing/2014/main" id="{678DDC23-F2ED-4A31-AC5A-932986163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6" name="Picture 2" descr="검정로고만">
          <a:extLst>
            <a:ext uri="{FF2B5EF4-FFF2-40B4-BE49-F238E27FC236}">
              <a16:creationId xmlns:a16="http://schemas.microsoft.com/office/drawing/2014/main" id="{7E31FA39-0985-448B-8AF6-937C55010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7" name="Picture 2" descr="검정로고만">
          <a:extLst>
            <a:ext uri="{FF2B5EF4-FFF2-40B4-BE49-F238E27FC236}">
              <a16:creationId xmlns:a16="http://schemas.microsoft.com/office/drawing/2014/main" id="{9BF9326D-4E12-4EA4-9119-97AE5B612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8" name="Picture 2" descr="검정로고만">
          <a:extLst>
            <a:ext uri="{FF2B5EF4-FFF2-40B4-BE49-F238E27FC236}">
              <a16:creationId xmlns:a16="http://schemas.microsoft.com/office/drawing/2014/main" id="{B6E5113B-0E02-443E-A93D-2BACF421B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59" name="Picture 2" descr="검정로고만">
          <a:extLst>
            <a:ext uri="{FF2B5EF4-FFF2-40B4-BE49-F238E27FC236}">
              <a16:creationId xmlns:a16="http://schemas.microsoft.com/office/drawing/2014/main" id="{8A5C84B1-30D0-4C2D-BBA8-B5B14522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760" name="Picture 3" descr="검정 글씨만">
          <a:extLst>
            <a:ext uri="{FF2B5EF4-FFF2-40B4-BE49-F238E27FC236}">
              <a16:creationId xmlns:a16="http://schemas.microsoft.com/office/drawing/2014/main" id="{2E956B28-7AAA-4308-B0EE-049171382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1" name="Picture 2" descr="검정로고만">
          <a:extLst>
            <a:ext uri="{FF2B5EF4-FFF2-40B4-BE49-F238E27FC236}">
              <a16:creationId xmlns:a16="http://schemas.microsoft.com/office/drawing/2014/main" id="{FA730335-B858-41E9-9A1B-48DEC81BD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2" name="Picture 2" descr="검정로고만">
          <a:extLst>
            <a:ext uri="{FF2B5EF4-FFF2-40B4-BE49-F238E27FC236}">
              <a16:creationId xmlns:a16="http://schemas.microsoft.com/office/drawing/2014/main" id="{D2955F23-5D25-4C31-9A8B-37EFFC3D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3" name="Picture 2" descr="검정로고만">
          <a:extLst>
            <a:ext uri="{FF2B5EF4-FFF2-40B4-BE49-F238E27FC236}">
              <a16:creationId xmlns:a16="http://schemas.microsoft.com/office/drawing/2014/main" id="{F03DE6C8-40A7-47F2-9B44-D0F6241FF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4" name="Picture 2" descr="검정로고만">
          <a:extLst>
            <a:ext uri="{FF2B5EF4-FFF2-40B4-BE49-F238E27FC236}">
              <a16:creationId xmlns:a16="http://schemas.microsoft.com/office/drawing/2014/main" id="{5EEB27D8-A74F-4E6C-84DF-452167EF6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5" name="Picture 2" descr="검정로고만">
          <a:extLst>
            <a:ext uri="{FF2B5EF4-FFF2-40B4-BE49-F238E27FC236}">
              <a16:creationId xmlns:a16="http://schemas.microsoft.com/office/drawing/2014/main" id="{2BB25EF8-0A62-49C7-90CA-A767A94C7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6" name="Picture 2" descr="검정로고만">
          <a:extLst>
            <a:ext uri="{FF2B5EF4-FFF2-40B4-BE49-F238E27FC236}">
              <a16:creationId xmlns:a16="http://schemas.microsoft.com/office/drawing/2014/main" id="{984A643A-AAC5-43CA-BAA7-AB3817572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7" name="Picture 2" descr="검정로고만">
          <a:extLst>
            <a:ext uri="{FF2B5EF4-FFF2-40B4-BE49-F238E27FC236}">
              <a16:creationId xmlns:a16="http://schemas.microsoft.com/office/drawing/2014/main" id="{8D561AEE-9FD0-4640-B2F6-2247BC4E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68" name="Picture 2" descr="검정로고만">
          <a:extLst>
            <a:ext uri="{FF2B5EF4-FFF2-40B4-BE49-F238E27FC236}">
              <a16:creationId xmlns:a16="http://schemas.microsoft.com/office/drawing/2014/main" id="{9EA1BFD0-CBA0-4216-ACA3-5C7D992FB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769" name="Picture 3" descr="검정 글씨만">
          <a:extLst>
            <a:ext uri="{FF2B5EF4-FFF2-40B4-BE49-F238E27FC236}">
              <a16:creationId xmlns:a16="http://schemas.microsoft.com/office/drawing/2014/main" id="{3D7BD44B-0FA4-4B92-8A5A-7DB28B03C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0" name="Picture 2" descr="검정로고만">
          <a:extLst>
            <a:ext uri="{FF2B5EF4-FFF2-40B4-BE49-F238E27FC236}">
              <a16:creationId xmlns:a16="http://schemas.microsoft.com/office/drawing/2014/main" id="{A3D47C1F-3DF0-4B35-B806-67E9EF3C1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1" name="Picture 2" descr="검정로고만">
          <a:extLst>
            <a:ext uri="{FF2B5EF4-FFF2-40B4-BE49-F238E27FC236}">
              <a16:creationId xmlns:a16="http://schemas.microsoft.com/office/drawing/2014/main" id="{C9FD64CB-146A-444F-BDFF-D2E58BAD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2" name="Picture 2" descr="검정로고만">
          <a:extLst>
            <a:ext uri="{FF2B5EF4-FFF2-40B4-BE49-F238E27FC236}">
              <a16:creationId xmlns:a16="http://schemas.microsoft.com/office/drawing/2014/main" id="{3E8EE33F-D626-48B1-95B5-5AA3F69F5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3" name="Picture 2" descr="검정로고만">
          <a:extLst>
            <a:ext uri="{FF2B5EF4-FFF2-40B4-BE49-F238E27FC236}">
              <a16:creationId xmlns:a16="http://schemas.microsoft.com/office/drawing/2014/main" id="{3D254FAD-8884-4997-A7A8-FDBBEAB17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4" name="Picture 2" descr="검정로고만">
          <a:extLst>
            <a:ext uri="{FF2B5EF4-FFF2-40B4-BE49-F238E27FC236}">
              <a16:creationId xmlns:a16="http://schemas.microsoft.com/office/drawing/2014/main" id="{9D0B3DB4-EF05-4547-972C-36D5A558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5" name="Picture 2" descr="검정로고만">
          <a:extLst>
            <a:ext uri="{FF2B5EF4-FFF2-40B4-BE49-F238E27FC236}">
              <a16:creationId xmlns:a16="http://schemas.microsoft.com/office/drawing/2014/main" id="{93F365A7-6A09-4EB6-ADCE-A338B3E7B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6" name="Picture 2" descr="검정로고만">
          <a:extLst>
            <a:ext uri="{FF2B5EF4-FFF2-40B4-BE49-F238E27FC236}">
              <a16:creationId xmlns:a16="http://schemas.microsoft.com/office/drawing/2014/main" id="{CC5A3E1F-1CED-44D4-8E8D-8C692A152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7" name="Picture 2" descr="검정로고만">
          <a:extLst>
            <a:ext uri="{FF2B5EF4-FFF2-40B4-BE49-F238E27FC236}">
              <a16:creationId xmlns:a16="http://schemas.microsoft.com/office/drawing/2014/main" id="{A6108B01-BA3B-498B-B366-F4D7FCE8A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8" name="Picture 2" descr="검정로고만">
          <a:extLst>
            <a:ext uri="{FF2B5EF4-FFF2-40B4-BE49-F238E27FC236}">
              <a16:creationId xmlns:a16="http://schemas.microsoft.com/office/drawing/2014/main" id="{5E844DEB-FF02-408C-B583-F78B6C9D4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79" name="Picture 2" descr="검정로고만">
          <a:extLst>
            <a:ext uri="{FF2B5EF4-FFF2-40B4-BE49-F238E27FC236}">
              <a16:creationId xmlns:a16="http://schemas.microsoft.com/office/drawing/2014/main" id="{6D647A74-D9F4-49E9-966C-7DADF9D9A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0" name="Picture 2" descr="검정로고만">
          <a:extLst>
            <a:ext uri="{FF2B5EF4-FFF2-40B4-BE49-F238E27FC236}">
              <a16:creationId xmlns:a16="http://schemas.microsoft.com/office/drawing/2014/main" id="{C01E85C9-22E0-494F-A79C-2C2F36382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1" name="Picture 2" descr="검정로고만">
          <a:extLst>
            <a:ext uri="{FF2B5EF4-FFF2-40B4-BE49-F238E27FC236}">
              <a16:creationId xmlns:a16="http://schemas.microsoft.com/office/drawing/2014/main" id="{36153EB6-1A2D-4E91-8D10-351752A75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2" name="Picture 2" descr="검정로고만">
          <a:extLst>
            <a:ext uri="{FF2B5EF4-FFF2-40B4-BE49-F238E27FC236}">
              <a16:creationId xmlns:a16="http://schemas.microsoft.com/office/drawing/2014/main" id="{A374CC51-7E7A-48EE-AE5F-132E524A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3" name="Picture 2" descr="검정로고만">
          <a:extLst>
            <a:ext uri="{FF2B5EF4-FFF2-40B4-BE49-F238E27FC236}">
              <a16:creationId xmlns:a16="http://schemas.microsoft.com/office/drawing/2014/main" id="{F59F862D-C833-44D0-B8F3-7B09C986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4" name="Picture 2" descr="검정로고만">
          <a:extLst>
            <a:ext uri="{FF2B5EF4-FFF2-40B4-BE49-F238E27FC236}">
              <a16:creationId xmlns:a16="http://schemas.microsoft.com/office/drawing/2014/main" id="{1BB3A486-8343-4A5C-9263-98F8DE57E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5" name="Picture 2" descr="검정로고만">
          <a:extLst>
            <a:ext uri="{FF2B5EF4-FFF2-40B4-BE49-F238E27FC236}">
              <a16:creationId xmlns:a16="http://schemas.microsoft.com/office/drawing/2014/main" id="{420C2058-E852-429A-A465-3AEEAB59F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6" name="Picture 2" descr="검정로고만">
          <a:extLst>
            <a:ext uri="{FF2B5EF4-FFF2-40B4-BE49-F238E27FC236}">
              <a16:creationId xmlns:a16="http://schemas.microsoft.com/office/drawing/2014/main" id="{7E272B6F-BC6C-4AFD-95BB-FB50FBFFF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7" name="Picture 2" descr="검정로고만">
          <a:extLst>
            <a:ext uri="{FF2B5EF4-FFF2-40B4-BE49-F238E27FC236}">
              <a16:creationId xmlns:a16="http://schemas.microsoft.com/office/drawing/2014/main" id="{4521F25E-477D-4302-8BD8-3173E733F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8" name="Picture 2" descr="검정로고만">
          <a:extLst>
            <a:ext uri="{FF2B5EF4-FFF2-40B4-BE49-F238E27FC236}">
              <a16:creationId xmlns:a16="http://schemas.microsoft.com/office/drawing/2014/main" id="{B1D58EF3-C694-4561-A191-C5D9C7CBA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89" name="Picture 2" descr="검정로고만">
          <a:extLst>
            <a:ext uri="{FF2B5EF4-FFF2-40B4-BE49-F238E27FC236}">
              <a16:creationId xmlns:a16="http://schemas.microsoft.com/office/drawing/2014/main" id="{3EDF6654-3A72-493F-9E2E-C8D42AC19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0" name="Picture 2" descr="검정로고만">
          <a:extLst>
            <a:ext uri="{FF2B5EF4-FFF2-40B4-BE49-F238E27FC236}">
              <a16:creationId xmlns:a16="http://schemas.microsoft.com/office/drawing/2014/main" id="{612CF0B9-9F5E-45C8-9BB0-2FD7E9AB7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1" name="Picture 2" descr="검정로고만">
          <a:extLst>
            <a:ext uri="{FF2B5EF4-FFF2-40B4-BE49-F238E27FC236}">
              <a16:creationId xmlns:a16="http://schemas.microsoft.com/office/drawing/2014/main" id="{0CD121A1-B66C-44C2-AFCF-B7BEA54A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2" name="Picture 2" descr="검정로고만">
          <a:extLst>
            <a:ext uri="{FF2B5EF4-FFF2-40B4-BE49-F238E27FC236}">
              <a16:creationId xmlns:a16="http://schemas.microsoft.com/office/drawing/2014/main" id="{4EE6879D-5B92-4FE1-B656-BBE1C9720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3" name="Picture 2" descr="검정로고만">
          <a:extLst>
            <a:ext uri="{FF2B5EF4-FFF2-40B4-BE49-F238E27FC236}">
              <a16:creationId xmlns:a16="http://schemas.microsoft.com/office/drawing/2014/main" id="{D16D5095-4B6B-4264-9232-3B5D93758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4" name="Picture 2" descr="검정로고만">
          <a:extLst>
            <a:ext uri="{FF2B5EF4-FFF2-40B4-BE49-F238E27FC236}">
              <a16:creationId xmlns:a16="http://schemas.microsoft.com/office/drawing/2014/main" id="{8A593F6D-257C-4AA6-89A2-51BAC4DCD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5" name="Picture 2" descr="검정로고만">
          <a:extLst>
            <a:ext uri="{FF2B5EF4-FFF2-40B4-BE49-F238E27FC236}">
              <a16:creationId xmlns:a16="http://schemas.microsoft.com/office/drawing/2014/main" id="{2B823B18-E2D8-458C-A14D-AC7F4DBDF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6" name="Picture 2" descr="검정로고만">
          <a:extLst>
            <a:ext uri="{FF2B5EF4-FFF2-40B4-BE49-F238E27FC236}">
              <a16:creationId xmlns:a16="http://schemas.microsoft.com/office/drawing/2014/main" id="{63799C21-23F2-4AC9-9926-9147EF4FF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7" name="Picture 2" descr="검정로고만">
          <a:extLst>
            <a:ext uri="{FF2B5EF4-FFF2-40B4-BE49-F238E27FC236}">
              <a16:creationId xmlns:a16="http://schemas.microsoft.com/office/drawing/2014/main" id="{AE00D440-45AF-4C38-ABE2-AB7AFB63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8" name="Picture 2" descr="검정로고만">
          <a:extLst>
            <a:ext uri="{FF2B5EF4-FFF2-40B4-BE49-F238E27FC236}">
              <a16:creationId xmlns:a16="http://schemas.microsoft.com/office/drawing/2014/main" id="{7CB4BC20-DE63-4A41-8736-D535DD6C1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799" name="Picture 2" descr="검정로고만">
          <a:extLst>
            <a:ext uri="{FF2B5EF4-FFF2-40B4-BE49-F238E27FC236}">
              <a16:creationId xmlns:a16="http://schemas.microsoft.com/office/drawing/2014/main" id="{BE37170C-0FAD-4308-A2B6-4EEA32EAA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0" name="Picture 2" descr="검정로고만">
          <a:extLst>
            <a:ext uri="{FF2B5EF4-FFF2-40B4-BE49-F238E27FC236}">
              <a16:creationId xmlns:a16="http://schemas.microsoft.com/office/drawing/2014/main" id="{0664AD76-AACA-4371-9E0F-57C5A626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1" name="Picture 2" descr="검정로고만">
          <a:extLst>
            <a:ext uri="{FF2B5EF4-FFF2-40B4-BE49-F238E27FC236}">
              <a16:creationId xmlns:a16="http://schemas.microsoft.com/office/drawing/2014/main" id="{BE1EFB2F-5A59-45D0-A1F1-23E58CE9D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2" name="Picture 2" descr="검정로고만">
          <a:extLst>
            <a:ext uri="{FF2B5EF4-FFF2-40B4-BE49-F238E27FC236}">
              <a16:creationId xmlns:a16="http://schemas.microsoft.com/office/drawing/2014/main" id="{C219C64F-93D1-4DE8-BFB9-C0B96DE14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3" name="Picture 2" descr="검정로고만">
          <a:extLst>
            <a:ext uri="{FF2B5EF4-FFF2-40B4-BE49-F238E27FC236}">
              <a16:creationId xmlns:a16="http://schemas.microsoft.com/office/drawing/2014/main" id="{454F67B8-562C-431B-9BFB-605ACE670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4" name="Picture 2" descr="검정로고만">
          <a:extLst>
            <a:ext uri="{FF2B5EF4-FFF2-40B4-BE49-F238E27FC236}">
              <a16:creationId xmlns:a16="http://schemas.microsoft.com/office/drawing/2014/main" id="{1ACBFD71-3FFB-4462-AF03-92F6D84D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5" name="Picture 2" descr="검정로고만">
          <a:extLst>
            <a:ext uri="{FF2B5EF4-FFF2-40B4-BE49-F238E27FC236}">
              <a16:creationId xmlns:a16="http://schemas.microsoft.com/office/drawing/2014/main" id="{11A5563D-0DDE-4EB9-A6FE-5F325CC94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6" name="Picture 2" descr="검정로고만">
          <a:extLst>
            <a:ext uri="{FF2B5EF4-FFF2-40B4-BE49-F238E27FC236}">
              <a16:creationId xmlns:a16="http://schemas.microsoft.com/office/drawing/2014/main" id="{12929EA3-A24C-4740-8EC7-C202D162C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7" name="Picture 2" descr="검정로고만">
          <a:extLst>
            <a:ext uri="{FF2B5EF4-FFF2-40B4-BE49-F238E27FC236}">
              <a16:creationId xmlns:a16="http://schemas.microsoft.com/office/drawing/2014/main" id="{87B6FF95-83BF-4D7E-9EDA-935505F727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8" name="Picture 2" descr="검정로고만">
          <a:extLst>
            <a:ext uri="{FF2B5EF4-FFF2-40B4-BE49-F238E27FC236}">
              <a16:creationId xmlns:a16="http://schemas.microsoft.com/office/drawing/2014/main" id="{47FC3F32-97DC-4771-BE56-3492DE62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09" name="Picture 2" descr="검정로고만">
          <a:extLst>
            <a:ext uri="{FF2B5EF4-FFF2-40B4-BE49-F238E27FC236}">
              <a16:creationId xmlns:a16="http://schemas.microsoft.com/office/drawing/2014/main" id="{3D969DA4-A628-462D-BE19-1F072FF6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810" name="Picture 3" descr="검정 글씨만">
          <a:extLst>
            <a:ext uri="{FF2B5EF4-FFF2-40B4-BE49-F238E27FC236}">
              <a16:creationId xmlns:a16="http://schemas.microsoft.com/office/drawing/2014/main" id="{232E90A0-BAAB-4838-803D-45D69DC4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1" name="Picture 2" descr="검정로고만">
          <a:extLst>
            <a:ext uri="{FF2B5EF4-FFF2-40B4-BE49-F238E27FC236}">
              <a16:creationId xmlns:a16="http://schemas.microsoft.com/office/drawing/2014/main" id="{670719D8-565E-4309-86EF-250FB6D64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2" name="Picture 2" descr="검정로고만">
          <a:extLst>
            <a:ext uri="{FF2B5EF4-FFF2-40B4-BE49-F238E27FC236}">
              <a16:creationId xmlns:a16="http://schemas.microsoft.com/office/drawing/2014/main" id="{6CFF0456-363A-4E4D-98EE-5B7E3BEF8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3" name="Picture 2" descr="검정로고만">
          <a:extLst>
            <a:ext uri="{FF2B5EF4-FFF2-40B4-BE49-F238E27FC236}">
              <a16:creationId xmlns:a16="http://schemas.microsoft.com/office/drawing/2014/main" id="{CFEB5137-9483-41B1-B5B3-3DFC6FC2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4" name="Picture 2" descr="검정로고만">
          <a:extLst>
            <a:ext uri="{FF2B5EF4-FFF2-40B4-BE49-F238E27FC236}">
              <a16:creationId xmlns:a16="http://schemas.microsoft.com/office/drawing/2014/main" id="{E361ECD5-A166-4902-A41A-6E0DAA4BB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5" name="Picture 2" descr="검정로고만">
          <a:extLst>
            <a:ext uri="{FF2B5EF4-FFF2-40B4-BE49-F238E27FC236}">
              <a16:creationId xmlns:a16="http://schemas.microsoft.com/office/drawing/2014/main" id="{2272708B-2BDA-4049-A42F-5F5209A9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6" name="Picture 2" descr="검정로고만">
          <a:extLst>
            <a:ext uri="{FF2B5EF4-FFF2-40B4-BE49-F238E27FC236}">
              <a16:creationId xmlns:a16="http://schemas.microsoft.com/office/drawing/2014/main" id="{CE9E5E0D-A202-4152-8153-F3AD1E8DC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7" name="Picture 2" descr="검정로고만">
          <a:extLst>
            <a:ext uri="{FF2B5EF4-FFF2-40B4-BE49-F238E27FC236}">
              <a16:creationId xmlns:a16="http://schemas.microsoft.com/office/drawing/2014/main" id="{A39F0C49-6C53-468C-85EE-D8C36F335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18" name="Picture 2" descr="검정로고만">
          <a:extLst>
            <a:ext uri="{FF2B5EF4-FFF2-40B4-BE49-F238E27FC236}">
              <a16:creationId xmlns:a16="http://schemas.microsoft.com/office/drawing/2014/main" id="{E27D8C23-A01A-4B92-A03B-FD27BA547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819" name="Picture 3" descr="검정 글씨만">
          <a:extLst>
            <a:ext uri="{FF2B5EF4-FFF2-40B4-BE49-F238E27FC236}">
              <a16:creationId xmlns:a16="http://schemas.microsoft.com/office/drawing/2014/main" id="{A708C568-DB4F-42FD-8FAD-5B55E3D0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0" name="Picture 2" descr="검정로고만">
          <a:extLst>
            <a:ext uri="{FF2B5EF4-FFF2-40B4-BE49-F238E27FC236}">
              <a16:creationId xmlns:a16="http://schemas.microsoft.com/office/drawing/2014/main" id="{F5D1538D-71F5-4F6F-AAC8-BD3AB611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1" name="Picture 2" descr="검정로고만">
          <a:extLst>
            <a:ext uri="{FF2B5EF4-FFF2-40B4-BE49-F238E27FC236}">
              <a16:creationId xmlns:a16="http://schemas.microsoft.com/office/drawing/2014/main" id="{F0BF29E3-E62A-47BF-9A68-4637001F5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2" name="Picture 2" descr="검정로고만">
          <a:extLst>
            <a:ext uri="{FF2B5EF4-FFF2-40B4-BE49-F238E27FC236}">
              <a16:creationId xmlns:a16="http://schemas.microsoft.com/office/drawing/2014/main" id="{7F1E2BF4-9B6F-413A-A1AE-9C5A748FA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3" name="Picture 2" descr="검정로고만">
          <a:extLst>
            <a:ext uri="{FF2B5EF4-FFF2-40B4-BE49-F238E27FC236}">
              <a16:creationId xmlns:a16="http://schemas.microsoft.com/office/drawing/2014/main" id="{6DA7D4A6-24A1-4BBF-9C69-178BD1F8F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4" name="Picture 2" descr="검정로고만">
          <a:extLst>
            <a:ext uri="{FF2B5EF4-FFF2-40B4-BE49-F238E27FC236}">
              <a16:creationId xmlns:a16="http://schemas.microsoft.com/office/drawing/2014/main" id="{3E2B6F2B-2716-403B-A740-8DF623DD3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5" name="Picture 2" descr="검정로고만">
          <a:extLst>
            <a:ext uri="{FF2B5EF4-FFF2-40B4-BE49-F238E27FC236}">
              <a16:creationId xmlns:a16="http://schemas.microsoft.com/office/drawing/2014/main" id="{E70D6942-BD2F-44FE-A88D-12818411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6" name="Picture 2" descr="검정로고만">
          <a:extLst>
            <a:ext uri="{FF2B5EF4-FFF2-40B4-BE49-F238E27FC236}">
              <a16:creationId xmlns:a16="http://schemas.microsoft.com/office/drawing/2014/main" id="{AB4888F2-2F63-4016-B368-247DCEEC3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7" name="Picture 2" descr="검정로고만">
          <a:extLst>
            <a:ext uri="{FF2B5EF4-FFF2-40B4-BE49-F238E27FC236}">
              <a16:creationId xmlns:a16="http://schemas.microsoft.com/office/drawing/2014/main" id="{B0C017DB-E3B5-46D3-B3D2-32ADE44BE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828" name="Picture 3" descr="검정 글씨만">
          <a:extLst>
            <a:ext uri="{FF2B5EF4-FFF2-40B4-BE49-F238E27FC236}">
              <a16:creationId xmlns:a16="http://schemas.microsoft.com/office/drawing/2014/main" id="{B4F39EE7-BFED-4A99-A389-BEEF4E2B6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29" name="Picture 2" descr="검정로고만">
          <a:extLst>
            <a:ext uri="{FF2B5EF4-FFF2-40B4-BE49-F238E27FC236}">
              <a16:creationId xmlns:a16="http://schemas.microsoft.com/office/drawing/2014/main" id="{CDA988F7-D3D9-45C9-B0EB-73A9D1FF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0" name="Picture 2" descr="검정로고만">
          <a:extLst>
            <a:ext uri="{FF2B5EF4-FFF2-40B4-BE49-F238E27FC236}">
              <a16:creationId xmlns:a16="http://schemas.microsoft.com/office/drawing/2014/main" id="{FE8195D9-FA3E-4CBC-B035-6047771F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1" name="Picture 2" descr="검정로고만">
          <a:extLst>
            <a:ext uri="{FF2B5EF4-FFF2-40B4-BE49-F238E27FC236}">
              <a16:creationId xmlns:a16="http://schemas.microsoft.com/office/drawing/2014/main" id="{6A44D492-50F1-471E-81CA-23A323AE9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2" name="Picture 2" descr="검정로고만">
          <a:extLst>
            <a:ext uri="{FF2B5EF4-FFF2-40B4-BE49-F238E27FC236}">
              <a16:creationId xmlns:a16="http://schemas.microsoft.com/office/drawing/2014/main" id="{7833CF6B-1150-4B4A-95EB-FCEB46D6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3" name="Picture 2" descr="검정로고만">
          <a:extLst>
            <a:ext uri="{FF2B5EF4-FFF2-40B4-BE49-F238E27FC236}">
              <a16:creationId xmlns:a16="http://schemas.microsoft.com/office/drawing/2014/main" id="{773DC59A-9680-498A-A5F1-D8BFE73C9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4" name="Picture 2" descr="검정로고만">
          <a:extLst>
            <a:ext uri="{FF2B5EF4-FFF2-40B4-BE49-F238E27FC236}">
              <a16:creationId xmlns:a16="http://schemas.microsoft.com/office/drawing/2014/main" id="{0090E8BB-F485-4086-8D4E-05767F30E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5" name="Picture 2" descr="검정로고만">
          <a:extLst>
            <a:ext uri="{FF2B5EF4-FFF2-40B4-BE49-F238E27FC236}">
              <a16:creationId xmlns:a16="http://schemas.microsoft.com/office/drawing/2014/main" id="{83240A9A-7448-4E12-8CB5-6817F10D3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6" name="Picture 2" descr="검정로고만">
          <a:extLst>
            <a:ext uri="{FF2B5EF4-FFF2-40B4-BE49-F238E27FC236}">
              <a16:creationId xmlns:a16="http://schemas.microsoft.com/office/drawing/2014/main" id="{6E239C1C-541C-4CF7-86D8-340E499F0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7" name="Picture 2" descr="검정로고만">
          <a:extLst>
            <a:ext uri="{FF2B5EF4-FFF2-40B4-BE49-F238E27FC236}">
              <a16:creationId xmlns:a16="http://schemas.microsoft.com/office/drawing/2014/main" id="{D60DE44C-049B-46B8-B8F6-605E5C853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8" name="Picture 2" descr="검정로고만">
          <a:extLst>
            <a:ext uri="{FF2B5EF4-FFF2-40B4-BE49-F238E27FC236}">
              <a16:creationId xmlns:a16="http://schemas.microsoft.com/office/drawing/2014/main" id="{6F8AC05D-AC8F-47CF-A442-EB610A9D5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39" name="Picture 2" descr="검정로고만">
          <a:extLst>
            <a:ext uri="{FF2B5EF4-FFF2-40B4-BE49-F238E27FC236}">
              <a16:creationId xmlns:a16="http://schemas.microsoft.com/office/drawing/2014/main" id="{A876E0E3-6255-4F5A-99E3-864CC9E42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0" name="Picture 2" descr="검정로고만">
          <a:extLst>
            <a:ext uri="{FF2B5EF4-FFF2-40B4-BE49-F238E27FC236}">
              <a16:creationId xmlns:a16="http://schemas.microsoft.com/office/drawing/2014/main" id="{681A9D88-F6F0-4ECF-AE75-E08922C9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1" name="Picture 2" descr="검정로고만">
          <a:extLst>
            <a:ext uri="{FF2B5EF4-FFF2-40B4-BE49-F238E27FC236}">
              <a16:creationId xmlns:a16="http://schemas.microsoft.com/office/drawing/2014/main" id="{87356838-753E-41F0-8877-582A93E6F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2" name="Picture 2" descr="검정로고만">
          <a:extLst>
            <a:ext uri="{FF2B5EF4-FFF2-40B4-BE49-F238E27FC236}">
              <a16:creationId xmlns:a16="http://schemas.microsoft.com/office/drawing/2014/main" id="{66B95E86-376F-4E64-A2C7-E2299C653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3" name="Picture 2" descr="검정로고만">
          <a:extLst>
            <a:ext uri="{FF2B5EF4-FFF2-40B4-BE49-F238E27FC236}">
              <a16:creationId xmlns:a16="http://schemas.microsoft.com/office/drawing/2014/main" id="{D78697AC-E7C8-4281-91FC-B8AB0E4D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4" name="Picture 2" descr="검정로고만">
          <a:extLst>
            <a:ext uri="{FF2B5EF4-FFF2-40B4-BE49-F238E27FC236}">
              <a16:creationId xmlns:a16="http://schemas.microsoft.com/office/drawing/2014/main" id="{0D97FA3D-E7F6-41AB-8096-68C3A2E59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5" name="Picture 2" descr="검정로고만">
          <a:extLst>
            <a:ext uri="{FF2B5EF4-FFF2-40B4-BE49-F238E27FC236}">
              <a16:creationId xmlns:a16="http://schemas.microsoft.com/office/drawing/2014/main" id="{C30579AB-7704-46CE-9386-E31B9D196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6" name="Picture 2" descr="검정로고만">
          <a:extLst>
            <a:ext uri="{FF2B5EF4-FFF2-40B4-BE49-F238E27FC236}">
              <a16:creationId xmlns:a16="http://schemas.microsoft.com/office/drawing/2014/main" id="{ECC6AB57-4D44-45B3-9202-E255DC79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7" name="Picture 2" descr="검정로고만">
          <a:extLst>
            <a:ext uri="{FF2B5EF4-FFF2-40B4-BE49-F238E27FC236}">
              <a16:creationId xmlns:a16="http://schemas.microsoft.com/office/drawing/2014/main" id="{EEFB9D18-0E37-4DDF-9616-95DF5265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8" name="Picture 2" descr="검정로고만">
          <a:extLst>
            <a:ext uri="{FF2B5EF4-FFF2-40B4-BE49-F238E27FC236}">
              <a16:creationId xmlns:a16="http://schemas.microsoft.com/office/drawing/2014/main" id="{55639BBD-6B7C-4A0F-AE3D-A85517C05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49" name="Picture 2" descr="검정로고만">
          <a:extLst>
            <a:ext uri="{FF2B5EF4-FFF2-40B4-BE49-F238E27FC236}">
              <a16:creationId xmlns:a16="http://schemas.microsoft.com/office/drawing/2014/main" id="{DEB4FEA7-3A06-4DB3-9634-83FAB9A91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0" name="Picture 2" descr="검정로고만">
          <a:extLst>
            <a:ext uri="{FF2B5EF4-FFF2-40B4-BE49-F238E27FC236}">
              <a16:creationId xmlns:a16="http://schemas.microsoft.com/office/drawing/2014/main" id="{D5912863-1779-42BC-897B-498123819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1" name="Picture 2" descr="검정로고만">
          <a:extLst>
            <a:ext uri="{FF2B5EF4-FFF2-40B4-BE49-F238E27FC236}">
              <a16:creationId xmlns:a16="http://schemas.microsoft.com/office/drawing/2014/main" id="{3F04A4A2-1C93-4CD5-B543-8728C7E2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2" name="Picture 2" descr="검정로고만">
          <a:extLst>
            <a:ext uri="{FF2B5EF4-FFF2-40B4-BE49-F238E27FC236}">
              <a16:creationId xmlns:a16="http://schemas.microsoft.com/office/drawing/2014/main" id="{ECF5364F-910C-4E3D-8B43-C4943D11A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3" name="Picture 2" descr="검정로고만">
          <a:extLst>
            <a:ext uri="{FF2B5EF4-FFF2-40B4-BE49-F238E27FC236}">
              <a16:creationId xmlns:a16="http://schemas.microsoft.com/office/drawing/2014/main" id="{929CCA25-8733-4588-967D-603FE69B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4" name="Picture 2" descr="검정로고만">
          <a:extLst>
            <a:ext uri="{FF2B5EF4-FFF2-40B4-BE49-F238E27FC236}">
              <a16:creationId xmlns:a16="http://schemas.microsoft.com/office/drawing/2014/main" id="{8469D282-9F50-4C2C-9272-1597A2A64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5" name="Picture 2" descr="검정로고만">
          <a:extLst>
            <a:ext uri="{FF2B5EF4-FFF2-40B4-BE49-F238E27FC236}">
              <a16:creationId xmlns:a16="http://schemas.microsoft.com/office/drawing/2014/main" id="{8CFD884E-6FDF-4E7E-8083-85E0426BF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6" name="Picture 2" descr="검정로고만">
          <a:extLst>
            <a:ext uri="{FF2B5EF4-FFF2-40B4-BE49-F238E27FC236}">
              <a16:creationId xmlns:a16="http://schemas.microsoft.com/office/drawing/2014/main" id="{5911BEAA-A1BB-4E5F-B6D5-9B7A26D2E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7" name="Picture 2" descr="검정로고만">
          <a:extLst>
            <a:ext uri="{FF2B5EF4-FFF2-40B4-BE49-F238E27FC236}">
              <a16:creationId xmlns:a16="http://schemas.microsoft.com/office/drawing/2014/main" id="{AACED7CA-37CE-4582-9CB0-0CB36FA3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8" name="Picture 2" descr="검정로고만">
          <a:extLst>
            <a:ext uri="{FF2B5EF4-FFF2-40B4-BE49-F238E27FC236}">
              <a16:creationId xmlns:a16="http://schemas.microsoft.com/office/drawing/2014/main" id="{9ECDD1DE-339E-46C8-A5A0-C22F1C46B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59" name="Picture 2" descr="검정로고만">
          <a:extLst>
            <a:ext uri="{FF2B5EF4-FFF2-40B4-BE49-F238E27FC236}">
              <a16:creationId xmlns:a16="http://schemas.microsoft.com/office/drawing/2014/main" id="{E47C07C1-3B17-4CD7-AA17-B01828947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0" name="Picture 2" descr="검정로고만">
          <a:extLst>
            <a:ext uri="{FF2B5EF4-FFF2-40B4-BE49-F238E27FC236}">
              <a16:creationId xmlns:a16="http://schemas.microsoft.com/office/drawing/2014/main" id="{1A18D4EA-48F5-4207-A5D6-91C3D6154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1" name="Picture 2" descr="검정로고만">
          <a:extLst>
            <a:ext uri="{FF2B5EF4-FFF2-40B4-BE49-F238E27FC236}">
              <a16:creationId xmlns:a16="http://schemas.microsoft.com/office/drawing/2014/main" id="{800A874E-F71F-4E8B-B0B5-649F12F57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2" name="Picture 2" descr="검정로고만">
          <a:extLst>
            <a:ext uri="{FF2B5EF4-FFF2-40B4-BE49-F238E27FC236}">
              <a16:creationId xmlns:a16="http://schemas.microsoft.com/office/drawing/2014/main" id="{9C524298-C273-4104-85A2-0A8D833D1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3" name="Picture 2" descr="검정로고만">
          <a:extLst>
            <a:ext uri="{FF2B5EF4-FFF2-40B4-BE49-F238E27FC236}">
              <a16:creationId xmlns:a16="http://schemas.microsoft.com/office/drawing/2014/main" id="{3FE103FF-9F97-43EC-AC01-4C3602AC0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4" name="Picture 2" descr="검정로고만">
          <a:extLst>
            <a:ext uri="{FF2B5EF4-FFF2-40B4-BE49-F238E27FC236}">
              <a16:creationId xmlns:a16="http://schemas.microsoft.com/office/drawing/2014/main" id="{E702CEF7-756D-43E7-8CFB-0FC0A9A22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5" name="Picture 2" descr="검정로고만">
          <a:extLst>
            <a:ext uri="{FF2B5EF4-FFF2-40B4-BE49-F238E27FC236}">
              <a16:creationId xmlns:a16="http://schemas.microsoft.com/office/drawing/2014/main" id="{1E997A65-D8AC-4F75-B287-75BA8712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6" name="Picture 2" descr="검정로고만">
          <a:extLst>
            <a:ext uri="{FF2B5EF4-FFF2-40B4-BE49-F238E27FC236}">
              <a16:creationId xmlns:a16="http://schemas.microsoft.com/office/drawing/2014/main" id="{720F8B71-D6FC-4CE2-AECB-25F0E81D0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7" name="Picture 2" descr="검정로고만">
          <a:extLst>
            <a:ext uri="{FF2B5EF4-FFF2-40B4-BE49-F238E27FC236}">
              <a16:creationId xmlns:a16="http://schemas.microsoft.com/office/drawing/2014/main" id="{22E738B9-1AA3-47D3-9E09-BF7D1820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68" name="Picture 2" descr="검정로고만">
          <a:extLst>
            <a:ext uri="{FF2B5EF4-FFF2-40B4-BE49-F238E27FC236}">
              <a16:creationId xmlns:a16="http://schemas.microsoft.com/office/drawing/2014/main" id="{5448A8E3-D806-4F72-B904-1D93FDB73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869" name="Picture 3" descr="검정 글씨만">
          <a:extLst>
            <a:ext uri="{FF2B5EF4-FFF2-40B4-BE49-F238E27FC236}">
              <a16:creationId xmlns:a16="http://schemas.microsoft.com/office/drawing/2014/main" id="{304770AA-1BBF-43C1-ABC5-45D277B2E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0" name="Picture 2" descr="검정로고만">
          <a:extLst>
            <a:ext uri="{FF2B5EF4-FFF2-40B4-BE49-F238E27FC236}">
              <a16:creationId xmlns:a16="http://schemas.microsoft.com/office/drawing/2014/main" id="{3797EF72-941A-4BEF-8C38-45EEBFA4C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1" name="Picture 2" descr="검정로고만">
          <a:extLst>
            <a:ext uri="{FF2B5EF4-FFF2-40B4-BE49-F238E27FC236}">
              <a16:creationId xmlns:a16="http://schemas.microsoft.com/office/drawing/2014/main" id="{99C849D4-F5E0-446F-8A76-9DA95AD7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2" name="Picture 2" descr="검정로고만">
          <a:extLst>
            <a:ext uri="{FF2B5EF4-FFF2-40B4-BE49-F238E27FC236}">
              <a16:creationId xmlns:a16="http://schemas.microsoft.com/office/drawing/2014/main" id="{605A0584-CB7B-488E-B0BF-B1FAE2F8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3" name="Picture 2" descr="검정로고만">
          <a:extLst>
            <a:ext uri="{FF2B5EF4-FFF2-40B4-BE49-F238E27FC236}">
              <a16:creationId xmlns:a16="http://schemas.microsoft.com/office/drawing/2014/main" id="{BB8B85D7-9014-4CAE-9520-BB2E9521A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4" name="Picture 2" descr="검정로고만">
          <a:extLst>
            <a:ext uri="{FF2B5EF4-FFF2-40B4-BE49-F238E27FC236}">
              <a16:creationId xmlns:a16="http://schemas.microsoft.com/office/drawing/2014/main" id="{B59DFF67-1C92-47DD-9C2A-B2C32563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5" name="Picture 2" descr="검정로고만">
          <a:extLst>
            <a:ext uri="{FF2B5EF4-FFF2-40B4-BE49-F238E27FC236}">
              <a16:creationId xmlns:a16="http://schemas.microsoft.com/office/drawing/2014/main" id="{0BB552FF-583B-4B56-A822-576627423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6" name="Picture 2" descr="검정로고만">
          <a:extLst>
            <a:ext uri="{FF2B5EF4-FFF2-40B4-BE49-F238E27FC236}">
              <a16:creationId xmlns:a16="http://schemas.microsoft.com/office/drawing/2014/main" id="{10E6965F-2D7F-48DC-A273-BE02C057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7" name="Picture 2" descr="검정로고만">
          <a:extLst>
            <a:ext uri="{FF2B5EF4-FFF2-40B4-BE49-F238E27FC236}">
              <a16:creationId xmlns:a16="http://schemas.microsoft.com/office/drawing/2014/main" id="{07E28C79-DC35-443F-A36F-22642466D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878" name="Picture 3" descr="검정 글씨만">
          <a:extLst>
            <a:ext uri="{FF2B5EF4-FFF2-40B4-BE49-F238E27FC236}">
              <a16:creationId xmlns:a16="http://schemas.microsoft.com/office/drawing/2014/main" id="{8B981557-35C2-4AF8-9245-4C61347E0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79" name="Picture 2" descr="검정로고만">
          <a:extLst>
            <a:ext uri="{FF2B5EF4-FFF2-40B4-BE49-F238E27FC236}">
              <a16:creationId xmlns:a16="http://schemas.microsoft.com/office/drawing/2014/main" id="{649E7BE4-B00C-45C3-8048-32F0AFF78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0" name="Picture 2" descr="검정로고만">
          <a:extLst>
            <a:ext uri="{FF2B5EF4-FFF2-40B4-BE49-F238E27FC236}">
              <a16:creationId xmlns:a16="http://schemas.microsoft.com/office/drawing/2014/main" id="{60854F2A-2941-4DAF-8EA9-D5D51EE47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1" name="Picture 2" descr="검정로고만">
          <a:extLst>
            <a:ext uri="{FF2B5EF4-FFF2-40B4-BE49-F238E27FC236}">
              <a16:creationId xmlns:a16="http://schemas.microsoft.com/office/drawing/2014/main" id="{7587DF5E-6672-4864-B489-748F1340D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2" name="Picture 2" descr="검정로고만">
          <a:extLst>
            <a:ext uri="{FF2B5EF4-FFF2-40B4-BE49-F238E27FC236}">
              <a16:creationId xmlns:a16="http://schemas.microsoft.com/office/drawing/2014/main" id="{CB74387F-6153-499D-8BEB-2D866B10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3" name="Picture 2" descr="검정로고만">
          <a:extLst>
            <a:ext uri="{FF2B5EF4-FFF2-40B4-BE49-F238E27FC236}">
              <a16:creationId xmlns:a16="http://schemas.microsoft.com/office/drawing/2014/main" id="{2A6CA1AF-891E-492E-BA25-4FF975D2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4" name="Picture 2" descr="검정로고만">
          <a:extLst>
            <a:ext uri="{FF2B5EF4-FFF2-40B4-BE49-F238E27FC236}">
              <a16:creationId xmlns:a16="http://schemas.microsoft.com/office/drawing/2014/main" id="{B40AF789-A1F6-46AB-9802-136FC77B6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5" name="Picture 2" descr="검정로고만">
          <a:extLst>
            <a:ext uri="{FF2B5EF4-FFF2-40B4-BE49-F238E27FC236}">
              <a16:creationId xmlns:a16="http://schemas.microsoft.com/office/drawing/2014/main" id="{5C9282ED-F37C-4E01-9ADD-0BB89A88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6" name="Picture 2" descr="검정로고만">
          <a:extLst>
            <a:ext uri="{FF2B5EF4-FFF2-40B4-BE49-F238E27FC236}">
              <a16:creationId xmlns:a16="http://schemas.microsoft.com/office/drawing/2014/main" id="{96C97DA0-7968-41B9-AF0C-C9FB01E77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7" name="Picture 2" descr="검정로고만">
          <a:extLst>
            <a:ext uri="{FF2B5EF4-FFF2-40B4-BE49-F238E27FC236}">
              <a16:creationId xmlns:a16="http://schemas.microsoft.com/office/drawing/2014/main" id="{827D870E-4493-4F28-86EA-456BAB6A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8" name="Picture 2" descr="검정로고만">
          <a:extLst>
            <a:ext uri="{FF2B5EF4-FFF2-40B4-BE49-F238E27FC236}">
              <a16:creationId xmlns:a16="http://schemas.microsoft.com/office/drawing/2014/main" id="{8700BE2E-28A0-474C-8A7D-CBC83B2A8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89" name="Picture 2" descr="검정로고만">
          <a:extLst>
            <a:ext uri="{FF2B5EF4-FFF2-40B4-BE49-F238E27FC236}">
              <a16:creationId xmlns:a16="http://schemas.microsoft.com/office/drawing/2014/main" id="{4DF4BAAF-C8F0-4DF6-B5C0-394A1757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0" name="Picture 2" descr="검정로고만">
          <a:extLst>
            <a:ext uri="{FF2B5EF4-FFF2-40B4-BE49-F238E27FC236}">
              <a16:creationId xmlns:a16="http://schemas.microsoft.com/office/drawing/2014/main" id="{636A04B8-D9D1-4E6C-9F58-605B89493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1" name="Picture 2" descr="검정로고만">
          <a:extLst>
            <a:ext uri="{FF2B5EF4-FFF2-40B4-BE49-F238E27FC236}">
              <a16:creationId xmlns:a16="http://schemas.microsoft.com/office/drawing/2014/main" id="{3F094D5C-5C59-4243-8169-A9819F4D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2" name="Picture 2" descr="검정로고만">
          <a:extLst>
            <a:ext uri="{FF2B5EF4-FFF2-40B4-BE49-F238E27FC236}">
              <a16:creationId xmlns:a16="http://schemas.microsoft.com/office/drawing/2014/main" id="{9D710D6B-8CB1-45E6-88E6-C10197F8B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3" name="Picture 2" descr="검정로고만">
          <a:extLst>
            <a:ext uri="{FF2B5EF4-FFF2-40B4-BE49-F238E27FC236}">
              <a16:creationId xmlns:a16="http://schemas.microsoft.com/office/drawing/2014/main" id="{47E56766-4371-4C35-B3A5-50E6A5CC3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4" name="Picture 2" descr="검정로고만">
          <a:extLst>
            <a:ext uri="{FF2B5EF4-FFF2-40B4-BE49-F238E27FC236}">
              <a16:creationId xmlns:a16="http://schemas.microsoft.com/office/drawing/2014/main" id="{0C5CBF01-0899-44B0-B772-6C592758B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5" name="Picture 2" descr="검정로고만">
          <a:extLst>
            <a:ext uri="{FF2B5EF4-FFF2-40B4-BE49-F238E27FC236}">
              <a16:creationId xmlns:a16="http://schemas.microsoft.com/office/drawing/2014/main" id="{F8E1C1DB-F71C-42A7-98B0-9892546D4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6" name="Picture 2" descr="검정로고만">
          <a:extLst>
            <a:ext uri="{FF2B5EF4-FFF2-40B4-BE49-F238E27FC236}">
              <a16:creationId xmlns:a16="http://schemas.microsoft.com/office/drawing/2014/main" id="{53D2E598-A4B1-4664-AD4E-F0DBC4CB2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7" name="Picture 2" descr="검정로고만">
          <a:extLst>
            <a:ext uri="{FF2B5EF4-FFF2-40B4-BE49-F238E27FC236}">
              <a16:creationId xmlns:a16="http://schemas.microsoft.com/office/drawing/2014/main" id="{7A8F928B-9AAB-4B2A-A325-CB60F9513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8" name="Picture 2" descr="검정로고만">
          <a:extLst>
            <a:ext uri="{FF2B5EF4-FFF2-40B4-BE49-F238E27FC236}">
              <a16:creationId xmlns:a16="http://schemas.microsoft.com/office/drawing/2014/main" id="{B5ADB9F4-C48B-4E00-A357-0D023CD0C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899" name="Picture 2" descr="검정로고만">
          <a:extLst>
            <a:ext uri="{FF2B5EF4-FFF2-40B4-BE49-F238E27FC236}">
              <a16:creationId xmlns:a16="http://schemas.microsoft.com/office/drawing/2014/main" id="{B0659058-0A2F-4F42-9424-4149673EE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0" name="Picture 2" descr="검정로고만">
          <a:extLst>
            <a:ext uri="{FF2B5EF4-FFF2-40B4-BE49-F238E27FC236}">
              <a16:creationId xmlns:a16="http://schemas.microsoft.com/office/drawing/2014/main" id="{2D082DD1-46B6-4E9E-A44B-F5284C35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1" name="Picture 2" descr="검정로고만">
          <a:extLst>
            <a:ext uri="{FF2B5EF4-FFF2-40B4-BE49-F238E27FC236}">
              <a16:creationId xmlns:a16="http://schemas.microsoft.com/office/drawing/2014/main" id="{D74ED5CF-1A51-452D-838F-2873C9314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2" name="Picture 2" descr="검정로고만">
          <a:extLst>
            <a:ext uri="{FF2B5EF4-FFF2-40B4-BE49-F238E27FC236}">
              <a16:creationId xmlns:a16="http://schemas.microsoft.com/office/drawing/2014/main" id="{F406A823-3AFA-4244-8349-54911CA0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3" name="Picture 2" descr="검정로고만">
          <a:extLst>
            <a:ext uri="{FF2B5EF4-FFF2-40B4-BE49-F238E27FC236}">
              <a16:creationId xmlns:a16="http://schemas.microsoft.com/office/drawing/2014/main" id="{4AF38ECC-8A0D-421D-8D1A-2116AF778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4" name="Picture 2" descr="검정로고만">
          <a:extLst>
            <a:ext uri="{FF2B5EF4-FFF2-40B4-BE49-F238E27FC236}">
              <a16:creationId xmlns:a16="http://schemas.microsoft.com/office/drawing/2014/main" id="{1F4D2746-2271-45DA-B1FC-122B9855F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5" name="Picture 2" descr="검정로고만">
          <a:extLst>
            <a:ext uri="{FF2B5EF4-FFF2-40B4-BE49-F238E27FC236}">
              <a16:creationId xmlns:a16="http://schemas.microsoft.com/office/drawing/2014/main" id="{BA3141B2-9AA8-4A7E-AB79-583D3283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6" name="Picture 2" descr="검정로고만">
          <a:extLst>
            <a:ext uri="{FF2B5EF4-FFF2-40B4-BE49-F238E27FC236}">
              <a16:creationId xmlns:a16="http://schemas.microsoft.com/office/drawing/2014/main" id="{A99875AA-2F31-48C7-8496-666678E7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7" name="Picture 2" descr="검정로고만">
          <a:extLst>
            <a:ext uri="{FF2B5EF4-FFF2-40B4-BE49-F238E27FC236}">
              <a16:creationId xmlns:a16="http://schemas.microsoft.com/office/drawing/2014/main" id="{668CDE5B-615C-4649-97D4-31D97AC12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8" name="Picture 2" descr="검정로고만">
          <a:extLst>
            <a:ext uri="{FF2B5EF4-FFF2-40B4-BE49-F238E27FC236}">
              <a16:creationId xmlns:a16="http://schemas.microsoft.com/office/drawing/2014/main" id="{49284F68-B6FB-42DF-8840-399256ED4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09" name="Picture 2" descr="검정로고만">
          <a:extLst>
            <a:ext uri="{FF2B5EF4-FFF2-40B4-BE49-F238E27FC236}">
              <a16:creationId xmlns:a16="http://schemas.microsoft.com/office/drawing/2014/main" id="{7FF9569F-86FD-47E0-9708-25586B3FD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0" name="Picture 2" descr="검정로고만">
          <a:extLst>
            <a:ext uri="{FF2B5EF4-FFF2-40B4-BE49-F238E27FC236}">
              <a16:creationId xmlns:a16="http://schemas.microsoft.com/office/drawing/2014/main" id="{85B524CF-7FC4-4471-95E0-A04CAD6F4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1" name="Picture 2" descr="검정로고만">
          <a:extLst>
            <a:ext uri="{FF2B5EF4-FFF2-40B4-BE49-F238E27FC236}">
              <a16:creationId xmlns:a16="http://schemas.microsoft.com/office/drawing/2014/main" id="{818B6837-A960-408B-BE00-EFA0BBCB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2" name="Picture 2" descr="검정로고만">
          <a:extLst>
            <a:ext uri="{FF2B5EF4-FFF2-40B4-BE49-F238E27FC236}">
              <a16:creationId xmlns:a16="http://schemas.microsoft.com/office/drawing/2014/main" id="{9908A4FD-4953-463C-BCAA-E24D5F78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3" name="Picture 2" descr="검정로고만">
          <a:extLst>
            <a:ext uri="{FF2B5EF4-FFF2-40B4-BE49-F238E27FC236}">
              <a16:creationId xmlns:a16="http://schemas.microsoft.com/office/drawing/2014/main" id="{F5681157-A309-4CAB-94F7-C7CD468B7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4" name="Picture 2" descr="검정로고만">
          <a:extLst>
            <a:ext uri="{FF2B5EF4-FFF2-40B4-BE49-F238E27FC236}">
              <a16:creationId xmlns:a16="http://schemas.microsoft.com/office/drawing/2014/main" id="{2C138943-5662-4509-97C5-744DA3643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5" name="Picture 2" descr="검정로고만">
          <a:extLst>
            <a:ext uri="{FF2B5EF4-FFF2-40B4-BE49-F238E27FC236}">
              <a16:creationId xmlns:a16="http://schemas.microsoft.com/office/drawing/2014/main" id="{2C7DBF15-37ED-44D8-B319-4CD721B4F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6" name="Picture 2" descr="검정로고만">
          <a:extLst>
            <a:ext uri="{FF2B5EF4-FFF2-40B4-BE49-F238E27FC236}">
              <a16:creationId xmlns:a16="http://schemas.microsoft.com/office/drawing/2014/main" id="{E9939A74-BFE2-480E-B9D0-7BDBB60A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7" name="Picture 2" descr="검정로고만">
          <a:extLst>
            <a:ext uri="{FF2B5EF4-FFF2-40B4-BE49-F238E27FC236}">
              <a16:creationId xmlns:a16="http://schemas.microsoft.com/office/drawing/2014/main" id="{016862F5-19C9-4D0F-A7A5-1B46C287A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18" name="Picture 2" descr="검정로고만">
          <a:extLst>
            <a:ext uri="{FF2B5EF4-FFF2-40B4-BE49-F238E27FC236}">
              <a16:creationId xmlns:a16="http://schemas.microsoft.com/office/drawing/2014/main" id="{8022085E-B317-458F-815A-F9F6ABA95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919" name="Picture 3" descr="검정 글씨만">
          <a:extLst>
            <a:ext uri="{FF2B5EF4-FFF2-40B4-BE49-F238E27FC236}">
              <a16:creationId xmlns:a16="http://schemas.microsoft.com/office/drawing/2014/main" id="{09774A70-2B17-4B76-AF91-280842C7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0" name="Picture 2" descr="검정로고만">
          <a:extLst>
            <a:ext uri="{FF2B5EF4-FFF2-40B4-BE49-F238E27FC236}">
              <a16:creationId xmlns:a16="http://schemas.microsoft.com/office/drawing/2014/main" id="{C346FFBE-68DA-4E32-B46D-8F679CBD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1" name="Picture 2" descr="검정로고만">
          <a:extLst>
            <a:ext uri="{FF2B5EF4-FFF2-40B4-BE49-F238E27FC236}">
              <a16:creationId xmlns:a16="http://schemas.microsoft.com/office/drawing/2014/main" id="{5C06A6DB-7863-4928-B3CF-18A21B18E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2" name="Picture 2" descr="검정로고만">
          <a:extLst>
            <a:ext uri="{FF2B5EF4-FFF2-40B4-BE49-F238E27FC236}">
              <a16:creationId xmlns:a16="http://schemas.microsoft.com/office/drawing/2014/main" id="{5B9A1C45-5205-441C-B6F1-EF0746DF7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3" name="Picture 2" descr="검정로고만">
          <a:extLst>
            <a:ext uri="{FF2B5EF4-FFF2-40B4-BE49-F238E27FC236}">
              <a16:creationId xmlns:a16="http://schemas.microsoft.com/office/drawing/2014/main" id="{D47B7AF4-B587-4E31-A4A9-BEC83C32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4" name="Picture 2" descr="검정로고만">
          <a:extLst>
            <a:ext uri="{FF2B5EF4-FFF2-40B4-BE49-F238E27FC236}">
              <a16:creationId xmlns:a16="http://schemas.microsoft.com/office/drawing/2014/main" id="{5054AE9B-DF05-406F-AD40-E2CCE566A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5" name="Picture 2" descr="검정로고만">
          <a:extLst>
            <a:ext uri="{FF2B5EF4-FFF2-40B4-BE49-F238E27FC236}">
              <a16:creationId xmlns:a16="http://schemas.microsoft.com/office/drawing/2014/main" id="{32AEE00F-A906-459D-9471-267E41F8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6" name="Picture 2" descr="검정로고만">
          <a:extLst>
            <a:ext uri="{FF2B5EF4-FFF2-40B4-BE49-F238E27FC236}">
              <a16:creationId xmlns:a16="http://schemas.microsoft.com/office/drawing/2014/main" id="{937D5D6B-4C9E-4F0C-9D11-DE980C7F7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7" name="Picture 2" descr="검정로고만">
          <a:extLst>
            <a:ext uri="{FF2B5EF4-FFF2-40B4-BE49-F238E27FC236}">
              <a16:creationId xmlns:a16="http://schemas.microsoft.com/office/drawing/2014/main" id="{6236A94F-D99C-4F1D-80E2-78468EF6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928" name="Picture 3" descr="검정 글씨만">
          <a:extLst>
            <a:ext uri="{FF2B5EF4-FFF2-40B4-BE49-F238E27FC236}">
              <a16:creationId xmlns:a16="http://schemas.microsoft.com/office/drawing/2014/main" id="{56786F23-CD19-4FC7-A032-22B11206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29" name="Picture 2" descr="검정로고만">
          <a:extLst>
            <a:ext uri="{FF2B5EF4-FFF2-40B4-BE49-F238E27FC236}">
              <a16:creationId xmlns:a16="http://schemas.microsoft.com/office/drawing/2014/main" id="{AE67B5B2-E507-4361-B5BC-CC8C0D10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0" name="Picture 2" descr="검정로고만">
          <a:extLst>
            <a:ext uri="{FF2B5EF4-FFF2-40B4-BE49-F238E27FC236}">
              <a16:creationId xmlns:a16="http://schemas.microsoft.com/office/drawing/2014/main" id="{FFB43D75-BA02-4A55-9A88-FD6864B2F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1" name="Picture 2" descr="검정로고만">
          <a:extLst>
            <a:ext uri="{FF2B5EF4-FFF2-40B4-BE49-F238E27FC236}">
              <a16:creationId xmlns:a16="http://schemas.microsoft.com/office/drawing/2014/main" id="{A5A1F42C-3D38-45AE-9ED5-845CBA9A3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2" name="Picture 2" descr="검정로고만">
          <a:extLst>
            <a:ext uri="{FF2B5EF4-FFF2-40B4-BE49-F238E27FC236}">
              <a16:creationId xmlns:a16="http://schemas.microsoft.com/office/drawing/2014/main" id="{D38CB7B3-797E-4E96-BDCE-B6E72E763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3" name="Picture 2" descr="검정로고만">
          <a:extLst>
            <a:ext uri="{FF2B5EF4-FFF2-40B4-BE49-F238E27FC236}">
              <a16:creationId xmlns:a16="http://schemas.microsoft.com/office/drawing/2014/main" id="{D3414AAF-7191-4AED-A88A-C868EFDC9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4" name="Picture 2" descr="검정로고만">
          <a:extLst>
            <a:ext uri="{FF2B5EF4-FFF2-40B4-BE49-F238E27FC236}">
              <a16:creationId xmlns:a16="http://schemas.microsoft.com/office/drawing/2014/main" id="{5C86C5DC-F000-47E4-8EC2-167926E1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5" name="Picture 2" descr="검정로고만">
          <a:extLst>
            <a:ext uri="{FF2B5EF4-FFF2-40B4-BE49-F238E27FC236}">
              <a16:creationId xmlns:a16="http://schemas.microsoft.com/office/drawing/2014/main" id="{B1A806FF-621B-4BF7-9ECB-77D80E34A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6" name="Picture 2" descr="검정로고만">
          <a:extLst>
            <a:ext uri="{FF2B5EF4-FFF2-40B4-BE49-F238E27FC236}">
              <a16:creationId xmlns:a16="http://schemas.microsoft.com/office/drawing/2014/main" id="{DA0525D7-B26A-43F6-B713-25977D77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937" name="Picture 3" descr="검정 글씨만">
          <a:extLst>
            <a:ext uri="{FF2B5EF4-FFF2-40B4-BE49-F238E27FC236}">
              <a16:creationId xmlns:a16="http://schemas.microsoft.com/office/drawing/2014/main" id="{29180F0A-58FF-4EE1-97C8-226437DC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8" name="Picture 2" descr="검정로고만">
          <a:extLst>
            <a:ext uri="{FF2B5EF4-FFF2-40B4-BE49-F238E27FC236}">
              <a16:creationId xmlns:a16="http://schemas.microsoft.com/office/drawing/2014/main" id="{40739A10-FF94-4A5E-90FC-680AEE09B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39" name="Picture 2" descr="검정로고만">
          <a:extLst>
            <a:ext uri="{FF2B5EF4-FFF2-40B4-BE49-F238E27FC236}">
              <a16:creationId xmlns:a16="http://schemas.microsoft.com/office/drawing/2014/main" id="{8FD2EA85-AE02-4D04-BF27-B249089B7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0" name="Picture 2" descr="검정로고만">
          <a:extLst>
            <a:ext uri="{FF2B5EF4-FFF2-40B4-BE49-F238E27FC236}">
              <a16:creationId xmlns:a16="http://schemas.microsoft.com/office/drawing/2014/main" id="{6DC9BF2C-5CB8-4685-B8C6-488FB9EF6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1" name="Picture 2" descr="검정로고만">
          <a:extLst>
            <a:ext uri="{FF2B5EF4-FFF2-40B4-BE49-F238E27FC236}">
              <a16:creationId xmlns:a16="http://schemas.microsoft.com/office/drawing/2014/main" id="{1F6B8F56-1B7E-4085-8A6E-B07B035A2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2" name="Picture 2" descr="검정로고만">
          <a:extLst>
            <a:ext uri="{FF2B5EF4-FFF2-40B4-BE49-F238E27FC236}">
              <a16:creationId xmlns:a16="http://schemas.microsoft.com/office/drawing/2014/main" id="{2A4180D1-17CE-4E99-A5F8-5B11F600A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3" name="Picture 2" descr="검정로고만">
          <a:extLst>
            <a:ext uri="{FF2B5EF4-FFF2-40B4-BE49-F238E27FC236}">
              <a16:creationId xmlns:a16="http://schemas.microsoft.com/office/drawing/2014/main" id="{0EC494BA-5B68-40AA-8F9E-C63EB3EDF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4" name="Picture 2" descr="검정로고만">
          <a:extLst>
            <a:ext uri="{FF2B5EF4-FFF2-40B4-BE49-F238E27FC236}">
              <a16:creationId xmlns:a16="http://schemas.microsoft.com/office/drawing/2014/main" id="{E70C9B67-F7C6-470C-A2CF-1766ADBC9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5" name="Picture 2" descr="검정로고만">
          <a:extLst>
            <a:ext uri="{FF2B5EF4-FFF2-40B4-BE49-F238E27FC236}">
              <a16:creationId xmlns:a16="http://schemas.microsoft.com/office/drawing/2014/main" id="{D137D99E-FA77-4E3F-A5B3-D68F2E97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946" name="Picture 3" descr="검정 글씨만">
          <a:extLst>
            <a:ext uri="{FF2B5EF4-FFF2-40B4-BE49-F238E27FC236}">
              <a16:creationId xmlns:a16="http://schemas.microsoft.com/office/drawing/2014/main" id="{7F9B1E4E-D576-4A7D-919F-7587821AD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7" name="Picture 2" descr="검정로고만">
          <a:extLst>
            <a:ext uri="{FF2B5EF4-FFF2-40B4-BE49-F238E27FC236}">
              <a16:creationId xmlns:a16="http://schemas.microsoft.com/office/drawing/2014/main" id="{680A8841-6D80-413D-823F-BFA11C56A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8" name="Picture 2" descr="검정로고만">
          <a:extLst>
            <a:ext uri="{FF2B5EF4-FFF2-40B4-BE49-F238E27FC236}">
              <a16:creationId xmlns:a16="http://schemas.microsoft.com/office/drawing/2014/main" id="{7451AFF7-5B3C-4037-927E-14A27A0CD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49" name="Picture 2" descr="검정로고만">
          <a:extLst>
            <a:ext uri="{FF2B5EF4-FFF2-40B4-BE49-F238E27FC236}">
              <a16:creationId xmlns:a16="http://schemas.microsoft.com/office/drawing/2014/main" id="{1EBD6DE6-88A6-4620-BC0D-2D3B4981B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0" name="Picture 2" descr="검정로고만">
          <a:extLst>
            <a:ext uri="{FF2B5EF4-FFF2-40B4-BE49-F238E27FC236}">
              <a16:creationId xmlns:a16="http://schemas.microsoft.com/office/drawing/2014/main" id="{13473041-0817-4558-9711-6A37D1DE1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1" name="Picture 2" descr="검정로고만">
          <a:extLst>
            <a:ext uri="{FF2B5EF4-FFF2-40B4-BE49-F238E27FC236}">
              <a16:creationId xmlns:a16="http://schemas.microsoft.com/office/drawing/2014/main" id="{E1833FC9-94BD-498C-A6B5-51221AE9B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2" name="Picture 2" descr="검정로고만">
          <a:extLst>
            <a:ext uri="{FF2B5EF4-FFF2-40B4-BE49-F238E27FC236}">
              <a16:creationId xmlns:a16="http://schemas.microsoft.com/office/drawing/2014/main" id="{25E51162-9E50-4EE0-A489-21EC1B083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3" name="Picture 2" descr="검정로고만">
          <a:extLst>
            <a:ext uri="{FF2B5EF4-FFF2-40B4-BE49-F238E27FC236}">
              <a16:creationId xmlns:a16="http://schemas.microsoft.com/office/drawing/2014/main" id="{72FB14D2-C589-4CB3-A959-78149EB8F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4" name="Picture 2" descr="검정로고만">
          <a:extLst>
            <a:ext uri="{FF2B5EF4-FFF2-40B4-BE49-F238E27FC236}">
              <a16:creationId xmlns:a16="http://schemas.microsoft.com/office/drawing/2014/main" id="{22868AD3-2FA7-4D1C-A9AB-B4591C7B8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955" name="Picture 3" descr="검정 글씨만">
          <a:extLst>
            <a:ext uri="{FF2B5EF4-FFF2-40B4-BE49-F238E27FC236}">
              <a16:creationId xmlns:a16="http://schemas.microsoft.com/office/drawing/2014/main" id="{F57D099B-E6FC-4C4E-8154-2A7899F61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6" name="Picture 2" descr="검정로고만">
          <a:extLst>
            <a:ext uri="{FF2B5EF4-FFF2-40B4-BE49-F238E27FC236}">
              <a16:creationId xmlns:a16="http://schemas.microsoft.com/office/drawing/2014/main" id="{3CA5FA90-CDD8-45CB-8F78-637B6F9AC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7" name="Picture 2" descr="검정로고만">
          <a:extLst>
            <a:ext uri="{FF2B5EF4-FFF2-40B4-BE49-F238E27FC236}">
              <a16:creationId xmlns:a16="http://schemas.microsoft.com/office/drawing/2014/main" id="{D3E0B6C5-E396-49F4-BBE9-E1DC42DCA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8" name="Picture 2" descr="검정로고만">
          <a:extLst>
            <a:ext uri="{FF2B5EF4-FFF2-40B4-BE49-F238E27FC236}">
              <a16:creationId xmlns:a16="http://schemas.microsoft.com/office/drawing/2014/main" id="{5245D47F-375B-4616-A2E0-149036391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59" name="Picture 2" descr="검정로고만">
          <a:extLst>
            <a:ext uri="{FF2B5EF4-FFF2-40B4-BE49-F238E27FC236}">
              <a16:creationId xmlns:a16="http://schemas.microsoft.com/office/drawing/2014/main" id="{C2A27BC1-7FE1-4E5C-8629-DBD753962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0" name="Picture 2" descr="검정로고만">
          <a:extLst>
            <a:ext uri="{FF2B5EF4-FFF2-40B4-BE49-F238E27FC236}">
              <a16:creationId xmlns:a16="http://schemas.microsoft.com/office/drawing/2014/main" id="{09761F87-A15A-40A0-8D1B-222953EF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1" name="Picture 2" descr="검정로고만">
          <a:extLst>
            <a:ext uri="{FF2B5EF4-FFF2-40B4-BE49-F238E27FC236}">
              <a16:creationId xmlns:a16="http://schemas.microsoft.com/office/drawing/2014/main" id="{9B5EA5DE-B3B7-4980-BE26-E9BC9B69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2" name="Picture 2" descr="검정로고만">
          <a:extLst>
            <a:ext uri="{FF2B5EF4-FFF2-40B4-BE49-F238E27FC236}">
              <a16:creationId xmlns:a16="http://schemas.microsoft.com/office/drawing/2014/main" id="{8EB1CCA7-E4C0-4AF6-AA45-305F6267C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3" name="Picture 2" descr="검정로고만">
          <a:extLst>
            <a:ext uri="{FF2B5EF4-FFF2-40B4-BE49-F238E27FC236}">
              <a16:creationId xmlns:a16="http://schemas.microsoft.com/office/drawing/2014/main" id="{4A4A2BEE-7DD6-45F9-8B5C-D33E9C93B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4" name="Picture 2" descr="검정로고만">
          <a:extLst>
            <a:ext uri="{FF2B5EF4-FFF2-40B4-BE49-F238E27FC236}">
              <a16:creationId xmlns:a16="http://schemas.microsoft.com/office/drawing/2014/main" id="{5CFE96E0-67BC-4ED9-AAB8-45CCD61A9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5" name="Picture 2" descr="검정로고만">
          <a:extLst>
            <a:ext uri="{FF2B5EF4-FFF2-40B4-BE49-F238E27FC236}">
              <a16:creationId xmlns:a16="http://schemas.microsoft.com/office/drawing/2014/main" id="{FBF62B4D-ED5E-4908-9F4D-2EB730559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6" name="Picture 2" descr="검정로고만">
          <a:extLst>
            <a:ext uri="{FF2B5EF4-FFF2-40B4-BE49-F238E27FC236}">
              <a16:creationId xmlns:a16="http://schemas.microsoft.com/office/drawing/2014/main" id="{BD1A36C0-394C-4CAE-8E0B-D1DA0BAB7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7" name="Picture 2" descr="검정로고만">
          <a:extLst>
            <a:ext uri="{FF2B5EF4-FFF2-40B4-BE49-F238E27FC236}">
              <a16:creationId xmlns:a16="http://schemas.microsoft.com/office/drawing/2014/main" id="{C39893E9-0B21-486D-896F-7A10879AE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8" name="Picture 2" descr="검정로고만">
          <a:extLst>
            <a:ext uri="{FF2B5EF4-FFF2-40B4-BE49-F238E27FC236}">
              <a16:creationId xmlns:a16="http://schemas.microsoft.com/office/drawing/2014/main" id="{050501C9-8A56-4837-A306-1BD36A63B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69" name="Picture 2" descr="검정로고만">
          <a:extLst>
            <a:ext uri="{FF2B5EF4-FFF2-40B4-BE49-F238E27FC236}">
              <a16:creationId xmlns:a16="http://schemas.microsoft.com/office/drawing/2014/main" id="{C26D9CDC-C0DC-49DA-BDF8-D6C43C995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0" name="Picture 2" descr="검정로고만">
          <a:extLst>
            <a:ext uri="{FF2B5EF4-FFF2-40B4-BE49-F238E27FC236}">
              <a16:creationId xmlns:a16="http://schemas.microsoft.com/office/drawing/2014/main" id="{8DAF3E37-FC73-4B9A-BD79-18E15BDB3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1" name="Picture 2" descr="검정로고만">
          <a:extLst>
            <a:ext uri="{FF2B5EF4-FFF2-40B4-BE49-F238E27FC236}">
              <a16:creationId xmlns:a16="http://schemas.microsoft.com/office/drawing/2014/main" id="{24A79F38-F44A-481E-9819-162409D1B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2" name="Picture 2" descr="검정로고만">
          <a:extLst>
            <a:ext uri="{FF2B5EF4-FFF2-40B4-BE49-F238E27FC236}">
              <a16:creationId xmlns:a16="http://schemas.microsoft.com/office/drawing/2014/main" id="{6A22F3F5-9960-432B-A74F-460B0D461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3" name="Picture 2" descr="검정로고만">
          <a:extLst>
            <a:ext uri="{FF2B5EF4-FFF2-40B4-BE49-F238E27FC236}">
              <a16:creationId xmlns:a16="http://schemas.microsoft.com/office/drawing/2014/main" id="{DE3DE47F-2BA3-43C6-A8DE-A8D1F4929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4" name="Picture 2" descr="검정로고만">
          <a:extLst>
            <a:ext uri="{FF2B5EF4-FFF2-40B4-BE49-F238E27FC236}">
              <a16:creationId xmlns:a16="http://schemas.microsoft.com/office/drawing/2014/main" id="{12CBDAC5-3919-475A-92D2-257CBFA10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5" name="Picture 2" descr="검정로고만">
          <a:extLst>
            <a:ext uri="{FF2B5EF4-FFF2-40B4-BE49-F238E27FC236}">
              <a16:creationId xmlns:a16="http://schemas.microsoft.com/office/drawing/2014/main" id="{AA08CE3F-E1B5-4B5F-83E2-6A63A4C59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6" name="Picture 2" descr="검정로고만">
          <a:extLst>
            <a:ext uri="{FF2B5EF4-FFF2-40B4-BE49-F238E27FC236}">
              <a16:creationId xmlns:a16="http://schemas.microsoft.com/office/drawing/2014/main" id="{A03F00CE-33DF-49C4-8CB0-09B6CF77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7" name="Picture 2" descr="검정로고만">
          <a:extLst>
            <a:ext uri="{FF2B5EF4-FFF2-40B4-BE49-F238E27FC236}">
              <a16:creationId xmlns:a16="http://schemas.microsoft.com/office/drawing/2014/main" id="{E173D32E-9CFC-4964-B329-0020EEA2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8" name="Picture 2" descr="검정로고만">
          <a:extLst>
            <a:ext uri="{FF2B5EF4-FFF2-40B4-BE49-F238E27FC236}">
              <a16:creationId xmlns:a16="http://schemas.microsoft.com/office/drawing/2014/main" id="{74ED02F2-4466-469D-A1CC-50A046CB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79" name="Picture 2" descr="검정로고만">
          <a:extLst>
            <a:ext uri="{FF2B5EF4-FFF2-40B4-BE49-F238E27FC236}">
              <a16:creationId xmlns:a16="http://schemas.microsoft.com/office/drawing/2014/main" id="{76A2FFEF-9209-46D8-9F49-D355EE152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0" name="Picture 2" descr="검정로고만">
          <a:extLst>
            <a:ext uri="{FF2B5EF4-FFF2-40B4-BE49-F238E27FC236}">
              <a16:creationId xmlns:a16="http://schemas.microsoft.com/office/drawing/2014/main" id="{8D5515B5-EA40-472B-A06D-706C616F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1" name="Picture 2" descr="검정로고만">
          <a:extLst>
            <a:ext uri="{FF2B5EF4-FFF2-40B4-BE49-F238E27FC236}">
              <a16:creationId xmlns:a16="http://schemas.microsoft.com/office/drawing/2014/main" id="{AD051CFC-99FD-4301-9308-049181652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2" name="Picture 2" descr="검정로고만">
          <a:extLst>
            <a:ext uri="{FF2B5EF4-FFF2-40B4-BE49-F238E27FC236}">
              <a16:creationId xmlns:a16="http://schemas.microsoft.com/office/drawing/2014/main" id="{4530B313-D2BE-41C1-8E0A-C33F5D771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3" name="Picture 2" descr="검정로고만">
          <a:extLst>
            <a:ext uri="{FF2B5EF4-FFF2-40B4-BE49-F238E27FC236}">
              <a16:creationId xmlns:a16="http://schemas.microsoft.com/office/drawing/2014/main" id="{AA3403D4-88D9-43D6-B93F-4AE80878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4" name="Picture 2" descr="검정로고만">
          <a:extLst>
            <a:ext uri="{FF2B5EF4-FFF2-40B4-BE49-F238E27FC236}">
              <a16:creationId xmlns:a16="http://schemas.microsoft.com/office/drawing/2014/main" id="{D709A0AA-23AE-4D30-B3BB-A776068CA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5" name="Picture 2" descr="검정로고만">
          <a:extLst>
            <a:ext uri="{FF2B5EF4-FFF2-40B4-BE49-F238E27FC236}">
              <a16:creationId xmlns:a16="http://schemas.microsoft.com/office/drawing/2014/main" id="{50A51C0D-7D86-4A8B-AB3F-75F8DA178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6" name="Picture 2" descr="검정로고만">
          <a:extLst>
            <a:ext uri="{FF2B5EF4-FFF2-40B4-BE49-F238E27FC236}">
              <a16:creationId xmlns:a16="http://schemas.microsoft.com/office/drawing/2014/main" id="{3F13D4DA-00C4-438F-B663-18C520759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7" name="Picture 2" descr="검정로고만">
          <a:extLst>
            <a:ext uri="{FF2B5EF4-FFF2-40B4-BE49-F238E27FC236}">
              <a16:creationId xmlns:a16="http://schemas.microsoft.com/office/drawing/2014/main" id="{264D0D09-708B-4992-994F-851B51804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8" name="Picture 2" descr="검정로고만">
          <a:extLst>
            <a:ext uri="{FF2B5EF4-FFF2-40B4-BE49-F238E27FC236}">
              <a16:creationId xmlns:a16="http://schemas.microsoft.com/office/drawing/2014/main" id="{B15E4762-C36D-4911-AE68-3072BFF56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89" name="Picture 2" descr="검정로고만">
          <a:extLst>
            <a:ext uri="{FF2B5EF4-FFF2-40B4-BE49-F238E27FC236}">
              <a16:creationId xmlns:a16="http://schemas.microsoft.com/office/drawing/2014/main" id="{0907CC79-35F8-4281-B5BA-E4910213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0" name="Picture 2" descr="검정로고만">
          <a:extLst>
            <a:ext uri="{FF2B5EF4-FFF2-40B4-BE49-F238E27FC236}">
              <a16:creationId xmlns:a16="http://schemas.microsoft.com/office/drawing/2014/main" id="{B06B599E-F50B-4234-9B7D-B4D345B8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1" name="Picture 2" descr="검정로고만">
          <a:extLst>
            <a:ext uri="{FF2B5EF4-FFF2-40B4-BE49-F238E27FC236}">
              <a16:creationId xmlns:a16="http://schemas.microsoft.com/office/drawing/2014/main" id="{969491E9-062D-4580-9A81-D90F846D5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2" name="Picture 2" descr="검정로고만">
          <a:extLst>
            <a:ext uri="{FF2B5EF4-FFF2-40B4-BE49-F238E27FC236}">
              <a16:creationId xmlns:a16="http://schemas.microsoft.com/office/drawing/2014/main" id="{486EF3EE-7409-4DA2-ABAD-5032746DC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3" name="Picture 2" descr="검정로고만">
          <a:extLst>
            <a:ext uri="{FF2B5EF4-FFF2-40B4-BE49-F238E27FC236}">
              <a16:creationId xmlns:a16="http://schemas.microsoft.com/office/drawing/2014/main" id="{BF3B0DDE-D0CE-4F24-ADA3-24233F2C1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4" name="Picture 2" descr="검정로고만">
          <a:extLst>
            <a:ext uri="{FF2B5EF4-FFF2-40B4-BE49-F238E27FC236}">
              <a16:creationId xmlns:a16="http://schemas.microsoft.com/office/drawing/2014/main" id="{09B0B477-1D7B-446A-B9A1-9A9128259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5" name="Picture 2" descr="검정로고만">
          <a:extLst>
            <a:ext uri="{FF2B5EF4-FFF2-40B4-BE49-F238E27FC236}">
              <a16:creationId xmlns:a16="http://schemas.microsoft.com/office/drawing/2014/main" id="{7D17691F-5231-4897-9900-E53F31DD3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996" name="Picture 3" descr="검정 글씨만">
          <a:extLst>
            <a:ext uri="{FF2B5EF4-FFF2-40B4-BE49-F238E27FC236}">
              <a16:creationId xmlns:a16="http://schemas.microsoft.com/office/drawing/2014/main" id="{3305E248-4D5C-4C3B-9E64-640963BD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7" name="Picture 2" descr="검정로고만">
          <a:extLst>
            <a:ext uri="{FF2B5EF4-FFF2-40B4-BE49-F238E27FC236}">
              <a16:creationId xmlns:a16="http://schemas.microsoft.com/office/drawing/2014/main" id="{62A4D68C-1B52-4E87-88A3-EB9F15081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8" name="Picture 2" descr="검정로고만">
          <a:extLst>
            <a:ext uri="{FF2B5EF4-FFF2-40B4-BE49-F238E27FC236}">
              <a16:creationId xmlns:a16="http://schemas.microsoft.com/office/drawing/2014/main" id="{3E88E5DC-C1ED-467F-AC44-5D9B15CD4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999" name="Picture 2" descr="검정로고만">
          <a:extLst>
            <a:ext uri="{FF2B5EF4-FFF2-40B4-BE49-F238E27FC236}">
              <a16:creationId xmlns:a16="http://schemas.microsoft.com/office/drawing/2014/main" id="{AE1CB357-0AC1-4235-9533-33E9A4EE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0" name="Picture 2" descr="검정로고만">
          <a:extLst>
            <a:ext uri="{FF2B5EF4-FFF2-40B4-BE49-F238E27FC236}">
              <a16:creationId xmlns:a16="http://schemas.microsoft.com/office/drawing/2014/main" id="{F0BE51A6-9AA8-4EF6-9872-31348549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1" name="Picture 2" descr="검정로고만">
          <a:extLst>
            <a:ext uri="{FF2B5EF4-FFF2-40B4-BE49-F238E27FC236}">
              <a16:creationId xmlns:a16="http://schemas.microsoft.com/office/drawing/2014/main" id="{F33099F5-73F7-404C-AE05-73A4B5656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2" name="Picture 2" descr="검정로고만">
          <a:extLst>
            <a:ext uri="{FF2B5EF4-FFF2-40B4-BE49-F238E27FC236}">
              <a16:creationId xmlns:a16="http://schemas.microsoft.com/office/drawing/2014/main" id="{64828A15-9053-4B46-BB41-6B1399DA2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3" name="Picture 2" descr="검정로고만">
          <a:extLst>
            <a:ext uri="{FF2B5EF4-FFF2-40B4-BE49-F238E27FC236}">
              <a16:creationId xmlns:a16="http://schemas.microsoft.com/office/drawing/2014/main" id="{16B941EC-7637-485E-BF08-C9F581AE5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4" name="Picture 2" descr="검정로고만">
          <a:extLst>
            <a:ext uri="{FF2B5EF4-FFF2-40B4-BE49-F238E27FC236}">
              <a16:creationId xmlns:a16="http://schemas.microsoft.com/office/drawing/2014/main" id="{F664EB59-EC6D-4475-8E45-54727202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005" name="Picture 3" descr="검정 글씨만">
          <a:extLst>
            <a:ext uri="{FF2B5EF4-FFF2-40B4-BE49-F238E27FC236}">
              <a16:creationId xmlns:a16="http://schemas.microsoft.com/office/drawing/2014/main" id="{2A8FE613-DFE0-4C58-8501-461555444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6" name="Picture 2" descr="검정로고만">
          <a:extLst>
            <a:ext uri="{FF2B5EF4-FFF2-40B4-BE49-F238E27FC236}">
              <a16:creationId xmlns:a16="http://schemas.microsoft.com/office/drawing/2014/main" id="{E1EB57AB-7A85-488C-85B9-7E31D92D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7" name="Picture 2" descr="검정로고만">
          <a:extLst>
            <a:ext uri="{FF2B5EF4-FFF2-40B4-BE49-F238E27FC236}">
              <a16:creationId xmlns:a16="http://schemas.microsoft.com/office/drawing/2014/main" id="{8840F4E2-4A34-4D27-879C-C0FB4D119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8" name="Picture 2" descr="검정로고만">
          <a:extLst>
            <a:ext uri="{FF2B5EF4-FFF2-40B4-BE49-F238E27FC236}">
              <a16:creationId xmlns:a16="http://schemas.microsoft.com/office/drawing/2014/main" id="{8A556E99-E52D-4841-98AE-2DF41008D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09" name="Picture 2" descr="검정로고만">
          <a:extLst>
            <a:ext uri="{FF2B5EF4-FFF2-40B4-BE49-F238E27FC236}">
              <a16:creationId xmlns:a16="http://schemas.microsoft.com/office/drawing/2014/main" id="{F947EA8A-4D9D-4FF9-A08A-5F22B30D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0" name="Picture 2" descr="검정로고만">
          <a:extLst>
            <a:ext uri="{FF2B5EF4-FFF2-40B4-BE49-F238E27FC236}">
              <a16:creationId xmlns:a16="http://schemas.microsoft.com/office/drawing/2014/main" id="{3FBC89CC-20AB-49AD-BC0B-C49285086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1" name="Picture 2" descr="검정로고만">
          <a:extLst>
            <a:ext uri="{FF2B5EF4-FFF2-40B4-BE49-F238E27FC236}">
              <a16:creationId xmlns:a16="http://schemas.microsoft.com/office/drawing/2014/main" id="{389C21BD-F0C3-4BED-8BBF-46D596B3E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2" name="Picture 2" descr="검정로고만">
          <a:extLst>
            <a:ext uri="{FF2B5EF4-FFF2-40B4-BE49-F238E27FC236}">
              <a16:creationId xmlns:a16="http://schemas.microsoft.com/office/drawing/2014/main" id="{C09B7E17-9A9A-408A-A254-8636BE57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3" name="Picture 2" descr="검정로고만">
          <a:extLst>
            <a:ext uri="{FF2B5EF4-FFF2-40B4-BE49-F238E27FC236}">
              <a16:creationId xmlns:a16="http://schemas.microsoft.com/office/drawing/2014/main" id="{4263FBA9-1CCE-45A3-BF2A-A2554E8B8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014" name="Picture 3" descr="검정 글씨만">
          <a:extLst>
            <a:ext uri="{FF2B5EF4-FFF2-40B4-BE49-F238E27FC236}">
              <a16:creationId xmlns:a16="http://schemas.microsoft.com/office/drawing/2014/main" id="{2A73B102-1F6D-481C-AEDF-CD0678F66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5" name="Picture 2" descr="검정로고만">
          <a:extLst>
            <a:ext uri="{FF2B5EF4-FFF2-40B4-BE49-F238E27FC236}">
              <a16:creationId xmlns:a16="http://schemas.microsoft.com/office/drawing/2014/main" id="{FA335A8B-A520-4C1B-8C2D-57654307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6" name="Picture 2" descr="검정로고만">
          <a:extLst>
            <a:ext uri="{FF2B5EF4-FFF2-40B4-BE49-F238E27FC236}">
              <a16:creationId xmlns:a16="http://schemas.microsoft.com/office/drawing/2014/main" id="{F262A530-20C8-40A5-829E-95C19BC4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7" name="Picture 2" descr="검정로고만">
          <a:extLst>
            <a:ext uri="{FF2B5EF4-FFF2-40B4-BE49-F238E27FC236}">
              <a16:creationId xmlns:a16="http://schemas.microsoft.com/office/drawing/2014/main" id="{96AC65E5-B08B-4221-A7EC-04EA4A27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8" name="Picture 2" descr="검정로고만">
          <a:extLst>
            <a:ext uri="{FF2B5EF4-FFF2-40B4-BE49-F238E27FC236}">
              <a16:creationId xmlns:a16="http://schemas.microsoft.com/office/drawing/2014/main" id="{2D1E2B88-C897-4867-9EB4-FCCE0D192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19" name="Picture 2" descr="검정로고만">
          <a:extLst>
            <a:ext uri="{FF2B5EF4-FFF2-40B4-BE49-F238E27FC236}">
              <a16:creationId xmlns:a16="http://schemas.microsoft.com/office/drawing/2014/main" id="{81429E23-2C37-4B3A-BC76-9911D1309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0" name="Picture 2" descr="검정로고만">
          <a:extLst>
            <a:ext uri="{FF2B5EF4-FFF2-40B4-BE49-F238E27FC236}">
              <a16:creationId xmlns:a16="http://schemas.microsoft.com/office/drawing/2014/main" id="{C9C3B303-025C-4BE2-94B4-B6280FD4F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1" name="Picture 2" descr="검정로고만">
          <a:extLst>
            <a:ext uri="{FF2B5EF4-FFF2-40B4-BE49-F238E27FC236}">
              <a16:creationId xmlns:a16="http://schemas.microsoft.com/office/drawing/2014/main" id="{F97DB629-002F-42D7-9737-A5A6EFB9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2" name="Picture 2" descr="검정로고만">
          <a:extLst>
            <a:ext uri="{FF2B5EF4-FFF2-40B4-BE49-F238E27FC236}">
              <a16:creationId xmlns:a16="http://schemas.microsoft.com/office/drawing/2014/main" id="{9D85ABAA-5BDA-4837-9837-033C0986C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3" name="Picture 2" descr="검정로고만">
          <a:extLst>
            <a:ext uri="{FF2B5EF4-FFF2-40B4-BE49-F238E27FC236}">
              <a16:creationId xmlns:a16="http://schemas.microsoft.com/office/drawing/2014/main" id="{A6EC0E25-8FD0-4009-8293-8422089E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4" name="Picture 2" descr="검정로고만">
          <a:extLst>
            <a:ext uri="{FF2B5EF4-FFF2-40B4-BE49-F238E27FC236}">
              <a16:creationId xmlns:a16="http://schemas.microsoft.com/office/drawing/2014/main" id="{EE9DFEB3-3C5D-491A-BA90-740C0CD7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5" name="Picture 2" descr="검정로고만">
          <a:extLst>
            <a:ext uri="{FF2B5EF4-FFF2-40B4-BE49-F238E27FC236}">
              <a16:creationId xmlns:a16="http://schemas.microsoft.com/office/drawing/2014/main" id="{5C0A4839-D142-48B4-8418-F0B86E32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6" name="Picture 2" descr="검정로고만">
          <a:extLst>
            <a:ext uri="{FF2B5EF4-FFF2-40B4-BE49-F238E27FC236}">
              <a16:creationId xmlns:a16="http://schemas.microsoft.com/office/drawing/2014/main" id="{3EF20EDE-5A82-467A-9125-88B68E2CD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7" name="Picture 2" descr="검정로고만">
          <a:extLst>
            <a:ext uri="{FF2B5EF4-FFF2-40B4-BE49-F238E27FC236}">
              <a16:creationId xmlns:a16="http://schemas.microsoft.com/office/drawing/2014/main" id="{0E4676EC-3BB2-4CD5-85D8-DB0CB1A5E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8" name="Picture 2" descr="검정로고만">
          <a:extLst>
            <a:ext uri="{FF2B5EF4-FFF2-40B4-BE49-F238E27FC236}">
              <a16:creationId xmlns:a16="http://schemas.microsoft.com/office/drawing/2014/main" id="{866086F1-7997-4F3B-9D3A-096D02F2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29" name="Picture 2" descr="검정로고만">
          <a:extLst>
            <a:ext uri="{FF2B5EF4-FFF2-40B4-BE49-F238E27FC236}">
              <a16:creationId xmlns:a16="http://schemas.microsoft.com/office/drawing/2014/main" id="{6C2E5FB5-F666-4A9F-B02E-EA264AE0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0" name="Picture 2" descr="검정로고만">
          <a:extLst>
            <a:ext uri="{FF2B5EF4-FFF2-40B4-BE49-F238E27FC236}">
              <a16:creationId xmlns:a16="http://schemas.microsoft.com/office/drawing/2014/main" id="{A0417AE2-D3EE-4F56-AE3A-810BCA74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1" name="Picture 2" descr="검정로고만">
          <a:extLst>
            <a:ext uri="{FF2B5EF4-FFF2-40B4-BE49-F238E27FC236}">
              <a16:creationId xmlns:a16="http://schemas.microsoft.com/office/drawing/2014/main" id="{C23EF61C-6726-4EA9-A74C-A021004C9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2" name="Picture 2" descr="검정로고만">
          <a:extLst>
            <a:ext uri="{FF2B5EF4-FFF2-40B4-BE49-F238E27FC236}">
              <a16:creationId xmlns:a16="http://schemas.microsoft.com/office/drawing/2014/main" id="{A351CA85-251E-454B-8F67-D331248C2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3" name="Picture 2" descr="검정로고만">
          <a:extLst>
            <a:ext uri="{FF2B5EF4-FFF2-40B4-BE49-F238E27FC236}">
              <a16:creationId xmlns:a16="http://schemas.microsoft.com/office/drawing/2014/main" id="{9561322E-817A-49EA-BD07-36B08365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4" name="Picture 2" descr="검정로고만">
          <a:extLst>
            <a:ext uri="{FF2B5EF4-FFF2-40B4-BE49-F238E27FC236}">
              <a16:creationId xmlns:a16="http://schemas.microsoft.com/office/drawing/2014/main" id="{41C019E1-442C-48F7-B5C5-DF06B0BB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5" name="Picture 2" descr="검정로고만">
          <a:extLst>
            <a:ext uri="{FF2B5EF4-FFF2-40B4-BE49-F238E27FC236}">
              <a16:creationId xmlns:a16="http://schemas.microsoft.com/office/drawing/2014/main" id="{6D8F45E0-53E3-41A5-ADB6-DFE313DE0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6" name="Picture 2" descr="검정로고만">
          <a:extLst>
            <a:ext uri="{FF2B5EF4-FFF2-40B4-BE49-F238E27FC236}">
              <a16:creationId xmlns:a16="http://schemas.microsoft.com/office/drawing/2014/main" id="{1DA59C7F-E2F3-4EB0-B396-1F67027F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7" name="Picture 2" descr="검정로고만">
          <a:extLst>
            <a:ext uri="{FF2B5EF4-FFF2-40B4-BE49-F238E27FC236}">
              <a16:creationId xmlns:a16="http://schemas.microsoft.com/office/drawing/2014/main" id="{0D19CB07-619B-4121-86E8-99D0934E8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8" name="Picture 2" descr="검정로고만">
          <a:extLst>
            <a:ext uri="{FF2B5EF4-FFF2-40B4-BE49-F238E27FC236}">
              <a16:creationId xmlns:a16="http://schemas.microsoft.com/office/drawing/2014/main" id="{896F6E02-F0D7-419C-AD25-2E5F12FC1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39" name="Picture 2" descr="검정로고만">
          <a:extLst>
            <a:ext uri="{FF2B5EF4-FFF2-40B4-BE49-F238E27FC236}">
              <a16:creationId xmlns:a16="http://schemas.microsoft.com/office/drawing/2014/main" id="{8DCBA053-75B0-4100-B24D-2CAE81202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0" name="Picture 2" descr="검정로고만">
          <a:extLst>
            <a:ext uri="{FF2B5EF4-FFF2-40B4-BE49-F238E27FC236}">
              <a16:creationId xmlns:a16="http://schemas.microsoft.com/office/drawing/2014/main" id="{498BD2D7-3FF0-4960-9783-8A0938B0E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1" name="Picture 2" descr="검정로고만">
          <a:extLst>
            <a:ext uri="{FF2B5EF4-FFF2-40B4-BE49-F238E27FC236}">
              <a16:creationId xmlns:a16="http://schemas.microsoft.com/office/drawing/2014/main" id="{4E699AE7-DC9F-4DF8-972B-366E341EF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2" name="Picture 2" descr="검정로고만">
          <a:extLst>
            <a:ext uri="{FF2B5EF4-FFF2-40B4-BE49-F238E27FC236}">
              <a16:creationId xmlns:a16="http://schemas.microsoft.com/office/drawing/2014/main" id="{ED402D6A-97DC-43AA-8806-DEDA6B1C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3" name="Picture 2" descr="검정로고만">
          <a:extLst>
            <a:ext uri="{FF2B5EF4-FFF2-40B4-BE49-F238E27FC236}">
              <a16:creationId xmlns:a16="http://schemas.microsoft.com/office/drawing/2014/main" id="{6BE5E60D-5000-4DC9-9997-500A7A376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4" name="Picture 2" descr="검정로고만">
          <a:extLst>
            <a:ext uri="{FF2B5EF4-FFF2-40B4-BE49-F238E27FC236}">
              <a16:creationId xmlns:a16="http://schemas.microsoft.com/office/drawing/2014/main" id="{A05A291C-6F61-4993-8642-FA63D8BFC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5" name="Picture 2" descr="검정로고만">
          <a:extLst>
            <a:ext uri="{FF2B5EF4-FFF2-40B4-BE49-F238E27FC236}">
              <a16:creationId xmlns:a16="http://schemas.microsoft.com/office/drawing/2014/main" id="{8BD6224F-53FF-46CD-A716-05A54C70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6" name="Picture 2" descr="검정로고만">
          <a:extLst>
            <a:ext uri="{FF2B5EF4-FFF2-40B4-BE49-F238E27FC236}">
              <a16:creationId xmlns:a16="http://schemas.microsoft.com/office/drawing/2014/main" id="{82141509-7209-408D-8B41-2F4FDEA7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7" name="Picture 2" descr="검정로고만">
          <a:extLst>
            <a:ext uri="{FF2B5EF4-FFF2-40B4-BE49-F238E27FC236}">
              <a16:creationId xmlns:a16="http://schemas.microsoft.com/office/drawing/2014/main" id="{BD74EB68-3B69-4F3E-9B94-55E4EAE3D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8" name="Picture 2" descr="검정로고만">
          <a:extLst>
            <a:ext uri="{FF2B5EF4-FFF2-40B4-BE49-F238E27FC236}">
              <a16:creationId xmlns:a16="http://schemas.microsoft.com/office/drawing/2014/main" id="{79AA1C82-B64E-46C4-8B99-676E678F1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49" name="Picture 2" descr="검정로고만">
          <a:extLst>
            <a:ext uri="{FF2B5EF4-FFF2-40B4-BE49-F238E27FC236}">
              <a16:creationId xmlns:a16="http://schemas.microsoft.com/office/drawing/2014/main" id="{F590ECC1-B44E-430E-AFEB-D984F208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0" name="Picture 2" descr="검정로고만">
          <a:extLst>
            <a:ext uri="{FF2B5EF4-FFF2-40B4-BE49-F238E27FC236}">
              <a16:creationId xmlns:a16="http://schemas.microsoft.com/office/drawing/2014/main" id="{ED816B9A-BE75-4A59-BBD4-F8DF2A8D6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1" name="Picture 2" descr="검정로고만">
          <a:extLst>
            <a:ext uri="{FF2B5EF4-FFF2-40B4-BE49-F238E27FC236}">
              <a16:creationId xmlns:a16="http://schemas.microsoft.com/office/drawing/2014/main" id="{C5257228-09DF-4DD0-B883-1F6EA0258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2" name="Picture 2" descr="검정로고만">
          <a:extLst>
            <a:ext uri="{FF2B5EF4-FFF2-40B4-BE49-F238E27FC236}">
              <a16:creationId xmlns:a16="http://schemas.microsoft.com/office/drawing/2014/main" id="{D063C1BE-BC3A-4C74-957D-8637FF9C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3" name="Picture 2" descr="검정로고만">
          <a:extLst>
            <a:ext uri="{FF2B5EF4-FFF2-40B4-BE49-F238E27FC236}">
              <a16:creationId xmlns:a16="http://schemas.microsoft.com/office/drawing/2014/main" id="{D9B41406-AE12-415C-AC15-DDE1354F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4" name="Picture 2" descr="검정로고만">
          <a:extLst>
            <a:ext uri="{FF2B5EF4-FFF2-40B4-BE49-F238E27FC236}">
              <a16:creationId xmlns:a16="http://schemas.microsoft.com/office/drawing/2014/main" id="{89885A90-D6A2-4EE7-A7DE-E1F3FDA2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055" name="Picture 3" descr="검정 글씨만">
          <a:extLst>
            <a:ext uri="{FF2B5EF4-FFF2-40B4-BE49-F238E27FC236}">
              <a16:creationId xmlns:a16="http://schemas.microsoft.com/office/drawing/2014/main" id="{6B173C08-304E-41BD-9D0A-C4CADD053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6" name="Picture 2" descr="검정로고만">
          <a:extLst>
            <a:ext uri="{FF2B5EF4-FFF2-40B4-BE49-F238E27FC236}">
              <a16:creationId xmlns:a16="http://schemas.microsoft.com/office/drawing/2014/main" id="{9E485B48-B23E-4A44-A6D1-DEF0825DB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7" name="Picture 2" descr="검정로고만">
          <a:extLst>
            <a:ext uri="{FF2B5EF4-FFF2-40B4-BE49-F238E27FC236}">
              <a16:creationId xmlns:a16="http://schemas.microsoft.com/office/drawing/2014/main" id="{A39D603B-65C7-4621-9517-D03DE072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8" name="Picture 2" descr="검정로고만">
          <a:extLst>
            <a:ext uri="{FF2B5EF4-FFF2-40B4-BE49-F238E27FC236}">
              <a16:creationId xmlns:a16="http://schemas.microsoft.com/office/drawing/2014/main" id="{97036DA9-B954-4B71-9879-760C25864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59" name="Picture 2" descr="검정로고만">
          <a:extLst>
            <a:ext uri="{FF2B5EF4-FFF2-40B4-BE49-F238E27FC236}">
              <a16:creationId xmlns:a16="http://schemas.microsoft.com/office/drawing/2014/main" id="{F8380364-9946-4CAD-9A55-435199E75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0" name="Picture 2" descr="검정로고만">
          <a:extLst>
            <a:ext uri="{FF2B5EF4-FFF2-40B4-BE49-F238E27FC236}">
              <a16:creationId xmlns:a16="http://schemas.microsoft.com/office/drawing/2014/main" id="{C8EF30E3-1847-4234-809D-7D65C87D1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1" name="Picture 2" descr="검정로고만">
          <a:extLst>
            <a:ext uri="{FF2B5EF4-FFF2-40B4-BE49-F238E27FC236}">
              <a16:creationId xmlns:a16="http://schemas.microsoft.com/office/drawing/2014/main" id="{9AA706C5-16E7-4E1C-9BF6-94B0EBE2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2" name="Picture 2" descr="검정로고만">
          <a:extLst>
            <a:ext uri="{FF2B5EF4-FFF2-40B4-BE49-F238E27FC236}">
              <a16:creationId xmlns:a16="http://schemas.microsoft.com/office/drawing/2014/main" id="{B497162F-C412-40D8-A399-34DFFCBC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3" name="Picture 2" descr="검정로고만">
          <a:extLst>
            <a:ext uri="{FF2B5EF4-FFF2-40B4-BE49-F238E27FC236}">
              <a16:creationId xmlns:a16="http://schemas.microsoft.com/office/drawing/2014/main" id="{3EFACC90-5BC3-46A7-B37A-4189F2767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064" name="Picture 3" descr="검정 글씨만">
          <a:extLst>
            <a:ext uri="{FF2B5EF4-FFF2-40B4-BE49-F238E27FC236}">
              <a16:creationId xmlns:a16="http://schemas.microsoft.com/office/drawing/2014/main" id="{39F6D650-C62C-459B-810B-28A495E79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5" name="Picture 2" descr="검정로고만">
          <a:extLst>
            <a:ext uri="{FF2B5EF4-FFF2-40B4-BE49-F238E27FC236}">
              <a16:creationId xmlns:a16="http://schemas.microsoft.com/office/drawing/2014/main" id="{1981E905-C242-4934-B7BD-9822F70C7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6" name="Picture 2" descr="검정로고만">
          <a:extLst>
            <a:ext uri="{FF2B5EF4-FFF2-40B4-BE49-F238E27FC236}">
              <a16:creationId xmlns:a16="http://schemas.microsoft.com/office/drawing/2014/main" id="{2F424F07-0A6E-4640-AAB9-9B54945DC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7" name="Picture 2" descr="검정로고만">
          <a:extLst>
            <a:ext uri="{FF2B5EF4-FFF2-40B4-BE49-F238E27FC236}">
              <a16:creationId xmlns:a16="http://schemas.microsoft.com/office/drawing/2014/main" id="{DE45D0B2-E53B-46B5-939F-BF37367C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8" name="Picture 2" descr="검정로고만">
          <a:extLst>
            <a:ext uri="{FF2B5EF4-FFF2-40B4-BE49-F238E27FC236}">
              <a16:creationId xmlns:a16="http://schemas.microsoft.com/office/drawing/2014/main" id="{C6B9D0E2-05D3-46F6-8000-14DCFE9A3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69" name="Picture 2" descr="검정로고만">
          <a:extLst>
            <a:ext uri="{FF2B5EF4-FFF2-40B4-BE49-F238E27FC236}">
              <a16:creationId xmlns:a16="http://schemas.microsoft.com/office/drawing/2014/main" id="{819CA3D5-5C9F-42DB-8185-BB91D8BBE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0" name="Picture 2" descr="검정로고만">
          <a:extLst>
            <a:ext uri="{FF2B5EF4-FFF2-40B4-BE49-F238E27FC236}">
              <a16:creationId xmlns:a16="http://schemas.microsoft.com/office/drawing/2014/main" id="{2C6D5E52-B67C-48F4-89CB-493B639F0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1" name="Picture 2" descr="검정로고만">
          <a:extLst>
            <a:ext uri="{FF2B5EF4-FFF2-40B4-BE49-F238E27FC236}">
              <a16:creationId xmlns:a16="http://schemas.microsoft.com/office/drawing/2014/main" id="{0BCE23EF-0F38-4BD4-8052-7B10E8C52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2" name="Picture 2" descr="검정로고만">
          <a:extLst>
            <a:ext uri="{FF2B5EF4-FFF2-40B4-BE49-F238E27FC236}">
              <a16:creationId xmlns:a16="http://schemas.microsoft.com/office/drawing/2014/main" id="{C74E5051-8F82-400D-83BE-C3529FCBB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3" name="Picture 2" descr="검정로고만">
          <a:extLst>
            <a:ext uri="{FF2B5EF4-FFF2-40B4-BE49-F238E27FC236}">
              <a16:creationId xmlns:a16="http://schemas.microsoft.com/office/drawing/2014/main" id="{FB713423-E507-4993-8087-ACA97A3DF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4" name="Picture 2" descr="검정로고만">
          <a:extLst>
            <a:ext uri="{FF2B5EF4-FFF2-40B4-BE49-F238E27FC236}">
              <a16:creationId xmlns:a16="http://schemas.microsoft.com/office/drawing/2014/main" id="{095A9A41-E9FD-41F1-8339-0E08E36AD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5" name="Picture 2" descr="검정로고만">
          <a:extLst>
            <a:ext uri="{FF2B5EF4-FFF2-40B4-BE49-F238E27FC236}">
              <a16:creationId xmlns:a16="http://schemas.microsoft.com/office/drawing/2014/main" id="{8B475241-2698-4F9F-A36A-58550DD96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6" name="Picture 2" descr="검정로고만">
          <a:extLst>
            <a:ext uri="{FF2B5EF4-FFF2-40B4-BE49-F238E27FC236}">
              <a16:creationId xmlns:a16="http://schemas.microsoft.com/office/drawing/2014/main" id="{DC61D978-11E0-4A4F-8B6C-ACC4665D3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7" name="Picture 2" descr="검정로고만">
          <a:extLst>
            <a:ext uri="{FF2B5EF4-FFF2-40B4-BE49-F238E27FC236}">
              <a16:creationId xmlns:a16="http://schemas.microsoft.com/office/drawing/2014/main" id="{80E3EDE2-369C-4142-B4DD-2191E52A0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8" name="Picture 2" descr="검정로고만">
          <a:extLst>
            <a:ext uri="{FF2B5EF4-FFF2-40B4-BE49-F238E27FC236}">
              <a16:creationId xmlns:a16="http://schemas.microsoft.com/office/drawing/2014/main" id="{AAD3BFD9-9577-42FC-B6AD-80FFAAABB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79" name="Picture 2" descr="검정로고만">
          <a:extLst>
            <a:ext uri="{FF2B5EF4-FFF2-40B4-BE49-F238E27FC236}">
              <a16:creationId xmlns:a16="http://schemas.microsoft.com/office/drawing/2014/main" id="{C9A5CE70-DA93-41F2-BD1E-D4B6CDE73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0" name="Picture 2" descr="검정로고만">
          <a:extLst>
            <a:ext uri="{FF2B5EF4-FFF2-40B4-BE49-F238E27FC236}">
              <a16:creationId xmlns:a16="http://schemas.microsoft.com/office/drawing/2014/main" id="{F4C869F3-D9B2-41D5-BC0F-F3723C856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1" name="Picture 2" descr="검정로고만">
          <a:extLst>
            <a:ext uri="{FF2B5EF4-FFF2-40B4-BE49-F238E27FC236}">
              <a16:creationId xmlns:a16="http://schemas.microsoft.com/office/drawing/2014/main" id="{E328A164-E37B-44EB-9E69-7F3323B5C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2" name="Picture 2" descr="검정로고만">
          <a:extLst>
            <a:ext uri="{FF2B5EF4-FFF2-40B4-BE49-F238E27FC236}">
              <a16:creationId xmlns:a16="http://schemas.microsoft.com/office/drawing/2014/main" id="{D28DDB45-99B7-4CC9-8475-CE59A79C3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3" name="Picture 2" descr="검정로고만">
          <a:extLst>
            <a:ext uri="{FF2B5EF4-FFF2-40B4-BE49-F238E27FC236}">
              <a16:creationId xmlns:a16="http://schemas.microsoft.com/office/drawing/2014/main" id="{D89463C7-47C7-4E9D-8B5E-10A1694A3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4" name="Picture 2" descr="검정로고만">
          <a:extLst>
            <a:ext uri="{FF2B5EF4-FFF2-40B4-BE49-F238E27FC236}">
              <a16:creationId xmlns:a16="http://schemas.microsoft.com/office/drawing/2014/main" id="{2D8DD61A-EDCE-4DFA-BC3A-8886F6EB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5" name="Picture 2" descr="검정로고만">
          <a:extLst>
            <a:ext uri="{FF2B5EF4-FFF2-40B4-BE49-F238E27FC236}">
              <a16:creationId xmlns:a16="http://schemas.microsoft.com/office/drawing/2014/main" id="{E5E69E34-9AF8-4C52-A675-06FC45CB8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6" name="Picture 2" descr="검정로고만">
          <a:extLst>
            <a:ext uri="{FF2B5EF4-FFF2-40B4-BE49-F238E27FC236}">
              <a16:creationId xmlns:a16="http://schemas.microsoft.com/office/drawing/2014/main" id="{A80EB708-0D24-46C8-A400-BC329C4F9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7" name="Picture 2" descr="검정로고만">
          <a:extLst>
            <a:ext uri="{FF2B5EF4-FFF2-40B4-BE49-F238E27FC236}">
              <a16:creationId xmlns:a16="http://schemas.microsoft.com/office/drawing/2014/main" id="{A4587973-BEF9-4F63-B3C7-C01FBFD88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8" name="Picture 2" descr="검정로고만">
          <a:extLst>
            <a:ext uri="{FF2B5EF4-FFF2-40B4-BE49-F238E27FC236}">
              <a16:creationId xmlns:a16="http://schemas.microsoft.com/office/drawing/2014/main" id="{E30F8C0B-9E91-4D37-BFDD-7466F69E7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89" name="Picture 2" descr="검정로고만">
          <a:extLst>
            <a:ext uri="{FF2B5EF4-FFF2-40B4-BE49-F238E27FC236}">
              <a16:creationId xmlns:a16="http://schemas.microsoft.com/office/drawing/2014/main" id="{F8114A0F-433A-48CD-9D00-FEA34391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0" name="Picture 2" descr="검정로고만">
          <a:extLst>
            <a:ext uri="{FF2B5EF4-FFF2-40B4-BE49-F238E27FC236}">
              <a16:creationId xmlns:a16="http://schemas.microsoft.com/office/drawing/2014/main" id="{C1EB9D18-0E14-4C12-8140-CC193C0CE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1" name="Picture 2" descr="검정로고만">
          <a:extLst>
            <a:ext uri="{FF2B5EF4-FFF2-40B4-BE49-F238E27FC236}">
              <a16:creationId xmlns:a16="http://schemas.microsoft.com/office/drawing/2014/main" id="{E93B0BDD-E26C-40FA-A7F1-7274E069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2" name="Picture 2" descr="검정로고만">
          <a:extLst>
            <a:ext uri="{FF2B5EF4-FFF2-40B4-BE49-F238E27FC236}">
              <a16:creationId xmlns:a16="http://schemas.microsoft.com/office/drawing/2014/main" id="{5255F70D-9FB7-485D-9C4F-74464F567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3" name="Picture 2" descr="검정로고만">
          <a:extLst>
            <a:ext uri="{FF2B5EF4-FFF2-40B4-BE49-F238E27FC236}">
              <a16:creationId xmlns:a16="http://schemas.microsoft.com/office/drawing/2014/main" id="{405D27E8-34BE-4235-81F4-6EA3C0FE3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4" name="Picture 2" descr="검정로고만">
          <a:extLst>
            <a:ext uri="{FF2B5EF4-FFF2-40B4-BE49-F238E27FC236}">
              <a16:creationId xmlns:a16="http://schemas.microsoft.com/office/drawing/2014/main" id="{23D1563E-BECA-4373-B3D8-0F4B58C0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5" name="Picture 2" descr="검정로고만">
          <a:extLst>
            <a:ext uri="{FF2B5EF4-FFF2-40B4-BE49-F238E27FC236}">
              <a16:creationId xmlns:a16="http://schemas.microsoft.com/office/drawing/2014/main" id="{4E93EDB4-A9D5-447D-8B05-12C0D2AEC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6" name="Picture 2" descr="검정로고만">
          <a:extLst>
            <a:ext uri="{FF2B5EF4-FFF2-40B4-BE49-F238E27FC236}">
              <a16:creationId xmlns:a16="http://schemas.microsoft.com/office/drawing/2014/main" id="{DEB83756-4FFF-42EA-825C-54A22834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7" name="Picture 2" descr="검정로고만">
          <a:extLst>
            <a:ext uri="{FF2B5EF4-FFF2-40B4-BE49-F238E27FC236}">
              <a16:creationId xmlns:a16="http://schemas.microsoft.com/office/drawing/2014/main" id="{9B29202B-808C-4869-B28F-CB9346D57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8" name="Picture 2" descr="검정로고만">
          <a:extLst>
            <a:ext uri="{FF2B5EF4-FFF2-40B4-BE49-F238E27FC236}">
              <a16:creationId xmlns:a16="http://schemas.microsoft.com/office/drawing/2014/main" id="{513583E1-FCE3-4979-B2F0-3C929411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099" name="Picture 2" descr="검정로고만">
          <a:extLst>
            <a:ext uri="{FF2B5EF4-FFF2-40B4-BE49-F238E27FC236}">
              <a16:creationId xmlns:a16="http://schemas.microsoft.com/office/drawing/2014/main" id="{95511071-B069-409D-8DF3-15D4ECB28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0" name="Picture 2" descr="검정로고만">
          <a:extLst>
            <a:ext uri="{FF2B5EF4-FFF2-40B4-BE49-F238E27FC236}">
              <a16:creationId xmlns:a16="http://schemas.microsoft.com/office/drawing/2014/main" id="{F33BBD1D-E1D9-4F5C-8084-1328A0FB6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1" name="Picture 2" descr="검정로고만">
          <a:extLst>
            <a:ext uri="{FF2B5EF4-FFF2-40B4-BE49-F238E27FC236}">
              <a16:creationId xmlns:a16="http://schemas.microsoft.com/office/drawing/2014/main" id="{33C3ECED-C085-405E-A587-A9CCEB0A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2" name="Picture 2" descr="검정로고만">
          <a:extLst>
            <a:ext uri="{FF2B5EF4-FFF2-40B4-BE49-F238E27FC236}">
              <a16:creationId xmlns:a16="http://schemas.microsoft.com/office/drawing/2014/main" id="{D7E201D4-44FF-409D-BB09-4788AC9F5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3" name="Picture 2" descr="검정로고만">
          <a:extLst>
            <a:ext uri="{FF2B5EF4-FFF2-40B4-BE49-F238E27FC236}">
              <a16:creationId xmlns:a16="http://schemas.microsoft.com/office/drawing/2014/main" id="{F66A4A44-C965-45FB-841B-E56760F0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4" name="Picture 2" descr="검정로고만">
          <a:extLst>
            <a:ext uri="{FF2B5EF4-FFF2-40B4-BE49-F238E27FC236}">
              <a16:creationId xmlns:a16="http://schemas.microsoft.com/office/drawing/2014/main" id="{41DC7AA9-F1B3-44AA-9CC7-EF7B3F733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105" name="Picture 3" descr="검정 글씨만">
          <a:extLst>
            <a:ext uri="{FF2B5EF4-FFF2-40B4-BE49-F238E27FC236}">
              <a16:creationId xmlns:a16="http://schemas.microsoft.com/office/drawing/2014/main" id="{9B3E56C9-76DA-40E1-92FB-95233BEFD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6" name="Picture 2" descr="검정로고만">
          <a:extLst>
            <a:ext uri="{FF2B5EF4-FFF2-40B4-BE49-F238E27FC236}">
              <a16:creationId xmlns:a16="http://schemas.microsoft.com/office/drawing/2014/main" id="{8C938305-4F13-4BF7-96C3-ED059F45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7" name="Picture 2" descr="검정로고만">
          <a:extLst>
            <a:ext uri="{FF2B5EF4-FFF2-40B4-BE49-F238E27FC236}">
              <a16:creationId xmlns:a16="http://schemas.microsoft.com/office/drawing/2014/main" id="{2BF64943-69ED-4733-BDEC-C95484AF8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8" name="Picture 2" descr="검정로고만">
          <a:extLst>
            <a:ext uri="{FF2B5EF4-FFF2-40B4-BE49-F238E27FC236}">
              <a16:creationId xmlns:a16="http://schemas.microsoft.com/office/drawing/2014/main" id="{62D25E3B-AAAC-4092-927A-EE4D58142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09" name="Picture 2" descr="검정로고만">
          <a:extLst>
            <a:ext uri="{FF2B5EF4-FFF2-40B4-BE49-F238E27FC236}">
              <a16:creationId xmlns:a16="http://schemas.microsoft.com/office/drawing/2014/main" id="{438E2514-72D1-4A37-852B-7055B6A75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0" name="Picture 2" descr="검정로고만">
          <a:extLst>
            <a:ext uri="{FF2B5EF4-FFF2-40B4-BE49-F238E27FC236}">
              <a16:creationId xmlns:a16="http://schemas.microsoft.com/office/drawing/2014/main" id="{131BAD63-CB3B-413C-ADF6-2018E72D3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1" name="Picture 2" descr="검정로고만">
          <a:extLst>
            <a:ext uri="{FF2B5EF4-FFF2-40B4-BE49-F238E27FC236}">
              <a16:creationId xmlns:a16="http://schemas.microsoft.com/office/drawing/2014/main" id="{54990B17-D5EC-48A7-9914-FFE0D82B7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2" name="Picture 2" descr="검정로고만">
          <a:extLst>
            <a:ext uri="{FF2B5EF4-FFF2-40B4-BE49-F238E27FC236}">
              <a16:creationId xmlns:a16="http://schemas.microsoft.com/office/drawing/2014/main" id="{53A70148-C5B0-4405-9DEF-0E8A4E27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3" name="Picture 2" descr="검정로고만">
          <a:extLst>
            <a:ext uri="{FF2B5EF4-FFF2-40B4-BE49-F238E27FC236}">
              <a16:creationId xmlns:a16="http://schemas.microsoft.com/office/drawing/2014/main" id="{8A0FF6D6-D659-4F39-82E5-FCBBD397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114" name="Picture 3" descr="검정 글씨만">
          <a:extLst>
            <a:ext uri="{FF2B5EF4-FFF2-40B4-BE49-F238E27FC236}">
              <a16:creationId xmlns:a16="http://schemas.microsoft.com/office/drawing/2014/main" id="{409732A5-FF08-4005-922B-7008468A9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5" name="Picture 2" descr="검정로고만">
          <a:extLst>
            <a:ext uri="{FF2B5EF4-FFF2-40B4-BE49-F238E27FC236}">
              <a16:creationId xmlns:a16="http://schemas.microsoft.com/office/drawing/2014/main" id="{4CA4C777-378B-4C3F-A288-0AD129CF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6" name="Picture 2" descr="검정로고만">
          <a:extLst>
            <a:ext uri="{FF2B5EF4-FFF2-40B4-BE49-F238E27FC236}">
              <a16:creationId xmlns:a16="http://schemas.microsoft.com/office/drawing/2014/main" id="{477DE564-571A-439B-8CA7-5542C6F62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7" name="Picture 2" descr="검정로고만">
          <a:extLst>
            <a:ext uri="{FF2B5EF4-FFF2-40B4-BE49-F238E27FC236}">
              <a16:creationId xmlns:a16="http://schemas.microsoft.com/office/drawing/2014/main" id="{0C53EDA5-D9C3-415C-B494-710892201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8" name="Picture 2" descr="검정로고만">
          <a:extLst>
            <a:ext uri="{FF2B5EF4-FFF2-40B4-BE49-F238E27FC236}">
              <a16:creationId xmlns:a16="http://schemas.microsoft.com/office/drawing/2014/main" id="{3ECB199A-6835-4600-AA09-40888400C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19" name="Picture 2" descr="검정로고만">
          <a:extLst>
            <a:ext uri="{FF2B5EF4-FFF2-40B4-BE49-F238E27FC236}">
              <a16:creationId xmlns:a16="http://schemas.microsoft.com/office/drawing/2014/main" id="{C5B18447-6D40-4B09-873E-52AC4474A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0" name="Picture 2" descr="검정로고만">
          <a:extLst>
            <a:ext uri="{FF2B5EF4-FFF2-40B4-BE49-F238E27FC236}">
              <a16:creationId xmlns:a16="http://schemas.microsoft.com/office/drawing/2014/main" id="{AC690020-1DF8-4159-A662-2E40FED87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1" name="Picture 2" descr="검정로고만">
          <a:extLst>
            <a:ext uri="{FF2B5EF4-FFF2-40B4-BE49-F238E27FC236}">
              <a16:creationId xmlns:a16="http://schemas.microsoft.com/office/drawing/2014/main" id="{BA833446-9D0D-48D4-A53B-DF2B28F4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2" name="Picture 2" descr="검정로고만">
          <a:extLst>
            <a:ext uri="{FF2B5EF4-FFF2-40B4-BE49-F238E27FC236}">
              <a16:creationId xmlns:a16="http://schemas.microsoft.com/office/drawing/2014/main" id="{60166319-DA2C-4E5E-8340-856268FA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123" name="Picture 3" descr="검정 글씨만">
          <a:extLst>
            <a:ext uri="{FF2B5EF4-FFF2-40B4-BE49-F238E27FC236}">
              <a16:creationId xmlns:a16="http://schemas.microsoft.com/office/drawing/2014/main" id="{164C9AEA-5AAD-4312-9062-24D8E564A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4" name="Picture 2" descr="검정로고만">
          <a:extLst>
            <a:ext uri="{FF2B5EF4-FFF2-40B4-BE49-F238E27FC236}">
              <a16:creationId xmlns:a16="http://schemas.microsoft.com/office/drawing/2014/main" id="{D8E22022-7BFB-4854-A433-007BD9B07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5" name="Picture 2" descr="검정로고만">
          <a:extLst>
            <a:ext uri="{FF2B5EF4-FFF2-40B4-BE49-F238E27FC236}">
              <a16:creationId xmlns:a16="http://schemas.microsoft.com/office/drawing/2014/main" id="{DE8CD7AE-E53D-4079-A6BF-89300BA08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6" name="Picture 2" descr="검정로고만">
          <a:extLst>
            <a:ext uri="{FF2B5EF4-FFF2-40B4-BE49-F238E27FC236}">
              <a16:creationId xmlns:a16="http://schemas.microsoft.com/office/drawing/2014/main" id="{CD27334C-EAE6-4CF3-9FD6-0B07F2B47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7" name="Picture 2" descr="검정로고만">
          <a:extLst>
            <a:ext uri="{FF2B5EF4-FFF2-40B4-BE49-F238E27FC236}">
              <a16:creationId xmlns:a16="http://schemas.microsoft.com/office/drawing/2014/main" id="{1DB9FA7A-E85B-4C58-860A-5B56A4D8E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8" name="Picture 2" descr="검정로고만">
          <a:extLst>
            <a:ext uri="{FF2B5EF4-FFF2-40B4-BE49-F238E27FC236}">
              <a16:creationId xmlns:a16="http://schemas.microsoft.com/office/drawing/2014/main" id="{CD256625-10FB-404A-9283-C4DED972D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29" name="Picture 2" descr="검정로고만">
          <a:extLst>
            <a:ext uri="{FF2B5EF4-FFF2-40B4-BE49-F238E27FC236}">
              <a16:creationId xmlns:a16="http://schemas.microsoft.com/office/drawing/2014/main" id="{9392DE37-7B54-4868-B9E9-C1EA5D369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0" name="Picture 2" descr="검정로고만">
          <a:extLst>
            <a:ext uri="{FF2B5EF4-FFF2-40B4-BE49-F238E27FC236}">
              <a16:creationId xmlns:a16="http://schemas.microsoft.com/office/drawing/2014/main" id="{E3BA3FC2-5BA4-4280-A9A9-82290D660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1" name="Picture 2" descr="검정로고만">
          <a:extLst>
            <a:ext uri="{FF2B5EF4-FFF2-40B4-BE49-F238E27FC236}">
              <a16:creationId xmlns:a16="http://schemas.microsoft.com/office/drawing/2014/main" id="{9403F964-4635-4F3F-B87C-3A80B9010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2" name="Picture 2" descr="검정로고만">
          <a:extLst>
            <a:ext uri="{FF2B5EF4-FFF2-40B4-BE49-F238E27FC236}">
              <a16:creationId xmlns:a16="http://schemas.microsoft.com/office/drawing/2014/main" id="{1CBBD873-A096-4CDA-BEE7-08B47C994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3" name="Picture 2" descr="검정로고만">
          <a:extLst>
            <a:ext uri="{FF2B5EF4-FFF2-40B4-BE49-F238E27FC236}">
              <a16:creationId xmlns:a16="http://schemas.microsoft.com/office/drawing/2014/main" id="{9853166A-0134-4271-8E3D-86413DC2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4" name="Picture 2" descr="검정로고만">
          <a:extLst>
            <a:ext uri="{FF2B5EF4-FFF2-40B4-BE49-F238E27FC236}">
              <a16:creationId xmlns:a16="http://schemas.microsoft.com/office/drawing/2014/main" id="{36E6F6B7-1143-4F5A-9EA0-63AEC6CCE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5" name="Picture 2" descr="검정로고만">
          <a:extLst>
            <a:ext uri="{FF2B5EF4-FFF2-40B4-BE49-F238E27FC236}">
              <a16:creationId xmlns:a16="http://schemas.microsoft.com/office/drawing/2014/main" id="{52190203-137F-4E76-9C12-905450F81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6" name="Picture 2" descr="검정로고만">
          <a:extLst>
            <a:ext uri="{FF2B5EF4-FFF2-40B4-BE49-F238E27FC236}">
              <a16:creationId xmlns:a16="http://schemas.microsoft.com/office/drawing/2014/main" id="{659C73F1-4689-469F-A438-F5C5C903E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7" name="Picture 2" descr="검정로고만">
          <a:extLst>
            <a:ext uri="{FF2B5EF4-FFF2-40B4-BE49-F238E27FC236}">
              <a16:creationId xmlns:a16="http://schemas.microsoft.com/office/drawing/2014/main" id="{105E72AC-FADB-478E-9F09-C807FC7C4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8" name="Picture 2" descr="검정로고만">
          <a:extLst>
            <a:ext uri="{FF2B5EF4-FFF2-40B4-BE49-F238E27FC236}">
              <a16:creationId xmlns:a16="http://schemas.microsoft.com/office/drawing/2014/main" id="{8E46DB9D-492E-4F5D-98B2-DCDB2D03C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39" name="Picture 2" descr="검정로고만">
          <a:extLst>
            <a:ext uri="{FF2B5EF4-FFF2-40B4-BE49-F238E27FC236}">
              <a16:creationId xmlns:a16="http://schemas.microsoft.com/office/drawing/2014/main" id="{12ECFF36-DC98-4DF2-9E43-2E386CDE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0" name="Picture 2" descr="검정로고만">
          <a:extLst>
            <a:ext uri="{FF2B5EF4-FFF2-40B4-BE49-F238E27FC236}">
              <a16:creationId xmlns:a16="http://schemas.microsoft.com/office/drawing/2014/main" id="{DF9B187D-6FDA-4B2D-B351-F233C92D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1" name="Picture 2" descr="검정로고만">
          <a:extLst>
            <a:ext uri="{FF2B5EF4-FFF2-40B4-BE49-F238E27FC236}">
              <a16:creationId xmlns:a16="http://schemas.microsoft.com/office/drawing/2014/main" id="{83BA68B3-3A8B-4328-B6EE-4DC56ABED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2" name="Picture 2" descr="검정로고만">
          <a:extLst>
            <a:ext uri="{FF2B5EF4-FFF2-40B4-BE49-F238E27FC236}">
              <a16:creationId xmlns:a16="http://schemas.microsoft.com/office/drawing/2014/main" id="{2B19F3D0-A67A-4D75-BD21-6F27DC94F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3" name="Picture 2" descr="검정로고만">
          <a:extLst>
            <a:ext uri="{FF2B5EF4-FFF2-40B4-BE49-F238E27FC236}">
              <a16:creationId xmlns:a16="http://schemas.microsoft.com/office/drawing/2014/main" id="{3203AAC7-12BF-4CF1-B376-EF8D0BFA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4" name="Picture 2" descr="검정로고만">
          <a:extLst>
            <a:ext uri="{FF2B5EF4-FFF2-40B4-BE49-F238E27FC236}">
              <a16:creationId xmlns:a16="http://schemas.microsoft.com/office/drawing/2014/main" id="{34C9F297-58FF-4336-A2B3-028D4DC11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5" name="Picture 2" descr="검정로고만">
          <a:extLst>
            <a:ext uri="{FF2B5EF4-FFF2-40B4-BE49-F238E27FC236}">
              <a16:creationId xmlns:a16="http://schemas.microsoft.com/office/drawing/2014/main" id="{D385092F-5CB3-477F-B56D-358D3DCCD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6" name="Picture 2" descr="검정로고만">
          <a:extLst>
            <a:ext uri="{FF2B5EF4-FFF2-40B4-BE49-F238E27FC236}">
              <a16:creationId xmlns:a16="http://schemas.microsoft.com/office/drawing/2014/main" id="{CD5DB1A3-01C0-4B84-84A7-B061BDFAF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7" name="Picture 2" descr="검정로고만">
          <a:extLst>
            <a:ext uri="{FF2B5EF4-FFF2-40B4-BE49-F238E27FC236}">
              <a16:creationId xmlns:a16="http://schemas.microsoft.com/office/drawing/2014/main" id="{FF1D62FF-66A3-4A7C-8F71-E170E1D95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8" name="Picture 2" descr="검정로고만">
          <a:extLst>
            <a:ext uri="{FF2B5EF4-FFF2-40B4-BE49-F238E27FC236}">
              <a16:creationId xmlns:a16="http://schemas.microsoft.com/office/drawing/2014/main" id="{F0458016-BA8A-4292-9613-FC0496F99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49" name="Picture 2" descr="검정로고만">
          <a:extLst>
            <a:ext uri="{FF2B5EF4-FFF2-40B4-BE49-F238E27FC236}">
              <a16:creationId xmlns:a16="http://schemas.microsoft.com/office/drawing/2014/main" id="{D5DA46D6-6F71-4955-A5C8-8F0AE38F9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0" name="Picture 2" descr="검정로고만">
          <a:extLst>
            <a:ext uri="{FF2B5EF4-FFF2-40B4-BE49-F238E27FC236}">
              <a16:creationId xmlns:a16="http://schemas.microsoft.com/office/drawing/2014/main" id="{541A4F7B-4637-4322-88DE-8BF763A66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1" name="Picture 2" descr="검정로고만">
          <a:extLst>
            <a:ext uri="{FF2B5EF4-FFF2-40B4-BE49-F238E27FC236}">
              <a16:creationId xmlns:a16="http://schemas.microsoft.com/office/drawing/2014/main" id="{796168AC-6027-472D-B14F-5FDE8B48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2" name="Picture 2" descr="검정로고만">
          <a:extLst>
            <a:ext uri="{FF2B5EF4-FFF2-40B4-BE49-F238E27FC236}">
              <a16:creationId xmlns:a16="http://schemas.microsoft.com/office/drawing/2014/main" id="{F7CFCF6C-722A-4E85-A9E3-1CE88D44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3" name="Picture 2" descr="검정로고만">
          <a:extLst>
            <a:ext uri="{FF2B5EF4-FFF2-40B4-BE49-F238E27FC236}">
              <a16:creationId xmlns:a16="http://schemas.microsoft.com/office/drawing/2014/main" id="{CB86C6A4-C8CC-47FB-B698-5C564D5A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4" name="Picture 2" descr="검정로고만">
          <a:extLst>
            <a:ext uri="{FF2B5EF4-FFF2-40B4-BE49-F238E27FC236}">
              <a16:creationId xmlns:a16="http://schemas.microsoft.com/office/drawing/2014/main" id="{40F877F8-436A-4ACA-B5EE-F06B02288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5" name="Picture 2" descr="검정로고만">
          <a:extLst>
            <a:ext uri="{FF2B5EF4-FFF2-40B4-BE49-F238E27FC236}">
              <a16:creationId xmlns:a16="http://schemas.microsoft.com/office/drawing/2014/main" id="{2D23B6E7-1C24-44BA-A7C7-5B4A3807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6" name="Picture 2" descr="검정로고만">
          <a:extLst>
            <a:ext uri="{FF2B5EF4-FFF2-40B4-BE49-F238E27FC236}">
              <a16:creationId xmlns:a16="http://schemas.microsoft.com/office/drawing/2014/main" id="{8421CB3F-3B46-4565-8D10-7D03D420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7" name="Picture 2" descr="검정로고만">
          <a:extLst>
            <a:ext uri="{FF2B5EF4-FFF2-40B4-BE49-F238E27FC236}">
              <a16:creationId xmlns:a16="http://schemas.microsoft.com/office/drawing/2014/main" id="{F75797C2-2292-4E6D-A74B-399E82D9A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8" name="Picture 2" descr="검정로고만">
          <a:extLst>
            <a:ext uri="{FF2B5EF4-FFF2-40B4-BE49-F238E27FC236}">
              <a16:creationId xmlns:a16="http://schemas.microsoft.com/office/drawing/2014/main" id="{A556CE49-0949-4725-A2E7-31D931342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59" name="Picture 2" descr="검정로고만">
          <a:extLst>
            <a:ext uri="{FF2B5EF4-FFF2-40B4-BE49-F238E27FC236}">
              <a16:creationId xmlns:a16="http://schemas.microsoft.com/office/drawing/2014/main" id="{16D112AC-D528-4EDD-ABDA-7257EAFD2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0" name="Picture 2" descr="검정로고만">
          <a:extLst>
            <a:ext uri="{FF2B5EF4-FFF2-40B4-BE49-F238E27FC236}">
              <a16:creationId xmlns:a16="http://schemas.microsoft.com/office/drawing/2014/main" id="{5181FE3C-419F-43A9-915C-A52CD784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1" name="Picture 2" descr="검정로고만">
          <a:extLst>
            <a:ext uri="{FF2B5EF4-FFF2-40B4-BE49-F238E27FC236}">
              <a16:creationId xmlns:a16="http://schemas.microsoft.com/office/drawing/2014/main" id="{9163860D-D25C-42B0-9544-5DAE7AE05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2" name="Picture 2" descr="검정로고만">
          <a:extLst>
            <a:ext uri="{FF2B5EF4-FFF2-40B4-BE49-F238E27FC236}">
              <a16:creationId xmlns:a16="http://schemas.microsoft.com/office/drawing/2014/main" id="{C49B0C38-28D8-4B35-AD0F-CA9444B8B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3" name="Picture 2" descr="검정로고만">
          <a:extLst>
            <a:ext uri="{FF2B5EF4-FFF2-40B4-BE49-F238E27FC236}">
              <a16:creationId xmlns:a16="http://schemas.microsoft.com/office/drawing/2014/main" id="{200B23D8-96D0-4244-AA98-D744C1F9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164" name="Picture 3" descr="검정 글씨만">
          <a:extLst>
            <a:ext uri="{FF2B5EF4-FFF2-40B4-BE49-F238E27FC236}">
              <a16:creationId xmlns:a16="http://schemas.microsoft.com/office/drawing/2014/main" id="{35BC4F35-8AB0-4511-A21C-8FCF95B17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5" name="Picture 2" descr="검정로고만">
          <a:extLst>
            <a:ext uri="{FF2B5EF4-FFF2-40B4-BE49-F238E27FC236}">
              <a16:creationId xmlns:a16="http://schemas.microsoft.com/office/drawing/2014/main" id="{8F30EC65-1750-443D-9C0A-96E03A09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6" name="Picture 2" descr="검정로고만">
          <a:extLst>
            <a:ext uri="{FF2B5EF4-FFF2-40B4-BE49-F238E27FC236}">
              <a16:creationId xmlns:a16="http://schemas.microsoft.com/office/drawing/2014/main" id="{61155A88-95FF-4AC8-BDA3-31D3FFAB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7" name="Picture 2" descr="검정로고만">
          <a:extLst>
            <a:ext uri="{FF2B5EF4-FFF2-40B4-BE49-F238E27FC236}">
              <a16:creationId xmlns:a16="http://schemas.microsoft.com/office/drawing/2014/main" id="{EA8B6ED8-3370-4E99-AFF6-4AE6DAEFD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8" name="Picture 2" descr="검정로고만">
          <a:extLst>
            <a:ext uri="{FF2B5EF4-FFF2-40B4-BE49-F238E27FC236}">
              <a16:creationId xmlns:a16="http://schemas.microsoft.com/office/drawing/2014/main" id="{AAD1E1CF-04F7-4ED4-997D-FED69DA3F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69" name="Picture 2" descr="검정로고만">
          <a:extLst>
            <a:ext uri="{FF2B5EF4-FFF2-40B4-BE49-F238E27FC236}">
              <a16:creationId xmlns:a16="http://schemas.microsoft.com/office/drawing/2014/main" id="{6E03728B-A122-441A-BA9F-0E66B76C7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0" name="Picture 2" descr="검정로고만">
          <a:extLst>
            <a:ext uri="{FF2B5EF4-FFF2-40B4-BE49-F238E27FC236}">
              <a16:creationId xmlns:a16="http://schemas.microsoft.com/office/drawing/2014/main" id="{7095816B-34CC-418F-B9A6-6C80A77C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1" name="Picture 2" descr="검정로고만">
          <a:extLst>
            <a:ext uri="{FF2B5EF4-FFF2-40B4-BE49-F238E27FC236}">
              <a16:creationId xmlns:a16="http://schemas.microsoft.com/office/drawing/2014/main" id="{2390B48E-ABFF-44B3-A9D8-F792299C9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2" name="Picture 2" descr="검정로고만">
          <a:extLst>
            <a:ext uri="{FF2B5EF4-FFF2-40B4-BE49-F238E27FC236}">
              <a16:creationId xmlns:a16="http://schemas.microsoft.com/office/drawing/2014/main" id="{02212873-2DED-40D5-B400-5D21BE645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173" name="Picture 3" descr="검정 글씨만">
          <a:extLst>
            <a:ext uri="{FF2B5EF4-FFF2-40B4-BE49-F238E27FC236}">
              <a16:creationId xmlns:a16="http://schemas.microsoft.com/office/drawing/2014/main" id="{7E701942-16C6-4E10-BED2-E0AB4353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4" name="Picture 2" descr="검정로고만">
          <a:extLst>
            <a:ext uri="{FF2B5EF4-FFF2-40B4-BE49-F238E27FC236}">
              <a16:creationId xmlns:a16="http://schemas.microsoft.com/office/drawing/2014/main" id="{9B7F3390-AA37-4FAF-BFA3-5744C79C8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5" name="Picture 2" descr="검정로고만">
          <a:extLst>
            <a:ext uri="{FF2B5EF4-FFF2-40B4-BE49-F238E27FC236}">
              <a16:creationId xmlns:a16="http://schemas.microsoft.com/office/drawing/2014/main" id="{291C4833-496D-479C-9D3C-622437E9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6" name="Picture 2" descr="검정로고만">
          <a:extLst>
            <a:ext uri="{FF2B5EF4-FFF2-40B4-BE49-F238E27FC236}">
              <a16:creationId xmlns:a16="http://schemas.microsoft.com/office/drawing/2014/main" id="{7C84565D-E4E7-4432-A438-2FDF6F9E8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7" name="Picture 2" descr="검정로고만">
          <a:extLst>
            <a:ext uri="{FF2B5EF4-FFF2-40B4-BE49-F238E27FC236}">
              <a16:creationId xmlns:a16="http://schemas.microsoft.com/office/drawing/2014/main" id="{893B691B-1780-4F9C-A962-A74654E16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8" name="Picture 2" descr="검정로고만">
          <a:extLst>
            <a:ext uri="{FF2B5EF4-FFF2-40B4-BE49-F238E27FC236}">
              <a16:creationId xmlns:a16="http://schemas.microsoft.com/office/drawing/2014/main" id="{E48ABCBF-DF22-4A7B-AFF3-71BD7427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79" name="Picture 2" descr="검정로고만">
          <a:extLst>
            <a:ext uri="{FF2B5EF4-FFF2-40B4-BE49-F238E27FC236}">
              <a16:creationId xmlns:a16="http://schemas.microsoft.com/office/drawing/2014/main" id="{D9476744-4542-4069-BAB3-ECB00304F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0" name="Picture 2" descr="검정로고만">
          <a:extLst>
            <a:ext uri="{FF2B5EF4-FFF2-40B4-BE49-F238E27FC236}">
              <a16:creationId xmlns:a16="http://schemas.microsoft.com/office/drawing/2014/main" id="{12B285B8-DDF8-434E-86FA-84907A128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1" name="Picture 2" descr="검정로고만">
          <a:extLst>
            <a:ext uri="{FF2B5EF4-FFF2-40B4-BE49-F238E27FC236}">
              <a16:creationId xmlns:a16="http://schemas.microsoft.com/office/drawing/2014/main" id="{4965ADCD-D5F9-4B79-BDF7-3F065988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182" name="Picture 3" descr="검정 글씨만">
          <a:extLst>
            <a:ext uri="{FF2B5EF4-FFF2-40B4-BE49-F238E27FC236}">
              <a16:creationId xmlns:a16="http://schemas.microsoft.com/office/drawing/2014/main" id="{EF8ADC51-7917-4714-BEE0-135D8B74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3" name="Picture 2" descr="검정로고만">
          <a:extLst>
            <a:ext uri="{FF2B5EF4-FFF2-40B4-BE49-F238E27FC236}">
              <a16:creationId xmlns:a16="http://schemas.microsoft.com/office/drawing/2014/main" id="{43889F4C-AF43-4DD4-A716-49272E2C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4" name="Picture 2" descr="검정로고만">
          <a:extLst>
            <a:ext uri="{FF2B5EF4-FFF2-40B4-BE49-F238E27FC236}">
              <a16:creationId xmlns:a16="http://schemas.microsoft.com/office/drawing/2014/main" id="{232B4E9D-2AA7-4E16-B881-1567FA4F9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5" name="Picture 2" descr="검정로고만">
          <a:extLst>
            <a:ext uri="{FF2B5EF4-FFF2-40B4-BE49-F238E27FC236}">
              <a16:creationId xmlns:a16="http://schemas.microsoft.com/office/drawing/2014/main" id="{BF576DD2-526A-4284-AC41-7293009D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6" name="Picture 2" descr="검정로고만">
          <a:extLst>
            <a:ext uri="{FF2B5EF4-FFF2-40B4-BE49-F238E27FC236}">
              <a16:creationId xmlns:a16="http://schemas.microsoft.com/office/drawing/2014/main" id="{94908C1C-55AD-4095-8355-79FE8B1D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7" name="Picture 2" descr="검정로고만">
          <a:extLst>
            <a:ext uri="{FF2B5EF4-FFF2-40B4-BE49-F238E27FC236}">
              <a16:creationId xmlns:a16="http://schemas.microsoft.com/office/drawing/2014/main" id="{D51AF005-2A64-4F00-BA20-44570C7F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8" name="Picture 2" descr="검정로고만">
          <a:extLst>
            <a:ext uri="{FF2B5EF4-FFF2-40B4-BE49-F238E27FC236}">
              <a16:creationId xmlns:a16="http://schemas.microsoft.com/office/drawing/2014/main" id="{DE7D758C-9F62-4466-837C-BF0F0D77C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89" name="Picture 2" descr="검정로고만">
          <a:extLst>
            <a:ext uri="{FF2B5EF4-FFF2-40B4-BE49-F238E27FC236}">
              <a16:creationId xmlns:a16="http://schemas.microsoft.com/office/drawing/2014/main" id="{2CB114BA-8487-415B-9F0D-0F08D216E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0" name="Picture 2" descr="검정로고만">
          <a:extLst>
            <a:ext uri="{FF2B5EF4-FFF2-40B4-BE49-F238E27FC236}">
              <a16:creationId xmlns:a16="http://schemas.microsoft.com/office/drawing/2014/main" id="{EAB6FC92-CF95-4624-AF12-C432F02CB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1" name="Picture 2" descr="검정로고만">
          <a:extLst>
            <a:ext uri="{FF2B5EF4-FFF2-40B4-BE49-F238E27FC236}">
              <a16:creationId xmlns:a16="http://schemas.microsoft.com/office/drawing/2014/main" id="{696240F7-2BF4-4D0A-B091-44DECC1C7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2" name="Picture 2" descr="검정로고만">
          <a:extLst>
            <a:ext uri="{FF2B5EF4-FFF2-40B4-BE49-F238E27FC236}">
              <a16:creationId xmlns:a16="http://schemas.microsoft.com/office/drawing/2014/main" id="{03E6AE0E-A053-4220-ADFD-836862E8F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3" name="Picture 2" descr="검정로고만">
          <a:extLst>
            <a:ext uri="{FF2B5EF4-FFF2-40B4-BE49-F238E27FC236}">
              <a16:creationId xmlns:a16="http://schemas.microsoft.com/office/drawing/2014/main" id="{55708E08-DCE9-4D17-9F37-BABB05A7B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4" name="Picture 2" descr="검정로고만">
          <a:extLst>
            <a:ext uri="{FF2B5EF4-FFF2-40B4-BE49-F238E27FC236}">
              <a16:creationId xmlns:a16="http://schemas.microsoft.com/office/drawing/2014/main" id="{3B67EB14-5E65-4D17-8F60-6F0739D80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5" name="Picture 2" descr="검정로고만">
          <a:extLst>
            <a:ext uri="{FF2B5EF4-FFF2-40B4-BE49-F238E27FC236}">
              <a16:creationId xmlns:a16="http://schemas.microsoft.com/office/drawing/2014/main" id="{17F7A5CF-62F3-40FC-9859-5BC34C29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6" name="Picture 2" descr="검정로고만">
          <a:extLst>
            <a:ext uri="{FF2B5EF4-FFF2-40B4-BE49-F238E27FC236}">
              <a16:creationId xmlns:a16="http://schemas.microsoft.com/office/drawing/2014/main" id="{5E7ABA91-9861-4523-B29A-4369D7802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7" name="Picture 2" descr="검정로고만">
          <a:extLst>
            <a:ext uri="{FF2B5EF4-FFF2-40B4-BE49-F238E27FC236}">
              <a16:creationId xmlns:a16="http://schemas.microsoft.com/office/drawing/2014/main" id="{7CFB4849-45C3-49BB-835D-B0809D0B1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8" name="Picture 2" descr="검정로고만">
          <a:extLst>
            <a:ext uri="{FF2B5EF4-FFF2-40B4-BE49-F238E27FC236}">
              <a16:creationId xmlns:a16="http://schemas.microsoft.com/office/drawing/2014/main" id="{84D943E1-2CCA-4D56-A593-4522F993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199" name="Picture 2" descr="검정로고만">
          <a:extLst>
            <a:ext uri="{FF2B5EF4-FFF2-40B4-BE49-F238E27FC236}">
              <a16:creationId xmlns:a16="http://schemas.microsoft.com/office/drawing/2014/main" id="{2F58B1E5-613E-4FF0-9849-B8F9EC49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0" name="Picture 2" descr="검정로고만">
          <a:extLst>
            <a:ext uri="{FF2B5EF4-FFF2-40B4-BE49-F238E27FC236}">
              <a16:creationId xmlns:a16="http://schemas.microsoft.com/office/drawing/2014/main" id="{7AB635E3-5F8D-450C-A386-6B971B07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1" name="Picture 2" descr="검정로고만">
          <a:extLst>
            <a:ext uri="{FF2B5EF4-FFF2-40B4-BE49-F238E27FC236}">
              <a16:creationId xmlns:a16="http://schemas.microsoft.com/office/drawing/2014/main" id="{06C350C3-4722-457A-9DDD-8DC09791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2" name="Picture 2" descr="검정로고만">
          <a:extLst>
            <a:ext uri="{FF2B5EF4-FFF2-40B4-BE49-F238E27FC236}">
              <a16:creationId xmlns:a16="http://schemas.microsoft.com/office/drawing/2014/main" id="{F70F53DA-04F9-49FD-88FE-20024EAD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3" name="Picture 2" descr="검정로고만">
          <a:extLst>
            <a:ext uri="{FF2B5EF4-FFF2-40B4-BE49-F238E27FC236}">
              <a16:creationId xmlns:a16="http://schemas.microsoft.com/office/drawing/2014/main" id="{AE9167F4-964C-4CF3-99B6-340CD2018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4" name="Picture 2" descr="검정로고만">
          <a:extLst>
            <a:ext uri="{FF2B5EF4-FFF2-40B4-BE49-F238E27FC236}">
              <a16:creationId xmlns:a16="http://schemas.microsoft.com/office/drawing/2014/main" id="{7FCA3841-ADCA-4619-8CC5-36E9BDDBA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5" name="Picture 2" descr="검정로고만">
          <a:extLst>
            <a:ext uri="{FF2B5EF4-FFF2-40B4-BE49-F238E27FC236}">
              <a16:creationId xmlns:a16="http://schemas.microsoft.com/office/drawing/2014/main" id="{2A7E406A-E02F-4E62-B5DE-BDC116BE1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6" name="Picture 2" descr="검정로고만">
          <a:extLst>
            <a:ext uri="{FF2B5EF4-FFF2-40B4-BE49-F238E27FC236}">
              <a16:creationId xmlns:a16="http://schemas.microsoft.com/office/drawing/2014/main" id="{5A712F48-53C0-4E3E-A6EB-0ECC3A69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7" name="Picture 2" descr="검정로고만">
          <a:extLst>
            <a:ext uri="{FF2B5EF4-FFF2-40B4-BE49-F238E27FC236}">
              <a16:creationId xmlns:a16="http://schemas.microsoft.com/office/drawing/2014/main" id="{AE4256CF-CE5E-4DC2-B5BA-A777D06D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8" name="Picture 2" descr="검정로고만">
          <a:extLst>
            <a:ext uri="{FF2B5EF4-FFF2-40B4-BE49-F238E27FC236}">
              <a16:creationId xmlns:a16="http://schemas.microsoft.com/office/drawing/2014/main" id="{59A6665F-F2EA-463B-9A8E-B855DCD4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09" name="Picture 2" descr="검정로고만">
          <a:extLst>
            <a:ext uri="{FF2B5EF4-FFF2-40B4-BE49-F238E27FC236}">
              <a16:creationId xmlns:a16="http://schemas.microsoft.com/office/drawing/2014/main" id="{DD24DF18-215C-4A3F-AA98-D609171AF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0" name="Picture 2" descr="검정로고만">
          <a:extLst>
            <a:ext uri="{FF2B5EF4-FFF2-40B4-BE49-F238E27FC236}">
              <a16:creationId xmlns:a16="http://schemas.microsoft.com/office/drawing/2014/main" id="{18EC0565-9DF4-439F-97CF-E14E59AD3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1" name="Picture 2" descr="검정로고만">
          <a:extLst>
            <a:ext uri="{FF2B5EF4-FFF2-40B4-BE49-F238E27FC236}">
              <a16:creationId xmlns:a16="http://schemas.microsoft.com/office/drawing/2014/main" id="{B6C1133D-C7F7-4747-B026-62593E18D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2" name="Picture 2" descr="검정로고만">
          <a:extLst>
            <a:ext uri="{FF2B5EF4-FFF2-40B4-BE49-F238E27FC236}">
              <a16:creationId xmlns:a16="http://schemas.microsoft.com/office/drawing/2014/main" id="{C7004239-FFDC-43CB-B684-0E37AFEF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3" name="Picture 2" descr="검정로고만">
          <a:extLst>
            <a:ext uri="{FF2B5EF4-FFF2-40B4-BE49-F238E27FC236}">
              <a16:creationId xmlns:a16="http://schemas.microsoft.com/office/drawing/2014/main" id="{8A8EB969-E386-471A-AEB4-5FEF48964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4" name="Picture 2" descr="검정로고만">
          <a:extLst>
            <a:ext uri="{FF2B5EF4-FFF2-40B4-BE49-F238E27FC236}">
              <a16:creationId xmlns:a16="http://schemas.microsoft.com/office/drawing/2014/main" id="{1683C62D-C8C8-43CD-950C-858215CE7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5" name="Picture 2" descr="검정로고만">
          <a:extLst>
            <a:ext uri="{FF2B5EF4-FFF2-40B4-BE49-F238E27FC236}">
              <a16:creationId xmlns:a16="http://schemas.microsoft.com/office/drawing/2014/main" id="{0B7E732C-CD00-467C-ABE8-7AD79093A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6" name="Picture 2" descr="검정로고만">
          <a:extLst>
            <a:ext uri="{FF2B5EF4-FFF2-40B4-BE49-F238E27FC236}">
              <a16:creationId xmlns:a16="http://schemas.microsoft.com/office/drawing/2014/main" id="{3DB0790E-18B9-4E79-89F4-367432EC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7" name="Picture 2" descr="검정로고만">
          <a:extLst>
            <a:ext uri="{FF2B5EF4-FFF2-40B4-BE49-F238E27FC236}">
              <a16:creationId xmlns:a16="http://schemas.microsoft.com/office/drawing/2014/main" id="{5B6E090B-1579-4449-9A4B-36FF3E601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8" name="Picture 2" descr="검정로고만">
          <a:extLst>
            <a:ext uri="{FF2B5EF4-FFF2-40B4-BE49-F238E27FC236}">
              <a16:creationId xmlns:a16="http://schemas.microsoft.com/office/drawing/2014/main" id="{947CDF2B-2530-4156-A3E4-1D8AC546A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19" name="Picture 2" descr="검정로고만">
          <a:extLst>
            <a:ext uri="{FF2B5EF4-FFF2-40B4-BE49-F238E27FC236}">
              <a16:creationId xmlns:a16="http://schemas.microsoft.com/office/drawing/2014/main" id="{BB32A94A-FEF8-460B-8C79-223109E9B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0" name="Picture 2" descr="검정로고만">
          <a:extLst>
            <a:ext uri="{FF2B5EF4-FFF2-40B4-BE49-F238E27FC236}">
              <a16:creationId xmlns:a16="http://schemas.microsoft.com/office/drawing/2014/main" id="{C56EED8B-0A86-4FA0-93CC-4EFE2F407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1" name="Picture 2" descr="검정로고만">
          <a:extLst>
            <a:ext uri="{FF2B5EF4-FFF2-40B4-BE49-F238E27FC236}">
              <a16:creationId xmlns:a16="http://schemas.microsoft.com/office/drawing/2014/main" id="{62331B4C-6F67-456A-9C89-9FB84F11C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2" name="Picture 2" descr="검정로고만">
          <a:extLst>
            <a:ext uri="{FF2B5EF4-FFF2-40B4-BE49-F238E27FC236}">
              <a16:creationId xmlns:a16="http://schemas.microsoft.com/office/drawing/2014/main" id="{9B50888E-2D61-457B-97C1-BC99C5130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223" name="Picture 3" descr="검정 글씨만">
          <a:extLst>
            <a:ext uri="{FF2B5EF4-FFF2-40B4-BE49-F238E27FC236}">
              <a16:creationId xmlns:a16="http://schemas.microsoft.com/office/drawing/2014/main" id="{2A4A1CA9-97E7-4E8A-9A20-847D2D09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4" name="Picture 2" descr="검정로고만">
          <a:extLst>
            <a:ext uri="{FF2B5EF4-FFF2-40B4-BE49-F238E27FC236}">
              <a16:creationId xmlns:a16="http://schemas.microsoft.com/office/drawing/2014/main" id="{C1D76CAB-618F-44B3-A8C5-12BCADEC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5" name="Picture 2" descr="검정로고만">
          <a:extLst>
            <a:ext uri="{FF2B5EF4-FFF2-40B4-BE49-F238E27FC236}">
              <a16:creationId xmlns:a16="http://schemas.microsoft.com/office/drawing/2014/main" id="{DC1576A8-E227-4ABB-9F3D-C522C9E2B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6" name="Picture 2" descr="검정로고만">
          <a:extLst>
            <a:ext uri="{FF2B5EF4-FFF2-40B4-BE49-F238E27FC236}">
              <a16:creationId xmlns:a16="http://schemas.microsoft.com/office/drawing/2014/main" id="{EF523DA6-4B9D-4008-8873-441DCA8D8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7" name="Picture 2" descr="검정로고만">
          <a:extLst>
            <a:ext uri="{FF2B5EF4-FFF2-40B4-BE49-F238E27FC236}">
              <a16:creationId xmlns:a16="http://schemas.microsoft.com/office/drawing/2014/main" id="{6E12F2E0-190D-447A-95BB-C90A6E41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8" name="Picture 2" descr="검정로고만">
          <a:extLst>
            <a:ext uri="{FF2B5EF4-FFF2-40B4-BE49-F238E27FC236}">
              <a16:creationId xmlns:a16="http://schemas.microsoft.com/office/drawing/2014/main" id="{7D8F738E-C285-4968-83C4-A88CCFE65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29" name="Picture 2" descr="검정로고만">
          <a:extLst>
            <a:ext uri="{FF2B5EF4-FFF2-40B4-BE49-F238E27FC236}">
              <a16:creationId xmlns:a16="http://schemas.microsoft.com/office/drawing/2014/main" id="{0D511952-171D-486E-ADBF-24C525412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0" name="Picture 2" descr="검정로고만">
          <a:extLst>
            <a:ext uri="{FF2B5EF4-FFF2-40B4-BE49-F238E27FC236}">
              <a16:creationId xmlns:a16="http://schemas.microsoft.com/office/drawing/2014/main" id="{6FAC8A53-70D3-4B43-AC86-12A4A5B8F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1" name="Picture 2" descr="검정로고만">
          <a:extLst>
            <a:ext uri="{FF2B5EF4-FFF2-40B4-BE49-F238E27FC236}">
              <a16:creationId xmlns:a16="http://schemas.microsoft.com/office/drawing/2014/main" id="{6EC805CF-1D84-4316-B0CD-C62ADE7A3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232" name="Picture 3" descr="검정 글씨만">
          <a:extLst>
            <a:ext uri="{FF2B5EF4-FFF2-40B4-BE49-F238E27FC236}">
              <a16:creationId xmlns:a16="http://schemas.microsoft.com/office/drawing/2014/main" id="{AFA59A18-9702-4ACF-9ABB-DCEB6956F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3" name="Picture 2" descr="검정로고만">
          <a:extLst>
            <a:ext uri="{FF2B5EF4-FFF2-40B4-BE49-F238E27FC236}">
              <a16:creationId xmlns:a16="http://schemas.microsoft.com/office/drawing/2014/main" id="{A86FD68F-FE94-48AE-BB2D-C5F4C80E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4" name="Picture 2" descr="검정로고만">
          <a:extLst>
            <a:ext uri="{FF2B5EF4-FFF2-40B4-BE49-F238E27FC236}">
              <a16:creationId xmlns:a16="http://schemas.microsoft.com/office/drawing/2014/main" id="{341AF9D2-C407-4F89-B77C-FBFD89776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5" name="Picture 2" descr="검정로고만">
          <a:extLst>
            <a:ext uri="{FF2B5EF4-FFF2-40B4-BE49-F238E27FC236}">
              <a16:creationId xmlns:a16="http://schemas.microsoft.com/office/drawing/2014/main" id="{69D35CBB-6E28-4CC1-9097-A22026C27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6" name="Picture 2" descr="검정로고만">
          <a:extLst>
            <a:ext uri="{FF2B5EF4-FFF2-40B4-BE49-F238E27FC236}">
              <a16:creationId xmlns:a16="http://schemas.microsoft.com/office/drawing/2014/main" id="{27ED9DFB-5077-40D5-B6CD-6D276A9EB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7" name="Picture 2" descr="검정로고만">
          <a:extLst>
            <a:ext uri="{FF2B5EF4-FFF2-40B4-BE49-F238E27FC236}">
              <a16:creationId xmlns:a16="http://schemas.microsoft.com/office/drawing/2014/main" id="{EDD5A3A9-443E-477B-A3F3-CBB858AF1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8" name="Picture 2" descr="검정로고만">
          <a:extLst>
            <a:ext uri="{FF2B5EF4-FFF2-40B4-BE49-F238E27FC236}">
              <a16:creationId xmlns:a16="http://schemas.microsoft.com/office/drawing/2014/main" id="{3C250D6F-0DE6-4547-9F6F-8AC5F7C7A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39" name="Picture 2" descr="검정로고만">
          <a:extLst>
            <a:ext uri="{FF2B5EF4-FFF2-40B4-BE49-F238E27FC236}">
              <a16:creationId xmlns:a16="http://schemas.microsoft.com/office/drawing/2014/main" id="{A4BFD689-800F-4A2B-8836-F70207934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0" name="Picture 2" descr="검정로고만">
          <a:extLst>
            <a:ext uri="{FF2B5EF4-FFF2-40B4-BE49-F238E27FC236}">
              <a16:creationId xmlns:a16="http://schemas.microsoft.com/office/drawing/2014/main" id="{E7BE0D7A-9437-4A04-BB59-A5FA31DBB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1" name="Picture 2" descr="검정로고만">
          <a:extLst>
            <a:ext uri="{FF2B5EF4-FFF2-40B4-BE49-F238E27FC236}">
              <a16:creationId xmlns:a16="http://schemas.microsoft.com/office/drawing/2014/main" id="{266C4251-CD1F-48F6-8233-41FECA640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2" name="Picture 2" descr="검정로고만">
          <a:extLst>
            <a:ext uri="{FF2B5EF4-FFF2-40B4-BE49-F238E27FC236}">
              <a16:creationId xmlns:a16="http://schemas.microsoft.com/office/drawing/2014/main" id="{B08F23FA-498A-487D-A1BF-689118AC7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3" name="Picture 2" descr="검정로고만">
          <a:extLst>
            <a:ext uri="{FF2B5EF4-FFF2-40B4-BE49-F238E27FC236}">
              <a16:creationId xmlns:a16="http://schemas.microsoft.com/office/drawing/2014/main" id="{1E40EE74-C2F3-4A91-A836-210517D72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4" name="Picture 2" descr="검정로고만">
          <a:extLst>
            <a:ext uri="{FF2B5EF4-FFF2-40B4-BE49-F238E27FC236}">
              <a16:creationId xmlns:a16="http://schemas.microsoft.com/office/drawing/2014/main" id="{A9407D95-F42B-4AC5-9398-3AB309ED0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5" name="Picture 2" descr="검정로고만">
          <a:extLst>
            <a:ext uri="{FF2B5EF4-FFF2-40B4-BE49-F238E27FC236}">
              <a16:creationId xmlns:a16="http://schemas.microsoft.com/office/drawing/2014/main" id="{AEEAD508-F229-46A0-975F-B6B74C17B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6" name="Picture 2" descr="검정로고만">
          <a:extLst>
            <a:ext uri="{FF2B5EF4-FFF2-40B4-BE49-F238E27FC236}">
              <a16:creationId xmlns:a16="http://schemas.microsoft.com/office/drawing/2014/main" id="{2426CE07-CEF4-4B58-8A9D-7E370B0B4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7" name="Picture 2" descr="검정로고만">
          <a:extLst>
            <a:ext uri="{FF2B5EF4-FFF2-40B4-BE49-F238E27FC236}">
              <a16:creationId xmlns:a16="http://schemas.microsoft.com/office/drawing/2014/main" id="{3FD89666-7CAF-4145-9C8F-5AC60B470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8" name="Picture 2" descr="검정로고만">
          <a:extLst>
            <a:ext uri="{FF2B5EF4-FFF2-40B4-BE49-F238E27FC236}">
              <a16:creationId xmlns:a16="http://schemas.microsoft.com/office/drawing/2014/main" id="{B569524E-746B-47E1-B72B-920A9FE54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49" name="Picture 2" descr="검정로고만">
          <a:extLst>
            <a:ext uri="{FF2B5EF4-FFF2-40B4-BE49-F238E27FC236}">
              <a16:creationId xmlns:a16="http://schemas.microsoft.com/office/drawing/2014/main" id="{63A4704D-5882-423E-83E1-6A2B610AE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0" name="Picture 2" descr="검정로고만">
          <a:extLst>
            <a:ext uri="{FF2B5EF4-FFF2-40B4-BE49-F238E27FC236}">
              <a16:creationId xmlns:a16="http://schemas.microsoft.com/office/drawing/2014/main" id="{9B988C06-4455-4C83-9E09-86D4FDD7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1" name="Picture 2" descr="검정로고만">
          <a:extLst>
            <a:ext uri="{FF2B5EF4-FFF2-40B4-BE49-F238E27FC236}">
              <a16:creationId xmlns:a16="http://schemas.microsoft.com/office/drawing/2014/main" id="{BF441994-D131-497C-B039-5DEC461AA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2" name="Picture 2" descr="검정로고만">
          <a:extLst>
            <a:ext uri="{FF2B5EF4-FFF2-40B4-BE49-F238E27FC236}">
              <a16:creationId xmlns:a16="http://schemas.microsoft.com/office/drawing/2014/main" id="{309A237F-4F84-4055-A9B1-F9210B3D2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3" name="Picture 2" descr="검정로고만">
          <a:extLst>
            <a:ext uri="{FF2B5EF4-FFF2-40B4-BE49-F238E27FC236}">
              <a16:creationId xmlns:a16="http://schemas.microsoft.com/office/drawing/2014/main" id="{27046D59-09C9-4AB4-9A64-703ACD2D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4" name="Picture 2" descr="검정로고만">
          <a:extLst>
            <a:ext uri="{FF2B5EF4-FFF2-40B4-BE49-F238E27FC236}">
              <a16:creationId xmlns:a16="http://schemas.microsoft.com/office/drawing/2014/main" id="{2828F991-3EAD-44A1-BB9D-0DC230509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5" name="Picture 2" descr="검정로고만">
          <a:extLst>
            <a:ext uri="{FF2B5EF4-FFF2-40B4-BE49-F238E27FC236}">
              <a16:creationId xmlns:a16="http://schemas.microsoft.com/office/drawing/2014/main" id="{4E0A8477-2574-4A19-AB33-14C2AB35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6" name="Picture 2" descr="검정로고만">
          <a:extLst>
            <a:ext uri="{FF2B5EF4-FFF2-40B4-BE49-F238E27FC236}">
              <a16:creationId xmlns:a16="http://schemas.microsoft.com/office/drawing/2014/main" id="{23EE91ED-8454-4859-BE54-19C0E10AA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7" name="Picture 2" descr="검정로고만">
          <a:extLst>
            <a:ext uri="{FF2B5EF4-FFF2-40B4-BE49-F238E27FC236}">
              <a16:creationId xmlns:a16="http://schemas.microsoft.com/office/drawing/2014/main" id="{8B60A41A-DF8D-4ABE-A9FD-58B13989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8" name="Picture 2" descr="검정로고만">
          <a:extLst>
            <a:ext uri="{FF2B5EF4-FFF2-40B4-BE49-F238E27FC236}">
              <a16:creationId xmlns:a16="http://schemas.microsoft.com/office/drawing/2014/main" id="{89CB6242-1E3D-47F9-8F67-35CD013C4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59" name="Picture 2" descr="검정로고만">
          <a:extLst>
            <a:ext uri="{FF2B5EF4-FFF2-40B4-BE49-F238E27FC236}">
              <a16:creationId xmlns:a16="http://schemas.microsoft.com/office/drawing/2014/main" id="{7712B56E-B679-4ED3-B1FB-82FE0048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0" name="Picture 2" descr="검정로고만">
          <a:extLst>
            <a:ext uri="{FF2B5EF4-FFF2-40B4-BE49-F238E27FC236}">
              <a16:creationId xmlns:a16="http://schemas.microsoft.com/office/drawing/2014/main" id="{F974BE79-FE1B-4909-A1E0-3E6F44AB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1" name="Picture 2" descr="검정로고만">
          <a:extLst>
            <a:ext uri="{FF2B5EF4-FFF2-40B4-BE49-F238E27FC236}">
              <a16:creationId xmlns:a16="http://schemas.microsoft.com/office/drawing/2014/main" id="{5DC9DB7E-661A-4C14-AD3A-56DE15A1E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2" name="Picture 2" descr="검정로고만">
          <a:extLst>
            <a:ext uri="{FF2B5EF4-FFF2-40B4-BE49-F238E27FC236}">
              <a16:creationId xmlns:a16="http://schemas.microsoft.com/office/drawing/2014/main" id="{BE388336-3DAC-4933-B8C4-CAE442C6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3" name="Picture 2" descr="검정로고만">
          <a:extLst>
            <a:ext uri="{FF2B5EF4-FFF2-40B4-BE49-F238E27FC236}">
              <a16:creationId xmlns:a16="http://schemas.microsoft.com/office/drawing/2014/main" id="{0B68B26C-0694-4D16-9CEE-246E95925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4" name="Picture 2" descr="검정로고만">
          <a:extLst>
            <a:ext uri="{FF2B5EF4-FFF2-40B4-BE49-F238E27FC236}">
              <a16:creationId xmlns:a16="http://schemas.microsoft.com/office/drawing/2014/main" id="{1D5823DF-DF30-4573-BE08-2670D12A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5" name="Picture 2" descr="검정로고만">
          <a:extLst>
            <a:ext uri="{FF2B5EF4-FFF2-40B4-BE49-F238E27FC236}">
              <a16:creationId xmlns:a16="http://schemas.microsoft.com/office/drawing/2014/main" id="{47862FA8-A80D-4007-B2A9-EC6A0C06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6" name="Picture 2" descr="검정로고만">
          <a:extLst>
            <a:ext uri="{FF2B5EF4-FFF2-40B4-BE49-F238E27FC236}">
              <a16:creationId xmlns:a16="http://schemas.microsoft.com/office/drawing/2014/main" id="{43EB9F8D-BDA9-443E-BFD1-8FB11B95A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7" name="Picture 2" descr="검정로고만">
          <a:extLst>
            <a:ext uri="{FF2B5EF4-FFF2-40B4-BE49-F238E27FC236}">
              <a16:creationId xmlns:a16="http://schemas.microsoft.com/office/drawing/2014/main" id="{34DF0C08-7E90-45B4-B683-C1CEBA8AC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8" name="Picture 2" descr="검정로고만">
          <a:extLst>
            <a:ext uri="{FF2B5EF4-FFF2-40B4-BE49-F238E27FC236}">
              <a16:creationId xmlns:a16="http://schemas.microsoft.com/office/drawing/2014/main" id="{B3F23ACF-B091-4942-83DB-580B8F9D9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69" name="Picture 2" descr="검정로고만">
          <a:extLst>
            <a:ext uri="{FF2B5EF4-FFF2-40B4-BE49-F238E27FC236}">
              <a16:creationId xmlns:a16="http://schemas.microsoft.com/office/drawing/2014/main" id="{9084F670-6FD9-424F-AEE0-53F8D1DE9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0" name="Picture 2" descr="검정로고만">
          <a:extLst>
            <a:ext uri="{FF2B5EF4-FFF2-40B4-BE49-F238E27FC236}">
              <a16:creationId xmlns:a16="http://schemas.microsoft.com/office/drawing/2014/main" id="{2D595547-9938-4890-A4BB-1660FB7C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1" name="Picture 2" descr="검정로고만">
          <a:extLst>
            <a:ext uri="{FF2B5EF4-FFF2-40B4-BE49-F238E27FC236}">
              <a16:creationId xmlns:a16="http://schemas.microsoft.com/office/drawing/2014/main" id="{D90BCEE9-E070-4BB2-951F-779F32428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2" name="Picture 2" descr="검정로고만">
          <a:extLst>
            <a:ext uri="{FF2B5EF4-FFF2-40B4-BE49-F238E27FC236}">
              <a16:creationId xmlns:a16="http://schemas.microsoft.com/office/drawing/2014/main" id="{B5154CA2-6F3A-4DC2-B334-38EB8244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273" name="Picture 3" descr="검정 글씨만">
          <a:extLst>
            <a:ext uri="{FF2B5EF4-FFF2-40B4-BE49-F238E27FC236}">
              <a16:creationId xmlns:a16="http://schemas.microsoft.com/office/drawing/2014/main" id="{9662E40A-85E0-49DE-8684-864C45EFC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4" name="Picture 2" descr="검정로고만">
          <a:extLst>
            <a:ext uri="{FF2B5EF4-FFF2-40B4-BE49-F238E27FC236}">
              <a16:creationId xmlns:a16="http://schemas.microsoft.com/office/drawing/2014/main" id="{F866ABA3-4E49-4798-94FB-3FF92E67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5" name="Picture 2" descr="검정로고만">
          <a:extLst>
            <a:ext uri="{FF2B5EF4-FFF2-40B4-BE49-F238E27FC236}">
              <a16:creationId xmlns:a16="http://schemas.microsoft.com/office/drawing/2014/main" id="{0C77849B-C399-43B5-A1AB-11B3CA95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6" name="Picture 2" descr="검정로고만">
          <a:extLst>
            <a:ext uri="{FF2B5EF4-FFF2-40B4-BE49-F238E27FC236}">
              <a16:creationId xmlns:a16="http://schemas.microsoft.com/office/drawing/2014/main" id="{F49A42FF-B639-4359-AE3A-F0E261759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7" name="Picture 2" descr="검정로고만">
          <a:extLst>
            <a:ext uri="{FF2B5EF4-FFF2-40B4-BE49-F238E27FC236}">
              <a16:creationId xmlns:a16="http://schemas.microsoft.com/office/drawing/2014/main" id="{11E9A613-8D3D-41A9-8E13-9DE3CC97D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8" name="Picture 2" descr="검정로고만">
          <a:extLst>
            <a:ext uri="{FF2B5EF4-FFF2-40B4-BE49-F238E27FC236}">
              <a16:creationId xmlns:a16="http://schemas.microsoft.com/office/drawing/2014/main" id="{9D3E0D06-B804-4A0F-8AB0-053B3068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79" name="Picture 2" descr="검정로고만">
          <a:extLst>
            <a:ext uri="{FF2B5EF4-FFF2-40B4-BE49-F238E27FC236}">
              <a16:creationId xmlns:a16="http://schemas.microsoft.com/office/drawing/2014/main" id="{FEE42DC2-9FA5-4406-85CA-18816F732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0" name="Picture 2" descr="검정로고만">
          <a:extLst>
            <a:ext uri="{FF2B5EF4-FFF2-40B4-BE49-F238E27FC236}">
              <a16:creationId xmlns:a16="http://schemas.microsoft.com/office/drawing/2014/main" id="{A4055D6F-4011-4FE3-966A-48B0CD8E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1" name="Picture 2" descr="검정로고만">
          <a:extLst>
            <a:ext uri="{FF2B5EF4-FFF2-40B4-BE49-F238E27FC236}">
              <a16:creationId xmlns:a16="http://schemas.microsoft.com/office/drawing/2014/main" id="{C9104698-2F53-4A92-8C71-C3B174CDD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282" name="Picture 3" descr="검정 글씨만">
          <a:extLst>
            <a:ext uri="{FF2B5EF4-FFF2-40B4-BE49-F238E27FC236}">
              <a16:creationId xmlns:a16="http://schemas.microsoft.com/office/drawing/2014/main" id="{EC7A4F2A-5AEA-4A65-AA5C-EC9B255E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3" name="Picture 2" descr="검정로고만">
          <a:extLst>
            <a:ext uri="{FF2B5EF4-FFF2-40B4-BE49-F238E27FC236}">
              <a16:creationId xmlns:a16="http://schemas.microsoft.com/office/drawing/2014/main" id="{5C1C0752-323C-40B7-935E-BB74C857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4" name="Picture 2" descr="검정로고만">
          <a:extLst>
            <a:ext uri="{FF2B5EF4-FFF2-40B4-BE49-F238E27FC236}">
              <a16:creationId xmlns:a16="http://schemas.microsoft.com/office/drawing/2014/main" id="{5100630A-69CE-4B5F-B1A0-C7054ACBF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5" name="Picture 2" descr="검정로고만">
          <a:extLst>
            <a:ext uri="{FF2B5EF4-FFF2-40B4-BE49-F238E27FC236}">
              <a16:creationId xmlns:a16="http://schemas.microsoft.com/office/drawing/2014/main" id="{F3414662-CC20-4B25-86B8-19C32F21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6" name="Picture 2" descr="검정로고만">
          <a:extLst>
            <a:ext uri="{FF2B5EF4-FFF2-40B4-BE49-F238E27FC236}">
              <a16:creationId xmlns:a16="http://schemas.microsoft.com/office/drawing/2014/main" id="{4DEF6F41-145D-4D28-B46E-7E9DC1E03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7" name="Picture 2" descr="검정로고만">
          <a:extLst>
            <a:ext uri="{FF2B5EF4-FFF2-40B4-BE49-F238E27FC236}">
              <a16:creationId xmlns:a16="http://schemas.microsoft.com/office/drawing/2014/main" id="{54D14B63-A362-4513-A369-683D8F48A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8" name="Picture 2" descr="검정로고만">
          <a:extLst>
            <a:ext uri="{FF2B5EF4-FFF2-40B4-BE49-F238E27FC236}">
              <a16:creationId xmlns:a16="http://schemas.microsoft.com/office/drawing/2014/main" id="{4640A0EC-1740-4B99-83DC-349F81D7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89" name="Picture 2" descr="검정로고만">
          <a:extLst>
            <a:ext uri="{FF2B5EF4-FFF2-40B4-BE49-F238E27FC236}">
              <a16:creationId xmlns:a16="http://schemas.microsoft.com/office/drawing/2014/main" id="{7B4662B1-3511-4062-808A-931FCB4B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0" name="Picture 2" descr="검정로고만">
          <a:extLst>
            <a:ext uri="{FF2B5EF4-FFF2-40B4-BE49-F238E27FC236}">
              <a16:creationId xmlns:a16="http://schemas.microsoft.com/office/drawing/2014/main" id="{EB9B9410-CFE3-4F09-A340-963A963A8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291" name="Picture 3" descr="검정 글씨만">
          <a:extLst>
            <a:ext uri="{FF2B5EF4-FFF2-40B4-BE49-F238E27FC236}">
              <a16:creationId xmlns:a16="http://schemas.microsoft.com/office/drawing/2014/main" id="{72D2273A-D869-4B79-860F-FB92A8DE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2" name="Picture 2" descr="검정로고만">
          <a:extLst>
            <a:ext uri="{FF2B5EF4-FFF2-40B4-BE49-F238E27FC236}">
              <a16:creationId xmlns:a16="http://schemas.microsoft.com/office/drawing/2014/main" id="{87AED26C-7CAF-41E3-8FC0-9A37C1F5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3" name="Picture 2" descr="검정로고만">
          <a:extLst>
            <a:ext uri="{FF2B5EF4-FFF2-40B4-BE49-F238E27FC236}">
              <a16:creationId xmlns:a16="http://schemas.microsoft.com/office/drawing/2014/main" id="{274368B2-CA3A-4FCE-9FD4-9B15890EA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4" name="Picture 2" descr="검정로고만">
          <a:extLst>
            <a:ext uri="{FF2B5EF4-FFF2-40B4-BE49-F238E27FC236}">
              <a16:creationId xmlns:a16="http://schemas.microsoft.com/office/drawing/2014/main" id="{D189E851-D8C5-4D80-9129-CA89D9FF6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5" name="Picture 2" descr="검정로고만">
          <a:extLst>
            <a:ext uri="{FF2B5EF4-FFF2-40B4-BE49-F238E27FC236}">
              <a16:creationId xmlns:a16="http://schemas.microsoft.com/office/drawing/2014/main" id="{C24674B6-B4A8-4246-9DA1-78A070B5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6" name="Picture 2" descr="검정로고만">
          <a:extLst>
            <a:ext uri="{FF2B5EF4-FFF2-40B4-BE49-F238E27FC236}">
              <a16:creationId xmlns:a16="http://schemas.microsoft.com/office/drawing/2014/main" id="{D59F6FAE-D0CD-4CB4-8DBC-2BE602614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7" name="Picture 2" descr="검정로고만">
          <a:extLst>
            <a:ext uri="{FF2B5EF4-FFF2-40B4-BE49-F238E27FC236}">
              <a16:creationId xmlns:a16="http://schemas.microsoft.com/office/drawing/2014/main" id="{6738C507-1B0B-4767-BBED-DF8C37898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8" name="Picture 2" descr="검정로고만">
          <a:extLst>
            <a:ext uri="{FF2B5EF4-FFF2-40B4-BE49-F238E27FC236}">
              <a16:creationId xmlns:a16="http://schemas.microsoft.com/office/drawing/2014/main" id="{1C5F50F7-6616-4EF3-B1A6-2EA2A5AE2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299" name="Picture 2" descr="검정로고만">
          <a:extLst>
            <a:ext uri="{FF2B5EF4-FFF2-40B4-BE49-F238E27FC236}">
              <a16:creationId xmlns:a16="http://schemas.microsoft.com/office/drawing/2014/main" id="{6B46DB5E-C9E5-4DD4-A6BD-EC2C3E021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300" name="Picture 3" descr="검정 글씨만">
          <a:extLst>
            <a:ext uri="{FF2B5EF4-FFF2-40B4-BE49-F238E27FC236}">
              <a16:creationId xmlns:a16="http://schemas.microsoft.com/office/drawing/2014/main" id="{FFEA8B42-5817-4E89-A4D6-3A17EB9CC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1" name="Picture 2" descr="검정로고만">
          <a:extLst>
            <a:ext uri="{FF2B5EF4-FFF2-40B4-BE49-F238E27FC236}">
              <a16:creationId xmlns:a16="http://schemas.microsoft.com/office/drawing/2014/main" id="{42BF64B7-A6BB-4858-BACC-C87C30E29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2" name="Picture 2" descr="검정로고만">
          <a:extLst>
            <a:ext uri="{FF2B5EF4-FFF2-40B4-BE49-F238E27FC236}">
              <a16:creationId xmlns:a16="http://schemas.microsoft.com/office/drawing/2014/main" id="{8FBFA4A5-15D7-416B-9CF8-7F1CB3CA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3" name="Picture 2" descr="검정로고만">
          <a:extLst>
            <a:ext uri="{FF2B5EF4-FFF2-40B4-BE49-F238E27FC236}">
              <a16:creationId xmlns:a16="http://schemas.microsoft.com/office/drawing/2014/main" id="{08F045C7-E8D0-4C90-9EDA-114505A48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4" name="Picture 2" descr="검정로고만">
          <a:extLst>
            <a:ext uri="{FF2B5EF4-FFF2-40B4-BE49-F238E27FC236}">
              <a16:creationId xmlns:a16="http://schemas.microsoft.com/office/drawing/2014/main" id="{E83805F3-AC13-4BDD-A5FD-7D209D9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5" name="Picture 2" descr="검정로고만">
          <a:extLst>
            <a:ext uri="{FF2B5EF4-FFF2-40B4-BE49-F238E27FC236}">
              <a16:creationId xmlns:a16="http://schemas.microsoft.com/office/drawing/2014/main" id="{143ABCA4-AB26-4ED2-91E3-4A1BDC4B8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6" name="Picture 2" descr="검정로고만">
          <a:extLst>
            <a:ext uri="{FF2B5EF4-FFF2-40B4-BE49-F238E27FC236}">
              <a16:creationId xmlns:a16="http://schemas.microsoft.com/office/drawing/2014/main" id="{1EB82839-8BC7-4757-A4DA-03547496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7" name="Picture 2" descr="검정로고만">
          <a:extLst>
            <a:ext uri="{FF2B5EF4-FFF2-40B4-BE49-F238E27FC236}">
              <a16:creationId xmlns:a16="http://schemas.microsoft.com/office/drawing/2014/main" id="{5CB7AE2F-10E5-4AB6-9B73-09602FCC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08" name="Picture 2" descr="검정로고만">
          <a:extLst>
            <a:ext uri="{FF2B5EF4-FFF2-40B4-BE49-F238E27FC236}">
              <a16:creationId xmlns:a16="http://schemas.microsoft.com/office/drawing/2014/main" id="{5245851E-2CEE-40A2-96F1-E7E782D52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309" name="Picture 3" descr="검정 글씨만">
          <a:extLst>
            <a:ext uri="{FF2B5EF4-FFF2-40B4-BE49-F238E27FC236}">
              <a16:creationId xmlns:a16="http://schemas.microsoft.com/office/drawing/2014/main" id="{C77C6195-6DAE-4C3E-B00D-50BF6311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0" name="Picture 2" descr="검정로고만">
          <a:extLst>
            <a:ext uri="{FF2B5EF4-FFF2-40B4-BE49-F238E27FC236}">
              <a16:creationId xmlns:a16="http://schemas.microsoft.com/office/drawing/2014/main" id="{9CE4E2AF-4FE5-46E3-94BF-D727A971B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1" name="Picture 2" descr="검정로고만">
          <a:extLst>
            <a:ext uri="{FF2B5EF4-FFF2-40B4-BE49-F238E27FC236}">
              <a16:creationId xmlns:a16="http://schemas.microsoft.com/office/drawing/2014/main" id="{6D090086-11F9-4615-BD4B-03209E03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2" name="Picture 2" descr="검정로고만">
          <a:extLst>
            <a:ext uri="{FF2B5EF4-FFF2-40B4-BE49-F238E27FC236}">
              <a16:creationId xmlns:a16="http://schemas.microsoft.com/office/drawing/2014/main" id="{7555008B-90D4-4C85-BC77-76D334127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3" name="Picture 2" descr="검정로고만">
          <a:extLst>
            <a:ext uri="{FF2B5EF4-FFF2-40B4-BE49-F238E27FC236}">
              <a16:creationId xmlns:a16="http://schemas.microsoft.com/office/drawing/2014/main" id="{29091CB8-AF85-44D9-BF2D-DF752E02C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4" name="Picture 2" descr="검정로고만">
          <a:extLst>
            <a:ext uri="{FF2B5EF4-FFF2-40B4-BE49-F238E27FC236}">
              <a16:creationId xmlns:a16="http://schemas.microsoft.com/office/drawing/2014/main" id="{7C23D765-29E6-4CD3-AC6F-4F2F96D6A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5" name="Picture 2" descr="검정로고만">
          <a:extLst>
            <a:ext uri="{FF2B5EF4-FFF2-40B4-BE49-F238E27FC236}">
              <a16:creationId xmlns:a16="http://schemas.microsoft.com/office/drawing/2014/main" id="{1FD084CD-1D58-46F3-99E9-EF08F3DE5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6" name="Picture 2" descr="검정로고만">
          <a:extLst>
            <a:ext uri="{FF2B5EF4-FFF2-40B4-BE49-F238E27FC236}">
              <a16:creationId xmlns:a16="http://schemas.microsoft.com/office/drawing/2014/main" id="{4EDC0579-70F2-48CF-A894-0CD751B8D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7" name="Picture 2" descr="검정로고만">
          <a:extLst>
            <a:ext uri="{FF2B5EF4-FFF2-40B4-BE49-F238E27FC236}">
              <a16:creationId xmlns:a16="http://schemas.microsoft.com/office/drawing/2014/main" id="{00C9F58F-F919-4C24-906D-6A057F957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8" name="Picture 2" descr="검정로고만">
          <a:extLst>
            <a:ext uri="{FF2B5EF4-FFF2-40B4-BE49-F238E27FC236}">
              <a16:creationId xmlns:a16="http://schemas.microsoft.com/office/drawing/2014/main" id="{677FE582-7249-4A92-9F3F-B7AAB33B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19" name="Picture 2" descr="검정로고만">
          <a:extLst>
            <a:ext uri="{FF2B5EF4-FFF2-40B4-BE49-F238E27FC236}">
              <a16:creationId xmlns:a16="http://schemas.microsoft.com/office/drawing/2014/main" id="{1E35BEC2-4DA7-42AF-A728-4ABD7CF52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0" name="Picture 2" descr="검정로고만">
          <a:extLst>
            <a:ext uri="{FF2B5EF4-FFF2-40B4-BE49-F238E27FC236}">
              <a16:creationId xmlns:a16="http://schemas.microsoft.com/office/drawing/2014/main" id="{B3D392ED-919D-416C-85FC-CA1A5AC63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1" name="Picture 2" descr="검정로고만">
          <a:extLst>
            <a:ext uri="{FF2B5EF4-FFF2-40B4-BE49-F238E27FC236}">
              <a16:creationId xmlns:a16="http://schemas.microsoft.com/office/drawing/2014/main" id="{95491633-AF23-4410-BC8F-AE148AEBF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2" name="Picture 2" descr="검정로고만">
          <a:extLst>
            <a:ext uri="{FF2B5EF4-FFF2-40B4-BE49-F238E27FC236}">
              <a16:creationId xmlns:a16="http://schemas.microsoft.com/office/drawing/2014/main" id="{ADFB3322-F999-4ECB-AB82-50E0C04FA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3" name="Picture 2" descr="검정로고만">
          <a:extLst>
            <a:ext uri="{FF2B5EF4-FFF2-40B4-BE49-F238E27FC236}">
              <a16:creationId xmlns:a16="http://schemas.microsoft.com/office/drawing/2014/main" id="{AF116A91-2062-44ED-A5AE-AF777D921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4" name="Picture 2" descr="검정로고만">
          <a:extLst>
            <a:ext uri="{FF2B5EF4-FFF2-40B4-BE49-F238E27FC236}">
              <a16:creationId xmlns:a16="http://schemas.microsoft.com/office/drawing/2014/main" id="{F79FAF51-35DC-4409-81ED-8D2A019DA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5" name="Picture 2" descr="검정로고만">
          <a:extLst>
            <a:ext uri="{FF2B5EF4-FFF2-40B4-BE49-F238E27FC236}">
              <a16:creationId xmlns:a16="http://schemas.microsoft.com/office/drawing/2014/main" id="{C18E641C-0A96-4226-A514-CD61F6B65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6" name="Picture 2" descr="검정로고만">
          <a:extLst>
            <a:ext uri="{FF2B5EF4-FFF2-40B4-BE49-F238E27FC236}">
              <a16:creationId xmlns:a16="http://schemas.microsoft.com/office/drawing/2014/main" id="{55EB2C87-634D-4E8C-8260-03FB4291A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7" name="Picture 2" descr="검정로고만">
          <a:extLst>
            <a:ext uri="{FF2B5EF4-FFF2-40B4-BE49-F238E27FC236}">
              <a16:creationId xmlns:a16="http://schemas.microsoft.com/office/drawing/2014/main" id="{E6D8ADD2-0D32-4448-8C21-8503ECAB6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8" name="Picture 2" descr="검정로고만">
          <a:extLst>
            <a:ext uri="{FF2B5EF4-FFF2-40B4-BE49-F238E27FC236}">
              <a16:creationId xmlns:a16="http://schemas.microsoft.com/office/drawing/2014/main" id="{5E78BCFE-EC88-4114-BACA-1C806EBF3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29" name="Picture 2" descr="검정로고만">
          <a:extLst>
            <a:ext uri="{FF2B5EF4-FFF2-40B4-BE49-F238E27FC236}">
              <a16:creationId xmlns:a16="http://schemas.microsoft.com/office/drawing/2014/main" id="{E103F885-4092-4DA0-831B-A1930694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0" name="Picture 2" descr="검정로고만">
          <a:extLst>
            <a:ext uri="{FF2B5EF4-FFF2-40B4-BE49-F238E27FC236}">
              <a16:creationId xmlns:a16="http://schemas.microsoft.com/office/drawing/2014/main" id="{30B14995-883C-45C5-A045-E9AF8FAE4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1" name="Picture 2" descr="검정로고만">
          <a:extLst>
            <a:ext uri="{FF2B5EF4-FFF2-40B4-BE49-F238E27FC236}">
              <a16:creationId xmlns:a16="http://schemas.microsoft.com/office/drawing/2014/main" id="{995EA938-85A4-4353-9A1B-F5F0CAF59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2" name="Picture 2" descr="검정로고만">
          <a:extLst>
            <a:ext uri="{FF2B5EF4-FFF2-40B4-BE49-F238E27FC236}">
              <a16:creationId xmlns:a16="http://schemas.microsoft.com/office/drawing/2014/main" id="{0F6AE495-49E2-4476-A300-7FF40F2AD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3" name="Picture 2" descr="검정로고만">
          <a:extLst>
            <a:ext uri="{FF2B5EF4-FFF2-40B4-BE49-F238E27FC236}">
              <a16:creationId xmlns:a16="http://schemas.microsoft.com/office/drawing/2014/main" id="{64710BA4-A0CB-4E61-9BE6-3CE903634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4" name="Picture 2" descr="검정로고만">
          <a:extLst>
            <a:ext uri="{FF2B5EF4-FFF2-40B4-BE49-F238E27FC236}">
              <a16:creationId xmlns:a16="http://schemas.microsoft.com/office/drawing/2014/main" id="{FCEFCB39-17FB-46D9-AFC7-6C4CCF269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5" name="Picture 2" descr="검정로고만">
          <a:extLst>
            <a:ext uri="{FF2B5EF4-FFF2-40B4-BE49-F238E27FC236}">
              <a16:creationId xmlns:a16="http://schemas.microsoft.com/office/drawing/2014/main" id="{AB8BB4D0-2FD7-4014-9CF0-C6FA3C374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6" name="Picture 2" descr="검정로고만">
          <a:extLst>
            <a:ext uri="{FF2B5EF4-FFF2-40B4-BE49-F238E27FC236}">
              <a16:creationId xmlns:a16="http://schemas.microsoft.com/office/drawing/2014/main" id="{1ED26F7B-1A83-48C3-89D1-4E63F9147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7" name="Picture 2" descr="검정로고만">
          <a:extLst>
            <a:ext uri="{FF2B5EF4-FFF2-40B4-BE49-F238E27FC236}">
              <a16:creationId xmlns:a16="http://schemas.microsoft.com/office/drawing/2014/main" id="{63ABD31E-9AB0-4B09-8CD9-144E5B9E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8" name="Picture 2" descr="검정로고만">
          <a:extLst>
            <a:ext uri="{FF2B5EF4-FFF2-40B4-BE49-F238E27FC236}">
              <a16:creationId xmlns:a16="http://schemas.microsoft.com/office/drawing/2014/main" id="{302B355A-B9CE-4ADE-9B2E-9F2E6C2C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39" name="Picture 2" descr="검정로고만">
          <a:extLst>
            <a:ext uri="{FF2B5EF4-FFF2-40B4-BE49-F238E27FC236}">
              <a16:creationId xmlns:a16="http://schemas.microsoft.com/office/drawing/2014/main" id="{F5B327C6-B427-45ED-BD10-9D581B09C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0" name="Picture 2" descr="검정로고만">
          <a:extLst>
            <a:ext uri="{FF2B5EF4-FFF2-40B4-BE49-F238E27FC236}">
              <a16:creationId xmlns:a16="http://schemas.microsoft.com/office/drawing/2014/main" id="{2923B3C0-68F8-494B-84AA-CF6C7630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1" name="Picture 2" descr="검정로고만">
          <a:extLst>
            <a:ext uri="{FF2B5EF4-FFF2-40B4-BE49-F238E27FC236}">
              <a16:creationId xmlns:a16="http://schemas.microsoft.com/office/drawing/2014/main" id="{152FA790-170C-4E50-AE0E-743C25A25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2" name="Picture 2" descr="검정로고만">
          <a:extLst>
            <a:ext uri="{FF2B5EF4-FFF2-40B4-BE49-F238E27FC236}">
              <a16:creationId xmlns:a16="http://schemas.microsoft.com/office/drawing/2014/main" id="{BA76B361-23FA-4939-9A23-34E938833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3" name="Picture 2" descr="검정로고만">
          <a:extLst>
            <a:ext uri="{FF2B5EF4-FFF2-40B4-BE49-F238E27FC236}">
              <a16:creationId xmlns:a16="http://schemas.microsoft.com/office/drawing/2014/main" id="{97DDD0B1-6ABF-43DA-89FA-FC5B6DE85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4" name="Picture 2" descr="검정로고만">
          <a:extLst>
            <a:ext uri="{FF2B5EF4-FFF2-40B4-BE49-F238E27FC236}">
              <a16:creationId xmlns:a16="http://schemas.microsoft.com/office/drawing/2014/main" id="{7EED2C4A-E389-4202-B566-D1250101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5" name="Picture 2" descr="검정로고만">
          <a:extLst>
            <a:ext uri="{FF2B5EF4-FFF2-40B4-BE49-F238E27FC236}">
              <a16:creationId xmlns:a16="http://schemas.microsoft.com/office/drawing/2014/main" id="{AE3D4CE6-BDC9-4109-859F-D8EF73240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6" name="Picture 2" descr="검정로고만">
          <a:extLst>
            <a:ext uri="{FF2B5EF4-FFF2-40B4-BE49-F238E27FC236}">
              <a16:creationId xmlns:a16="http://schemas.microsoft.com/office/drawing/2014/main" id="{5F9331CC-8806-4310-909B-08C16DE15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7" name="Picture 2" descr="검정로고만">
          <a:extLst>
            <a:ext uri="{FF2B5EF4-FFF2-40B4-BE49-F238E27FC236}">
              <a16:creationId xmlns:a16="http://schemas.microsoft.com/office/drawing/2014/main" id="{225AB971-8C09-449C-8919-49AE396DE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8" name="Picture 2" descr="검정로고만">
          <a:extLst>
            <a:ext uri="{FF2B5EF4-FFF2-40B4-BE49-F238E27FC236}">
              <a16:creationId xmlns:a16="http://schemas.microsoft.com/office/drawing/2014/main" id="{EF472AA6-581B-4E72-B365-F33D924C2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49" name="Picture 2" descr="검정로고만">
          <a:extLst>
            <a:ext uri="{FF2B5EF4-FFF2-40B4-BE49-F238E27FC236}">
              <a16:creationId xmlns:a16="http://schemas.microsoft.com/office/drawing/2014/main" id="{23D22F3A-5636-42BA-84D9-2DD244763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350" name="Picture 3" descr="검정 글씨만">
          <a:extLst>
            <a:ext uri="{FF2B5EF4-FFF2-40B4-BE49-F238E27FC236}">
              <a16:creationId xmlns:a16="http://schemas.microsoft.com/office/drawing/2014/main" id="{649EBE29-2887-481D-BDD4-58F08A29B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1" name="Picture 2" descr="검정로고만">
          <a:extLst>
            <a:ext uri="{FF2B5EF4-FFF2-40B4-BE49-F238E27FC236}">
              <a16:creationId xmlns:a16="http://schemas.microsoft.com/office/drawing/2014/main" id="{7837490C-0009-4370-9C36-D2DF44F9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2" name="Picture 2" descr="검정로고만">
          <a:extLst>
            <a:ext uri="{FF2B5EF4-FFF2-40B4-BE49-F238E27FC236}">
              <a16:creationId xmlns:a16="http://schemas.microsoft.com/office/drawing/2014/main" id="{A17974F5-C972-4516-9821-85518F18E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3" name="Picture 2" descr="검정로고만">
          <a:extLst>
            <a:ext uri="{FF2B5EF4-FFF2-40B4-BE49-F238E27FC236}">
              <a16:creationId xmlns:a16="http://schemas.microsoft.com/office/drawing/2014/main" id="{62CBAF08-E2C5-4DBD-BBE9-2D5CCB68E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4" name="Picture 2" descr="검정로고만">
          <a:extLst>
            <a:ext uri="{FF2B5EF4-FFF2-40B4-BE49-F238E27FC236}">
              <a16:creationId xmlns:a16="http://schemas.microsoft.com/office/drawing/2014/main" id="{DAC3F180-9868-4DB5-AE0E-9501CDB1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5" name="Picture 2" descr="검정로고만">
          <a:extLst>
            <a:ext uri="{FF2B5EF4-FFF2-40B4-BE49-F238E27FC236}">
              <a16:creationId xmlns:a16="http://schemas.microsoft.com/office/drawing/2014/main" id="{34C1963F-26C2-4090-84BA-3310DE2DC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6" name="Picture 2" descr="검정로고만">
          <a:extLst>
            <a:ext uri="{FF2B5EF4-FFF2-40B4-BE49-F238E27FC236}">
              <a16:creationId xmlns:a16="http://schemas.microsoft.com/office/drawing/2014/main" id="{1652CC2F-3D51-4277-A4EE-69397958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7" name="Picture 2" descr="검정로고만">
          <a:extLst>
            <a:ext uri="{FF2B5EF4-FFF2-40B4-BE49-F238E27FC236}">
              <a16:creationId xmlns:a16="http://schemas.microsoft.com/office/drawing/2014/main" id="{9810922D-80FF-491F-AC25-26467ACCA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58" name="Picture 2" descr="검정로고만">
          <a:extLst>
            <a:ext uri="{FF2B5EF4-FFF2-40B4-BE49-F238E27FC236}">
              <a16:creationId xmlns:a16="http://schemas.microsoft.com/office/drawing/2014/main" id="{7D2D254A-F49B-43A4-9286-1B2783BD1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359" name="Picture 3" descr="검정 글씨만">
          <a:extLst>
            <a:ext uri="{FF2B5EF4-FFF2-40B4-BE49-F238E27FC236}">
              <a16:creationId xmlns:a16="http://schemas.microsoft.com/office/drawing/2014/main" id="{6B644E87-2D20-4B08-834B-9AE5EBCB2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0" name="Picture 2" descr="검정로고만">
          <a:extLst>
            <a:ext uri="{FF2B5EF4-FFF2-40B4-BE49-F238E27FC236}">
              <a16:creationId xmlns:a16="http://schemas.microsoft.com/office/drawing/2014/main" id="{0D6FE183-3DDF-4D70-BD48-CC6042868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1" name="Picture 2" descr="검정로고만">
          <a:extLst>
            <a:ext uri="{FF2B5EF4-FFF2-40B4-BE49-F238E27FC236}">
              <a16:creationId xmlns:a16="http://schemas.microsoft.com/office/drawing/2014/main" id="{703867F4-F888-4ECA-B240-45C7172CE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2" name="Picture 2" descr="검정로고만">
          <a:extLst>
            <a:ext uri="{FF2B5EF4-FFF2-40B4-BE49-F238E27FC236}">
              <a16:creationId xmlns:a16="http://schemas.microsoft.com/office/drawing/2014/main" id="{17F545ED-E290-4C36-B00E-7F008EF9F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3" name="Picture 2" descr="검정로고만">
          <a:extLst>
            <a:ext uri="{FF2B5EF4-FFF2-40B4-BE49-F238E27FC236}">
              <a16:creationId xmlns:a16="http://schemas.microsoft.com/office/drawing/2014/main" id="{704E03BE-7D3C-4FE4-990D-8DDD69758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4" name="Picture 2" descr="검정로고만">
          <a:extLst>
            <a:ext uri="{FF2B5EF4-FFF2-40B4-BE49-F238E27FC236}">
              <a16:creationId xmlns:a16="http://schemas.microsoft.com/office/drawing/2014/main" id="{C229BACD-E8C0-4C21-993C-30C9807B8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5" name="Picture 2" descr="검정로고만">
          <a:extLst>
            <a:ext uri="{FF2B5EF4-FFF2-40B4-BE49-F238E27FC236}">
              <a16:creationId xmlns:a16="http://schemas.microsoft.com/office/drawing/2014/main" id="{A4F88042-42FA-47A0-956F-6EC3DE37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6" name="Picture 2" descr="검정로고만">
          <a:extLst>
            <a:ext uri="{FF2B5EF4-FFF2-40B4-BE49-F238E27FC236}">
              <a16:creationId xmlns:a16="http://schemas.microsoft.com/office/drawing/2014/main" id="{174CCD05-F795-4D9D-BCDA-FB62DCF37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7" name="Picture 2" descr="검정로고만">
          <a:extLst>
            <a:ext uri="{FF2B5EF4-FFF2-40B4-BE49-F238E27FC236}">
              <a16:creationId xmlns:a16="http://schemas.microsoft.com/office/drawing/2014/main" id="{658AF992-EB3A-48F6-8EC6-5ED468E6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368" name="Picture 3" descr="검정 글씨만">
          <a:extLst>
            <a:ext uri="{FF2B5EF4-FFF2-40B4-BE49-F238E27FC236}">
              <a16:creationId xmlns:a16="http://schemas.microsoft.com/office/drawing/2014/main" id="{11D0CC6D-D84F-4336-ABB9-178801DBB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69" name="Picture 2" descr="검정로고만">
          <a:extLst>
            <a:ext uri="{FF2B5EF4-FFF2-40B4-BE49-F238E27FC236}">
              <a16:creationId xmlns:a16="http://schemas.microsoft.com/office/drawing/2014/main" id="{C5130BC4-88DD-40AF-96EF-00F66B5B9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0" name="Picture 2" descr="검정로고만">
          <a:extLst>
            <a:ext uri="{FF2B5EF4-FFF2-40B4-BE49-F238E27FC236}">
              <a16:creationId xmlns:a16="http://schemas.microsoft.com/office/drawing/2014/main" id="{A93121B6-98C6-4FFD-9BD9-D8875DD94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1" name="Picture 2" descr="검정로고만">
          <a:extLst>
            <a:ext uri="{FF2B5EF4-FFF2-40B4-BE49-F238E27FC236}">
              <a16:creationId xmlns:a16="http://schemas.microsoft.com/office/drawing/2014/main" id="{7DEA3029-87E9-43A8-99A2-FFD07F1AA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2" name="Picture 2" descr="검정로고만">
          <a:extLst>
            <a:ext uri="{FF2B5EF4-FFF2-40B4-BE49-F238E27FC236}">
              <a16:creationId xmlns:a16="http://schemas.microsoft.com/office/drawing/2014/main" id="{39FBED5E-17DF-41AE-80A4-C0CF97D0C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3" name="Picture 2" descr="검정로고만">
          <a:extLst>
            <a:ext uri="{FF2B5EF4-FFF2-40B4-BE49-F238E27FC236}">
              <a16:creationId xmlns:a16="http://schemas.microsoft.com/office/drawing/2014/main" id="{746FC859-E1AC-4BD6-8DA0-F05EC3A84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4" name="Picture 2" descr="검정로고만">
          <a:extLst>
            <a:ext uri="{FF2B5EF4-FFF2-40B4-BE49-F238E27FC236}">
              <a16:creationId xmlns:a16="http://schemas.microsoft.com/office/drawing/2014/main" id="{ADC9F25E-EE25-43F1-BC33-A251F74D4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5" name="Picture 2" descr="검정로고만">
          <a:extLst>
            <a:ext uri="{FF2B5EF4-FFF2-40B4-BE49-F238E27FC236}">
              <a16:creationId xmlns:a16="http://schemas.microsoft.com/office/drawing/2014/main" id="{B27A6284-3BF0-429D-885A-ACF6EE8A0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6" name="Picture 2" descr="검정로고만">
          <a:extLst>
            <a:ext uri="{FF2B5EF4-FFF2-40B4-BE49-F238E27FC236}">
              <a16:creationId xmlns:a16="http://schemas.microsoft.com/office/drawing/2014/main" id="{2B50CE36-91F5-4A31-BC78-6C7448B5D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7" name="Picture 2" descr="검정로고만">
          <a:extLst>
            <a:ext uri="{FF2B5EF4-FFF2-40B4-BE49-F238E27FC236}">
              <a16:creationId xmlns:a16="http://schemas.microsoft.com/office/drawing/2014/main" id="{D5173330-A53F-4518-AC07-E9DDE5ECB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8" name="Picture 2" descr="검정로고만">
          <a:extLst>
            <a:ext uri="{FF2B5EF4-FFF2-40B4-BE49-F238E27FC236}">
              <a16:creationId xmlns:a16="http://schemas.microsoft.com/office/drawing/2014/main" id="{18156499-F2EC-417A-AF2A-33F3AF778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79" name="Picture 2" descr="검정로고만">
          <a:extLst>
            <a:ext uri="{FF2B5EF4-FFF2-40B4-BE49-F238E27FC236}">
              <a16:creationId xmlns:a16="http://schemas.microsoft.com/office/drawing/2014/main" id="{541BF661-7A1C-404E-92EE-4ECB1DF83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0" name="Picture 2" descr="검정로고만">
          <a:extLst>
            <a:ext uri="{FF2B5EF4-FFF2-40B4-BE49-F238E27FC236}">
              <a16:creationId xmlns:a16="http://schemas.microsoft.com/office/drawing/2014/main" id="{ADE7C864-6F2C-4788-AE7A-77D49E8BC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1" name="Picture 2" descr="검정로고만">
          <a:extLst>
            <a:ext uri="{FF2B5EF4-FFF2-40B4-BE49-F238E27FC236}">
              <a16:creationId xmlns:a16="http://schemas.microsoft.com/office/drawing/2014/main" id="{8C5D5FED-2D09-416F-8939-80EAE156D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2" name="Picture 2" descr="검정로고만">
          <a:extLst>
            <a:ext uri="{FF2B5EF4-FFF2-40B4-BE49-F238E27FC236}">
              <a16:creationId xmlns:a16="http://schemas.microsoft.com/office/drawing/2014/main" id="{0A017AE1-D90A-4C80-A4DE-A1C2EC529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3" name="Picture 2" descr="검정로고만">
          <a:extLst>
            <a:ext uri="{FF2B5EF4-FFF2-40B4-BE49-F238E27FC236}">
              <a16:creationId xmlns:a16="http://schemas.microsoft.com/office/drawing/2014/main" id="{8CD2782A-8510-4982-9B4B-FA3328E5F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4" name="Picture 2" descr="검정로고만">
          <a:extLst>
            <a:ext uri="{FF2B5EF4-FFF2-40B4-BE49-F238E27FC236}">
              <a16:creationId xmlns:a16="http://schemas.microsoft.com/office/drawing/2014/main" id="{36D40E94-31E6-4B82-BB08-1EC08BF70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5" name="Picture 2" descr="검정로고만">
          <a:extLst>
            <a:ext uri="{FF2B5EF4-FFF2-40B4-BE49-F238E27FC236}">
              <a16:creationId xmlns:a16="http://schemas.microsoft.com/office/drawing/2014/main" id="{9EA20643-27AF-4655-AD70-6BB192691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6" name="Picture 2" descr="검정로고만">
          <a:extLst>
            <a:ext uri="{FF2B5EF4-FFF2-40B4-BE49-F238E27FC236}">
              <a16:creationId xmlns:a16="http://schemas.microsoft.com/office/drawing/2014/main" id="{7D9CCC4F-D56D-4C08-8326-FF0031F7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7" name="Picture 2" descr="검정로고만">
          <a:extLst>
            <a:ext uri="{FF2B5EF4-FFF2-40B4-BE49-F238E27FC236}">
              <a16:creationId xmlns:a16="http://schemas.microsoft.com/office/drawing/2014/main" id="{DA188C4C-D239-4816-B12A-E56B48230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8" name="Picture 2" descr="검정로고만">
          <a:extLst>
            <a:ext uri="{FF2B5EF4-FFF2-40B4-BE49-F238E27FC236}">
              <a16:creationId xmlns:a16="http://schemas.microsoft.com/office/drawing/2014/main" id="{77C2ECA6-0A4E-42C8-A3AB-AAD29E666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89" name="Picture 2" descr="검정로고만">
          <a:extLst>
            <a:ext uri="{FF2B5EF4-FFF2-40B4-BE49-F238E27FC236}">
              <a16:creationId xmlns:a16="http://schemas.microsoft.com/office/drawing/2014/main" id="{10339A7B-2105-43F8-88FB-71DEACE73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0" name="Picture 2" descr="검정로고만">
          <a:extLst>
            <a:ext uri="{FF2B5EF4-FFF2-40B4-BE49-F238E27FC236}">
              <a16:creationId xmlns:a16="http://schemas.microsoft.com/office/drawing/2014/main" id="{DD61205A-59F1-4FD2-8CBE-E68047C2D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1" name="Picture 2" descr="검정로고만">
          <a:extLst>
            <a:ext uri="{FF2B5EF4-FFF2-40B4-BE49-F238E27FC236}">
              <a16:creationId xmlns:a16="http://schemas.microsoft.com/office/drawing/2014/main" id="{C5497DA7-AE18-44C9-8CF4-62869E3F3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2" name="Picture 2" descr="검정로고만">
          <a:extLst>
            <a:ext uri="{FF2B5EF4-FFF2-40B4-BE49-F238E27FC236}">
              <a16:creationId xmlns:a16="http://schemas.microsoft.com/office/drawing/2014/main" id="{4D1E0E7F-25BD-4EE7-824D-D7273221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3" name="Picture 2" descr="검정로고만">
          <a:extLst>
            <a:ext uri="{FF2B5EF4-FFF2-40B4-BE49-F238E27FC236}">
              <a16:creationId xmlns:a16="http://schemas.microsoft.com/office/drawing/2014/main" id="{E4EB4BE4-E8E7-4406-B6C6-0F8F47DF2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4" name="Picture 2" descr="검정로고만">
          <a:extLst>
            <a:ext uri="{FF2B5EF4-FFF2-40B4-BE49-F238E27FC236}">
              <a16:creationId xmlns:a16="http://schemas.microsoft.com/office/drawing/2014/main" id="{1D5F8896-C6FC-4865-AE4E-CB047EDAA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5" name="Picture 2" descr="검정로고만">
          <a:extLst>
            <a:ext uri="{FF2B5EF4-FFF2-40B4-BE49-F238E27FC236}">
              <a16:creationId xmlns:a16="http://schemas.microsoft.com/office/drawing/2014/main" id="{F252865E-3AFC-4FA4-B4A7-308314B2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6" name="Picture 2" descr="검정로고만">
          <a:extLst>
            <a:ext uri="{FF2B5EF4-FFF2-40B4-BE49-F238E27FC236}">
              <a16:creationId xmlns:a16="http://schemas.microsoft.com/office/drawing/2014/main" id="{89EEA4E7-61C1-489D-8538-9FD5ADF3C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7" name="Picture 2" descr="검정로고만">
          <a:extLst>
            <a:ext uri="{FF2B5EF4-FFF2-40B4-BE49-F238E27FC236}">
              <a16:creationId xmlns:a16="http://schemas.microsoft.com/office/drawing/2014/main" id="{C5AD0E1A-5086-4659-89F2-C068038B1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8" name="Picture 2" descr="검정로고만">
          <a:extLst>
            <a:ext uri="{FF2B5EF4-FFF2-40B4-BE49-F238E27FC236}">
              <a16:creationId xmlns:a16="http://schemas.microsoft.com/office/drawing/2014/main" id="{5182070E-AC62-40CA-A263-98A20F2F6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399" name="Picture 2" descr="검정로고만">
          <a:extLst>
            <a:ext uri="{FF2B5EF4-FFF2-40B4-BE49-F238E27FC236}">
              <a16:creationId xmlns:a16="http://schemas.microsoft.com/office/drawing/2014/main" id="{08551BB8-A5ED-413F-B8B5-4B4121A1D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0" name="Picture 2" descr="검정로고만">
          <a:extLst>
            <a:ext uri="{FF2B5EF4-FFF2-40B4-BE49-F238E27FC236}">
              <a16:creationId xmlns:a16="http://schemas.microsoft.com/office/drawing/2014/main" id="{8A86C3EE-6E05-42F6-9046-EC1EE8690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1" name="Picture 2" descr="검정로고만">
          <a:extLst>
            <a:ext uri="{FF2B5EF4-FFF2-40B4-BE49-F238E27FC236}">
              <a16:creationId xmlns:a16="http://schemas.microsoft.com/office/drawing/2014/main" id="{47D98BB5-E1C2-4FA4-BCDB-55AA31C89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2" name="Picture 2" descr="검정로고만">
          <a:extLst>
            <a:ext uri="{FF2B5EF4-FFF2-40B4-BE49-F238E27FC236}">
              <a16:creationId xmlns:a16="http://schemas.microsoft.com/office/drawing/2014/main" id="{C4422ABB-20A1-4E6E-9772-A131E2C8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3" name="Picture 2" descr="검정로고만">
          <a:extLst>
            <a:ext uri="{FF2B5EF4-FFF2-40B4-BE49-F238E27FC236}">
              <a16:creationId xmlns:a16="http://schemas.microsoft.com/office/drawing/2014/main" id="{ADDCA5F1-EA28-4736-9B49-BB6315EA9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4" name="Picture 2" descr="검정로고만">
          <a:extLst>
            <a:ext uri="{FF2B5EF4-FFF2-40B4-BE49-F238E27FC236}">
              <a16:creationId xmlns:a16="http://schemas.microsoft.com/office/drawing/2014/main" id="{10631E09-C610-48A9-B922-DBABFA5EC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5" name="Picture 2" descr="검정로고만">
          <a:extLst>
            <a:ext uri="{FF2B5EF4-FFF2-40B4-BE49-F238E27FC236}">
              <a16:creationId xmlns:a16="http://schemas.microsoft.com/office/drawing/2014/main" id="{568A8AAF-CC35-4A2F-A77F-ABC3987A8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6" name="Picture 2" descr="검정로고만">
          <a:extLst>
            <a:ext uri="{FF2B5EF4-FFF2-40B4-BE49-F238E27FC236}">
              <a16:creationId xmlns:a16="http://schemas.microsoft.com/office/drawing/2014/main" id="{E0694E99-B31E-485C-A6F2-1E90D99D1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7" name="Picture 2" descr="검정로고만">
          <a:extLst>
            <a:ext uri="{FF2B5EF4-FFF2-40B4-BE49-F238E27FC236}">
              <a16:creationId xmlns:a16="http://schemas.microsoft.com/office/drawing/2014/main" id="{C063DDC8-A735-4383-B9D1-92C1536B1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08" name="Picture 2" descr="검정로고만">
          <a:extLst>
            <a:ext uri="{FF2B5EF4-FFF2-40B4-BE49-F238E27FC236}">
              <a16:creationId xmlns:a16="http://schemas.microsoft.com/office/drawing/2014/main" id="{02A44A31-23F6-40BC-9503-DB5AC5C06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409" name="Picture 3" descr="검정 글씨만">
          <a:extLst>
            <a:ext uri="{FF2B5EF4-FFF2-40B4-BE49-F238E27FC236}">
              <a16:creationId xmlns:a16="http://schemas.microsoft.com/office/drawing/2014/main" id="{0850DF0F-615F-4685-8D67-F09F5429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0" name="Picture 2" descr="검정로고만">
          <a:extLst>
            <a:ext uri="{FF2B5EF4-FFF2-40B4-BE49-F238E27FC236}">
              <a16:creationId xmlns:a16="http://schemas.microsoft.com/office/drawing/2014/main" id="{F6747C14-D46F-4FD4-A660-B5F3DBDA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1" name="Picture 2" descr="검정로고만">
          <a:extLst>
            <a:ext uri="{FF2B5EF4-FFF2-40B4-BE49-F238E27FC236}">
              <a16:creationId xmlns:a16="http://schemas.microsoft.com/office/drawing/2014/main" id="{49459974-E333-4551-A8AD-84538993A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2" name="Picture 2" descr="검정로고만">
          <a:extLst>
            <a:ext uri="{FF2B5EF4-FFF2-40B4-BE49-F238E27FC236}">
              <a16:creationId xmlns:a16="http://schemas.microsoft.com/office/drawing/2014/main" id="{F9509A2A-876F-4F7C-B112-248ECA0A9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3" name="Picture 2" descr="검정로고만">
          <a:extLst>
            <a:ext uri="{FF2B5EF4-FFF2-40B4-BE49-F238E27FC236}">
              <a16:creationId xmlns:a16="http://schemas.microsoft.com/office/drawing/2014/main" id="{C3EC8349-818F-45F4-AFF7-ABAC3A5E1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4" name="Picture 2" descr="검정로고만">
          <a:extLst>
            <a:ext uri="{FF2B5EF4-FFF2-40B4-BE49-F238E27FC236}">
              <a16:creationId xmlns:a16="http://schemas.microsoft.com/office/drawing/2014/main" id="{BE838446-6672-4011-8C41-3D2682CD6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5" name="Picture 2" descr="검정로고만">
          <a:extLst>
            <a:ext uri="{FF2B5EF4-FFF2-40B4-BE49-F238E27FC236}">
              <a16:creationId xmlns:a16="http://schemas.microsoft.com/office/drawing/2014/main" id="{B62A9BB4-B6B8-4819-AAD5-89EA533A2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6" name="Picture 2" descr="검정로고만">
          <a:extLst>
            <a:ext uri="{FF2B5EF4-FFF2-40B4-BE49-F238E27FC236}">
              <a16:creationId xmlns:a16="http://schemas.microsoft.com/office/drawing/2014/main" id="{2BE28650-74EE-4A41-9ACC-151C0B88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7" name="Picture 2" descr="검정로고만">
          <a:extLst>
            <a:ext uri="{FF2B5EF4-FFF2-40B4-BE49-F238E27FC236}">
              <a16:creationId xmlns:a16="http://schemas.microsoft.com/office/drawing/2014/main" id="{009AD07A-5C6F-4F8C-B5E2-332C6FE02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418" name="Picture 3" descr="검정 글씨만">
          <a:extLst>
            <a:ext uri="{FF2B5EF4-FFF2-40B4-BE49-F238E27FC236}">
              <a16:creationId xmlns:a16="http://schemas.microsoft.com/office/drawing/2014/main" id="{33B24C2B-D568-4945-A904-3056DEAD0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19" name="Picture 2" descr="검정로고만">
          <a:extLst>
            <a:ext uri="{FF2B5EF4-FFF2-40B4-BE49-F238E27FC236}">
              <a16:creationId xmlns:a16="http://schemas.microsoft.com/office/drawing/2014/main" id="{8C317564-5FF6-4D67-A766-0F25F93AC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0" name="Picture 2" descr="검정로고만">
          <a:extLst>
            <a:ext uri="{FF2B5EF4-FFF2-40B4-BE49-F238E27FC236}">
              <a16:creationId xmlns:a16="http://schemas.microsoft.com/office/drawing/2014/main" id="{E13B23B0-D746-4E23-9DA5-9CD4E0F59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1" name="Picture 2" descr="검정로고만">
          <a:extLst>
            <a:ext uri="{FF2B5EF4-FFF2-40B4-BE49-F238E27FC236}">
              <a16:creationId xmlns:a16="http://schemas.microsoft.com/office/drawing/2014/main" id="{DD15CF7A-D031-401A-A851-CAC84E26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2" name="Picture 2" descr="검정로고만">
          <a:extLst>
            <a:ext uri="{FF2B5EF4-FFF2-40B4-BE49-F238E27FC236}">
              <a16:creationId xmlns:a16="http://schemas.microsoft.com/office/drawing/2014/main" id="{E7A704CA-477A-4F41-B7F4-A839834DD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3" name="Picture 2" descr="검정로고만">
          <a:extLst>
            <a:ext uri="{FF2B5EF4-FFF2-40B4-BE49-F238E27FC236}">
              <a16:creationId xmlns:a16="http://schemas.microsoft.com/office/drawing/2014/main" id="{DA473552-7C29-4C3E-AEE7-A42793725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4" name="Picture 2" descr="검정로고만">
          <a:extLst>
            <a:ext uri="{FF2B5EF4-FFF2-40B4-BE49-F238E27FC236}">
              <a16:creationId xmlns:a16="http://schemas.microsoft.com/office/drawing/2014/main" id="{1BD0AFB1-BAF5-4515-9687-81B86A56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5" name="Picture 2" descr="검정로고만">
          <a:extLst>
            <a:ext uri="{FF2B5EF4-FFF2-40B4-BE49-F238E27FC236}">
              <a16:creationId xmlns:a16="http://schemas.microsoft.com/office/drawing/2014/main" id="{DFECE572-652A-47B7-8E0F-2C1A4EC7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6" name="Picture 2" descr="검정로고만">
          <a:extLst>
            <a:ext uri="{FF2B5EF4-FFF2-40B4-BE49-F238E27FC236}">
              <a16:creationId xmlns:a16="http://schemas.microsoft.com/office/drawing/2014/main" id="{03D8457B-7195-489A-BA8B-78CFEE5E4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7" name="Picture 2" descr="검정로고만">
          <a:extLst>
            <a:ext uri="{FF2B5EF4-FFF2-40B4-BE49-F238E27FC236}">
              <a16:creationId xmlns:a16="http://schemas.microsoft.com/office/drawing/2014/main" id="{E0EEFEA8-73CD-481B-8E79-EDB46E04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8" name="Picture 2" descr="검정로고만">
          <a:extLst>
            <a:ext uri="{FF2B5EF4-FFF2-40B4-BE49-F238E27FC236}">
              <a16:creationId xmlns:a16="http://schemas.microsoft.com/office/drawing/2014/main" id="{9A410183-ABFF-463C-8480-D1CB5381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29" name="Picture 2" descr="검정로고만">
          <a:extLst>
            <a:ext uri="{FF2B5EF4-FFF2-40B4-BE49-F238E27FC236}">
              <a16:creationId xmlns:a16="http://schemas.microsoft.com/office/drawing/2014/main" id="{7DD8248C-04CA-446A-B73B-AD355E8AA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0" name="Picture 2" descr="검정로고만">
          <a:extLst>
            <a:ext uri="{FF2B5EF4-FFF2-40B4-BE49-F238E27FC236}">
              <a16:creationId xmlns:a16="http://schemas.microsoft.com/office/drawing/2014/main" id="{F1665FDF-9D7F-47E7-B403-08BADF5D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1" name="Picture 2" descr="검정로고만">
          <a:extLst>
            <a:ext uri="{FF2B5EF4-FFF2-40B4-BE49-F238E27FC236}">
              <a16:creationId xmlns:a16="http://schemas.microsoft.com/office/drawing/2014/main" id="{6FD659DD-DB0D-4FAB-AB81-1114C4B54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2" name="Picture 2" descr="검정로고만">
          <a:extLst>
            <a:ext uri="{FF2B5EF4-FFF2-40B4-BE49-F238E27FC236}">
              <a16:creationId xmlns:a16="http://schemas.microsoft.com/office/drawing/2014/main" id="{1B933CBB-1D92-41C5-9B42-919B332C1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3" name="Picture 2" descr="검정로고만">
          <a:extLst>
            <a:ext uri="{FF2B5EF4-FFF2-40B4-BE49-F238E27FC236}">
              <a16:creationId xmlns:a16="http://schemas.microsoft.com/office/drawing/2014/main" id="{125D467E-CAC6-457A-8BD3-282D8D2D3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4" name="Picture 2" descr="검정로고만">
          <a:extLst>
            <a:ext uri="{FF2B5EF4-FFF2-40B4-BE49-F238E27FC236}">
              <a16:creationId xmlns:a16="http://schemas.microsoft.com/office/drawing/2014/main" id="{69942D39-FD8F-42D8-A3A4-98227870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5" name="Picture 2" descr="검정로고만">
          <a:extLst>
            <a:ext uri="{FF2B5EF4-FFF2-40B4-BE49-F238E27FC236}">
              <a16:creationId xmlns:a16="http://schemas.microsoft.com/office/drawing/2014/main" id="{1CDDC074-6DBC-4820-B48F-BB23DF2A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6" name="Picture 2" descr="검정로고만">
          <a:extLst>
            <a:ext uri="{FF2B5EF4-FFF2-40B4-BE49-F238E27FC236}">
              <a16:creationId xmlns:a16="http://schemas.microsoft.com/office/drawing/2014/main" id="{C5321E4B-D5FD-46FE-B5FF-7B431FB6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7" name="Picture 2" descr="검정로고만">
          <a:extLst>
            <a:ext uri="{FF2B5EF4-FFF2-40B4-BE49-F238E27FC236}">
              <a16:creationId xmlns:a16="http://schemas.microsoft.com/office/drawing/2014/main" id="{C1E4CE32-FF65-4D11-853C-0A8BD3C5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8" name="Picture 2" descr="검정로고만">
          <a:extLst>
            <a:ext uri="{FF2B5EF4-FFF2-40B4-BE49-F238E27FC236}">
              <a16:creationId xmlns:a16="http://schemas.microsoft.com/office/drawing/2014/main" id="{82D75949-03F3-4D14-BDDC-235E2F3A3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39" name="Picture 2" descr="검정로고만">
          <a:extLst>
            <a:ext uri="{FF2B5EF4-FFF2-40B4-BE49-F238E27FC236}">
              <a16:creationId xmlns:a16="http://schemas.microsoft.com/office/drawing/2014/main" id="{285F9AE2-ED63-4D9F-81B5-E84D084C3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0" name="Picture 2" descr="검정로고만">
          <a:extLst>
            <a:ext uri="{FF2B5EF4-FFF2-40B4-BE49-F238E27FC236}">
              <a16:creationId xmlns:a16="http://schemas.microsoft.com/office/drawing/2014/main" id="{A7F9D173-E346-4892-A32C-86615E1C0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1" name="Picture 2" descr="검정로고만">
          <a:extLst>
            <a:ext uri="{FF2B5EF4-FFF2-40B4-BE49-F238E27FC236}">
              <a16:creationId xmlns:a16="http://schemas.microsoft.com/office/drawing/2014/main" id="{6C972A26-E7E1-4F43-907C-5F5D05C97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2" name="Picture 2" descr="검정로고만">
          <a:extLst>
            <a:ext uri="{FF2B5EF4-FFF2-40B4-BE49-F238E27FC236}">
              <a16:creationId xmlns:a16="http://schemas.microsoft.com/office/drawing/2014/main" id="{91C011CD-8B23-4540-A3DB-EBBAD419D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3" name="Picture 2" descr="검정로고만">
          <a:extLst>
            <a:ext uri="{FF2B5EF4-FFF2-40B4-BE49-F238E27FC236}">
              <a16:creationId xmlns:a16="http://schemas.microsoft.com/office/drawing/2014/main" id="{B5E2AAB2-E3EE-4019-878A-C8E94DBC0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4" name="Picture 2" descr="검정로고만">
          <a:extLst>
            <a:ext uri="{FF2B5EF4-FFF2-40B4-BE49-F238E27FC236}">
              <a16:creationId xmlns:a16="http://schemas.microsoft.com/office/drawing/2014/main" id="{5158EA70-88D1-4BA5-A2D9-1A2915B71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5" name="Picture 2" descr="검정로고만">
          <a:extLst>
            <a:ext uri="{FF2B5EF4-FFF2-40B4-BE49-F238E27FC236}">
              <a16:creationId xmlns:a16="http://schemas.microsoft.com/office/drawing/2014/main" id="{8C90A796-C13A-4314-897F-75455A5D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6" name="Picture 2" descr="검정로고만">
          <a:extLst>
            <a:ext uri="{FF2B5EF4-FFF2-40B4-BE49-F238E27FC236}">
              <a16:creationId xmlns:a16="http://schemas.microsoft.com/office/drawing/2014/main" id="{8A582021-08FC-4F3C-86F2-974132C3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7" name="Picture 2" descr="검정로고만">
          <a:extLst>
            <a:ext uri="{FF2B5EF4-FFF2-40B4-BE49-F238E27FC236}">
              <a16:creationId xmlns:a16="http://schemas.microsoft.com/office/drawing/2014/main" id="{600C0FEA-06C1-4E7D-9B4B-E494E55E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8" name="Picture 2" descr="검정로고만">
          <a:extLst>
            <a:ext uri="{FF2B5EF4-FFF2-40B4-BE49-F238E27FC236}">
              <a16:creationId xmlns:a16="http://schemas.microsoft.com/office/drawing/2014/main" id="{6D4A183C-EE24-41FE-97AE-A91466310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49" name="Picture 2" descr="검정로고만">
          <a:extLst>
            <a:ext uri="{FF2B5EF4-FFF2-40B4-BE49-F238E27FC236}">
              <a16:creationId xmlns:a16="http://schemas.microsoft.com/office/drawing/2014/main" id="{4961FE0E-7C4D-4A6F-AE1C-5A15279B3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0" name="Picture 2" descr="검정로고만">
          <a:extLst>
            <a:ext uri="{FF2B5EF4-FFF2-40B4-BE49-F238E27FC236}">
              <a16:creationId xmlns:a16="http://schemas.microsoft.com/office/drawing/2014/main" id="{FBBBEDAE-5440-422E-9B27-D60425D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1" name="Picture 2" descr="검정로고만">
          <a:extLst>
            <a:ext uri="{FF2B5EF4-FFF2-40B4-BE49-F238E27FC236}">
              <a16:creationId xmlns:a16="http://schemas.microsoft.com/office/drawing/2014/main" id="{34C63EA5-AE95-484B-8DBB-E3C90440B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2" name="Picture 2" descr="검정로고만">
          <a:extLst>
            <a:ext uri="{FF2B5EF4-FFF2-40B4-BE49-F238E27FC236}">
              <a16:creationId xmlns:a16="http://schemas.microsoft.com/office/drawing/2014/main" id="{86815BA7-516C-4E76-B8DB-44890B4F1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3" name="Picture 2" descr="검정로고만">
          <a:extLst>
            <a:ext uri="{FF2B5EF4-FFF2-40B4-BE49-F238E27FC236}">
              <a16:creationId xmlns:a16="http://schemas.microsoft.com/office/drawing/2014/main" id="{1CA467DD-62E9-471C-B84E-58C0D552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4" name="Picture 2" descr="검정로고만">
          <a:extLst>
            <a:ext uri="{FF2B5EF4-FFF2-40B4-BE49-F238E27FC236}">
              <a16:creationId xmlns:a16="http://schemas.microsoft.com/office/drawing/2014/main" id="{4AFD3750-BFBC-48BB-A412-1837C5C31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5" name="Picture 2" descr="검정로고만">
          <a:extLst>
            <a:ext uri="{FF2B5EF4-FFF2-40B4-BE49-F238E27FC236}">
              <a16:creationId xmlns:a16="http://schemas.microsoft.com/office/drawing/2014/main" id="{5D2259E1-09CD-4F19-9287-7B38B1086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6" name="Picture 2" descr="검정로고만">
          <a:extLst>
            <a:ext uri="{FF2B5EF4-FFF2-40B4-BE49-F238E27FC236}">
              <a16:creationId xmlns:a16="http://schemas.microsoft.com/office/drawing/2014/main" id="{F66E226F-5F49-4C45-BA01-5C9E6D0AB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7" name="Picture 2" descr="검정로고만">
          <a:extLst>
            <a:ext uri="{FF2B5EF4-FFF2-40B4-BE49-F238E27FC236}">
              <a16:creationId xmlns:a16="http://schemas.microsoft.com/office/drawing/2014/main" id="{309C95D2-B8C8-4CB9-946F-A621EA9D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58" name="Picture 2" descr="검정로고만">
          <a:extLst>
            <a:ext uri="{FF2B5EF4-FFF2-40B4-BE49-F238E27FC236}">
              <a16:creationId xmlns:a16="http://schemas.microsoft.com/office/drawing/2014/main" id="{14862794-1538-4DE9-8583-380B434A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459" name="Picture 3" descr="검정 글씨만">
          <a:extLst>
            <a:ext uri="{FF2B5EF4-FFF2-40B4-BE49-F238E27FC236}">
              <a16:creationId xmlns:a16="http://schemas.microsoft.com/office/drawing/2014/main" id="{62E330F9-E353-45DA-BA4A-A1E2CDB8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0" name="Picture 2" descr="검정로고만">
          <a:extLst>
            <a:ext uri="{FF2B5EF4-FFF2-40B4-BE49-F238E27FC236}">
              <a16:creationId xmlns:a16="http://schemas.microsoft.com/office/drawing/2014/main" id="{038DADD6-E557-48CB-9398-1F5BBAAC9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1" name="Picture 2" descr="검정로고만">
          <a:extLst>
            <a:ext uri="{FF2B5EF4-FFF2-40B4-BE49-F238E27FC236}">
              <a16:creationId xmlns:a16="http://schemas.microsoft.com/office/drawing/2014/main" id="{A0890601-692A-4400-B4DC-70EB93C82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2" name="Picture 2" descr="검정로고만">
          <a:extLst>
            <a:ext uri="{FF2B5EF4-FFF2-40B4-BE49-F238E27FC236}">
              <a16:creationId xmlns:a16="http://schemas.microsoft.com/office/drawing/2014/main" id="{2A961EB9-BA68-4F90-AE2D-1068E850D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3" name="Picture 2" descr="검정로고만">
          <a:extLst>
            <a:ext uri="{FF2B5EF4-FFF2-40B4-BE49-F238E27FC236}">
              <a16:creationId xmlns:a16="http://schemas.microsoft.com/office/drawing/2014/main" id="{CE0C2329-B972-47A5-959B-A7BF6D434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4" name="Picture 2" descr="검정로고만">
          <a:extLst>
            <a:ext uri="{FF2B5EF4-FFF2-40B4-BE49-F238E27FC236}">
              <a16:creationId xmlns:a16="http://schemas.microsoft.com/office/drawing/2014/main" id="{8C07DB52-0769-4B55-80C1-DB9F0AB6B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5" name="Picture 2" descr="검정로고만">
          <a:extLst>
            <a:ext uri="{FF2B5EF4-FFF2-40B4-BE49-F238E27FC236}">
              <a16:creationId xmlns:a16="http://schemas.microsoft.com/office/drawing/2014/main" id="{39629F48-1AD1-4C16-94CF-CFDABC26C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6" name="Picture 2" descr="검정로고만">
          <a:extLst>
            <a:ext uri="{FF2B5EF4-FFF2-40B4-BE49-F238E27FC236}">
              <a16:creationId xmlns:a16="http://schemas.microsoft.com/office/drawing/2014/main" id="{691EFFD7-B889-4AF0-90E9-9CCE39046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7" name="Picture 2" descr="검정로고만">
          <a:extLst>
            <a:ext uri="{FF2B5EF4-FFF2-40B4-BE49-F238E27FC236}">
              <a16:creationId xmlns:a16="http://schemas.microsoft.com/office/drawing/2014/main" id="{389872B8-36D4-43A6-A090-06200E51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468" name="Picture 3" descr="검정 글씨만">
          <a:extLst>
            <a:ext uri="{FF2B5EF4-FFF2-40B4-BE49-F238E27FC236}">
              <a16:creationId xmlns:a16="http://schemas.microsoft.com/office/drawing/2014/main" id="{2EE14CAD-49DD-4598-B1CC-3574AAEF1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69" name="Picture 2" descr="검정로고만">
          <a:extLst>
            <a:ext uri="{FF2B5EF4-FFF2-40B4-BE49-F238E27FC236}">
              <a16:creationId xmlns:a16="http://schemas.microsoft.com/office/drawing/2014/main" id="{70387455-C42E-4E48-90A0-9A40D773B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0" name="Picture 2" descr="검정로고만">
          <a:extLst>
            <a:ext uri="{FF2B5EF4-FFF2-40B4-BE49-F238E27FC236}">
              <a16:creationId xmlns:a16="http://schemas.microsoft.com/office/drawing/2014/main" id="{CD92EBC7-D5AF-4BD9-9C62-532756F11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1" name="Picture 2" descr="검정로고만">
          <a:extLst>
            <a:ext uri="{FF2B5EF4-FFF2-40B4-BE49-F238E27FC236}">
              <a16:creationId xmlns:a16="http://schemas.microsoft.com/office/drawing/2014/main" id="{5078B402-B051-4137-94DF-71802A5EC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2" name="Picture 2" descr="검정로고만">
          <a:extLst>
            <a:ext uri="{FF2B5EF4-FFF2-40B4-BE49-F238E27FC236}">
              <a16:creationId xmlns:a16="http://schemas.microsoft.com/office/drawing/2014/main" id="{0BF08AE5-82ED-4732-966B-7A4E665C4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3" name="Picture 2" descr="검정로고만">
          <a:extLst>
            <a:ext uri="{FF2B5EF4-FFF2-40B4-BE49-F238E27FC236}">
              <a16:creationId xmlns:a16="http://schemas.microsoft.com/office/drawing/2014/main" id="{48906BD1-9ECB-4F22-A526-9E991032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4" name="Picture 2" descr="검정로고만">
          <a:extLst>
            <a:ext uri="{FF2B5EF4-FFF2-40B4-BE49-F238E27FC236}">
              <a16:creationId xmlns:a16="http://schemas.microsoft.com/office/drawing/2014/main" id="{A8497B60-F131-40FE-9AB5-C4728F017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5" name="Picture 2" descr="검정로고만">
          <a:extLst>
            <a:ext uri="{FF2B5EF4-FFF2-40B4-BE49-F238E27FC236}">
              <a16:creationId xmlns:a16="http://schemas.microsoft.com/office/drawing/2014/main" id="{9758D82D-AF68-499B-9B64-C110FEBCF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6" name="Picture 2" descr="검정로고만">
          <a:extLst>
            <a:ext uri="{FF2B5EF4-FFF2-40B4-BE49-F238E27FC236}">
              <a16:creationId xmlns:a16="http://schemas.microsoft.com/office/drawing/2014/main" id="{85273EA1-DF81-4E06-98CA-DD0C60BF3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477" name="Picture 3" descr="검정 글씨만">
          <a:extLst>
            <a:ext uri="{FF2B5EF4-FFF2-40B4-BE49-F238E27FC236}">
              <a16:creationId xmlns:a16="http://schemas.microsoft.com/office/drawing/2014/main" id="{5A2B6B47-C594-41C1-BAB8-4BD11BB8B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8" name="Picture 2" descr="검정로고만">
          <a:extLst>
            <a:ext uri="{FF2B5EF4-FFF2-40B4-BE49-F238E27FC236}">
              <a16:creationId xmlns:a16="http://schemas.microsoft.com/office/drawing/2014/main" id="{FA451AB7-891F-4356-B5E6-26166200E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79" name="Picture 2" descr="검정로고만">
          <a:extLst>
            <a:ext uri="{FF2B5EF4-FFF2-40B4-BE49-F238E27FC236}">
              <a16:creationId xmlns:a16="http://schemas.microsoft.com/office/drawing/2014/main" id="{F8EE17E0-9C20-4C5D-B4C0-E714C1B8D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0" name="Picture 2" descr="검정로고만">
          <a:extLst>
            <a:ext uri="{FF2B5EF4-FFF2-40B4-BE49-F238E27FC236}">
              <a16:creationId xmlns:a16="http://schemas.microsoft.com/office/drawing/2014/main" id="{482C0080-4DE0-4DDD-97D3-4438B9316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1" name="Picture 2" descr="검정로고만">
          <a:extLst>
            <a:ext uri="{FF2B5EF4-FFF2-40B4-BE49-F238E27FC236}">
              <a16:creationId xmlns:a16="http://schemas.microsoft.com/office/drawing/2014/main" id="{3FBF6674-A77C-4E41-B45A-C91CC573A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2" name="Picture 2" descr="검정로고만">
          <a:extLst>
            <a:ext uri="{FF2B5EF4-FFF2-40B4-BE49-F238E27FC236}">
              <a16:creationId xmlns:a16="http://schemas.microsoft.com/office/drawing/2014/main" id="{55973401-3F0D-4F75-9D0D-724349B49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3" name="Picture 2" descr="검정로고만">
          <a:extLst>
            <a:ext uri="{FF2B5EF4-FFF2-40B4-BE49-F238E27FC236}">
              <a16:creationId xmlns:a16="http://schemas.microsoft.com/office/drawing/2014/main" id="{DC802472-2875-4CA2-8F29-E46B423A2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4" name="Picture 2" descr="검정로고만">
          <a:extLst>
            <a:ext uri="{FF2B5EF4-FFF2-40B4-BE49-F238E27FC236}">
              <a16:creationId xmlns:a16="http://schemas.microsoft.com/office/drawing/2014/main" id="{81E3860C-18CE-4905-8255-FF10E5AAC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5" name="Picture 2" descr="검정로고만">
          <a:extLst>
            <a:ext uri="{FF2B5EF4-FFF2-40B4-BE49-F238E27FC236}">
              <a16:creationId xmlns:a16="http://schemas.microsoft.com/office/drawing/2014/main" id="{E78DB1F7-320F-4BEB-ABE5-71EA4B84E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6" name="Picture 2" descr="검정로고만">
          <a:extLst>
            <a:ext uri="{FF2B5EF4-FFF2-40B4-BE49-F238E27FC236}">
              <a16:creationId xmlns:a16="http://schemas.microsoft.com/office/drawing/2014/main" id="{3130EB31-7474-47BF-B2A0-8A60C4540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7" name="Picture 2" descr="검정로고만">
          <a:extLst>
            <a:ext uri="{FF2B5EF4-FFF2-40B4-BE49-F238E27FC236}">
              <a16:creationId xmlns:a16="http://schemas.microsoft.com/office/drawing/2014/main" id="{85E1A431-94DA-41AC-9A5E-1F5C434E0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8" name="Picture 2" descr="검정로고만">
          <a:extLst>
            <a:ext uri="{FF2B5EF4-FFF2-40B4-BE49-F238E27FC236}">
              <a16:creationId xmlns:a16="http://schemas.microsoft.com/office/drawing/2014/main" id="{B2C3FE01-A61B-44FF-A093-E21723E2C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89" name="Picture 2" descr="검정로고만">
          <a:extLst>
            <a:ext uri="{FF2B5EF4-FFF2-40B4-BE49-F238E27FC236}">
              <a16:creationId xmlns:a16="http://schemas.microsoft.com/office/drawing/2014/main" id="{C59C45AF-1573-4997-B3C1-876CABE14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0" name="Picture 2" descr="검정로고만">
          <a:extLst>
            <a:ext uri="{FF2B5EF4-FFF2-40B4-BE49-F238E27FC236}">
              <a16:creationId xmlns:a16="http://schemas.microsoft.com/office/drawing/2014/main" id="{2558CBE2-327F-4CE0-9810-98D0B9007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1" name="Picture 2" descr="검정로고만">
          <a:extLst>
            <a:ext uri="{FF2B5EF4-FFF2-40B4-BE49-F238E27FC236}">
              <a16:creationId xmlns:a16="http://schemas.microsoft.com/office/drawing/2014/main" id="{8EE50BD3-B738-498E-9835-C255AB41A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2" name="Picture 2" descr="검정로고만">
          <a:extLst>
            <a:ext uri="{FF2B5EF4-FFF2-40B4-BE49-F238E27FC236}">
              <a16:creationId xmlns:a16="http://schemas.microsoft.com/office/drawing/2014/main" id="{B88E3625-8A38-4891-8C70-B91A4ED44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3" name="Picture 2" descr="검정로고만">
          <a:extLst>
            <a:ext uri="{FF2B5EF4-FFF2-40B4-BE49-F238E27FC236}">
              <a16:creationId xmlns:a16="http://schemas.microsoft.com/office/drawing/2014/main" id="{CAB4FC9E-D872-428B-A5CE-A37E3B040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4" name="Picture 2" descr="검정로고만">
          <a:extLst>
            <a:ext uri="{FF2B5EF4-FFF2-40B4-BE49-F238E27FC236}">
              <a16:creationId xmlns:a16="http://schemas.microsoft.com/office/drawing/2014/main" id="{C614CA03-43DB-464C-8053-650E0C768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5" name="Picture 2" descr="검정로고만">
          <a:extLst>
            <a:ext uri="{FF2B5EF4-FFF2-40B4-BE49-F238E27FC236}">
              <a16:creationId xmlns:a16="http://schemas.microsoft.com/office/drawing/2014/main" id="{C891E767-0564-4A3D-80A4-26A9855CA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6" name="Picture 2" descr="검정로고만">
          <a:extLst>
            <a:ext uri="{FF2B5EF4-FFF2-40B4-BE49-F238E27FC236}">
              <a16:creationId xmlns:a16="http://schemas.microsoft.com/office/drawing/2014/main" id="{25DD6ACD-6365-46BB-A378-F8F26E49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7" name="Picture 2" descr="검정로고만">
          <a:extLst>
            <a:ext uri="{FF2B5EF4-FFF2-40B4-BE49-F238E27FC236}">
              <a16:creationId xmlns:a16="http://schemas.microsoft.com/office/drawing/2014/main" id="{DE14E2DF-BCC9-417E-A8C9-48AA383A1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8" name="Picture 2" descr="검정로고만">
          <a:extLst>
            <a:ext uri="{FF2B5EF4-FFF2-40B4-BE49-F238E27FC236}">
              <a16:creationId xmlns:a16="http://schemas.microsoft.com/office/drawing/2014/main" id="{076764F8-161F-4CF4-9353-25E321CF3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499" name="Picture 2" descr="검정로고만">
          <a:extLst>
            <a:ext uri="{FF2B5EF4-FFF2-40B4-BE49-F238E27FC236}">
              <a16:creationId xmlns:a16="http://schemas.microsoft.com/office/drawing/2014/main" id="{200D4079-A0B0-4CF9-92C5-DB0DBFE7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0" name="Picture 2" descr="검정로고만">
          <a:extLst>
            <a:ext uri="{FF2B5EF4-FFF2-40B4-BE49-F238E27FC236}">
              <a16:creationId xmlns:a16="http://schemas.microsoft.com/office/drawing/2014/main" id="{4D3BD838-30A5-4C49-8008-6746161A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1" name="Picture 2" descr="검정로고만">
          <a:extLst>
            <a:ext uri="{FF2B5EF4-FFF2-40B4-BE49-F238E27FC236}">
              <a16:creationId xmlns:a16="http://schemas.microsoft.com/office/drawing/2014/main" id="{177B28E6-A701-4769-B51D-C3EE4F5CF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2" name="Picture 2" descr="검정로고만">
          <a:extLst>
            <a:ext uri="{FF2B5EF4-FFF2-40B4-BE49-F238E27FC236}">
              <a16:creationId xmlns:a16="http://schemas.microsoft.com/office/drawing/2014/main" id="{7AEB53A7-E6CA-4793-BFE8-8A8BBE8E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3" name="Picture 2" descr="검정로고만">
          <a:extLst>
            <a:ext uri="{FF2B5EF4-FFF2-40B4-BE49-F238E27FC236}">
              <a16:creationId xmlns:a16="http://schemas.microsoft.com/office/drawing/2014/main" id="{A2B05353-C2C7-4513-A4C9-059F9C24A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4" name="Picture 2" descr="검정로고만">
          <a:extLst>
            <a:ext uri="{FF2B5EF4-FFF2-40B4-BE49-F238E27FC236}">
              <a16:creationId xmlns:a16="http://schemas.microsoft.com/office/drawing/2014/main" id="{DEB16D97-B719-4185-A455-421230A0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5" name="Picture 2" descr="검정로고만">
          <a:extLst>
            <a:ext uri="{FF2B5EF4-FFF2-40B4-BE49-F238E27FC236}">
              <a16:creationId xmlns:a16="http://schemas.microsoft.com/office/drawing/2014/main" id="{63F6041D-AB39-4D25-9C58-7A0DAD8B3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6" name="Picture 2" descr="검정로고만">
          <a:extLst>
            <a:ext uri="{FF2B5EF4-FFF2-40B4-BE49-F238E27FC236}">
              <a16:creationId xmlns:a16="http://schemas.microsoft.com/office/drawing/2014/main" id="{ADE7D898-2102-439A-BDA8-1934F7617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7" name="Picture 2" descr="검정로고만">
          <a:extLst>
            <a:ext uri="{FF2B5EF4-FFF2-40B4-BE49-F238E27FC236}">
              <a16:creationId xmlns:a16="http://schemas.microsoft.com/office/drawing/2014/main" id="{8CAB5AA6-17F4-4EF9-8BCB-E6472EB4C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8" name="Picture 2" descr="검정로고만">
          <a:extLst>
            <a:ext uri="{FF2B5EF4-FFF2-40B4-BE49-F238E27FC236}">
              <a16:creationId xmlns:a16="http://schemas.microsoft.com/office/drawing/2014/main" id="{A89752FB-1380-4705-8AC5-530C77D2B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09" name="Picture 2" descr="검정로고만">
          <a:extLst>
            <a:ext uri="{FF2B5EF4-FFF2-40B4-BE49-F238E27FC236}">
              <a16:creationId xmlns:a16="http://schemas.microsoft.com/office/drawing/2014/main" id="{4A335819-024C-404B-8E65-86178399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0" name="Picture 2" descr="검정로고만">
          <a:extLst>
            <a:ext uri="{FF2B5EF4-FFF2-40B4-BE49-F238E27FC236}">
              <a16:creationId xmlns:a16="http://schemas.microsoft.com/office/drawing/2014/main" id="{60650E46-B851-4C56-8C88-F7111E3C9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1" name="Picture 2" descr="검정로고만">
          <a:extLst>
            <a:ext uri="{FF2B5EF4-FFF2-40B4-BE49-F238E27FC236}">
              <a16:creationId xmlns:a16="http://schemas.microsoft.com/office/drawing/2014/main" id="{0C246542-9EA8-4E7E-8C19-52865378A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2" name="Picture 2" descr="검정로고만">
          <a:extLst>
            <a:ext uri="{FF2B5EF4-FFF2-40B4-BE49-F238E27FC236}">
              <a16:creationId xmlns:a16="http://schemas.microsoft.com/office/drawing/2014/main" id="{455994B8-20FB-41E3-92F9-70EB4A9F6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3" name="Picture 2" descr="검정로고만">
          <a:extLst>
            <a:ext uri="{FF2B5EF4-FFF2-40B4-BE49-F238E27FC236}">
              <a16:creationId xmlns:a16="http://schemas.microsoft.com/office/drawing/2014/main" id="{CA9EA71D-53FB-4449-B099-9F33DB2EA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4" name="Picture 2" descr="검정로고만">
          <a:extLst>
            <a:ext uri="{FF2B5EF4-FFF2-40B4-BE49-F238E27FC236}">
              <a16:creationId xmlns:a16="http://schemas.microsoft.com/office/drawing/2014/main" id="{03EDC835-B051-45B0-88B9-498714495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5" name="Picture 2" descr="검정로고만">
          <a:extLst>
            <a:ext uri="{FF2B5EF4-FFF2-40B4-BE49-F238E27FC236}">
              <a16:creationId xmlns:a16="http://schemas.microsoft.com/office/drawing/2014/main" id="{E371DA99-C29A-449D-8BAC-9D1724A85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6" name="Picture 2" descr="검정로고만">
          <a:extLst>
            <a:ext uri="{FF2B5EF4-FFF2-40B4-BE49-F238E27FC236}">
              <a16:creationId xmlns:a16="http://schemas.microsoft.com/office/drawing/2014/main" id="{30D9B7EB-5742-459B-8C1F-CCA1C3472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7" name="Picture 2" descr="검정로고만">
          <a:extLst>
            <a:ext uri="{FF2B5EF4-FFF2-40B4-BE49-F238E27FC236}">
              <a16:creationId xmlns:a16="http://schemas.microsoft.com/office/drawing/2014/main" id="{7CF67160-E4DF-4A9A-A345-7194974C8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518" name="Picture 3" descr="검정 글씨만">
          <a:extLst>
            <a:ext uri="{FF2B5EF4-FFF2-40B4-BE49-F238E27FC236}">
              <a16:creationId xmlns:a16="http://schemas.microsoft.com/office/drawing/2014/main" id="{DA3FE9DF-85A9-4F11-957A-5B87759B9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19" name="Picture 2" descr="검정로고만">
          <a:extLst>
            <a:ext uri="{FF2B5EF4-FFF2-40B4-BE49-F238E27FC236}">
              <a16:creationId xmlns:a16="http://schemas.microsoft.com/office/drawing/2014/main" id="{B8E29CDF-8116-414D-B145-F1D0FF485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0" name="Picture 2" descr="검정로고만">
          <a:extLst>
            <a:ext uri="{FF2B5EF4-FFF2-40B4-BE49-F238E27FC236}">
              <a16:creationId xmlns:a16="http://schemas.microsoft.com/office/drawing/2014/main" id="{A34B2947-4EFE-47D9-A79B-97BD7F5B9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1" name="Picture 2" descr="검정로고만">
          <a:extLst>
            <a:ext uri="{FF2B5EF4-FFF2-40B4-BE49-F238E27FC236}">
              <a16:creationId xmlns:a16="http://schemas.microsoft.com/office/drawing/2014/main" id="{D7309C1D-D1B9-47B2-9551-4711EE2B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2" name="Picture 2" descr="검정로고만">
          <a:extLst>
            <a:ext uri="{FF2B5EF4-FFF2-40B4-BE49-F238E27FC236}">
              <a16:creationId xmlns:a16="http://schemas.microsoft.com/office/drawing/2014/main" id="{F3265570-7738-4503-9C7D-E4290A53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3" name="Picture 2" descr="검정로고만">
          <a:extLst>
            <a:ext uri="{FF2B5EF4-FFF2-40B4-BE49-F238E27FC236}">
              <a16:creationId xmlns:a16="http://schemas.microsoft.com/office/drawing/2014/main" id="{C5DAC9C4-77E2-4D19-9114-A94A0146D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4" name="Picture 2" descr="검정로고만">
          <a:extLst>
            <a:ext uri="{FF2B5EF4-FFF2-40B4-BE49-F238E27FC236}">
              <a16:creationId xmlns:a16="http://schemas.microsoft.com/office/drawing/2014/main" id="{9F792601-4DB2-4C4C-9EB6-AFC8A8A7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5" name="Picture 2" descr="검정로고만">
          <a:extLst>
            <a:ext uri="{FF2B5EF4-FFF2-40B4-BE49-F238E27FC236}">
              <a16:creationId xmlns:a16="http://schemas.microsoft.com/office/drawing/2014/main" id="{BB56DF08-4DBE-45A0-8BFA-A3FB2DF7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6" name="Picture 2" descr="검정로고만">
          <a:extLst>
            <a:ext uri="{FF2B5EF4-FFF2-40B4-BE49-F238E27FC236}">
              <a16:creationId xmlns:a16="http://schemas.microsoft.com/office/drawing/2014/main" id="{95F14340-4C34-4F8C-8AE8-ED95AF181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527" name="Picture 3" descr="검정 글씨만">
          <a:extLst>
            <a:ext uri="{FF2B5EF4-FFF2-40B4-BE49-F238E27FC236}">
              <a16:creationId xmlns:a16="http://schemas.microsoft.com/office/drawing/2014/main" id="{BD5916F8-4B89-4BC4-8BCF-D96C21B90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8" name="Picture 2" descr="검정로고만">
          <a:extLst>
            <a:ext uri="{FF2B5EF4-FFF2-40B4-BE49-F238E27FC236}">
              <a16:creationId xmlns:a16="http://schemas.microsoft.com/office/drawing/2014/main" id="{858DBBF4-36AE-4C18-89A4-F8A01430F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29" name="Picture 2" descr="검정로고만">
          <a:extLst>
            <a:ext uri="{FF2B5EF4-FFF2-40B4-BE49-F238E27FC236}">
              <a16:creationId xmlns:a16="http://schemas.microsoft.com/office/drawing/2014/main" id="{8218F1F2-DF05-43D8-A443-32375265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0" name="Picture 2" descr="검정로고만">
          <a:extLst>
            <a:ext uri="{FF2B5EF4-FFF2-40B4-BE49-F238E27FC236}">
              <a16:creationId xmlns:a16="http://schemas.microsoft.com/office/drawing/2014/main" id="{0EF0C6DC-CE81-4F7E-BF75-C8FEB2B0C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1" name="Picture 2" descr="검정로고만">
          <a:extLst>
            <a:ext uri="{FF2B5EF4-FFF2-40B4-BE49-F238E27FC236}">
              <a16:creationId xmlns:a16="http://schemas.microsoft.com/office/drawing/2014/main" id="{33F2C172-63E2-4D86-98A7-196FBCC92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2" name="Picture 2" descr="검정로고만">
          <a:extLst>
            <a:ext uri="{FF2B5EF4-FFF2-40B4-BE49-F238E27FC236}">
              <a16:creationId xmlns:a16="http://schemas.microsoft.com/office/drawing/2014/main" id="{4952E2E1-2F89-4788-9E1E-670131447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3" name="Picture 2" descr="검정로고만">
          <a:extLst>
            <a:ext uri="{FF2B5EF4-FFF2-40B4-BE49-F238E27FC236}">
              <a16:creationId xmlns:a16="http://schemas.microsoft.com/office/drawing/2014/main" id="{1994F533-2A29-44B5-8785-4AE2031BA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4" name="Picture 2" descr="검정로고만">
          <a:extLst>
            <a:ext uri="{FF2B5EF4-FFF2-40B4-BE49-F238E27FC236}">
              <a16:creationId xmlns:a16="http://schemas.microsoft.com/office/drawing/2014/main" id="{6382819C-50CD-4740-9725-E5DA823C5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5" name="Picture 2" descr="검정로고만">
          <a:extLst>
            <a:ext uri="{FF2B5EF4-FFF2-40B4-BE49-F238E27FC236}">
              <a16:creationId xmlns:a16="http://schemas.microsoft.com/office/drawing/2014/main" id="{D1533DE1-302E-4B96-8A8A-F1D2C715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536" name="Picture 3" descr="검정 글씨만">
          <a:extLst>
            <a:ext uri="{FF2B5EF4-FFF2-40B4-BE49-F238E27FC236}">
              <a16:creationId xmlns:a16="http://schemas.microsoft.com/office/drawing/2014/main" id="{02A0D874-8517-4FA0-A451-B93CD8A5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7" name="Picture 2" descr="검정로고만">
          <a:extLst>
            <a:ext uri="{FF2B5EF4-FFF2-40B4-BE49-F238E27FC236}">
              <a16:creationId xmlns:a16="http://schemas.microsoft.com/office/drawing/2014/main" id="{CBF33FBB-8369-4E19-B601-25C95D84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8" name="Picture 2" descr="검정로고만">
          <a:extLst>
            <a:ext uri="{FF2B5EF4-FFF2-40B4-BE49-F238E27FC236}">
              <a16:creationId xmlns:a16="http://schemas.microsoft.com/office/drawing/2014/main" id="{B706138C-11F4-4CE8-8A57-0A834EBAE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39" name="Picture 2" descr="검정로고만">
          <a:extLst>
            <a:ext uri="{FF2B5EF4-FFF2-40B4-BE49-F238E27FC236}">
              <a16:creationId xmlns:a16="http://schemas.microsoft.com/office/drawing/2014/main" id="{F3BFA2EC-1741-4118-8085-4A670480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0" name="Picture 2" descr="검정로고만">
          <a:extLst>
            <a:ext uri="{FF2B5EF4-FFF2-40B4-BE49-F238E27FC236}">
              <a16:creationId xmlns:a16="http://schemas.microsoft.com/office/drawing/2014/main" id="{7F286FE1-FFBB-4C21-8C15-95D5CB06A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1" name="Picture 2" descr="검정로고만">
          <a:extLst>
            <a:ext uri="{FF2B5EF4-FFF2-40B4-BE49-F238E27FC236}">
              <a16:creationId xmlns:a16="http://schemas.microsoft.com/office/drawing/2014/main" id="{8621BB9F-A7CE-4238-9FDB-9B370E83B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2" name="Picture 2" descr="검정로고만">
          <a:extLst>
            <a:ext uri="{FF2B5EF4-FFF2-40B4-BE49-F238E27FC236}">
              <a16:creationId xmlns:a16="http://schemas.microsoft.com/office/drawing/2014/main" id="{B5105626-F085-42E3-AB88-DFC6568DD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3" name="Picture 2" descr="검정로고만">
          <a:extLst>
            <a:ext uri="{FF2B5EF4-FFF2-40B4-BE49-F238E27FC236}">
              <a16:creationId xmlns:a16="http://schemas.microsoft.com/office/drawing/2014/main" id="{4D1B6B8C-7211-4B3C-A642-2345B9DBD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4" name="Picture 2" descr="검정로고만">
          <a:extLst>
            <a:ext uri="{FF2B5EF4-FFF2-40B4-BE49-F238E27FC236}">
              <a16:creationId xmlns:a16="http://schemas.microsoft.com/office/drawing/2014/main" id="{295850DF-EE4D-4B8E-9076-810E3B784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5" name="Picture 2" descr="검정로고만">
          <a:extLst>
            <a:ext uri="{FF2B5EF4-FFF2-40B4-BE49-F238E27FC236}">
              <a16:creationId xmlns:a16="http://schemas.microsoft.com/office/drawing/2014/main" id="{5DD3CB5E-A151-443B-8614-5BB466FDC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6" name="Picture 2" descr="검정로고만">
          <a:extLst>
            <a:ext uri="{FF2B5EF4-FFF2-40B4-BE49-F238E27FC236}">
              <a16:creationId xmlns:a16="http://schemas.microsoft.com/office/drawing/2014/main" id="{825645BD-88A2-43CE-9750-9EB09FF3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7" name="Picture 2" descr="검정로고만">
          <a:extLst>
            <a:ext uri="{FF2B5EF4-FFF2-40B4-BE49-F238E27FC236}">
              <a16:creationId xmlns:a16="http://schemas.microsoft.com/office/drawing/2014/main" id="{71402BA5-09C5-4938-8056-86FA695B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8" name="Picture 2" descr="검정로고만">
          <a:extLst>
            <a:ext uri="{FF2B5EF4-FFF2-40B4-BE49-F238E27FC236}">
              <a16:creationId xmlns:a16="http://schemas.microsoft.com/office/drawing/2014/main" id="{DEE9BF6D-5348-40A5-864F-6CF48D28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49" name="Picture 2" descr="검정로고만">
          <a:extLst>
            <a:ext uri="{FF2B5EF4-FFF2-40B4-BE49-F238E27FC236}">
              <a16:creationId xmlns:a16="http://schemas.microsoft.com/office/drawing/2014/main" id="{11F7716B-B6E0-4435-A3F6-C6D75A684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0" name="Picture 2" descr="검정로고만">
          <a:extLst>
            <a:ext uri="{FF2B5EF4-FFF2-40B4-BE49-F238E27FC236}">
              <a16:creationId xmlns:a16="http://schemas.microsoft.com/office/drawing/2014/main" id="{5F9F4A50-C73F-4DFC-8B3B-3FD56AB4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1" name="Picture 2" descr="검정로고만">
          <a:extLst>
            <a:ext uri="{FF2B5EF4-FFF2-40B4-BE49-F238E27FC236}">
              <a16:creationId xmlns:a16="http://schemas.microsoft.com/office/drawing/2014/main" id="{7BF6633F-B2AA-4CF0-B480-4E06A3F4D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2" name="Picture 2" descr="검정로고만">
          <a:extLst>
            <a:ext uri="{FF2B5EF4-FFF2-40B4-BE49-F238E27FC236}">
              <a16:creationId xmlns:a16="http://schemas.microsoft.com/office/drawing/2014/main" id="{8A908C17-BC41-4BE3-8518-B72F07CE3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3" name="Picture 2" descr="검정로고만">
          <a:extLst>
            <a:ext uri="{FF2B5EF4-FFF2-40B4-BE49-F238E27FC236}">
              <a16:creationId xmlns:a16="http://schemas.microsoft.com/office/drawing/2014/main" id="{17EC65D4-017D-4C3B-ABE8-72C9D0609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4" name="Picture 2" descr="검정로고만">
          <a:extLst>
            <a:ext uri="{FF2B5EF4-FFF2-40B4-BE49-F238E27FC236}">
              <a16:creationId xmlns:a16="http://schemas.microsoft.com/office/drawing/2014/main" id="{9B1CDA8E-688B-4CAB-B2FD-9C7624E0A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5" name="Picture 2" descr="검정로고만">
          <a:extLst>
            <a:ext uri="{FF2B5EF4-FFF2-40B4-BE49-F238E27FC236}">
              <a16:creationId xmlns:a16="http://schemas.microsoft.com/office/drawing/2014/main" id="{F5349852-C7DB-490D-B867-9377FF4F0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6" name="Picture 2" descr="검정로고만">
          <a:extLst>
            <a:ext uri="{FF2B5EF4-FFF2-40B4-BE49-F238E27FC236}">
              <a16:creationId xmlns:a16="http://schemas.microsoft.com/office/drawing/2014/main" id="{77C936FE-ED08-482D-951B-16A3F3167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7" name="Picture 2" descr="검정로고만">
          <a:extLst>
            <a:ext uri="{FF2B5EF4-FFF2-40B4-BE49-F238E27FC236}">
              <a16:creationId xmlns:a16="http://schemas.microsoft.com/office/drawing/2014/main" id="{AA62011F-CB6E-46C5-AACB-57A2E1A25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8" name="Picture 2" descr="검정로고만">
          <a:extLst>
            <a:ext uri="{FF2B5EF4-FFF2-40B4-BE49-F238E27FC236}">
              <a16:creationId xmlns:a16="http://schemas.microsoft.com/office/drawing/2014/main" id="{45A13FAA-32C0-4513-9146-92E295F7E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59" name="Picture 2" descr="검정로고만">
          <a:extLst>
            <a:ext uri="{FF2B5EF4-FFF2-40B4-BE49-F238E27FC236}">
              <a16:creationId xmlns:a16="http://schemas.microsoft.com/office/drawing/2014/main" id="{FBB1F4B3-D025-4A87-BA45-3D23401B7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0" name="Picture 2" descr="검정로고만">
          <a:extLst>
            <a:ext uri="{FF2B5EF4-FFF2-40B4-BE49-F238E27FC236}">
              <a16:creationId xmlns:a16="http://schemas.microsoft.com/office/drawing/2014/main" id="{06691711-E89C-4674-8A7F-D82321A2F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1" name="Picture 2" descr="검정로고만">
          <a:extLst>
            <a:ext uri="{FF2B5EF4-FFF2-40B4-BE49-F238E27FC236}">
              <a16:creationId xmlns:a16="http://schemas.microsoft.com/office/drawing/2014/main" id="{BA5C2D41-45A2-4120-B154-6A4E3C62C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2" name="Picture 2" descr="검정로고만">
          <a:extLst>
            <a:ext uri="{FF2B5EF4-FFF2-40B4-BE49-F238E27FC236}">
              <a16:creationId xmlns:a16="http://schemas.microsoft.com/office/drawing/2014/main" id="{01B6643B-C7E1-4E68-AAC8-F42A66F68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3" name="Picture 2" descr="검정로고만">
          <a:extLst>
            <a:ext uri="{FF2B5EF4-FFF2-40B4-BE49-F238E27FC236}">
              <a16:creationId xmlns:a16="http://schemas.microsoft.com/office/drawing/2014/main" id="{C7DC3F8B-7787-480E-8558-0A1A8318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4" name="Picture 2" descr="검정로고만">
          <a:extLst>
            <a:ext uri="{FF2B5EF4-FFF2-40B4-BE49-F238E27FC236}">
              <a16:creationId xmlns:a16="http://schemas.microsoft.com/office/drawing/2014/main" id="{17EC1CB7-4B92-4B4A-84B7-7368E1523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5" name="Picture 2" descr="검정로고만">
          <a:extLst>
            <a:ext uri="{FF2B5EF4-FFF2-40B4-BE49-F238E27FC236}">
              <a16:creationId xmlns:a16="http://schemas.microsoft.com/office/drawing/2014/main" id="{52DE2E8F-F7ED-4E09-BA93-41EEF757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6" name="Picture 2" descr="검정로고만">
          <a:extLst>
            <a:ext uri="{FF2B5EF4-FFF2-40B4-BE49-F238E27FC236}">
              <a16:creationId xmlns:a16="http://schemas.microsoft.com/office/drawing/2014/main" id="{1E13C676-13DC-4AA4-8C04-EE58A8CFB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7" name="Picture 2" descr="검정로고만">
          <a:extLst>
            <a:ext uri="{FF2B5EF4-FFF2-40B4-BE49-F238E27FC236}">
              <a16:creationId xmlns:a16="http://schemas.microsoft.com/office/drawing/2014/main" id="{C5F9B92F-41CF-4D2E-A973-E70322AB3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8" name="Picture 2" descr="검정로고만">
          <a:extLst>
            <a:ext uri="{FF2B5EF4-FFF2-40B4-BE49-F238E27FC236}">
              <a16:creationId xmlns:a16="http://schemas.microsoft.com/office/drawing/2014/main" id="{41635C64-EC82-455A-B3ED-FCD81E3CB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69" name="Picture 2" descr="검정로고만">
          <a:extLst>
            <a:ext uri="{FF2B5EF4-FFF2-40B4-BE49-F238E27FC236}">
              <a16:creationId xmlns:a16="http://schemas.microsoft.com/office/drawing/2014/main" id="{D3B9964E-04BC-418F-9D10-0E154F019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0" name="Picture 2" descr="검정로고만">
          <a:extLst>
            <a:ext uri="{FF2B5EF4-FFF2-40B4-BE49-F238E27FC236}">
              <a16:creationId xmlns:a16="http://schemas.microsoft.com/office/drawing/2014/main" id="{45F227CB-00B7-48DC-81BE-5E643D080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1" name="Picture 2" descr="검정로고만">
          <a:extLst>
            <a:ext uri="{FF2B5EF4-FFF2-40B4-BE49-F238E27FC236}">
              <a16:creationId xmlns:a16="http://schemas.microsoft.com/office/drawing/2014/main" id="{79210980-5855-4E89-9337-61716198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2" name="Picture 2" descr="검정로고만">
          <a:extLst>
            <a:ext uri="{FF2B5EF4-FFF2-40B4-BE49-F238E27FC236}">
              <a16:creationId xmlns:a16="http://schemas.microsoft.com/office/drawing/2014/main" id="{5CE5B133-FAE1-41BF-A675-AC755262C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3" name="Picture 2" descr="검정로고만">
          <a:extLst>
            <a:ext uri="{FF2B5EF4-FFF2-40B4-BE49-F238E27FC236}">
              <a16:creationId xmlns:a16="http://schemas.microsoft.com/office/drawing/2014/main" id="{AA994D2E-874F-4A1C-8D18-86C54C02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4" name="Picture 2" descr="검정로고만">
          <a:extLst>
            <a:ext uri="{FF2B5EF4-FFF2-40B4-BE49-F238E27FC236}">
              <a16:creationId xmlns:a16="http://schemas.microsoft.com/office/drawing/2014/main" id="{2EA276A4-07AF-4C07-9764-9B44671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5" name="Picture 2" descr="검정로고만">
          <a:extLst>
            <a:ext uri="{FF2B5EF4-FFF2-40B4-BE49-F238E27FC236}">
              <a16:creationId xmlns:a16="http://schemas.microsoft.com/office/drawing/2014/main" id="{8BB79AC0-4763-4A7C-9740-F86469980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6" name="Picture 2" descr="검정로고만">
          <a:extLst>
            <a:ext uri="{FF2B5EF4-FFF2-40B4-BE49-F238E27FC236}">
              <a16:creationId xmlns:a16="http://schemas.microsoft.com/office/drawing/2014/main" id="{6FBA9194-9D19-41F8-A704-29BFFFCCEF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577" name="Picture 3" descr="검정 글씨만">
          <a:extLst>
            <a:ext uri="{FF2B5EF4-FFF2-40B4-BE49-F238E27FC236}">
              <a16:creationId xmlns:a16="http://schemas.microsoft.com/office/drawing/2014/main" id="{7F83C53C-9B31-40B0-A375-B85857128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8" name="Picture 2" descr="검정로고만">
          <a:extLst>
            <a:ext uri="{FF2B5EF4-FFF2-40B4-BE49-F238E27FC236}">
              <a16:creationId xmlns:a16="http://schemas.microsoft.com/office/drawing/2014/main" id="{651A357E-39D1-45CE-97D3-FA3D87968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79" name="Picture 2" descr="검정로고만">
          <a:extLst>
            <a:ext uri="{FF2B5EF4-FFF2-40B4-BE49-F238E27FC236}">
              <a16:creationId xmlns:a16="http://schemas.microsoft.com/office/drawing/2014/main" id="{C3ACA35D-280C-43AB-BBBC-1BE90B83F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0" name="Picture 2" descr="검정로고만">
          <a:extLst>
            <a:ext uri="{FF2B5EF4-FFF2-40B4-BE49-F238E27FC236}">
              <a16:creationId xmlns:a16="http://schemas.microsoft.com/office/drawing/2014/main" id="{675AC542-602F-4E35-8B74-6C79AA6F8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1" name="Picture 2" descr="검정로고만">
          <a:extLst>
            <a:ext uri="{FF2B5EF4-FFF2-40B4-BE49-F238E27FC236}">
              <a16:creationId xmlns:a16="http://schemas.microsoft.com/office/drawing/2014/main" id="{370B9213-16D0-49E1-B800-57F3E7A33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2" name="Picture 2" descr="검정로고만">
          <a:extLst>
            <a:ext uri="{FF2B5EF4-FFF2-40B4-BE49-F238E27FC236}">
              <a16:creationId xmlns:a16="http://schemas.microsoft.com/office/drawing/2014/main" id="{CBC56995-3CFE-445E-AF84-228AF9AAB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3" name="Picture 2" descr="검정로고만">
          <a:extLst>
            <a:ext uri="{FF2B5EF4-FFF2-40B4-BE49-F238E27FC236}">
              <a16:creationId xmlns:a16="http://schemas.microsoft.com/office/drawing/2014/main" id="{36C44779-0A58-4AA4-9F86-E2CD2B42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4" name="Picture 2" descr="검정로고만">
          <a:extLst>
            <a:ext uri="{FF2B5EF4-FFF2-40B4-BE49-F238E27FC236}">
              <a16:creationId xmlns:a16="http://schemas.microsoft.com/office/drawing/2014/main" id="{3B90AC3B-BAA7-432C-8580-F31AAC6F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5" name="Picture 2" descr="검정로고만">
          <a:extLst>
            <a:ext uri="{FF2B5EF4-FFF2-40B4-BE49-F238E27FC236}">
              <a16:creationId xmlns:a16="http://schemas.microsoft.com/office/drawing/2014/main" id="{B91F7083-9F15-4C29-BC5C-75E5CE75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586" name="Picture 3" descr="검정 글씨만">
          <a:extLst>
            <a:ext uri="{FF2B5EF4-FFF2-40B4-BE49-F238E27FC236}">
              <a16:creationId xmlns:a16="http://schemas.microsoft.com/office/drawing/2014/main" id="{A204AB50-599D-4C6D-9D8C-16CA603F1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7" name="Picture 2" descr="검정로고만">
          <a:extLst>
            <a:ext uri="{FF2B5EF4-FFF2-40B4-BE49-F238E27FC236}">
              <a16:creationId xmlns:a16="http://schemas.microsoft.com/office/drawing/2014/main" id="{C83BAA2B-26B0-434C-AAF1-CEF1A72E4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8" name="Picture 2" descr="검정로고만">
          <a:extLst>
            <a:ext uri="{FF2B5EF4-FFF2-40B4-BE49-F238E27FC236}">
              <a16:creationId xmlns:a16="http://schemas.microsoft.com/office/drawing/2014/main" id="{BB39DEA6-1036-41B4-9B95-0D69307E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89" name="Picture 2" descr="검정로고만">
          <a:extLst>
            <a:ext uri="{FF2B5EF4-FFF2-40B4-BE49-F238E27FC236}">
              <a16:creationId xmlns:a16="http://schemas.microsoft.com/office/drawing/2014/main" id="{4419FB64-DCD0-458E-AB4C-5D2BBDB3A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0" name="Picture 2" descr="검정로고만">
          <a:extLst>
            <a:ext uri="{FF2B5EF4-FFF2-40B4-BE49-F238E27FC236}">
              <a16:creationId xmlns:a16="http://schemas.microsoft.com/office/drawing/2014/main" id="{C386711B-25C9-4D58-A972-8BFA71486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1" name="Picture 2" descr="검정로고만">
          <a:extLst>
            <a:ext uri="{FF2B5EF4-FFF2-40B4-BE49-F238E27FC236}">
              <a16:creationId xmlns:a16="http://schemas.microsoft.com/office/drawing/2014/main" id="{EE9F78ED-622F-45A2-BA90-C31C3380C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2" name="Picture 2" descr="검정로고만">
          <a:extLst>
            <a:ext uri="{FF2B5EF4-FFF2-40B4-BE49-F238E27FC236}">
              <a16:creationId xmlns:a16="http://schemas.microsoft.com/office/drawing/2014/main" id="{354CD070-C30E-4829-8623-EBAEC822F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3" name="Picture 2" descr="검정로고만">
          <a:extLst>
            <a:ext uri="{FF2B5EF4-FFF2-40B4-BE49-F238E27FC236}">
              <a16:creationId xmlns:a16="http://schemas.microsoft.com/office/drawing/2014/main" id="{7C77934B-0665-4599-AF14-2509A69F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4" name="Picture 2" descr="검정로고만">
          <a:extLst>
            <a:ext uri="{FF2B5EF4-FFF2-40B4-BE49-F238E27FC236}">
              <a16:creationId xmlns:a16="http://schemas.microsoft.com/office/drawing/2014/main" id="{251CD671-8998-4F06-9B66-2AB80E1DF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5" name="Picture 2" descr="검정로고만">
          <a:extLst>
            <a:ext uri="{FF2B5EF4-FFF2-40B4-BE49-F238E27FC236}">
              <a16:creationId xmlns:a16="http://schemas.microsoft.com/office/drawing/2014/main" id="{B74ACB53-D48C-40B3-AF66-4AE3DE536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6" name="Picture 2" descr="검정로고만">
          <a:extLst>
            <a:ext uri="{FF2B5EF4-FFF2-40B4-BE49-F238E27FC236}">
              <a16:creationId xmlns:a16="http://schemas.microsoft.com/office/drawing/2014/main" id="{237204E3-8B5F-4055-8D7E-B32D098AE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7" name="Picture 2" descr="검정로고만">
          <a:extLst>
            <a:ext uri="{FF2B5EF4-FFF2-40B4-BE49-F238E27FC236}">
              <a16:creationId xmlns:a16="http://schemas.microsoft.com/office/drawing/2014/main" id="{E5CD11E9-BDF8-4A1B-AC23-82E0EBD6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8" name="Picture 2" descr="검정로고만">
          <a:extLst>
            <a:ext uri="{FF2B5EF4-FFF2-40B4-BE49-F238E27FC236}">
              <a16:creationId xmlns:a16="http://schemas.microsoft.com/office/drawing/2014/main" id="{4D60B19D-7E9D-41E9-B5D5-A7417344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599" name="Picture 2" descr="검정로고만">
          <a:extLst>
            <a:ext uri="{FF2B5EF4-FFF2-40B4-BE49-F238E27FC236}">
              <a16:creationId xmlns:a16="http://schemas.microsoft.com/office/drawing/2014/main" id="{4F4715AA-F292-4163-8686-26A89122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0" name="Picture 2" descr="검정로고만">
          <a:extLst>
            <a:ext uri="{FF2B5EF4-FFF2-40B4-BE49-F238E27FC236}">
              <a16:creationId xmlns:a16="http://schemas.microsoft.com/office/drawing/2014/main" id="{F16D5634-2EB7-4763-A6A4-CA2046DF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1" name="Picture 2" descr="검정로고만">
          <a:extLst>
            <a:ext uri="{FF2B5EF4-FFF2-40B4-BE49-F238E27FC236}">
              <a16:creationId xmlns:a16="http://schemas.microsoft.com/office/drawing/2014/main" id="{D44C50D1-042B-4441-AB6D-9E326D716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2" name="Picture 2" descr="검정로고만">
          <a:extLst>
            <a:ext uri="{FF2B5EF4-FFF2-40B4-BE49-F238E27FC236}">
              <a16:creationId xmlns:a16="http://schemas.microsoft.com/office/drawing/2014/main" id="{5B2AD61A-6573-4B16-BBD5-ADA4257F8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3" name="Picture 2" descr="검정로고만">
          <a:extLst>
            <a:ext uri="{FF2B5EF4-FFF2-40B4-BE49-F238E27FC236}">
              <a16:creationId xmlns:a16="http://schemas.microsoft.com/office/drawing/2014/main" id="{135B30DA-1BB9-44E5-9B9B-DA6D1F955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4" name="Picture 2" descr="검정로고만">
          <a:extLst>
            <a:ext uri="{FF2B5EF4-FFF2-40B4-BE49-F238E27FC236}">
              <a16:creationId xmlns:a16="http://schemas.microsoft.com/office/drawing/2014/main" id="{874E9D84-C175-4381-9A67-911E91FBA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5" name="Picture 2" descr="검정로고만">
          <a:extLst>
            <a:ext uri="{FF2B5EF4-FFF2-40B4-BE49-F238E27FC236}">
              <a16:creationId xmlns:a16="http://schemas.microsoft.com/office/drawing/2014/main" id="{B408A596-462B-4812-A9F6-17AE8FDEF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6" name="Picture 2" descr="검정로고만">
          <a:extLst>
            <a:ext uri="{FF2B5EF4-FFF2-40B4-BE49-F238E27FC236}">
              <a16:creationId xmlns:a16="http://schemas.microsoft.com/office/drawing/2014/main" id="{8C8539A2-DAE5-4728-88D2-FCF0B2F4E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7" name="Picture 2" descr="검정로고만">
          <a:extLst>
            <a:ext uri="{FF2B5EF4-FFF2-40B4-BE49-F238E27FC236}">
              <a16:creationId xmlns:a16="http://schemas.microsoft.com/office/drawing/2014/main" id="{B0DE3106-BAA1-4386-A8F1-B0BAE5255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8" name="Picture 2" descr="검정로고만">
          <a:extLst>
            <a:ext uri="{FF2B5EF4-FFF2-40B4-BE49-F238E27FC236}">
              <a16:creationId xmlns:a16="http://schemas.microsoft.com/office/drawing/2014/main" id="{4435F0A1-42D4-4C80-A541-99EDE24C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09" name="Picture 2" descr="검정로고만">
          <a:extLst>
            <a:ext uri="{FF2B5EF4-FFF2-40B4-BE49-F238E27FC236}">
              <a16:creationId xmlns:a16="http://schemas.microsoft.com/office/drawing/2014/main" id="{58AE1A72-E314-455E-9E8D-D12DA027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0" name="Picture 2" descr="검정로고만">
          <a:extLst>
            <a:ext uri="{FF2B5EF4-FFF2-40B4-BE49-F238E27FC236}">
              <a16:creationId xmlns:a16="http://schemas.microsoft.com/office/drawing/2014/main" id="{726790FF-4641-4ADF-B9D1-00574EFF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1" name="Picture 2" descr="검정로고만">
          <a:extLst>
            <a:ext uri="{FF2B5EF4-FFF2-40B4-BE49-F238E27FC236}">
              <a16:creationId xmlns:a16="http://schemas.microsoft.com/office/drawing/2014/main" id="{9AD87A1C-D7F3-4B31-836A-717802E61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2" name="Picture 2" descr="검정로고만">
          <a:extLst>
            <a:ext uri="{FF2B5EF4-FFF2-40B4-BE49-F238E27FC236}">
              <a16:creationId xmlns:a16="http://schemas.microsoft.com/office/drawing/2014/main" id="{D656CEB3-12FA-45F7-9173-33CA87BC3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3" name="Picture 2" descr="검정로고만">
          <a:extLst>
            <a:ext uri="{FF2B5EF4-FFF2-40B4-BE49-F238E27FC236}">
              <a16:creationId xmlns:a16="http://schemas.microsoft.com/office/drawing/2014/main" id="{C0021575-C6AE-45EB-A271-28B1A6CCC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4" name="Picture 2" descr="검정로고만">
          <a:extLst>
            <a:ext uri="{FF2B5EF4-FFF2-40B4-BE49-F238E27FC236}">
              <a16:creationId xmlns:a16="http://schemas.microsoft.com/office/drawing/2014/main" id="{B83DA589-75F1-49E7-910B-8EFB603C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5" name="Picture 2" descr="검정로고만">
          <a:extLst>
            <a:ext uri="{FF2B5EF4-FFF2-40B4-BE49-F238E27FC236}">
              <a16:creationId xmlns:a16="http://schemas.microsoft.com/office/drawing/2014/main" id="{53F88285-A05D-45BD-B48C-77A8113B3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6" name="Picture 2" descr="검정로고만">
          <a:extLst>
            <a:ext uri="{FF2B5EF4-FFF2-40B4-BE49-F238E27FC236}">
              <a16:creationId xmlns:a16="http://schemas.microsoft.com/office/drawing/2014/main" id="{F71FC9AB-C3E0-4063-8FB9-A33B3B5FD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7" name="Picture 2" descr="검정로고만">
          <a:extLst>
            <a:ext uri="{FF2B5EF4-FFF2-40B4-BE49-F238E27FC236}">
              <a16:creationId xmlns:a16="http://schemas.microsoft.com/office/drawing/2014/main" id="{843760B4-475B-474B-BF24-B205D46B4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8" name="Picture 2" descr="검정로고만">
          <a:extLst>
            <a:ext uri="{FF2B5EF4-FFF2-40B4-BE49-F238E27FC236}">
              <a16:creationId xmlns:a16="http://schemas.microsoft.com/office/drawing/2014/main" id="{429560F2-8710-409A-86DA-748C99A02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19" name="Picture 2" descr="검정로고만">
          <a:extLst>
            <a:ext uri="{FF2B5EF4-FFF2-40B4-BE49-F238E27FC236}">
              <a16:creationId xmlns:a16="http://schemas.microsoft.com/office/drawing/2014/main" id="{9A111003-802C-425B-9A9E-06FC9001A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0" name="Picture 2" descr="검정로고만">
          <a:extLst>
            <a:ext uri="{FF2B5EF4-FFF2-40B4-BE49-F238E27FC236}">
              <a16:creationId xmlns:a16="http://schemas.microsoft.com/office/drawing/2014/main" id="{A3B62844-7B9A-4B0C-8F8A-A6325CB5F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1" name="Picture 2" descr="검정로고만">
          <a:extLst>
            <a:ext uri="{FF2B5EF4-FFF2-40B4-BE49-F238E27FC236}">
              <a16:creationId xmlns:a16="http://schemas.microsoft.com/office/drawing/2014/main" id="{ED667810-CE89-481A-9B36-F8DCEFEF8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2" name="Picture 2" descr="검정로고만">
          <a:extLst>
            <a:ext uri="{FF2B5EF4-FFF2-40B4-BE49-F238E27FC236}">
              <a16:creationId xmlns:a16="http://schemas.microsoft.com/office/drawing/2014/main" id="{87717F80-8BC4-409E-9D89-98C00DC5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3" name="Picture 2" descr="검정로고만">
          <a:extLst>
            <a:ext uri="{FF2B5EF4-FFF2-40B4-BE49-F238E27FC236}">
              <a16:creationId xmlns:a16="http://schemas.microsoft.com/office/drawing/2014/main" id="{040E5BC5-9F48-4564-9F34-992387495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4" name="Picture 2" descr="검정로고만">
          <a:extLst>
            <a:ext uri="{FF2B5EF4-FFF2-40B4-BE49-F238E27FC236}">
              <a16:creationId xmlns:a16="http://schemas.microsoft.com/office/drawing/2014/main" id="{103D5773-9D0F-4CB1-A0CC-9D721577F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5" name="Picture 2" descr="검정로고만">
          <a:extLst>
            <a:ext uri="{FF2B5EF4-FFF2-40B4-BE49-F238E27FC236}">
              <a16:creationId xmlns:a16="http://schemas.microsoft.com/office/drawing/2014/main" id="{41C606A0-53F3-46DE-A153-CD5A68A50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6" name="Picture 2" descr="검정로고만">
          <a:extLst>
            <a:ext uri="{FF2B5EF4-FFF2-40B4-BE49-F238E27FC236}">
              <a16:creationId xmlns:a16="http://schemas.microsoft.com/office/drawing/2014/main" id="{AADB4247-3893-440E-8CA8-9E647D67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627" name="Picture 3" descr="검정 글씨만">
          <a:extLst>
            <a:ext uri="{FF2B5EF4-FFF2-40B4-BE49-F238E27FC236}">
              <a16:creationId xmlns:a16="http://schemas.microsoft.com/office/drawing/2014/main" id="{6DDB928B-10A1-4397-827C-F989011A6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8" name="Picture 2" descr="검정로고만">
          <a:extLst>
            <a:ext uri="{FF2B5EF4-FFF2-40B4-BE49-F238E27FC236}">
              <a16:creationId xmlns:a16="http://schemas.microsoft.com/office/drawing/2014/main" id="{DDDF8519-A481-4521-AE90-9B5726031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29" name="Picture 2" descr="검정로고만">
          <a:extLst>
            <a:ext uri="{FF2B5EF4-FFF2-40B4-BE49-F238E27FC236}">
              <a16:creationId xmlns:a16="http://schemas.microsoft.com/office/drawing/2014/main" id="{E0370302-ED69-40ED-BADA-1132D5543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0" name="Picture 2" descr="검정로고만">
          <a:extLst>
            <a:ext uri="{FF2B5EF4-FFF2-40B4-BE49-F238E27FC236}">
              <a16:creationId xmlns:a16="http://schemas.microsoft.com/office/drawing/2014/main" id="{D77F9FA1-C109-4CDA-9D6F-D527347B8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1" name="Picture 2" descr="검정로고만">
          <a:extLst>
            <a:ext uri="{FF2B5EF4-FFF2-40B4-BE49-F238E27FC236}">
              <a16:creationId xmlns:a16="http://schemas.microsoft.com/office/drawing/2014/main" id="{F6F197AA-3B6D-480D-9A66-5B033752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2" name="Picture 2" descr="검정로고만">
          <a:extLst>
            <a:ext uri="{FF2B5EF4-FFF2-40B4-BE49-F238E27FC236}">
              <a16:creationId xmlns:a16="http://schemas.microsoft.com/office/drawing/2014/main" id="{B86FE88D-6710-4B6A-8444-3426758F5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3" name="Picture 2" descr="검정로고만">
          <a:extLst>
            <a:ext uri="{FF2B5EF4-FFF2-40B4-BE49-F238E27FC236}">
              <a16:creationId xmlns:a16="http://schemas.microsoft.com/office/drawing/2014/main" id="{2FDCB18C-3CB7-4CFE-AF38-3A36D7554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4" name="Picture 2" descr="검정로고만">
          <a:extLst>
            <a:ext uri="{FF2B5EF4-FFF2-40B4-BE49-F238E27FC236}">
              <a16:creationId xmlns:a16="http://schemas.microsoft.com/office/drawing/2014/main" id="{DEE5615F-3E1F-4FAB-8919-58079CD2D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5" name="Picture 2" descr="검정로고만">
          <a:extLst>
            <a:ext uri="{FF2B5EF4-FFF2-40B4-BE49-F238E27FC236}">
              <a16:creationId xmlns:a16="http://schemas.microsoft.com/office/drawing/2014/main" id="{1815EFD4-0997-463C-90FF-F11965A47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636" name="Picture 3" descr="검정 글씨만">
          <a:extLst>
            <a:ext uri="{FF2B5EF4-FFF2-40B4-BE49-F238E27FC236}">
              <a16:creationId xmlns:a16="http://schemas.microsoft.com/office/drawing/2014/main" id="{26C47BA0-BF7E-45EB-9B30-2744093FD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7" name="Picture 2" descr="검정로고만">
          <a:extLst>
            <a:ext uri="{FF2B5EF4-FFF2-40B4-BE49-F238E27FC236}">
              <a16:creationId xmlns:a16="http://schemas.microsoft.com/office/drawing/2014/main" id="{9762B262-B5E4-415B-829A-D8CE55047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8" name="Picture 2" descr="검정로고만">
          <a:extLst>
            <a:ext uri="{FF2B5EF4-FFF2-40B4-BE49-F238E27FC236}">
              <a16:creationId xmlns:a16="http://schemas.microsoft.com/office/drawing/2014/main" id="{CCBF8DF9-36E6-42BC-B4CD-2C579B066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39" name="Picture 2" descr="검정로고만">
          <a:extLst>
            <a:ext uri="{FF2B5EF4-FFF2-40B4-BE49-F238E27FC236}">
              <a16:creationId xmlns:a16="http://schemas.microsoft.com/office/drawing/2014/main" id="{3782F8C1-1607-46FD-9BD8-A49256148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0" name="Picture 2" descr="검정로고만">
          <a:extLst>
            <a:ext uri="{FF2B5EF4-FFF2-40B4-BE49-F238E27FC236}">
              <a16:creationId xmlns:a16="http://schemas.microsoft.com/office/drawing/2014/main" id="{359702B9-AD84-4C82-9E59-7F78006C9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1" name="Picture 2" descr="검정로고만">
          <a:extLst>
            <a:ext uri="{FF2B5EF4-FFF2-40B4-BE49-F238E27FC236}">
              <a16:creationId xmlns:a16="http://schemas.microsoft.com/office/drawing/2014/main" id="{E24EB0D4-207D-49AE-911E-B6F4C7EF8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2" name="Picture 2" descr="검정로고만">
          <a:extLst>
            <a:ext uri="{FF2B5EF4-FFF2-40B4-BE49-F238E27FC236}">
              <a16:creationId xmlns:a16="http://schemas.microsoft.com/office/drawing/2014/main" id="{E973A667-9C9C-48E2-B9A5-09CFB54EC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3" name="Picture 2" descr="검정로고만">
          <a:extLst>
            <a:ext uri="{FF2B5EF4-FFF2-40B4-BE49-F238E27FC236}">
              <a16:creationId xmlns:a16="http://schemas.microsoft.com/office/drawing/2014/main" id="{F73B6D60-26B5-4D55-AA81-88B369442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4" name="Picture 2" descr="검정로고만">
          <a:extLst>
            <a:ext uri="{FF2B5EF4-FFF2-40B4-BE49-F238E27FC236}">
              <a16:creationId xmlns:a16="http://schemas.microsoft.com/office/drawing/2014/main" id="{7F231AFB-FC69-4D4F-8F1D-32B9CFCE2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645" name="Picture 3" descr="검정 글씨만">
          <a:extLst>
            <a:ext uri="{FF2B5EF4-FFF2-40B4-BE49-F238E27FC236}">
              <a16:creationId xmlns:a16="http://schemas.microsoft.com/office/drawing/2014/main" id="{5DBBF1A4-90C1-4303-B0D7-02FF330B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6" name="Picture 2" descr="검정로고만">
          <a:extLst>
            <a:ext uri="{FF2B5EF4-FFF2-40B4-BE49-F238E27FC236}">
              <a16:creationId xmlns:a16="http://schemas.microsoft.com/office/drawing/2014/main" id="{62407B7E-5916-472B-BD27-9A5C9BDDA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7" name="Picture 2" descr="검정로고만">
          <a:extLst>
            <a:ext uri="{FF2B5EF4-FFF2-40B4-BE49-F238E27FC236}">
              <a16:creationId xmlns:a16="http://schemas.microsoft.com/office/drawing/2014/main" id="{6CFCA000-B71B-4CEC-B176-B3EB623EE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8" name="Picture 2" descr="검정로고만">
          <a:extLst>
            <a:ext uri="{FF2B5EF4-FFF2-40B4-BE49-F238E27FC236}">
              <a16:creationId xmlns:a16="http://schemas.microsoft.com/office/drawing/2014/main" id="{A469CA6F-AFF6-4D1C-AD55-1947DC07F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49" name="Picture 2" descr="검정로고만">
          <a:extLst>
            <a:ext uri="{FF2B5EF4-FFF2-40B4-BE49-F238E27FC236}">
              <a16:creationId xmlns:a16="http://schemas.microsoft.com/office/drawing/2014/main" id="{334B3924-FE3B-424C-B2C1-3BC2F50B3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0" name="Picture 2" descr="검정로고만">
          <a:extLst>
            <a:ext uri="{FF2B5EF4-FFF2-40B4-BE49-F238E27FC236}">
              <a16:creationId xmlns:a16="http://schemas.microsoft.com/office/drawing/2014/main" id="{5284D70D-AB10-46F4-81DF-DCD622727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1" name="Picture 2" descr="검정로고만">
          <a:extLst>
            <a:ext uri="{FF2B5EF4-FFF2-40B4-BE49-F238E27FC236}">
              <a16:creationId xmlns:a16="http://schemas.microsoft.com/office/drawing/2014/main" id="{B4DF3FB4-9BA7-41B2-98AF-5C44A316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2" name="Picture 2" descr="검정로고만">
          <a:extLst>
            <a:ext uri="{FF2B5EF4-FFF2-40B4-BE49-F238E27FC236}">
              <a16:creationId xmlns:a16="http://schemas.microsoft.com/office/drawing/2014/main" id="{40FC09BF-F162-4F07-90BB-D8E7F4C21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3" name="Picture 2" descr="검정로고만">
          <a:extLst>
            <a:ext uri="{FF2B5EF4-FFF2-40B4-BE49-F238E27FC236}">
              <a16:creationId xmlns:a16="http://schemas.microsoft.com/office/drawing/2014/main" id="{F3CD6662-06C1-4E22-A3A7-44695194B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654" name="Picture 3" descr="검정 글씨만">
          <a:extLst>
            <a:ext uri="{FF2B5EF4-FFF2-40B4-BE49-F238E27FC236}">
              <a16:creationId xmlns:a16="http://schemas.microsoft.com/office/drawing/2014/main" id="{DDE79BF3-80CB-4F4F-B141-D68CA9055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5" name="Picture 2" descr="검정로고만">
          <a:extLst>
            <a:ext uri="{FF2B5EF4-FFF2-40B4-BE49-F238E27FC236}">
              <a16:creationId xmlns:a16="http://schemas.microsoft.com/office/drawing/2014/main" id="{AF4630EF-464B-470D-9456-B17F320D8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6" name="Picture 2" descr="검정로고만">
          <a:extLst>
            <a:ext uri="{FF2B5EF4-FFF2-40B4-BE49-F238E27FC236}">
              <a16:creationId xmlns:a16="http://schemas.microsoft.com/office/drawing/2014/main" id="{3BAC45D8-735E-4099-B261-754BDC56C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7" name="Picture 2" descr="검정로고만">
          <a:extLst>
            <a:ext uri="{FF2B5EF4-FFF2-40B4-BE49-F238E27FC236}">
              <a16:creationId xmlns:a16="http://schemas.microsoft.com/office/drawing/2014/main" id="{3263017D-7C0D-4C1D-86FA-7D0906760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8" name="Picture 2" descr="검정로고만">
          <a:extLst>
            <a:ext uri="{FF2B5EF4-FFF2-40B4-BE49-F238E27FC236}">
              <a16:creationId xmlns:a16="http://schemas.microsoft.com/office/drawing/2014/main" id="{19B1E844-2368-4A26-9B4A-7C3323F63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59" name="Picture 2" descr="검정로고만">
          <a:extLst>
            <a:ext uri="{FF2B5EF4-FFF2-40B4-BE49-F238E27FC236}">
              <a16:creationId xmlns:a16="http://schemas.microsoft.com/office/drawing/2014/main" id="{C5E5B34E-53B6-443A-BF03-D3B3320D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0" name="Picture 2" descr="검정로고만">
          <a:extLst>
            <a:ext uri="{FF2B5EF4-FFF2-40B4-BE49-F238E27FC236}">
              <a16:creationId xmlns:a16="http://schemas.microsoft.com/office/drawing/2014/main" id="{9F770E50-68DF-42CD-B70A-6DDD1C39E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1" name="Picture 2" descr="검정로고만">
          <a:extLst>
            <a:ext uri="{FF2B5EF4-FFF2-40B4-BE49-F238E27FC236}">
              <a16:creationId xmlns:a16="http://schemas.microsoft.com/office/drawing/2014/main" id="{6CF9A20D-F34A-48A7-8C9C-1BA8C69E0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2" name="Picture 2" descr="검정로고만">
          <a:extLst>
            <a:ext uri="{FF2B5EF4-FFF2-40B4-BE49-F238E27FC236}">
              <a16:creationId xmlns:a16="http://schemas.microsoft.com/office/drawing/2014/main" id="{77782AAF-90CD-4426-8507-1F11E5BCC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663" name="Picture 3" descr="검정 글씨만">
          <a:extLst>
            <a:ext uri="{FF2B5EF4-FFF2-40B4-BE49-F238E27FC236}">
              <a16:creationId xmlns:a16="http://schemas.microsoft.com/office/drawing/2014/main" id="{4D45A432-3128-4036-AC35-060EA411C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4" name="Picture 2" descr="검정로고만">
          <a:extLst>
            <a:ext uri="{FF2B5EF4-FFF2-40B4-BE49-F238E27FC236}">
              <a16:creationId xmlns:a16="http://schemas.microsoft.com/office/drawing/2014/main" id="{36463CD7-E610-4719-81ED-F3D6F9256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5" name="Picture 2" descr="검정로고만">
          <a:extLst>
            <a:ext uri="{FF2B5EF4-FFF2-40B4-BE49-F238E27FC236}">
              <a16:creationId xmlns:a16="http://schemas.microsoft.com/office/drawing/2014/main" id="{95A1523C-ED28-4B7B-8EA5-2BC4F5764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6" name="Picture 2" descr="검정로고만">
          <a:extLst>
            <a:ext uri="{FF2B5EF4-FFF2-40B4-BE49-F238E27FC236}">
              <a16:creationId xmlns:a16="http://schemas.microsoft.com/office/drawing/2014/main" id="{EC44C134-DB7F-43EA-B4EA-BFD980FE0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7" name="Picture 2" descr="검정로고만">
          <a:extLst>
            <a:ext uri="{FF2B5EF4-FFF2-40B4-BE49-F238E27FC236}">
              <a16:creationId xmlns:a16="http://schemas.microsoft.com/office/drawing/2014/main" id="{4A6CFC98-9176-48B1-AF0E-FFF612C02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8" name="Picture 2" descr="검정로고만">
          <a:extLst>
            <a:ext uri="{FF2B5EF4-FFF2-40B4-BE49-F238E27FC236}">
              <a16:creationId xmlns:a16="http://schemas.microsoft.com/office/drawing/2014/main" id="{DE615EE0-E58F-4AB8-8AF1-003B5E47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69" name="Picture 2" descr="검정로고만">
          <a:extLst>
            <a:ext uri="{FF2B5EF4-FFF2-40B4-BE49-F238E27FC236}">
              <a16:creationId xmlns:a16="http://schemas.microsoft.com/office/drawing/2014/main" id="{F4264005-3124-4720-90A3-C39FD1E7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0" name="Picture 2" descr="검정로고만">
          <a:extLst>
            <a:ext uri="{FF2B5EF4-FFF2-40B4-BE49-F238E27FC236}">
              <a16:creationId xmlns:a16="http://schemas.microsoft.com/office/drawing/2014/main" id="{D7784C06-A65E-4665-9C91-5530AC90C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1" name="Picture 2" descr="검정로고만">
          <a:extLst>
            <a:ext uri="{FF2B5EF4-FFF2-40B4-BE49-F238E27FC236}">
              <a16:creationId xmlns:a16="http://schemas.microsoft.com/office/drawing/2014/main" id="{A87DDF56-B082-4606-AC58-5EF55B01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2" name="Picture 2" descr="검정로고만">
          <a:extLst>
            <a:ext uri="{FF2B5EF4-FFF2-40B4-BE49-F238E27FC236}">
              <a16:creationId xmlns:a16="http://schemas.microsoft.com/office/drawing/2014/main" id="{2FEE43D9-EAE5-4E9F-A670-1AE427185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3" name="Picture 2" descr="검정로고만">
          <a:extLst>
            <a:ext uri="{FF2B5EF4-FFF2-40B4-BE49-F238E27FC236}">
              <a16:creationId xmlns:a16="http://schemas.microsoft.com/office/drawing/2014/main" id="{1DCCF262-C0B0-4D33-8CC0-7DEA2D88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4" name="Picture 2" descr="검정로고만">
          <a:extLst>
            <a:ext uri="{FF2B5EF4-FFF2-40B4-BE49-F238E27FC236}">
              <a16:creationId xmlns:a16="http://schemas.microsoft.com/office/drawing/2014/main" id="{0B3DE2B0-D355-4D8C-8410-A7F2DB9FC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5" name="Picture 2" descr="검정로고만">
          <a:extLst>
            <a:ext uri="{FF2B5EF4-FFF2-40B4-BE49-F238E27FC236}">
              <a16:creationId xmlns:a16="http://schemas.microsoft.com/office/drawing/2014/main" id="{3550BCBE-1BBC-49C7-A77E-1F7135BC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6" name="Picture 2" descr="검정로고만">
          <a:extLst>
            <a:ext uri="{FF2B5EF4-FFF2-40B4-BE49-F238E27FC236}">
              <a16:creationId xmlns:a16="http://schemas.microsoft.com/office/drawing/2014/main" id="{33598520-BA39-4F74-B885-65B62EA40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7" name="Picture 2" descr="검정로고만">
          <a:extLst>
            <a:ext uri="{FF2B5EF4-FFF2-40B4-BE49-F238E27FC236}">
              <a16:creationId xmlns:a16="http://schemas.microsoft.com/office/drawing/2014/main" id="{8C5E59AD-FDC3-4625-8170-6916047F1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8" name="Picture 2" descr="검정로고만">
          <a:extLst>
            <a:ext uri="{FF2B5EF4-FFF2-40B4-BE49-F238E27FC236}">
              <a16:creationId xmlns:a16="http://schemas.microsoft.com/office/drawing/2014/main" id="{3915693E-CDD2-4397-BE9C-C0785236B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79" name="Picture 2" descr="검정로고만">
          <a:extLst>
            <a:ext uri="{FF2B5EF4-FFF2-40B4-BE49-F238E27FC236}">
              <a16:creationId xmlns:a16="http://schemas.microsoft.com/office/drawing/2014/main" id="{0713B7FB-BB71-420C-AB73-A87F22DF5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0" name="Picture 2" descr="검정로고만">
          <a:extLst>
            <a:ext uri="{FF2B5EF4-FFF2-40B4-BE49-F238E27FC236}">
              <a16:creationId xmlns:a16="http://schemas.microsoft.com/office/drawing/2014/main" id="{2794BE8F-3453-41A3-BF57-9CE64B236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1" name="Picture 2" descr="검정로고만">
          <a:extLst>
            <a:ext uri="{FF2B5EF4-FFF2-40B4-BE49-F238E27FC236}">
              <a16:creationId xmlns:a16="http://schemas.microsoft.com/office/drawing/2014/main" id="{B7CE9699-3519-4D49-B40A-AF7630038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2" name="Picture 2" descr="검정로고만">
          <a:extLst>
            <a:ext uri="{FF2B5EF4-FFF2-40B4-BE49-F238E27FC236}">
              <a16:creationId xmlns:a16="http://schemas.microsoft.com/office/drawing/2014/main" id="{D7624613-8BA0-484A-A328-C10FF44C9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3" name="Picture 2" descr="검정로고만">
          <a:extLst>
            <a:ext uri="{FF2B5EF4-FFF2-40B4-BE49-F238E27FC236}">
              <a16:creationId xmlns:a16="http://schemas.microsoft.com/office/drawing/2014/main" id="{A2B21DAB-2826-477C-BD73-D2F6FA90A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4" name="Picture 2" descr="검정로고만">
          <a:extLst>
            <a:ext uri="{FF2B5EF4-FFF2-40B4-BE49-F238E27FC236}">
              <a16:creationId xmlns:a16="http://schemas.microsoft.com/office/drawing/2014/main" id="{C8BB24B9-B23A-4059-9658-2E1D9F41D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5" name="Picture 2" descr="검정로고만">
          <a:extLst>
            <a:ext uri="{FF2B5EF4-FFF2-40B4-BE49-F238E27FC236}">
              <a16:creationId xmlns:a16="http://schemas.microsoft.com/office/drawing/2014/main" id="{E70CB41C-3BF8-44FF-83FE-B2671720A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6" name="Picture 2" descr="검정로고만">
          <a:extLst>
            <a:ext uri="{FF2B5EF4-FFF2-40B4-BE49-F238E27FC236}">
              <a16:creationId xmlns:a16="http://schemas.microsoft.com/office/drawing/2014/main" id="{AE1DE696-4C70-404A-AED3-3AE95D303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7" name="Picture 2" descr="검정로고만">
          <a:extLst>
            <a:ext uri="{FF2B5EF4-FFF2-40B4-BE49-F238E27FC236}">
              <a16:creationId xmlns:a16="http://schemas.microsoft.com/office/drawing/2014/main" id="{A3B10A50-E081-4544-9330-0E36158C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8" name="Picture 2" descr="검정로고만">
          <a:extLst>
            <a:ext uri="{FF2B5EF4-FFF2-40B4-BE49-F238E27FC236}">
              <a16:creationId xmlns:a16="http://schemas.microsoft.com/office/drawing/2014/main" id="{B873D7DD-A6A0-4BDB-8209-3500A0FE6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89" name="Picture 2" descr="검정로고만">
          <a:extLst>
            <a:ext uri="{FF2B5EF4-FFF2-40B4-BE49-F238E27FC236}">
              <a16:creationId xmlns:a16="http://schemas.microsoft.com/office/drawing/2014/main" id="{BD9E2091-7709-4458-A496-D748DBA8C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0" name="Picture 2" descr="검정로고만">
          <a:extLst>
            <a:ext uri="{FF2B5EF4-FFF2-40B4-BE49-F238E27FC236}">
              <a16:creationId xmlns:a16="http://schemas.microsoft.com/office/drawing/2014/main" id="{789B1B65-6A9A-4581-93C0-E0DB5CCC8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1" name="Picture 2" descr="검정로고만">
          <a:extLst>
            <a:ext uri="{FF2B5EF4-FFF2-40B4-BE49-F238E27FC236}">
              <a16:creationId xmlns:a16="http://schemas.microsoft.com/office/drawing/2014/main" id="{50A6DC88-E233-4D16-881D-AE84DFB39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2" name="Picture 2" descr="검정로고만">
          <a:extLst>
            <a:ext uri="{FF2B5EF4-FFF2-40B4-BE49-F238E27FC236}">
              <a16:creationId xmlns:a16="http://schemas.microsoft.com/office/drawing/2014/main" id="{11563717-70BF-465D-91E7-C13F99D0E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3" name="Picture 2" descr="검정로고만">
          <a:extLst>
            <a:ext uri="{FF2B5EF4-FFF2-40B4-BE49-F238E27FC236}">
              <a16:creationId xmlns:a16="http://schemas.microsoft.com/office/drawing/2014/main" id="{B40CC5FE-2EA4-449D-A4A8-7C1D7F9B1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4" name="Picture 2" descr="검정로고만">
          <a:extLst>
            <a:ext uri="{FF2B5EF4-FFF2-40B4-BE49-F238E27FC236}">
              <a16:creationId xmlns:a16="http://schemas.microsoft.com/office/drawing/2014/main" id="{F390F2D4-B838-4C03-82F5-DC6888BC2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5" name="Picture 2" descr="검정로고만">
          <a:extLst>
            <a:ext uri="{FF2B5EF4-FFF2-40B4-BE49-F238E27FC236}">
              <a16:creationId xmlns:a16="http://schemas.microsoft.com/office/drawing/2014/main" id="{FE0858B5-9C97-43C4-A455-850422C06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6" name="Picture 2" descr="검정로고만">
          <a:extLst>
            <a:ext uri="{FF2B5EF4-FFF2-40B4-BE49-F238E27FC236}">
              <a16:creationId xmlns:a16="http://schemas.microsoft.com/office/drawing/2014/main" id="{2020A6CE-982D-4D7D-AE08-62A2D2AB0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7" name="Picture 2" descr="검정로고만">
          <a:extLst>
            <a:ext uri="{FF2B5EF4-FFF2-40B4-BE49-F238E27FC236}">
              <a16:creationId xmlns:a16="http://schemas.microsoft.com/office/drawing/2014/main" id="{727BDCDA-E6BD-42B9-9030-3FBDE925A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8" name="Picture 2" descr="검정로고만">
          <a:extLst>
            <a:ext uri="{FF2B5EF4-FFF2-40B4-BE49-F238E27FC236}">
              <a16:creationId xmlns:a16="http://schemas.microsoft.com/office/drawing/2014/main" id="{DDECFB66-6997-4444-A6B6-C3337FB9F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699" name="Picture 2" descr="검정로고만">
          <a:extLst>
            <a:ext uri="{FF2B5EF4-FFF2-40B4-BE49-F238E27FC236}">
              <a16:creationId xmlns:a16="http://schemas.microsoft.com/office/drawing/2014/main" id="{AF14FF6D-94F2-4A74-9C7D-BF541DB9C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0" name="Picture 2" descr="검정로고만">
          <a:extLst>
            <a:ext uri="{FF2B5EF4-FFF2-40B4-BE49-F238E27FC236}">
              <a16:creationId xmlns:a16="http://schemas.microsoft.com/office/drawing/2014/main" id="{4380F91F-53C1-4954-9C80-450DE3351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1" name="Picture 2" descr="검정로고만">
          <a:extLst>
            <a:ext uri="{FF2B5EF4-FFF2-40B4-BE49-F238E27FC236}">
              <a16:creationId xmlns:a16="http://schemas.microsoft.com/office/drawing/2014/main" id="{21B7D7DE-2CFC-42FC-B00A-978AB1119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2" name="Picture 2" descr="검정로고만">
          <a:extLst>
            <a:ext uri="{FF2B5EF4-FFF2-40B4-BE49-F238E27FC236}">
              <a16:creationId xmlns:a16="http://schemas.microsoft.com/office/drawing/2014/main" id="{B2338BF5-8B99-4407-B248-78E309AB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3" name="Picture 2" descr="검정로고만">
          <a:extLst>
            <a:ext uri="{FF2B5EF4-FFF2-40B4-BE49-F238E27FC236}">
              <a16:creationId xmlns:a16="http://schemas.microsoft.com/office/drawing/2014/main" id="{0689CE8E-99A7-4777-AE58-4CF04738D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704" name="Picture 3" descr="검정 글씨만">
          <a:extLst>
            <a:ext uri="{FF2B5EF4-FFF2-40B4-BE49-F238E27FC236}">
              <a16:creationId xmlns:a16="http://schemas.microsoft.com/office/drawing/2014/main" id="{91AB43CA-D518-44F8-BA0E-BC899A6C0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5" name="Picture 2" descr="검정로고만">
          <a:extLst>
            <a:ext uri="{FF2B5EF4-FFF2-40B4-BE49-F238E27FC236}">
              <a16:creationId xmlns:a16="http://schemas.microsoft.com/office/drawing/2014/main" id="{92C56FDE-DFAA-48BE-8CA9-25EA0FB2F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6" name="Picture 2" descr="검정로고만">
          <a:extLst>
            <a:ext uri="{FF2B5EF4-FFF2-40B4-BE49-F238E27FC236}">
              <a16:creationId xmlns:a16="http://schemas.microsoft.com/office/drawing/2014/main" id="{D105DAE9-601B-4057-9BCF-BA6A8E54D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7" name="Picture 2" descr="검정로고만">
          <a:extLst>
            <a:ext uri="{FF2B5EF4-FFF2-40B4-BE49-F238E27FC236}">
              <a16:creationId xmlns:a16="http://schemas.microsoft.com/office/drawing/2014/main" id="{25F7F978-EEBC-49B9-81FD-4962645CE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8" name="Picture 2" descr="검정로고만">
          <a:extLst>
            <a:ext uri="{FF2B5EF4-FFF2-40B4-BE49-F238E27FC236}">
              <a16:creationId xmlns:a16="http://schemas.microsoft.com/office/drawing/2014/main" id="{B9A3D504-873F-4BAD-B61A-0C25B81E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09" name="Picture 2" descr="검정로고만">
          <a:extLst>
            <a:ext uri="{FF2B5EF4-FFF2-40B4-BE49-F238E27FC236}">
              <a16:creationId xmlns:a16="http://schemas.microsoft.com/office/drawing/2014/main" id="{CE4BAF8B-368C-4393-8D9B-3BBE599B5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0" name="Picture 2" descr="검정로고만">
          <a:extLst>
            <a:ext uri="{FF2B5EF4-FFF2-40B4-BE49-F238E27FC236}">
              <a16:creationId xmlns:a16="http://schemas.microsoft.com/office/drawing/2014/main" id="{3F880E88-49B4-4CEA-A3D4-0E8877990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1" name="Picture 2" descr="검정로고만">
          <a:extLst>
            <a:ext uri="{FF2B5EF4-FFF2-40B4-BE49-F238E27FC236}">
              <a16:creationId xmlns:a16="http://schemas.microsoft.com/office/drawing/2014/main" id="{A09477A7-6B2F-477C-A01D-CD5F417E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2" name="Picture 2" descr="검정로고만">
          <a:extLst>
            <a:ext uri="{FF2B5EF4-FFF2-40B4-BE49-F238E27FC236}">
              <a16:creationId xmlns:a16="http://schemas.microsoft.com/office/drawing/2014/main" id="{562FB584-AA33-4133-8263-7A83A8C5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713" name="Picture 3" descr="검정 글씨만">
          <a:extLst>
            <a:ext uri="{FF2B5EF4-FFF2-40B4-BE49-F238E27FC236}">
              <a16:creationId xmlns:a16="http://schemas.microsoft.com/office/drawing/2014/main" id="{25881FAB-9EC7-499B-AF2F-1FCA29DD3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4" name="Picture 2" descr="검정로고만">
          <a:extLst>
            <a:ext uri="{FF2B5EF4-FFF2-40B4-BE49-F238E27FC236}">
              <a16:creationId xmlns:a16="http://schemas.microsoft.com/office/drawing/2014/main" id="{BB127D04-F1AD-4281-A2D4-26E415237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5" name="Picture 2" descr="검정로고만">
          <a:extLst>
            <a:ext uri="{FF2B5EF4-FFF2-40B4-BE49-F238E27FC236}">
              <a16:creationId xmlns:a16="http://schemas.microsoft.com/office/drawing/2014/main" id="{6B5FEDBA-9D62-44A3-83F4-87503CF2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6" name="Picture 2" descr="검정로고만">
          <a:extLst>
            <a:ext uri="{FF2B5EF4-FFF2-40B4-BE49-F238E27FC236}">
              <a16:creationId xmlns:a16="http://schemas.microsoft.com/office/drawing/2014/main" id="{9CCC2D82-699D-4D34-804E-4A091250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7" name="Picture 2" descr="검정로고만">
          <a:extLst>
            <a:ext uri="{FF2B5EF4-FFF2-40B4-BE49-F238E27FC236}">
              <a16:creationId xmlns:a16="http://schemas.microsoft.com/office/drawing/2014/main" id="{38F897E4-637C-45D4-A504-0F722BDCD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8" name="Picture 2" descr="검정로고만">
          <a:extLst>
            <a:ext uri="{FF2B5EF4-FFF2-40B4-BE49-F238E27FC236}">
              <a16:creationId xmlns:a16="http://schemas.microsoft.com/office/drawing/2014/main" id="{566204FD-9F55-47B6-BA13-A131C0208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19" name="Picture 2" descr="검정로고만">
          <a:extLst>
            <a:ext uri="{FF2B5EF4-FFF2-40B4-BE49-F238E27FC236}">
              <a16:creationId xmlns:a16="http://schemas.microsoft.com/office/drawing/2014/main" id="{124DFD32-E2A1-4C99-81CE-471FD6F0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0" name="Picture 2" descr="검정로고만">
          <a:extLst>
            <a:ext uri="{FF2B5EF4-FFF2-40B4-BE49-F238E27FC236}">
              <a16:creationId xmlns:a16="http://schemas.microsoft.com/office/drawing/2014/main" id="{A3F33FCC-9AFA-4F74-8D21-C4757DD2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1" name="Picture 2" descr="검정로고만">
          <a:extLst>
            <a:ext uri="{FF2B5EF4-FFF2-40B4-BE49-F238E27FC236}">
              <a16:creationId xmlns:a16="http://schemas.microsoft.com/office/drawing/2014/main" id="{BF11BCEA-8C41-42A4-BE27-18232A2F0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722" name="Picture 3" descr="검정 글씨만">
          <a:extLst>
            <a:ext uri="{FF2B5EF4-FFF2-40B4-BE49-F238E27FC236}">
              <a16:creationId xmlns:a16="http://schemas.microsoft.com/office/drawing/2014/main" id="{17964135-64E6-4E9C-81FF-48BEF5345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3" name="Picture 2" descr="검정로고만">
          <a:extLst>
            <a:ext uri="{FF2B5EF4-FFF2-40B4-BE49-F238E27FC236}">
              <a16:creationId xmlns:a16="http://schemas.microsoft.com/office/drawing/2014/main" id="{1B0B64E2-A050-4C8C-B0C8-6677AAA76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4" name="Picture 2" descr="검정로고만">
          <a:extLst>
            <a:ext uri="{FF2B5EF4-FFF2-40B4-BE49-F238E27FC236}">
              <a16:creationId xmlns:a16="http://schemas.microsoft.com/office/drawing/2014/main" id="{9E299DB4-7B05-409F-833C-125F41AA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5" name="Picture 2" descr="검정로고만">
          <a:extLst>
            <a:ext uri="{FF2B5EF4-FFF2-40B4-BE49-F238E27FC236}">
              <a16:creationId xmlns:a16="http://schemas.microsoft.com/office/drawing/2014/main" id="{BD4E1E8A-7451-4574-9E90-E3A5941F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6" name="Picture 2" descr="검정로고만">
          <a:extLst>
            <a:ext uri="{FF2B5EF4-FFF2-40B4-BE49-F238E27FC236}">
              <a16:creationId xmlns:a16="http://schemas.microsoft.com/office/drawing/2014/main" id="{EDB36470-FDFD-4F5D-9820-FCE609324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7" name="Picture 2" descr="검정로고만">
          <a:extLst>
            <a:ext uri="{FF2B5EF4-FFF2-40B4-BE49-F238E27FC236}">
              <a16:creationId xmlns:a16="http://schemas.microsoft.com/office/drawing/2014/main" id="{AA5CA75C-41B1-49FC-BBDE-114D8CF24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8" name="Picture 2" descr="검정로고만">
          <a:extLst>
            <a:ext uri="{FF2B5EF4-FFF2-40B4-BE49-F238E27FC236}">
              <a16:creationId xmlns:a16="http://schemas.microsoft.com/office/drawing/2014/main" id="{E5A0963B-A430-42E5-B78D-17254F14B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29" name="Picture 2" descr="검정로고만">
          <a:extLst>
            <a:ext uri="{FF2B5EF4-FFF2-40B4-BE49-F238E27FC236}">
              <a16:creationId xmlns:a16="http://schemas.microsoft.com/office/drawing/2014/main" id="{1A829C19-256E-43E5-A873-2D31B5EC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0" name="Picture 2" descr="검정로고만">
          <a:extLst>
            <a:ext uri="{FF2B5EF4-FFF2-40B4-BE49-F238E27FC236}">
              <a16:creationId xmlns:a16="http://schemas.microsoft.com/office/drawing/2014/main" id="{9E6399B5-349B-47DB-A648-AD6E06E75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1" name="Picture 2" descr="검정로고만">
          <a:extLst>
            <a:ext uri="{FF2B5EF4-FFF2-40B4-BE49-F238E27FC236}">
              <a16:creationId xmlns:a16="http://schemas.microsoft.com/office/drawing/2014/main" id="{693DAD8F-D4F7-4AB1-A27A-1E9EB334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2" name="Picture 2" descr="검정로고만">
          <a:extLst>
            <a:ext uri="{FF2B5EF4-FFF2-40B4-BE49-F238E27FC236}">
              <a16:creationId xmlns:a16="http://schemas.microsoft.com/office/drawing/2014/main" id="{C8C31772-B172-478C-A062-CE23A9EA9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3" name="Picture 2" descr="검정로고만">
          <a:extLst>
            <a:ext uri="{FF2B5EF4-FFF2-40B4-BE49-F238E27FC236}">
              <a16:creationId xmlns:a16="http://schemas.microsoft.com/office/drawing/2014/main" id="{91A82C08-38FD-4D5E-B2A8-B9DE53883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4" name="Picture 2" descr="검정로고만">
          <a:extLst>
            <a:ext uri="{FF2B5EF4-FFF2-40B4-BE49-F238E27FC236}">
              <a16:creationId xmlns:a16="http://schemas.microsoft.com/office/drawing/2014/main" id="{92719FBA-DE28-4892-883E-CD17CFF10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5" name="Picture 2" descr="검정로고만">
          <a:extLst>
            <a:ext uri="{FF2B5EF4-FFF2-40B4-BE49-F238E27FC236}">
              <a16:creationId xmlns:a16="http://schemas.microsoft.com/office/drawing/2014/main" id="{1C89BBFF-D9E6-4E24-8FCF-7B7D633AE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6" name="Picture 2" descr="검정로고만">
          <a:extLst>
            <a:ext uri="{FF2B5EF4-FFF2-40B4-BE49-F238E27FC236}">
              <a16:creationId xmlns:a16="http://schemas.microsoft.com/office/drawing/2014/main" id="{B8E15980-7AFC-4EE7-9F6D-0EF1255E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7" name="Picture 2" descr="검정로고만">
          <a:extLst>
            <a:ext uri="{FF2B5EF4-FFF2-40B4-BE49-F238E27FC236}">
              <a16:creationId xmlns:a16="http://schemas.microsoft.com/office/drawing/2014/main" id="{ABC78393-D165-4D72-A9BB-28FC72A2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8" name="Picture 2" descr="검정로고만">
          <a:extLst>
            <a:ext uri="{FF2B5EF4-FFF2-40B4-BE49-F238E27FC236}">
              <a16:creationId xmlns:a16="http://schemas.microsoft.com/office/drawing/2014/main" id="{8161D0B6-9B19-4A36-BF55-5D0006BD5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39" name="Picture 2" descr="검정로고만">
          <a:extLst>
            <a:ext uri="{FF2B5EF4-FFF2-40B4-BE49-F238E27FC236}">
              <a16:creationId xmlns:a16="http://schemas.microsoft.com/office/drawing/2014/main" id="{99749D03-627C-4149-93AB-FC89D1B9F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0" name="Picture 2" descr="검정로고만">
          <a:extLst>
            <a:ext uri="{FF2B5EF4-FFF2-40B4-BE49-F238E27FC236}">
              <a16:creationId xmlns:a16="http://schemas.microsoft.com/office/drawing/2014/main" id="{66C10054-06C2-473C-B1C8-0FFF66E86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1" name="Picture 2" descr="검정로고만">
          <a:extLst>
            <a:ext uri="{FF2B5EF4-FFF2-40B4-BE49-F238E27FC236}">
              <a16:creationId xmlns:a16="http://schemas.microsoft.com/office/drawing/2014/main" id="{9AC62382-C037-4A08-A504-7E822D280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2" name="Picture 2" descr="검정로고만">
          <a:extLst>
            <a:ext uri="{FF2B5EF4-FFF2-40B4-BE49-F238E27FC236}">
              <a16:creationId xmlns:a16="http://schemas.microsoft.com/office/drawing/2014/main" id="{4E981949-C6ED-4F15-B2FD-AD00CD2F6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3" name="Picture 2" descr="검정로고만">
          <a:extLst>
            <a:ext uri="{FF2B5EF4-FFF2-40B4-BE49-F238E27FC236}">
              <a16:creationId xmlns:a16="http://schemas.microsoft.com/office/drawing/2014/main" id="{8993EE90-9A1B-4A31-A37C-1087C839E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4" name="Picture 2" descr="검정로고만">
          <a:extLst>
            <a:ext uri="{FF2B5EF4-FFF2-40B4-BE49-F238E27FC236}">
              <a16:creationId xmlns:a16="http://schemas.microsoft.com/office/drawing/2014/main" id="{41EBC6C2-108E-42A0-9B70-B93DC31A5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5" name="Picture 2" descr="검정로고만">
          <a:extLst>
            <a:ext uri="{FF2B5EF4-FFF2-40B4-BE49-F238E27FC236}">
              <a16:creationId xmlns:a16="http://schemas.microsoft.com/office/drawing/2014/main" id="{0D4B7327-19E7-4A21-8088-C9934FDD5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6" name="Picture 2" descr="검정로고만">
          <a:extLst>
            <a:ext uri="{FF2B5EF4-FFF2-40B4-BE49-F238E27FC236}">
              <a16:creationId xmlns:a16="http://schemas.microsoft.com/office/drawing/2014/main" id="{0CBD5001-96F9-4D78-924D-0C3ECDE87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7" name="Picture 2" descr="검정로고만">
          <a:extLst>
            <a:ext uri="{FF2B5EF4-FFF2-40B4-BE49-F238E27FC236}">
              <a16:creationId xmlns:a16="http://schemas.microsoft.com/office/drawing/2014/main" id="{27D603F0-8F9D-404E-B222-E5ED9DF96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8" name="Picture 2" descr="검정로고만">
          <a:extLst>
            <a:ext uri="{FF2B5EF4-FFF2-40B4-BE49-F238E27FC236}">
              <a16:creationId xmlns:a16="http://schemas.microsoft.com/office/drawing/2014/main" id="{C1767535-6E79-4592-B7B3-90002BFFC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49" name="Picture 2" descr="검정로고만">
          <a:extLst>
            <a:ext uri="{FF2B5EF4-FFF2-40B4-BE49-F238E27FC236}">
              <a16:creationId xmlns:a16="http://schemas.microsoft.com/office/drawing/2014/main" id="{621C06E6-F4D7-4DA6-BFA6-5323B873C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0" name="Picture 2" descr="검정로고만">
          <a:extLst>
            <a:ext uri="{FF2B5EF4-FFF2-40B4-BE49-F238E27FC236}">
              <a16:creationId xmlns:a16="http://schemas.microsoft.com/office/drawing/2014/main" id="{BBC204C1-0ED2-4A23-88C5-EF2917745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1" name="Picture 2" descr="검정로고만">
          <a:extLst>
            <a:ext uri="{FF2B5EF4-FFF2-40B4-BE49-F238E27FC236}">
              <a16:creationId xmlns:a16="http://schemas.microsoft.com/office/drawing/2014/main" id="{609B36A4-5FD8-40ED-80BB-F17B5ED7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2" name="Picture 2" descr="검정로고만">
          <a:extLst>
            <a:ext uri="{FF2B5EF4-FFF2-40B4-BE49-F238E27FC236}">
              <a16:creationId xmlns:a16="http://schemas.microsoft.com/office/drawing/2014/main" id="{367613D9-D996-420E-AD73-5C8773AA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3" name="Picture 2" descr="검정로고만">
          <a:extLst>
            <a:ext uri="{FF2B5EF4-FFF2-40B4-BE49-F238E27FC236}">
              <a16:creationId xmlns:a16="http://schemas.microsoft.com/office/drawing/2014/main" id="{FCF2AA1F-CE39-41E9-B185-4BF5F776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4" name="Picture 2" descr="검정로고만">
          <a:extLst>
            <a:ext uri="{FF2B5EF4-FFF2-40B4-BE49-F238E27FC236}">
              <a16:creationId xmlns:a16="http://schemas.microsoft.com/office/drawing/2014/main" id="{57624EA6-B90A-434A-A99B-A5D7CFA5A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5" name="Picture 2" descr="검정로고만">
          <a:extLst>
            <a:ext uri="{FF2B5EF4-FFF2-40B4-BE49-F238E27FC236}">
              <a16:creationId xmlns:a16="http://schemas.microsoft.com/office/drawing/2014/main" id="{C805E386-CB3B-47BB-B70A-050C9500F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6" name="Picture 2" descr="검정로고만">
          <a:extLst>
            <a:ext uri="{FF2B5EF4-FFF2-40B4-BE49-F238E27FC236}">
              <a16:creationId xmlns:a16="http://schemas.microsoft.com/office/drawing/2014/main" id="{99369B32-3702-42A2-9F18-0F18D51F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7" name="Picture 2" descr="검정로고만">
          <a:extLst>
            <a:ext uri="{FF2B5EF4-FFF2-40B4-BE49-F238E27FC236}">
              <a16:creationId xmlns:a16="http://schemas.microsoft.com/office/drawing/2014/main" id="{302F5119-FCA0-4AB4-A47F-3EDA374BD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8" name="Picture 2" descr="검정로고만">
          <a:extLst>
            <a:ext uri="{FF2B5EF4-FFF2-40B4-BE49-F238E27FC236}">
              <a16:creationId xmlns:a16="http://schemas.microsoft.com/office/drawing/2014/main" id="{31992C28-76BA-4EE4-A096-E64D68FB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59" name="Picture 2" descr="검정로고만">
          <a:extLst>
            <a:ext uri="{FF2B5EF4-FFF2-40B4-BE49-F238E27FC236}">
              <a16:creationId xmlns:a16="http://schemas.microsoft.com/office/drawing/2014/main" id="{47FA3E34-476C-494C-9488-6F393E7D1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0" name="Picture 2" descr="검정로고만">
          <a:extLst>
            <a:ext uri="{FF2B5EF4-FFF2-40B4-BE49-F238E27FC236}">
              <a16:creationId xmlns:a16="http://schemas.microsoft.com/office/drawing/2014/main" id="{344E4567-2BA2-4F7B-855E-BFF88EE21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1" name="Picture 2" descr="검정로고만">
          <a:extLst>
            <a:ext uri="{FF2B5EF4-FFF2-40B4-BE49-F238E27FC236}">
              <a16:creationId xmlns:a16="http://schemas.microsoft.com/office/drawing/2014/main" id="{25D22EA3-0F23-45A0-8578-A17A6683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2" name="Picture 2" descr="검정로고만">
          <a:extLst>
            <a:ext uri="{FF2B5EF4-FFF2-40B4-BE49-F238E27FC236}">
              <a16:creationId xmlns:a16="http://schemas.microsoft.com/office/drawing/2014/main" id="{C87FA68D-FCC1-4A7B-A214-33BC24A20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763" name="Picture 3" descr="검정 글씨만">
          <a:extLst>
            <a:ext uri="{FF2B5EF4-FFF2-40B4-BE49-F238E27FC236}">
              <a16:creationId xmlns:a16="http://schemas.microsoft.com/office/drawing/2014/main" id="{CC284250-CCE4-4B85-903F-992BA2DB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4" name="Picture 2" descr="검정로고만">
          <a:extLst>
            <a:ext uri="{FF2B5EF4-FFF2-40B4-BE49-F238E27FC236}">
              <a16:creationId xmlns:a16="http://schemas.microsoft.com/office/drawing/2014/main" id="{550A88DC-1069-4474-8933-24CDF49A6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5" name="Picture 2" descr="검정로고만">
          <a:extLst>
            <a:ext uri="{FF2B5EF4-FFF2-40B4-BE49-F238E27FC236}">
              <a16:creationId xmlns:a16="http://schemas.microsoft.com/office/drawing/2014/main" id="{AA7AD619-2A06-4125-A94B-30781B50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6" name="Picture 2" descr="검정로고만">
          <a:extLst>
            <a:ext uri="{FF2B5EF4-FFF2-40B4-BE49-F238E27FC236}">
              <a16:creationId xmlns:a16="http://schemas.microsoft.com/office/drawing/2014/main" id="{8907FEED-DE80-4437-BFB6-78C2121C4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7" name="Picture 2" descr="검정로고만">
          <a:extLst>
            <a:ext uri="{FF2B5EF4-FFF2-40B4-BE49-F238E27FC236}">
              <a16:creationId xmlns:a16="http://schemas.microsoft.com/office/drawing/2014/main" id="{82BD0C95-C59E-4A48-829F-FE2F327E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8" name="Picture 2" descr="검정로고만">
          <a:extLst>
            <a:ext uri="{FF2B5EF4-FFF2-40B4-BE49-F238E27FC236}">
              <a16:creationId xmlns:a16="http://schemas.microsoft.com/office/drawing/2014/main" id="{5ACDA32E-773E-4737-9FD0-A8089D80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69" name="Picture 2" descr="검정로고만">
          <a:extLst>
            <a:ext uri="{FF2B5EF4-FFF2-40B4-BE49-F238E27FC236}">
              <a16:creationId xmlns:a16="http://schemas.microsoft.com/office/drawing/2014/main" id="{ADF04E59-1A0B-42BE-9880-3C645E377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0" name="Picture 2" descr="검정로고만">
          <a:extLst>
            <a:ext uri="{FF2B5EF4-FFF2-40B4-BE49-F238E27FC236}">
              <a16:creationId xmlns:a16="http://schemas.microsoft.com/office/drawing/2014/main" id="{CBF0D333-86D2-467D-9647-356447085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1" name="Picture 2" descr="검정로고만">
          <a:extLst>
            <a:ext uri="{FF2B5EF4-FFF2-40B4-BE49-F238E27FC236}">
              <a16:creationId xmlns:a16="http://schemas.microsoft.com/office/drawing/2014/main" id="{80DA4298-86C6-44E1-95D7-FA39CD8A2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772" name="Picture 3" descr="검정 글씨만">
          <a:extLst>
            <a:ext uri="{FF2B5EF4-FFF2-40B4-BE49-F238E27FC236}">
              <a16:creationId xmlns:a16="http://schemas.microsoft.com/office/drawing/2014/main" id="{C9B12AF5-9973-44E6-A858-A812839F2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3" name="Picture 2" descr="검정로고만">
          <a:extLst>
            <a:ext uri="{FF2B5EF4-FFF2-40B4-BE49-F238E27FC236}">
              <a16:creationId xmlns:a16="http://schemas.microsoft.com/office/drawing/2014/main" id="{27FBEC92-10FB-4A22-BB17-8CEC093FF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4" name="Picture 2" descr="검정로고만">
          <a:extLst>
            <a:ext uri="{FF2B5EF4-FFF2-40B4-BE49-F238E27FC236}">
              <a16:creationId xmlns:a16="http://schemas.microsoft.com/office/drawing/2014/main" id="{28ECCB5E-2EFC-4D8E-A31C-1DD1BE597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5" name="Picture 2" descr="검정로고만">
          <a:extLst>
            <a:ext uri="{FF2B5EF4-FFF2-40B4-BE49-F238E27FC236}">
              <a16:creationId xmlns:a16="http://schemas.microsoft.com/office/drawing/2014/main" id="{5C500029-571E-47C9-9CD1-F22A5AF4F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6" name="Picture 2" descr="검정로고만">
          <a:extLst>
            <a:ext uri="{FF2B5EF4-FFF2-40B4-BE49-F238E27FC236}">
              <a16:creationId xmlns:a16="http://schemas.microsoft.com/office/drawing/2014/main" id="{14FA6A07-3FBE-4F1A-9042-AB22FCBE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7" name="Picture 2" descr="검정로고만">
          <a:extLst>
            <a:ext uri="{FF2B5EF4-FFF2-40B4-BE49-F238E27FC236}">
              <a16:creationId xmlns:a16="http://schemas.microsoft.com/office/drawing/2014/main" id="{67AB7EB2-46F3-455F-8FD3-C654D00F4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8" name="Picture 2" descr="검정로고만">
          <a:extLst>
            <a:ext uri="{FF2B5EF4-FFF2-40B4-BE49-F238E27FC236}">
              <a16:creationId xmlns:a16="http://schemas.microsoft.com/office/drawing/2014/main" id="{66C09F3D-EC68-43E0-A29D-9412F71FD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79" name="Picture 2" descr="검정로고만">
          <a:extLst>
            <a:ext uri="{FF2B5EF4-FFF2-40B4-BE49-F238E27FC236}">
              <a16:creationId xmlns:a16="http://schemas.microsoft.com/office/drawing/2014/main" id="{CCBA0DB2-BBE8-4510-B3D5-3F6D3C2E3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0" name="Picture 2" descr="검정로고만">
          <a:extLst>
            <a:ext uri="{FF2B5EF4-FFF2-40B4-BE49-F238E27FC236}">
              <a16:creationId xmlns:a16="http://schemas.microsoft.com/office/drawing/2014/main" id="{F1DC1AF6-88E6-4638-ADA5-C3A31F0AE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1" name="Picture 2" descr="검정로고만">
          <a:extLst>
            <a:ext uri="{FF2B5EF4-FFF2-40B4-BE49-F238E27FC236}">
              <a16:creationId xmlns:a16="http://schemas.microsoft.com/office/drawing/2014/main" id="{B5642AA2-FB79-4F53-9527-B08C054B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2" name="Picture 2" descr="검정로고만">
          <a:extLst>
            <a:ext uri="{FF2B5EF4-FFF2-40B4-BE49-F238E27FC236}">
              <a16:creationId xmlns:a16="http://schemas.microsoft.com/office/drawing/2014/main" id="{3E007413-4419-4080-B70D-6C3AD1CB5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3" name="Picture 2" descr="검정로고만">
          <a:extLst>
            <a:ext uri="{FF2B5EF4-FFF2-40B4-BE49-F238E27FC236}">
              <a16:creationId xmlns:a16="http://schemas.microsoft.com/office/drawing/2014/main" id="{E9F255E0-5B6E-4AA0-A9EE-F2A5CB05D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4" name="Picture 2" descr="검정로고만">
          <a:extLst>
            <a:ext uri="{FF2B5EF4-FFF2-40B4-BE49-F238E27FC236}">
              <a16:creationId xmlns:a16="http://schemas.microsoft.com/office/drawing/2014/main" id="{0E9E88DC-4539-40D3-8327-88834EB0B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5" name="Picture 2" descr="검정로고만">
          <a:extLst>
            <a:ext uri="{FF2B5EF4-FFF2-40B4-BE49-F238E27FC236}">
              <a16:creationId xmlns:a16="http://schemas.microsoft.com/office/drawing/2014/main" id="{67148C65-870A-41A6-B60E-0FFD449F1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6" name="Picture 2" descr="검정로고만">
          <a:extLst>
            <a:ext uri="{FF2B5EF4-FFF2-40B4-BE49-F238E27FC236}">
              <a16:creationId xmlns:a16="http://schemas.microsoft.com/office/drawing/2014/main" id="{5FAE9944-0494-4C6D-AABE-AD74F722D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7" name="Picture 2" descr="검정로고만">
          <a:extLst>
            <a:ext uri="{FF2B5EF4-FFF2-40B4-BE49-F238E27FC236}">
              <a16:creationId xmlns:a16="http://schemas.microsoft.com/office/drawing/2014/main" id="{3D858F75-1276-4300-9578-B2AC29A84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8" name="Picture 2" descr="검정로고만">
          <a:extLst>
            <a:ext uri="{FF2B5EF4-FFF2-40B4-BE49-F238E27FC236}">
              <a16:creationId xmlns:a16="http://schemas.microsoft.com/office/drawing/2014/main" id="{DF434464-E792-429D-AC55-38C147B30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89" name="Picture 2" descr="검정로고만">
          <a:extLst>
            <a:ext uri="{FF2B5EF4-FFF2-40B4-BE49-F238E27FC236}">
              <a16:creationId xmlns:a16="http://schemas.microsoft.com/office/drawing/2014/main" id="{B229BAC7-7A78-4A32-BDED-D82091F2E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0" name="Picture 2" descr="검정로고만">
          <a:extLst>
            <a:ext uri="{FF2B5EF4-FFF2-40B4-BE49-F238E27FC236}">
              <a16:creationId xmlns:a16="http://schemas.microsoft.com/office/drawing/2014/main" id="{296BE421-28F0-4B30-B34D-B75BFF702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1" name="Picture 2" descr="검정로고만">
          <a:extLst>
            <a:ext uri="{FF2B5EF4-FFF2-40B4-BE49-F238E27FC236}">
              <a16:creationId xmlns:a16="http://schemas.microsoft.com/office/drawing/2014/main" id="{94D72B7F-5198-4229-9234-0D8E23AB1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2" name="Picture 2" descr="검정로고만">
          <a:extLst>
            <a:ext uri="{FF2B5EF4-FFF2-40B4-BE49-F238E27FC236}">
              <a16:creationId xmlns:a16="http://schemas.microsoft.com/office/drawing/2014/main" id="{25B1E57B-2018-4D45-9D97-06478331B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3" name="Picture 2" descr="검정로고만">
          <a:extLst>
            <a:ext uri="{FF2B5EF4-FFF2-40B4-BE49-F238E27FC236}">
              <a16:creationId xmlns:a16="http://schemas.microsoft.com/office/drawing/2014/main" id="{21E2AFB3-3C6E-40B7-B23A-C8675591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4" name="Picture 2" descr="검정로고만">
          <a:extLst>
            <a:ext uri="{FF2B5EF4-FFF2-40B4-BE49-F238E27FC236}">
              <a16:creationId xmlns:a16="http://schemas.microsoft.com/office/drawing/2014/main" id="{9C9E7AE3-E385-4A44-9CED-1F0EC02EC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5" name="Picture 2" descr="검정로고만">
          <a:extLst>
            <a:ext uri="{FF2B5EF4-FFF2-40B4-BE49-F238E27FC236}">
              <a16:creationId xmlns:a16="http://schemas.microsoft.com/office/drawing/2014/main" id="{47D469B7-5C13-46FB-8956-0FBC0FBD9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6" name="Picture 2" descr="검정로고만">
          <a:extLst>
            <a:ext uri="{FF2B5EF4-FFF2-40B4-BE49-F238E27FC236}">
              <a16:creationId xmlns:a16="http://schemas.microsoft.com/office/drawing/2014/main" id="{AFF25321-6BAC-4E88-8297-787DEC46C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7" name="Picture 2" descr="검정로고만">
          <a:extLst>
            <a:ext uri="{FF2B5EF4-FFF2-40B4-BE49-F238E27FC236}">
              <a16:creationId xmlns:a16="http://schemas.microsoft.com/office/drawing/2014/main" id="{F7F2DBC1-047D-4DC9-8FCE-5C9D3A8E7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8" name="Picture 2" descr="검정로고만">
          <a:extLst>
            <a:ext uri="{FF2B5EF4-FFF2-40B4-BE49-F238E27FC236}">
              <a16:creationId xmlns:a16="http://schemas.microsoft.com/office/drawing/2014/main" id="{F5D189BB-2545-42F6-9285-A133C2CFB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799" name="Picture 2" descr="검정로고만">
          <a:extLst>
            <a:ext uri="{FF2B5EF4-FFF2-40B4-BE49-F238E27FC236}">
              <a16:creationId xmlns:a16="http://schemas.microsoft.com/office/drawing/2014/main" id="{68D03D30-23AF-43A6-B9DE-C31C653F1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0" name="Picture 2" descr="검정로고만">
          <a:extLst>
            <a:ext uri="{FF2B5EF4-FFF2-40B4-BE49-F238E27FC236}">
              <a16:creationId xmlns:a16="http://schemas.microsoft.com/office/drawing/2014/main" id="{7E2361DE-CE7C-4602-82C0-EDC363D17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1" name="Picture 2" descr="검정로고만">
          <a:extLst>
            <a:ext uri="{FF2B5EF4-FFF2-40B4-BE49-F238E27FC236}">
              <a16:creationId xmlns:a16="http://schemas.microsoft.com/office/drawing/2014/main" id="{C81A5AC9-C4D8-46CC-84DF-C44B07805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2" name="Picture 2" descr="검정로고만">
          <a:extLst>
            <a:ext uri="{FF2B5EF4-FFF2-40B4-BE49-F238E27FC236}">
              <a16:creationId xmlns:a16="http://schemas.microsoft.com/office/drawing/2014/main" id="{D9BD258F-7EC1-4E4F-B92F-01714D162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3" name="Picture 2" descr="검정로고만">
          <a:extLst>
            <a:ext uri="{FF2B5EF4-FFF2-40B4-BE49-F238E27FC236}">
              <a16:creationId xmlns:a16="http://schemas.microsoft.com/office/drawing/2014/main" id="{CA656A30-CC1C-40E3-8F96-05464417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4" name="Picture 2" descr="검정로고만">
          <a:extLst>
            <a:ext uri="{FF2B5EF4-FFF2-40B4-BE49-F238E27FC236}">
              <a16:creationId xmlns:a16="http://schemas.microsoft.com/office/drawing/2014/main" id="{FABE5118-D35A-4534-B3CE-98F991E8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5" name="Picture 2" descr="검정로고만">
          <a:extLst>
            <a:ext uri="{FF2B5EF4-FFF2-40B4-BE49-F238E27FC236}">
              <a16:creationId xmlns:a16="http://schemas.microsoft.com/office/drawing/2014/main" id="{5BE32D57-35D5-400F-AFF7-8B393130C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6" name="Picture 2" descr="검정로고만">
          <a:extLst>
            <a:ext uri="{FF2B5EF4-FFF2-40B4-BE49-F238E27FC236}">
              <a16:creationId xmlns:a16="http://schemas.microsoft.com/office/drawing/2014/main" id="{1B6DCC26-3EEF-4459-BDBA-91E0ED9C2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7" name="Picture 2" descr="검정로고만">
          <a:extLst>
            <a:ext uri="{FF2B5EF4-FFF2-40B4-BE49-F238E27FC236}">
              <a16:creationId xmlns:a16="http://schemas.microsoft.com/office/drawing/2014/main" id="{45E302A5-61B5-4AC4-A853-E1DCEA8F4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8" name="Picture 2" descr="검정로고만">
          <a:extLst>
            <a:ext uri="{FF2B5EF4-FFF2-40B4-BE49-F238E27FC236}">
              <a16:creationId xmlns:a16="http://schemas.microsoft.com/office/drawing/2014/main" id="{1DD9D731-456E-441C-A4D1-5076DF841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09" name="Picture 2" descr="검정로고만">
          <a:extLst>
            <a:ext uri="{FF2B5EF4-FFF2-40B4-BE49-F238E27FC236}">
              <a16:creationId xmlns:a16="http://schemas.microsoft.com/office/drawing/2014/main" id="{A7827315-7974-44C2-A937-8B09E47A7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0" name="Picture 2" descr="검정로고만">
          <a:extLst>
            <a:ext uri="{FF2B5EF4-FFF2-40B4-BE49-F238E27FC236}">
              <a16:creationId xmlns:a16="http://schemas.microsoft.com/office/drawing/2014/main" id="{23C4BE5F-D2F2-4F9D-8C49-0C989CAFA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1" name="Picture 2" descr="검정로고만">
          <a:extLst>
            <a:ext uri="{FF2B5EF4-FFF2-40B4-BE49-F238E27FC236}">
              <a16:creationId xmlns:a16="http://schemas.microsoft.com/office/drawing/2014/main" id="{E04C463D-0B48-41E6-8B08-336DC4C37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2" name="Picture 2" descr="검정로고만">
          <a:extLst>
            <a:ext uri="{FF2B5EF4-FFF2-40B4-BE49-F238E27FC236}">
              <a16:creationId xmlns:a16="http://schemas.microsoft.com/office/drawing/2014/main" id="{A1119545-15BC-4F1D-A859-EC272D4E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813" name="Picture 3" descr="검정 글씨만">
          <a:extLst>
            <a:ext uri="{FF2B5EF4-FFF2-40B4-BE49-F238E27FC236}">
              <a16:creationId xmlns:a16="http://schemas.microsoft.com/office/drawing/2014/main" id="{7F04AFCB-7873-47B5-AB6E-B0C9334F3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4" name="Picture 2" descr="검정로고만">
          <a:extLst>
            <a:ext uri="{FF2B5EF4-FFF2-40B4-BE49-F238E27FC236}">
              <a16:creationId xmlns:a16="http://schemas.microsoft.com/office/drawing/2014/main" id="{3F325300-7ACB-4071-BEF5-E9A124A0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5" name="Picture 2" descr="검정로고만">
          <a:extLst>
            <a:ext uri="{FF2B5EF4-FFF2-40B4-BE49-F238E27FC236}">
              <a16:creationId xmlns:a16="http://schemas.microsoft.com/office/drawing/2014/main" id="{127B0794-6905-4346-9341-71123B346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6" name="Picture 2" descr="검정로고만">
          <a:extLst>
            <a:ext uri="{FF2B5EF4-FFF2-40B4-BE49-F238E27FC236}">
              <a16:creationId xmlns:a16="http://schemas.microsoft.com/office/drawing/2014/main" id="{9CD480ED-8EFE-45A9-B5A5-2ED78DBB1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7" name="Picture 2" descr="검정로고만">
          <a:extLst>
            <a:ext uri="{FF2B5EF4-FFF2-40B4-BE49-F238E27FC236}">
              <a16:creationId xmlns:a16="http://schemas.microsoft.com/office/drawing/2014/main" id="{57979C23-51FD-4EC6-96A4-9FDFAC478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8" name="Picture 2" descr="검정로고만">
          <a:extLst>
            <a:ext uri="{FF2B5EF4-FFF2-40B4-BE49-F238E27FC236}">
              <a16:creationId xmlns:a16="http://schemas.microsoft.com/office/drawing/2014/main" id="{9395C934-AF2A-4CB6-8CFC-2E9F102E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19" name="Picture 2" descr="검정로고만">
          <a:extLst>
            <a:ext uri="{FF2B5EF4-FFF2-40B4-BE49-F238E27FC236}">
              <a16:creationId xmlns:a16="http://schemas.microsoft.com/office/drawing/2014/main" id="{FE967C25-2A36-47F7-ACA5-137321B35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0" name="Picture 2" descr="검정로고만">
          <a:extLst>
            <a:ext uri="{FF2B5EF4-FFF2-40B4-BE49-F238E27FC236}">
              <a16:creationId xmlns:a16="http://schemas.microsoft.com/office/drawing/2014/main" id="{95FE8AF1-2904-4D0F-A05B-89605E41D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1" name="Picture 2" descr="검정로고만">
          <a:extLst>
            <a:ext uri="{FF2B5EF4-FFF2-40B4-BE49-F238E27FC236}">
              <a16:creationId xmlns:a16="http://schemas.microsoft.com/office/drawing/2014/main" id="{4D0A079A-05E2-45DC-A374-362A74C0B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822" name="Picture 3" descr="검정 글씨만">
          <a:extLst>
            <a:ext uri="{FF2B5EF4-FFF2-40B4-BE49-F238E27FC236}">
              <a16:creationId xmlns:a16="http://schemas.microsoft.com/office/drawing/2014/main" id="{00B5FFFF-3D8E-4F55-9D40-1B8A1259A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3" name="Picture 2" descr="검정로고만">
          <a:extLst>
            <a:ext uri="{FF2B5EF4-FFF2-40B4-BE49-F238E27FC236}">
              <a16:creationId xmlns:a16="http://schemas.microsoft.com/office/drawing/2014/main" id="{FD76F0AF-D854-4389-8F6F-FD5CDE7F4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4" name="Picture 2" descr="검정로고만">
          <a:extLst>
            <a:ext uri="{FF2B5EF4-FFF2-40B4-BE49-F238E27FC236}">
              <a16:creationId xmlns:a16="http://schemas.microsoft.com/office/drawing/2014/main" id="{59B59D7F-60EE-4A3C-B94D-69A5AD7D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5" name="Picture 2" descr="검정로고만">
          <a:extLst>
            <a:ext uri="{FF2B5EF4-FFF2-40B4-BE49-F238E27FC236}">
              <a16:creationId xmlns:a16="http://schemas.microsoft.com/office/drawing/2014/main" id="{B609D622-89AC-434A-A54A-C4F0EEA04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6" name="Picture 2" descr="검정로고만">
          <a:extLst>
            <a:ext uri="{FF2B5EF4-FFF2-40B4-BE49-F238E27FC236}">
              <a16:creationId xmlns:a16="http://schemas.microsoft.com/office/drawing/2014/main" id="{0E013F03-C95A-4A22-BDAD-A07F3D07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7" name="Picture 2" descr="검정로고만">
          <a:extLst>
            <a:ext uri="{FF2B5EF4-FFF2-40B4-BE49-F238E27FC236}">
              <a16:creationId xmlns:a16="http://schemas.microsoft.com/office/drawing/2014/main" id="{A124BA47-AB39-4D0C-9E44-BD545559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8" name="Picture 2" descr="검정로고만">
          <a:extLst>
            <a:ext uri="{FF2B5EF4-FFF2-40B4-BE49-F238E27FC236}">
              <a16:creationId xmlns:a16="http://schemas.microsoft.com/office/drawing/2014/main" id="{A7FD19A7-4BD7-4AB4-98FE-6D0E7DECE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29" name="Picture 2" descr="검정로고만">
          <a:extLst>
            <a:ext uri="{FF2B5EF4-FFF2-40B4-BE49-F238E27FC236}">
              <a16:creationId xmlns:a16="http://schemas.microsoft.com/office/drawing/2014/main" id="{89175F8E-9E8F-4A90-B32D-5909F3783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0" name="Picture 2" descr="검정로고만">
          <a:extLst>
            <a:ext uri="{FF2B5EF4-FFF2-40B4-BE49-F238E27FC236}">
              <a16:creationId xmlns:a16="http://schemas.microsoft.com/office/drawing/2014/main" id="{EE20F5C6-5F7A-4265-BACA-02B1B2EE5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831" name="Picture 3" descr="검정 글씨만">
          <a:extLst>
            <a:ext uri="{FF2B5EF4-FFF2-40B4-BE49-F238E27FC236}">
              <a16:creationId xmlns:a16="http://schemas.microsoft.com/office/drawing/2014/main" id="{26E06E98-72BD-4021-AFBD-B51761FC5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2" name="Picture 2" descr="검정로고만">
          <a:extLst>
            <a:ext uri="{FF2B5EF4-FFF2-40B4-BE49-F238E27FC236}">
              <a16:creationId xmlns:a16="http://schemas.microsoft.com/office/drawing/2014/main" id="{6F46B3FC-A60A-4719-90FB-A8CE27E9D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3" name="Picture 2" descr="검정로고만">
          <a:extLst>
            <a:ext uri="{FF2B5EF4-FFF2-40B4-BE49-F238E27FC236}">
              <a16:creationId xmlns:a16="http://schemas.microsoft.com/office/drawing/2014/main" id="{2613E7A6-3045-4CEA-9966-4193B3A2B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4" name="Picture 2" descr="검정로고만">
          <a:extLst>
            <a:ext uri="{FF2B5EF4-FFF2-40B4-BE49-F238E27FC236}">
              <a16:creationId xmlns:a16="http://schemas.microsoft.com/office/drawing/2014/main" id="{55BA7FA8-4458-4F3C-80AB-B41A4AC78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5" name="Picture 2" descr="검정로고만">
          <a:extLst>
            <a:ext uri="{FF2B5EF4-FFF2-40B4-BE49-F238E27FC236}">
              <a16:creationId xmlns:a16="http://schemas.microsoft.com/office/drawing/2014/main" id="{DFE061BD-D38A-4933-ABFB-21CBE3E56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6" name="Picture 2" descr="검정로고만">
          <a:extLst>
            <a:ext uri="{FF2B5EF4-FFF2-40B4-BE49-F238E27FC236}">
              <a16:creationId xmlns:a16="http://schemas.microsoft.com/office/drawing/2014/main" id="{93D4E9D0-F512-4099-B540-D10075789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7" name="Picture 2" descr="검정로고만">
          <a:extLst>
            <a:ext uri="{FF2B5EF4-FFF2-40B4-BE49-F238E27FC236}">
              <a16:creationId xmlns:a16="http://schemas.microsoft.com/office/drawing/2014/main" id="{A405CF02-AF3C-4C53-9004-82DD32F9B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8" name="Picture 2" descr="검정로고만">
          <a:extLst>
            <a:ext uri="{FF2B5EF4-FFF2-40B4-BE49-F238E27FC236}">
              <a16:creationId xmlns:a16="http://schemas.microsoft.com/office/drawing/2014/main" id="{E78ADA33-6505-42EE-807B-8CE01D38A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39" name="Picture 2" descr="검정로고만">
          <a:extLst>
            <a:ext uri="{FF2B5EF4-FFF2-40B4-BE49-F238E27FC236}">
              <a16:creationId xmlns:a16="http://schemas.microsoft.com/office/drawing/2014/main" id="{77CC8707-ACB1-48A2-9253-7C7BF8F7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0" name="Picture 2" descr="검정로고만">
          <a:extLst>
            <a:ext uri="{FF2B5EF4-FFF2-40B4-BE49-F238E27FC236}">
              <a16:creationId xmlns:a16="http://schemas.microsoft.com/office/drawing/2014/main" id="{F009E606-8331-4636-8108-28121DD00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1" name="Picture 2" descr="검정로고만">
          <a:extLst>
            <a:ext uri="{FF2B5EF4-FFF2-40B4-BE49-F238E27FC236}">
              <a16:creationId xmlns:a16="http://schemas.microsoft.com/office/drawing/2014/main" id="{C12AFEC3-C3ED-495A-A170-669BF2054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2" name="Picture 2" descr="검정로고만">
          <a:extLst>
            <a:ext uri="{FF2B5EF4-FFF2-40B4-BE49-F238E27FC236}">
              <a16:creationId xmlns:a16="http://schemas.microsoft.com/office/drawing/2014/main" id="{C4523DB9-8764-4B9F-AD9D-5FCCF29D1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3" name="Picture 2" descr="검정로고만">
          <a:extLst>
            <a:ext uri="{FF2B5EF4-FFF2-40B4-BE49-F238E27FC236}">
              <a16:creationId xmlns:a16="http://schemas.microsoft.com/office/drawing/2014/main" id="{064C0530-9E17-4C13-A809-5C60D6C1D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4" name="Picture 2" descr="검정로고만">
          <a:extLst>
            <a:ext uri="{FF2B5EF4-FFF2-40B4-BE49-F238E27FC236}">
              <a16:creationId xmlns:a16="http://schemas.microsoft.com/office/drawing/2014/main" id="{86C6BBA7-D70E-48B9-86D2-367BC5CFC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5" name="Picture 2" descr="검정로고만">
          <a:extLst>
            <a:ext uri="{FF2B5EF4-FFF2-40B4-BE49-F238E27FC236}">
              <a16:creationId xmlns:a16="http://schemas.microsoft.com/office/drawing/2014/main" id="{AAD3B514-D53F-47E7-990C-1D98A600D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6" name="Picture 2" descr="검정로고만">
          <a:extLst>
            <a:ext uri="{FF2B5EF4-FFF2-40B4-BE49-F238E27FC236}">
              <a16:creationId xmlns:a16="http://schemas.microsoft.com/office/drawing/2014/main" id="{112FB6C5-E22E-47C0-A38E-E6591C28E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7" name="Picture 2" descr="검정로고만">
          <a:extLst>
            <a:ext uri="{FF2B5EF4-FFF2-40B4-BE49-F238E27FC236}">
              <a16:creationId xmlns:a16="http://schemas.microsoft.com/office/drawing/2014/main" id="{49E6258C-E382-4F4B-B0E3-F61F7C70D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8" name="Picture 2" descr="검정로고만">
          <a:extLst>
            <a:ext uri="{FF2B5EF4-FFF2-40B4-BE49-F238E27FC236}">
              <a16:creationId xmlns:a16="http://schemas.microsoft.com/office/drawing/2014/main" id="{B4CBB1E7-DCB0-499C-88A3-28E06A7D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49" name="Picture 2" descr="검정로고만">
          <a:extLst>
            <a:ext uri="{FF2B5EF4-FFF2-40B4-BE49-F238E27FC236}">
              <a16:creationId xmlns:a16="http://schemas.microsoft.com/office/drawing/2014/main" id="{5204DEEA-098B-4193-961C-B67930C66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0" name="Picture 2" descr="검정로고만">
          <a:extLst>
            <a:ext uri="{FF2B5EF4-FFF2-40B4-BE49-F238E27FC236}">
              <a16:creationId xmlns:a16="http://schemas.microsoft.com/office/drawing/2014/main" id="{5C8137E6-DDA2-4F56-90F8-DC673E67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1" name="Picture 2" descr="검정로고만">
          <a:extLst>
            <a:ext uri="{FF2B5EF4-FFF2-40B4-BE49-F238E27FC236}">
              <a16:creationId xmlns:a16="http://schemas.microsoft.com/office/drawing/2014/main" id="{D6129F9B-D696-411B-91A6-B1C80E29C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2" name="Picture 2" descr="검정로고만">
          <a:extLst>
            <a:ext uri="{FF2B5EF4-FFF2-40B4-BE49-F238E27FC236}">
              <a16:creationId xmlns:a16="http://schemas.microsoft.com/office/drawing/2014/main" id="{DCC89BE8-2FD7-46A6-A9FB-3724AB0FA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3" name="Picture 2" descr="검정로고만">
          <a:extLst>
            <a:ext uri="{FF2B5EF4-FFF2-40B4-BE49-F238E27FC236}">
              <a16:creationId xmlns:a16="http://schemas.microsoft.com/office/drawing/2014/main" id="{6E681A88-CA70-4FFC-A2D4-839D4B41F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4" name="Picture 2" descr="검정로고만">
          <a:extLst>
            <a:ext uri="{FF2B5EF4-FFF2-40B4-BE49-F238E27FC236}">
              <a16:creationId xmlns:a16="http://schemas.microsoft.com/office/drawing/2014/main" id="{B4E6639F-C12B-46C7-B186-5446E550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5" name="Picture 2" descr="검정로고만">
          <a:extLst>
            <a:ext uri="{FF2B5EF4-FFF2-40B4-BE49-F238E27FC236}">
              <a16:creationId xmlns:a16="http://schemas.microsoft.com/office/drawing/2014/main" id="{EED474A9-F602-4F02-BC05-0ACD2568D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6" name="Picture 2" descr="검정로고만">
          <a:extLst>
            <a:ext uri="{FF2B5EF4-FFF2-40B4-BE49-F238E27FC236}">
              <a16:creationId xmlns:a16="http://schemas.microsoft.com/office/drawing/2014/main" id="{B1FA3D74-C155-47F1-8649-41DE3E1D8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7" name="Picture 2" descr="검정로고만">
          <a:extLst>
            <a:ext uri="{FF2B5EF4-FFF2-40B4-BE49-F238E27FC236}">
              <a16:creationId xmlns:a16="http://schemas.microsoft.com/office/drawing/2014/main" id="{FCE2FABE-D3F9-4948-ABAF-06558257A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8" name="Picture 2" descr="검정로고만">
          <a:extLst>
            <a:ext uri="{FF2B5EF4-FFF2-40B4-BE49-F238E27FC236}">
              <a16:creationId xmlns:a16="http://schemas.microsoft.com/office/drawing/2014/main" id="{CDD1C35C-5E6F-443A-B10F-0C7260D2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59" name="Picture 2" descr="검정로고만">
          <a:extLst>
            <a:ext uri="{FF2B5EF4-FFF2-40B4-BE49-F238E27FC236}">
              <a16:creationId xmlns:a16="http://schemas.microsoft.com/office/drawing/2014/main" id="{F4CFB0BC-664F-474F-B9B6-7BD817C3E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0" name="Picture 2" descr="검정로고만">
          <a:extLst>
            <a:ext uri="{FF2B5EF4-FFF2-40B4-BE49-F238E27FC236}">
              <a16:creationId xmlns:a16="http://schemas.microsoft.com/office/drawing/2014/main" id="{A26F4BAD-9662-4B5C-A248-587BFB1E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1" name="Picture 2" descr="검정로고만">
          <a:extLst>
            <a:ext uri="{FF2B5EF4-FFF2-40B4-BE49-F238E27FC236}">
              <a16:creationId xmlns:a16="http://schemas.microsoft.com/office/drawing/2014/main" id="{CC8D46AD-B93F-4AAD-840B-AF3113ED1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2" name="Picture 2" descr="검정로고만">
          <a:extLst>
            <a:ext uri="{FF2B5EF4-FFF2-40B4-BE49-F238E27FC236}">
              <a16:creationId xmlns:a16="http://schemas.microsoft.com/office/drawing/2014/main" id="{4D0C25F9-7F19-421A-BEFA-A29ABE9B0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3" name="Picture 2" descr="검정로고만">
          <a:extLst>
            <a:ext uri="{FF2B5EF4-FFF2-40B4-BE49-F238E27FC236}">
              <a16:creationId xmlns:a16="http://schemas.microsoft.com/office/drawing/2014/main" id="{51A4DBC6-F9EF-483E-B864-D6562E088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4" name="Picture 2" descr="검정로고만">
          <a:extLst>
            <a:ext uri="{FF2B5EF4-FFF2-40B4-BE49-F238E27FC236}">
              <a16:creationId xmlns:a16="http://schemas.microsoft.com/office/drawing/2014/main" id="{3D45544F-4585-456F-B7F5-2225E5C7C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5" name="Picture 2" descr="검정로고만">
          <a:extLst>
            <a:ext uri="{FF2B5EF4-FFF2-40B4-BE49-F238E27FC236}">
              <a16:creationId xmlns:a16="http://schemas.microsoft.com/office/drawing/2014/main" id="{DDC12F5E-97E2-4BB6-BDFE-E687727C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6" name="Picture 2" descr="검정로고만">
          <a:extLst>
            <a:ext uri="{FF2B5EF4-FFF2-40B4-BE49-F238E27FC236}">
              <a16:creationId xmlns:a16="http://schemas.microsoft.com/office/drawing/2014/main" id="{8CB4EF20-ED3F-4E71-925C-A6B003405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7" name="Picture 2" descr="검정로고만">
          <a:extLst>
            <a:ext uri="{FF2B5EF4-FFF2-40B4-BE49-F238E27FC236}">
              <a16:creationId xmlns:a16="http://schemas.microsoft.com/office/drawing/2014/main" id="{5C10D1AE-27CF-448B-BB45-3F7BF708A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8" name="Picture 2" descr="검정로고만">
          <a:extLst>
            <a:ext uri="{FF2B5EF4-FFF2-40B4-BE49-F238E27FC236}">
              <a16:creationId xmlns:a16="http://schemas.microsoft.com/office/drawing/2014/main" id="{177FEB02-C8CD-4A20-96CA-66C491CE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69" name="Picture 2" descr="검정로고만">
          <a:extLst>
            <a:ext uri="{FF2B5EF4-FFF2-40B4-BE49-F238E27FC236}">
              <a16:creationId xmlns:a16="http://schemas.microsoft.com/office/drawing/2014/main" id="{90DFC141-067D-4B2D-912B-36B5F32D9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0" name="Picture 2" descr="검정로고만">
          <a:extLst>
            <a:ext uri="{FF2B5EF4-FFF2-40B4-BE49-F238E27FC236}">
              <a16:creationId xmlns:a16="http://schemas.microsoft.com/office/drawing/2014/main" id="{7A481723-511F-4FB9-B800-DCE1D6754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1" name="Picture 2" descr="검정로고만">
          <a:extLst>
            <a:ext uri="{FF2B5EF4-FFF2-40B4-BE49-F238E27FC236}">
              <a16:creationId xmlns:a16="http://schemas.microsoft.com/office/drawing/2014/main" id="{2894E530-7D0E-4ADA-9B02-0786A972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872" name="Picture 3" descr="검정 글씨만">
          <a:extLst>
            <a:ext uri="{FF2B5EF4-FFF2-40B4-BE49-F238E27FC236}">
              <a16:creationId xmlns:a16="http://schemas.microsoft.com/office/drawing/2014/main" id="{F8421E96-A1F6-4BC5-9B4F-0042BEA4C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3" name="Picture 2" descr="검정로고만">
          <a:extLst>
            <a:ext uri="{FF2B5EF4-FFF2-40B4-BE49-F238E27FC236}">
              <a16:creationId xmlns:a16="http://schemas.microsoft.com/office/drawing/2014/main" id="{D0ECD6C0-F102-495B-857A-A9CE7CAA7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4" name="Picture 2" descr="검정로고만">
          <a:extLst>
            <a:ext uri="{FF2B5EF4-FFF2-40B4-BE49-F238E27FC236}">
              <a16:creationId xmlns:a16="http://schemas.microsoft.com/office/drawing/2014/main" id="{251A60B4-C597-4046-A02F-E30B35FDD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5" name="Picture 2" descr="검정로고만">
          <a:extLst>
            <a:ext uri="{FF2B5EF4-FFF2-40B4-BE49-F238E27FC236}">
              <a16:creationId xmlns:a16="http://schemas.microsoft.com/office/drawing/2014/main" id="{B46AAC4F-3A85-4BD4-9797-9802DBA1C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6" name="Picture 2" descr="검정로고만">
          <a:extLst>
            <a:ext uri="{FF2B5EF4-FFF2-40B4-BE49-F238E27FC236}">
              <a16:creationId xmlns:a16="http://schemas.microsoft.com/office/drawing/2014/main" id="{6E9357E0-6AE5-495C-B2EE-072BF06D0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7" name="Picture 2" descr="검정로고만">
          <a:extLst>
            <a:ext uri="{FF2B5EF4-FFF2-40B4-BE49-F238E27FC236}">
              <a16:creationId xmlns:a16="http://schemas.microsoft.com/office/drawing/2014/main" id="{971F63DD-8245-43C5-AB82-B482A1AA7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8" name="Picture 2" descr="검정로고만">
          <a:extLst>
            <a:ext uri="{FF2B5EF4-FFF2-40B4-BE49-F238E27FC236}">
              <a16:creationId xmlns:a16="http://schemas.microsoft.com/office/drawing/2014/main" id="{B20C84E9-CE96-41D7-9411-F726B1B9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79" name="Picture 2" descr="검정로고만">
          <a:extLst>
            <a:ext uri="{FF2B5EF4-FFF2-40B4-BE49-F238E27FC236}">
              <a16:creationId xmlns:a16="http://schemas.microsoft.com/office/drawing/2014/main" id="{2234F5AB-64BC-43D3-9B87-09EA61F0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0" name="Picture 2" descr="검정로고만">
          <a:extLst>
            <a:ext uri="{FF2B5EF4-FFF2-40B4-BE49-F238E27FC236}">
              <a16:creationId xmlns:a16="http://schemas.microsoft.com/office/drawing/2014/main" id="{86C60C09-B8DF-4956-AA5E-3FEBB1FF1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881" name="Picture 3" descr="검정 글씨만">
          <a:extLst>
            <a:ext uri="{FF2B5EF4-FFF2-40B4-BE49-F238E27FC236}">
              <a16:creationId xmlns:a16="http://schemas.microsoft.com/office/drawing/2014/main" id="{115FED86-E08F-48D2-8422-7CB8CEBD8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2" name="Picture 2" descr="검정로고만">
          <a:extLst>
            <a:ext uri="{FF2B5EF4-FFF2-40B4-BE49-F238E27FC236}">
              <a16:creationId xmlns:a16="http://schemas.microsoft.com/office/drawing/2014/main" id="{4279E5EC-5B9C-40FE-BCCA-652CECCC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3" name="Picture 2" descr="검정로고만">
          <a:extLst>
            <a:ext uri="{FF2B5EF4-FFF2-40B4-BE49-F238E27FC236}">
              <a16:creationId xmlns:a16="http://schemas.microsoft.com/office/drawing/2014/main" id="{88DCC1C9-E10F-4EBF-9414-7EF740DA4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4" name="Picture 2" descr="검정로고만">
          <a:extLst>
            <a:ext uri="{FF2B5EF4-FFF2-40B4-BE49-F238E27FC236}">
              <a16:creationId xmlns:a16="http://schemas.microsoft.com/office/drawing/2014/main" id="{C8A37E58-000C-4208-ADD2-10705CA8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5" name="Picture 2" descr="검정로고만">
          <a:extLst>
            <a:ext uri="{FF2B5EF4-FFF2-40B4-BE49-F238E27FC236}">
              <a16:creationId xmlns:a16="http://schemas.microsoft.com/office/drawing/2014/main" id="{FDB25540-3B14-4604-8AC7-B8D4FB65E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6" name="Picture 2" descr="검정로고만">
          <a:extLst>
            <a:ext uri="{FF2B5EF4-FFF2-40B4-BE49-F238E27FC236}">
              <a16:creationId xmlns:a16="http://schemas.microsoft.com/office/drawing/2014/main" id="{AC8A9DEF-A38F-476E-A93E-71C884D9A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7" name="Picture 2" descr="검정로고만">
          <a:extLst>
            <a:ext uri="{FF2B5EF4-FFF2-40B4-BE49-F238E27FC236}">
              <a16:creationId xmlns:a16="http://schemas.microsoft.com/office/drawing/2014/main" id="{5A56EB2A-476D-4BF7-ACCA-A8FB513C9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8" name="Picture 2" descr="검정로고만">
          <a:extLst>
            <a:ext uri="{FF2B5EF4-FFF2-40B4-BE49-F238E27FC236}">
              <a16:creationId xmlns:a16="http://schemas.microsoft.com/office/drawing/2014/main" id="{29FD9871-73AA-45EC-8669-F4FCD9F92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89" name="Picture 2" descr="검정로고만">
          <a:extLst>
            <a:ext uri="{FF2B5EF4-FFF2-40B4-BE49-F238E27FC236}">
              <a16:creationId xmlns:a16="http://schemas.microsoft.com/office/drawing/2014/main" id="{6C9B7D07-3574-4849-AD11-6F15492B4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890" name="Picture 3" descr="검정 글씨만">
          <a:extLst>
            <a:ext uri="{FF2B5EF4-FFF2-40B4-BE49-F238E27FC236}">
              <a16:creationId xmlns:a16="http://schemas.microsoft.com/office/drawing/2014/main" id="{21DFD79C-7F90-40FB-8BFC-2B049750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1" name="Picture 2" descr="검정로고만">
          <a:extLst>
            <a:ext uri="{FF2B5EF4-FFF2-40B4-BE49-F238E27FC236}">
              <a16:creationId xmlns:a16="http://schemas.microsoft.com/office/drawing/2014/main" id="{DFEDAFB3-9042-46E7-98F3-C36BCA17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2" name="Picture 2" descr="검정로고만">
          <a:extLst>
            <a:ext uri="{FF2B5EF4-FFF2-40B4-BE49-F238E27FC236}">
              <a16:creationId xmlns:a16="http://schemas.microsoft.com/office/drawing/2014/main" id="{4B1F6779-9424-4342-9A06-26ADD9368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3" name="Picture 2" descr="검정로고만">
          <a:extLst>
            <a:ext uri="{FF2B5EF4-FFF2-40B4-BE49-F238E27FC236}">
              <a16:creationId xmlns:a16="http://schemas.microsoft.com/office/drawing/2014/main" id="{E23C5BB8-4641-4922-9F4C-30600289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4" name="Picture 2" descr="검정로고만">
          <a:extLst>
            <a:ext uri="{FF2B5EF4-FFF2-40B4-BE49-F238E27FC236}">
              <a16:creationId xmlns:a16="http://schemas.microsoft.com/office/drawing/2014/main" id="{A0A7E793-185B-4A4A-BF40-A223E0F22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5" name="Picture 2" descr="검정로고만">
          <a:extLst>
            <a:ext uri="{FF2B5EF4-FFF2-40B4-BE49-F238E27FC236}">
              <a16:creationId xmlns:a16="http://schemas.microsoft.com/office/drawing/2014/main" id="{CCFF7BAD-3A5F-4FA4-A5BD-BDBA8BAB3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6" name="Picture 2" descr="검정로고만">
          <a:extLst>
            <a:ext uri="{FF2B5EF4-FFF2-40B4-BE49-F238E27FC236}">
              <a16:creationId xmlns:a16="http://schemas.microsoft.com/office/drawing/2014/main" id="{46197B2F-279E-42CA-8EB5-131E2303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7" name="Picture 2" descr="검정로고만">
          <a:extLst>
            <a:ext uri="{FF2B5EF4-FFF2-40B4-BE49-F238E27FC236}">
              <a16:creationId xmlns:a16="http://schemas.microsoft.com/office/drawing/2014/main" id="{08B2410D-54AF-47EF-B0CC-C28FF85FE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8" name="Picture 2" descr="검정로고만">
          <a:extLst>
            <a:ext uri="{FF2B5EF4-FFF2-40B4-BE49-F238E27FC236}">
              <a16:creationId xmlns:a16="http://schemas.microsoft.com/office/drawing/2014/main" id="{86EB2DF1-930C-44BC-91CF-90744ADA3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899" name="Picture 2" descr="검정로고만">
          <a:extLst>
            <a:ext uri="{FF2B5EF4-FFF2-40B4-BE49-F238E27FC236}">
              <a16:creationId xmlns:a16="http://schemas.microsoft.com/office/drawing/2014/main" id="{AF9071CD-AB08-40CF-8A23-5EC15E894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0" name="Picture 2" descr="검정로고만">
          <a:extLst>
            <a:ext uri="{FF2B5EF4-FFF2-40B4-BE49-F238E27FC236}">
              <a16:creationId xmlns:a16="http://schemas.microsoft.com/office/drawing/2014/main" id="{443ECBB6-5079-42A6-A743-923CC93F6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1" name="Picture 2" descr="검정로고만">
          <a:extLst>
            <a:ext uri="{FF2B5EF4-FFF2-40B4-BE49-F238E27FC236}">
              <a16:creationId xmlns:a16="http://schemas.microsoft.com/office/drawing/2014/main" id="{13845B5F-DB48-4CA2-8DE3-1D967E48A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2" name="Picture 2" descr="검정로고만">
          <a:extLst>
            <a:ext uri="{FF2B5EF4-FFF2-40B4-BE49-F238E27FC236}">
              <a16:creationId xmlns:a16="http://schemas.microsoft.com/office/drawing/2014/main" id="{F5D05630-ACFF-4D16-AF85-F08E4EF9F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3" name="Picture 2" descr="검정로고만">
          <a:extLst>
            <a:ext uri="{FF2B5EF4-FFF2-40B4-BE49-F238E27FC236}">
              <a16:creationId xmlns:a16="http://schemas.microsoft.com/office/drawing/2014/main" id="{60F4B721-3CA4-45BD-A88A-BF83F9CC8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4" name="Picture 2" descr="검정로고만">
          <a:extLst>
            <a:ext uri="{FF2B5EF4-FFF2-40B4-BE49-F238E27FC236}">
              <a16:creationId xmlns:a16="http://schemas.microsoft.com/office/drawing/2014/main" id="{C102DE81-4D3A-413B-98E7-5A7E1CD1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5" name="Picture 2" descr="검정로고만">
          <a:extLst>
            <a:ext uri="{FF2B5EF4-FFF2-40B4-BE49-F238E27FC236}">
              <a16:creationId xmlns:a16="http://schemas.microsoft.com/office/drawing/2014/main" id="{A8ED99AB-BD34-49E6-A7AF-C7214122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6" name="Picture 2" descr="검정로고만">
          <a:extLst>
            <a:ext uri="{FF2B5EF4-FFF2-40B4-BE49-F238E27FC236}">
              <a16:creationId xmlns:a16="http://schemas.microsoft.com/office/drawing/2014/main" id="{48DB8DFE-D573-499F-8EBB-06EAECFDF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7" name="Picture 2" descr="검정로고만">
          <a:extLst>
            <a:ext uri="{FF2B5EF4-FFF2-40B4-BE49-F238E27FC236}">
              <a16:creationId xmlns:a16="http://schemas.microsoft.com/office/drawing/2014/main" id="{13AB1493-9AE7-489E-866C-9F4E52888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8" name="Picture 2" descr="검정로고만">
          <a:extLst>
            <a:ext uri="{FF2B5EF4-FFF2-40B4-BE49-F238E27FC236}">
              <a16:creationId xmlns:a16="http://schemas.microsoft.com/office/drawing/2014/main" id="{F94BCA97-7EAB-40F7-AC38-72982A3D8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09" name="Picture 2" descr="검정로고만">
          <a:extLst>
            <a:ext uri="{FF2B5EF4-FFF2-40B4-BE49-F238E27FC236}">
              <a16:creationId xmlns:a16="http://schemas.microsoft.com/office/drawing/2014/main" id="{2BEF91A6-5B85-42A1-A7E4-627D2A619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0" name="Picture 2" descr="검정로고만">
          <a:extLst>
            <a:ext uri="{FF2B5EF4-FFF2-40B4-BE49-F238E27FC236}">
              <a16:creationId xmlns:a16="http://schemas.microsoft.com/office/drawing/2014/main" id="{BEE0DB26-1B10-4262-9EF0-7A67383F2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1" name="Picture 2" descr="검정로고만">
          <a:extLst>
            <a:ext uri="{FF2B5EF4-FFF2-40B4-BE49-F238E27FC236}">
              <a16:creationId xmlns:a16="http://schemas.microsoft.com/office/drawing/2014/main" id="{5F907801-B572-4EE9-9875-E8C7C1E02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2" name="Picture 2" descr="검정로고만">
          <a:extLst>
            <a:ext uri="{FF2B5EF4-FFF2-40B4-BE49-F238E27FC236}">
              <a16:creationId xmlns:a16="http://schemas.microsoft.com/office/drawing/2014/main" id="{06AF2C9D-514B-4B83-9258-252CF5BB5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3" name="Picture 2" descr="검정로고만">
          <a:extLst>
            <a:ext uri="{FF2B5EF4-FFF2-40B4-BE49-F238E27FC236}">
              <a16:creationId xmlns:a16="http://schemas.microsoft.com/office/drawing/2014/main" id="{41B1F596-B62F-440A-A8FB-44446121F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4" name="Picture 2" descr="검정로고만">
          <a:extLst>
            <a:ext uri="{FF2B5EF4-FFF2-40B4-BE49-F238E27FC236}">
              <a16:creationId xmlns:a16="http://schemas.microsoft.com/office/drawing/2014/main" id="{0A2D81C4-C7D2-4E45-8446-7ECE5BB3E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5" name="Picture 2" descr="검정로고만">
          <a:extLst>
            <a:ext uri="{FF2B5EF4-FFF2-40B4-BE49-F238E27FC236}">
              <a16:creationId xmlns:a16="http://schemas.microsoft.com/office/drawing/2014/main" id="{E52F2F06-8DE0-44E6-A0DF-B46AC401E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6" name="Picture 2" descr="검정로고만">
          <a:extLst>
            <a:ext uri="{FF2B5EF4-FFF2-40B4-BE49-F238E27FC236}">
              <a16:creationId xmlns:a16="http://schemas.microsoft.com/office/drawing/2014/main" id="{49D86A1F-8D84-47DD-B5E0-8D75B6EC1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7" name="Picture 2" descr="검정로고만">
          <a:extLst>
            <a:ext uri="{FF2B5EF4-FFF2-40B4-BE49-F238E27FC236}">
              <a16:creationId xmlns:a16="http://schemas.microsoft.com/office/drawing/2014/main" id="{DEB6140B-9F82-46D3-95A3-EA710A6CC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8" name="Picture 2" descr="검정로고만">
          <a:extLst>
            <a:ext uri="{FF2B5EF4-FFF2-40B4-BE49-F238E27FC236}">
              <a16:creationId xmlns:a16="http://schemas.microsoft.com/office/drawing/2014/main" id="{02BB4B0E-648A-4D9A-BF23-5D835032B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19" name="Picture 2" descr="검정로고만">
          <a:extLst>
            <a:ext uri="{FF2B5EF4-FFF2-40B4-BE49-F238E27FC236}">
              <a16:creationId xmlns:a16="http://schemas.microsoft.com/office/drawing/2014/main" id="{8ABFD5DF-FABE-4E86-B2F5-44951E2A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0" name="Picture 2" descr="검정로고만">
          <a:extLst>
            <a:ext uri="{FF2B5EF4-FFF2-40B4-BE49-F238E27FC236}">
              <a16:creationId xmlns:a16="http://schemas.microsoft.com/office/drawing/2014/main" id="{02B2D081-175A-4BC5-A327-FC5A0F2F6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1" name="Picture 2" descr="검정로고만">
          <a:extLst>
            <a:ext uri="{FF2B5EF4-FFF2-40B4-BE49-F238E27FC236}">
              <a16:creationId xmlns:a16="http://schemas.microsoft.com/office/drawing/2014/main" id="{6ABCCAE2-52FC-418B-A3F8-0B958F3CF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2" name="Picture 2" descr="검정로고만">
          <a:extLst>
            <a:ext uri="{FF2B5EF4-FFF2-40B4-BE49-F238E27FC236}">
              <a16:creationId xmlns:a16="http://schemas.microsoft.com/office/drawing/2014/main" id="{FF6D79BF-C1E3-44B8-93F2-035DBEF68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3" name="Picture 2" descr="검정로고만">
          <a:extLst>
            <a:ext uri="{FF2B5EF4-FFF2-40B4-BE49-F238E27FC236}">
              <a16:creationId xmlns:a16="http://schemas.microsoft.com/office/drawing/2014/main" id="{326AB882-AA03-45CB-A391-1ADCE5AA5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4" name="Picture 2" descr="검정로고만">
          <a:extLst>
            <a:ext uri="{FF2B5EF4-FFF2-40B4-BE49-F238E27FC236}">
              <a16:creationId xmlns:a16="http://schemas.microsoft.com/office/drawing/2014/main" id="{376C1DBB-7D02-4CCB-BC11-B8D09F5F6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5" name="Picture 2" descr="검정로고만">
          <a:extLst>
            <a:ext uri="{FF2B5EF4-FFF2-40B4-BE49-F238E27FC236}">
              <a16:creationId xmlns:a16="http://schemas.microsoft.com/office/drawing/2014/main" id="{5897A311-0D2F-4B0F-BEAF-1DDC60698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6" name="Picture 2" descr="검정로고만">
          <a:extLst>
            <a:ext uri="{FF2B5EF4-FFF2-40B4-BE49-F238E27FC236}">
              <a16:creationId xmlns:a16="http://schemas.microsoft.com/office/drawing/2014/main" id="{204A2A5A-07DA-46EE-A359-E7E40E7A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7" name="Picture 2" descr="검정로고만">
          <a:extLst>
            <a:ext uri="{FF2B5EF4-FFF2-40B4-BE49-F238E27FC236}">
              <a16:creationId xmlns:a16="http://schemas.microsoft.com/office/drawing/2014/main" id="{2352EBC7-F0D6-4207-808D-9EEDBE4D3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8" name="Picture 2" descr="검정로고만">
          <a:extLst>
            <a:ext uri="{FF2B5EF4-FFF2-40B4-BE49-F238E27FC236}">
              <a16:creationId xmlns:a16="http://schemas.microsoft.com/office/drawing/2014/main" id="{F33BD90D-4676-41B1-A8FE-B199AD6F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29" name="Picture 2" descr="검정로고만">
          <a:extLst>
            <a:ext uri="{FF2B5EF4-FFF2-40B4-BE49-F238E27FC236}">
              <a16:creationId xmlns:a16="http://schemas.microsoft.com/office/drawing/2014/main" id="{421A0562-2AB1-4CF7-9EAD-8AE5735D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0" name="Picture 2" descr="검정로고만">
          <a:extLst>
            <a:ext uri="{FF2B5EF4-FFF2-40B4-BE49-F238E27FC236}">
              <a16:creationId xmlns:a16="http://schemas.microsoft.com/office/drawing/2014/main" id="{DE84FDE5-6695-4154-961B-50C4EA171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931" name="Picture 3" descr="검정 글씨만">
          <a:extLst>
            <a:ext uri="{FF2B5EF4-FFF2-40B4-BE49-F238E27FC236}">
              <a16:creationId xmlns:a16="http://schemas.microsoft.com/office/drawing/2014/main" id="{36EAF193-9597-4787-8301-1D9BAF35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2" name="Picture 2" descr="검정로고만">
          <a:extLst>
            <a:ext uri="{FF2B5EF4-FFF2-40B4-BE49-F238E27FC236}">
              <a16:creationId xmlns:a16="http://schemas.microsoft.com/office/drawing/2014/main" id="{FB611DBA-A256-472D-8AEC-3A56A7A29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3" name="Picture 2" descr="검정로고만">
          <a:extLst>
            <a:ext uri="{FF2B5EF4-FFF2-40B4-BE49-F238E27FC236}">
              <a16:creationId xmlns:a16="http://schemas.microsoft.com/office/drawing/2014/main" id="{3D0C1D08-84E1-4D9E-8483-AB7A5A602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4" name="Picture 2" descr="검정로고만">
          <a:extLst>
            <a:ext uri="{FF2B5EF4-FFF2-40B4-BE49-F238E27FC236}">
              <a16:creationId xmlns:a16="http://schemas.microsoft.com/office/drawing/2014/main" id="{AD2BF0E1-BFCD-41C1-896F-19B36ADF6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5" name="Picture 2" descr="검정로고만">
          <a:extLst>
            <a:ext uri="{FF2B5EF4-FFF2-40B4-BE49-F238E27FC236}">
              <a16:creationId xmlns:a16="http://schemas.microsoft.com/office/drawing/2014/main" id="{D8B34DE8-2442-41AD-9AB6-89DC7C75A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6" name="Picture 2" descr="검정로고만">
          <a:extLst>
            <a:ext uri="{FF2B5EF4-FFF2-40B4-BE49-F238E27FC236}">
              <a16:creationId xmlns:a16="http://schemas.microsoft.com/office/drawing/2014/main" id="{91C22BD9-B5FA-47C7-BEDE-F51F809A9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7" name="Picture 2" descr="검정로고만">
          <a:extLst>
            <a:ext uri="{FF2B5EF4-FFF2-40B4-BE49-F238E27FC236}">
              <a16:creationId xmlns:a16="http://schemas.microsoft.com/office/drawing/2014/main" id="{1B89D5D5-EC11-4DB1-963E-FC4270EDA6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8" name="Picture 2" descr="검정로고만">
          <a:extLst>
            <a:ext uri="{FF2B5EF4-FFF2-40B4-BE49-F238E27FC236}">
              <a16:creationId xmlns:a16="http://schemas.microsoft.com/office/drawing/2014/main" id="{F3A79920-9792-4067-A108-9D8AE917F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39" name="Picture 2" descr="검정로고만">
          <a:extLst>
            <a:ext uri="{FF2B5EF4-FFF2-40B4-BE49-F238E27FC236}">
              <a16:creationId xmlns:a16="http://schemas.microsoft.com/office/drawing/2014/main" id="{B62D553F-BEE2-4EA5-88C6-4A203F571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1940" name="Picture 3" descr="검정 글씨만">
          <a:extLst>
            <a:ext uri="{FF2B5EF4-FFF2-40B4-BE49-F238E27FC236}">
              <a16:creationId xmlns:a16="http://schemas.microsoft.com/office/drawing/2014/main" id="{5060595E-6721-4627-8AC4-C3385388E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1" name="Picture 2" descr="검정로고만">
          <a:extLst>
            <a:ext uri="{FF2B5EF4-FFF2-40B4-BE49-F238E27FC236}">
              <a16:creationId xmlns:a16="http://schemas.microsoft.com/office/drawing/2014/main" id="{B75D3C56-EF38-461E-AD64-8639B2EC4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2" name="Picture 2" descr="검정로고만">
          <a:extLst>
            <a:ext uri="{FF2B5EF4-FFF2-40B4-BE49-F238E27FC236}">
              <a16:creationId xmlns:a16="http://schemas.microsoft.com/office/drawing/2014/main" id="{30F52BC6-EC61-4942-8BC8-C5147753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3" name="Picture 2" descr="검정로고만">
          <a:extLst>
            <a:ext uri="{FF2B5EF4-FFF2-40B4-BE49-F238E27FC236}">
              <a16:creationId xmlns:a16="http://schemas.microsoft.com/office/drawing/2014/main" id="{AC8164C7-59DF-49CD-BF4F-5459AA03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4" name="Picture 2" descr="검정로고만">
          <a:extLst>
            <a:ext uri="{FF2B5EF4-FFF2-40B4-BE49-F238E27FC236}">
              <a16:creationId xmlns:a16="http://schemas.microsoft.com/office/drawing/2014/main" id="{AFDDF9C7-4EB6-4C3D-8CDC-58B0D30BC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5" name="Picture 2" descr="검정로고만">
          <a:extLst>
            <a:ext uri="{FF2B5EF4-FFF2-40B4-BE49-F238E27FC236}">
              <a16:creationId xmlns:a16="http://schemas.microsoft.com/office/drawing/2014/main" id="{B5CC2C82-85B2-4245-B8AB-944BAE4A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6" name="Picture 2" descr="검정로고만">
          <a:extLst>
            <a:ext uri="{FF2B5EF4-FFF2-40B4-BE49-F238E27FC236}">
              <a16:creationId xmlns:a16="http://schemas.microsoft.com/office/drawing/2014/main" id="{3F5E5E3E-059E-4B1C-A4CF-C7575436D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7" name="Picture 2" descr="검정로고만">
          <a:extLst>
            <a:ext uri="{FF2B5EF4-FFF2-40B4-BE49-F238E27FC236}">
              <a16:creationId xmlns:a16="http://schemas.microsoft.com/office/drawing/2014/main" id="{06290328-E449-4FE1-AE6B-126BFB7D7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8" name="Picture 2" descr="검정로고만">
          <a:extLst>
            <a:ext uri="{FF2B5EF4-FFF2-40B4-BE49-F238E27FC236}">
              <a16:creationId xmlns:a16="http://schemas.microsoft.com/office/drawing/2014/main" id="{7D6703BB-1BDE-439C-AB96-AE819A202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49" name="Picture 2" descr="검정로고만">
          <a:extLst>
            <a:ext uri="{FF2B5EF4-FFF2-40B4-BE49-F238E27FC236}">
              <a16:creationId xmlns:a16="http://schemas.microsoft.com/office/drawing/2014/main" id="{354F8EA9-AA0E-4149-970B-2E6FDBDD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0" name="Picture 2" descr="검정로고만">
          <a:extLst>
            <a:ext uri="{FF2B5EF4-FFF2-40B4-BE49-F238E27FC236}">
              <a16:creationId xmlns:a16="http://schemas.microsoft.com/office/drawing/2014/main" id="{F6AB24D5-7FAF-4A19-BB98-DFBB55B8C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1" name="Picture 2" descr="검정로고만">
          <a:extLst>
            <a:ext uri="{FF2B5EF4-FFF2-40B4-BE49-F238E27FC236}">
              <a16:creationId xmlns:a16="http://schemas.microsoft.com/office/drawing/2014/main" id="{974795DA-0505-4CA8-BD5D-29250EAC9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2" name="Picture 2" descr="검정로고만">
          <a:extLst>
            <a:ext uri="{FF2B5EF4-FFF2-40B4-BE49-F238E27FC236}">
              <a16:creationId xmlns:a16="http://schemas.microsoft.com/office/drawing/2014/main" id="{E7F2551F-8DDB-44F5-97F8-4FC6AF03C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3" name="Picture 2" descr="검정로고만">
          <a:extLst>
            <a:ext uri="{FF2B5EF4-FFF2-40B4-BE49-F238E27FC236}">
              <a16:creationId xmlns:a16="http://schemas.microsoft.com/office/drawing/2014/main" id="{F3C08CFC-1A6D-49DC-A97C-2476FB096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4" name="Picture 2" descr="검정로고만">
          <a:extLst>
            <a:ext uri="{FF2B5EF4-FFF2-40B4-BE49-F238E27FC236}">
              <a16:creationId xmlns:a16="http://schemas.microsoft.com/office/drawing/2014/main" id="{7A68E784-32CD-42C1-B082-F959F7562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5" name="Picture 2" descr="검정로고만">
          <a:extLst>
            <a:ext uri="{FF2B5EF4-FFF2-40B4-BE49-F238E27FC236}">
              <a16:creationId xmlns:a16="http://schemas.microsoft.com/office/drawing/2014/main" id="{AF9097EF-E67E-4E06-AAC0-64D8E6331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6" name="Picture 2" descr="검정로고만">
          <a:extLst>
            <a:ext uri="{FF2B5EF4-FFF2-40B4-BE49-F238E27FC236}">
              <a16:creationId xmlns:a16="http://schemas.microsoft.com/office/drawing/2014/main" id="{C177C81A-18AC-4A8F-877A-BC24C855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7" name="Picture 2" descr="검정로고만">
          <a:extLst>
            <a:ext uri="{FF2B5EF4-FFF2-40B4-BE49-F238E27FC236}">
              <a16:creationId xmlns:a16="http://schemas.microsoft.com/office/drawing/2014/main" id="{52BA0738-EAFD-4536-8347-198DC02B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8" name="Picture 2" descr="검정로고만">
          <a:extLst>
            <a:ext uri="{FF2B5EF4-FFF2-40B4-BE49-F238E27FC236}">
              <a16:creationId xmlns:a16="http://schemas.microsoft.com/office/drawing/2014/main" id="{22791A8A-90FB-44A4-9AE8-8B416CBD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59" name="Picture 2" descr="검정로고만">
          <a:extLst>
            <a:ext uri="{FF2B5EF4-FFF2-40B4-BE49-F238E27FC236}">
              <a16:creationId xmlns:a16="http://schemas.microsoft.com/office/drawing/2014/main" id="{2D4F1A11-7D6E-4CF3-80F5-13760D30D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0" name="Picture 2" descr="검정로고만">
          <a:extLst>
            <a:ext uri="{FF2B5EF4-FFF2-40B4-BE49-F238E27FC236}">
              <a16:creationId xmlns:a16="http://schemas.microsoft.com/office/drawing/2014/main" id="{5385A51F-7638-4D4F-A26D-6CCE377CB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1" name="Picture 2" descr="검정로고만">
          <a:extLst>
            <a:ext uri="{FF2B5EF4-FFF2-40B4-BE49-F238E27FC236}">
              <a16:creationId xmlns:a16="http://schemas.microsoft.com/office/drawing/2014/main" id="{F4BF4706-6B30-42C2-BF18-966578C0A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2" name="Picture 2" descr="검정로고만">
          <a:extLst>
            <a:ext uri="{FF2B5EF4-FFF2-40B4-BE49-F238E27FC236}">
              <a16:creationId xmlns:a16="http://schemas.microsoft.com/office/drawing/2014/main" id="{C6378EAC-54F9-41ED-9E2A-C686E55A5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3" name="Picture 2" descr="검정로고만">
          <a:extLst>
            <a:ext uri="{FF2B5EF4-FFF2-40B4-BE49-F238E27FC236}">
              <a16:creationId xmlns:a16="http://schemas.microsoft.com/office/drawing/2014/main" id="{D6FA6776-5B2D-4E65-B9E7-03628DDA3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4" name="Picture 2" descr="검정로고만">
          <a:extLst>
            <a:ext uri="{FF2B5EF4-FFF2-40B4-BE49-F238E27FC236}">
              <a16:creationId xmlns:a16="http://schemas.microsoft.com/office/drawing/2014/main" id="{ADEEB83A-E1FB-412C-9541-122683D19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5" name="Picture 2" descr="검정로고만">
          <a:extLst>
            <a:ext uri="{FF2B5EF4-FFF2-40B4-BE49-F238E27FC236}">
              <a16:creationId xmlns:a16="http://schemas.microsoft.com/office/drawing/2014/main" id="{49B2F359-85F8-42BC-89BA-9550B5537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6" name="Picture 2" descr="검정로고만">
          <a:extLst>
            <a:ext uri="{FF2B5EF4-FFF2-40B4-BE49-F238E27FC236}">
              <a16:creationId xmlns:a16="http://schemas.microsoft.com/office/drawing/2014/main" id="{B38DB4B1-0907-405E-8D08-F5C3F6C2C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7" name="Picture 2" descr="검정로고만">
          <a:extLst>
            <a:ext uri="{FF2B5EF4-FFF2-40B4-BE49-F238E27FC236}">
              <a16:creationId xmlns:a16="http://schemas.microsoft.com/office/drawing/2014/main" id="{A186FE44-A5FD-4FE9-9C25-A29DF235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8" name="Picture 2" descr="검정로고만">
          <a:extLst>
            <a:ext uri="{FF2B5EF4-FFF2-40B4-BE49-F238E27FC236}">
              <a16:creationId xmlns:a16="http://schemas.microsoft.com/office/drawing/2014/main" id="{71E29C37-970A-44D9-91A0-86E61E452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69" name="Picture 2" descr="검정로고만">
          <a:extLst>
            <a:ext uri="{FF2B5EF4-FFF2-40B4-BE49-F238E27FC236}">
              <a16:creationId xmlns:a16="http://schemas.microsoft.com/office/drawing/2014/main" id="{6659D80F-ABE1-4D2E-B8AB-C21B805E3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0" name="Picture 2" descr="검정로고만">
          <a:extLst>
            <a:ext uri="{FF2B5EF4-FFF2-40B4-BE49-F238E27FC236}">
              <a16:creationId xmlns:a16="http://schemas.microsoft.com/office/drawing/2014/main" id="{C5347114-B34B-4FA6-9BDD-E1FA371E1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1" name="Picture 2" descr="검정로고만">
          <a:extLst>
            <a:ext uri="{FF2B5EF4-FFF2-40B4-BE49-F238E27FC236}">
              <a16:creationId xmlns:a16="http://schemas.microsoft.com/office/drawing/2014/main" id="{6E940528-F484-482A-A78A-4DFC48962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2" name="Picture 2" descr="검정로고만">
          <a:extLst>
            <a:ext uri="{FF2B5EF4-FFF2-40B4-BE49-F238E27FC236}">
              <a16:creationId xmlns:a16="http://schemas.microsoft.com/office/drawing/2014/main" id="{7BDE0102-4567-4C6A-9CD4-C1995A221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3" name="Picture 2" descr="검정로고만">
          <a:extLst>
            <a:ext uri="{FF2B5EF4-FFF2-40B4-BE49-F238E27FC236}">
              <a16:creationId xmlns:a16="http://schemas.microsoft.com/office/drawing/2014/main" id="{5C46DE3D-78C4-448B-9958-1885DBE5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4" name="Picture 2" descr="검정로고만">
          <a:extLst>
            <a:ext uri="{FF2B5EF4-FFF2-40B4-BE49-F238E27FC236}">
              <a16:creationId xmlns:a16="http://schemas.microsoft.com/office/drawing/2014/main" id="{0160CF5B-CD5B-4E30-9073-028D36EC4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5" name="Picture 2" descr="검정로고만">
          <a:extLst>
            <a:ext uri="{FF2B5EF4-FFF2-40B4-BE49-F238E27FC236}">
              <a16:creationId xmlns:a16="http://schemas.microsoft.com/office/drawing/2014/main" id="{5ED191BA-B7DA-460A-80BA-8172FA1C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6" name="Picture 2" descr="검정로고만">
          <a:extLst>
            <a:ext uri="{FF2B5EF4-FFF2-40B4-BE49-F238E27FC236}">
              <a16:creationId xmlns:a16="http://schemas.microsoft.com/office/drawing/2014/main" id="{9D5DB425-9844-4FE6-8E30-EEB931E88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7" name="Picture 2" descr="검정로고만">
          <a:extLst>
            <a:ext uri="{FF2B5EF4-FFF2-40B4-BE49-F238E27FC236}">
              <a16:creationId xmlns:a16="http://schemas.microsoft.com/office/drawing/2014/main" id="{29FF34B7-A653-40C7-BC39-E137A7B0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8" name="Picture 2" descr="검정로고만">
          <a:extLst>
            <a:ext uri="{FF2B5EF4-FFF2-40B4-BE49-F238E27FC236}">
              <a16:creationId xmlns:a16="http://schemas.microsoft.com/office/drawing/2014/main" id="{30AACC13-6FBE-44B9-9CAF-FECD3F0C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79" name="Picture 2" descr="검정로고만">
          <a:extLst>
            <a:ext uri="{FF2B5EF4-FFF2-40B4-BE49-F238E27FC236}">
              <a16:creationId xmlns:a16="http://schemas.microsoft.com/office/drawing/2014/main" id="{5A252F18-36F0-4EA5-A1FF-44635C079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0" name="Picture 2" descr="검정로고만">
          <a:extLst>
            <a:ext uri="{FF2B5EF4-FFF2-40B4-BE49-F238E27FC236}">
              <a16:creationId xmlns:a16="http://schemas.microsoft.com/office/drawing/2014/main" id="{B0B7707A-C32C-4935-BE9E-C6FCD0A66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981" name="Picture 3" descr="검정 글씨만">
          <a:extLst>
            <a:ext uri="{FF2B5EF4-FFF2-40B4-BE49-F238E27FC236}">
              <a16:creationId xmlns:a16="http://schemas.microsoft.com/office/drawing/2014/main" id="{C0193131-30F7-4094-AEE1-F0B909305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2" name="Picture 2" descr="검정로고만">
          <a:extLst>
            <a:ext uri="{FF2B5EF4-FFF2-40B4-BE49-F238E27FC236}">
              <a16:creationId xmlns:a16="http://schemas.microsoft.com/office/drawing/2014/main" id="{D8CBA016-436C-48EC-B00A-4AB70F3D0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3" name="Picture 2" descr="검정로고만">
          <a:extLst>
            <a:ext uri="{FF2B5EF4-FFF2-40B4-BE49-F238E27FC236}">
              <a16:creationId xmlns:a16="http://schemas.microsoft.com/office/drawing/2014/main" id="{01B6FA36-AFC4-451D-825A-B7E12E23E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4" name="Picture 2" descr="검정로고만">
          <a:extLst>
            <a:ext uri="{FF2B5EF4-FFF2-40B4-BE49-F238E27FC236}">
              <a16:creationId xmlns:a16="http://schemas.microsoft.com/office/drawing/2014/main" id="{C6DDD2B7-199F-4DA8-A8C7-EAA0711C3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5" name="Picture 2" descr="검정로고만">
          <a:extLst>
            <a:ext uri="{FF2B5EF4-FFF2-40B4-BE49-F238E27FC236}">
              <a16:creationId xmlns:a16="http://schemas.microsoft.com/office/drawing/2014/main" id="{7EA6FDAF-0D5B-4C21-A103-5668E0665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6" name="Picture 2" descr="검정로고만">
          <a:extLst>
            <a:ext uri="{FF2B5EF4-FFF2-40B4-BE49-F238E27FC236}">
              <a16:creationId xmlns:a16="http://schemas.microsoft.com/office/drawing/2014/main" id="{BD86158C-080C-475F-BDC1-82D26E067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7" name="Picture 2" descr="검정로고만">
          <a:extLst>
            <a:ext uri="{FF2B5EF4-FFF2-40B4-BE49-F238E27FC236}">
              <a16:creationId xmlns:a16="http://schemas.microsoft.com/office/drawing/2014/main" id="{0B112FEA-2A95-469E-9187-1CE5C9CB8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8" name="Picture 2" descr="검정로고만">
          <a:extLst>
            <a:ext uri="{FF2B5EF4-FFF2-40B4-BE49-F238E27FC236}">
              <a16:creationId xmlns:a16="http://schemas.microsoft.com/office/drawing/2014/main" id="{B0532796-1278-4B7E-991C-CB0CDCBB7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89" name="Picture 2" descr="검정로고만">
          <a:extLst>
            <a:ext uri="{FF2B5EF4-FFF2-40B4-BE49-F238E27FC236}">
              <a16:creationId xmlns:a16="http://schemas.microsoft.com/office/drawing/2014/main" id="{9DA0842C-B962-4463-A08F-F45AC6944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990" name="Picture 3" descr="검정 글씨만">
          <a:extLst>
            <a:ext uri="{FF2B5EF4-FFF2-40B4-BE49-F238E27FC236}">
              <a16:creationId xmlns:a16="http://schemas.microsoft.com/office/drawing/2014/main" id="{39C196B8-AF1D-46F2-8EDB-55A9408F7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1" name="Picture 2" descr="검정로고만">
          <a:extLst>
            <a:ext uri="{FF2B5EF4-FFF2-40B4-BE49-F238E27FC236}">
              <a16:creationId xmlns:a16="http://schemas.microsoft.com/office/drawing/2014/main" id="{8587A620-E17E-4181-B4D9-8844D834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2" name="Picture 2" descr="검정로고만">
          <a:extLst>
            <a:ext uri="{FF2B5EF4-FFF2-40B4-BE49-F238E27FC236}">
              <a16:creationId xmlns:a16="http://schemas.microsoft.com/office/drawing/2014/main" id="{576D097D-58C0-4962-A71A-B69C1D87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3" name="Picture 2" descr="검정로고만">
          <a:extLst>
            <a:ext uri="{FF2B5EF4-FFF2-40B4-BE49-F238E27FC236}">
              <a16:creationId xmlns:a16="http://schemas.microsoft.com/office/drawing/2014/main" id="{169A4B40-0816-4366-8F21-3E2798B44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4" name="Picture 2" descr="검정로고만">
          <a:extLst>
            <a:ext uri="{FF2B5EF4-FFF2-40B4-BE49-F238E27FC236}">
              <a16:creationId xmlns:a16="http://schemas.microsoft.com/office/drawing/2014/main" id="{EF66DCAC-691E-4BAB-AC1B-D5C829BC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5" name="Picture 2" descr="검정로고만">
          <a:extLst>
            <a:ext uri="{FF2B5EF4-FFF2-40B4-BE49-F238E27FC236}">
              <a16:creationId xmlns:a16="http://schemas.microsoft.com/office/drawing/2014/main" id="{75599D16-4154-4D4C-88D8-CBF8773B4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6" name="Picture 2" descr="검정로고만">
          <a:extLst>
            <a:ext uri="{FF2B5EF4-FFF2-40B4-BE49-F238E27FC236}">
              <a16:creationId xmlns:a16="http://schemas.microsoft.com/office/drawing/2014/main" id="{0661882C-02EB-4E9A-8025-9FD87511B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7" name="Picture 2" descr="검정로고만">
          <a:extLst>
            <a:ext uri="{FF2B5EF4-FFF2-40B4-BE49-F238E27FC236}">
              <a16:creationId xmlns:a16="http://schemas.microsoft.com/office/drawing/2014/main" id="{9658FFDA-3EA4-4836-A4D7-639EC02C4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1998" name="Picture 2" descr="검정로고만">
          <a:extLst>
            <a:ext uri="{FF2B5EF4-FFF2-40B4-BE49-F238E27FC236}">
              <a16:creationId xmlns:a16="http://schemas.microsoft.com/office/drawing/2014/main" id="{02063F90-A7D6-4649-8CA2-46A57025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1999" name="Picture 3" descr="검정 글씨만">
          <a:extLst>
            <a:ext uri="{FF2B5EF4-FFF2-40B4-BE49-F238E27FC236}">
              <a16:creationId xmlns:a16="http://schemas.microsoft.com/office/drawing/2014/main" id="{F0A91A5C-9037-465C-B25B-79C90764D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0" name="Picture 2" descr="검정로고만">
          <a:extLst>
            <a:ext uri="{FF2B5EF4-FFF2-40B4-BE49-F238E27FC236}">
              <a16:creationId xmlns:a16="http://schemas.microsoft.com/office/drawing/2014/main" id="{B4FA7277-18FA-43D7-B88E-CCA4213C4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1" name="Picture 2" descr="검정로고만">
          <a:extLst>
            <a:ext uri="{FF2B5EF4-FFF2-40B4-BE49-F238E27FC236}">
              <a16:creationId xmlns:a16="http://schemas.microsoft.com/office/drawing/2014/main" id="{22C28CDA-6AF0-4FCF-B88C-74E2F122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2" name="Picture 2" descr="검정로고만">
          <a:extLst>
            <a:ext uri="{FF2B5EF4-FFF2-40B4-BE49-F238E27FC236}">
              <a16:creationId xmlns:a16="http://schemas.microsoft.com/office/drawing/2014/main" id="{E3997915-5CF5-4D04-B21E-F4016290A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3" name="Picture 2" descr="검정로고만">
          <a:extLst>
            <a:ext uri="{FF2B5EF4-FFF2-40B4-BE49-F238E27FC236}">
              <a16:creationId xmlns:a16="http://schemas.microsoft.com/office/drawing/2014/main" id="{06D7E62E-0A49-4E7F-B17D-C073C322C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4" name="Picture 2" descr="검정로고만">
          <a:extLst>
            <a:ext uri="{FF2B5EF4-FFF2-40B4-BE49-F238E27FC236}">
              <a16:creationId xmlns:a16="http://schemas.microsoft.com/office/drawing/2014/main" id="{8176A146-B0DD-4225-A27F-CD907B976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5" name="Picture 2" descr="검정로고만">
          <a:extLst>
            <a:ext uri="{FF2B5EF4-FFF2-40B4-BE49-F238E27FC236}">
              <a16:creationId xmlns:a16="http://schemas.microsoft.com/office/drawing/2014/main" id="{9A1C0B81-ED26-4092-A2FD-48E48659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6" name="Picture 2" descr="검정로고만">
          <a:extLst>
            <a:ext uri="{FF2B5EF4-FFF2-40B4-BE49-F238E27FC236}">
              <a16:creationId xmlns:a16="http://schemas.microsoft.com/office/drawing/2014/main" id="{35A49D0F-611D-4655-A141-F23E2C179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7" name="Picture 2" descr="검정로고만">
          <a:extLst>
            <a:ext uri="{FF2B5EF4-FFF2-40B4-BE49-F238E27FC236}">
              <a16:creationId xmlns:a16="http://schemas.microsoft.com/office/drawing/2014/main" id="{B1A116FA-3A80-40DE-A337-DAE8F4954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008" name="Picture 3" descr="검정 글씨만">
          <a:extLst>
            <a:ext uri="{FF2B5EF4-FFF2-40B4-BE49-F238E27FC236}">
              <a16:creationId xmlns:a16="http://schemas.microsoft.com/office/drawing/2014/main" id="{0494E2D7-63F0-4D0C-B1C4-3CF3F5C43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09" name="Picture 2" descr="검정로고만">
          <a:extLst>
            <a:ext uri="{FF2B5EF4-FFF2-40B4-BE49-F238E27FC236}">
              <a16:creationId xmlns:a16="http://schemas.microsoft.com/office/drawing/2014/main" id="{E6FCD24B-8BE4-47DE-AA75-C6F5C968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0" name="Picture 2" descr="검정로고만">
          <a:extLst>
            <a:ext uri="{FF2B5EF4-FFF2-40B4-BE49-F238E27FC236}">
              <a16:creationId xmlns:a16="http://schemas.microsoft.com/office/drawing/2014/main" id="{D9AEC6A0-8EEF-4E8D-AEB1-250B9145F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1" name="Picture 2" descr="검정로고만">
          <a:extLst>
            <a:ext uri="{FF2B5EF4-FFF2-40B4-BE49-F238E27FC236}">
              <a16:creationId xmlns:a16="http://schemas.microsoft.com/office/drawing/2014/main" id="{000BC50E-0FCE-4C6B-8C1F-F72BCAB2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2" name="Picture 2" descr="검정로고만">
          <a:extLst>
            <a:ext uri="{FF2B5EF4-FFF2-40B4-BE49-F238E27FC236}">
              <a16:creationId xmlns:a16="http://schemas.microsoft.com/office/drawing/2014/main" id="{504CA0EF-84BA-4A4F-9501-1ED7A6A25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3" name="Picture 2" descr="검정로고만">
          <a:extLst>
            <a:ext uri="{FF2B5EF4-FFF2-40B4-BE49-F238E27FC236}">
              <a16:creationId xmlns:a16="http://schemas.microsoft.com/office/drawing/2014/main" id="{9F0C9B03-4F42-4AA6-98BE-055239753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4" name="Picture 2" descr="검정로고만">
          <a:extLst>
            <a:ext uri="{FF2B5EF4-FFF2-40B4-BE49-F238E27FC236}">
              <a16:creationId xmlns:a16="http://schemas.microsoft.com/office/drawing/2014/main" id="{A1F6BE62-49B1-4829-BD1A-2E37B68CB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5" name="Picture 2" descr="검정로고만">
          <a:extLst>
            <a:ext uri="{FF2B5EF4-FFF2-40B4-BE49-F238E27FC236}">
              <a16:creationId xmlns:a16="http://schemas.microsoft.com/office/drawing/2014/main" id="{DCDA74FA-4967-4CC6-8519-6F8F6ACCB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6" name="Picture 2" descr="검정로고만">
          <a:extLst>
            <a:ext uri="{FF2B5EF4-FFF2-40B4-BE49-F238E27FC236}">
              <a16:creationId xmlns:a16="http://schemas.microsoft.com/office/drawing/2014/main" id="{687DCD1D-3556-4F79-B9D2-921E47BB6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017" name="Picture 3" descr="검정 글씨만">
          <a:extLst>
            <a:ext uri="{FF2B5EF4-FFF2-40B4-BE49-F238E27FC236}">
              <a16:creationId xmlns:a16="http://schemas.microsoft.com/office/drawing/2014/main" id="{0E9856E5-9B91-4067-8F25-9FE2F698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8" name="Picture 2" descr="검정로고만">
          <a:extLst>
            <a:ext uri="{FF2B5EF4-FFF2-40B4-BE49-F238E27FC236}">
              <a16:creationId xmlns:a16="http://schemas.microsoft.com/office/drawing/2014/main" id="{76FA1536-6D1C-4D0D-9A2C-E9E1CE75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19" name="Picture 2" descr="검정로고만">
          <a:extLst>
            <a:ext uri="{FF2B5EF4-FFF2-40B4-BE49-F238E27FC236}">
              <a16:creationId xmlns:a16="http://schemas.microsoft.com/office/drawing/2014/main" id="{39C649A1-C79C-4AD0-8474-22B757511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0" name="Picture 2" descr="검정로고만">
          <a:extLst>
            <a:ext uri="{FF2B5EF4-FFF2-40B4-BE49-F238E27FC236}">
              <a16:creationId xmlns:a16="http://schemas.microsoft.com/office/drawing/2014/main" id="{BCF61DFD-7AF6-4757-B3AD-84B2DB807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1" name="Picture 2" descr="검정로고만">
          <a:extLst>
            <a:ext uri="{FF2B5EF4-FFF2-40B4-BE49-F238E27FC236}">
              <a16:creationId xmlns:a16="http://schemas.microsoft.com/office/drawing/2014/main" id="{68A3D5A8-760E-408D-9E27-DDB1EEB27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2" name="Picture 2" descr="검정로고만">
          <a:extLst>
            <a:ext uri="{FF2B5EF4-FFF2-40B4-BE49-F238E27FC236}">
              <a16:creationId xmlns:a16="http://schemas.microsoft.com/office/drawing/2014/main" id="{E304C97B-4F0C-4B73-975B-B3A746940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3" name="Picture 2" descr="검정로고만">
          <a:extLst>
            <a:ext uri="{FF2B5EF4-FFF2-40B4-BE49-F238E27FC236}">
              <a16:creationId xmlns:a16="http://schemas.microsoft.com/office/drawing/2014/main" id="{6F0103F5-8420-4D7B-AC63-AF0203A14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4" name="Picture 2" descr="검정로고만">
          <a:extLst>
            <a:ext uri="{FF2B5EF4-FFF2-40B4-BE49-F238E27FC236}">
              <a16:creationId xmlns:a16="http://schemas.microsoft.com/office/drawing/2014/main" id="{C8747E3A-F82F-4EE3-898B-943D2CAA9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5" name="Picture 2" descr="검정로고만">
          <a:extLst>
            <a:ext uri="{FF2B5EF4-FFF2-40B4-BE49-F238E27FC236}">
              <a16:creationId xmlns:a16="http://schemas.microsoft.com/office/drawing/2014/main" id="{B915245E-CFCD-4D6F-BA84-5A65995F1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6" name="Picture 2" descr="검정로고만">
          <a:extLst>
            <a:ext uri="{FF2B5EF4-FFF2-40B4-BE49-F238E27FC236}">
              <a16:creationId xmlns:a16="http://schemas.microsoft.com/office/drawing/2014/main" id="{3D824F75-F570-4CCB-BF26-1501342FB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7" name="Picture 2" descr="검정로고만">
          <a:extLst>
            <a:ext uri="{FF2B5EF4-FFF2-40B4-BE49-F238E27FC236}">
              <a16:creationId xmlns:a16="http://schemas.microsoft.com/office/drawing/2014/main" id="{202346C9-91E2-47E0-B2A2-24F38819C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8" name="Picture 2" descr="검정로고만">
          <a:extLst>
            <a:ext uri="{FF2B5EF4-FFF2-40B4-BE49-F238E27FC236}">
              <a16:creationId xmlns:a16="http://schemas.microsoft.com/office/drawing/2014/main" id="{D6CE69BE-52EA-4F09-97DA-B4B84C76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29" name="Picture 2" descr="검정로고만">
          <a:extLst>
            <a:ext uri="{FF2B5EF4-FFF2-40B4-BE49-F238E27FC236}">
              <a16:creationId xmlns:a16="http://schemas.microsoft.com/office/drawing/2014/main" id="{37EF4042-00C4-4653-A85A-742F6228D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0" name="Picture 2" descr="검정로고만">
          <a:extLst>
            <a:ext uri="{FF2B5EF4-FFF2-40B4-BE49-F238E27FC236}">
              <a16:creationId xmlns:a16="http://schemas.microsoft.com/office/drawing/2014/main" id="{BB6C202E-87FC-48ED-A7C1-9BCE3E066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1" name="Picture 2" descr="검정로고만">
          <a:extLst>
            <a:ext uri="{FF2B5EF4-FFF2-40B4-BE49-F238E27FC236}">
              <a16:creationId xmlns:a16="http://schemas.microsoft.com/office/drawing/2014/main" id="{77E22339-CDC5-4DB5-B749-FB3DD0F6B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2" name="Picture 2" descr="검정로고만">
          <a:extLst>
            <a:ext uri="{FF2B5EF4-FFF2-40B4-BE49-F238E27FC236}">
              <a16:creationId xmlns:a16="http://schemas.microsoft.com/office/drawing/2014/main" id="{4EE6CC34-5455-42A0-891E-ED293A9CC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3" name="Picture 2" descr="검정로고만">
          <a:extLst>
            <a:ext uri="{FF2B5EF4-FFF2-40B4-BE49-F238E27FC236}">
              <a16:creationId xmlns:a16="http://schemas.microsoft.com/office/drawing/2014/main" id="{F2A2D4F4-35DC-4FD9-B04F-6EA8F35B1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4" name="Picture 2" descr="검정로고만">
          <a:extLst>
            <a:ext uri="{FF2B5EF4-FFF2-40B4-BE49-F238E27FC236}">
              <a16:creationId xmlns:a16="http://schemas.microsoft.com/office/drawing/2014/main" id="{9876245E-9981-43DF-B1B2-AB2B33B9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5" name="Picture 2" descr="검정로고만">
          <a:extLst>
            <a:ext uri="{FF2B5EF4-FFF2-40B4-BE49-F238E27FC236}">
              <a16:creationId xmlns:a16="http://schemas.microsoft.com/office/drawing/2014/main" id="{4C129B6F-98E0-4580-BB87-CD8A75467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6" name="Picture 2" descr="검정로고만">
          <a:extLst>
            <a:ext uri="{FF2B5EF4-FFF2-40B4-BE49-F238E27FC236}">
              <a16:creationId xmlns:a16="http://schemas.microsoft.com/office/drawing/2014/main" id="{09E44632-9896-4CF4-B3B6-E59C81C3C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7" name="Picture 2" descr="검정로고만">
          <a:extLst>
            <a:ext uri="{FF2B5EF4-FFF2-40B4-BE49-F238E27FC236}">
              <a16:creationId xmlns:a16="http://schemas.microsoft.com/office/drawing/2014/main" id="{5549FCB5-E44B-498C-ABF0-A9EEBF4C9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8" name="Picture 2" descr="검정로고만">
          <a:extLst>
            <a:ext uri="{FF2B5EF4-FFF2-40B4-BE49-F238E27FC236}">
              <a16:creationId xmlns:a16="http://schemas.microsoft.com/office/drawing/2014/main" id="{A441A773-0FBF-409C-B896-B05CEF65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39" name="Picture 2" descr="검정로고만">
          <a:extLst>
            <a:ext uri="{FF2B5EF4-FFF2-40B4-BE49-F238E27FC236}">
              <a16:creationId xmlns:a16="http://schemas.microsoft.com/office/drawing/2014/main" id="{034D16A5-5FAC-4C51-9C24-1B5D20895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0" name="Picture 2" descr="검정로고만">
          <a:extLst>
            <a:ext uri="{FF2B5EF4-FFF2-40B4-BE49-F238E27FC236}">
              <a16:creationId xmlns:a16="http://schemas.microsoft.com/office/drawing/2014/main" id="{70169084-74B7-40D4-A799-649DF24DA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1" name="Picture 2" descr="검정로고만">
          <a:extLst>
            <a:ext uri="{FF2B5EF4-FFF2-40B4-BE49-F238E27FC236}">
              <a16:creationId xmlns:a16="http://schemas.microsoft.com/office/drawing/2014/main" id="{E9822C83-7368-4FBE-A56B-FB0B119AF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2" name="Picture 2" descr="검정로고만">
          <a:extLst>
            <a:ext uri="{FF2B5EF4-FFF2-40B4-BE49-F238E27FC236}">
              <a16:creationId xmlns:a16="http://schemas.microsoft.com/office/drawing/2014/main" id="{AC04510A-7935-48B5-B83B-7C02AAD8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3" name="Picture 2" descr="검정로고만">
          <a:extLst>
            <a:ext uri="{FF2B5EF4-FFF2-40B4-BE49-F238E27FC236}">
              <a16:creationId xmlns:a16="http://schemas.microsoft.com/office/drawing/2014/main" id="{80A938D0-1FF9-44C8-AE7C-275E7C429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4" name="Picture 2" descr="검정로고만">
          <a:extLst>
            <a:ext uri="{FF2B5EF4-FFF2-40B4-BE49-F238E27FC236}">
              <a16:creationId xmlns:a16="http://schemas.microsoft.com/office/drawing/2014/main" id="{345374F1-629A-40D0-BA07-14982C2B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5" name="Picture 2" descr="검정로고만">
          <a:extLst>
            <a:ext uri="{FF2B5EF4-FFF2-40B4-BE49-F238E27FC236}">
              <a16:creationId xmlns:a16="http://schemas.microsoft.com/office/drawing/2014/main" id="{DA8326FC-899F-4350-AAA0-68EB296EA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6" name="Picture 2" descr="검정로고만">
          <a:extLst>
            <a:ext uri="{FF2B5EF4-FFF2-40B4-BE49-F238E27FC236}">
              <a16:creationId xmlns:a16="http://schemas.microsoft.com/office/drawing/2014/main" id="{9E552EA0-8BD3-4409-8DB8-B92E489D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7" name="Picture 2" descr="검정로고만">
          <a:extLst>
            <a:ext uri="{FF2B5EF4-FFF2-40B4-BE49-F238E27FC236}">
              <a16:creationId xmlns:a16="http://schemas.microsoft.com/office/drawing/2014/main" id="{9A92BCA3-5939-40C4-9CCD-DDDED92A4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8" name="Picture 2" descr="검정로고만">
          <a:extLst>
            <a:ext uri="{FF2B5EF4-FFF2-40B4-BE49-F238E27FC236}">
              <a16:creationId xmlns:a16="http://schemas.microsoft.com/office/drawing/2014/main" id="{48393AA1-47F9-44ED-95EC-9472ACD89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49" name="Picture 2" descr="검정로고만">
          <a:extLst>
            <a:ext uri="{FF2B5EF4-FFF2-40B4-BE49-F238E27FC236}">
              <a16:creationId xmlns:a16="http://schemas.microsoft.com/office/drawing/2014/main" id="{4FB1CECF-BB1F-4B59-B58F-9FCB3BC7C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0" name="Picture 2" descr="검정로고만">
          <a:extLst>
            <a:ext uri="{FF2B5EF4-FFF2-40B4-BE49-F238E27FC236}">
              <a16:creationId xmlns:a16="http://schemas.microsoft.com/office/drawing/2014/main" id="{C96A59DD-3D5C-4F38-BCDC-2B90E3BC5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1" name="Picture 2" descr="검정로고만">
          <a:extLst>
            <a:ext uri="{FF2B5EF4-FFF2-40B4-BE49-F238E27FC236}">
              <a16:creationId xmlns:a16="http://schemas.microsoft.com/office/drawing/2014/main" id="{F22E192B-A9AE-4747-A122-746F4BC3D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2" name="Picture 2" descr="검정로고만">
          <a:extLst>
            <a:ext uri="{FF2B5EF4-FFF2-40B4-BE49-F238E27FC236}">
              <a16:creationId xmlns:a16="http://schemas.microsoft.com/office/drawing/2014/main" id="{782016CB-7407-4F1A-B39C-DFB1FB7A4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3" name="Picture 2" descr="검정로고만">
          <a:extLst>
            <a:ext uri="{FF2B5EF4-FFF2-40B4-BE49-F238E27FC236}">
              <a16:creationId xmlns:a16="http://schemas.microsoft.com/office/drawing/2014/main" id="{814E6BA4-6D14-4775-8451-5C19D156A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4" name="Picture 2" descr="검정로고만">
          <a:extLst>
            <a:ext uri="{FF2B5EF4-FFF2-40B4-BE49-F238E27FC236}">
              <a16:creationId xmlns:a16="http://schemas.microsoft.com/office/drawing/2014/main" id="{0B36EBB5-E3ED-4AFF-9463-60BEFB77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5" name="Picture 2" descr="검정로고만">
          <a:extLst>
            <a:ext uri="{FF2B5EF4-FFF2-40B4-BE49-F238E27FC236}">
              <a16:creationId xmlns:a16="http://schemas.microsoft.com/office/drawing/2014/main" id="{B839679E-C915-42CC-AB9D-2FE2FEE7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6" name="Picture 2" descr="검정로고만">
          <a:extLst>
            <a:ext uri="{FF2B5EF4-FFF2-40B4-BE49-F238E27FC236}">
              <a16:creationId xmlns:a16="http://schemas.microsoft.com/office/drawing/2014/main" id="{100E6F92-61E5-4AFA-8691-A7EEAB341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7" name="Picture 2" descr="검정로고만">
          <a:extLst>
            <a:ext uri="{FF2B5EF4-FFF2-40B4-BE49-F238E27FC236}">
              <a16:creationId xmlns:a16="http://schemas.microsoft.com/office/drawing/2014/main" id="{19A1E6F4-E987-4002-AF7F-CFE8DE466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058" name="Picture 3" descr="검정 글씨만">
          <a:extLst>
            <a:ext uri="{FF2B5EF4-FFF2-40B4-BE49-F238E27FC236}">
              <a16:creationId xmlns:a16="http://schemas.microsoft.com/office/drawing/2014/main" id="{B2D3EBFF-55CE-4C12-9C06-2B85E3E0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59" name="Picture 2" descr="검정로고만">
          <a:extLst>
            <a:ext uri="{FF2B5EF4-FFF2-40B4-BE49-F238E27FC236}">
              <a16:creationId xmlns:a16="http://schemas.microsoft.com/office/drawing/2014/main" id="{21A884F0-99B9-4CFD-A9FC-F69299FF9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0" name="Picture 2" descr="검정로고만">
          <a:extLst>
            <a:ext uri="{FF2B5EF4-FFF2-40B4-BE49-F238E27FC236}">
              <a16:creationId xmlns:a16="http://schemas.microsoft.com/office/drawing/2014/main" id="{2D85360A-6CA8-4202-9F47-DB3459F86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1" name="Picture 2" descr="검정로고만">
          <a:extLst>
            <a:ext uri="{FF2B5EF4-FFF2-40B4-BE49-F238E27FC236}">
              <a16:creationId xmlns:a16="http://schemas.microsoft.com/office/drawing/2014/main" id="{D8DE33F3-8C4F-4F5F-8371-43CA8F626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2" name="Picture 2" descr="검정로고만">
          <a:extLst>
            <a:ext uri="{FF2B5EF4-FFF2-40B4-BE49-F238E27FC236}">
              <a16:creationId xmlns:a16="http://schemas.microsoft.com/office/drawing/2014/main" id="{D6C839E5-6BC8-4698-85A3-E10E3B99A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3" name="Picture 2" descr="검정로고만">
          <a:extLst>
            <a:ext uri="{FF2B5EF4-FFF2-40B4-BE49-F238E27FC236}">
              <a16:creationId xmlns:a16="http://schemas.microsoft.com/office/drawing/2014/main" id="{AF7E9370-4F5E-430C-972B-8434CED7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4" name="Picture 2" descr="검정로고만">
          <a:extLst>
            <a:ext uri="{FF2B5EF4-FFF2-40B4-BE49-F238E27FC236}">
              <a16:creationId xmlns:a16="http://schemas.microsoft.com/office/drawing/2014/main" id="{0AD968EE-CF07-47EB-8F89-DC4DA48CB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5" name="Picture 2" descr="검정로고만">
          <a:extLst>
            <a:ext uri="{FF2B5EF4-FFF2-40B4-BE49-F238E27FC236}">
              <a16:creationId xmlns:a16="http://schemas.microsoft.com/office/drawing/2014/main" id="{A544BCC3-85F7-4DA5-8C58-B2DA8324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6" name="Picture 2" descr="검정로고만">
          <a:extLst>
            <a:ext uri="{FF2B5EF4-FFF2-40B4-BE49-F238E27FC236}">
              <a16:creationId xmlns:a16="http://schemas.microsoft.com/office/drawing/2014/main" id="{D494C360-86D6-4F4D-8C79-B620BFA6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067" name="Picture 3" descr="검정 글씨만">
          <a:extLst>
            <a:ext uri="{FF2B5EF4-FFF2-40B4-BE49-F238E27FC236}">
              <a16:creationId xmlns:a16="http://schemas.microsoft.com/office/drawing/2014/main" id="{2C6EFFA2-BD0B-4500-9DA0-0738B58F9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8" name="Picture 2" descr="검정로고만">
          <a:extLst>
            <a:ext uri="{FF2B5EF4-FFF2-40B4-BE49-F238E27FC236}">
              <a16:creationId xmlns:a16="http://schemas.microsoft.com/office/drawing/2014/main" id="{56CCC608-9FB5-419F-9AB6-FB483BD1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69" name="Picture 2" descr="검정로고만">
          <a:extLst>
            <a:ext uri="{FF2B5EF4-FFF2-40B4-BE49-F238E27FC236}">
              <a16:creationId xmlns:a16="http://schemas.microsoft.com/office/drawing/2014/main" id="{19623BD5-3A71-42C1-95E7-00C63CE3E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0" name="Picture 2" descr="검정로고만">
          <a:extLst>
            <a:ext uri="{FF2B5EF4-FFF2-40B4-BE49-F238E27FC236}">
              <a16:creationId xmlns:a16="http://schemas.microsoft.com/office/drawing/2014/main" id="{CF6EE025-ABA3-44E8-8C18-3E0584C7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1" name="Picture 2" descr="검정로고만">
          <a:extLst>
            <a:ext uri="{FF2B5EF4-FFF2-40B4-BE49-F238E27FC236}">
              <a16:creationId xmlns:a16="http://schemas.microsoft.com/office/drawing/2014/main" id="{7AC74143-DFE7-4A24-AB7B-67C14FC7A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2" name="Picture 2" descr="검정로고만">
          <a:extLst>
            <a:ext uri="{FF2B5EF4-FFF2-40B4-BE49-F238E27FC236}">
              <a16:creationId xmlns:a16="http://schemas.microsoft.com/office/drawing/2014/main" id="{8BC1CD3B-3363-4C62-9B83-628280307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3" name="Picture 2" descr="검정로고만">
          <a:extLst>
            <a:ext uri="{FF2B5EF4-FFF2-40B4-BE49-F238E27FC236}">
              <a16:creationId xmlns:a16="http://schemas.microsoft.com/office/drawing/2014/main" id="{B748C07F-6D62-4E72-BF61-F853F403B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4" name="Picture 2" descr="검정로고만">
          <a:extLst>
            <a:ext uri="{FF2B5EF4-FFF2-40B4-BE49-F238E27FC236}">
              <a16:creationId xmlns:a16="http://schemas.microsoft.com/office/drawing/2014/main" id="{DC1526D1-07EC-4D68-BAE3-0556F76B7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5" name="Picture 2" descr="검정로고만">
          <a:extLst>
            <a:ext uri="{FF2B5EF4-FFF2-40B4-BE49-F238E27FC236}">
              <a16:creationId xmlns:a16="http://schemas.microsoft.com/office/drawing/2014/main" id="{00CD6548-3612-4A19-955D-8A6B2510E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076" name="Picture 3" descr="검정 글씨만">
          <a:extLst>
            <a:ext uri="{FF2B5EF4-FFF2-40B4-BE49-F238E27FC236}">
              <a16:creationId xmlns:a16="http://schemas.microsoft.com/office/drawing/2014/main" id="{1215B01A-44BC-4980-B327-0C0378745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7" name="Picture 2" descr="검정로고만">
          <a:extLst>
            <a:ext uri="{FF2B5EF4-FFF2-40B4-BE49-F238E27FC236}">
              <a16:creationId xmlns:a16="http://schemas.microsoft.com/office/drawing/2014/main" id="{75DF6DB4-3209-4159-8AB1-A4E1C749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8" name="Picture 2" descr="검정로고만">
          <a:extLst>
            <a:ext uri="{FF2B5EF4-FFF2-40B4-BE49-F238E27FC236}">
              <a16:creationId xmlns:a16="http://schemas.microsoft.com/office/drawing/2014/main" id="{B406E6ED-F807-4AF7-AE5B-D9865916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79" name="Picture 2" descr="검정로고만">
          <a:extLst>
            <a:ext uri="{FF2B5EF4-FFF2-40B4-BE49-F238E27FC236}">
              <a16:creationId xmlns:a16="http://schemas.microsoft.com/office/drawing/2014/main" id="{06C1A42F-E16D-497E-8D91-70F6BC65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0" name="Picture 2" descr="검정로고만">
          <a:extLst>
            <a:ext uri="{FF2B5EF4-FFF2-40B4-BE49-F238E27FC236}">
              <a16:creationId xmlns:a16="http://schemas.microsoft.com/office/drawing/2014/main" id="{627AD64A-62E6-489C-B41D-AEB5C7B7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1" name="Picture 2" descr="검정로고만">
          <a:extLst>
            <a:ext uri="{FF2B5EF4-FFF2-40B4-BE49-F238E27FC236}">
              <a16:creationId xmlns:a16="http://schemas.microsoft.com/office/drawing/2014/main" id="{F0D217CB-AFA1-4A19-8FD9-96923E0AD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2" name="Picture 2" descr="검정로고만">
          <a:extLst>
            <a:ext uri="{FF2B5EF4-FFF2-40B4-BE49-F238E27FC236}">
              <a16:creationId xmlns:a16="http://schemas.microsoft.com/office/drawing/2014/main" id="{0C9827AA-B74F-4CE4-8640-8110D4B09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3" name="Picture 2" descr="검정로고만">
          <a:extLst>
            <a:ext uri="{FF2B5EF4-FFF2-40B4-BE49-F238E27FC236}">
              <a16:creationId xmlns:a16="http://schemas.microsoft.com/office/drawing/2014/main" id="{4BA843CB-1C62-4730-B1D9-2BE810A51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4" name="Picture 2" descr="검정로고만">
          <a:extLst>
            <a:ext uri="{FF2B5EF4-FFF2-40B4-BE49-F238E27FC236}">
              <a16:creationId xmlns:a16="http://schemas.microsoft.com/office/drawing/2014/main" id="{86FD7773-F93F-4942-A827-00A4E83C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5" name="Picture 2" descr="검정로고만">
          <a:extLst>
            <a:ext uri="{FF2B5EF4-FFF2-40B4-BE49-F238E27FC236}">
              <a16:creationId xmlns:a16="http://schemas.microsoft.com/office/drawing/2014/main" id="{0E31F344-6FEE-4A29-8546-80C70150E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6" name="Picture 2" descr="검정로고만">
          <a:extLst>
            <a:ext uri="{FF2B5EF4-FFF2-40B4-BE49-F238E27FC236}">
              <a16:creationId xmlns:a16="http://schemas.microsoft.com/office/drawing/2014/main" id="{3DF335D5-4378-44EE-92CE-63D83E4EB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7" name="Picture 2" descr="검정로고만">
          <a:extLst>
            <a:ext uri="{FF2B5EF4-FFF2-40B4-BE49-F238E27FC236}">
              <a16:creationId xmlns:a16="http://schemas.microsoft.com/office/drawing/2014/main" id="{9631A4D1-B9A6-437D-A214-C263F76C9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8" name="Picture 2" descr="검정로고만">
          <a:extLst>
            <a:ext uri="{FF2B5EF4-FFF2-40B4-BE49-F238E27FC236}">
              <a16:creationId xmlns:a16="http://schemas.microsoft.com/office/drawing/2014/main" id="{BA6D3FB9-A7E0-43A7-BE8C-B207CCC72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89" name="Picture 2" descr="검정로고만">
          <a:extLst>
            <a:ext uri="{FF2B5EF4-FFF2-40B4-BE49-F238E27FC236}">
              <a16:creationId xmlns:a16="http://schemas.microsoft.com/office/drawing/2014/main" id="{644077D2-55B5-4086-A2E0-BD355720A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0" name="Picture 2" descr="검정로고만">
          <a:extLst>
            <a:ext uri="{FF2B5EF4-FFF2-40B4-BE49-F238E27FC236}">
              <a16:creationId xmlns:a16="http://schemas.microsoft.com/office/drawing/2014/main" id="{301F8F82-5D56-4775-85AA-B09406D6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1" name="Picture 2" descr="검정로고만">
          <a:extLst>
            <a:ext uri="{FF2B5EF4-FFF2-40B4-BE49-F238E27FC236}">
              <a16:creationId xmlns:a16="http://schemas.microsoft.com/office/drawing/2014/main" id="{50F4459C-4050-4B92-84C2-5CB249D2A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2" name="Picture 2" descr="검정로고만">
          <a:extLst>
            <a:ext uri="{FF2B5EF4-FFF2-40B4-BE49-F238E27FC236}">
              <a16:creationId xmlns:a16="http://schemas.microsoft.com/office/drawing/2014/main" id="{7D2791A4-326A-4390-B7D7-2C018BFD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3" name="Picture 2" descr="검정로고만">
          <a:extLst>
            <a:ext uri="{FF2B5EF4-FFF2-40B4-BE49-F238E27FC236}">
              <a16:creationId xmlns:a16="http://schemas.microsoft.com/office/drawing/2014/main" id="{A0E19C04-6536-4B8A-A6E6-C4E576C20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4" name="Picture 2" descr="검정로고만">
          <a:extLst>
            <a:ext uri="{FF2B5EF4-FFF2-40B4-BE49-F238E27FC236}">
              <a16:creationId xmlns:a16="http://schemas.microsoft.com/office/drawing/2014/main" id="{173DB20D-12BB-4726-A438-94EE807A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5" name="Picture 2" descr="검정로고만">
          <a:extLst>
            <a:ext uri="{FF2B5EF4-FFF2-40B4-BE49-F238E27FC236}">
              <a16:creationId xmlns:a16="http://schemas.microsoft.com/office/drawing/2014/main" id="{8E83DCF5-371B-4DE7-BE93-1191BB3BC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6" name="Picture 2" descr="검정로고만">
          <a:extLst>
            <a:ext uri="{FF2B5EF4-FFF2-40B4-BE49-F238E27FC236}">
              <a16:creationId xmlns:a16="http://schemas.microsoft.com/office/drawing/2014/main" id="{C3906AC4-87DA-4948-AE19-671F2532C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7" name="Picture 2" descr="검정로고만">
          <a:extLst>
            <a:ext uri="{FF2B5EF4-FFF2-40B4-BE49-F238E27FC236}">
              <a16:creationId xmlns:a16="http://schemas.microsoft.com/office/drawing/2014/main" id="{23B96F1B-27A4-48D6-8D95-64FC2627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8" name="Picture 2" descr="검정로고만">
          <a:extLst>
            <a:ext uri="{FF2B5EF4-FFF2-40B4-BE49-F238E27FC236}">
              <a16:creationId xmlns:a16="http://schemas.microsoft.com/office/drawing/2014/main" id="{317B1811-CBFE-4C62-A281-ED3D26006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099" name="Picture 2" descr="검정로고만">
          <a:extLst>
            <a:ext uri="{FF2B5EF4-FFF2-40B4-BE49-F238E27FC236}">
              <a16:creationId xmlns:a16="http://schemas.microsoft.com/office/drawing/2014/main" id="{9FB72F2D-2BEE-4E26-817E-EDD135FCA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0" name="Picture 2" descr="검정로고만">
          <a:extLst>
            <a:ext uri="{FF2B5EF4-FFF2-40B4-BE49-F238E27FC236}">
              <a16:creationId xmlns:a16="http://schemas.microsoft.com/office/drawing/2014/main" id="{A93DC9F4-35BC-4E7E-BCEA-7EE9B03DF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1" name="Picture 2" descr="검정로고만">
          <a:extLst>
            <a:ext uri="{FF2B5EF4-FFF2-40B4-BE49-F238E27FC236}">
              <a16:creationId xmlns:a16="http://schemas.microsoft.com/office/drawing/2014/main" id="{E679BC74-9A89-4F0B-BEAB-4CB0047E5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2" name="Picture 2" descr="검정로고만">
          <a:extLst>
            <a:ext uri="{FF2B5EF4-FFF2-40B4-BE49-F238E27FC236}">
              <a16:creationId xmlns:a16="http://schemas.microsoft.com/office/drawing/2014/main" id="{7BF0975B-4653-47DC-BA85-C5C9FB732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3" name="Picture 2" descr="검정로고만">
          <a:extLst>
            <a:ext uri="{FF2B5EF4-FFF2-40B4-BE49-F238E27FC236}">
              <a16:creationId xmlns:a16="http://schemas.microsoft.com/office/drawing/2014/main" id="{C8C1D219-206B-4358-9F16-A27D70C7C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4" name="Picture 2" descr="검정로고만">
          <a:extLst>
            <a:ext uri="{FF2B5EF4-FFF2-40B4-BE49-F238E27FC236}">
              <a16:creationId xmlns:a16="http://schemas.microsoft.com/office/drawing/2014/main" id="{EB9C4A53-4204-4324-A75A-96A2029A2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5" name="Picture 2" descr="검정로고만">
          <a:extLst>
            <a:ext uri="{FF2B5EF4-FFF2-40B4-BE49-F238E27FC236}">
              <a16:creationId xmlns:a16="http://schemas.microsoft.com/office/drawing/2014/main" id="{B432A822-AD8C-40C8-9747-4B4585391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6" name="Picture 2" descr="검정로고만">
          <a:extLst>
            <a:ext uri="{FF2B5EF4-FFF2-40B4-BE49-F238E27FC236}">
              <a16:creationId xmlns:a16="http://schemas.microsoft.com/office/drawing/2014/main" id="{402E6263-56AD-43F0-A8A4-69660BAF0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7" name="Picture 2" descr="검정로고만">
          <a:extLst>
            <a:ext uri="{FF2B5EF4-FFF2-40B4-BE49-F238E27FC236}">
              <a16:creationId xmlns:a16="http://schemas.microsoft.com/office/drawing/2014/main" id="{F433F7C1-3BE2-42BF-AD7E-666E084C9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8" name="Picture 2" descr="검정로고만">
          <a:extLst>
            <a:ext uri="{FF2B5EF4-FFF2-40B4-BE49-F238E27FC236}">
              <a16:creationId xmlns:a16="http://schemas.microsoft.com/office/drawing/2014/main" id="{5C61F05E-6ED3-44EA-BCDD-03AB76034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09" name="Picture 2" descr="검정로고만">
          <a:extLst>
            <a:ext uri="{FF2B5EF4-FFF2-40B4-BE49-F238E27FC236}">
              <a16:creationId xmlns:a16="http://schemas.microsoft.com/office/drawing/2014/main" id="{1EEE4D1B-253C-49AC-BFB9-8A375E0D1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0" name="Picture 2" descr="검정로고만">
          <a:extLst>
            <a:ext uri="{FF2B5EF4-FFF2-40B4-BE49-F238E27FC236}">
              <a16:creationId xmlns:a16="http://schemas.microsoft.com/office/drawing/2014/main" id="{FE6A1BA3-826A-4D41-9DE1-8074FA4D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1" name="Picture 2" descr="검정로고만">
          <a:extLst>
            <a:ext uri="{FF2B5EF4-FFF2-40B4-BE49-F238E27FC236}">
              <a16:creationId xmlns:a16="http://schemas.microsoft.com/office/drawing/2014/main" id="{5562E9CA-2B7F-4805-9E65-E57648B2F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2" name="Picture 2" descr="검정로고만">
          <a:extLst>
            <a:ext uri="{FF2B5EF4-FFF2-40B4-BE49-F238E27FC236}">
              <a16:creationId xmlns:a16="http://schemas.microsoft.com/office/drawing/2014/main" id="{BCF913F1-71A1-4F55-BCAE-8C8EBE890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3" name="Picture 2" descr="검정로고만">
          <a:extLst>
            <a:ext uri="{FF2B5EF4-FFF2-40B4-BE49-F238E27FC236}">
              <a16:creationId xmlns:a16="http://schemas.microsoft.com/office/drawing/2014/main" id="{6C7BEEC8-1EE6-4E2D-B862-383ECE657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4" name="Picture 2" descr="검정로고만">
          <a:extLst>
            <a:ext uri="{FF2B5EF4-FFF2-40B4-BE49-F238E27FC236}">
              <a16:creationId xmlns:a16="http://schemas.microsoft.com/office/drawing/2014/main" id="{3B9A5062-40FC-41D8-86DC-FF2C201A3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5" name="Picture 2" descr="검정로고만">
          <a:extLst>
            <a:ext uri="{FF2B5EF4-FFF2-40B4-BE49-F238E27FC236}">
              <a16:creationId xmlns:a16="http://schemas.microsoft.com/office/drawing/2014/main" id="{384B1991-7B9A-429F-B365-F14BEF7A7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6" name="Picture 2" descr="검정로고만">
          <a:extLst>
            <a:ext uri="{FF2B5EF4-FFF2-40B4-BE49-F238E27FC236}">
              <a16:creationId xmlns:a16="http://schemas.microsoft.com/office/drawing/2014/main" id="{D25DDF8C-0FD8-4C32-8151-D17E0ADF7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117" name="Picture 3" descr="검정 글씨만">
          <a:extLst>
            <a:ext uri="{FF2B5EF4-FFF2-40B4-BE49-F238E27FC236}">
              <a16:creationId xmlns:a16="http://schemas.microsoft.com/office/drawing/2014/main" id="{D6C10AAC-0809-412A-B9AE-91EAC673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8" name="Picture 2" descr="검정로고만">
          <a:extLst>
            <a:ext uri="{FF2B5EF4-FFF2-40B4-BE49-F238E27FC236}">
              <a16:creationId xmlns:a16="http://schemas.microsoft.com/office/drawing/2014/main" id="{B0508C99-6109-4B0C-ADEB-DD2C79B9E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19" name="Picture 2" descr="검정로고만">
          <a:extLst>
            <a:ext uri="{FF2B5EF4-FFF2-40B4-BE49-F238E27FC236}">
              <a16:creationId xmlns:a16="http://schemas.microsoft.com/office/drawing/2014/main" id="{26071A2A-9918-4C21-807C-79482CD05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0" name="Picture 2" descr="검정로고만">
          <a:extLst>
            <a:ext uri="{FF2B5EF4-FFF2-40B4-BE49-F238E27FC236}">
              <a16:creationId xmlns:a16="http://schemas.microsoft.com/office/drawing/2014/main" id="{41A00401-00FD-4890-890E-B1804A40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1" name="Picture 2" descr="검정로고만">
          <a:extLst>
            <a:ext uri="{FF2B5EF4-FFF2-40B4-BE49-F238E27FC236}">
              <a16:creationId xmlns:a16="http://schemas.microsoft.com/office/drawing/2014/main" id="{A55E721C-3920-43C0-9AA9-46F38A5AD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2" name="Picture 2" descr="검정로고만">
          <a:extLst>
            <a:ext uri="{FF2B5EF4-FFF2-40B4-BE49-F238E27FC236}">
              <a16:creationId xmlns:a16="http://schemas.microsoft.com/office/drawing/2014/main" id="{D6D8C73C-807C-48EB-8B9A-B853A886B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3" name="Picture 2" descr="검정로고만">
          <a:extLst>
            <a:ext uri="{FF2B5EF4-FFF2-40B4-BE49-F238E27FC236}">
              <a16:creationId xmlns:a16="http://schemas.microsoft.com/office/drawing/2014/main" id="{1C95862F-449B-4447-A07C-3CC0857FA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4" name="Picture 2" descr="검정로고만">
          <a:extLst>
            <a:ext uri="{FF2B5EF4-FFF2-40B4-BE49-F238E27FC236}">
              <a16:creationId xmlns:a16="http://schemas.microsoft.com/office/drawing/2014/main" id="{56401CFD-B777-42EA-97BB-2CBE892B5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5" name="Picture 2" descr="검정로고만">
          <a:extLst>
            <a:ext uri="{FF2B5EF4-FFF2-40B4-BE49-F238E27FC236}">
              <a16:creationId xmlns:a16="http://schemas.microsoft.com/office/drawing/2014/main" id="{C203FEF3-56C5-4C27-895B-3C20096AE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126" name="Picture 3" descr="검정 글씨만">
          <a:extLst>
            <a:ext uri="{FF2B5EF4-FFF2-40B4-BE49-F238E27FC236}">
              <a16:creationId xmlns:a16="http://schemas.microsoft.com/office/drawing/2014/main" id="{26DD502C-8790-4118-9EF9-C80BA799F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7" name="Picture 2" descr="검정로고만">
          <a:extLst>
            <a:ext uri="{FF2B5EF4-FFF2-40B4-BE49-F238E27FC236}">
              <a16:creationId xmlns:a16="http://schemas.microsoft.com/office/drawing/2014/main" id="{DF68A705-4B11-4164-8ACC-3F0B64FE9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8" name="Picture 2" descr="검정로고만">
          <a:extLst>
            <a:ext uri="{FF2B5EF4-FFF2-40B4-BE49-F238E27FC236}">
              <a16:creationId xmlns:a16="http://schemas.microsoft.com/office/drawing/2014/main" id="{58302B94-A8D4-4F9F-8F58-3A5A4C5A1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29" name="Picture 2" descr="검정로고만">
          <a:extLst>
            <a:ext uri="{FF2B5EF4-FFF2-40B4-BE49-F238E27FC236}">
              <a16:creationId xmlns:a16="http://schemas.microsoft.com/office/drawing/2014/main" id="{BD4AE148-B622-4EA1-BEB3-14644DF1B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0" name="Picture 2" descr="검정로고만">
          <a:extLst>
            <a:ext uri="{FF2B5EF4-FFF2-40B4-BE49-F238E27FC236}">
              <a16:creationId xmlns:a16="http://schemas.microsoft.com/office/drawing/2014/main" id="{5DD3799C-2682-46CA-A00B-AE5ED0CA2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1" name="Picture 2" descr="검정로고만">
          <a:extLst>
            <a:ext uri="{FF2B5EF4-FFF2-40B4-BE49-F238E27FC236}">
              <a16:creationId xmlns:a16="http://schemas.microsoft.com/office/drawing/2014/main" id="{DF80C4FA-B86D-4E0E-8BAB-2C9BE9A22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2" name="Picture 2" descr="검정로고만">
          <a:extLst>
            <a:ext uri="{FF2B5EF4-FFF2-40B4-BE49-F238E27FC236}">
              <a16:creationId xmlns:a16="http://schemas.microsoft.com/office/drawing/2014/main" id="{EFC22DEC-E1A7-44CD-AD3A-6AA421FA6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3" name="Picture 2" descr="검정로고만">
          <a:extLst>
            <a:ext uri="{FF2B5EF4-FFF2-40B4-BE49-F238E27FC236}">
              <a16:creationId xmlns:a16="http://schemas.microsoft.com/office/drawing/2014/main" id="{B076A0A8-1AAF-4AB5-90FB-6DF844C53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4" name="Picture 2" descr="검정로고만">
          <a:extLst>
            <a:ext uri="{FF2B5EF4-FFF2-40B4-BE49-F238E27FC236}">
              <a16:creationId xmlns:a16="http://schemas.microsoft.com/office/drawing/2014/main" id="{101B14E3-9682-4A3F-B513-33A7F3C5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5" name="Picture 2" descr="검정로고만">
          <a:extLst>
            <a:ext uri="{FF2B5EF4-FFF2-40B4-BE49-F238E27FC236}">
              <a16:creationId xmlns:a16="http://schemas.microsoft.com/office/drawing/2014/main" id="{052DE3CB-70A4-43C4-9713-379100614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6" name="Picture 2" descr="검정로고만">
          <a:extLst>
            <a:ext uri="{FF2B5EF4-FFF2-40B4-BE49-F238E27FC236}">
              <a16:creationId xmlns:a16="http://schemas.microsoft.com/office/drawing/2014/main" id="{8FA31683-D5FD-4323-8394-168A408C0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7" name="Picture 2" descr="검정로고만">
          <a:extLst>
            <a:ext uri="{FF2B5EF4-FFF2-40B4-BE49-F238E27FC236}">
              <a16:creationId xmlns:a16="http://schemas.microsoft.com/office/drawing/2014/main" id="{1BF35161-06CF-48F2-8305-F5697FDB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8" name="Picture 2" descr="검정로고만">
          <a:extLst>
            <a:ext uri="{FF2B5EF4-FFF2-40B4-BE49-F238E27FC236}">
              <a16:creationId xmlns:a16="http://schemas.microsoft.com/office/drawing/2014/main" id="{9486E10A-057B-4AAC-B3A1-7798EBD5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39" name="Picture 2" descr="검정로고만">
          <a:extLst>
            <a:ext uri="{FF2B5EF4-FFF2-40B4-BE49-F238E27FC236}">
              <a16:creationId xmlns:a16="http://schemas.microsoft.com/office/drawing/2014/main" id="{6D66ED1F-DD47-4E8E-BCDA-6DF932A7D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0" name="Picture 2" descr="검정로고만">
          <a:extLst>
            <a:ext uri="{FF2B5EF4-FFF2-40B4-BE49-F238E27FC236}">
              <a16:creationId xmlns:a16="http://schemas.microsoft.com/office/drawing/2014/main" id="{8AF0020C-ABC4-4465-A173-DCA6CBBD7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1" name="Picture 2" descr="검정로고만">
          <a:extLst>
            <a:ext uri="{FF2B5EF4-FFF2-40B4-BE49-F238E27FC236}">
              <a16:creationId xmlns:a16="http://schemas.microsoft.com/office/drawing/2014/main" id="{A1423A0B-F301-4280-B0D4-97E12CFDD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2" name="Picture 2" descr="검정로고만">
          <a:extLst>
            <a:ext uri="{FF2B5EF4-FFF2-40B4-BE49-F238E27FC236}">
              <a16:creationId xmlns:a16="http://schemas.microsoft.com/office/drawing/2014/main" id="{EC762C11-DC3E-4C36-B12A-21B649BEF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3" name="Picture 2" descr="검정로고만">
          <a:extLst>
            <a:ext uri="{FF2B5EF4-FFF2-40B4-BE49-F238E27FC236}">
              <a16:creationId xmlns:a16="http://schemas.microsoft.com/office/drawing/2014/main" id="{406FB6A8-97DA-4BEF-9400-D0C49A028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4" name="Picture 2" descr="검정로고만">
          <a:extLst>
            <a:ext uri="{FF2B5EF4-FFF2-40B4-BE49-F238E27FC236}">
              <a16:creationId xmlns:a16="http://schemas.microsoft.com/office/drawing/2014/main" id="{1AFBDB73-D8A5-41E3-839D-519F0DE51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5" name="Picture 2" descr="검정로고만">
          <a:extLst>
            <a:ext uri="{FF2B5EF4-FFF2-40B4-BE49-F238E27FC236}">
              <a16:creationId xmlns:a16="http://schemas.microsoft.com/office/drawing/2014/main" id="{F308D4BE-4BE3-402C-AA03-7D58439B9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6" name="Picture 2" descr="검정로고만">
          <a:extLst>
            <a:ext uri="{FF2B5EF4-FFF2-40B4-BE49-F238E27FC236}">
              <a16:creationId xmlns:a16="http://schemas.microsoft.com/office/drawing/2014/main" id="{E5CD6064-C550-4124-A9B6-8257EB78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7" name="Picture 2" descr="검정로고만">
          <a:extLst>
            <a:ext uri="{FF2B5EF4-FFF2-40B4-BE49-F238E27FC236}">
              <a16:creationId xmlns:a16="http://schemas.microsoft.com/office/drawing/2014/main" id="{320ADAF5-5159-4C25-BF19-1C0BF5729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8" name="Picture 2" descr="검정로고만">
          <a:extLst>
            <a:ext uri="{FF2B5EF4-FFF2-40B4-BE49-F238E27FC236}">
              <a16:creationId xmlns:a16="http://schemas.microsoft.com/office/drawing/2014/main" id="{77D89838-CDC9-4486-8325-18A4DD708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49" name="Picture 2" descr="검정로고만">
          <a:extLst>
            <a:ext uri="{FF2B5EF4-FFF2-40B4-BE49-F238E27FC236}">
              <a16:creationId xmlns:a16="http://schemas.microsoft.com/office/drawing/2014/main" id="{E370DACE-ABC9-49E3-8708-878EA9B04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0" name="Picture 2" descr="검정로고만">
          <a:extLst>
            <a:ext uri="{FF2B5EF4-FFF2-40B4-BE49-F238E27FC236}">
              <a16:creationId xmlns:a16="http://schemas.microsoft.com/office/drawing/2014/main" id="{CB8CCD9E-2018-4E23-B6DD-55507A29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1" name="Picture 2" descr="검정로고만">
          <a:extLst>
            <a:ext uri="{FF2B5EF4-FFF2-40B4-BE49-F238E27FC236}">
              <a16:creationId xmlns:a16="http://schemas.microsoft.com/office/drawing/2014/main" id="{B7E9E3D9-7234-4A59-986A-61E2C6752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2" name="Picture 2" descr="검정로고만">
          <a:extLst>
            <a:ext uri="{FF2B5EF4-FFF2-40B4-BE49-F238E27FC236}">
              <a16:creationId xmlns:a16="http://schemas.microsoft.com/office/drawing/2014/main" id="{205786D4-4E1A-4B16-96E0-28E0367C9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3" name="Picture 2" descr="검정로고만">
          <a:extLst>
            <a:ext uri="{FF2B5EF4-FFF2-40B4-BE49-F238E27FC236}">
              <a16:creationId xmlns:a16="http://schemas.microsoft.com/office/drawing/2014/main" id="{4937F55D-040D-4B38-8733-059A8DF64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4" name="Picture 2" descr="검정로고만">
          <a:extLst>
            <a:ext uri="{FF2B5EF4-FFF2-40B4-BE49-F238E27FC236}">
              <a16:creationId xmlns:a16="http://schemas.microsoft.com/office/drawing/2014/main" id="{F01BE669-23BE-4677-9F90-919F4A30A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5" name="Picture 2" descr="검정로고만">
          <a:extLst>
            <a:ext uri="{FF2B5EF4-FFF2-40B4-BE49-F238E27FC236}">
              <a16:creationId xmlns:a16="http://schemas.microsoft.com/office/drawing/2014/main" id="{BB41B670-5415-46C9-B201-AF565235C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6" name="Picture 2" descr="검정로고만">
          <a:extLst>
            <a:ext uri="{FF2B5EF4-FFF2-40B4-BE49-F238E27FC236}">
              <a16:creationId xmlns:a16="http://schemas.microsoft.com/office/drawing/2014/main" id="{7926115A-C4EF-4C01-A3E9-FF7010994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7" name="Picture 2" descr="검정로고만">
          <a:extLst>
            <a:ext uri="{FF2B5EF4-FFF2-40B4-BE49-F238E27FC236}">
              <a16:creationId xmlns:a16="http://schemas.microsoft.com/office/drawing/2014/main" id="{C5293A7B-4662-4F01-A1AE-260AB57A8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8" name="Picture 2" descr="검정로고만">
          <a:extLst>
            <a:ext uri="{FF2B5EF4-FFF2-40B4-BE49-F238E27FC236}">
              <a16:creationId xmlns:a16="http://schemas.microsoft.com/office/drawing/2014/main" id="{DF21471F-CFE6-44D6-B550-82F912B73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59" name="Picture 2" descr="검정로고만">
          <a:extLst>
            <a:ext uri="{FF2B5EF4-FFF2-40B4-BE49-F238E27FC236}">
              <a16:creationId xmlns:a16="http://schemas.microsoft.com/office/drawing/2014/main" id="{DD5A02A7-AA28-43AC-810E-D60839A52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0" name="Picture 2" descr="검정로고만">
          <a:extLst>
            <a:ext uri="{FF2B5EF4-FFF2-40B4-BE49-F238E27FC236}">
              <a16:creationId xmlns:a16="http://schemas.microsoft.com/office/drawing/2014/main" id="{CAF973DD-056D-4DD8-99CB-3A18FC74D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1" name="Picture 2" descr="검정로고만">
          <a:extLst>
            <a:ext uri="{FF2B5EF4-FFF2-40B4-BE49-F238E27FC236}">
              <a16:creationId xmlns:a16="http://schemas.microsoft.com/office/drawing/2014/main" id="{381DD576-4227-4EDA-B2F8-366D476A4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2" name="Picture 2" descr="검정로고만">
          <a:extLst>
            <a:ext uri="{FF2B5EF4-FFF2-40B4-BE49-F238E27FC236}">
              <a16:creationId xmlns:a16="http://schemas.microsoft.com/office/drawing/2014/main" id="{A771C0B1-D45B-426D-B68B-1A7290C24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3" name="Picture 2" descr="검정로고만">
          <a:extLst>
            <a:ext uri="{FF2B5EF4-FFF2-40B4-BE49-F238E27FC236}">
              <a16:creationId xmlns:a16="http://schemas.microsoft.com/office/drawing/2014/main" id="{D83D6534-E96B-4339-9E4D-8866ACD0D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4" name="Picture 2" descr="검정로고만">
          <a:extLst>
            <a:ext uri="{FF2B5EF4-FFF2-40B4-BE49-F238E27FC236}">
              <a16:creationId xmlns:a16="http://schemas.microsoft.com/office/drawing/2014/main" id="{740FE0C2-B494-4579-AF65-F57E354A9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5" name="Picture 2" descr="검정로고만">
          <a:extLst>
            <a:ext uri="{FF2B5EF4-FFF2-40B4-BE49-F238E27FC236}">
              <a16:creationId xmlns:a16="http://schemas.microsoft.com/office/drawing/2014/main" id="{98B66E63-AC9E-45B8-912A-D534436EE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6" name="Picture 2" descr="검정로고만">
          <a:extLst>
            <a:ext uri="{FF2B5EF4-FFF2-40B4-BE49-F238E27FC236}">
              <a16:creationId xmlns:a16="http://schemas.microsoft.com/office/drawing/2014/main" id="{2E81DA98-F2B6-4BBD-A218-F27F40F8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167" name="Picture 3" descr="검정 글씨만">
          <a:extLst>
            <a:ext uri="{FF2B5EF4-FFF2-40B4-BE49-F238E27FC236}">
              <a16:creationId xmlns:a16="http://schemas.microsoft.com/office/drawing/2014/main" id="{A53A69E4-DD33-42E7-9CAB-F0FC0B200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8" name="Picture 2" descr="검정로고만">
          <a:extLst>
            <a:ext uri="{FF2B5EF4-FFF2-40B4-BE49-F238E27FC236}">
              <a16:creationId xmlns:a16="http://schemas.microsoft.com/office/drawing/2014/main" id="{496B1F26-D507-4752-9540-3B1F867DE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69" name="Picture 2" descr="검정로고만">
          <a:extLst>
            <a:ext uri="{FF2B5EF4-FFF2-40B4-BE49-F238E27FC236}">
              <a16:creationId xmlns:a16="http://schemas.microsoft.com/office/drawing/2014/main" id="{3B11E9AB-CBAD-4EBF-AC1A-8BB556F49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0" name="Picture 2" descr="검정로고만">
          <a:extLst>
            <a:ext uri="{FF2B5EF4-FFF2-40B4-BE49-F238E27FC236}">
              <a16:creationId xmlns:a16="http://schemas.microsoft.com/office/drawing/2014/main" id="{9E56E57A-58DB-4439-803F-FE2CC4D78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1" name="Picture 2" descr="검정로고만">
          <a:extLst>
            <a:ext uri="{FF2B5EF4-FFF2-40B4-BE49-F238E27FC236}">
              <a16:creationId xmlns:a16="http://schemas.microsoft.com/office/drawing/2014/main" id="{D6B5FF90-110A-4D07-90C3-E8257A294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2" name="Picture 2" descr="검정로고만">
          <a:extLst>
            <a:ext uri="{FF2B5EF4-FFF2-40B4-BE49-F238E27FC236}">
              <a16:creationId xmlns:a16="http://schemas.microsoft.com/office/drawing/2014/main" id="{2A6B45BA-22AC-4D97-827B-6FAF63DD4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3" name="Picture 2" descr="검정로고만">
          <a:extLst>
            <a:ext uri="{FF2B5EF4-FFF2-40B4-BE49-F238E27FC236}">
              <a16:creationId xmlns:a16="http://schemas.microsoft.com/office/drawing/2014/main" id="{8388666A-20B3-4130-B276-D8E72AE95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4" name="Picture 2" descr="검정로고만">
          <a:extLst>
            <a:ext uri="{FF2B5EF4-FFF2-40B4-BE49-F238E27FC236}">
              <a16:creationId xmlns:a16="http://schemas.microsoft.com/office/drawing/2014/main" id="{3C536602-B292-4175-A3D8-84098013A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5" name="Picture 2" descr="검정로고만">
          <a:extLst>
            <a:ext uri="{FF2B5EF4-FFF2-40B4-BE49-F238E27FC236}">
              <a16:creationId xmlns:a16="http://schemas.microsoft.com/office/drawing/2014/main" id="{2043EF3B-0DF7-49EC-8BAF-214333B48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176" name="Picture 3" descr="검정 글씨만">
          <a:extLst>
            <a:ext uri="{FF2B5EF4-FFF2-40B4-BE49-F238E27FC236}">
              <a16:creationId xmlns:a16="http://schemas.microsoft.com/office/drawing/2014/main" id="{64A7BEAD-6B90-48F2-949A-FB4679B2A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7" name="Picture 2" descr="검정로고만">
          <a:extLst>
            <a:ext uri="{FF2B5EF4-FFF2-40B4-BE49-F238E27FC236}">
              <a16:creationId xmlns:a16="http://schemas.microsoft.com/office/drawing/2014/main" id="{76F07A49-70C9-4120-9642-273A7A69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8" name="Picture 2" descr="검정로고만">
          <a:extLst>
            <a:ext uri="{FF2B5EF4-FFF2-40B4-BE49-F238E27FC236}">
              <a16:creationId xmlns:a16="http://schemas.microsoft.com/office/drawing/2014/main" id="{5CE6DA3D-8360-48D1-ADA9-D1E6617C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79" name="Picture 2" descr="검정로고만">
          <a:extLst>
            <a:ext uri="{FF2B5EF4-FFF2-40B4-BE49-F238E27FC236}">
              <a16:creationId xmlns:a16="http://schemas.microsoft.com/office/drawing/2014/main" id="{CE0C9C7C-452E-418E-AF7C-12F8CBF6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0" name="Picture 2" descr="검정로고만">
          <a:extLst>
            <a:ext uri="{FF2B5EF4-FFF2-40B4-BE49-F238E27FC236}">
              <a16:creationId xmlns:a16="http://schemas.microsoft.com/office/drawing/2014/main" id="{D60DE9F3-06D9-4F0B-9B64-F1BD00A27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1" name="Picture 2" descr="검정로고만">
          <a:extLst>
            <a:ext uri="{FF2B5EF4-FFF2-40B4-BE49-F238E27FC236}">
              <a16:creationId xmlns:a16="http://schemas.microsoft.com/office/drawing/2014/main" id="{1A08A50F-865A-4C1D-9986-99FD998D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2" name="Picture 2" descr="검정로고만">
          <a:extLst>
            <a:ext uri="{FF2B5EF4-FFF2-40B4-BE49-F238E27FC236}">
              <a16:creationId xmlns:a16="http://schemas.microsoft.com/office/drawing/2014/main" id="{69AA06F8-8704-4DD4-AEFD-F92B950D5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3" name="Picture 2" descr="검정로고만">
          <a:extLst>
            <a:ext uri="{FF2B5EF4-FFF2-40B4-BE49-F238E27FC236}">
              <a16:creationId xmlns:a16="http://schemas.microsoft.com/office/drawing/2014/main" id="{DE982D9D-01E0-4409-94AB-93431715C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4" name="Picture 2" descr="검정로고만">
          <a:extLst>
            <a:ext uri="{FF2B5EF4-FFF2-40B4-BE49-F238E27FC236}">
              <a16:creationId xmlns:a16="http://schemas.microsoft.com/office/drawing/2014/main" id="{BD6552E4-FEDB-4E36-BD6B-9FD8CFDFD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185" name="Picture 3" descr="검정 글씨만">
          <a:extLst>
            <a:ext uri="{FF2B5EF4-FFF2-40B4-BE49-F238E27FC236}">
              <a16:creationId xmlns:a16="http://schemas.microsoft.com/office/drawing/2014/main" id="{66CF15DA-D8D1-41EB-8959-9BA8779D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6" name="Picture 2" descr="검정로고만">
          <a:extLst>
            <a:ext uri="{FF2B5EF4-FFF2-40B4-BE49-F238E27FC236}">
              <a16:creationId xmlns:a16="http://schemas.microsoft.com/office/drawing/2014/main" id="{8A971285-8AA6-4383-9E33-5F20C884C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7" name="Picture 2" descr="검정로고만">
          <a:extLst>
            <a:ext uri="{FF2B5EF4-FFF2-40B4-BE49-F238E27FC236}">
              <a16:creationId xmlns:a16="http://schemas.microsoft.com/office/drawing/2014/main" id="{98B927D2-CA97-497C-9DD4-16D70D0FB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8" name="Picture 2" descr="검정로고만">
          <a:extLst>
            <a:ext uri="{FF2B5EF4-FFF2-40B4-BE49-F238E27FC236}">
              <a16:creationId xmlns:a16="http://schemas.microsoft.com/office/drawing/2014/main" id="{60F6DC1D-64D8-4D4A-8D7D-541A0669C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89" name="Picture 2" descr="검정로고만">
          <a:extLst>
            <a:ext uri="{FF2B5EF4-FFF2-40B4-BE49-F238E27FC236}">
              <a16:creationId xmlns:a16="http://schemas.microsoft.com/office/drawing/2014/main" id="{04287AB7-B37E-4B62-8D05-CA228F566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0" name="Picture 2" descr="검정로고만">
          <a:extLst>
            <a:ext uri="{FF2B5EF4-FFF2-40B4-BE49-F238E27FC236}">
              <a16:creationId xmlns:a16="http://schemas.microsoft.com/office/drawing/2014/main" id="{4950CDB5-A259-4051-9ABB-D95AE3E72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1" name="Picture 2" descr="검정로고만">
          <a:extLst>
            <a:ext uri="{FF2B5EF4-FFF2-40B4-BE49-F238E27FC236}">
              <a16:creationId xmlns:a16="http://schemas.microsoft.com/office/drawing/2014/main" id="{91B102C8-FB70-436D-B92B-75AA02EFF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2" name="Picture 2" descr="검정로고만">
          <a:extLst>
            <a:ext uri="{FF2B5EF4-FFF2-40B4-BE49-F238E27FC236}">
              <a16:creationId xmlns:a16="http://schemas.microsoft.com/office/drawing/2014/main" id="{A51719EA-05C2-4BA3-A8F6-910F705E0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3" name="Picture 2" descr="검정로고만">
          <a:extLst>
            <a:ext uri="{FF2B5EF4-FFF2-40B4-BE49-F238E27FC236}">
              <a16:creationId xmlns:a16="http://schemas.microsoft.com/office/drawing/2014/main" id="{BDCF8EA0-3400-4C10-A127-5B1AAC00B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4" name="Picture 2" descr="검정로고만">
          <a:extLst>
            <a:ext uri="{FF2B5EF4-FFF2-40B4-BE49-F238E27FC236}">
              <a16:creationId xmlns:a16="http://schemas.microsoft.com/office/drawing/2014/main" id="{48A70D41-DEB2-4AAC-B693-70AFCE38A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5" name="Picture 2" descr="검정로고만">
          <a:extLst>
            <a:ext uri="{FF2B5EF4-FFF2-40B4-BE49-F238E27FC236}">
              <a16:creationId xmlns:a16="http://schemas.microsoft.com/office/drawing/2014/main" id="{2ED7D8C1-96C1-438C-94E0-6E75C91BE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6" name="Picture 2" descr="검정로고만">
          <a:extLst>
            <a:ext uri="{FF2B5EF4-FFF2-40B4-BE49-F238E27FC236}">
              <a16:creationId xmlns:a16="http://schemas.microsoft.com/office/drawing/2014/main" id="{BCEF01B3-40C7-413E-8963-87EDED62C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7" name="Picture 2" descr="검정로고만">
          <a:extLst>
            <a:ext uri="{FF2B5EF4-FFF2-40B4-BE49-F238E27FC236}">
              <a16:creationId xmlns:a16="http://schemas.microsoft.com/office/drawing/2014/main" id="{6772B72D-AEA9-4B53-9341-3DE06892B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8" name="Picture 2" descr="검정로고만">
          <a:extLst>
            <a:ext uri="{FF2B5EF4-FFF2-40B4-BE49-F238E27FC236}">
              <a16:creationId xmlns:a16="http://schemas.microsoft.com/office/drawing/2014/main" id="{D88083B0-2AF3-415F-BF1D-484B050AD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199" name="Picture 2" descr="검정로고만">
          <a:extLst>
            <a:ext uri="{FF2B5EF4-FFF2-40B4-BE49-F238E27FC236}">
              <a16:creationId xmlns:a16="http://schemas.microsoft.com/office/drawing/2014/main" id="{880B7FDE-9F02-4C28-9EEF-58B3F1149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0" name="Picture 2" descr="검정로고만">
          <a:extLst>
            <a:ext uri="{FF2B5EF4-FFF2-40B4-BE49-F238E27FC236}">
              <a16:creationId xmlns:a16="http://schemas.microsoft.com/office/drawing/2014/main" id="{C8C56C7C-2E9F-45B6-A0FD-3CC63C8F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1" name="Picture 2" descr="검정로고만">
          <a:extLst>
            <a:ext uri="{FF2B5EF4-FFF2-40B4-BE49-F238E27FC236}">
              <a16:creationId xmlns:a16="http://schemas.microsoft.com/office/drawing/2014/main" id="{00CB91A7-6688-4029-ACC9-D20748F1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2" name="Picture 2" descr="검정로고만">
          <a:extLst>
            <a:ext uri="{FF2B5EF4-FFF2-40B4-BE49-F238E27FC236}">
              <a16:creationId xmlns:a16="http://schemas.microsoft.com/office/drawing/2014/main" id="{80B671AF-7DA9-43FA-9924-C9E13AB4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3" name="Picture 2" descr="검정로고만">
          <a:extLst>
            <a:ext uri="{FF2B5EF4-FFF2-40B4-BE49-F238E27FC236}">
              <a16:creationId xmlns:a16="http://schemas.microsoft.com/office/drawing/2014/main" id="{0B291B23-2F6A-46FA-A818-EAB2EEE10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4" name="Picture 2" descr="검정로고만">
          <a:extLst>
            <a:ext uri="{FF2B5EF4-FFF2-40B4-BE49-F238E27FC236}">
              <a16:creationId xmlns:a16="http://schemas.microsoft.com/office/drawing/2014/main" id="{A0AC1221-3827-4D3D-AA87-78F9C7D0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5" name="Picture 2" descr="검정로고만">
          <a:extLst>
            <a:ext uri="{FF2B5EF4-FFF2-40B4-BE49-F238E27FC236}">
              <a16:creationId xmlns:a16="http://schemas.microsoft.com/office/drawing/2014/main" id="{C7EDA833-FC2D-41E7-8F89-0BCF50B9E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6" name="Picture 2" descr="검정로고만">
          <a:extLst>
            <a:ext uri="{FF2B5EF4-FFF2-40B4-BE49-F238E27FC236}">
              <a16:creationId xmlns:a16="http://schemas.microsoft.com/office/drawing/2014/main" id="{6231F856-7C9C-4509-B33B-F465141E7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7" name="Picture 2" descr="검정로고만">
          <a:extLst>
            <a:ext uri="{FF2B5EF4-FFF2-40B4-BE49-F238E27FC236}">
              <a16:creationId xmlns:a16="http://schemas.microsoft.com/office/drawing/2014/main" id="{8EB581EF-EF66-4E55-B437-A2E53C0E1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8" name="Picture 2" descr="검정로고만">
          <a:extLst>
            <a:ext uri="{FF2B5EF4-FFF2-40B4-BE49-F238E27FC236}">
              <a16:creationId xmlns:a16="http://schemas.microsoft.com/office/drawing/2014/main" id="{A0855DB2-21D1-4D4C-93CA-8880565F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09" name="Picture 2" descr="검정로고만">
          <a:extLst>
            <a:ext uri="{FF2B5EF4-FFF2-40B4-BE49-F238E27FC236}">
              <a16:creationId xmlns:a16="http://schemas.microsoft.com/office/drawing/2014/main" id="{72F0D794-A0C5-460F-ADA3-30E033B9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0" name="Picture 2" descr="검정로고만">
          <a:extLst>
            <a:ext uri="{FF2B5EF4-FFF2-40B4-BE49-F238E27FC236}">
              <a16:creationId xmlns:a16="http://schemas.microsoft.com/office/drawing/2014/main" id="{7F5D676D-82DB-4E7D-BAAE-2CC58F36D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1" name="Picture 2" descr="검정로고만">
          <a:extLst>
            <a:ext uri="{FF2B5EF4-FFF2-40B4-BE49-F238E27FC236}">
              <a16:creationId xmlns:a16="http://schemas.microsoft.com/office/drawing/2014/main" id="{0BB19261-4F16-4B38-ADE5-E12B2D19C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2" name="Picture 2" descr="검정로고만">
          <a:extLst>
            <a:ext uri="{FF2B5EF4-FFF2-40B4-BE49-F238E27FC236}">
              <a16:creationId xmlns:a16="http://schemas.microsoft.com/office/drawing/2014/main" id="{7FE8B7B6-6883-47C2-865B-0AFB25C35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3" name="Picture 2" descr="검정로고만">
          <a:extLst>
            <a:ext uri="{FF2B5EF4-FFF2-40B4-BE49-F238E27FC236}">
              <a16:creationId xmlns:a16="http://schemas.microsoft.com/office/drawing/2014/main" id="{327FA0FC-E949-4DF7-AAC0-955099990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4" name="Picture 2" descr="검정로고만">
          <a:extLst>
            <a:ext uri="{FF2B5EF4-FFF2-40B4-BE49-F238E27FC236}">
              <a16:creationId xmlns:a16="http://schemas.microsoft.com/office/drawing/2014/main" id="{99694F50-0D96-4AEB-88EB-F5FA9A1CF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5" name="Picture 2" descr="검정로고만">
          <a:extLst>
            <a:ext uri="{FF2B5EF4-FFF2-40B4-BE49-F238E27FC236}">
              <a16:creationId xmlns:a16="http://schemas.microsoft.com/office/drawing/2014/main" id="{D340886E-4B19-4445-8CFF-CA5DDD19D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6" name="Picture 2" descr="검정로고만">
          <a:extLst>
            <a:ext uri="{FF2B5EF4-FFF2-40B4-BE49-F238E27FC236}">
              <a16:creationId xmlns:a16="http://schemas.microsoft.com/office/drawing/2014/main" id="{0CD1EAD0-564F-412D-911F-568D2AE65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7" name="Picture 2" descr="검정로고만">
          <a:extLst>
            <a:ext uri="{FF2B5EF4-FFF2-40B4-BE49-F238E27FC236}">
              <a16:creationId xmlns:a16="http://schemas.microsoft.com/office/drawing/2014/main" id="{CF299FF8-9681-4CBB-BEAC-E4B9DB33B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8" name="Picture 2" descr="검정로고만">
          <a:extLst>
            <a:ext uri="{FF2B5EF4-FFF2-40B4-BE49-F238E27FC236}">
              <a16:creationId xmlns:a16="http://schemas.microsoft.com/office/drawing/2014/main" id="{7005F45C-D345-4024-8E88-422BC581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19" name="Picture 2" descr="검정로고만">
          <a:extLst>
            <a:ext uri="{FF2B5EF4-FFF2-40B4-BE49-F238E27FC236}">
              <a16:creationId xmlns:a16="http://schemas.microsoft.com/office/drawing/2014/main" id="{486E5B0A-7445-4F8D-B906-4E6503E31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0" name="Picture 2" descr="검정로고만">
          <a:extLst>
            <a:ext uri="{FF2B5EF4-FFF2-40B4-BE49-F238E27FC236}">
              <a16:creationId xmlns:a16="http://schemas.microsoft.com/office/drawing/2014/main" id="{0EAC4E63-87DA-42E2-BD4C-C5927E369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1" name="Picture 2" descr="검정로고만">
          <a:extLst>
            <a:ext uri="{FF2B5EF4-FFF2-40B4-BE49-F238E27FC236}">
              <a16:creationId xmlns:a16="http://schemas.microsoft.com/office/drawing/2014/main" id="{30A7DABC-8881-42F0-9049-938223F95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2" name="Picture 2" descr="검정로고만">
          <a:extLst>
            <a:ext uri="{FF2B5EF4-FFF2-40B4-BE49-F238E27FC236}">
              <a16:creationId xmlns:a16="http://schemas.microsoft.com/office/drawing/2014/main" id="{7BC5F487-DE22-4722-950B-1A7B6530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3" name="Picture 2" descr="검정로고만">
          <a:extLst>
            <a:ext uri="{FF2B5EF4-FFF2-40B4-BE49-F238E27FC236}">
              <a16:creationId xmlns:a16="http://schemas.microsoft.com/office/drawing/2014/main" id="{04049794-0E91-4CA9-B18C-58A9C42D3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4" name="Picture 2" descr="검정로고만">
          <a:extLst>
            <a:ext uri="{FF2B5EF4-FFF2-40B4-BE49-F238E27FC236}">
              <a16:creationId xmlns:a16="http://schemas.microsoft.com/office/drawing/2014/main" id="{EC3294D7-C366-41C9-B6A6-80B15AFC7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5" name="Picture 2" descr="검정로고만">
          <a:extLst>
            <a:ext uri="{FF2B5EF4-FFF2-40B4-BE49-F238E27FC236}">
              <a16:creationId xmlns:a16="http://schemas.microsoft.com/office/drawing/2014/main" id="{AAE87E90-65AB-48FB-9581-AFD266F46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226" name="Picture 3" descr="검정 글씨만">
          <a:extLst>
            <a:ext uri="{FF2B5EF4-FFF2-40B4-BE49-F238E27FC236}">
              <a16:creationId xmlns:a16="http://schemas.microsoft.com/office/drawing/2014/main" id="{471EE082-EF80-4D24-9E31-FA0252A75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7" name="Picture 2" descr="검정로고만">
          <a:extLst>
            <a:ext uri="{FF2B5EF4-FFF2-40B4-BE49-F238E27FC236}">
              <a16:creationId xmlns:a16="http://schemas.microsoft.com/office/drawing/2014/main" id="{2F790831-F92E-4BB3-9C4D-89645213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8" name="Picture 2" descr="검정로고만">
          <a:extLst>
            <a:ext uri="{FF2B5EF4-FFF2-40B4-BE49-F238E27FC236}">
              <a16:creationId xmlns:a16="http://schemas.microsoft.com/office/drawing/2014/main" id="{70064AFC-85F3-4F3A-A277-C0452247B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29" name="Picture 2" descr="검정로고만">
          <a:extLst>
            <a:ext uri="{FF2B5EF4-FFF2-40B4-BE49-F238E27FC236}">
              <a16:creationId xmlns:a16="http://schemas.microsoft.com/office/drawing/2014/main" id="{FFD0FDCE-C6DE-49CC-87BE-1B0ED1389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0" name="Picture 2" descr="검정로고만">
          <a:extLst>
            <a:ext uri="{FF2B5EF4-FFF2-40B4-BE49-F238E27FC236}">
              <a16:creationId xmlns:a16="http://schemas.microsoft.com/office/drawing/2014/main" id="{35785390-274F-491E-B2B5-2B01FBC1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1" name="Picture 2" descr="검정로고만">
          <a:extLst>
            <a:ext uri="{FF2B5EF4-FFF2-40B4-BE49-F238E27FC236}">
              <a16:creationId xmlns:a16="http://schemas.microsoft.com/office/drawing/2014/main" id="{B0FE5F29-F3F6-46FB-AB57-43FAD695F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2" name="Picture 2" descr="검정로고만">
          <a:extLst>
            <a:ext uri="{FF2B5EF4-FFF2-40B4-BE49-F238E27FC236}">
              <a16:creationId xmlns:a16="http://schemas.microsoft.com/office/drawing/2014/main" id="{8CB3A59D-FEB4-423D-80CA-6438F32E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3" name="Picture 2" descr="검정로고만">
          <a:extLst>
            <a:ext uri="{FF2B5EF4-FFF2-40B4-BE49-F238E27FC236}">
              <a16:creationId xmlns:a16="http://schemas.microsoft.com/office/drawing/2014/main" id="{4D674B97-538E-47E2-9584-974A2594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4" name="Picture 2" descr="검정로고만">
          <a:extLst>
            <a:ext uri="{FF2B5EF4-FFF2-40B4-BE49-F238E27FC236}">
              <a16:creationId xmlns:a16="http://schemas.microsoft.com/office/drawing/2014/main" id="{C551F0F0-E9D9-47F2-BBCC-F52DBB0C5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235" name="Picture 3" descr="검정 글씨만">
          <a:extLst>
            <a:ext uri="{FF2B5EF4-FFF2-40B4-BE49-F238E27FC236}">
              <a16:creationId xmlns:a16="http://schemas.microsoft.com/office/drawing/2014/main" id="{0A965E8E-314E-4633-9750-83373741E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6" name="Picture 2" descr="검정로고만">
          <a:extLst>
            <a:ext uri="{FF2B5EF4-FFF2-40B4-BE49-F238E27FC236}">
              <a16:creationId xmlns:a16="http://schemas.microsoft.com/office/drawing/2014/main" id="{20135899-4995-4C9C-A9B2-01DBF2931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7" name="Picture 2" descr="검정로고만">
          <a:extLst>
            <a:ext uri="{FF2B5EF4-FFF2-40B4-BE49-F238E27FC236}">
              <a16:creationId xmlns:a16="http://schemas.microsoft.com/office/drawing/2014/main" id="{D6620C81-7304-432E-BF32-46618A6DD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8" name="Picture 2" descr="검정로고만">
          <a:extLst>
            <a:ext uri="{FF2B5EF4-FFF2-40B4-BE49-F238E27FC236}">
              <a16:creationId xmlns:a16="http://schemas.microsoft.com/office/drawing/2014/main" id="{974D6A61-85FB-41AC-9E9A-1FA51DEB7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39" name="Picture 2" descr="검정로고만">
          <a:extLst>
            <a:ext uri="{FF2B5EF4-FFF2-40B4-BE49-F238E27FC236}">
              <a16:creationId xmlns:a16="http://schemas.microsoft.com/office/drawing/2014/main" id="{772B6BAD-C8E4-47B9-A9B8-B0C0CDA07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0" name="Picture 2" descr="검정로고만">
          <a:extLst>
            <a:ext uri="{FF2B5EF4-FFF2-40B4-BE49-F238E27FC236}">
              <a16:creationId xmlns:a16="http://schemas.microsoft.com/office/drawing/2014/main" id="{6CC95607-6F8F-49B4-A682-18E38F634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1" name="Picture 2" descr="검정로고만">
          <a:extLst>
            <a:ext uri="{FF2B5EF4-FFF2-40B4-BE49-F238E27FC236}">
              <a16:creationId xmlns:a16="http://schemas.microsoft.com/office/drawing/2014/main" id="{A51A3A51-5971-4630-8EF1-DA9005F8F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2" name="Picture 2" descr="검정로고만">
          <a:extLst>
            <a:ext uri="{FF2B5EF4-FFF2-40B4-BE49-F238E27FC236}">
              <a16:creationId xmlns:a16="http://schemas.microsoft.com/office/drawing/2014/main" id="{E63E449A-26A1-49A8-9B5C-11F1FD1E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3" name="Picture 2" descr="검정로고만">
          <a:extLst>
            <a:ext uri="{FF2B5EF4-FFF2-40B4-BE49-F238E27FC236}">
              <a16:creationId xmlns:a16="http://schemas.microsoft.com/office/drawing/2014/main" id="{0E29D46D-76CB-4A4E-84BA-32F4570BC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244" name="Picture 3" descr="검정 글씨만">
          <a:extLst>
            <a:ext uri="{FF2B5EF4-FFF2-40B4-BE49-F238E27FC236}">
              <a16:creationId xmlns:a16="http://schemas.microsoft.com/office/drawing/2014/main" id="{A1CCD603-3A0D-469B-9D1E-BFFEF902D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5" name="Picture 2" descr="검정로고만">
          <a:extLst>
            <a:ext uri="{FF2B5EF4-FFF2-40B4-BE49-F238E27FC236}">
              <a16:creationId xmlns:a16="http://schemas.microsoft.com/office/drawing/2014/main" id="{8BE62EE8-1238-4FA4-93D4-393B1C840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6" name="Picture 2" descr="검정로고만">
          <a:extLst>
            <a:ext uri="{FF2B5EF4-FFF2-40B4-BE49-F238E27FC236}">
              <a16:creationId xmlns:a16="http://schemas.microsoft.com/office/drawing/2014/main" id="{4C9F5F90-FC03-4E10-AEDE-4BB129670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7" name="Picture 2" descr="검정로고만">
          <a:extLst>
            <a:ext uri="{FF2B5EF4-FFF2-40B4-BE49-F238E27FC236}">
              <a16:creationId xmlns:a16="http://schemas.microsoft.com/office/drawing/2014/main" id="{A588B16C-B072-4CF2-871F-DCDAB4B30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8" name="Picture 2" descr="검정로고만">
          <a:extLst>
            <a:ext uri="{FF2B5EF4-FFF2-40B4-BE49-F238E27FC236}">
              <a16:creationId xmlns:a16="http://schemas.microsoft.com/office/drawing/2014/main" id="{058EE78B-4DFC-4C09-9EC4-9B4AD2ADF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49" name="Picture 2" descr="검정로고만">
          <a:extLst>
            <a:ext uri="{FF2B5EF4-FFF2-40B4-BE49-F238E27FC236}">
              <a16:creationId xmlns:a16="http://schemas.microsoft.com/office/drawing/2014/main" id="{971CF2A8-1835-4FAE-AE1E-0A2C5BB3B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0" name="Picture 2" descr="검정로고만">
          <a:extLst>
            <a:ext uri="{FF2B5EF4-FFF2-40B4-BE49-F238E27FC236}">
              <a16:creationId xmlns:a16="http://schemas.microsoft.com/office/drawing/2014/main" id="{BEE99B42-8ECB-4F9A-AF15-9E263206D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1" name="Picture 2" descr="검정로고만">
          <a:extLst>
            <a:ext uri="{FF2B5EF4-FFF2-40B4-BE49-F238E27FC236}">
              <a16:creationId xmlns:a16="http://schemas.microsoft.com/office/drawing/2014/main" id="{2A8B6836-DC3D-4215-8205-83FD95741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2" name="Picture 2" descr="검정로고만">
          <a:extLst>
            <a:ext uri="{FF2B5EF4-FFF2-40B4-BE49-F238E27FC236}">
              <a16:creationId xmlns:a16="http://schemas.microsoft.com/office/drawing/2014/main" id="{61476E42-C427-4E29-BDA7-FF9C0ECE4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3" name="Picture 2" descr="검정로고만">
          <a:extLst>
            <a:ext uri="{FF2B5EF4-FFF2-40B4-BE49-F238E27FC236}">
              <a16:creationId xmlns:a16="http://schemas.microsoft.com/office/drawing/2014/main" id="{B311F287-F774-460E-BF90-36602FB9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4" name="Picture 2" descr="검정로고만">
          <a:extLst>
            <a:ext uri="{FF2B5EF4-FFF2-40B4-BE49-F238E27FC236}">
              <a16:creationId xmlns:a16="http://schemas.microsoft.com/office/drawing/2014/main" id="{1256B743-3909-46A6-99F9-7D545DB1D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5" name="Picture 2" descr="검정로고만">
          <a:extLst>
            <a:ext uri="{FF2B5EF4-FFF2-40B4-BE49-F238E27FC236}">
              <a16:creationId xmlns:a16="http://schemas.microsoft.com/office/drawing/2014/main" id="{1558C0BC-AF44-4768-BE01-F30FEAB12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6" name="Picture 2" descr="검정로고만">
          <a:extLst>
            <a:ext uri="{FF2B5EF4-FFF2-40B4-BE49-F238E27FC236}">
              <a16:creationId xmlns:a16="http://schemas.microsoft.com/office/drawing/2014/main" id="{F42DB139-A613-476B-8F54-D83CFC042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7" name="Picture 2" descr="검정로고만">
          <a:extLst>
            <a:ext uri="{FF2B5EF4-FFF2-40B4-BE49-F238E27FC236}">
              <a16:creationId xmlns:a16="http://schemas.microsoft.com/office/drawing/2014/main" id="{73505812-E7E3-4399-B827-A70D59956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8" name="Picture 2" descr="검정로고만">
          <a:extLst>
            <a:ext uri="{FF2B5EF4-FFF2-40B4-BE49-F238E27FC236}">
              <a16:creationId xmlns:a16="http://schemas.microsoft.com/office/drawing/2014/main" id="{08A5FDEA-D3B0-49F9-9159-B691A855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59" name="Picture 2" descr="검정로고만">
          <a:extLst>
            <a:ext uri="{FF2B5EF4-FFF2-40B4-BE49-F238E27FC236}">
              <a16:creationId xmlns:a16="http://schemas.microsoft.com/office/drawing/2014/main" id="{4CD73E6F-F86C-4F7F-ACAD-B157ABF05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0" name="Picture 2" descr="검정로고만">
          <a:extLst>
            <a:ext uri="{FF2B5EF4-FFF2-40B4-BE49-F238E27FC236}">
              <a16:creationId xmlns:a16="http://schemas.microsoft.com/office/drawing/2014/main" id="{36AEBE50-3E7A-442E-8555-5910D7C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1" name="Picture 2" descr="검정로고만">
          <a:extLst>
            <a:ext uri="{FF2B5EF4-FFF2-40B4-BE49-F238E27FC236}">
              <a16:creationId xmlns:a16="http://schemas.microsoft.com/office/drawing/2014/main" id="{E6D0254D-985C-4C7C-B736-A4F0641EF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2" name="Picture 2" descr="검정로고만">
          <a:extLst>
            <a:ext uri="{FF2B5EF4-FFF2-40B4-BE49-F238E27FC236}">
              <a16:creationId xmlns:a16="http://schemas.microsoft.com/office/drawing/2014/main" id="{E8CC8DA5-F578-4FD2-8889-F8F9615EA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3" name="Picture 2" descr="검정로고만">
          <a:extLst>
            <a:ext uri="{FF2B5EF4-FFF2-40B4-BE49-F238E27FC236}">
              <a16:creationId xmlns:a16="http://schemas.microsoft.com/office/drawing/2014/main" id="{055360C9-7D61-4461-9F3B-F75E9F94F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4" name="Picture 2" descr="검정로고만">
          <a:extLst>
            <a:ext uri="{FF2B5EF4-FFF2-40B4-BE49-F238E27FC236}">
              <a16:creationId xmlns:a16="http://schemas.microsoft.com/office/drawing/2014/main" id="{AFD250A6-C6C6-4886-8ABD-1A7E53F70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5" name="Picture 2" descr="검정로고만">
          <a:extLst>
            <a:ext uri="{FF2B5EF4-FFF2-40B4-BE49-F238E27FC236}">
              <a16:creationId xmlns:a16="http://schemas.microsoft.com/office/drawing/2014/main" id="{D4E227F1-7838-4FCD-84F8-600C754D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6" name="Picture 2" descr="검정로고만">
          <a:extLst>
            <a:ext uri="{FF2B5EF4-FFF2-40B4-BE49-F238E27FC236}">
              <a16:creationId xmlns:a16="http://schemas.microsoft.com/office/drawing/2014/main" id="{B6E5B8BA-693E-4C8A-90F2-13C27DDE8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7" name="Picture 2" descr="검정로고만">
          <a:extLst>
            <a:ext uri="{FF2B5EF4-FFF2-40B4-BE49-F238E27FC236}">
              <a16:creationId xmlns:a16="http://schemas.microsoft.com/office/drawing/2014/main" id="{D981F58E-BF19-4D5F-9347-6A5A7D1D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8" name="Picture 2" descr="검정로고만">
          <a:extLst>
            <a:ext uri="{FF2B5EF4-FFF2-40B4-BE49-F238E27FC236}">
              <a16:creationId xmlns:a16="http://schemas.microsoft.com/office/drawing/2014/main" id="{6AB626CD-AC48-4294-A08C-158C758AB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69" name="Picture 2" descr="검정로고만">
          <a:extLst>
            <a:ext uri="{FF2B5EF4-FFF2-40B4-BE49-F238E27FC236}">
              <a16:creationId xmlns:a16="http://schemas.microsoft.com/office/drawing/2014/main" id="{63752088-976F-4B7F-905B-487580579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0" name="Picture 2" descr="검정로고만">
          <a:extLst>
            <a:ext uri="{FF2B5EF4-FFF2-40B4-BE49-F238E27FC236}">
              <a16:creationId xmlns:a16="http://schemas.microsoft.com/office/drawing/2014/main" id="{AAE27F11-CFDF-4E5D-A636-40EFE0EB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1" name="Picture 2" descr="검정로고만">
          <a:extLst>
            <a:ext uri="{FF2B5EF4-FFF2-40B4-BE49-F238E27FC236}">
              <a16:creationId xmlns:a16="http://schemas.microsoft.com/office/drawing/2014/main" id="{24D53D8F-87A8-4A45-99F4-9043B3DD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2" name="Picture 2" descr="검정로고만">
          <a:extLst>
            <a:ext uri="{FF2B5EF4-FFF2-40B4-BE49-F238E27FC236}">
              <a16:creationId xmlns:a16="http://schemas.microsoft.com/office/drawing/2014/main" id="{1D03CFE0-38A5-45B7-8F09-D7345ED9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3" name="Picture 2" descr="검정로고만">
          <a:extLst>
            <a:ext uri="{FF2B5EF4-FFF2-40B4-BE49-F238E27FC236}">
              <a16:creationId xmlns:a16="http://schemas.microsoft.com/office/drawing/2014/main" id="{3AB58544-1C4F-475E-96F3-67A1CA0B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4" name="Picture 2" descr="검정로고만">
          <a:extLst>
            <a:ext uri="{FF2B5EF4-FFF2-40B4-BE49-F238E27FC236}">
              <a16:creationId xmlns:a16="http://schemas.microsoft.com/office/drawing/2014/main" id="{BC44C336-E35E-41BB-AE7C-6EC24F8FE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5" name="Picture 2" descr="검정로고만">
          <a:extLst>
            <a:ext uri="{FF2B5EF4-FFF2-40B4-BE49-F238E27FC236}">
              <a16:creationId xmlns:a16="http://schemas.microsoft.com/office/drawing/2014/main" id="{903D4950-11DA-49E2-8C4C-79D6062E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6" name="Picture 2" descr="검정로고만">
          <a:extLst>
            <a:ext uri="{FF2B5EF4-FFF2-40B4-BE49-F238E27FC236}">
              <a16:creationId xmlns:a16="http://schemas.microsoft.com/office/drawing/2014/main" id="{F34184F2-CD5D-45CA-AA29-3E174D6C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7" name="Picture 2" descr="검정로고만">
          <a:extLst>
            <a:ext uri="{FF2B5EF4-FFF2-40B4-BE49-F238E27FC236}">
              <a16:creationId xmlns:a16="http://schemas.microsoft.com/office/drawing/2014/main" id="{FC2A07F7-952E-45DC-B4F1-6A658EE6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8" name="Picture 2" descr="검정로고만">
          <a:extLst>
            <a:ext uri="{FF2B5EF4-FFF2-40B4-BE49-F238E27FC236}">
              <a16:creationId xmlns:a16="http://schemas.microsoft.com/office/drawing/2014/main" id="{18944B18-B8C1-4DDB-9FFB-0EDDF47E5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79" name="Picture 2" descr="검정로고만">
          <a:extLst>
            <a:ext uri="{FF2B5EF4-FFF2-40B4-BE49-F238E27FC236}">
              <a16:creationId xmlns:a16="http://schemas.microsoft.com/office/drawing/2014/main" id="{C5817770-1BE8-40C5-ADC8-811136795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0" name="Picture 2" descr="검정로고만">
          <a:extLst>
            <a:ext uri="{FF2B5EF4-FFF2-40B4-BE49-F238E27FC236}">
              <a16:creationId xmlns:a16="http://schemas.microsoft.com/office/drawing/2014/main" id="{5324EF41-3362-430B-9FC0-C64259DF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1" name="Picture 2" descr="검정로고만">
          <a:extLst>
            <a:ext uri="{FF2B5EF4-FFF2-40B4-BE49-F238E27FC236}">
              <a16:creationId xmlns:a16="http://schemas.microsoft.com/office/drawing/2014/main" id="{F0F6C657-520B-4263-9F88-6C525C967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2" name="Picture 2" descr="검정로고만">
          <a:extLst>
            <a:ext uri="{FF2B5EF4-FFF2-40B4-BE49-F238E27FC236}">
              <a16:creationId xmlns:a16="http://schemas.microsoft.com/office/drawing/2014/main" id="{A52B960F-BD6D-4E19-A8CE-73BB25F83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3" name="Picture 2" descr="검정로고만">
          <a:extLst>
            <a:ext uri="{FF2B5EF4-FFF2-40B4-BE49-F238E27FC236}">
              <a16:creationId xmlns:a16="http://schemas.microsoft.com/office/drawing/2014/main" id="{4FEEB0E7-9778-4125-9E8C-B6A2DCA69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4" name="Picture 2" descr="검정로고만">
          <a:extLst>
            <a:ext uri="{FF2B5EF4-FFF2-40B4-BE49-F238E27FC236}">
              <a16:creationId xmlns:a16="http://schemas.microsoft.com/office/drawing/2014/main" id="{4AE07194-6AFB-40C9-9EBB-B0FB93D8D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285" name="Picture 3" descr="검정 글씨만">
          <a:extLst>
            <a:ext uri="{FF2B5EF4-FFF2-40B4-BE49-F238E27FC236}">
              <a16:creationId xmlns:a16="http://schemas.microsoft.com/office/drawing/2014/main" id="{83C43847-351E-4749-9B9B-B9D1C9CA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6" name="Picture 2" descr="검정로고만">
          <a:extLst>
            <a:ext uri="{FF2B5EF4-FFF2-40B4-BE49-F238E27FC236}">
              <a16:creationId xmlns:a16="http://schemas.microsoft.com/office/drawing/2014/main" id="{853999B6-B3A7-47B2-9806-6D2E006A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7" name="Picture 2" descr="검정로고만">
          <a:extLst>
            <a:ext uri="{FF2B5EF4-FFF2-40B4-BE49-F238E27FC236}">
              <a16:creationId xmlns:a16="http://schemas.microsoft.com/office/drawing/2014/main" id="{EDA081B6-7156-40F7-A384-F063D7AC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8" name="Picture 2" descr="검정로고만">
          <a:extLst>
            <a:ext uri="{FF2B5EF4-FFF2-40B4-BE49-F238E27FC236}">
              <a16:creationId xmlns:a16="http://schemas.microsoft.com/office/drawing/2014/main" id="{6002EC64-E971-410A-9B8A-9818858B0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89" name="Picture 2" descr="검정로고만">
          <a:extLst>
            <a:ext uri="{FF2B5EF4-FFF2-40B4-BE49-F238E27FC236}">
              <a16:creationId xmlns:a16="http://schemas.microsoft.com/office/drawing/2014/main" id="{D7D4B23F-DA64-4780-8D57-90F1EDCBD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0" name="Picture 2" descr="검정로고만">
          <a:extLst>
            <a:ext uri="{FF2B5EF4-FFF2-40B4-BE49-F238E27FC236}">
              <a16:creationId xmlns:a16="http://schemas.microsoft.com/office/drawing/2014/main" id="{B70A3552-2EAE-4EB5-AEC3-BA8143B9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1" name="Picture 2" descr="검정로고만">
          <a:extLst>
            <a:ext uri="{FF2B5EF4-FFF2-40B4-BE49-F238E27FC236}">
              <a16:creationId xmlns:a16="http://schemas.microsoft.com/office/drawing/2014/main" id="{2D35F874-C7F6-4548-A0F2-E6D813079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2" name="Picture 2" descr="검정로고만">
          <a:extLst>
            <a:ext uri="{FF2B5EF4-FFF2-40B4-BE49-F238E27FC236}">
              <a16:creationId xmlns:a16="http://schemas.microsoft.com/office/drawing/2014/main" id="{150962E1-58E0-4D20-BD0B-38414C2AA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3" name="Picture 2" descr="검정로고만">
          <a:extLst>
            <a:ext uri="{FF2B5EF4-FFF2-40B4-BE49-F238E27FC236}">
              <a16:creationId xmlns:a16="http://schemas.microsoft.com/office/drawing/2014/main" id="{2A855E17-4CD0-4BCA-B10A-183F36A0B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294" name="Picture 3" descr="검정 글씨만">
          <a:extLst>
            <a:ext uri="{FF2B5EF4-FFF2-40B4-BE49-F238E27FC236}">
              <a16:creationId xmlns:a16="http://schemas.microsoft.com/office/drawing/2014/main" id="{B99FB75D-01C2-4344-A6F8-E24A8A7DE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5" name="Picture 2" descr="검정로고만">
          <a:extLst>
            <a:ext uri="{FF2B5EF4-FFF2-40B4-BE49-F238E27FC236}">
              <a16:creationId xmlns:a16="http://schemas.microsoft.com/office/drawing/2014/main" id="{1E0EAA01-609B-4A73-8939-50069AC52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6" name="Picture 2" descr="검정로고만">
          <a:extLst>
            <a:ext uri="{FF2B5EF4-FFF2-40B4-BE49-F238E27FC236}">
              <a16:creationId xmlns:a16="http://schemas.microsoft.com/office/drawing/2014/main" id="{A40EE4DE-8B9A-4956-A732-AA68A643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7" name="Picture 2" descr="검정로고만">
          <a:extLst>
            <a:ext uri="{FF2B5EF4-FFF2-40B4-BE49-F238E27FC236}">
              <a16:creationId xmlns:a16="http://schemas.microsoft.com/office/drawing/2014/main" id="{23DB42E3-A090-43C4-89E1-E5B5CA49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8" name="Picture 2" descr="검정로고만">
          <a:extLst>
            <a:ext uri="{FF2B5EF4-FFF2-40B4-BE49-F238E27FC236}">
              <a16:creationId xmlns:a16="http://schemas.microsoft.com/office/drawing/2014/main" id="{AA6F7B15-F998-468D-A6C9-8F2F1FAB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299" name="Picture 2" descr="검정로고만">
          <a:extLst>
            <a:ext uri="{FF2B5EF4-FFF2-40B4-BE49-F238E27FC236}">
              <a16:creationId xmlns:a16="http://schemas.microsoft.com/office/drawing/2014/main" id="{789B07A0-8F92-417E-A750-CD25A7445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0" name="Picture 2" descr="검정로고만">
          <a:extLst>
            <a:ext uri="{FF2B5EF4-FFF2-40B4-BE49-F238E27FC236}">
              <a16:creationId xmlns:a16="http://schemas.microsoft.com/office/drawing/2014/main" id="{CB485078-691D-403C-8539-D27EC0692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1" name="Picture 2" descr="검정로고만">
          <a:extLst>
            <a:ext uri="{FF2B5EF4-FFF2-40B4-BE49-F238E27FC236}">
              <a16:creationId xmlns:a16="http://schemas.microsoft.com/office/drawing/2014/main" id="{A5025B11-13AC-494B-AA51-4D611D30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2" name="Picture 2" descr="검정로고만">
          <a:extLst>
            <a:ext uri="{FF2B5EF4-FFF2-40B4-BE49-F238E27FC236}">
              <a16:creationId xmlns:a16="http://schemas.microsoft.com/office/drawing/2014/main" id="{94B30A5A-9E78-40E9-B48B-5A356E38E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3" name="Picture 2" descr="검정로고만">
          <a:extLst>
            <a:ext uri="{FF2B5EF4-FFF2-40B4-BE49-F238E27FC236}">
              <a16:creationId xmlns:a16="http://schemas.microsoft.com/office/drawing/2014/main" id="{84A46662-C5CE-4C99-80E9-856711AE4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4" name="Picture 2" descr="검정로고만">
          <a:extLst>
            <a:ext uri="{FF2B5EF4-FFF2-40B4-BE49-F238E27FC236}">
              <a16:creationId xmlns:a16="http://schemas.microsoft.com/office/drawing/2014/main" id="{E911A838-35BD-422B-B510-CEC0B7634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5" name="Picture 2" descr="검정로고만">
          <a:extLst>
            <a:ext uri="{FF2B5EF4-FFF2-40B4-BE49-F238E27FC236}">
              <a16:creationId xmlns:a16="http://schemas.microsoft.com/office/drawing/2014/main" id="{BA1A5805-97D5-4E8B-A084-E74856521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6" name="Picture 2" descr="검정로고만">
          <a:extLst>
            <a:ext uri="{FF2B5EF4-FFF2-40B4-BE49-F238E27FC236}">
              <a16:creationId xmlns:a16="http://schemas.microsoft.com/office/drawing/2014/main" id="{9A49DDF7-19FA-4EE5-834C-DAA2AE8B5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7" name="Picture 2" descr="검정로고만">
          <a:extLst>
            <a:ext uri="{FF2B5EF4-FFF2-40B4-BE49-F238E27FC236}">
              <a16:creationId xmlns:a16="http://schemas.microsoft.com/office/drawing/2014/main" id="{E67D0F35-A984-4DD9-985C-A3040C48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8" name="Picture 2" descr="검정로고만">
          <a:extLst>
            <a:ext uri="{FF2B5EF4-FFF2-40B4-BE49-F238E27FC236}">
              <a16:creationId xmlns:a16="http://schemas.microsoft.com/office/drawing/2014/main" id="{7C6BDABA-364D-4922-A96D-0A4E9491C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09" name="Picture 2" descr="검정로고만">
          <a:extLst>
            <a:ext uri="{FF2B5EF4-FFF2-40B4-BE49-F238E27FC236}">
              <a16:creationId xmlns:a16="http://schemas.microsoft.com/office/drawing/2014/main" id="{0EBE1ACB-3A12-414B-9B1C-C5FE20EE5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0" name="Picture 2" descr="검정로고만">
          <a:extLst>
            <a:ext uri="{FF2B5EF4-FFF2-40B4-BE49-F238E27FC236}">
              <a16:creationId xmlns:a16="http://schemas.microsoft.com/office/drawing/2014/main" id="{5521549E-4E8F-4C3A-BB99-071272B78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1" name="Picture 2" descr="검정로고만">
          <a:extLst>
            <a:ext uri="{FF2B5EF4-FFF2-40B4-BE49-F238E27FC236}">
              <a16:creationId xmlns:a16="http://schemas.microsoft.com/office/drawing/2014/main" id="{F8A9B049-977C-4422-A2D6-AE1286F7A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2" name="Picture 2" descr="검정로고만">
          <a:extLst>
            <a:ext uri="{FF2B5EF4-FFF2-40B4-BE49-F238E27FC236}">
              <a16:creationId xmlns:a16="http://schemas.microsoft.com/office/drawing/2014/main" id="{2F4E2B65-F193-4268-B727-4C609A6DD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3" name="Picture 2" descr="검정로고만">
          <a:extLst>
            <a:ext uri="{FF2B5EF4-FFF2-40B4-BE49-F238E27FC236}">
              <a16:creationId xmlns:a16="http://schemas.microsoft.com/office/drawing/2014/main" id="{AA69500F-6D54-4485-B2FE-1647DC69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4" name="Picture 2" descr="검정로고만">
          <a:extLst>
            <a:ext uri="{FF2B5EF4-FFF2-40B4-BE49-F238E27FC236}">
              <a16:creationId xmlns:a16="http://schemas.microsoft.com/office/drawing/2014/main" id="{B00FE524-2AA1-4BD5-8BEF-CA53A6C87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5" name="Picture 2" descr="검정로고만">
          <a:extLst>
            <a:ext uri="{FF2B5EF4-FFF2-40B4-BE49-F238E27FC236}">
              <a16:creationId xmlns:a16="http://schemas.microsoft.com/office/drawing/2014/main" id="{A0893DB7-1A6B-4A2F-A3BE-1084E19EC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6" name="Picture 2" descr="검정로고만">
          <a:extLst>
            <a:ext uri="{FF2B5EF4-FFF2-40B4-BE49-F238E27FC236}">
              <a16:creationId xmlns:a16="http://schemas.microsoft.com/office/drawing/2014/main" id="{549FD1F1-26C6-4F46-A6F7-071880EED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7" name="Picture 2" descr="검정로고만">
          <a:extLst>
            <a:ext uri="{FF2B5EF4-FFF2-40B4-BE49-F238E27FC236}">
              <a16:creationId xmlns:a16="http://schemas.microsoft.com/office/drawing/2014/main" id="{2EFFCC29-9D0F-44FA-A67A-ECACF031A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8" name="Picture 2" descr="검정로고만">
          <a:extLst>
            <a:ext uri="{FF2B5EF4-FFF2-40B4-BE49-F238E27FC236}">
              <a16:creationId xmlns:a16="http://schemas.microsoft.com/office/drawing/2014/main" id="{319C2213-6CD8-4566-935B-EF14E6392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19" name="Picture 2" descr="검정로고만">
          <a:extLst>
            <a:ext uri="{FF2B5EF4-FFF2-40B4-BE49-F238E27FC236}">
              <a16:creationId xmlns:a16="http://schemas.microsoft.com/office/drawing/2014/main" id="{4F0ECB4A-EE0A-475F-BD27-EAE202CCF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0" name="Picture 2" descr="검정로고만">
          <a:extLst>
            <a:ext uri="{FF2B5EF4-FFF2-40B4-BE49-F238E27FC236}">
              <a16:creationId xmlns:a16="http://schemas.microsoft.com/office/drawing/2014/main" id="{D6935FE9-C9B5-44A0-A802-2170CFEEF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1" name="Picture 2" descr="검정로고만">
          <a:extLst>
            <a:ext uri="{FF2B5EF4-FFF2-40B4-BE49-F238E27FC236}">
              <a16:creationId xmlns:a16="http://schemas.microsoft.com/office/drawing/2014/main" id="{1E7BB4BB-B63E-4C63-B743-6D99B034B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2" name="Picture 2" descr="검정로고만">
          <a:extLst>
            <a:ext uri="{FF2B5EF4-FFF2-40B4-BE49-F238E27FC236}">
              <a16:creationId xmlns:a16="http://schemas.microsoft.com/office/drawing/2014/main" id="{14F47078-C48E-4437-A0AA-72BCE848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3" name="Picture 2" descr="검정로고만">
          <a:extLst>
            <a:ext uri="{FF2B5EF4-FFF2-40B4-BE49-F238E27FC236}">
              <a16:creationId xmlns:a16="http://schemas.microsoft.com/office/drawing/2014/main" id="{3145C143-700E-4B67-8645-3BD75F63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4" name="Picture 2" descr="검정로고만">
          <a:extLst>
            <a:ext uri="{FF2B5EF4-FFF2-40B4-BE49-F238E27FC236}">
              <a16:creationId xmlns:a16="http://schemas.microsoft.com/office/drawing/2014/main" id="{50D5D016-2E3F-4DE1-B3F1-D46E1CD16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5" name="Picture 2" descr="검정로고만">
          <a:extLst>
            <a:ext uri="{FF2B5EF4-FFF2-40B4-BE49-F238E27FC236}">
              <a16:creationId xmlns:a16="http://schemas.microsoft.com/office/drawing/2014/main" id="{E6B157F9-3E5F-49BC-AE20-FB6A149F1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6" name="Picture 2" descr="검정로고만">
          <a:extLst>
            <a:ext uri="{FF2B5EF4-FFF2-40B4-BE49-F238E27FC236}">
              <a16:creationId xmlns:a16="http://schemas.microsoft.com/office/drawing/2014/main" id="{F4635E79-1CD9-4CA3-AE4F-E026DFE5D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7" name="Picture 2" descr="검정로고만">
          <a:extLst>
            <a:ext uri="{FF2B5EF4-FFF2-40B4-BE49-F238E27FC236}">
              <a16:creationId xmlns:a16="http://schemas.microsoft.com/office/drawing/2014/main" id="{E9BED736-53FB-40AA-B6CD-9CF3E5210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8" name="Picture 2" descr="검정로고만">
          <a:extLst>
            <a:ext uri="{FF2B5EF4-FFF2-40B4-BE49-F238E27FC236}">
              <a16:creationId xmlns:a16="http://schemas.microsoft.com/office/drawing/2014/main" id="{80854BB7-ED2A-41D3-8323-022EFAF64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29" name="Picture 2" descr="검정로고만">
          <a:extLst>
            <a:ext uri="{FF2B5EF4-FFF2-40B4-BE49-F238E27FC236}">
              <a16:creationId xmlns:a16="http://schemas.microsoft.com/office/drawing/2014/main" id="{312EFB38-9B48-47C7-A5B2-4A09ACA3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0" name="Picture 2" descr="검정로고만">
          <a:extLst>
            <a:ext uri="{FF2B5EF4-FFF2-40B4-BE49-F238E27FC236}">
              <a16:creationId xmlns:a16="http://schemas.microsoft.com/office/drawing/2014/main" id="{96A33B43-6D5C-4D59-BE54-EE2F4F102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1" name="Picture 2" descr="검정로고만">
          <a:extLst>
            <a:ext uri="{FF2B5EF4-FFF2-40B4-BE49-F238E27FC236}">
              <a16:creationId xmlns:a16="http://schemas.microsoft.com/office/drawing/2014/main" id="{AF4995E8-0329-4AC7-9555-7BEE7D7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2" name="Picture 2" descr="검정로고만">
          <a:extLst>
            <a:ext uri="{FF2B5EF4-FFF2-40B4-BE49-F238E27FC236}">
              <a16:creationId xmlns:a16="http://schemas.microsoft.com/office/drawing/2014/main" id="{61442508-95BE-41C9-AAFF-2F4D2CC7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3" name="Picture 2" descr="검정로고만">
          <a:extLst>
            <a:ext uri="{FF2B5EF4-FFF2-40B4-BE49-F238E27FC236}">
              <a16:creationId xmlns:a16="http://schemas.microsoft.com/office/drawing/2014/main" id="{9E59DF79-A5CA-4D84-A5D0-475F2C78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4" name="Picture 2" descr="검정로고만">
          <a:extLst>
            <a:ext uri="{FF2B5EF4-FFF2-40B4-BE49-F238E27FC236}">
              <a16:creationId xmlns:a16="http://schemas.microsoft.com/office/drawing/2014/main" id="{39E9CA56-D5AE-4ED2-A091-E4036A1D5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335" name="Picture 3" descr="검정 글씨만">
          <a:extLst>
            <a:ext uri="{FF2B5EF4-FFF2-40B4-BE49-F238E27FC236}">
              <a16:creationId xmlns:a16="http://schemas.microsoft.com/office/drawing/2014/main" id="{24DF73D3-F897-4ED8-9436-7EC8E35B3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6" name="Picture 2" descr="검정로고만">
          <a:extLst>
            <a:ext uri="{FF2B5EF4-FFF2-40B4-BE49-F238E27FC236}">
              <a16:creationId xmlns:a16="http://schemas.microsoft.com/office/drawing/2014/main" id="{9F84A53A-3E67-4BC2-9D06-E064296A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7" name="Picture 2" descr="검정로고만">
          <a:extLst>
            <a:ext uri="{FF2B5EF4-FFF2-40B4-BE49-F238E27FC236}">
              <a16:creationId xmlns:a16="http://schemas.microsoft.com/office/drawing/2014/main" id="{70774844-2F16-404E-9BB1-7C0425387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8" name="Picture 2" descr="검정로고만">
          <a:extLst>
            <a:ext uri="{FF2B5EF4-FFF2-40B4-BE49-F238E27FC236}">
              <a16:creationId xmlns:a16="http://schemas.microsoft.com/office/drawing/2014/main" id="{2F5CEACF-8635-4642-B303-0547A792A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39" name="Picture 2" descr="검정로고만">
          <a:extLst>
            <a:ext uri="{FF2B5EF4-FFF2-40B4-BE49-F238E27FC236}">
              <a16:creationId xmlns:a16="http://schemas.microsoft.com/office/drawing/2014/main" id="{6F92DE4E-E2A5-4AAE-BC14-6B03CDC3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0" name="Picture 2" descr="검정로고만">
          <a:extLst>
            <a:ext uri="{FF2B5EF4-FFF2-40B4-BE49-F238E27FC236}">
              <a16:creationId xmlns:a16="http://schemas.microsoft.com/office/drawing/2014/main" id="{46B268C7-9D00-44E7-9735-D1F4E12C1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1" name="Picture 2" descr="검정로고만">
          <a:extLst>
            <a:ext uri="{FF2B5EF4-FFF2-40B4-BE49-F238E27FC236}">
              <a16:creationId xmlns:a16="http://schemas.microsoft.com/office/drawing/2014/main" id="{0B92D9C5-46D6-4E5F-841B-8D30E9B1C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2" name="Picture 2" descr="검정로고만">
          <a:extLst>
            <a:ext uri="{FF2B5EF4-FFF2-40B4-BE49-F238E27FC236}">
              <a16:creationId xmlns:a16="http://schemas.microsoft.com/office/drawing/2014/main" id="{DB50EFEA-9AE0-4143-93A8-6818F530E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3" name="Picture 2" descr="검정로고만">
          <a:extLst>
            <a:ext uri="{FF2B5EF4-FFF2-40B4-BE49-F238E27FC236}">
              <a16:creationId xmlns:a16="http://schemas.microsoft.com/office/drawing/2014/main" id="{987810D5-F39B-42A1-ACAD-5B54F490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344" name="Picture 3" descr="검정 글씨만">
          <a:extLst>
            <a:ext uri="{FF2B5EF4-FFF2-40B4-BE49-F238E27FC236}">
              <a16:creationId xmlns:a16="http://schemas.microsoft.com/office/drawing/2014/main" id="{3B734CB7-D9DE-42C0-864E-B3DB2F480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5" name="Picture 2" descr="검정로고만">
          <a:extLst>
            <a:ext uri="{FF2B5EF4-FFF2-40B4-BE49-F238E27FC236}">
              <a16:creationId xmlns:a16="http://schemas.microsoft.com/office/drawing/2014/main" id="{3D8E9EC8-0137-43E3-A4F1-6771EEA1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6" name="Picture 2" descr="검정로고만">
          <a:extLst>
            <a:ext uri="{FF2B5EF4-FFF2-40B4-BE49-F238E27FC236}">
              <a16:creationId xmlns:a16="http://schemas.microsoft.com/office/drawing/2014/main" id="{B953A36B-1C4A-4C82-BE1A-E988EEBA5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7" name="Picture 2" descr="검정로고만">
          <a:extLst>
            <a:ext uri="{FF2B5EF4-FFF2-40B4-BE49-F238E27FC236}">
              <a16:creationId xmlns:a16="http://schemas.microsoft.com/office/drawing/2014/main" id="{3B8E5D09-3AA1-405B-A394-803F03630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8" name="Picture 2" descr="검정로고만">
          <a:extLst>
            <a:ext uri="{FF2B5EF4-FFF2-40B4-BE49-F238E27FC236}">
              <a16:creationId xmlns:a16="http://schemas.microsoft.com/office/drawing/2014/main" id="{98C6128D-4CD8-4F66-8052-D9C495FBF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49" name="Picture 2" descr="검정로고만">
          <a:extLst>
            <a:ext uri="{FF2B5EF4-FFF2-40B4-BE49-F238E27FC236}">
              <a16:creationId xmlns:a16="http://schemas.microsoft.com/office/drawing/2014/main" id="{2005F273-D7CD-4064-93AE-3384E792D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0" name="Picture 2" descr="검정로고만">
          <a:extLst>
            <a:ext uri="{FF2B5EF4-FFF2-40B4-BE49-F238E27FC236}">
              <a16:creationId xmlns:a16="http://schemas.microsoft.com/office/drawing/2014/main" id="{AFED1F03-3BDC-480C-8346-59D55DD04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1" name="Picture 2" descr="검정로고만">
          <a:extLst>
            <a:ext uri="{FF2B5EF4-FFF2-40B4-BE49-F238E27FC236}">
              <a16:creationId xmlns:a16="http://schemas.microsoft.com/office/drawing/2014/main" id="{1CDCA027-4DF3-4264-8840-C6F83CCAF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2" name="Picture 2" descr="검정로고만">
          <a:extLst>
            <a:ext uri="{FF2B5EF4-FFF2-40B4-BE49-F238E27FC236}">
              <a16:creationId xmlns:a16="http://schemas.microsoft.com/office/drawing/2014/main" id="{5320CF8D-2421-4CB7-A370-14A23D6F6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353" name="Picture 3" descr="검정 글씨만">
          <a:extLst>
            <a:ext uri="{FF2B5EF4-FFF2-40B4-BE49-F238E27FC236}">
              <a16:creationId xmlns:a16="http://schemas.microsoft.com/office/drawing/2014/main" id="{4EFCFB47-0E81-49A4-ACB1-0F856B7C7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4" name="Picture 2" descr="검정로고만">
          <a:extLst>
            <a:ext uri="{FF2B5EF4-FFF2-40B4-BE49-F238E27FC236}">
              <a16:creationId xmlns:a16="http://schemas.microsoft.com/office/drawing/2014/main" id="{4ADC382D-B186-4A43-9260-633E043CA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5" name="Picture 2" descr="검정로고만">
          <a:extLst>
            <a:ext uri="{FF2B5EF4-FFF2-40B4-BE49-F238E27FC236}">
              <a16:creationId xmlns:a16="http://schemas.microsoft.com/office/drawing/2014/main" id="{CFF7CF4C-BBE0-4E40-87E4-79196B3DB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6" name="Picture 2" descr="검정로고만">
          <a:extLst>
            <a:ext uri="{FF2B5EF4-FFF2-40B4-BE49-F238E27FC236}">
              <a16:creationId xmlns:a16="http://schemas.microsoft.com/office/drawing/2014/main" id="{10723106-D6FD-42DD-A9C2-B602EFA3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7" name="Picture 2" descr="검정로고만">
          <a:extLst>
            <a:ext uri="{FF2B5EF4-FFF2-40B4-BE49-F238E27FC236}">
              <a16:creationId xmlns:a16="http://schemas.microsoft.com/office/drawing/2014/main" id="{EEDDF004-7FA2-4687-9965-A546E8F0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8" name="Picture 2" descr="검정로고만">
          <a:extLst>
            <a:ext uri="{FF2B5EF4-FFF2-40B4-BE49-F238E27FC236}">
              <a16:creationId xmlns:a16="http://schemas.microsoft.com/office/drawing/2014/main" id="{39656438-DFDF-4093-A758-B2209D52E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59" name="Picture 2" descr="검정로고만">
          <a:extLst>
            <a:ext uri="{FF2B5EF4-FFF2-40B4-BE49-F238E27FC236}">
              <a16:creationId xmlns:a16="http://schemas.microsoft.com/office/drawing/2014/main" id="{123EB767-9AE8-48DB-ADED-061B8CDCE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0" name="Picture 2" descr="검정로고만">
          <a:extLst>
            <a:ext uri="{FF2B5EF4-FFF2-40B4-BE49-F238E27FC236}">
              <a16:creationId xmlns:a16="http://schemas.microsoft.com/office/drawing/2014/main" id="{CAF27138-6F43-4ECE-A24A-D5996CF3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1" name="Picture 2" descr="검정로고만">
          <a:extLst>
            <a:ext uri="{FF2B5EF4-FFF2-40B4-BE49-F238E27FC236}">
              <a16:creationId xmlns:a16="http://schemas.microsoft.com/office/drawing/2014/main" id="{CABBB420-A420-4350-8A32-F25BC4C3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362" name="Picture 3" descr="검정 글씨만">
          <a:extLst>
            <a:ext uri="{FF2B5EF4-FFF2-40B4-BE49-F238E27FC236}">
              <a16:creationId xmlns:a16="http://schemas.microsoft.com/office/drawing/2014/main" id="{E47D1CB1-7A22-4B04-9AB2-C14D88309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3" name="Picture 2" descr="검정로고만">
          <a:extLst>
            <a:ext uri="{FF2B5EF4-FFF2-40B4-BE49-F238E27FC236}">
              <a16:creationId xmlns:a16="http://schemas.microsoft.com/office/drawing/2014/main" id="{6AD5D42D-EA31-4116-887E-F42AE24F5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4" name="Picture 2" descr="검정로고만">
          <a:extLst>
            <a:ext uri="{FF2B5EF4-FFF2-40B4-BE49-F238E27FC236}">
              <a16:creationId xmlns:a16="http://schemas.microsoft.com/office/drawing/2014/main" id="{9871F4E2-1F4B-4046-B6AC-DC3297BE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5" name="Picture 2" descr="검정로고만">
          <a:extLst>
            <a:ext uri="{FF2B5EF4-FFF2-40B4-BE49-F238E27FC236}">
              <a16:creationId xmlns:a16="http://schemas.microsoft.com/office/drawing/2014/main" id="{E321F22A-DB66-4893-93EC-6D5781627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6" name="Picture 2" descr="검정로고만">
          <a:extLst>
            <a:ext uri="{FF2B5EF4-FFF2-40B4-BE49-F238E27FC236}">
              <a16:creationId xmlns:a16="http://schemas.microsoft.com/office/drawing/2014/main" id="{38ADCAED-0185-42CE-A7E1-57529A588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7" name="Picture 2" descr="검정로고만">
          <a:extLst>
            <a:ext uri="{FF2B5EF4-FFF2-40B4-BE49-F238E27FC236}">
              <a16:creationId xmlns:a16="http://schemas.microsoft.com/office/drawing/2014/main" id="{A9AC7ED4-9CA0-40B2-9D3A-173832D23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8" name="Picture 2" descr="검정로고만">
          <a:extLst>
            <a:ext uri="{FF2B5EF4-FFF2-40B4-BE49-F238E27FC236}">
              <a16:creationId xmlns:a16="http://schemas.microsoft.com/office/drawing/2014/main" id="{442C0E20-7E43-4017-80DA-C73213810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69" name="Picture 2" descr="검정로고만">
          <a:extLst>
            <a:ext uri="{FF2B5EF4-FFF2-40B4-BE49-F238E27FC236}">
              <a16:creationId xmlns:a16="http://schemas.microsoft.com/office/drawing/2014/main" id="{9BC37EB4-6767-4E1B-A121-E9E01A555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0" name="Picture 2" descr="검정로고만">
          <a:extLst>
            <a:ext uri="{FF2B5EF4-FFF2-40B4-BE49-F238E27FC236}">
              <a16:creationId xmlns:a16="http://schemas.microsoft.com/office/drawing/2014/main" id="{5143D8D1-71F2-4C37-93ED-E2B349170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371" name="Picture 3" descr="검정 글씨만">
          <a:extLst>
            <a:ext uri="{FF2B5EF4-FFF2-40B4-BE49-F238E27FC236}">
              <a16:creationId xmlns:a16="http://schemas.microsoft.com/office/drawing/2014/main" id="{CE6B8E76-2E2B-455D-B670-B334EAC4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2" name="Picture 2" descr="검정로고만">
          <a:extLst>
            <a:ext uri="{FF2B5EF4-FFF2-40B4-BE49-F238E27FC236}">
              <a16:creationId xmlns:a16="http://schemas.microsoft.com/office/drawing/2014/main" id="{4ECC072F-9539-44F0-ABDB-349D489E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3" name="Picture 2" descr="검정로고만">
          <a:extLst>
            <a:ext uri="{FF2B5EF4-FFF2-40B4-BE49-F238E27FC236}">
              <a16:creationId xmlns:a16="http://schemas.microsoft.com/office/drawing/2014/main" id="{A5C88A3E-D5EA-44E9-8F8B-E13B0DA1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4" name="Picture 2" descr="검정로고만">
          <a:extLst>
            <a:ext uri="{FF2B5EF4-FFF2-40B4-BE49-F238E27FC236}">
              <a16:creationId xmlns:a16="http://schemas.microsoft.com/office/drawing/2014/main" id="{8C03790E-9D01-4C0F-9B3F-E106384A7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5" name="Picture 2" descr="검정로고만">
          <a:extLst>
            <a:ext uri="{FF2B5EF4-FFF2-40B4-BE49-F238E27FC236}">
              <a16:creationId xmlns:a16="http://schemas.microsoft.com/office/drawing/2014/main" id="{513C0241-1DD8-4F07-AF58-3F4864D3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6" name="Picture 2" descr="검정로고만">
          <a:extLst>
            <a:ext uri="{FF2B5EF4-FFF2-40B4-BE49-F238E27FC236}">
              <a16:creationId xmlns:a16="http://schemas.microsoft.com/office/drawing/2014/main" id="{08809086-D9B0-466D-8861-AC740311D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7" name="Picture 2" descr="검정로고만">
          <a:extLst>
            <a:ext uri="{FF2B5EF4-FFF2-40B4-BE49-F238E27FC236}">
              <a16:creationId xmlns:a16="http://schemas.microsoft.com/office/drawing/2014/main" id="{CF4C93DA-45EA-4C9C-84E8-EC3D43B38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8" name="Picture 2" descr="검정로고만">
          <a:extLst>
            <a:ext uri="{FF2B5EF4-FFF2-40B4-BE49-F238E27FC236}">
              <a16:creationId xmlns:a16="http://schemas.microsoft.com/office/drawing/2014/main" id="{B5C0B2A2-7BB1-48EA-844D-369822F17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79" name="Picture 2" descr="검정로고만">
          <a:extLst>
            <a:ext uri="{FF2B5EF4-FFF2-40B4-BE49-F238E27FC236}">
              <a16:creationId xmlns:a16="http://schemas.microsoft.com/office/drawing/2014/main" id="{1C677501-86B1-4573-96D6-92FDDC83A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0" name="Picture 2" descr="검정로고만">
          <a:extLst>
            <a:ext uri="{FF2B5EF4-FFF2-40B4-BE49-F238E27FC236}">
              <a16:creationId xmlns:a16="http://schemas.microsoft.com/office/drawing/2014/main" id="{01C6FB54-EEC5-481D-977E-5429D4FD6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1" name="Picture 2" descr="검정로고만">
          <a:extLst>
            <a:ext uri="{FF2B5EF4-FFF2-40B4-BE49-F238E27FC236}">
              <a16:creationId xmlns:a16="http://schemas.microsoft.com/office/drawing/2014/main" id="{DA697C38-4DD1-4D0D-B168-001BF80E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2" name="Picture 2" descr="검정로고만">
          <a:extLst>
            <a:ext uri="{FF2B5EF4-FFF2-40B4-BE49-F238E27FC236}">
              <a16:creationId xmlns:a16="http://schemas.microsoft.com/office/drawing/2014/main" id="{0142083A-E547-48A0-A302-7FF1E9BBC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3" name="Picture 2" descr="검정로고만">
          <a:extLst>
            <a:ext uri="{FF2B5EF4-FFF2-40B4-BE49-F238E27FC236}">
              <a16:creationId xmlns:a16="http://schemas.microsoft.com/office/drawing/2014/main" id="{4504C810-A0A8-4C59-A6EF-080D61157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4" name="Picture 2" descr="검정로고만">
          <a:extLst>
            <a:ext uri="{FF2B5EF4-FFF2-40B4-BE49-F238E27FC236}">
              <a16:creationId xmlns:a16="http://schemas.microsoft.com/office/drawing/2014/main" id="{7426298A-3FA9-4165-BDCC-EC7645E35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5" name="Picture 2" descr="검정로고만">
          <a:extLst>
            <a:ext uri="{FF2B5EF4-FFF2-40B4-BE49-F238E27FC236}">
              <a16:creationId xmlns:a16="http://schemas.microsoft.com/office/drawing/2014/main" id="{12224F07-1ADA-406F-8BBB-C5308757C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6" name="Picture 2" descr="검정로고만">
          <a:extLst>
            <a:ext uri="{FF2B5EF4-FFF2-40B4-BE49-F238E27FC236}">
              <a16:creationId xmlns:a16="http://schemas.microsoft.com/office/drawing/2014/main" id="{2FEFB40A-91F9-4794-9FA5-EA91D5E8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7" name="Picture 2" descr="검정로고만">
          <a:extLst>
            <a:ext uri="{FF2B5EF4-FFF2-40B4-BE49-F238E27FC236}">
              <a16:creationId xmlns:a16="http://schemas.microsoft.com/office/drawing/2014/main" id="{206B0E34-5061-4480-AAF9-8947DD60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8" name="Picture 2" descr="검정로고만">
          <a:extLst>
            <a:ext uri="{FF2B5EF4-FFF2-40B4-BE49-F238E27FC236}">
              <a16:creationId xmlns:a16="http://schemas.microsoft.com/office/drawing/2014/main" id="{92AF576E-C0B7-483D-AA11-A335E533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89" name="Picture 2" descr="검정로고만">
          <a:extLst>
            <a:ext uri="{FF2B5EF4-FFF2-40B4-BE49-F238E27FC236}">
              <a16:creationId xmlns:a16="http://schemas.microsoft.com/office/drawing/2014/main" id="{22459CF8-2F57-4698-9D92-9F3DCC80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0" name="Picture 2" descr="검정로고만">
          <a:extLst>
            <a:ext uri="{FF2B5EF4-FFF2-40B4-BE49-F238E27FC236}">
              <a16:creationId xmlns:a16="http://schemas.microsoft.com/office/drawing/2014/main" id="{51AABFFB-1D30-4B81-A6C8-1611340A8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1" name="Picture 2" descr="검정로고만">
          <a:extLst>
            <a:ext uri="{FF2B5EF4-FFF2-40B4-BE49-F238E27FC236}">
              <a16:creationId xmlns:a16="http://schemas.microsoft.com/office/drawing/2014/main" id="{F8C3A811-747C-42BC-8153-650FADBB4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2" name="Picture 2" descr="검정로고만">
          <a:extLst>
            <a:ext uri="{FF2B5EF4-FFF2-40B4-BE49-F238E27FC236}">
              <a16:creationId xmlns:a16="http://schemas.microsoft.com/office/drawing/2014/main" id="{85A50AE4-5E79-416B-8B96-5E65FCCE7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3" name="Picture 2" descr="검정로고만">
          <a:extLst>
            <a:ext uri="{FF2B5EF4-FFF2-40B4-BE49-F238E27FC236}">
              <a16:creationId xmlns:a16="http://schemas.microsoft.com/office/drawing/2014/main" id="{C12356DA-6D8B-46AA-981D-525855BC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4" name="Picture 2" descr="검정로고만">
          <a:extLst>
            <a:ext uri="{FF2B5EF4-FFF2-40B4-BE49-F238E27FC236}">
              <a16:creationId xmlns:a16="http://schemas.microsoft.com/office/drawing/2014/main" id="{212798BB-7749-44E6-ACD5-713BE50A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5" name="Picture 2" descr="검정로고만">
          <a:extLst>
            <a:ext uri="{FF2B5EF4-FFF2-40B4-BE49-F238E27FC236}">
              <a16:creationId xmlns:a16="http://schemas.microsoft.com/office/drawing/2014/main" id="{111827D6-834E-4E52-97E8-50EAC161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6" name="Picture 2" descr="검정로고만">
          <a:extLst>
            <a:ext uri="{FF2B5EF4-FFF2-40B4-BE49-F238E27FC236}">
              <a16:creationId xmlns:a16="http://schemas.microsoft.com/office/drawing/2014/main" id="{CE6DEA68-2F1E-4C26-A90F-B0116E3A8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7" name="Picture 2" descr="검정로고만">
          <a:extLst>
            <a:ext uri="{FF2B5EF4-FFF2-40B4-BE49-F238E27FC236}">
              <a16:creationId xmlns:a16="http://schemas.microsoft.com/office/drawing/2014/main" id="{89E764A3-2686-4FCC-9735-35597CCC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8" name="Picture 2" descr="검정로고만">
          <a:extLst>
            <a:ext uri="{FF2B5EF4-FFF2-40B4-BE49-F238E27FC236}">
              <a16:creationId xmlns:a16="http://schemas.microsoft.com/office/drawing/2014/main" id="{941FB6B7-61AC-4A7B-8BF9-6FFDD1667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399" name="Picture 2" descr="검정로고만">
          <a:extLst>
            <a:ext uri="{FF2B5EF4-FFF2-40B4-BE49-F238E27FC236}">
              <a16:creationId xmlns:a16="http://schemas.microsoft.com/office/drawing/2014/main" id="{35F1E0B2-6E43-4C9E-9E9E-ECAA631C0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0" name="Picture 2" descr="검정로고만">
          <a:extLst>
            <a:ext uri="{FF2B5EF4-FFF2-40B4-BE49-F238E27FC236}">
              <a16:creationId xmlns:a16="http://schemas.microsoft.com/office/drawing/2014/main" id="{044DAE8B-D508-4998-A28E-E8DF42EA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1" name="Picture 2" descr="검정로고만">
          <a:extLst>
            <a:ext uri="{FF2B5EF4-FFF2-40B4-BE49-F238E27FC236}">
              <a16:creationId xmlns:a16="http://schemas.microsoft.com/office/drawing/2014/main" id="{527C7FE0-1B86-4DBC-8A2D-9D640E91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2" name="Picture 2" descr="검정로고만">
          <a:extLst>
            <a:ext uri="{FF2B5EF4-FFF2-40B4-BE49-F238E27FC236}">
              <a16:creationId xmlns:a16="http://schemas.microsoft.com/office/drawing/2014/main" id="{C107E3DA-2711-4EA2-AC45-26E5E2389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3" name="Picture 2" descr="검정로고만">
          <a:extLst>
            <a:ext uri="{FF2B5EF4-FFF2-40B4-BE49-F238E27FC236}">
              <a16:creationId xmlns:a16="http://schemas.microsoft.com/office/drawing/2014/main" id="{79ECAC8F-CDFB-4CB0-94B6-F38EACFFC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4" name="Picture 2" descr="검정로고만">
          <a:extLst>
            <a:ext uri="{FF2B5EF4-FFF2-40B4-BE49-F238E27FC236}">
              <a16:creationId xmlns:a16="http://schemas.microsoft.com/office/drawing/2014/main" id="{55AEE498-09FC-4875-BEE7-4CBF577C5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5" name="Picture 2" descr="검정로고만">
          <a:extLst>
            <a:ext uri="{FF2B5EF4-FFF2-40B4-BE49-F238E27FC236}">
              <a16:creationId xmlns:a16="http://schemas.microsoft.com/office/drawing/2014/main" id="{E11883CE-337A-47F8-8BCD-5D0FEE9E7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6" name="Picture 2" descr="검정로고만">
          <a:extLst>
            <a:ext uri="{FF2B5EF4-FFF2-40B4-BE49-F238E27FC236}">
              <a16:creationId xmlns:a16="http://schemas.microsoft.com/office/drawing/2014/main" id="{56E959FD-5B5E-4821-8CE8-8D661264D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7" name="Picture 2" descr="검정로고만">
          <a:extLst>
            <a:ext uri="{FF2B5EF4-FFF2-40B4-BE49-F238E27FC236}">
              <a16:creationId xmlns:a16="http://schemas.microsoft.com/office/drawing/2014/main" id="{D643D05B-1694-473F-B696-3221FF20C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8" name="Picture 2" descr="검정로고만">
          <a:extLst>
            <a:ext uri="{FF2B5EF4-FFF2-40B4-BE49-F238E27FC236}">
              <a16:creationId xmlns:a16="http://schemas.microsoft.com/office/drawing/2014/main" id="{45C7A456-D36C-4EB2-B368-D2CE1819B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09" name="Picture 2" descr="검정로고만">
          <a:extLst>
            <a:ext uri="{FF2B5EF4-FFF2-40B4-BE49-F238E27FC236}">
              <a16:creationId xmlns:a16="http://schemas.microsoft.com/office/drawing/2014/main" id="{04DDE737-4F25-4A44-94FE-AF7D2BF44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0" name="Picture 2" descr="검정로고만">
          <a:extLst>
            <a:ext uri="{FF2B5EF4-FFF2-40B4-BE49-F238E27FC236}">
              <a16:creationId xmlns:a16="http://schemas.microsoft.com/office/drawing/2014/main" id="{FF5649A2-862D-4E26-8301-93BB98EFA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1" name="Picture 2" descr="검정로고만">
          <a:extLst>
            <a:ext uri="{FF2B5EF4-FFF2-40B4-BE49-F238E27FC236}">
              <a16:creationId xmlns:a16="http://schemas.microsoft.com/office/drawing/2014/main" id="{3D7A4128-D0EC-44BE-B0E7-C15EAFE75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412" name="Picture 3" descr="검정 글씨만">
          <a:extLst>
            <a:ext uri="{FF2B5EF4-FFF2-40B4-BE49-F238E27FC236}">
              <a16:creationId xmlns:a16="http://schemas.microsoft.com/office/drawing/2014/main" id="{93FB0637-3312-4B5D-B7BF-A5B21716B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3" name="Picture 2" descr="검정로고만">
          <a:extLst>
            <a:ext uri="{FF2B5EF4-FFF2-40B4-BE49-F238E27FC236}">
              <a16:creationId xmlns:a16="http://schemas.microsoft.com/office/drawing/2014/main" id="{EAC2D527-4D12-438C-8BCD-072BAA5DD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4" name="Picture 2" descr="검정로고만">
          <a:extLst>
            <a:ext uri="{FF2B5EF4-FFF2-40B4-BE49-F238E27FC236}">
              <a16:creationId xmlns:a16="http://schemas.microsoft.com/office/drawing/2014/main" id="{7EB6051F-9CA9-4BE9-BB8F-BEAAE4228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5" name="Picture 2" descr="검정로고만">
          <a:extLst>
            <a:ext uri="{FF2B5EF4-FFF2-40B4-BE49-F238E27FC236}">
              <a16:creationId xmlns:a16="http://schemas.microsoft.com/office/drawing/2014/main" id="{78FEE943-4C9A-4662-A5F4-6BC7D795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6" name="Picture 2" descr="검정로고만">
          <a:extLst>
            <a:ext uri="{FF2B5EF4-FFF2-40B4-BE49-F238E27FC236}">
              <a16:creationId xmlns:a16="http://schemas.microsoft.com/office/drawing/2014/main" id="{547657B4-30AA-4977-8491-3DEF9F704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7" name="Picture 2" descr="검정로고만">
          <a:extLst>
            <a:ext uri="{FF2B5EF4-FFF2-40B4-BE49-F238E27FC236}">
              <a16:creationId xmlns:a16="http://schemas.microsoft.com/office/drawing/2014/main" id="{06C04E02-F422-4329-815B-66CC8E04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8" name="Picture 2" descr="검정로고만">
          <a:extLst>
            <a:ext uri="{FF2B5EF4-FFF2-40B4-BE49-F238E27FC236}">
              <a16:creationId xmlns:a16="http://schemas.microsoft.com/office/drawing/2014/main" id="{C3418A34-DF43-4BD7-A830-F52F4F242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19" name="Picture 2" descr="검정로고만">
          <a:extLst>
            <a:ext uri="{FF2B5EF4-FFF2-40B4-BE49-F238E27FC236}">
              <a16:creationId xmlns:a16="http://schemas.microsoft.com/office/drawing/2014/main" id="{BB7BCE10-5FBA-441F-9603-0616FD8B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0" name="Picture 2" descr="검정로고만">
          <a:extLst>
            <a:ext uri="{FF2B5EF4-FFF2-40B4-BE49-F238E27FC236}">
              <a16:creationId xmlns:a16="http://schemas.microsoft.com/office/drawing/2014/main" id="{A719FD44-86F0-480A-A4B0-A92913575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421" name="Picture 3" descr="검정 글씨만">
          <a:extLst>
            <a:ext uri="{FF2B5EF4-FFF2-40B4-BE49-F238E27FC236}">
              <a16:creationId xmlns:a16="http://schemas.microsoft.com/office/drawing/2014/main" id="{7AF6FFEF-22F3-4A61-ACB8-A3DEA5581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2" name="Picture 2" descr="검정로고만">
          <a:extLst>
            <a:ext uri="{FF2B5EF4-FFF2-40B4-BE49-F238E27FC236}">
              <a16:creationId xmlns:a16="http://schemas.microsoft.com/office/drawing/2014/main" id="{76F9C45B-73A8-42BF-AD1A-DE83207E9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3" name="Picture 2" descr="검정로고만">
          <a:extLst>
            <a:ext uri="{FF2B5EF4-FFF2-40B4-BE49-F238E27FC236}">
              <a16:creationId xmlns:a16="http://schemas.microsoft.com/office/drawing/2014/main" id="{AFE7854C-44A7-4895-BF12-5BADA5A6D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4" name="Picture 2" descr="검정로고만">
          <a:extLst>
            <a:ext uri="{FF2B5EF4-FFF2-40B4-BE49-F238E27FC236}">
              <a16:creationId xmlns:a16="http://schemas.microsoft.com/office/drawing/2014/main" id="{C5567803-213D-4FF9-AEF1-03683F99F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5" name="Picture 2" descr="검정로고만">
          <a:extLst>
            <a:ext uri="{FF2B5EF4-FFF2-40B4-BE49-F238E27FC236}">
              <a16:creationId xmlns:a16="http://schemas.microsoft.com/office/drawing/2014/main" id="{DA1E0F55-4822-48BF-88E8-24CA30D63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6" name="Picture 2" descr="검정로고만">
          <a:extLst>
            <a:ext uri="{FF2B5EF4-FFF2-40B4-BE49-F238E27FC236}">
              <a16:creationId xmlns:a16="http://schemas.microsoft.com/office/drawing/2014/main" id="{100A04F8-76A9-496B-86A1-D231A5B2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7" name="Picture 2" descr="검정로고만">
          <a:extLst>
            <a:ext uri="{FF2B5EF4-FFF2-40B4-BE49-F238E27FC236}">
              <a16:creationId xmlns:a16="http://schemas.microsoft.com/office/drawing/2014/main" id="{E059B976-807B-448B-B61D-53E141E2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8" name="Picture 2" descr="검정로고만">
          <a:extLst>
            <a:ext uri="{FF2B5EF4-FFF2-40B4-BE49-F238E27FC236}">
              <a16:creationId xmlns:a16="http://schemas.microsoft.com/office/drawing/2014/main" id="{7830F1F2-6EC8-495F-AA22-1FAFCE8A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29" name="Picture 2" descr="검정로고만">
          <a:extLst>
            <a:ext uri="{FF2B5EF4-FFF2-40B4-BE49-F238E27FC236}">
              <a16:creationId xmlns:a16="http://schemas.microsoft.com/office/drawing/2014/main" id="{859E06B6-4633-44B3-B321-110C6D92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430" name="Picture 3" descr="검정 글씨만">
          <a:extLst>
            <a:ext uri="{FF2B5EF4-FFF2-40B4-BE49-F238E27FC236}">
              <a16:creationId xmlns:a16="http://schemas.microsoft.com/office/drawing/2014/main" id="{B821C507-C375-46B8-8A2E-B020904EE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1" name="Picture 2" descr="검정로고만">
          <a:extLst>
            <a:ext uri="{FF2B5EF4-FFF2-40B4-BE49-F238E27FC236}">
              <a16:creationId xmlns:a16="http://schemas.microsoft.com/office/drawing/2014/main" id="{AD6CB4FE-E696-4AC4-A279-6411BAF4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2" name="Picture 2" descr="검정로고만">
          <a:extLst>
            <a:ext uri="{FF2B5EF4-FFF2-40B4-BE49-F238E27FC236}">
              <a16:creationId xmlns:a16="http://schemas.microsoft.com/office/drawing/2014/main" id="{966E51FA-EB17-478D-AD8D-E1DEA8252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3" name="Picture 2" descr="검정로고만">
          <a:extLst>
            <a:ext uri="{FF2B5EF4-FFF2-40B4-BE49-F238E27FC236}">
              <a16:creationId xmlns:a16="http://schemas.microsoft.com/office/drawing/2014/main" id="{3BF25295-181C-4671-AD5A-E64CF92C9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4" name="Picture 2" descr="검정로고만">
          <a:extLst>
            <a:ext uri="{FF2B5EF4-FFF2-40B4-BE49-F238E27FC236}">
              <a16:creationId xmlns:a16="http://schemas.microsoft.com/office/drawing/2014/main" id="{34905470-915E-4940-AF7D-49A7D86E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5" name="Picture 2" descr="검정로고만">
          <a:extLst>
            <a:ext uri="{FF2B5EF4-FFF2-40B4-BE49-F238E27FC236}">
              <a16:creationId xmlns:a16="http://schemas.microsoft.com/office/drawing/2014/main" id="{132DE3A5-0D8E-4604-A113-B1F7D347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6" name="Picture 2" descr="검정로고만">
          <a:extLst>
            <a:ext uri="{FF2B5EF4-FFF2-40B4-BE49-F238E27FC236}">
              <a16:creationId xmlns:a16="http://schemas.microsoft.com/office/drawing/2014/main" id="{8258667C-043E-4DA9-85A9-9FAD36B7C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7" name="Picture 2" descr="검정로고만">
          <a:extLst>
            <a:ext uri="{FF2B5EF4-FFF2-40B4-BE49-F238E27FC236}">
              <a16:creationId xmlns:a16="http://schemas.microsoft.com/office/drawing/2014/main" id="{3ED022BC-9E32-486D-A9E0-540B73C2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8" name="Picture 2" descr="검정로고만">
          <a:extLst>
            <a:ext uri="{FF2B5EF4-FFF2-40B4-BE49-F238E27FC236}">
              <a16:creationId xmlns:a16="http://schemas.microsoft.com/office/drawing/2014/main" id="{D46693F1-F649-475F-94C5-E5DD64825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39" name="Picture 2" descr="검정로고만">
          <a:extLst>
            <a:ext uri="{FF2B5EF4-FFF2-40B4-BE49-F238E27FC236}">
              <a16:creationId xmlns:a16="http://schemas.microsoft.com/office/drawing/2014/main" id="{3BB34067-52F1-455A-8C64-94B5E63B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0" name="Picture 2" descr="검정로고만">
          <a:extLst>
            <a:ext uri="{FF2B5EF4-FFF2-40B4-BE49-F238E27FC236}">
              <a16:creationId xmlns:a16="http://schemas.microsoft.com/office/drawing/2014/main" id="{C51DBCC3-CCFE-4DFC-AA3E-6C66A8267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1" name="Picture 2" descr="검정로고만">
          <a:extLst>
            <a:ext uri="{FF2B5EF4-FFF2-40B4-BE49-F238E27FC236}">
              <a16:creationId xmlns:a16="http://schemas.microsoft.com/office/drawing/2014/main" id="{75221E28-D6AF-46EE-856C-ECEBB8E4A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2" name="Picture 2" descr="검정로고만">
          <a:extLst>
            <a:ext uri="{FF2B5EF4-FFF2-40B4-BE49-F238E27FC236}">
              <a16:creationId xmlns:a16="http://schemas.microsoft.com/office/drawing/2014/main" id="{8529E3AB-98F3-4692-A5FD-8BD610A33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3" name="Picture 2" descr="검정로고만">
          <a:extLst>
            <a:ext uri="{FF2B5EF4-FFF2-40B4-BE49-F238E27FC236}">
              <a16:creationId xmlns:a16="http://schemas.microsoft.com/office/drawing/2014/main" id="{E2A7B46A-9C15-4C50-8645-23EF0770B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4" name="Picture 2" descr="검정로고만">
          <a:extLst>
            <a:ext uri="{FF2B5EF4-FFF2-40B4-BE49-F238E27FC236}">
              <a16:creationId xmlns:a16="http://schemas.microsoft.com/office/drawing/2014/main" id="{E47C09C5-E221-4A89-A4DB-460B803B1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5" name="Picture 2" descr="검정로고만">
          <a:extLst>
            <a:ext uri="{FF2B5EF4-FFF2-40B4-BE49-F238E27FC236}">
              <a16:creationId xmlns:a16="http://schemas.microsoft.com/office/drawing/2014/main" id="{D6E2A1F9-A127-44B1-896E-0E9B9E736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6" name="Picture 2" descr="검정로고만">
          <a:extLst>
            <a:ext uri="{FF2B5EF4-FFF2-40B4-BE49-F238E27FC236}">
              <a16:creationId xmlns:a16="http://schemas.microsoft.com/office/drawing/2014/main" id="{E749ECF2-4321-4707-A17E-EB3D93BCB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7" name="Picture 2" descr="검정로고만">
          <a:extLst>
            <a:ext uri="{FF2B5EF4-FFF2-40B4-BE49-F238E27FC236}">
              <a16:creationId xmlns:a16="http://schemas.microsoft.com/office/drawing/2014/main" id="{9E4EF9BC-1F6D-4A3E-B341-3D009AF3D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8" name="Picture 2" descr="검정로고만">
          <a:extLst>
            <a:ext uri="{FF2B5EF4-FFF2-40B4-BE49-F238E27FC236}">
              <a16:creationId xmlns:a16="http://schemas.microsoft.com/office/drawing/2014/main" id="{D4A843AD-B60B-4F25-B1DC-E17EBDDF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49" name="Picture 2" descr="검정로고만">
          <a:extLst>
            <a:ext uri="{FF2B5EF4-FFF2-40B4-BE49-F238E27FC236}">
              <a16:creationId xmlns:a16="http://schemas.microsoft.com/office/drawing/2014/main" id="{FD2EF603-D87B-4587-9AF5-4251F5707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0" name="Picture 2" descr="검정로고만">
          <a:extLst>
            <a:ext uri="{FF2B5EF4-FFF2-40B4-BE49-F238E27FC236}">
              <a16:creationId xmlns:a16="http://schemas.microsoft.com/office/drawing/2014/main" id="{2C23BC3A-F2A9-44E0-9729-90DA8DE39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1" name="Picture 2" descr="검정로고만">
          <a:extLst>
            <a:ext uri="{FF2B5EF4-FFF2-40B4-BE49-F238E27FC236}">
              <a16:creationId xmlns:a16="http://schemas.microsoft.com/office/drawing/2014/main" id="{63AACD96-885C-43E5-BF58-BC2D1963F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2" name="Picture 2" descr="검정로고만">
          <a:extLst>
            <a:ext uri="{FF2B5EF4-FFF2-40B4-BE49-F238E27FC236}">
              <a16:creationId xmlns:a16="http://schemas.microsoft.com/office/drawing/2014/main" id="{9FE14397-F555-4D59-8588-AE6F80E5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3" name="Picture 2" descr="검정로고만">
          <a:extLst>
            <a:ext uri="{FF2B5EF4-FFF2-40B4-BE49-F238E27FC236}">
              <a16:creationId xmlns:a16="http://schemas.microsoft.com/office/drawing/2014/main" id="{3035E30F-0592-4BAD-9974-C1EAA72F7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4" name="Picture 2" descr="검정로고만">
          <a:extLst>
            <a:ext uri="{FF2B5EF4-FFF2-40B4-BE49-F238E27FC236}">
              <a16:creationId xmlns:a16="http://schemas.microsoft.com/office/drawing/2014/main" id="{702BCE40-2683-4717-9114-1CFEC8A7F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5" name="Picture 2" descr="검정로고만">
          <a:extLst>
            <a:ext uri="{FF2B5EF4-FFF2-40B4-BE49-F238E27FC236}">
              <a16:creationId xmlns:a16="http://schemas.microsoft.com/office/drawing/2014/main" id="{93A1AA45-9B63-40AC-839A-7416C0721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6" name="Picture 2" descr="검정로고만">
          <a:extLst>
            <a:ext uri="{FF2B5EF4-FFF2-40B4-BE49-F238E27FC236}">
              <a16:creationId xmlns:a16="http://schemas.microsoft.com/office/drawing/2014/main" id="{DA39CA98-1001-4EDE-9D3C-1B311F700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7" name="Picture 2" descr="검정로고만">
          <a:extLst>
            <a:ext uri="{FF2B5EF4-FFF2-40B4-BE49-F238E27FC236}">
              <a16:creationId xmlns:a16="http://schemas.microsoft.com/office/drawing/2014/main" id="{AA9D81C7-A847-4BDF-B993-D7E9CE6AF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8" name="Picture 2" descr="검정로고만">
          <a:extLst>
            <a:ext uri="{FF2B5EF4-FFF2-40B4-BE49-F238E27FC236}">
              <a16:creationId xmlns:a16="http://schemas.microsoft.com/office/drawing/2014/main" id="{F631D94E-BE16-4F7C-A696-388A64B8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59" name="Picture 2" descr="검정로고만">
          <a:extLst>
            <a:ext uri="{FF2B5EF4-FFF2-40B4-BE49-F238E27FC236}">
              <a16:creationId xmlns:a16="http://schemas.microsoft.com/office/drawing/2014/main" id="{EBC84969-DBE1-4A07-B9A8-965E51FC7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0" name="Picture 2" descr="검정로고만">
          <a:extLst>
            <a:ext uri="{FF2B5EF4-FFF2-40B4-BE49-F238E27FC236}">
              <a16:creationId xmlns:a16="http://schemas.microsoft.com/office/drawing/2014/main" id="{765DC19B-9737-4428-9EF7-700BCE90C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1" name="Picture 2" descr="검정로고만">
          <a:extLst>
            <a:ext uri="{FF2B5EF4-FFF2-40B4-BE49-F238E27FC236}">
              <a16:creationId xmlns:a16="http://schemas.microsoft.com/office/drawing/2014/main" id="{64BACB91-9EA2-4E0B-B681-9284CF1C4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2" name="Picture 2" descr="검정로고만">
          <a:extLst>
            <a:ext uri="{FF2B5EF4-FFF2-40B4-BE49-F238E27FC236}">
              <a16:creationId xmlns:a16="http://schemas.microsoft.com/office/drawing/2014/main" id="{5CFB9CF2-EB27-4FFF-B5A4-9549B44B3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3" name="Picture 2" descr="검정로고만">
          <a:extLst>
            <a:ext uri="{FF2B5EF4-FFF2-40B4-BE49-F238E27FC236}">
              <a16:creationId xmlns:a16="http://schemas.microsoft.com/office/drawing/2014/main" id="{1BC75DE4-E410-4B6D-B0D3-E9E51D7FA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4" name="Picture 2" descr="검정로고만">
          <a:extLst>
            <a:ext uri="{FF2B5EF4-FFF2-40B4-BE49-F238E27FC236}">
              <a16:creationId xmlns:a16="http://schemas.microsoft.com/office/drawing/2014/main" id="{91AC5173-8710-4D6A-8192-205E74133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5" name="Picture 2" descr="검정로고만">
          <a:extLst>
            <a:ext uri="{FF2B5EF4-FFF2-40B4-BE49-F238E27FC236}">
              <a16:creationId xmlns:a16="http://schemas.microsoft.com/office/drawing/2014/main" id="{463F1FD6-7A75-484B-ADF3-A3BC3FB0D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6" name="Picture 2" descr="검정로고만">
          <a:extLst>
            <a:ext uri="{FF2B5EF4-FFF2-40B4-BE49-F238E27FC236}">
              <a16:creationId xmlns:a16="http://schemas.microsoft.com/office/drawing/2014/main" id="{A372635D-E379-4FF8-813D-6CE1C892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7" name="Picture 2" descr="검정로고만">
          <a:extLst>
            <a:ext uri="{FF2B5EF4-FFF2-40B4-BE49-F238E27FC236}">
              <a16:creationId xmlns:a16="http://schemas.microsoft.com/office/drawing/2014/main" id="{C00B22BC-A158-4C60-8967-2B29800E3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8" name="Picture 2" descr="검정로고만">
          <a:extLst>
            <a:ext uri="{FF2B5EF4-FFF2-40B4-BE49-F238E27FC236}">
              <a16:creationId xmlns:a16="http://schemas.microsoft.com/office/drawing/2014/main" id="{76142E5E-5046-402D-93B0-EA25B4F18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69" name="Picture 2" descr="검정로고만">
          <a:extLst>
            <a:ext uri="{FF2B5EF4-FFF2-40B4-BE49-F238E27FC236}">
              <a16:creationId xmlns:a16="http://schemas.microsoft.com/office/drawing/2014/main" id="{26BD0AC9-CC72-4153-B13C-EF06CB869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0" name="Picture 2" descr="검정로고만">
          <a:extLst>
            <a:ext uri="{FF2B5EF4-FFF2-40B4-BE49-F238E27FC236}">
              <a16:creationId xmlns:a16="http://schemas.microsoft.com/office/drawing/2014/main" id="{90E05306-07CB-46DC-B57D-8AE700329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471" name="Picture 3" descr="검정 글씨만">
          <a:extLst>
            <a:ext uri="{FF2B5EF4-FFF2-40B4-BE49-F238E27FC236}">
              <a16:creationId xmlns:a16="http://schemas.microsoft.com/office/drawing/2014/main" id="{C04CBA3F-E608-4953-B3E0-BD6626DEC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2" name="Picture 2" descr="검정로고만">
          <a:extLst>
            <a:ext uri="{FF2B5EF4-FFF2-40B4-BE49-F238E27FC236}">
              <a16:creationId xmlns:a16="http://schemas.microsoft.com/office/drawing/2014/main" id="{FF36A92C-9489-47C1-B391-2563AD273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3" name="Picture 2" descr="검정로고만">
          <a:extLst>
            <a:ext uri="{FF2B5EF4-FFF2-40B4-BE49-F238E27FC236}">
              <a16:creationId xmlns:a16="http://schemas.microsoft.com/office/drawing/2014/main" id="{1BB58536-F360-4361-99FC-0271884A9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4" name="Picture 2" descr="검정로고만">
          <a:extLst>
            <a:ext uri="{FF2B5EF4-FFF2-40B4-BE49-F238E27FC236}">
              <a16:creationId xmlns:a16="http://schemas.microsoft.com/office/drawing/2014/main" id="{76A9867E-B643-493B-898B-70AB0124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5" name="Picture 2" descr="검정로고만">
          <a:extLst>
            <a:ext uri="{FF2B5EF4-FFF2-40B4-BE49-F238E27FC236}">
              <a16:creationId xmlns:a16="http://schemas.microsoft.com/office/drawing/2014/main" id="{7E42787D-0EE2-4B24-9670-1D646A641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6" name="Picture 2" descr="검정로고만">
          <a:extLst>
            <a:ext uri="{FF2B5EF4-FFF2-40B4-BE49-F238E27FC236}">
              <a16:creationId xmlns:a16="http://schemas.microsoft.com/office/drawing/2014/main" id="{10A137C3-3590-4F47-A14F-02742C72C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7" name="Picture 2" descr="검정로고만">
          <a:extLst>
            <a:ext uri="{FF2B5EF4-FFF2-40B4-BE49-F238E27FC236}">
              <a16:creationId xmlns:a16="http://schemas.microsoft.com/office/drawing/2014/main" id="{E6285021-F14D-42BC-B5AB-39A606E57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8" name="Picture 2" descr="검정로고만">
          <a:extLst>
            <a:ext uri="{FF2B5EF4-FFF2-40B4-BE49-F238E27FC236}">
              <a16:creationId xmlns:a16="http://schemas.microsoft.com/office/drawing/2014/main" id="{5EDBA8B5-1339-433D-A97B-72913461A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79" name="Picture 2" descr="검정로고만">
          <a:extLst>
            <a:ext uri="{FF2B5EF4-FFF2-40B4-BE49-F238E27FC236}">
              <a16:creationId xmlns:a16="http://schemas.microsoft.com/office/drawing/2014/main" id="{FD3AB0DD-B3E4-4947-BE98-D9DACD54B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480" name="Picture 3" descr="검정 글씨만">
          <a:extLst>
            <a:ext uri="{FF2B5EF4-FFF2-40B4-BE49-F238E27FC236}">
              <a16:creationId xmlns:a16="http://schemas.microsoft.com/office/drawing/2014/main" id="{1F91C537-354D-4C1F-92D2-8C7DB8A60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1" name="Picture 2" descr="검정로고만">
          <a:extLst>
            <a:ext uri="{FF2B5EF4-FFF2-40B4-BE49-F238E27FC236}">
              <a16:creationId xmlns:a16="http://schemas.microsoft.com/office/drawing/2014/main" id="{37FB965D-6DDF-4268-9DD9-E3A6E824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2" name="Picture 2" descr="검정로고만">
          <a:extLst>
            <a:ext uri="{FF2B5EF4-FFF2-40B4-BE49-F238E27FC236}">
              <a16:creationId xmlns:a16="http://schemas.microsoft.com/office/drawing/2014/main" id="{C20EEC55-C9ED-43B1-9224-F832C042F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3" name="Picture 2" descr="검정로고만">
          <a:extLst>
            <a:ext uri="{FF2B5EF4-FFF2-40B4-BE49-F238E27FC236}">
              <a16:creationId xmlns:a16="http://schemas.microsoft.com/office/drawing/2014/main" id="{7785CBED-72EF-4935-9B85-561BF8CD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4" name="Picture 2" descr="검정로고만">
          <a:extLst>
            <a:ext uri="{FF2B5EF4-FFF2-40B4-BE49-F238E27FC236}">
              <a16:creationId xmlns:a16="http://schemas.microsoft.com/office/drawing/2014/main" id="{88A99EB8-46F5-4422-B108-A9C0081AA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5" name="Picture 2" descr="검정로고만">
          <a:extLst>
            <a:ext uri="{FF2B5EF4-FFF2-40B4-BE49-F238E27FC236}">
              <a16:creationId xmlns:a16="http://schemas.microsoft.com/office/drawing/2014/main" id="{3D6780E6-23D1-432C-AB6C-E1F894460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6" name="Picture 2" descr="검정로고만">
          <a:extLst>
            <a:ext uri="{FF2B5EF4-FFF2-40B4-BE49-F238E27FC236}">
              <a16:creationId xmlns:a16="http://schemas.microsoft.com/office/drawing/2014/main" id="{A27ED397-C119-405E-96BF-41BC432E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7" name="Picture 2" descr="검정로고만">
          <a:extLst>
            <a:ext uri="{FF2B5EF4-FFF2-40B4-BE49-F238E27FC236}">
              <a16:creationId xmlns:a16="http://schemas.microsoft.com/office/drawing/2014/main" id="{BBF93582-AFA2-4ECE-90D4-B6C1A0436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8" name="Picture 2" descr="검정로고만">
          <a:extLst>
            <a:ext uri="{FF2B5EF4-FFF2-40B4-BE49-F238E27FC236}">
              <a16:creationId xmlns:a16="http://schemas.microsoft.com/office/drawing/2014/main" id="{08F988B3-32A4-48A5-9CDE-F1310D3C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89" name="Picture 2" descr="검정로고만">
          <a:extLst>
            <a:ext uri="{FF2B5EF4-FFF2-40B4-BE49-F238E27FC236}">
              <a16:creationId xmlns:a16="http://schemas.microsoft.com/office/drawing/2014/main" id="{B44F1FCE-86D8-46CA-AB56-CB01223DD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0" name="Picture 2" descr="검정로고만">
          <a:extLst>
            <a:ext uri="{FF2B5EF4-FFF2-40B4-BE49-F238E27FC236}">
              <a16:creationId xmlns:a16="http://schemas.microsoft.com/office/drawing/2014/main" id="{FDB9E744-82EA-493C-9C87-73600C824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1" name="Picture 2" descr="검정로고만">
          <a:extLst>
            <a:ext uri="{FF2B5EF4-FFF2-40B4-BE49-F238E27FC236}">
              <a16:creationId xmlns:a16="http://schemas.microsoft.com/office/drawing/2014/main" id="{0E0AA5E3-A8C4-4ADA-BFA1-46045B3E6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2" name="Picture 2" descr="검정로고만">
          <a:extLst>
            <a:ext uri="{FF2B5EF4-FFF2-40B4-BE49-F238E27FC236}">
              <a16:creationId xmlns:a16="http://schemas.microsoft.com/office/drawing/2014/main" id="{395E962D-E0BA-4E25-92A3-E02CEA140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3" name="Picture 2" descr="검정로고만">
          <a:extLst>
            <a:ext uri="{FF2B5EF4-FFF2-40B4-BE49-F238E27FC236}">
              <a16:creationId xmlns:a16="http://schemas.microsoft.com/office/drawing/2014/main" id="{8BCCC2A8-2C70-456C-92AA-F0F55EB5F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4" name="Picture 2" descr="검정로고만">
          <a:extLst>
            <a:ext uri="{FF2B5EF4-FFF2-40B4-BE49-F238E27FC236}">
              <a16:creationId xmlns:a16="http://schemas.microsoft.com/office/drawing/2014/main" id="{3CA02569-AB7E-47BD-BEE3-6E89169AD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5" name="Picture 2" descr="검정로고만">
          <a:extLst>
            <a:ext uri="{FF2B5EF4-FFF2-40B4-BE49-F238E27FC236}">
              <a16:creationId xmlns:a16="http://schemas.microsoft.com/office/drawing/2014/main" id="{F2034B80-6C6D-4ACF-925D-CE49B1AF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6" name="Picture 2" descr="검정로고만">
          <a:extLst>
            <a:ext uri="{FF2B5EF4-FFF2-40B4-BE49-F238E27FC236}">
              <a16:creationId xmlns:a16="http://schemas.microsoft.com/office/drawing/2014/main" id="{FBFFFC90-4B49-436E-943F-56C25E3CB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7" name="Picture 2" descr="검정로고만">
          <a:extLst>
            <a:ext uri="{FF2B5EF4-FFF2-40B4-BE49-F238E27FC236}">
              <a16:creationId xmlns:a16="http://schemas.microsoft.com/office/drawing/2014/main" id="{7F043EF5-C10D-4E30-8092-ABDD1599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8" name="Picture 2" descr="검정로고만">
          <a:extLst>
            <a:ext uri="{FF2B5EF4-FFF2-40B4-BE49-F238E27FC236}">
              <a16:creationId xmlns:a16="http://schemas.microsoft.com/office/drawing/2014/main" id="{55B302F6-830F-4C14-B74A-A2C2CFCB9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499" name="Picture 2" descr="검정로고만">
          <a:extLst>
            <a:ext uri="{FF2B5EF4-FFF2-40B4-BE49-F238E27FC236}">
              <a16:creationId xmlns:a16="http://schemas.microsoft.com/office/drawing/2014/main" id="{DAE9B4EF-3E18-42D8-B130-5F2BB1E5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0" name="Picture 2" descr="검정로고만">
          <a:extLst>
            <a:ext uri="{FF2B5EF4-FFF2-40B4-BE49-F238E27FC236}">
              <a16:creationId xmlns:a16="http://schemas.microsoft.com/office/drawing/2014/main" id="{52FCFBB3-FC2C-4B2D-9B84-AF34AE9E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1" name="Picture 2" descr="검정로고만">
          <a:extLst>
            <a:ext uri="{FF2B5EF4-FFF2-40B4-BE49-F238E27FC236}">
              <a16:creationId xmlns:a16="http://schemas.microsoft.com/office/drawing/2014/main" id="{DF1A109A-B354-4029-B09C-C5191750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2" name="Picture 2" descr="검정로고만">
          <a:extLst>
            <a:ext uri="{FF2B5EF4-FFF2-40B4-BE49-F238E27FC236}">
              <a16:creationId xmlns:a16="http://schemas.microsoft.com/office/drawing/2014/main" id="{C646434C-7F5C-4F10-BE12-E6FBCD79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3" name="Picture 2" descr="검정로고만">
          <a:extLst>
            <a:ext uri="{FF2B5EF4-FFF2-40B4-BE49-F238E27FC236}">
              <a16:creationId xmlns:a16="http://schemas.microsoft.com/office/drawing/2014/main" id="{7C6E4DFD-311A-48D7-8E7F-CFC65E160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4" name="Picture 2" descr="검정로고만">
          <a:extLst>
            <a:ext uri="{FF2B5EF4-FFF2-40B4-BE49-F238E27FC236}">
              <a16:creationId xmlns:a16="http://schemas.microsoft.com/office/drawing/2014/main" id="{AEC80AC0-3814-4D2F-9678-AE4BCBDD7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5" name="Picture 2" descr="검정로고만">
          <a:extLst>
            <a:ext uri="{FF2B5EF4-FFF2-40B4-BE49-F238E27FC236}">
              <a16:creationId xmlns:a16="http://schemas.microsoft.com/office/drawing/2014/main" id="{01EC286B-EC49-414E-8020-3BCF5A95D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6" name="Picture 2" descr="검정로고만">
          <a:extLst>
            <a:ext uri="{FF2B5EF4-FFF2-40B4-BE49-F238E27FC236}">
              <a16:creationId xmlns:a16="http://schemas.microsoft.com/office/drawing/2014/main" id="{72073DAA-D45E-4348-8E5F-D70A70118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7" name="Picture 2" descr="검정로고만">
          <a:extLst>
            <a:ext uri="{FF2B5EF4-FFF2-40B4-BE49-F238E27FC236}">
              <a16:creationId xmlns:a16="http://schemas.microsoft.com/office/drawing/2014/main" id="{FB5A2B3B-968F-4E32-A0D6-9350FDCCB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8" name="Picture 2" descr="검정로고만">
          <a:extLst>
            <a:ext uri="{FF2B5EF4-FFF2-40B4-BE49-F238E27FC236}">
              <a16:creationId xmlns:a16="http://schemas.microsoft.com/office/drawing/2014/main" id="{2479F84D-80CC-4614-B866-ACBCF933A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09" name="Picture 2" descr="검정로고만">
          <a:extLst>
            <a:ext uri="{FF2B5EF4-FFF2-40B4-BE49-F238E27FC236}">
              <a16:creationId xmlns:a16="http://schemas.microsoft.com/office/drawing/2014/main" id="{C30E2A3B-70FC-4C31-973E-75AB789D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0" name="Picture 2" descr="검정로고만">
          <a:extLst>
            <a:ext uri="{FF2B5EF4-FFF2-40B4-BE49-F238E27FC236}">
              <a16:creationId xmlns:a16="http://schemas.microsoft.com/office/drawing/2014/main" id="{F93766AA-5DAC-4BAA-B6C0-093A3F99F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1" name="Picture 2" descr="검정로고만">
          <a:extLst>
            <a:ext uri="{FF2B5EF4-FFF2-40B4-BE49-F238E27FC236}">
              <a16:creationId xmlns:a16="http://schemas.microsoft.com/office/drawing/2014/main" id="{0F43CF75-806B-440F-A289-5B93210DA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2" name="Picture 2" descr="검정로고만">
          <a:extLst>
            <a:ext uri="{FF2B5EF4-FFF2-40B4-BE49-F238E27FC236}">
              <a16:creationId xmlns:a16="http://schemas.microsoft.com/office/drawing/2014/main" id="{02D9951A-FD0E-48F9-8933-7FD3E3E9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3" name="Picture 2" descr="검정로고만">
          <a:extLst>
            <a:ext uri="{FF2B5EF4-FFF2-40B4-BE49-F238E27FC236}">
              <a16:creationId xmlns:a16="http://schemas.microsoft.com/office/drawing/2014/main" id="{122B687E-21F9-4E15-929C-B3B69462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4" name="Picture 2" descr="검정로고만">
          <a:extLst>
            <a:ext uri="{FF2B5EF4-FFF2-40B4-BE49-F238E27FC236}">
              <a16:creationId xmlns:a16="http://schemas.microsoft.com/office/drawing/2014/main" id="{3F4F2C0F-D700-4C2F-B524-DA87E709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5" name="Picture 2" descr="검정로고만">
          <a:extLst>
            <a:ext uri="{FF2B5EF4-FFF2-40B4-BE49-F238E27FC236}">
              <a16:creationId xmlns:a16="http://schemas.microsoft.com/office/drawing/2014/main" id="{FE80AF90-E3AA-4CAF-AA1B-3F48F92F4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6" name="Picture 2" descr="검정로고만">
          <a:extLst>
            <a:ext uri="{FF2B5EF4-FFF2-40B4-BE49-F238E27FC236}">
              <a16:creationId xmlns:a16="http://schemas.microsoft.com/office/drawing/2014/main" id="{C5485564-FA76-44F0-98D8-97B1AD68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7" name="Picture 2" descr="검정로고만">
          <a:extLst>
            <a:ext uri="{FF2B5EF4-FFF2-40B4-BE49-F238E27FC236}">
              <a16:creationId xmlns:a16="http://schemas.microsoft.com/office/drawing/2014/main" id="{E15A1529-57AC-419B-A057-B18E35AB8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8" name="Picture 2" descr="검정로고만">
          <a:extLst>
            <a:ext uri="{FF2B5EF4-FFF2-40B4-BE49-F238E27FC236}">
              <a16:creationId xmlns:a16="http://schemas.microsoft.com/office/drawing/2014/main" id="{C04E4091-4A1F-4768-9AB8-E6BA52104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19" name="Picture 2" descr="검정로고만">
          <a:extLst>
            <a:ext uri="{FF2B5EF4-FFF2-40B4-BE49-F238E27FC236}">
              <a16:creationId xmlns:a16="http://schemas.microsoft.com/office/drawing/2014/main" id="{BC46E3B2-A769-4C66-B215-3A9B5D120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0" name="Picture 2" descr="검정로고만">
          <a:extLst>
            <a:ext uri="{FF2B5EF4-FFF2-40B4-BE49-F238E27FC236}">
              <a16:creationId xmlns:a16="http://schemas.microsoft.com/office/drawing/2014/main" id="{C6375A6F-503A-4CE6-B41A-717EC3411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521" name="Picture 3" descr="검정 글씨만">
          <a:extLst>
            <a:ext uri="{FF2B5EF4-FFF2-40B4-BE49-F238E27FC236}">
              <a16:creationId xmlns:a16="http://schemas.microsoft.com/office/drawing/2014/main" id="{8D981E10-EB01-4FCA-B71A-82DDB49DB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2" name="Picture 2" descr="검정로고만">
          <a:extLst>
            <a:ext uri="{FF2B5EF4-FFF2-40B4-BE49-F238E27FC236}">
              <a16:creationId xmlns:a16="http://schemas.microsoft.com/office/drawing/2014/main" id="{29431A59-771E-4031-88D7-DA35F6C45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3" name="Picture 2" descr="검정로고만">
          <a:extLst>
            <a:ext uri="{FF2B5EF4-FFF2-40B4-BE49-F238E27FC236}">
              <a16:creationId xmlns:a16="http://schemas.microsoft.com/office/drawing/2014/main" id="{FB75C4CD-F608-4D99-A490-720ACE003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4" name="Picture 2" descr="검정로고만">
          <a:extLst>
            <a:ext uri="{FF2B5EF4-FFF2-40B4-BE49-F238E27FC236}">
              <a16:creationId xmlns:a16="http://schemas.microsoft.com/office/drawing/2014/main" id="{4CB80064-CC0E-4103-A08B-A0E34E66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5" name="Picture 2" descr="검정로고만">
          <a:extLst>
            <a:ext uri="{FF2B5EF4-FFF2-40B4-BE49-F238E27FC236}">
              <a16:creationId xmlns:a16="http://schemas.microsoft.com/office/drawing/2014/main" id="{26FCCF77-A54A-4EF9-839A-3CA5CF9D8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6" name="Picture 2" descr="검정로고만">
          <a:extLst>
            <a:ext uri="{FF2B5EF4-FFF2-40B4-BE49-F238E27FC236}">
              <a16:creationId xmlns:a16="http://schemas.microsoft.com/office/drawing/2014/main" id="{BC35E7E4-A040-4F68-94E3-B292EB0F9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7" name="Picture 2" descr="검정로고만">
          <a:extLst>
            <a:ext uri="{FF2B5EF4-FFF2-40B4-BE49-F238E27FC236}">
              <a16:creationId xmlns:a16="http://schemas.microsoft.com/office/drawing/2014/main" id="{9BD6E211-DCB0-4A70-BAC2-613065998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8" name="Picture 2" descr="검정로고만">
          <a:extLst>
            <a:ext uri="{FF2B5EF4-FFF2-40B4-BE49-F238E27FC236}">
              <a16:creationId xmlns:a16="http://schemas.microsoft.com/office/drawing/2014/main" id="{56B92497-E4DE-4B89-B465-A7FA7E376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29" name="Picture 2" descr="검정로고만">
          <a:extLst>
            <a:ext uri="{FF2B5EF4-FFF2-40B4-BE49-F238E27FC236}">
              <a16:creationId xmlns:a16="http://schemas.microsoft.com/office/drawing/2014/main" id="{2BF35410-4C44-446E-8166-23E4E630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530" name="Picture 3" descr="검정 글씨만">
          <a:extLst>
            <a:ext uri="{FF2B5EF4-FFF2-40B4-BE49-F238E27FC236}">
              <a16:creationId xmlns:a16="http://schemas.microsoft.com/office/drawing/2014/main" id="{6EF83BA9-7A98-4A42-AAD5-1C25D18EC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1" name="Picture 2" descr="검정로고만">
          <a:extLst>
            <a:ext uri="{FF2B5EF4-FFF2-40B4-BE49-F238E27FC236}">
              <a16:creationId xmlns:a16="http://schemas.microsoft.com/office/drawing/2014/main" id="{294FFDF7-3A70-4B64-A500-4BFA6DD67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2" name="Picture 2" descr="검정로고만">
          <a:extLst>
            <a:ext uri="{FF2B5EF4-FFF2-40B4-BE49-F238E27FC236}">
              <a16:creationId xmlns:a16="http://schemas.microsoft.com/office/drawing/2014/main" id="{AAA8C57E-9E59-4109-865C-54C8936A1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3" name="Picture 2" descr="검정로고만">
          <a:extLst>
            <a:ext uri="{FF2B5EF4-FFF2-40B4-BE49-F238E27FC236}">
              <a16:creationId xmlns:a16="http://schemas.microsoft.com/office/drawing/2014/main" id="{EFBA0BC3-7DCC-4C87-86F2-833BB83C3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4" name="Picture 2" descr="검정로고만">
          <a:extLst>
            <a:ext uri="{FF2B5EF4-FFF2-40B4-BE49-F238E27FC236}">
              <a16:creationId xmlns:a16="http://schemas.microsoft.com/office/drawing/2014/main" id="{27D3922C-8A34-4CE8-BD2E-F0FB64E8F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5" name="Picture 2" descr="검정로고만">
          <a:extLst>
            <a:ext uri="{FF2B5EF4-FFF2-40B4-BE49-F238E27FC236}">
              <a16:creationId xmlns:a16="http://schemas.microsoft.com/office/drawing/2014/main" id="{765DA0B1-0086-4957-BA7A-3649FD042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6" name="Picture 2" descr="검정로고만">
          <a:extLst>
            <a:ext uri="{FF2B5EF4-FFF2-40B4-BE49-F238E27FC236}">
              <a16:creationId xmlns:a16="http://schemas.microsoft.com/office/drawing/2014/main" id="{119F53E8-28AB-4C9A-A0C4-7352CF6C0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7" name="Picture 2" descr="검정로고만">
          <a:extLst>
            <a:ext uri="{FF2B5EF4-FFF2-40B4-BE49-F238E27FC236}">
              <a16:creationId xmlns:a16="http://schemas.microsoft.com/office/drawing/2014/main" id="{5BFD3A71-D1AD-455C-A4DA-57E1BADAE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38" name="Picture 2" descr="검정로고만">
          <a:extLst>
            <a:ext uri="{FF2B5EF4-FFF2-40B4-BE49-F238E27FC236}">
              <a16:creationId xmlns:a16="http://schemas.microsoft.com/office/drawing/2014/main" id="{186A022B-B5D1-4147-BC27-3E01BD5EC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539" name="Picture 3" descr="검정 글씨만">
          <a:extLst>
            <a:ext uri="{FF2B5EF4-FFF2-40B4-BE49-F238E27FC236}">
              <a16:creationId xmlns:a16="http://schemas.microsoft.com/office/drawing/2014/main" id="{082FBFB4-C883-4E07-83AD-B2796E198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0" name="Picture 2" descr="검정로고만">
          <a:extLst>
            <a:ext uri="{FF2B5EF4-FFF2-40B4-BE49-F238E27FC236}">
              <a16:creationId xmlns:a16="http://schemas.microsoft.com/office/drawing/2014/main" id="{2CE60200-60C0-4A00-A39B-0A3D17A42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1" name="Picture 2" descr="검정로고만">
          <a:extLst>
            <a:ext uri="{FF2B5EF4-FFF2-40B4-BE49-F238E27FC236}">
              <a16:creationId xmlns:a16="http://schemas.microsoft.com/office/drawing/2014/main" id="{CFE41D91-3ABA-4570-8DF5-8F5CE8249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2" name="Picture 2" descr="검정로고만">
          <a:extLst>
            <a:ext uri="{FF2B5EF4-FFF2-40B4-BE49-F238E27FC236}">
              <a16:creationId xmlns:a16="http://schemas.microsoft.com/office/drawing/2014/main" id="{9B012607-7652-4CB3-84ED-01BAA8208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3" name="Picture 2" descr="검정로고만">
          <a:extLst>
            <a:ext uri="{FF2B5EF4-FFF2-40B4-BE49-F238E27FC236}">
              <a16:creationId xmlns:a16="http://schemas.microsoft.com/office/drawing/2014/main" id="{01FB8EB0-F446-492A-8CAE-C806B153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4" name="Picture 2" descr="검정로고만">
          <a:extLst>
            <a:ext uri="{FF2B5EF4-FFF2-40B4-BE49-F238E27FC236}">
              <a16:creationId xmlns:a16="http://schemas.microsoft.com/office/drawing/2014/main" id="{A8D5F581-A2E3-4265-ABB2-906D59AED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5" name="Picture 2" descr="검정로고만">
          <a:extLst>
            <a:ext uri="{FF2B5EF4-FFF2-40B4-BE49-F238E27FC236}">
              <a16:creationId xmlns:a16="http://schemas.microsoft.com/office/drawing/2014/main" id="{46AF33E2-6136-401B-8741-7AB0D9561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6" name="Picture 2" descr="검정로고만">
          <a:extLst>
            <a:ext uri="{FF2B5EF4-FFF2-40B4-BE49-F238E27FC236}">
              <a16:creationId xmlns:a16="http://schemas.microsoft.com/office/drawing/2014/main" id="{E12A9975-F823-4041-A461-59BB8E093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7" name="Picture 2" descr="검정로고만">
          <a:extLst>
            <a:ext uri="{FF2B5EF4-FFF2-40B4-BE49-F238E27FC236}">
              <a16:creationId xmlns:a16="http://schemas.microsoft.com/office/drawing/2014/main" id="{DD79B182-C4B0-44FD-BC10-D8D01BC53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8" name="Picture 2" descr="검정로고만">
          <a:extLst>
            <a:ext uri="{FF2B5EF4-FFF2-40B4-BE49-F238E27FC236}">
              <a16:creationId xmlns:a16="http://schemas.microsoft.com/office/drawing/2014/main" id="{F1E37641-503A-4A75-91AB-BA147859A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49" name="Picture 2" descr="검정로고만">
          <a:extLst>
            <a:ext uri="{FF2B5EF4-FFF2-40B4-BE49-F238E27FC236}">
              <a16:creationId xmlns:a16="http://schemas.microsoft.com/office/drawing/2014/main" id="{89F07B8E-7795-4D9B-ACB4-E4EFC2B0F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0" name="Picture 2" descr="검정로고만">
          <a:extLst>
            <a:ext uri="{FF2B5EF4-FFF2-40B4-BE49-F238E27FC236}">
              <a16:creationId xmlns:a16="http://schemas.microsoft.com/office/drawing/2014/main" id="{C04279F1-149C-4B4A-8607-8E7AAA612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1" name="Picture 2" descr="검정로고만">
          <a:extLst>
            <a:ext uri="{FF2B5EF4-FFF2-40B4-BE49-F238E27FC236}">
              <a16:creationId xmlns:a16="http://schemas.microsoft.com/office/drawing/2014/main" id="{4A1299EE-6BE8-4184-A18A-218C93AFE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2" name="Picture 2" descr="검정로고만">
          <a:extLst>
            <a:ext uri="{FF2B5EF4-FFF2-40B4-BE49-F238E27FC236}">
              <a16:creationId xmlns:a16="http://schemas.microsoft.com/office/drawing/2014/main" id="{3174C93A-E5D2-4825-BC63-30FAD7B15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3" name="Picture 2" descr="검정로고만">
          <a:extLst>
            <a:ext uri="{FF2B5EF4-FFF2-40B4-BE49-F238E27FC236}">
              <a16:creationId xmlns:a16="http://schemas.microsoft.com/office/drawing/2014/main" id="{608B7D57-72CD-4E58-9E39-7F14690FA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4" name="Picture 2" descr="검정로고만">
          <a:extLst>
            <a:ext uri="{FF2B5EF4-FFF2-40B4-BE49-F238E27FC236}">
              <a16:creationId xmlns:a16="http://schemas.microsoft.com/office/drawing/2014/main" id="{29483C80-F95A-413C-8332-FEC5E2CB6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5" name="Picture 2" descr="검정로고만">
          <a:extLst>
            <a:ext uri="{FF2B5EF4-FFF2-40B4-BE49-F238E27FC236}">
              <a16:creationId xmlns:a16="http://schemas.microsoft.com/office/drawing/2014/main" id="{95572394-4763-4399-B916-ECD3E75F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6" name="Picture 2" descr="검정로고만">
          <a:extLst>
            <a:ext uri="{FF2B5EF4-FFF2-40B4-BE49-F238E27FC236}">
              <a16:creationId xmlns:a16="http://schemas.microsoft.com/office/drawing/2014/main" id="{DBC3F348-9201-4252-8E8E-B467B5041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7" name="Picture 2" descr="검정로고만">
          <a:extLst>
            <a:ext uri="{FF2B5EF4-FFF2-40B4-BE49-F238E27FC236}">
              <a16:creationId xmlns:a16="http://schemas.microsoft.com/office/drawing/2014/main" id="{76A0BAEC-4AF7-45F3-856C-E79B67F55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8" name="Picture 2" descr="검정로고만">
          <a:extLst>
            <a:ext uri="{FF2B5EF4-FFF2-40B4-BE49-F238E27FC236}">
              <a16:creationId xmlns:a16="http://schemas.microsoft.com/office/drawing/2014/main" id="{8BD0686D-E193-49FC-BBCA-5AC20913B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59" name="Picture 2" descr="검정로고만">
          <a:extLst>
            <a:ext uri="{FF2B5EF4-FFF2-40B4-BE49-F238E27FC236}">
              <a16:creationId xmlns:a16="http://schemas.microsoft.com/office/drawing/2014/main" id="{2BFB53D5-9EE1-4D71-A62F-E539EE5D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0" name="Picture 2" descr="검정로고만">
          <a:extLst>
            <a:ext uri="{FF2B5EF4-FFF2-40B4-BE49-F238E27FC236}">
              <a16:creationId xmlns:a16="http://schemas.microsoft.com/office/drawing/2014/main" id="{8B6B63D2-145A-4442-A23A-CC5A97D6B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1" name="Picture 2" descr="검정로고만">
          <a:extLst>
            <a:ext uri="{FF2B5EF4-FFF2-40B4-BE49-F238E27FC236}">
              <a16:creationId xmlns:a16="http://schemas.microsoft.com/office/drawing/2014/main" id="{0F9E517B-9FE0-452E-8FDB-C44445E7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2" name="Picture 2" descr="검정로고만">
          <a:extLst>
            <a:ext uri="{FF2B5EF4-FFF2-40B4-BE49-F238E27FC236}">
              <a16:creationId xmlns:a16="http://schemas.microsoft.com/office/drawing/2014/main" id="{D1749064-AD05-4A9B-ABE1-7ACCC15FB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3" name="Picture 2" descr="검정로고만">
          <a:extLst>
            <a:ext uri="{FF2B5EF4-FFF2-40B4-BE49-F238E27FC236}">
              <a16:creationId xmlns:a16="http://schemas.microsoft.com/office/drawing/2014/main" id="{BA81F328-9612-447E-8321-1C75E6F1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4" name="Picture 2" descr="검정로고만">
          <a:extLst>
            <a:ext uri="{FF2B5EF4-FFF2-40B4-BE49-F238E27FC236}">
              <a16:creationId xmlns:a16="http://schemas.microsoft.com/office/drawing/2014/main" id="{B0440ECC-E019-4986-A738-1413BD9A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5" name="Picture 2" descr="검정로고만">
          <a:extLst>
            <a:ext uri="{FF2B5EF4-FFF2-40B4-BE49-F238E27FC236}">
              <a16:creationId xmlns:a16="http://schemas.microsoft.com/office/drawing/2014/main" id="{0124AA33-ECD5-4CFD-A3D4-A4658E51B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6" name="Picture 2" descr="검정로고만">
          <a:extLst>
            <a:ext uri="{FF2B5EF4-FFF2-40B4-BE49-F238E27FC236}">
              <a16:creationId xmlns:a16="http://schemas.microsoft.com/office/drawing/2014/main" id="{71A013A4-6734-4490-9060-74A08602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7" name="Picture 2" descr="검정로고만">
          <a:extLst>
            <a:ext uri="{FF2B5EF4-FFF2-40B4-BE49-F238E27FC236}">
              <a16:creationId xmlns:a16="http://schemas.microsoft.com/office/drawing/2014/main" id="{7F25D222-9B02-4756-999F-7E2FE4E1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8" name="Picture 2" descr="검정로고만">
          <a:extLst>
            <a:ext uri="{FF2B5EF4-FFF2-40B4-BE49-F238E27FC236}">
              <a16:creationId xmlns:a16="http://schemas.microsoft.com/office/drawing/2014/main" id="{B0569D8D-F4B6-4869-BEFA-82D8FF740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69" name="Picture 2" descr="검정로고만">
          <a:extLst>
            <a:ext uri="{FF2B5EF4-FFF2-40B4-BE49-F238E27FC236}">
              <a16:creationId xmlns:a16="http://schemas.microsoft.com/office/drawing/2014/main" id="{2DC95112-B4CF-45E7-AF33-6B1F03674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0" name="Picture 2" descr="검정로고만">
          <a:extLst>
            <a:ext uri="{FF2B5EF4-FFF2-40B4-BE49-F238E27FC236}">
              <a16:creationId xmlns:a16="http://schemas.microsoft.com/office/drawing/2014/main" id="{5366D5B6-E4CA-4419-888C-37D8553E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1" name="Picture 2" descr="검정로고만">
          <a:extLst>
            <a:ext uri="{FF2B5EF4-FFF2-40B4-BE49-F238E27FC236}">
              <a16:creationId xmlns:a16="http://schemas.microsoft.com/office/drawing/2014/main" id="{889FD016-F7D6-47AA-A7DC-1A97DA227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2" name="Picture 2" descr="검정로고만">
          <a:extLst>
            <a:ext uri="{FF2B5EF4-FFF2-40B4-BE49-F238E27FC236}">
              <a16:creationId xmlns:a16="http://schemas.microsoft.com/office/drawing/2014/main" id="{8601E3A6-8B4B-4A31-BBF0-39A142A7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3" name="Picture 2" descr="검정로고만">
          <a:extLst>
            <a:ext uri="{FF2B5EF4-FFF2-40B4-BE49-F238E27FC236}">
              <a16:creationId xmlns:a16="http://schemas.microsoft.com/office/drawing/2014/main" id="{2BFE193A-E085-43EC-8B62-A00D7741F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4" name="Picture 2" descr="검정로고만">
          <a:extLst>
            <a:ext uri="{FF2B5EF4-FFF2-40B4-BE49-F238E27FC236}">
              <a16:creationId xmlns:a16="http://schemas.microsoft.com/office/drawing/2014/main" id="{E9F598DE-3E55-4DDF-BD2E-0D56DEC13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5" name="Picture 2" descr="검정로고만">
          <a:extLst>
            <a:ext uri="{FF2B5EF4-FFF2-40B4-BE49-F238E27FC236}">
              <a16:creationId xmlns:a16="http://schemas.microsoft.com/office/drawing/2014/main" id="{DF2402A9-F7AF-4042-9670-2A4DCD62D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6" name="Picture 2" descr="검정로고만">
          <a:extLst>
            <a:ext uri="{FF2B5EF4-FFF2-40B4-BE49-F238E27FC236}">
              <a16:creationId xmlns:a16="http://schemas.microsoft.com/office/drawing/2014/main" id="{62526190-1A3F-4863-8EDE-109DD95EE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7" name="Picture 2" descr="검정로고만">
          <a:extLst>
            <a:ext uri="{FF2B5EF4-FFF2-40B4-BE49-F238E27FC236}">
              <a16:creationId xmlns:a16="http://schemas.microsoft.com/office/drawing/2014/main" id="{E3B37787-1E10-425B-98F1-6DEF80F9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8" name="Picture 2" descr="검정로고만">
          <a:extLst>
            <a:ext uri="{FF2B5EF4-FFF2-40B4-BE49-F238E27FC236}">
              <a16:creationId xmlns:a16="http://schemas.microsoft.com/office/drawing/2014/main" id="{E1A45EC1-700C-4F13-8F18-224ABEE20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79" name="Picture 2" descr="검정로고만">
          <a:extLst>
            <a:ext uri="{FF2B5EF4-FFF2-40B4-BE49-F238E27FC236}">
              <a16:creationId xmlns:a16="http://schemas.microsoft.com/office/drawing/2014/main" id="{C2599181-0770-405C-95BD-26147A20A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580" name="Picture 3" descr="검정 글씨만">
          <a:extLst>
            <a:ext uri="{FF2B5EF4-FFF2-40B4-BE49-F238E27FC236}">
              <a16:creationId xmlns:a16="http://schemas.microsoft.com/office/drawing/2014/main" id="{7429333B-ADD4-4E11-80EE-28EC6446E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1" name="Picture 2" descr="검정로고만">
          <a:extLst>
            <a:ext uri="{FF2B5EF4-FFF2-40B4-BE49-F238E27FC236}">
              <a16:creationId xmlns:a16="http://schemas.microsoft.com/office/drawing/2014/main" id="{93D7F79C-6169-4C3B-BE5E-406AAF743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2" name="Picture 2" descr="검정로고만">
          <a:extLst>
            <a:ext uri="{FF2B5EF4-FFF2-40B4-BE49-F238E27FC236}">
              <a16:creationId xmlns:a16="http://schemas.microsoft.com/office/drawing/2014/main" id="{1E4C3E48-6904-4A5B-9202-3B8AFC478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3" name="Picture 2" descr="검정로고만">
          <a:extLst>
            <a:ext uri="{FF2B5EF4-FFF2-40B4-BE49-F238E27FC236}">
              <a16:creationId xmlns:a16="http://schemas.microsoft.com/office/drawing/2014/main" id="{6946C035-6C8A-4D7E-BFF5-5CE9E5AC0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4" name="Picture 2" descr="검정로고만">
          <a:extLst>
            <a:ext uri="{FF2B5EF4-FFF2-40B4-BE49-F238E27FC236}">
              <a16:creationId xmlns:a16="http://schemas.microsoft.com/office/drawing/2014/main" id="{FAC2E33E-24BA-49CC-8578-E268FFD68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5" name="Picture 2" descr="검정로고만">
          <a:extLst>
            <a:ext uri="{FF2B5EF4-FFF2-40B4-BE49-F238E27FC236}">
              <a16:creationId xmlns:a16="http://schemas.microsoft.com/office/drawing/2014/main" id="{676CEA64-4FAC-4268-9C63-A40EC1E0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6" name="Picture 2" descr="검정로고만">
          <a:extLst>
            <a:ext uri="{FF2B5EF4-FFF2-40B4-BE49-F238E27FC236}">
              <a16:creationId xmlns:a16="http://schemas.microsoft.com/office/drawing/2014/main" id="{8D0F3702-0AE5-4621-8DC3-30D506B2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7" name="Picture 2" descr="검정로고만">
          <a:extLst>
            <a:ext uri="{FF2B5EF4-FFF2-40B4-BE49-F238E27FC236}">
              <a16:creationId xmlns:a16="http://schemas.microsoft.com/office/drawing/2014/main" id="{233C61B1-3725-4A2D-80DC-B4E6E791D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88" name="Picture 2" descr="검정로고만">
          <a:extLst>
            <a:ext uri="{FF2B5EF4-FFF2-40B4-BE49-F238E27FC236}">
              <a16:creationId xmlns:a16="http://schemas.microsoft.com/office/drawing/2014/main" id="{E38551BA-DE7E-4AA5-8304-88E9327A6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589" name="Picture 3" descr="검정 글씨만">
          <a:extLst>
            <a:ext uri="{FF2B5EF4-FFF2-40B4-BE49-F238E27FC236}">
              <a16:creationId xmlns:a16="http://schemas.microsoft.com/office/drawing/2014/main" id="{69FA65FE-919B-41C8-A423-0573F34A8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0" name="Picture 2" descr="검정로고만">
          <a:extLst>
            <a:ext uri="{FF2B5EF4-FFF2-40B4-BE49-F238E27FC236}">
              <a16:creationId xmlns:a16="http://schemas.microsoft.com/office/drawing/2014/main" id="{0EF1F094-3CA5-47AF-9BA0-B415C0F08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1" name="Picture 2" descr="검정로고만">
          <a:extLst>
            <a:ext uri="{FF2B5EF4-FFF2-40B4-BE49-F238E27FC236}">
              <a16:creationId xmlns:a16="http://schemas.microsoft.com/office/drawing/2014/main" id="{E40CB21D-EB27-47B6-946D-1CADF142B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2" name="Picture 2" descr="검정로고만">
          <a:extLst>
            <a:ext uri="{FF2B5EF4-FFF2-40B4-BE49-F238E27FC236}">
              <a16:creationId xmlns:a16="http://schemas.microsoft.com/office/drawing/2014/main" id="{73AF9A2B-E0B9-4F7E-BCFB-FA9D2AFA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3" name="Picture 2" descr="검정로고만">
          <a:extLst>
            <a:ext uri="{FF2B5EF4-FFF2-40B4-BE49-F238E27FC236}">
              <a16:creationId xmlns:a16="http://schemas.microsoft.com/office/drawing/2014/main" id="{ADA938FA-7586-4DAE-97C3-629BA6B0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4" name="Picture 2" descr="검정로고만">
          <a:extLst>
            <a:ext uri="{FF2B5EF4-FFF2-40B4-BE49-F238E27FC236}">
              <a16:creationId xmlns:a16="http://schemas.microsoft.com/office/drawing/2014/main" id="{73B7CCF9-7D95-44C6-95FD-2B73C43B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5" name="Picture 2" descr="검정로고만">
          <a:extLst>
            <a:ext uri="{FF2B5EF4-FFF2-40B4-BE49-F238E27FC236}">
              <a16:creationId xmlns:a16="http://schemas.microsoft.com/office/drawing/2014/main" id="{03D41F0E-6218-49B0-8343-F65A42F4A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6" name="Picture 2" descr="검정로고만">
          <a:extLst>
            <a:ext uri="{FF2B5EF4-FFF2-40B4-BE49-F238E27FC236}">
              <a16:creationId xmlns:a16="http://schemas.microsoft.com/office/drawing/2014/main" id="{871D4576-9853-4E0E-824B-E56843406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7" name="Picture 2" descr="검정로고만">
          <a:extLst>
            <a:ext uri="{FF2B5EF4-FFF2-40B4-BE49-F238E27FC236}">
              <a16:creationId xmlns:a16="http://schemas.microsoft.com/office/drawing/2014/main" id="{AAF41178-981B-4B3A-9185-AECDF053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598" name="Picture 3" descr="검정 글씨만">
          <a:extLst>
            <a:ext uri="{FF2B5EF4-FFF2-40B4-BE49-F238E27FC236}">
              <a16:creationId xmlns:a16="http://schemas.microsoft.com/office/drawing/2014/main" id="{B696F250-235A-4A3D-A156-20DD0E76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599" name="Picture 2" descr="검정로고만">
          <a:extLst>
            <a:ext uri="{FF2B5EF4-FFF2-40B4-BE49-F238E27FC236}">
              <a16:creationId xmlns:a16="http://schemas.microsoft.com/office/drawing/2014/main" id="{2A57C28E-B9C0-47CA-966D-E5F3D2FD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0" name="Picture 2" descr="검정로고만">
          <a:extLst>
            <a:ext uri="{FF2B5EF4-FFF2-40B4-BE49-F238E27FC236}">
              <a16:creationId xmlns:a16="http://schemas.microsoft.com/office/drawing/2014/main" id="{5857D93E-AF6D-42B9-896E-B329D0248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1" name="Picture 2" descr="검정로고만">
          <a:extLst>
            <a:ext uri="{FF2B5EF4-FFF2-40B4-BE49-F238E27FC236}">
              <a16:creationId xmlns:a16="http://schemas.microsoft.com/office/drawing/2014/main" id="{2174954C-7D9C-4320-B467-645BA4705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2" name="Picture 2" descr="검정로고만">
          <a:extLst>
            <a:ext uri="{FF2B5EF4-FFF2-40B4-BE49-F238E27FC236}">
              <a16:creationId xmlns:a16="http://schemas.microsoft.com/office/drawing/2014/main" id="{C2DB09A9-88A6-4846-8D84-43C63ABF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3" name="Picture 2" descr="검정로고만">
          <a:extLst>
            <a:ext uri="{FF2B5EF4-FFF2-40B4-BE49-F238E27FC236}">
              <a16:creationId xmlns:a16="http://schemas.microsoft.com/office/drawing/2014/main" id="{D1B94E56-B59D-4158-BC14-4C13436FE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4" name="Picture 2" descr="검정로고만">
          <a:extLst>
            <a:ext uri="{FF2B5EF4-FFF2-40B4-BE49-F238E27FC236}">
              <a16:creationId xmlns:a16="http://schemas.microsoft.com/office/drawing/2014/main" id="{F2B35721-42AB-49E2-A03B-CE01F3ADD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5" name="Picture 2" descr="검정로고만">
          <a:extLst>
            <a:ext uri="{FF2B5EF4-FFF2-40B4-BE49-F238E27FC236}">
              <a16:creationId xmlns:a16="http://schemas.microsoft.com/office/drawing/2014/main" id="{CF06D60C-8AAA-4B1E-87A5-3885AE07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6" name="Picture 2" descr="검정로고만">
          <a:extLst>
            <a:ext uri="{FF2B5EF4-FFF2-40B4-BE49-F238E27FC236}">
              <a16:creationId xmlns:a16="http://schemas.microsoft.com/office/drawing/2014/main" id="{6F2B1C39-D3A8-48C0-8486-166F443C5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7" name="Picture 2" descr="검정로고만">
          <a:extLst>
            <a:ext uri="{FF2B5EF4-FFF2-40B4-BE49-F238E27FC236}">
              <a16:creationId xmlns:a16="http://schemas.microsoft.com/office/drawing/2014/main" id="{CDC9168C-3521-48D2-A977-A3E35C28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8" name="Picture 2" descr="검정로고만">
          <a:extLst>
            <a:ext uri="{FF2B5EF4-FFF2-40B4-BE49-F238E27FC236}">
              <a16:creationId xmlns:a16="http://schemas.microsoft.com/office/drawing/2014/main" id="{CB6E1BA0-8269-4415-AC3B-AD2A23C2E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09" name="Picture 2" descr="검정로고만">
          <a:extLst>
            <a:ext uri="{FF2B5EF4-FFF2-40B4-BE49-F238E27FC236}">
              <a16:creationId xmlns:a16="http://schemas.microsoft.com/office/drawing/2014/main" id="{3292B754-8B42-4915-B833-61989D86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0" name="Picture 2" descr="검정로고만">
          <a:extLst>
            <a:ext uri="{FF2B5EF4-FFF2-40B4-BE49-F238E27FC236}">
              <a16:creationId xmlns:a16="http://schemas.microsoft.com/office/drawing/2014/main" id="{71F09621-A464-4DCD-86F7-38970AE4D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1" name="Picture 2" descr="검정로고만">
          <a:extLst>
            <a:ext uri="{FF2B5EF4-FFF2-40B4-BE49-F238E27FC236}">
              <a16:creationId xmlns:a16="http://schemas.microsoft.com/office/drawing/2014/main" id="{BB4AED5A-99F8-48F6-91C0-08FEACEE8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2" name="Picture 2" descr="검정로고만">
          <a:extLst>
            <a:ext uri="{FF2B5EF4-FFF2-40B4-BE49-F238E27FC236}">
              <a16:creationId xmlns:a16="http://schemas.microsoft.com/office/drawing/2014/main" id="{2C17D34F-5EA4-47B6-A638-22AC1EAAC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3" name="Picture 2" descr="검정로고만">
          <a:extLst>
            <a:ext uri="{FF2B5EF4-FFF2-40B4-BE49-F238E27FC236}">
              <a16:creationId xmlns:a16="http://schemas.microsoft.com/office/drawing/2014/main" id="{8CCD6D59-9EFA-4E6B-AB98-98B4676C6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4" name="Picture 2" descr="검정로고만">
          <a:extLst>
            <a:ext uri="{FF2B5EF4-FFF2-40B4-BE49-F238E27FC236}">
              <a16:creationId xmlns:a16="http://schemas.microsoft.com/office/drawing/2014/main" id="{DEBD931F-CD88-4EDF-A201-31F1997C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5" name="Picture 2" descr="검정로고만">
          <a:extLst>
            <a:ext uri="{FF2B5EF4-FFF2-40B4-BE49-F238E27FC236}">
              <a16:creationId xmlns:a16="http://schemas.microsoft.com/office/drawing/2014/main" id="{89EF28DC-CDEB-4D51-A1F8-8CCE9C8C8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6" name="Picture 2" descr="검정로고만">
          <a:extLst>
            <a:ext uri="{FF2B5EF4-FFF2-40B4-BE49-F238E27FC236}">
              <a16:creationId xmlns:a16="http://schemas.microsoft.com/office/drawing/2014/main" id="{D74C0D10-9051-4A65-9635-894BA57FC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7" name="Picture 2" descr="검정로고만">
          <a:extLst>
            <a:ext uri="{FF2B5EF4-FFF2-40B4-BE49-F238E27FC236}">
              <a16:creationId xmlns:a16="http://schemas.microsoft.com/office/drawing/2014/main" id="{94EEAD76-BCA9-44CA-9168-1E7E7B858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8" name="Picture 2" descr="검정로고만">
          <a:extLst>
            <a:ext uri="{FF2B5EF4-FFF2-40B4-BE49-F238E27FC236}">
              <a16:creationId xmlns:a16="http://schemas.microsoft.com/office/drawing/2014/main" id="{0B79080B-7F0F-471A-9616-5992006B4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19" name="Picture 2" descr="검정로고만">
          <a:extLst>
            <a:ext uri="{FF2B5EF4-FFF2-40B4-BE49-F238E27FC236}">
              <a16:creationId xmlns:a16="http://schemas.microsoft.com/office/drawing/2014/main" id="{B156E217-06ED-4495-AD22-39528DB1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0" name="Picture 2" descr="검정로고만">
          <a:extLst>
            <a:ext uri="{FF2B5EF4-FFF2-40B4-BE49-F238E27FC236}">
              <a16:creationId xmlns:a16="http://schemas.microsoft.com/office/drawing/2014/main" id="{BE532B20-D6AF-4DD8-8C69-3A215AEC0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1" name="Picture 2" descr="검정로고만">
          <a:extLst>
            <a:ext uri="{FF2B5EF4-FFF2-40B4-BE49-F238E27FC236}">
              <a16:creationId xmlns:a16="http://schemas.microsoft.com/office/drawing/2014/main" id="{61C0FB16-03D0-4456-8518-9FEA7CC11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2" name="Picture 2" descr="검정로고만">
          <a:extLst>
            <a:ext uri="{FF2B5EF4-FFF2-40B4-BE49-F238E27FC236}">
              <a16:creationId xmlns:a16="http://schemas.microsoft.com/office/drawing/2014/main" id="{F7DD8BE1-DC79-4624-97FE-2967B59C6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3" name="Picture 2" descr="검정로고만">
          <a:extLst>
            <a:ext uri="{FF2B5EF4-FFF2-40B4-BE49-F238E27FC236}">
              <a16:creationId xmlns:a16="http://schemas.microsoft.com/office/drawing/2014/main" id="{FD870766-6AF9-4094-8EC6-6CDC15844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4" name="Picture 2" descr="검정로고만">
          <a:extLst>
            <a:ext uri="{FF2B5EF4-FFF2-40B4-BE49-F238E27FC236}">
              <a16:creationId xmlns:a16="http://schemas.microsoft.com/office/drawing/2014/main" id="{73D2D5A3-71FB-4B03-AF8C-6EE66329E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5" name="Picture 2" descr="검정로고만">
          <a:extLst>
            <a:ext uri="{FF2B5EF4-FFF2-40B4-BE49-F238E27FC236}">
              <a16:creationId xmlns:a16="http://schemas.microsoft.com/office/drawing/2014/main" id="{9E4CDFD9-CC57-4FFC-83D5-B777DEE0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6" name="Picture 2" descr="검정로고만">
          <a:extLst>
            <a:ext uri="{FF2B5EF4-FFF2-40B4-BE49-F238E27FC236}">
              <a16:creationId xmlns:a16="http://schemas.microsoft.com/office/drawing/2014/main" id="{F700B6ED-FD3C-4086-B952-92AA4282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7" name="Picture 2" descr="검정로고만">
          <a:extLst>
            <a:ext uri="{FF2B5EF4-FFF2-40B4-BE49-F238E27FC236}">
              <a16:creationId xmlns:a16="http://schemas.microsoft.com/office/drawing/2014/main" id="{0C3653F4-BCDA-46B9-BDB7-C3E50DCB0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8" name="Picture 2" descr="검정로고만">
          <a:extLst>
            <a:ext uri="{FF2B5EF4-FFF2-40B4-BE49-F238E27FC236}">
              <a16:creationId xmlns:a16="http://schemas.microsoft.com/office/drawing/2014/main" id="{A9E45E44-EE4A-416F-A850-8543A4A0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29" name="Picture 2" descr="검정로고만">
          <a:extLst>
            <a:ext uri="{FF2B5EF4-FFF2-40B4-BE49-F238E27FC236}">
              <a16:creationId xmlns:a16="http://schemas.microsoft.com/office/drawing/2014/main" id="{D8DE22F9-96A5-44C6-B4A6-11D032F66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0" name="Picture 2" descr="검정로고만">
          <a:extLst>
            <a:ext uri="{FF2B5EF4-FFF2-40B4-BE49-F238E27FC236}">
              <a16:creationId xmlns:a16="http://schemas.microsoft.com/office/drawing/2014/main" id="{7A71A1C1-831E-49FF-8D7F-FA6BEA154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1" name="Picture 2" descr="검정로고만">
          <a:extLst>
            <a:ext uri="{FF2B5EF4-FFF2-40B4-BE49-F238E27FC236}">
              <a16:creationId xmlns:a16="http://schemas.microsoft.com/office/drawing/2014/main" id="{1E996363-36A5-430A-973E-4B8849C7D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2" name="Picture 2" descr="검정로고만">
          <a:extLst>
            <a:ext uri="{FF2B5EF4-FFF2-40B4-BE49-F238E27FC236}">
              <a16:creationId xmlns:a16="http://schemas.microsoft.com/office/drawing/2014/main" id="{16E177EB-6512-4491-BECD-A424FAD1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3" name="Picture 2" descr="검정로고만">
          <a:extLst>
            <a:ext uri="{FF2B5EF4-FFF2-40B4-BE49-F238E27FC236}">
              <a16:creationId xmlns:a16="http://schemas.microsoft.com/office/drawing/2014/main" id="{2FA3D600-FB1E-474C-9E50-46FB66F8A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4" name="Picture 2" descr="검정로고만">
          <a:extLst>
            <a:ext uri="{FF2B5EF4-FFF2-40B4-BE49-F238E27FC236}">
              <a16:creationId xmlns:a16="http://schemas.microsoft.com/office/drawing/2014/main" id="{E38D4575-0AF1-442F-B66E-F124FB966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5" name="Picture 2" descr="검정로고만">
          <a:extLst>
            <a:ext uri="{FF2B5EF4-FFF2-40B4-BE49-F238E27FC236}">
              <a16:creationId xmlns:a16="http://schemas.microsoft.com/office/drawing/2014/main" id="{9EE60A24-DFD6-4E7F-BE70-78851089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6" name="Picture 2" descr="검정로고만">
          <a:extLst>
            <a:ext uri="{FF2B5EF4-FFF2-40B4-BE49-F238E27FC236}">
              <a16:creationId xmlns:a16="http://schemas.microsoft.com/office/drawing/2014/main" id="{D3352958-D807-4ED3-9537-97CF25CF0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7" name="Picture 2" descr="검정로고만">
          <a:extLst>
            <a:ext uri="{FF2B5EF4-FFF2-40B4-BE49-F238E27FC236}">
              <a16:creationId xmlns:a16="http://schemas.microsoft.com/office/drawing/2014/main" id="{1156ADC0-C4DD-440E-B0CB-5764FCEDC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38" name="Picture 2" descr="검정로고만">
          <a:extLst>
            <a:ext uri="{FF2B5EF4-FFF2-40B4-BE49-F238E27FC236}">
              <a16:creationId xmlns:a16="http://schemas.microsoft.com/office/drawing/2014/main" id="{DF4AD1F2-667A-4391-B346-4CB3B49D6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639" name="Picture 3" descr="검정 글씨만">
          <a:extLst>
            <a:ext uri="{FF2B5EF4-FFF2-40B4-BE49-F238E27FC236}">
              <a16:creationId xmlns:a16="http://schemas.microsoft.com/office/drawing/2014/main" id="{4E021735-09AE-4CB1-889A-F3FD07D06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0" name="Picture 2" descr="검정로고만">
          <a:extLst>
            <a:ext uri="{FF2B5EF4-FFF2-40B4-BE49-F238E27FC236}">
              <a16:creationId xmlns:a16="http://schemas.microsoft.com/office/drawing/2014/main" id="{311F8E45-BCF8-4CC9-8D77-4D5B9F01F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1" name="Picture 2" descr="검정로고만">
          <a:extLst>
            <a:ext uri="{FF2B5EF4-FFF2-40B4-BE49-F238E27FC236}">
              <a16:creationId xmlns:a16="http://schemas.microsoft.com/office/drawing/2014/main" id="{314A3C8A-5F77-4E47-8F9E-406570972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2" name="Picture 2" descr="검정로고만">
          <a:extLst>
            <a:ext uri="{FF2B5EF4-FFF2-40B4-BE49-F238E27FC236}">
              <a16:creationId xmlns:a16="http://schemas.microsoft.com/office/drawing/2014/main" id="{6FD6C1B6-33C1-4ECE-B5F1-ADD24A2F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3" name="Picture 2" descr="검정로고만">
          <a:extLst>
            <a:ext uri="{FF2B5EF4-FFF2-40B4-BE49-F238E27FC236}">
              <a16:creationId xmlns:a16="http://schemas.microsoft.com/office/drawing/2014/main" id="{D81E231F-B320-4236-959A-8FB49554E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4" name="Picture 2" descr="검정로고만">
          <a:extLst>
            <a:ext uri="{FF2B5EF4-FFF2-40B4-BE49-F238E27FC236}">
              <a16:creationId xmlns:a16="http://schemas.microsoft.com/office/drawing/2014/main" id="{4AB34F36-4600-47C9-8742-E7E7EBCC7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5" name="Picture 2" descr="검정로고만">
          <a:extLst>
            <a:ext uri="{FF2B5EF4-FFF2-40B4-BE49-F238E27FC236}">
              <a16:creationId xmlns:a16="http://schemas.microsoft.com/office/drawing/2014/main" id="{0E28A12C-2997-4F1E-BCEE-468058F5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6" name="Picture 2" descr="검정로고만">
          <a:extLst>
            <a:ext uri="{FF2B5EF4-FFF2-40B4-BE49-F238E27FC236}">
              <a16:creationId xmlns:a16="http://schemas.microsoft.com/office/drawing/2014/main" id="{A4C052AF-116C-4122-A5FD-A05F1839D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7" name="Picture 2" descr="검정로고만">
          <a:extLst>
            <a:ext uri="{FF2B5EF4-FFF2-40B4-BE49-F238E27FC236}">
              <a16:creationId xmlns:a16="http://schemas.microsoft.com/office/drawing/2014/main" id="{E0169633-9DB1-40AA-89F5-C8867296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648" name="Picture 3" descr="검정 글씨만">
          <a:extLst>
            <a:ext uri="{FF2B5EF4-FFF2-40B4-BE49-F238E27FC236}">
              <a16:creationId xmlns:a16="http://schemas.microsoft.com/office/drawing/2014/main" id="{9D087639-7398-4A17-B35A-6DE4EA4B3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49" name="Picture 2" descr="검정로고만">
          <a:extLst>
            <a:ext uri="{FF2B5EF4-FFF2-40B4-BE49-F238E27FC236}">
              <a16:creationId xmlns:a16="http://schemas.microsoft.com/office/drawing/2014/main" id="{C64503C0-6778-4D54-965F-DA81EFA47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0" name="Picture 2" descr="검정로고만">
          <a:extLst>
            <a:ext uri="{FF2B5EF4-FFF2-40B4-BE49-F238E27FC236}">
              <a16:creationId xmlns:a16="http://schemas.microsoft.com/office/drawing/2014/main" id="{FD3D0E44-8CC1-4FDC-B018-381FF88F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1" name="Picture 2" descr="검정로고만">
          <a:extLst>
            <a:ext uri="{FF2B5EF4-FFF2-40B4-BE49-F238E27FC236}">
              <a16:creationId xmlns:a16="http://schemas.microsoft.com/office/drawing/2014/main" id="{92F3EE1B-0B53-4183-8923-BC919E885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2" name="Picture 2" descr="검정로고만">
          <a:extLst>
            <a:ext uri="{FF2B5EF4-FFF2-40B4-BE49-F238E27FC236}">
              <a16:creationId xmlns:a16="http://schemas.microsoft.com/office/drawing/2014/main" id="{40FFA1E3-0024-4F5F-B192-ECC353AC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3" name="Picture 2" descr="검정로고만">
          <a:extLst>
            <a:ext uri="{FF2B5EF4-FFF2-40B4-BE49-F238E27FC236}">
              <a16:creationId xmlns:a16="http://schemas.microsoft.com/office/drawing/2014/main" id="{9F92E4AF-C64E-44F9-BDB0-CB5582306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4" name="Picture 2" descr="검정로고만">
          <a:extLst>
            <a:ext uri="{FF2B5EF4-FFF2-40B4-BE49-F238E27FC236}">
              <a16:creationId xmlns:a16="http://schemas.microsoft.com/office/drawing/2014/main" id="{6B557568-BE4F-455D-ACAF-E63EDA34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5" name="Picture 2" descr="검정로고만">
          <a:extLst>
            <a:ext uri="{FF2B5EF4-FFF2-40B4-BE49-F238E27FC236}">
              <a16:creationId xmlns:a16="http://schemas.microsoft.com/office/drawing/2014/main" id="{77E5423A-C7BC-47E2-B902-ADE1275A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6" name="Picture 2" descr="검정로고만">
          <a:extLst>
            <a:ext uri="{FF2B5EF4-FFF2-40B4-BE49-F238E27FC236}">
              <a16:creationId xmlns:a16="http://schemas.microsoft.com/office/drawing/2014/main" id="{6ABBD24A-5740-411C-BD89-DE855C68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7" name="Picture 2" descr="검정로고만">
          <a:extLst>
            <a:ext uri="{FF2B5EF4-FFF2-40B4-BE49-F238E27FC236}">
              <a16:creationId xmlns:a16="http://schemas.microsoft.com/office/drawing/2014/main" id="{EDDC4819-18B3-41AA-B470-51E382C72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8" name="Picture 2" descr="검정로고만">
          <a:extLst>
            <a:ext uri="{FF2B5EF4-FFF2-40B4-BE49-F238E27FC236}">
              <a16:creationId xmlns:a16="http://schemas.microsoft.com/office/drawing/2014/main" id="{D891CBA1-D2CB-478E-9DE3-E2BC97585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59" name="Picture 2" descr="검정로고만">
          <a:extLst>
            <a:ext uri="{FF2B5EF4-FFF2-40B4-BE49-F238E27FC236}">
              <a16:creationId xmlns:a16="http://schemas.microsoft.com/office/drawing/2014/main" id="{BAE252BC-F7A5-4691-BF7C-99A24B7F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0" name="Picture 2" descr="검정로고만">
          <a:extLst>
            <a:ext uri="{FF2B5EF4-FFF2-40B4-BE49-F238E27FC236}">
              <a16:creationId xmlns:a16="http://schemas.microsoft.com/office/drawing/2014/main" id="{A539C7D0-C54A-41F9-935F-CFE284E1B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1" name="Picture 2" descr="검정로고만">
          <a:extLst>
            <a:ext uri="{FF2B5EF4-FFF2-40B4-BE49-F238E27FC236}">
              <a16:creationId xmlns:a16="http://schemas.microsoft.com/office/drawing/2014/main" id="{6570D0EA-BFFC-4A51-956D-D7422EF3C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2" name="Picture 2" descr="검정로고만">
          <a:extLst>
            <a:ext uri="{FF2B5EF4-FFF2-40B4-BE49-F238E27FC236}">
              <a16:creationId xmlns:a16="http://schemas.microsoft.com/office/drawing/2014/main" id="{8CD5A9A9-4E80-4A2B-B9B1-295278BC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3" name="Picture 2" descr="검정로고만">
          <a:extLst>
            <a:ext uri="{FF2B5EF4-FFF2-40B4-BE49-F238E27FC236}">
              <a16:creationId xmlns:a16="http://schemas.microsoft.com/office/drawing/2014/main" id="{BEFD4541-DC2B-4B4E-BCEB-483A09321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4" name="Picture 2" descr="검정로고만">
          <a:extLst>
            <a:ext uri="{FF2B5EF4-FFF2-40B4-BE49-F238E27FC236}">
              <a16:creationId xmlns:a16="http://schemas.microsoft.com/office/drawing/2014/main" id="{70CD2EAF-AF75-44EA-99C6-636DFA030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5" name="Picture 2" descr="검정로고만">
          <a:extLst>
            <a:ext uri="{FF2B5EF4-FFF2-40B4-BE49-F238E27FC236}">
              <a16:creationId xmlns:a16="http://schemas.microsoft.com/office/drawing/2014/main" id="{0A5A36AF-B6F4-4A88-BC31-7E4B824A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6" name="Picture 2" descr="검정로고만">
          <a:extLst>
            <a:ext uri="{FF2B5EF4-FFF2-40B4-BE49-F238E27FC236}">
              <a16:creationId xmlns:a16="http://schemas.microsoft.com/office/drawing/2014/main" id="{DA12B762-F3E1-453A-8C5C-8DD8DC0EF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7" name="Picture 2" descr="검정로고만">
          <a:extLst>
            <a:ext uri="{FF2B5EF4-FFF2-40B4-BE49-F238E27FC236}">
              <a16:creationId xmlns:a16="http://schemas.microsoft.com/office/drawing/2014/main" id="{7A826E70-A5CC-4100-A717-EC353C555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8" name="Picture 2" descr="검정로고만">
          <a:extLst>
            <a:ext uri="{FF2B5EF4-FFF2-40B4-BE49-F238E27FC236}">
              <a16:creationId xmlns:a16="http://schemas.microsoft.com/office/drawing/2014/main" id="{5279BABE-8A20-4BB6-85A3-5EBCFA2FC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69" name="Picture 2" descr="검정로고만">
          <a:extLst>
            <a:ext uri="{FF2B5EF4-FFF2-40B4-BE49-F238E27FC236}">
              <a16:creationId xmlns:a16="http://schemas.microsoft.com/office/drawing/2014/main" id="{FF05563C-1074-4871-8F50-D3EE8AB47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0" name="Picture 2" descr="검정로고만">
          <a:extLst>
            <a:ext uri="{FF2B5EF4-FFF2-40B4-BE49-F238E27FC236}">
              <a16:creationId xmlns:a16="http://schemas.microsoft.com/office/drawing/2014/main" id="{C9893BFD-DA9A-413C-B8EC-5A369F092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1" name="Picture 2" descr="검정로고만">
          <a:extLst>
            <a:ext uri="{FF2B5EF4-FFF2-40B4-BE49-F238E27FC236}">
              <a16:creationId xmlns:a16="http://schemas.microsoft.com/office/drawing/2014/main" id="{0F87DAE7-CD0A-4038-B693-1A96F8DE6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2" name="Picture 2" descr="검정로고만">
          <a:extLst>
            <a:ext uri="{FF2B5EF4-FFF2-40B4-BE49-F238E27FC236}">
              <a16:creationId xmlns:a16="http://schemas.microsoft.com/office/drawing/2014/main" id="{67DB1EEA-2AB9-4DA9-8715-3F7A1548D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3" name="Picture 2" descr="검정로고만">
          <a:extLst>
            <a:ext uri="{FF2B5EF4-FFF2-40B4-BE49-F238E27FC236}">
              <a16:creationId xmlns:a16="http://schemas.microsoft.com/office/drawing/2014/main" id="{A198EB13-1B00-4751-AF2B-B769FC64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4" name="Picture 2" descr="검정로고만">
          <a:extLst>
            <a:ext uri="{FF2B5EF4-FFF2-40B4-BE49-F238E27FC236}">
              <a16:creationId xmlns:a16="http://schemas.microsoft.com/office/drawing/2014/main" id="{0793E7EC-8B04-4DC4-9303-A6EB0CE84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5" name="Picture 2" descr="검정로고만">
          <a:extLst>
            <a:ext uri="{FF2B5EF4-FFF2-40B4-BE49-F238E27FC236}">
              <a16:creationId xmlns:a16="http://schemas.microsoft.com/office/drawing/2014/main" id="{7A6BCCB4-CF92-4DD3-BC4D-6EC507A4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6" name="Picture 2" descr="검정로고만">
          <a:extLst>
            <a:ext uri="{FF2B5EF4-FFF2-40B4-BE49-F238E27FC236}">
              <a16:creationId xmlns:a16="http://schemas.microsoft.com/office/drawing/2014/main" id="{959F6EF6-4A40-4DB6-89F8-5C38C3F8A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7" name="Picture 2" descr="검정로고만">
          <a:extLst>
            <a:ext uri="{FF2B5EF4-FFF2-40B4-BE49-F238E27FC236}">
              <a16:creationId xmlns:a16="http://schemas.microsoft.com/office/drawing/2014/main" id="{00D8AA4B-B7D4-4A24-8849-88C413A17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8" name="Picture 2" descr="검정로고만">
          <a:extLst>
            <a:ext uri="{FF2B5EF4-FFF2-40B4-BE49-F238E27FC236}">
              <a16:creationId xmlns:a16="http://schemas.microsoft.com/office/drawing/2014/main" id="{AB72E157-41C1-4253-BEF4-2E7FC7E28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79" name="Picture 2" descr="검정로고만">
          <a:extLst>
            <a:ext uri="{FF2B5EF4-FFF2-40B4-BE49-F238E27FC236}">
              <a16:creationId xmlns:a16="http://schemas.microsoft.com/office/drawing/2014/main" id="{166D8D1B-5A2C-4809-99CE-F4A39CF3A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0" name="Picture 2" descr="검정로고만">
          <a:extLst>
            <a:ext uri="{FF2B5EF4-FFF2-40B4-BE49-F238E27FC236}">
              <a16:creationId xmlns:a16="http://schemas.microsoft.com/office/drawing/2014/main" id="{EE163CD1-07F1-4E70-883A-C1E29DDAC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1" name="Picture 2" descr="검정로고만">
          <a:extLst>
            <a:ext uri="{FF2B5EF4-FFF2-40B4-BE49-F238E27FC236}">
              <a16:creationId xmlns:a16="http://schemas.microsoft.com/office/drawing/2014/main" id="{D734D67D-85EA-4FEF-A28A-7476AC490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2" name="Picture 2" descr="검정로고만">
          <a:extLst>
            <a:ext uri="{FF2B5EF4-FFF2-40B4-BE49-F238E27FC236}">
              <a16:creationId xmlns:a16="http://schemas.microsoft.com/office/drawing/2014/main" id="{7F010D3D-3B29-4D60-89BE-CEA4CA2DA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3" name="Picture 2" descr="검정로고만">
          <a:extLst>
            <a:ext uri="{FF2B5EF4-FFF2-40B4-BE49-F238E27FC236}">
              <a16:creationId xmlns:a16="http://schemas.microsoft.com/office/drawing/2014/main" id="{0225A5F5-AD64-420A-AA45-7600233DB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4" name="Picture 2" descr="검정로고만">
          <a:extLst>
            <a:ext uri="{FF2B5EF4-FFF2-40B4-BE49-F238E27FC236}">
              <a16:creationId xmlns:a16="http://schemas.microsoft.com/office/drawing/2014/main" id="{FE34A924-A724-425C-9D3B-1B4864A0B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5" name="Picture 2" descr="검정로고만">
          <a:extLst>
            <a:ext uri="{FF2B5EF4-FFF2-40B4-BE49-F238E27FC236}">
              <a16:creationId xmlns:a16="http://schemas.microsoft.com/office/drawing/2014/main" id="{4CA042DE-8006-45CF-AA27-27AF6C0D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6" name="Picture 2" descr="검정로고만">
          <a:extLst>
            <a:ext uri="{FF2B5EF4-FFF2-40B4-BE49-F238E27FC236}">
              <a16:creationId xmlns:a16="http://schemas.microsoft.com/office/drawing/2014/main" id="{04992CB9-9AB7-4F53-A68D-1FEA48896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7" name="Picture 2" descr="검정로고만">
          <a:extLst>
            <a:ext uri="{FF2B5EF4-FFF2-40B4-BE49-F238E27FC236}">
              <a16:creationId xmlns:a16="http://schemas.microsoft.com/office/drawing/2014/main" id="{0A539A75-CF38-4F17-B625-C4A27B874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88" name="Picture 2" descr="검정로고만">
          <a:extLst>
            <a:ext uri="{FF2B5EF4-FFF2-40B4-BE49-F238E27FC236}">
              <a16:creationId xmlns:a16="http://schemas.microsoft.com/office/drawing/2014/main" id="{15A64D15-4374-4692-81F7-7575D2908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689" name="Picture 3" descr="검정 글씨만">
          <a:extLst>
            <a:ext uri="{FF2B5EF4-FFF2-40B4-BE49-F238E27FC236}">
              <a16:creationId xmlns:a16="http://schemas.microsoft.com/office/drawing/2014/main" id="{9DF81503-6B16-4C11-9465-5AC2B341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0" name="Picture 2" descr="검정로고만">
          <a:extLst>
            <a:ext uri="{FF2B5EF4-FFF2-40B4-BE49-F238E27FC236}">
              <a16:creationId xmlns:a16="http://schemas.microsoft.com/office/drawing/2014/main" id="{EDB591DF-95FC-4F93-B0A3-58315A1E1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1" name="Picture 2" descr="검정로고만">
          <a:extLst>
            <a:ext uri="{FF2B5EF4-FFF2-40B4-BE49-F238E27FC236}">
              <a16:creationId xmlns:a16="http://schemas.microsoft.com/office/drawing/2014/main" id="{62C22936-D9B6-41B3-A32F-D5FE9B203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2" name="Picture 2" descr="검정로고만">
          <a:extLst>
            <a:ext uri="{FF2B5EF4-FFF2-40B4-BE49-F238E27FC236}">
              <a16:creationId xmlns:a16="http://schemas.microsoft.com/office/drawing/2014/main" id="{39A480A2-8045-43AF-A947-A3F8225E3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3" name="Picture 2" descr="검정로고만">
          <a:extLst>
            <a:ext uri="{FF2B5EF4-FFF2-40B4-BE49-F238E27FC236}">
              <a16:creationId xmlns:a16="http://schemas.microsoft.com/office/drawing/2014/main" id="{8E0A1489-8F53-4104-8499-0D5ED924C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4" name="Picture 2" descr="검정로고만">
          <a:extLst>
            <a:ext uri="{FF2B5EF4-FFF2-40B4-BE49-F238E27FC236}">
              <a16:creationId xmlns:a16="http://schemas.microsoft.com/office/drawing/2014/main" id="{6239532F-19DC-4251-A3EC-8C6A4CBEC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5" name="Picture 2" descr="검정로고만">
          <a:extLst>
            <a:ext uri="{FF2B5EF4-FFF2-40B4-BE49-F238E27FC236}">
              <a16:creationId xmlns:a16="http://schemas.microsoft.com/office/drawing/2014/main" id="{082F620A-16B1-4E52-BFE2-3BAEEFD30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6" name="Picture 2" descr="검정로고만">
          <a:extLst>
            <a:ext uri="{FF2B5EF4-FFF2-40B4-BE49-F238E27FC236}">
              <a16:creationId xmlns:a16="http://schemas.microsoft.com/office/drawing/2014/main" id="{B577FB87-601F-4A0E-BC68-0F197044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7" name="Picture 2" descr="검정로고만">
          <a:extLst>
            <a:ext uri="{FF2B5EF4-FFF2-40B4-BE49-F238E27FC236}">
              <a16:creationId xmlns:a16="http://schemas.microsoft.com/office/drawing/2014/main" id="{F41E6FBA-0526-47FC-B114-CFBA12D82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698" name="Picture 3" descr="검정 글씨만">
          <a:extLst>
            <a:ext uri="{FF2B5EF4-FFF2-40B4-BE49-F238E27FC236}">
              <a16:creationId xmlns:a16="http://schemas.microsoft.com/office/drawing/2014/main" id="{1860AD76-A143-4CAF-A7E8-7B20AA848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699" name="Picture 2" descr="검정로고만">
          <a:extLst>
            <a:ext uri="{FF2B5EF4-FFF2-40B4-BE49-F238E27FC236}">
              <a16:creationId xmlns:a16="http://schemas.microsoft.com/office/drawing/2014/main" id="{02C54E12-2539-4ECD-A966-E929913A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0" name="Picture 2" descr="검정로고만">
          <a:extLst>
            <a:ext uri="{FF2B5EF4-FFF2-40B4-BE49-F238E27FC236}">
              <a16:creationId xmlns:a16="http://schemas.microsoft.com/office/drawing/2014/main" id="{E49CFFBD-E284-40E7-A931-7F6A77FF2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1" name="Picture 2" descr="검정로고만">
          <a:extLst>
            <a:ext uri="{FF2B5EF4-FFF2-40B4-BE49-F238E27FC236}">
              <a16:creationId xmlns:a16="http://schemas.microsoft.com/office/drawing/2014/main" id="{503E10F8-ADAE-463F-B1DD-6521F67B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2" name="Picture 2" descr="검정로고만">
          <a:extLst>
            <a:ext uri="{FF2B5EF4-FFF2-40B4-BE49-F238E27FC236}">
              <a16:creationId xmlns:a16="http://schemas.microsoft.com/office/drawing/2014/main" id="{2F7196AC-1EB8-4DED-BAAD-3294CE58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3" name="Picture 2" descr="검정로고만">
          <a:extLst>
            <a:ext uri="{FF2B5EF4-FFF2-40B4-BE49-F238E27FC236}">
              <a16:creationId xmlns:a16="http://schemas.microsoft.com/office/drawing/2014/main" id="{E29A0AF7-2E9E-4CE0-9BBF-84EAEB974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4" name="Picture 2" descr="검정로고만">
          <a:extLst>
            <a:ext uri="{FF2B5EF4-FFF2-40B4-BE49-F238E27FC236}">
              <a16:creationId xmlns:a16="http://schemas.microsoft.com/office/drawing/2014/main" id="{6A9D2E35-B5AC-4722-A91E-5BF03AE04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5" name="Picture 2" descr="검정로고만">
          <a:extLst>
            <a:ext uri="{FF2B5EF4-FFF2-40B4-BE49-F238E27FC236}">
              <a16:creationId xmlns:a16="http://schemas.microsoft.com/office/drawing/2014/main" id="{13D65B8A-F62F-4BDD-B3FF-2CA92F2CA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6" name="Picture 2" descr="검정로고만">
          <a:extLst>
            <a:ext uri="{FF2B5EF4-FFF2-40B4-BE49-F238E27FC236}">
              <a16:creationId xmlns:a16="http://schemas.microsoft.com/office/drawing/2014/main" id="{C401C97F-6E83-418D-BE02-9DE810CA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707" name="Picture 3" descr="검정 글씨만">
          <a:extLst>
            <a:ext uri="{FF2B5EF4-FFF2-40B4-BE49-F238E27FC236}">
              <a16:creationId xmlns:a16="http://schemas.microsoft.com/office/drawing/2014/main" id="{9482413F-D9D4-4C4F-B3E4-9340176F0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8" name="Picture 2" descr="검정로고만">
          <a:extLst>
            <a:ext uri="{FF2B5EF4-FFF2-40B4-BE49-F238E27FC236}">
              <a16:creationId xmlns:a16="http://schemas.microsoft.com/office/drawing/2014/main" id="{8659D36D-12A1-4AE4-9B25-2665A467A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09" name="Picture 2" descr="검정로고만">
          <a:extLst>
            <a:ext uri="{FF2B5EF4-FFF2-40B4-BE49-F238E27FC236}">
              <a16:creationId xmlns:a16="http://schemas.microsoft.com/office/drawing/2014/main" id="{7E4A61CA-5AAA-49B6-B1EC-CBF6EFB02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0" name="Picture 2" descr="검정로고만">
          <a:extLst>
            <a:ext uri="{FF2B5EF4-FFF2-40B4-BE49-F238E27FC236}">
              <a16:creationId xmlns:a16="http://schemas.microsoft.com/office/drawing/2014/main" id="{EC19E593-EF79-4E87-BBFA-13A6318A8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1" name="Picture 2" descr="검정로고만">
          <a:extLst>
            <a:ext uri="{FF2B5EF4-FFF2-40B4-BE49-F238E27FC236}">
              <a16:creationId xmlns:a16="http://schemas.microsoft.com/office/drawing/2014/main" id="{F8739F9F-8BE9-4E59-AAEB-2CCCCFC45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2" name="Picture 2" descr="검정로고만">
          <a:extLst>
            <a:ext uri="{FF2B5EF4-FFF2-40B4-BE49-F238E27FC236}">
              <a16:creationId xmlns:a16="http://schemas.microsoft.com/office/drawing/2014/main" id="{185D9D4C-4B4A-49F8-945F-BA915B4CB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3" name="Picture 2" descr="검정로고만">
          <a:extLst>
            <a:ext uri="{FF2B5EF4-FFF2-40B4-BE49-F238E27FC236}">
              <a16:creationId xmlns:a16="http://schemas.microsoft.com/office/drawing/2014/main" id="{5F3CEF62-3D7F-4E99-966F-B5AFE9E7E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4" name="Picture 2" descr="검정로고만">
          <a:extLst>
            <a:ext uri="{FF2B5EF4-FFF2-40B4-BE49-F238E27FC236}">
              <a16:creationId xmlns:a16="http://schemas.microsoft.com/office/drawing/2014/main" id="{9930B002-63CD-49B3-B8AC-DD9108ECC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5" name="Picture 2" descr="검정로고만">
          <a:extLst>
            <a:ext uri="{FF2B5EF4-FFF2-40B4-BE49-F238E27FC236}">
              <a16:creationId xmlns:a16="http://schemas.microsoft.com/office/drawing/2014/main" id="{8E02E8CF-99BD-48E7-A67B-5A75F5F03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716" name="Picture 3" descr="검정 글씨만">
          <a:extLst>
            <a:ext uri="{FF2B5EF4-FFF2-40B4-BE49-F238E27FC236}">
              <a16:creationId xmlns:a16="http://schemas.microsoft.com/office/drawing/2014/main" id="{0322AD2E-B6E3-4A8C-8561-78B3F69D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7" name="Picture 2" descr="검정로고만">
          <a:extLst>
            <a:ext uri="{FF2B5EF4-FFF2-40B4-BE49-F238E27FC236}">
              <a16:creationId xmlns:a16="http://schemas.microsoft.com/office/drawing/2014/main" id="{4134CB71-6DF3-4FA2-A149-1C33889A7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8" name="Picture 2" descr="검정로고만">
          <a:extLst>
            <a:ext uri="{FF2B5EF4-FFF2-40B4-BE49-F238E27FC236}">
              <a16:creationId xmlns:a16="http://schemas.microsoft.com/office/drawing/2014/main" id="{938C56D5-618A-4E09-8AC6-7F56F9B3D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19" name="Picture 2" descr="검정로고만">
          <a:extLst>
            <a:ext uri="{FF2B5EF4-FFF2-40B4-BE49-F238E27FC236}">
              <a16:creationId xmlns:a16="http://schemas.microsoft.com/office/drawing/2014/main" id="{83F9BB48-7E5C-4787-A0F7-3436CB2F0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0" name="Picture 2" descr="검정로고만">
          <a:extLst>
            <a:ext uri="{FF2B5EF4-FFF2-40B4-BE49-F238E27FC236}">
              <a16:creationId xmlns:a16="http://schemas.microsoft.com/office/drawing/2014/main" id="{DCFA0A39-BDB4-4C86-9B29-E29AB7E37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1" name="Picture 2" descr="검정로고만">
          <a:extLst>
            <a:ext uri="{FF2B5EF4-FFF2-40B4-BE49-F238E27FC236}">
              <a16:creationId xmlns:a16="http://schemas.microsoft.com/office/drawing/2014/main" id="{F4A6FF93-FFCF-4F8E-9F99-A8D843EBD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2" name="Picture 2" descr="검정로고만">
          <a:extLst>
            <a:ext uri="{FF2B5EF4-FFF2-40B4-BE49-F238E27FC236}">
              <a16:creationId xmlns:a16="http://schemas.microsoft.com/office/drawing/2014/main" id="{36E07429-BB05-4853-B822-6CC8EAE09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3" name="Picture 2" descr="검정로고만">
          <a:extLst>
            <a:ext uri="{FF2B5EF4-FFF2-40B4-BE49-F238E27FC236}">
              <a16:creationId xmlns:a16="http://schemas.microsoft.com/office/drawing/2014/main" id="{89EE95F8-FEC7-4982-8146-BD016E69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4" name="Picture 2" descr="검정로고만">
          <a:extLst>
            <a:ext uri="{FF2B5EF4-FFF2-40B4-BE49-F238E27FC236}">
              <a16:creationId xmlns:a16="http://schemas.microsoft.com/office/drawing/2014/main" id="{C85AF151-345B-4980-AC76-0DF6C0CB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725" name="Picture 3" descr="검정 글씨만">
          <a:extLst>
            <a:ext uri="{FF2B5EF4-FFF2-40B4-BE49-F238E27FC236}">
              <a16:creationId xmlns:a16="http://schemas.microsoft.com/office/drawing/2014/main" id="{E651A317-8360-496A-9A2F-9F9A6571C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6" name="Picture 2" descr="검정로고만">
          <a:extLst>
            <a:ext uri="{FF2B5EF4-FFF2-40B4-BE49-F238E27FC236}">
              <a16:creationId xmlns:a16="http://schemas.microsoft.com/office/drawing/2014/main" id="{67BA7445-A2F2-499A-98F4-641BA8E5D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7" name="Picture 2" descr="검정로고만">
          <a:extLst>
            <a:ext uri="{FF2B5EF4-FFF2-40B4-BE49-F238E27FC236}">
              <a16:creationId xmlns:a16="http://schemas.microsoft.com/office/drawing/2014/main" id="{C3B36ADE-10FE-4010-A4F5-B984EBAC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8" name="Picture 2" descr="검정로고만">
          <a:extLst>
            <a:ext uri="{FF2B5EF4-FFF2-40B4-BE49-F238E27FC236}">
              <a16:creationId xmlns:a16="http://schemas.microsoft.com/office/drawing/2014/main" id="{F0E937E4-D3E0-4830-B086-0F29F0F2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29" name="Picture 2" descr="검정로고만">
          <a:extLst>
            <a:ext uri="{FF2B5EF4-FFF2-40B4-BE49-F238E27FC236}">
              <a16:creationId xmlns:a16="http://schemas.microsoft.com/office/drawing/2014/main" id="{B26FA66D-5514-43B3-982E-1FFBB922C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0" name="Picture 2" descr="검정로고만">
          <a:extLst>
            <a:ext uri="{FF2B5EF4-FFF2-40B4-BE49-F238E27FC236}">
              <a16:creationId xmlns:a16="http://schemas.microsoft.com/office/drawing/2014/main" id="{FAEE6C54-49F0-4F69-8277-7E9D0440F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1" name="Picture 2" descr="검정로고만">
          <a:extLst>
            <a:ext uri="{FF2B5EF4-FFF2-40B4-BE49-F238E27FC236}">
              <a16:creationId xmlns:a16="http://schemas.microsoft.com/office/drawing/2014/main" id="{CC1A003F-5565-4C88-A766-E279EF25C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2" name="Picture 2" descr="검정로고만">
          <a:extLst>
            <a:ext uri="{FF2B5EF4-FFF2-40B4-BE49-F238E27FC236}">
              <a16:creationId xmlns:a16="http://schemas.microsoft.com/office/drawing/2014/main" id="{ECEA6839-028C-4A29-BF4A-56CCE4A5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3" name="Picture 2" descr="검정로고만">
          <a:extLst>
            <a:ext uri="{FF2B5EF4-FFF2-40B4-BE49-F238E27FC236}">
              <a16:creationId xmlns:a16="http://schemas.microsoft.com/office/drawing/2014/main" id="{6ECD076F-2EE8-4D04-8B52-99E5E2BE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4" name="Picture 2" descr="검정로고만">
          <a:extLst>
            <a:ext uri="{FF2B5EF4-FFF2-40B4-BE49-F238E27FC236}">
              <a16:creationId xmlns:a16="http://schemas.microsoft.com/office/drawing/2014/main" id="{EA074FA7-C859-4835-9B44-50258BA50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5" name="Picture 2" descr="검정로고만">
          <a:extLst>
            <a:ext uri="{FF2B5EF4-FFF2-40B4-BE49-F238E27FC236}">
              <a16:creationId xmlns:a16="http://schemas.microsoft.com/office/drawing/2014/main" id="{21DD3D87-0C27-405B-A8EC-92B73FB7A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6" name="Picture 2" descr="검정로고만">
          <a:extLst>
            <a:ext uri="{FF2B5EF4-FFF2-40B4-BE49-F238E27FC236}">
              <a16:creationId xmlns:a16="http://schemas.microsoft.com/office/drawing/2014/main" id="{EE642EBC-9B07-48E4-8819-AC3BDFC57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7" name="Picture 2" descr="검정로고만">
          <a:extLst>
            <a:ext uri="{FF2B5EF4-FFF2-40B4-BE49-F238E27FC236}">
              <a16:creationId xmlns:a16="http://schemas.microsoft.com/office/drawing/2014/main" id="{2A6875E3-04FB-483E-891C-48BDF187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8" name="Picture 2" descr="검정로고만">
          <a:extLst>
            <a:ext uri="{FF2B5EF4-FFF2-40B4-BE49-F238E27FC236}">
              <a16:creationId xmlns:a16="http://schemas.microsoft.com/office/drawing/2014/main" id="{835CDF18-0AAB-4936-B0CF-6945412E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39" name="Picture 2" descr="검정로고만">
          <a:extLst>
            <a:ext uri="{FF2B5EF4-FFF2-40B4-BE49-F238E27FC236}">
              <a16:creationId xmlns:a16="http://schemas.microsoft.com/office/drawing/2014/main" id="{AC3CAAEB-F2F7-4FAE-8078-9DD5A38F7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0" name="Picture 2" descr="검정로고만">
          <a:extLst>
            <a:ext uri="{FF2B5EF4-FFF2-40B4-BE49-F238E27FC236}">
              <a16:creationId xmlns:a16="http://schemas.microsoft.com/office/drawing/2014/main" id="{18540AD8-E915-41D2-A0CC-21DD9F5D4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1" name="Picture 2" descr="검정로고만">
          <a:extLst>
            <a:ext uri="{FF2B5EF4-FFF2-40B4-BE49-F238E27FC236}">
              <a16:creationId xmlns:a16="http://schemas.microsoft.com/office/drawing/2014/main" id="{6FC72D14-D65E-4E85-BA3D-23F292F4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2" name="Picture 2" descr="검정로고만">
          <a:extLst>
            <a:ext uri="{FF2B5EF4-FFF2-40B4-BE49-F238E27FC236}">
              <a16:creationId xmlns:a16="http://schemas.microsoft.com/office/drawing/2014/main" id="{5245C13C-4940-4DC7-B0F5-5899EBE8A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3" name="Picture 2" descr="검정로고만">
          <a:extLst>
            <a:ext uri="{FF2B5EF4-FFF2-40B4-BE49-F238E27FC236}">
              <a16:creationId xmlns:a16="http://schemas.microsoft.com/office/drawing/2014/main" id="{9F6F5BEB-A72E-4017-8E5B-26BE89630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4" name="Picture 2" descr="검정로고만">
          <a:extLst>
            <a:ext uri="{FF2B5EF4-FFF2-40B4-BE49-F238E27FC236}">
              <a16:creationId xmlns:a16="http://schemas.microsoft.com/office/drawing/2014/main" id="{13545D92-286C-450C-A26F-B5881221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5" name="Picture 2" descr="검정로고만">
          <a:extLst>
            <a:ext uri="{FF2B5EF4-FFF2-40B4-BE49-F238E27FC236}">
              <a16:creationId xmlns:a16="http://schemas.microsoft.com/office/drawing/2014/main" id="{08778BBF-3176-4E21-8AFA-E09742D5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6" name="Picture 2" descr="검정로고만">
          <a:extLst>
            <a:ext uri="{FF2B5EF4-FFF2-40B4-BE49-F238E27FC236}">
              <a16:creationId xmlns:a16="http://schemas.microsoft.com/office/drawing/2014/main" id="{96C9F31C-D940-45CB-8D08-3BCE09D8D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7" name="Picture 2" descr="검정로고만">
          <a:extLst>
            <a:ext uri="{FF2B5EF4-FFF2-40B4-BE49-F238E27FC236}">
              <a16:creationId xmlns:a16="http://schemas.microsoft.com/office/drawing/2014/main" id="{E05281EC-2AB8-4AE8-AECE-8DFE23A0F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8" name="Picture 2" descr="검정로고만">
          <a:extLst>
            <a:ext uri="{FF2B5EF4-FFF2-40B4-BE49-F238E27FC236}">
              <a16:creationId xmlns:a16="http://schemas.microsoft.com/office/drawing/2014/main" id="{15E5BE28-3D60-4377-AC98-87B5C5F72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49" name="Picture 2" descr="검정로고만">
          <a:extLst>
            <a:ext uri="{FF2B5EF4-FFF2-40B4-BE49-F238E27FC236}">
              <a16:creationId xmlns:a16="http://schemas.microsoft.com/office/drawing/2014/main" id="{0563361A-29FE-4400-870F-36AC39650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0" name="Picture 2" descr="검정로고만">
          <a:extLst>
            <a:ext uri="{FF2B5EF4-FFF2-40B4-BE49-F238E27FC236}">
              <a16:creationId xmlns:a16="http://schemas.microsoft.com/office/drawing/2014/main" id="{0CEE1A37-D72E-4613-88EA-383227CA2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1" name="Picture 2" descr="검정로고만">
          <a:extLst>
            <a:ext uri="{FF2B5EF4-FFF2-40B4-BE49-F238E27FC236}">
              <a16:creationId xmlns:a16="http://schemas.microsoft.com/office/drawing/2014/main" id="{CAFD389D-23C2-4986-A2ED-B6B2FC90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2" name="Picture 2" descr="검정로고만">
          <a:extLst>
            <a:ext uri="{FF2B5EF4-FFF2-40B4-BE49-F238E27FC236}">
              <a16:creationId xmlns:a16="http://schemas.microsoft.com/office/drawing/2014/main" id="{76CAE290-BE77-4A5C-A528-B54FB588B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3" name="Picture 2" descr="검정로고만">
          <a:extLst>
            <a:ext uri="{FF2B5EF4-FFF2-40B4-BE49-F238E27FC236}">
              <a16:creationId xmlns:a16="http://schemas.microsoft.com/office/drawing/2014/main" id="{3DB1A12F-B3A8-4D98-874A-D219B1728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4" name="Picture 2" descr="검정로고만">
          <a:extLst>
            <a:ext uri="{FF2B5EF4-FFF2-40B4-BE49-F238E27FC236}">
              <a16:creationId xmlns:a16="http://schemas.microsoft.com/office/drawing/2014/main" id="{2951516B-ED43-47F4-B8FF-5F948760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5" name="Picture 2" descr="검정로고만">
          <a:extLst>
            <a:ext uri="{FF2B5EF4-FFF2-40B4-BE49-F238E27FC236}">
              <a16:creationId xmlns:a16="http://schemas.microsoft.com/office/drawing/2014/main" id="{A773CD72-F107-4205-AD76-B1C7AC901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6" name="Picture 2" descr="검정로고만">
          <a:extLst>
            <a:ext uri="{FF2B5EF4-FFF2-40B4-BE49-F238E27FC236}">
              <a16:creationId xmlns:a16="http://schemas.microsoft.com/office/drawing/2014/main" id="{3FDB5946-E095-4389-8737-892642489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7" name="Picture 2" descr="검정로고만">
          <a:extLst>
            <a:ext uri="{FF2B5EF4-FFF2-40B4-BE49-F238E27FC236}">
              <a16:creationId xmlns:a16="http://schemas.microsoft.com/office/drawing/2014/main" id="{AB9222C1-B1EB-45C5-85CF-FCAAC150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8" name="Picture 2" descr="검정로고만">
          <a:extLst>
            <a:ext uri="{FF2B5EF4-FFF2-40B4-BE49-F238E27FC236}">
              <a16:creationId xmlns:a16="http://schemas.microsoft.com/office/drawing/2014/main" id="{905042F3-3465-451B-8B64-1787AE6F5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59" name="Picture 2" descr="검정로고만">
          <a:extLst>
            <a:ext uri="{FF2B5EF4-FFF2-40B4-BE49-F238E27FC236}">
              <a16:creationId xmlns:a16="http://schemas.microsoft.com/office/drawing/2014/main" id="{5CE8EF2C-1389-4EBE-9843-3F95091B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0" name="Picture 2" descr="검정로고만">
          <a:extLst>
            <a:ext uri="{FF2B5EF4-FFF2-40B4-BE49-F238E27FC236}">
              <a16:creationId xmlns:a16="http://schemas.microsoft.com/office/drawing/2014/main" id="{D069FCAC-1D45-41AF-BAC8-13745C99E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1" name="Picture 2" descr="검정로고만">
          <a:extLst>
            <a:ext uri="{FF2B5EF4-FFF2-40B4-BE49-F238E27FC236}">
              <a16:creationId xmlns:a16="http://schemas.microsoft.com/office/drawing/2014/main" id="{B0D6409B-805C-4CF5-A2BC-8FCA26BC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2" name="Picture 2" descr="검정로고만">
          <a:extLst>
            <a:ext uri="{FF2B5EF4-FFF2-40B4-BE49-F238E27FC236}">
              <a16:creationId xmlns:a16="http://schemas.microsoft.com/office/drawing/2014/main" id="{0C946303-ADC3-4F6F-8D81-E93011471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3" name="Picture 2" descr="검정로고만">
          <a:extLst>
            <a:ext uri="{FF2B5EF4-FFF2-40B4-BE49-F238E27FC236}">
              <a16:creationId xmlns:a16="http://schemas.microsoft.com/office/drawing/2014/main" id="{52D33DC9-4439-41F0-AD2A-7C43B7F79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4" name="Picture 2" descr="검정로고만">
          <a:extLst>
            <a:ext uri="{FF2B5EF4-FFF2-40B4-BE49-F238E27FC236}">
              <a16:creationId xmlns:a16="http://schemas.microsoft.com/office/drawing/2014/main" id="{02CCFA9F-0253-4D2A-BAC4-E0A5CE89E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5" name="Picture 2" descr="검정로고만">
          <a:extLst>
            <a:ext uri="{FF2B5EF4-FFF2-40B4-BE49-F238E27FC236}">
              <a16:creationId xmlns:a16="http://schemas.microsoft.com/office/drawing/2014/main" id="{DAD3DED9-20CC-4F41-8D2F-74F62B722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766" name="Picture 3" descr="검정 글씨만">
          <a:extLst>
            <a:ext uri="{FF2B5EF4-FFF2-40B4-BE49-F238E27FC236}">
              <a16:creationId xmlns:a16="http://schemas.microsoft.com/office/drawing/2014/main" id="{F0DF6AE2-0EB5-4D30-BBF3-EB47FD5D5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7" name="Picture 2" descr="검정로고만">
          <a:extLst>
            <a:ext uri="{FF2B5EF4-FFF2-40B4-BE49-F238E27FC236}">
              <a16:creationId xmlns:a16="http://schemas.microsoft.com/office/drawing/2014/main" id="{05060B90-E87A-473D-A236-A3848AA46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8" name="Picture 2" descr="검정로고만">
          <a:extLst>
            <a:ext uri="{FF2B5EF4-FFF2-40B4-BE49-F238E27FC236}">
              <a16:creationId xmlns:a16="http://schemas.microsoft.com/office/drawing/2014/main" id="{1BA3E116-0ABD-4AEE-894F-8AC48C0B1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69" name="Picture 2" descr="검정로고만">
          <a:extLst>
            <a:ext uri="{FF2B5EF4-FFF2-40B4-BE49-F238E27FC236}">
              <a16:creationId xmlns:a16="http://schemas.microsoft.com/office/drawing/2014/main" id="{2F3D2265-D3A6-46C5-A103-233516A4C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0" name="Picture 2" descr="검정로고만">
          <a:extLst>
            <a:ext uri="{FF2B5EF4-FFF2-40B4-BE49-F238E27FC236}">
              <a16:creationId xmlns:a16="http://schemas.microsoft.com/office/drawing/2014/main" id="{1C3B7C41-6169-48A3-ACA9-6BA95D7A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1" name="Picture 2" descr="검정로고만">
          <a:extLst>
            <a:ext uri="{FF2B5EF4-FFF2-40B4-BE49-F238E27FC236}">
              <a16:creationId xmlns:a16="http://schemas.microsoft.com/office/drawing/2014/main" id="{F21F1996-13D6-4196-9E9B-B75EEBE81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2" name="Picture 2" descr="검정로고만">
          <a:extLst>
            <a:ext uri="{FF2B5EF4-FFF2-40B4-BE49-F238E27FC236}">
              <a16:creationId xmlns:a16="http://schemas.microsoft.com/office/drawing/2014/main" id="{B3B84591-AD25-4E53-B06F-8FF9661A2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3" name="Picture 2" descr="검정로고만">
          <a:extLst>
            <a:ext uri="{FF2B5EF4-FFF2-40B4-BE49-F238E27FC236}">
              <a16:creationId xmlns:a16="http://schemas.microsoft.com/office/drawing/2014/main" id="{5910E6CD-B12C-4C10-8597-8BA8AE417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4" name="Picture 2" descr="검정로고만">
          <a:extLst>
            <a:ext uri="{FF2B5EF4-FFF2-40B4-BE49-F238E27FC236}">
              <a16:creationId xmlns:a16="http://schemas.microsoft.com/office/drawing/2014/main" id="{1F406AB5-EF2F-47FB-818F-D4857276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775" name="Picture 3" descr="검정 글씨만">
          <a:extLst>
            <a:ext uri="{FF2B5EF4-FFF2-40B4-BE49-F238E27FC236}">
              <a16:creationId xmlns:a16="http://schemas.microsoft.com/office/drawing/2014/main" id="{61B5C5AA-407F-467B-B833-431ECC493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6" name="Picture 2" descr="검정로고만">
          <a:extLst>
            <a:ext uri="{FF2B5EF4-FFF2-40B4-BE49-F238E27FC236}">
              <a16:creationId xmlns:a16="http://schemas.microsoft.com/office/drawing/2014/main" id="{B605CE0A-2A90-4E16-A54D-1EFAB7964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7" name="Picture 2" descr="검정로고만">
          <a:extLst>
            <a:ext uri="{FF2B5EF4-FFF2-40B4-BE49-F238E27FC236}">
              <a16:creationId xmlns:a16="http://schemas.microsoft.com/office/drawing/2014/main" id="{703CC0DF-7F49-4470-9236-BF0EACF34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8" name="Picture 2" descr="검정로고만">
          <a:extLst>
            <a:ext uri="{FF2B5EF4-FFF2-40B4-BE49-F238E27FC236}">
              <a16:creationId xmlns:a16="http://schemas.microsoft.com/office/drawing/2014/main" id="{27A4081B-EEAF-4F76-8DB6-55BD3007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79" name="Picture 2" descr="검정로고만">
          <a:extLst>
            <a:ext uri="{FF2B5EF4-FFF2-40B4-BE49-F238E27FC236}">
              <a16:creationId xmlns:a16="http://schemas.microsoft.com/office/drawing/2014/main" id="{C3CDA555-6E41-4F05-A37F-F6D1485E1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0" name="Picture 2" descr="검정로고만">
          <a:extLst>
            <a:ext uri="{FF2B5EF4-FFF2-40B4-BE49-F238E27FC236}">
              <a16:creationId xmlns:a16="http://schemas.microsoft.com/office/drawing/2014/main" id="{D605FA77-FC85-47BC-9C35-3FC181298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1" name="Picture 2" descr="검정로고만">
          <a:extLst>
            <a:ext uri="{FF2B5EF4-FFF2-40B4-BE49-F238E27FC236}">
              <a16:creationId xmlns:a16="http://schemas.microsoft.com/office/drawing/2014/main" id="{89DEA0AF-417A-4A5A-90AF-1126C89F4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2" name="Picture 2" descr="검정로고만">
          <a:extLst>
            <a:ext uri="{FF2B5EF4-FFF2-40B4-BE49-F238E27FC236}">
              <a16:creationId xmlns:a16="http://schemas.microsoft.com/office/drawing/2014/main" id="{2965A0D9-BF34-4AF0-B27B-0A180CEE4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3" name="Picture 2" descr="검정로고만">
          <a:extLst>
            <a:ext uri="{FF2B5EF4-FFF2-40B4-BE49-F238E27FC236}">
              <a16:creationId xmlns:a16="http://schemas.microsoft.com/office/drawing/2014/main" id="{F599E75F-4970-40DE-915B-1DB6236C6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6"/>
    <xdr:pic>
      <xdr:nvPicPr>
        <xdr:cNvPr id="2784" name="Picture 3" descr="검정 글씨만">
          <a:extLst>
            <a:ext uri="{FF2B5EF4-FFF2-40B4-BE49-F238E27FC236}">
              <a16:creationId xmlns:a16="http://schemas.microsoft.com/office/drawing/2014/main" id="{5CD3E9BE-63A8-44E4-86A9-FABD20852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5" name="Picture 2" descr="검정로고만">
          <a:extLst>
            <a:ext uri="{FF2B5EF4-FFF2-40B4-BE49-F238E27FC236}">
              <a16:creationId xmlns:a16="http://schemas.microsoft.com/office/drawing/2014/main" id="{1FC8CF87-AFCC-49B4-979A-DF19C4561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6" name="Picture 2" descr="검정로고만">
          <a:extLst>
            <a:ext uri="{FF2B5EF4-FFF2-40B4-BE49-F238E27FC236}">
              <a16:creationId xmlns:a16="http://schemas.microsoft.com/office/drawing/2014/main" id="{9FAC5828-6398-4DEA-AB54-2166D8F87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7" name="Picture 2" descr="검정로고만">
          <a:extLst>
            <a:ext uri="{FF2B5EF4-FFF2-40B4-BE49-F238E27FC236}">
              <a16:creationId xmlns:a16="http://schemas.microsoft.com/office/drawing/2014/main" id="{5DA8B93B-5531-466A-BC40-55D58E8B2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8" name="Picture 2" descr="검정로고만">
          <a:extLst>
            <a:ext uri="{FF2B5EF4-FFF2-40B4-BE49-F238E27FC236}">
              <a16:creationId xmlns:a16="http://schemas.microsoft.com/office/drawing/2014/main" id="{3021CB68-5D70-408C-96AF-CCE755457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89" name="Picture 2" descr="검정로고만">
          <a:extLst>
            <a:ext uri="{FF2B5EF4-FFF2-40B4-BE49-F238E27FC236}">
              <a16:creationId xmlns:a16="http://schemas.microsoft.com/office/drawing/2014/main" id="{7585D787-16FB-48DA-8108-C987E7202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0" name="Picture 2" descr="검정로고만">
          <a:extLst>
            <a:ext uri="{FF2B5EF4-FFF2-40B4-BE49-F238E27FC236}">
              <a16:creationId xmlns:a16="http://schemas.microsoft.com/office/drawing/2014/main" id="{FCADAC67-4797-4809-95D5-D84892805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1" name="Picture 2" descr="검정로고만">
          <a:extLst>
            <a:ext uri="{FF2B5EF4-FFF2-40B4-BE49-F238E27FC236}">
              <a16:creationId xmlns:a16="http://schemas.microsoft.com/office/drawing/2014/main" id="{E22602B2-2B81-46AE-90BA-AA9EE6A5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2" name="Picture 2" descr="검정로고만">
          <a:extLst>
            <a:ext uri="{FF2B5EF4-FFF2-40B4-BE49-F238E27FC236}">
              <a16:creationId xmlns:a16="http://schemas.microsoft.com/office/drawing/2014/main" id="{0A4B534C-2366-4330-BB08-A293820C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3" name="Picture 2" descr="검정로고만">
          <a:extLst>
            <a:ext uri="{FF2B5EF4-FFF2-40B4-BE49-F238E27FC236}">
              <a16:creationId xmlns:a16="http://schemas.microsoft.com/office/drawing/2014/main" id="{263AE208-0FE8-4970-920E-CFA50B9F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4" name="Picture 2" descr="검정로고만">
          <a:extLst>
            <a:ext uri="{FF2B5EF4-FFF2-40B4-BE49-F238E27FC236}">
              <a16:creationId xmlns:a16="http://schemas.microsoft.com/office/drawing/2014/main" id="{3235D68B-6938-48B4-96B0-CEE156743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5" name="Picture 2" descr="검정로고만">
          <a:extLst>
            <a:ext uri="{FF2B5EF4-FFF2-40B4-BE49-F238E27FC236}">
              <a16:creationId xmlns:a16="http://schemas.microsoft.com/office/drawing/2014/main" id="{8D191E2A-ECDC-4E39-BBDA-AEB428213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6" name="Picture 2" descr="검정로고만">
          <a:extLst>
            <a:ext uri="{FF2B5EF4-FFF2-40B4-BE49-F238E27FC236}">
              <a16:creationId xmlns:a16="http://schemas.microsoft.com/office/drawing/2014/main" id="{E20064AE-9B26-423F-9EB0-A320BE90F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7" name="Picture 2" descr="검정로고만">
          <a:extLst>
            <a:ext uri="{FF2B5EF4-FFF2-40B4-BE49-F238E27FC236}">
              <a16:creationId xmlns:a16="http://schemas.microsoft.com/office/drawing/2014/main" id="{9533E287-D9C9-436D-B069-95ED591CA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8" name="Picture 2" descr="검정로고만">
          <a:extLst>
            <a:ext uri="{FF2B5EF4-FFF2-40B4-BE49-F238E27FC236}">
              <a16:creationId xmlns:a16="http://schemas.microsoft.com/office/drawing/2014/main" id="{695AEEE2-578D-4C3A-83D1-03A963BA9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799" name="Picture 2" descr="검정로고만">
          <a:extLst>
            <a:ext uri="{FF2B5EF4-FFF2-40B4-BE49-F238E27FC236}">
              <a16:creationId xmlns:a16="http://schemas.microsoft.com/office/drawing/2014/main" id="{D78FD5D7-C387-4914-91FC-CC6F08A27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0" name="Picture 2" descr="검정로고만">
          <a:extLst>
            <a:ext uri="{FF2B5EF4-FFF2-40B4-BE49-F238E27FC236}">
              <a16:creationId xmlns:a16="http://schemas.microsoft.com/office/drawing/2014/main" id="{374564BA-5769-42D1-9FA2-58B138880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1" name="Picture 2" descr="검정로고만">
          <a:extLst>
            <a:ext uri="{FF2B5EF4-FFF2-40B4-BE49-F238E27FC236}">
              <a16:creationId xmlns:a16="http://schemas.microsoft.com/office/drawing/2014/main" id="{42254D7B-61DA-48BA-AD2F-9AB944C90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2" name="Picture 2" descr="검정로고만">
          <a:extLst>
            <a:ext uri="{FF2B5EF4-FFF2-40B4-BE49-F238E27FC236}">
              <a16:creationId xmlns:a16="http://schemas.microsoft.com/office/drawing/2014/main" id="{748A42F6-47EF-4FC8-9194-C1414624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3" name="Picture 2" descr="검정로고만">
          <a:extLst>
            <a:ext uri="{FF2B5EF4-FFF2-40B4-BE49-F238E27FC236}">
              <a16:creationId xmlns:a16="http://schemas.microsoft.com/office/drawing/2014/main" id="{1D8D97B2-B6EC-4A0D-AAD5-7CA89AFB2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4" name="Picture 2" descr="검정로고만">
          <a:extLst>
            <a:ext uri="{FF2B5EF4-FFF2-40B4-BE49-F238E27FC236}">
              <a16:creationId xmlns:a16="http://schemas.microsoft.com/office/drawing/2014/main" id="{BCC9EEE2-61B3-4DEE-B916-9F83D3D8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5" name="Picture 2" descr="검정로고만">
          <a:extLst>
            <a:ext uri="{FF2B5EF4-FFF2-40B4-BE49-F238E27FC236}">
              <a16:creationId xmlns:a16="http://schemas.microsoft.com/office/drawing/2014/main" id="{7044282B-07E3-401A-AA55-A0002870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6" name="Picture 2" descr="검정로고만">
          <a:extLst>
            <a:ext uri="{FF2B5EF4-FFF2-40B4-BE49-F238E27FC236}">
              <a16:creationId xmlns:a16="http://schemas.microsoft.com/office/drawing/2014/main" id="{C6EC2438-1D03-4158-97CF-0019FB21A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7" name="Picture 2" descr="검정로고만">
          <a:extLst>
            <a:ext uri="{FF2B5EF4-FFF2-40B4-BE49-F238E27FC236}">
              <a16:creationId xmlns:a16="http://schemas.microsoft.com/office/drawing/2014/main" id="{4376708F-EAB1-4B11-8FBA-E750F06FF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8" name="Picture 2" descr="검정로고만">
          <a:extLst>
            <a:ext uri="{FF2B5EF4-FFF2-40B4-BE49-F238E27FC236}">
              <a16:creationId xmlns:a16="http://schemas.microsoft.com/office/drawing/2014/main" id="{D7B6AD26-5637-4D47-A9BA-65AF60816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09" name="Picture 2" descr="검정로고만">
          <a:extLst>
            <a:ext uri="{FF2B5EF4-FFF2-40B4-BE49-F238E27FC236}">
              <a16:creationId xmlns:a16="http://schemas.microsoft.com/office/drawing/2014/main" id="{C24B3A1B-92FA-44AF-9EB7-F18CA1A7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0" name="Picture 2" descr="검정로고만">
          <a:extLst>
            <a:ext uri="{FF2B5EF4-FFF2-40B4-BE49-F238E27FC236}">
              <a16:creationId xmlns:a16="http://schemas.microsoft.com/office/drawing/2014/main" id="{631E8A55-582A-4A1C-8193-EF240EADB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1" name="Picture 2" descr="검정로고만">
          <a:extLst>
            <a:ext uri="{FF2B5EF4-FFF2-40B4-BE49-F238E27FC236}">
              <a16:creationId xmlns:a16="http://schemas.microsoft.com/office/drawing/2014/main" id="{71B951F7-1494-4EC8-A201-82CD6B82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2" name="Picture 2" descr="검정로고만">
          <a:extLst>
            <a:ext uri="{FF2B5EF4-FFF2-40B4-BE49-F238E27FC236}">
              <a16:creationId xmlns:a16="http://schemas.microsoft.com/office/drawing/2014/main" id="{EC27F1DE-133C-4B91-B64B-377D6C225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3" name="Picture 2" descr="검정로고만">
          <a:extLst>
            <a:ext uri="{FF2B5EF4-FFF2-40B4-BE49-F238E27FC236}">
              <a16:creationId xmlns:a16="http://schemas.microsoft.com/office/drawing/2014/main" id="{E1A1B083-B9EA-4F47-BCD8-318677D93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4" name="Picture 2" descr="검정로고만">
          <a:extLst>
            <a:ext uri="{FF2B5EF4-FFF2-40B4-BE49-F238E27FC236}">
              <a16:creationId xmlns:a16="http://schemas.microsoft.com/office/drawing/2014/main" id="{CBD77AFE-4F72-4429-848C-C6BE732BD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5" name="Picture 2" descr="검정로고만">
          <a:extLst>
            <a:ext uri="{FF2B5EF4-FFF2-40B4-BE49-F238E27FC236}">
              <a16:creationId xmlns:a16="http://schemas.microsoft.com/office/drawing/2014/main" id="{4F3ABF42-29F1-4CF0-AAAA-65FED5B61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6" name="Picture 2" descr="검정로고만">
          <a:extLst>
            <a:ext uri="{FF2B5EF4-FFF2-40B4-BE49-F238E27FC236}">
              <a16:creationId xmlns:a16="http://schemas.microsoft.com/office/drawing/2014/main" id="{51DCE912-E43E-4813-AB08-CB10CFA1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7" name="Picture 2" descr="검정로고만">
          <a:extLst>
            <a:ext uri="{FF2B5EF4-FFF2-40B4-BE49-F238E27FC236}">
              <a16:creationId xmlns:a16="http://schemas.microsoft.com/office/drawing/2014/main" id="{FA35360B-BCF3-4B96-8058-ABB30A53B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8" name="Picture 2" descr="검정로고만">
          <a:extLst>
            <a:ext uri="{FF2B5EF4-FFF2-40B4-BE49-F238E27FC236}">
              <a16:creationId xmlns:a16="http://schemas.microsoft.com/office/drawing/2014/main" id="{4A098EF0-4465-40B7-AE06-33EACBDA0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19" name="Picture 2" descr="검정로고만">
          <a:extLst>
            <a:ext uri="{FF2B5EF4-FFF2-40B4-BE49-F238E27FC236}">
              <a16:creationId xmlns:a16="http://schemas.microsoft.com/office/drawing/2014/main" id="{72479934-23ED-42A8-AA14-1811A3973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0" name="Picture 2" descr="검정로고만">
          <a:extLst>
            <a:ext uri="{FF2B5EF4-FFF2-40B4-BE49-F238E27FC236}">
              <a16:creationId xmlns:a16="http://schemas.microsoft.com/office/drawing/2014/main" id="{C5483CAA-392F-4573-ADBB-34FB4D070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1" name="Picture 2" descr="검정로고만">
          <a:extLst>
            <a:ext uri="{FF2B5EF4-FFF2-40B4-BE49-F238E27FC236}">
              <a16:creationId xmlns:a16="http://schemas.microsoft.com/office/drawing/2014/main" id="{D8282A93-0B4D-464D-8BD7-051973C7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2" name="Picture 2" descr="검정로고만">
          <a:extLst>
            <a:ext uri="{FF2B5EF4-FFF2-40B4-BE49-F238E27FC236}">
              <a16:creationId xmlns:a16="http://schemas.microsoft.com/office/drawing/2014/main" id="{442F46CE-AB02-402F-B5F3-B613C3879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3" name="Picture 2" descr="검정로고만">
          <a:extLst>
            <a:ext uri="{FF2B5EF4-FFF2-40B4-BE49-F238E27FC236}">
              <a16:creationId xmlns:a16="http://schemas.microsoft.com/office/drawing/2014/main" id="{ACA2A144-750B-414D-B349-A6FA7B6FD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4" name="Picture 2" descr="검정로고만">
          <a:extLst>
            <a:ext uri="{FF2B5EF4-FFF2-40B4-BE49-F238E27FC236}">
              <a16:creationId xmlns:a16="http://schemas.microsoft.com/office/drawing/2014/main" id="{10FFED64-69D9-4923-A974-5D77B27BD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9525"/>
    <xdr:pic>
      <xdr:nvPicPr>
        <xdr:cNvPr id="2825" name="Picture 3" descr="검정 글씨만">
          <a:extLst>
            <a:ext uri="{FF2B5EF4-FFF2-40B4-BE49-F238E27FC236}">
              <a16:creationId xmlns:a16="http://schemas.microsoft.com/office/drawing/2014/main" id="{FD3BB04A-74EE-4F05-8C7E-9F82F44BB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6" name="Picture 2" descr="검정로고만">
          <a:extLst>
            <a:ext uri="{FF2B5EF4-FFF2-40B4-BE49-F238E27FC236}">
              <a16:creationId xmlns:a16="http://schemas.microsoft.com/office/drawing/2014/main" id="{8161BE00-F009-4596-83FA-CF5C0B3CE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7" name="Picture 2" descr="검정로고만">
          <a:extLst>
            <a:ext uri="{FF2B5EF4-FFF2-40B4-BE49-F238E27FC236}">
              <a16:creationId xmlns:a16="http://schemas.microsoft.com/office/drawing/2014/main" id="{5DA50025-B5C4-4040-9753-09BE16E3B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8" name="Picture 2" descr="검정로고만">
          <a:extLst>
            <a:ext uri="{FF2B5EF4-FFF2-40B4-BE49-F238E27FC236}">
              <a16:creationId xmlns:a16="http://schemas.microsoft.com/office/drawing/2014/main" id="{B2D074AA-1983-436F-B48C-BF8E78968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29" name="Picture 2" descr="검정로고만">
          <a:extLst>
            <a:ext uri="{FF2B5EF4-FFF2-40B4-BE49-F238E27FC236}">
              <a16:creationId xmlns:a16="http://schemas.microsoft.com/office/drawing/2014/main" id="{339B037B-AAE1-4C8B-B5F7-B5721B830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30" name="Picture 2" descr="검정로고만">
          <a:extLst>
            <a:ext uri="{FF2B5EF4-FFF2-40B4-BE49-F238E27FC236}">
              <a16:creationId xmlns:a16="http://schemas.microsoft.com/office/drawing/2014/main" id="{BC7756F8-C005-4340-9FB2-1542C69B4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31" name="Picture 2" descr="검정로고만">
          <a:extLst>
            <a:ext uri="{FF2B5EF4-FFF2-40B4-BE49-F238E27FC236}">
              <a16:creationId xmlns:a16="http://schemas.microsoft.com/office/drawing/2014/main" id="{83917A77-153A-4D7F-AF87-78D9B0B45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32" name="Picture 2" descr="검정로고만">
          <a:extLst>
            <a:ext uri="{FF2B5EF4-FFF2-40B4-BE49-F238E27FC236}">
              <a16:creationId xmlns:a16="http://schemas.microsoft.com/office/drawing/2014/main" id="{343F531D-D949-4878-8628-97E15D42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20</xdr:row>
      <xdr:rowOff>0</xdr:rowOff>
    </xdr:from>
    <xdr:ext cx="0" cy="47625"/>
    <xdr:pic>
      <xdr:nvPicPr>
        <xdr:cNvPr id="2833" name="Picture 2" descr="검정로고만">
          <a:extLst>
            <a:ext uri="{FF2B5EF4-FFF2-40B4-BE49-F238E27FC236}">
              <a16:creationId xmlns:a16="http://schemas.microsoft.com/office/drawing/2014/main" id="{8F310A03-99EE-4619-A089-E9B930F3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8734425"/>
          <a:ext cx="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user/DOCUME~1/&#52852;&#52852;&#50724;~1/&#51109;&#44592;&#47116;&#53552;&#52852;%20&#44204;&#51201;&#49436;%20&#50577;&#49885;.xlsx" TargetMode="External"/><Relationship Id="rId1" Type="http://schemas.openxmlformats.org/officeDocument/2006/relationships/externalLinkPath" Target="/Users/user/DOCUME~1/&#52852;&#52852;&#50724;~1/&#51109;&#44592;&#47116;&#53552;&#52852;%20&#44204;&#51201;&#49436;%20&#50577;&#4988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user\DOCUME~1\&#52852;&#52852;&#50724;~1\&#51109;&#44592;&#47116;&#53552;&#52852;%2520&#44204;&#51201;&#49436;%2520&#50577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견적서"/>
      <sheetName val="Sheet1"/>
      <sheetName val="목록상자"/>
    </sheetNames>
    <sheetDataSet>
      <sheetData sheetId="0"/>
      <sheetData sheetId="1"/>
      <sheetData sheetId="2">
        <row r="2">
          <cell r="D2" t="str">
            <v>개인</v>
          </cell>
        </row>
        <row r="3">
          <cell r="D3" t="str">
            <v>법인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서"/>
      <sheetName val="Sheet1"/>
      <sheetName val="목록상자"/>
    </sheetNames>
    <sheetDataSet>
      <sheetData sheetId="0"/>
      <sheetData sheetId="1"/>
      <sheetData sheetId="2">
        <row r="2">
          <cell r="D2" t="str">
            <v>개인</v>
          </cell>
        </row>
        <row r="3">
          <cell r="D3" t="str">
            <v>법인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ent@sdibenefit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ent@sdibenefit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rent@sdibenefit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rent@sdibenefit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DD8C-74F3-499D-9878-D291558FB50E}">
  <dimension ref="A1:AC504"/>
  <sheetViews>
    <sheetView showGridLines="0" tabSelected="1" view="pageLayout" zoomScale="160" zoomScaleNormal="70" zoomScalePageLayoutView="160" workbookViewId="0">
      <selection activeCell="E40" sqref="E40:M40"/>
    </sheetView>
  </sheetViews>
  <sheetFormatPr defaultColWidth="8.75" defaultRowHeight="11.5"/>
  <cols>
    <col min="1" max="13" width="3.08203125" style="11" customWidth="1"/>
    <col min="14" max="14" width="1.33203125" style="11" customWidth="1"/>
    <col min="15" max="15" width="3.75" style="11" customWidth="1"/>
    <col min="16" max="27" width="3.08203125" style="11" customWidth="1"/>
    <col min="28" max="28" width="2.83203125" style="11" customWidth="1"/>
    <col min="29" max="29" width="9.33203125" style="11" bestFit="1" customWidth="1"/>
    <col min="30" max="16384" width="8.75" style="11"/>
  </cols>
  <sheetData>
    <row r="1" spans="1:27" s="10" customFormat="1"/>
    <row r="2" spans="1:27" ht="13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5" customHeight="1">
      <c r="A3" s="10"/>
      <c r="B3" s="10"/>
      <c r="C3" s="10"/>
      <c r="D3" s="10"/>
      <c r="E3" s="10"/>
      <c r="F3" s="10"/>
      <c r="G3" s="10"/>
      <c r="H3" s="10"/>
      <c r="I3" s="347" t="s">
        <v>0</v>
      </c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10"/>
      <c r="U3" s="10"/>
      <c r="V3" s="10"/>
      <c r="W3" s="10"/>
      <c r="X3" s="10"/>
      <c r="Y3" s="10"/>
      <c r="Z3" s="10"/>
      <c r="AA3" s="10"/>
    </row>
    <row r="4" spans="1:27" ht="13.5" customHeight="1">
      <c r="A4" s="10"/>
      <c r="B4" s="10"/>
      <c r="C4" s="10"/>
      <c r="D4" s="10"/>
      <c r="E4" s="10"/>
      <c r="F4" s="10"/>
      <c r="G4" s="10"/>
      <c r="H4" s="10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10"/>
      <c r="U4" s="10"/>
      <c r="V4" s="10"/>
      <c r="W4" s="10"/>
      <c r="X4" s="10"/>
      <c r="Y4" s="10"/>
      <c r="Z4" s="10"/>
      <c r="AA4" s="10"/>
    </row>
    <row r="5" spans="1:27" ht="8.5" customHeight="1" thickBo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3.5" customHeight="1">
      <c r="A6" s="348" t="s">
        <v>1</v>
      </c>
      <c r="B6" s="349"/>
      <c r="C6" s="349"/>
      <c r="D6" s="349"/>
      <c r="E6" s="350"/>
      <c r="F6" s="351"/>
      <c r="G6" s="351"/>
      <c r="H6" s="351"/>
      <c r="I6" s="351"/>
      <c r="J6" s="351"/>
      <c r="K6" s="351"/>
      <c r="L6" s="351"/>
      <c r="M6" s="352"/>
      <c r="N6" s="10"/>
      <c r="O6" s="349" t="s">
        <v>2</v>
      </c>
      <c r="P6" s="349"/>
      <c r="Q6" s="349"/>
      <c r="R6" s="349"/>
      <c r="S6" s="353">
        <f ca="1">TODAY()</f>
        <v>46251</v>
      </c>
      <c r="T6" s="351"/>
      <c r="U6" s="351"/>
      <c r="V6" s="351"/>
      <c r="W6" s="351"/>
      <c r="X6" s="351"/>
      <c r="Y6" s="351"/>
      <c r="Z6" s="351"/>
      <c r="AA6" s="354"/>
    </row>
    <row r="7" spans="1:27" ht="13.5" customHeight="1">
      <c r="A7" s="340" t="s">
        <v>18</v>
      </c>
      <c r="B7" s="332"/>
      <c r="C7" s="332"/>
      <c r="D7" s="332"/>
      <c r="E7" s="334"/>
      <c r="F7" s="335"/>
      <c r="G7" s="335"/>
      <c r="H7" s="335"/>
      <c r="I7" s="335"/>
      <c r="J7" s="335"/>
      <c r="K7" s="335"/>
      <c r="L7" s="335"/>
      <c r="M7" s="355"/>
      <c r="N7" s="10"/>
      <c r="O7" s="332" t="s">
        <v>4</v>
      </c>
      <c r="P7" s="332"/>
      <c r="Q7" s="332"/>
      <c r="R7" s="332"/>
      <c r="S7" s="334" t="s">
        <v>5</v>
      </c>
      <c r="T7" s="335"/>
      <c r="U7" s="335"/>
      <c r="V7" s="335"/>
      <c r="W7" s="335"/>
      <c r="X7" s="335"/>
      <c r="Y7" s="335"/>
      <c r="Z7" s="335"/>
      <c r="AA7" s="336"/>
    </row>
    <row r="8" spans="1:27" ht="13.5" customHeight="1">
      <c r="A8" s="340" t="s">
        <v>158</v>
      </c>
      <c r="B8" s="332"/>
      <c r="C8" s="332"/>
      <c r="D8" s="332"/>
      <c r="E8" s="341"/>
      <c r="F8" s="342"/>
      <c r="G8" s="342"/>
      <c r="H8" s="342"/>
      <c r="I8" s="342"/>
      <c r="J8" s="342"/>
      <c r="K8" s="342"/>
      <c r="L8" s="342"/>
      <c r="M8" s="343"/>
      <c r="N8" s="10"/>
      <c r="O8" s="332" t="s">
        <v>177</v>
      </c>
      <c r="P8" s="332"/>
      <c r="Q8" s="332"/>
      <c r="R8" s="332"/>
      <c r="S8" s="334" t="str">
        <f>"A" &amp; LEFT('견적서 보고용'!AD3, 1) &amp; RIGHT('견적서 보고용'!AD3, 1) &amp;"B" &amp; LEFT('견적서 보고용'!AF19, 1) &amp; RIGHT('견적서 보고용'!AF19, 1)</f>
        <v>A03B06</v>
      </c>
      <c r="T8" s="335"/>
      <c r="U8" s="335"/>
      <c r="V8" s="335"/>
      <c r="W8" s="335"/>
      <c r="X8" s="335"/>
      <c r="Y8" s="335"/>
      <c r="Z8" s="335"/>
      <c r="AA8" s="336"/>
    </row>
    <row r="9" spans="1:27" ht="13.5" customHeight="1">
      <c r="A9" s="340" t="s">
        <v>119</v>
      </c>
      <c r="B9" s="332"/>
      <c r="C9" s="332"/>
      <c r="D9" s="332"/>
      <c r="E9" s="344"/>
      <c r="F9" s="345"/>
      <c r="G9" s="345"/>
      <c r="H9" s="345"/>
      <c r="I9" s="345"/>
      <c r="J9" s="345"/>
      <c r="K9" s="345"/>
      <c r="L9" s="345"/>
      <c r="M9" s="346"/>
      <c r="N9" s="10"/>
      <c r="O9" s="332" t="s">
        <v>7</v>
      </c>
      <c r="P9" s="332"/>
      <c r="Q9" s="332"/>
      <c r="R9" s="332"/>
      <c r="S9" s="334" t="s">
        <v>8</v>
      </c>
      <c r="T9" s="335"/>
      <c r="U9" s="335"/>
      <c r="V9" s="335"/>
      <c r="W9" s="335"/>
      <c r="X9" s="335"/>
      <c r="Y9" s="335"/>
      <c r="Z9" s="335"/>
      <c r="AA9" s="336"/>
    </row>
    <row r="10" spans="1:27" ht="13.5" customHeight="1">
      <c r="A10" s="314" t="s">
        <v>61</v>
      </c>
      <c r="B10" s="315"/>
      <c r="C10" s="315"/>
      <c r="D10" s="316"/>
      <c r="E10" s="323"/>
      <c r="F10" s="324"/>
      <c r="G10" s="324"/>
      <c r="H10" s="324"/>
      <c r="I10" s="324"/>
      <c r="J10" s="324"/>
      <c r="K10" s="324"/>
      <c r="L10" s="324"/>
      <c r="M10" s="325"/>
      <c r="N10" s="10"/>
      <c r="O10" s="332" t="s">
        <v>9</v>
      </c>
      <c r="P10" s="332"/>
      <c r="Q10" s="332" t="s">
        <v>10</v>
      </c>
      <c r="R10" s="332"/>
      <c r="S10" s="334" t="s">
        <v>11</v>
      </c>
      <c r="T10" s="335"/>
      <c r="U10" s="335"/>
      <c r="V10" s="335"/>
      <c r="W10" s="335"/>
      <c r="X10" s="335"/>
      <c r="Y10" s="335"/>
      <c r="Z10" s="335"/>
      <c r="AA10" s="336"/>
    </row>
    <row r="11" spans="1:27" ht="13.5" customHeight="1">
      <c r="A11" s="317"/>
      <c r="B11" s="318"/>
      <c r="C11" s="318"/>
      <c r="D11" s="319"/>
      <c r="E11" s="326"/>
      <c r="F11" s="327"/>
      <c r="G11" s="327"/>
      <c r="H11" s="327"/>
      <c r="I11" s="327"/>
      <c r="J11" s="327"/>
      <c r="K11" s="327"/>
      <c r="L11" s="327"/>
      <c r="M11" s="328"/>
      <c r="N11" s="10"/>
      <c r="O11" s="332"/>
      <c r="P11" s="332"/>
      <c r="Q11" s="332" t="s">
        <v>12</v>
      </c>
      <c r="R11" s="332"/>
      <c r="S11" s="334" t="s">
        <v>13</v>
      </c>
      <c r="T11" s="335"/>
      <c r="U11" s="335"/>
      <c r="V11" s="335"/>
      <c r="W11" s="335"/>
      <c r="X11" s="335"/>
      <c r="Y11" s="335"/>
      <c r="Z11" s="335"/>
      <c r="AA11" s="336"/>
    </row>
    <row r="12" spans="1:27" ht="13.5" customHeight="1" thickBot="1">
      <c r="A12" s="320"/>
      <c r="B12" s="321"/>
      <c r="C12" s="321"/>
      <c r="D12" s="322"/>
      <c r="E12" s="329"/>
      <c r="F12" s="330"/>
      <c r="G12" s="330"/>
      <c r="H12" s="330"/>
      <c r="I12" s="330"/>
      <c r="J12" s="330"/>
      <c r="K12" s="330"/>
      <c r="L12" s="330"/>
      <c r="M12" s="331"/>
      <c r="N12" s="10"/>
      <c r="O12" s="333"/>
      <c r="P12" s="333"/>
      <c r="Q12" s="333" t="s">
        <v>14</v>
      </c>
      <c r="R12" s="333"/>
      <c r="S12" s="337" t="s">
        <v>15</v>
      </c>
      <c r="T12" s="338"/>
      <c r="U12" s="338"/>
      <c r="V12" s="338"/>
      <c r="W12" s="338"/>
      <c r="X12" s="338"/>
      <c r="Y12" s="338"/>
      <c r="Z12" s="338"/>
      <c r="AA12" s="339"/>
    </row>
    <row r="13" spans="1:27" ht="8.5" customHeight="1" thickBo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3.5" customHeight="1">
      <c r="A14" s="300" t="s">
        <v>16</v>
      </c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2"/>
    </row>
    <row r="15" spans="1:27" ht="13.5" customHeight="1">
      <c r="A15" s="303"/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5"/>
    </row>
    <row r="16" spans="1:27" ht="13.5" customHeight="1" thickBot="1">
      <c r="A16" s="306"/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8"/>
    </row>
    <row r="17" spans="1:29" ht="8.5" customHeight="1" thickBo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9" ht="13.5" customHeight="1" thickBot="1">
      <c r="A18" s="12" t="s">
        <v>17</v>
      </c>
      <c r="B18" s="309" t="s">
        <v>18</v>
      </c>
      <c r="C18" s="310"/>
      <c r="D18" s="310"/>
      <c r="E18" s="310"/>
      <c r="F18" s="310"/>
      <c r="G18" s="310"/>
      <c r="H18" s="13" t="s">
        <v>19</v>
      </c>
      <c r="I18" s="310" t="s">
        <v>20</v>
      </c>
      <c r="J18" s="310"/>
      <c r="K18" s="310"/>
      <c r="L18" s="310" t="s">
        <v>21</v>
      </c>
      <c r="M18" s="310"/>
      <c r="N18" s="310"/>
      <c r="O18" s="310"/>
      <c r="P18" s="310" t="s">
        <v>22</v>
      </c>
      <c r="Q18" s="310"/>
      <c r="R18" s="310"/>
      <c r="S18" s="310" t="s">
        <v>23</v>
      </c>
      <c r="T18" s="310"/>
      <c r="U18" s="310"/>
      <c r="V18" s="310" t="s">
        <v>24</v>
      </c>
      <c r="W18" s="310"/>
      <c r="X18" s="310"/>
      <c r="Y18" s="311" t="s">
        <v>25</v>
      </c>
      <c r="Z18" s="312"/>
      <c r="AA18" s="313"/>
    </row>
    <row r="19" spans="1:29" ht="13.5" customHeight="1">
      <c r="A19" s="292">
        <v>1</v>
      </c>
      <c r="B19" s="294"/>
      <c r="C19" s="295"/>
      <c r="D19" s="295"/>
      <c r="E19" s="295"/>
      <c r="F19" s="295"/>
      <c r="G19" s="295"/>
      <c r="H19" s="28"/>
      <c r="I19" s="296"/>
      <c r="J19" s="296"/>
      <c r="K19" s="296"/>
      <c r="L19" s="297"/>
      <c r="M19" s="298"/>
      <c r="N19" s="298"/>
      <c r="O19" s="299"/>
      <c r="P19" s="277"/>
      <c r="Q19" s="278"/>
      <c r="R19" s="278"/>
      <c r="S19" s="277"/>
      <c r="T19" s="278"/>
      <c r="U19" s="278"/>
      <c r="V19" s="255"/>
      <c r="W19" s="255"/>
      <c r="X19" s="255"/>
      <c r="Y19" s="289"/>
      <c r="Z19" s="290"/>
      <c r="AA19" s="291"/>
      <c r="AC19" s="14"/>
    </row>
    <row r="20" spans="1:29" ht="13.5" customHeight="1" thickBot="1">
      <c r="A20" s="293"/>
      <c r="B20" s="279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1"/>
      <c r="P20" s="282"/>
      <c r="Q20" s="283"/>
      <c r="R20" s="284"/>
      <c r="S20" s="282"/>
      <c r="T20" s="283"/>
      <c r="U20" s="284"/>
      <c r="V20" s="282"/>
      <c r="W20" s="283"/>
      <c r="X20" s="284"/>
      <c r="Y20" s="285"/>
      <c r="Z20" s="286"/>
      <c r="AA20" s="287"/>
    </row>
    <row r="21" spans="1:29" ht="13.5" customHeight="1">
      <c r="A21" s="268">
        <v>2</v>
      </c>
      <c r="B21" s="270"/>
      <c r="C21" s="271"/>
      <c r="D21" s="271"/>
      <c r="E21" s="271"/>
      <c r="F21" s="271"/>
      <c r="G21" s="272"/>
      <c r="H21" s="24"/>
      <c r="I21" s="273"/>
      <c r="J21" s="274"/>
      <c r="K21" s="275"/>
      <c r="L21" s="256"/>
      <c r="M21" s="257"/>
      <c r="N21" s="257"/>
      <c r="O21" s="276"/>
      <c r="P21" s="277"/>
      <c r="Q21" s="278"/>
      <c r="R21" s="278"/>
      <c r="S21" s="277"/>
      <c r="T21" s="278"/>
      <c r="U21" s="278"/>
      <c r="V21" s="255"/>
      <c r="W21" s="255"/>
      <c r="X21" s="255"/>
      <c r="Y21" s="256"/>
      <c r="Z21" s="257"/>
      <c r="AA21" s="258"/>
    </row>
    <row r="22" spans="1:29" ht="13.5" customHeight="1" thickBot="1">
      <c r="A22" s="288"/>
      <c r="B22" s="279"/>
      <c r="C22" s="280"/>
      <c r="D22" s="280"/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1"/>
      <c r="P22" s="282"/>
      <c r="Q22" s="283"/>
      <c r="R22" s="284"/>
      <c r="S22" s="282"/>
      <c r="T22" s="283"/>
      <c r="U22" s="284"/>
      <c r="V22" s="282"/>
      <c r="W22" s="283"/>
      <c r="X22" s="284"/>
      <c r="Y22" s="285"/>
      <c r="Z22" s="286"/>
      <c r="AA22" s="287"/>
    </row>
    <row r="23" spans="1:29" ht="13.5" customHeight="1">
      <c r="A23" s="268">
        <v>3</v>
      </c>
      <c r="B23" s="270"/>
      <c r="C23" s="271"/>
      <c r="D23" s="271"/>
      <c r="E23" s="271"/>
      <c r="F23" s="271"/>
      <c r="G23" s="272"/>
      <c r="H23" s="24"/>
      <c r="I23" s="273"/>
      <c r="J23" s="274"/>
      <c r="K23" s="275"/>
      <c r="L23" s="256"/>
      <c r="M23" s="257"/>
      <c r="N23" s="257"/>
      <c r="O23" s="276"/>
      <c r="P23" s="277"/>
      <c r="Q23" s="278"/>
      <c r="R23" s="278"/>
      <c r="S23" s="277"/>
      <c r="T23" s="278"/>
      <c r="U23" s="278"/>
      <c r="V23" s="255"/>
      <c r="W23" s="255"/>
      <c r="X23" s="255"/>
      <c r="Y23" s="256"/>
      <c r="Z23" s="257"/>
      <c r="AA23" s="258"/>
    </row>
    <row r="24" spans="1:29" ht="13.5" customHeight="1" thickBot="1">
      <c r="A24" s="288"/>
      <c r="B24" s="279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1"/>
      <c r="P24" s="282"/>
      <c r="Q24" s="283"/>
      <c r="R24" s="284"/>
      <c r="S24" s="282"/>
      <c r="T24" s="283"/>
      <c r="U24" s="284"/>
      <c r="V24" s="282"/>
      <c r="W24" s="283"/>
      <c r="X24" s="284"/>
      <c r="Y24" s="285"/>
      <c r="Z24" s="286"/>
      <c r="AA24" s="287"/>
    </row>
    <row r="25" spans="1:29" ht="13.5" customHeight="1">
      <c r="A25" s="268">
        <v>4</v>
      </c>
      <c r="B25" s="270"/>
      <c r="C25" s="271"/>
      <c r="D25" s="271"/>
      <c r="E25" s="271"/>
      <c r="F25" s="271"/>
      <c r="G25" s="272"/>
      <c r="H25" s="24"/>
      <c r="I25" s="273"/>
      <c r="J25" s="274"/>
      <c r="K25" s="275"/>
      <c r="L25" s="256"/>
      <c r="M25" s="257"/>
      <c r="N25" s="257"/>
      <c r="O25" s="276"/>
      <c r="P25" s="277"/>
      <c r="Q25" s="278"/>
      <c r="R25" s="278"/>
      <c r="S25" s="277"/>
      <c r="T25" s="278"/>
      <c r="U25" s="278"/>
      <c r="V25" s="255"/>
      <c r="W25" s="255"/>
      <c r="X25" s="255"/>
      <c r="Y25" s="256"/>
      <c r="Z25" s="257"/>
      <c r="AA25" s="258"/>
    </row>
    <row r="26" spans="1:29" ht="13.5" customHeight="1" thickBot="1">
      <c r="A26" s="269"/>
      <c r="B26" s="259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1"/>
      <c r="P26" s="262"/>
      <c r="Q26" s="263"/>
      <c r="R26" s="264"/>
      <c r="S26" s="262"/>
      <c r="T26" s="263"/>
      <c r="U26" s="264"/>
      <c r="V26" s="262"/>
      <c r="W26" s="263"/>
      <c r="X26" s="264"/>
      <c r="Y26" s="265"/>
      <c r="Z26" s="266"/>
      <c r="AA26" s="267"/>
    </row>
    <row r="27" spans="1:29" ht="13.5" customHeight="1" thickBo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74"/>
      <c r="S27" s="240" t="s">
        <v>26</v>
      </c>
      <c r="T27" s="240"/>
      <c r="U27" s="240"/>
      <c r="V27" s="240"/>
      <c r="W27" s="240"/>
      <c r="X27" s="240"/>
      <c r="Y27" s="240"/>
      <c r="Z27" s="240"/>
      <c r="AA27" s="240"/>
    </row>
    <row r="28" spans="1:29" ht="13.5" customHeight="1">
      <c r="A28" s="241" t="s">
        <v>27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3"/>
    </row>
    <row r="29" spans="1:29" ht="13.5" customHeight="1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6"/>
    </row>
    <row r="30" spans="1:29" ht="13.5" customHeight="1" thickBot="1">
      <c r="A30" s="247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9"/>
    </row>
    <row r="31" spans="1:29" ht="8.5" customHeight="1" thickBo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9" ht="13.5" customHeight="1" thickBot="1">
      <c r="A32" s="176" t="s">
        <v>28</v>
      </c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8"/>
      <c r="N32" s="10"/>
      <c r="O32" s="176" t="s">
        <v>29</v>
      </c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8"/>
    </row>
    <row r="33" spans="1:27" ht="13.5" customHeight="1">
      <c r="A33" s="250" t="s">
        <v>30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2"/>
      <c r="N33" s="10"/>
      <c r="O33" s="253" t="s">
        <v>132</v>
      </c>
      <c r="P33" s="251"/>
      <c r="Q33" s="251"/>
      <c r="R33" s="251"/>
      <c r="S33" s="251"/>
      <c r="T33" s="254"/>
      <c r="U33" s="254"/>
      <c r="V33" s="33" t="s">
        <v>133</v>
      </c>
      <c r="W33" s="65"/>
      <c r="X33" s="65"/>
      <c r="Y33" s="33"/>
      <c r="Z33" s="33"/>
      <c r="AA33" s="34"/>
    </row>
    <row r="34" spans="1:27" ht="13.5" customHeight="1">
      <c r="A34" s="234" t="s">
        <v>31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6"/>
      <c r="N34" s="10"/>
      <c r="O34" s="237" t="s">
        <v>134</v>
      </c>
      <c r="P34" s="235"/>
      <c r="Q34" s="235"/>
      <c r="R34" s="235"/>
      <c r="S34" s="235"/>
      <c r="T34" s="238">
        <v>0.35</v>
      </c>
      <c r="U34" s="239"/>
      <c r="V34" s="239"/>
      <c r="W34" s="239"/>
      <c r="X34" s="63"/>
      <c r="Y34" s="63"/>
      <c r="Z34" s="63"/>
      <c r="AA34" s="64"/>
    </row>
    <row r="35" spans="1:27" ht="13.5" customHeight="1" thickBot="1">
      <c r="A35" s="237" t="s">
        <v>32</v>
      </c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6"/>
      <c r="N35" s="10"/>
      <c r="O35" s="237" t="s">
        <v>135</v>
      </c>
      <c r="P35" s="235"/>
      <c r="Q35" s="235"/>
      <c r="R35" s="235"/>
      <c r="S35" s="235"/>
      <c r="T35" s="238" t="s">
        <v>136</v>
      </c>
      <c r="U35" s="239"/>
      <c r="V35" s="239"/>
      <c r="W35" s="239"/>
      <c r="X35" s="66"/>
      <c r="Y35" s="66"/>
      <c r="Z35" s="66"/>
      <c r="AA35" s="67"/>
    </row>
    <row r="36" spans="1:27" ht="13.5" customHeight="1" thickBot="1">
      <c r="A36" s="176" t="s">
        <v>33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8"/>
      <c r="N36" s="10"/>
      <c r="O36" s="176" t="s">
        <v>34</v>
      </c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8"/>
    </row>
    <row r="37" spans="1:27" ht="13.5" customHeight="1">
      <c r="A37" s="225" t="s">
        <v>137</v>
      </c>
      <c r="B37" s="226"/>
      <c r="C37" s="226"/>
      <c r="D37" s="227" t="s">
        <v>138</v>
      </c>
      <c r="E37" s="227"/>
      <c r="F37" s="227"/>
      <c r="G37" s="68" t="s">
        <v>139</v>
      </c>
      <c r="H37" s="226" t="s">
        <v>140</v>
      </c>
      <c r="I37" s="226"/>
      <c r="J37" s="226"/>
      <c r="K37" s="227" t="s">
        <v>141</v>
      </c>
      <c r="L37" s="227"/>
      <c r="M37" s="228"/>
      <c r="N37" s="15"/>
      <c r="O37" s="229" t="s">
        <v>35</v>
      </c>
      <c r="P37" s="230"/>
      <c r="Q37" s="218" t="s">
        <v>36</v>
      </c>
      <c r="R37" s="233"/>
      <c r="S37" s="233"/>
      <c r="T37" s="233"/>
      <c r="U37" s="233"/>
      <c r="V37" s="233"/>
      <c r="W37" s="233"/>
      <c r="X37" s="233"/>
      <c r="Y37" s="233"/>
      <c r="Z37" s="16">
        <f>D20</f>
        <v>0</v>
      </c>
      <c r="AA37" s="17"/>
    </row>
    <row r="38" spans="1:27" ht="13.5" customHeight="1">
      <c r="A38" s="210" t="s">
        <v>37</v>
      </c>
      <c r="B38" s="211"/>
      <c r="C38" s="211"/>
      <c r="D38" s="211"/>
      <c r="E38" s="212" t="s">
        <v>38</v>
      </c>
      <c r="F38" s="212"/>
      <c r="G38" s="212"/>
      <c r="H38" s="212"/>
      <c r="I38" s="212"/>
      <c r="J38" s="212"/>
      <c r="K38" s="212"/>
      <c r="L38" s="212"/>
      <c r="M38" s="213"/>
      <c r="N38" s="15"/>
      <c r="O38" s="214"/>
      <c r="P38" s="215"/>
      <c r="Q38" s="201" t="s">
        <v>39</v>
      </c>
      <c r="R38" s="201"/>
      <c r="S38" s="201"/>
      <c r="T38" s="201"/>
      <c r="U38" s="201"/>
      <c r="V38" s="201"/>
      <c r="W38" s="201"/>
      <c r="X38" s="201"/>
      <c r="Y38" s="91"/>
      <c r="Z38" s="92" t="s">
        <v>103</v>
      </c>
      <c r="AA38" s="18"/>
    </row>
    <row r="39" spans="1:27" ht="13.5" customHeight="1" thickBot="1">
      <c r="A39" s="210" t="s">
        <v>40</v>
      </c>
      <c r="B39" s="211"/>
      <c r="C39" s="211"/>
      <c r="D39" s="211"/>
      <c r="E39" s="212" t="s">
        <v>217</v>
      </c>
      <c r="F39" s="212"/>
      <c r="G39" s="212"/>
      <c r="H39" s="212"/>
      <c r="I39" s="212"/>
      <c r="J39" s="212"/>
      <c r="K39" s="212"/>
      <c r="L39" s="212"/>
      <c r="M39" s="213"/>
      <c r="N39" s="15"/>
      <c r="O39" s="231"/>
      <c r="P39" s="232"/>
      <c r="Q39" s="223" t="s">
        <v>41</v>
      </c>
      <c r="R39" s="224"/>
      <c r="S39" s="224"/>
      <c r="T39" s="224"/>
      <c r="U39" s="224"/>
      <c r="V39" s="224"/>
      <c r="W39" s="224"/>
      <c r="X39" s="224"/>
      <c r="Y39" s="224"/>
      <c r="Z39" s="19" t="s">
        <v>104</v>
      </c>
      <c r="AA39" s="20"/>
    </row>
    <row r="40" spans="1:27" ht="13.5" customHeight="1" thickBot="1">
      <c r="A40" s="210" t="s">
        <v>42</v>
      </c>
      <c r="B40" s="211"/>
      <c r="C40" s="211"/>
      <c r="D40" s="211"/>
      <c r="E40" s="212" t="s">
        <v>318</v>
      </c>
      <c r="F40" s="212"/>
      <c r="G40" s="212"/>
      <c r="H40" s="212"/>
      <c r="I40" s="212"/>
      <c r="J40" s="212"/>
      <c r="K40" s="212"/>
      <c r="L40" s="212"/>
      <c r="M40" s="213"/>
      <c r="N40" s="15"/>
      <c r="O40" s="176" t="s">
        <v>213</v>
      </c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8"/>
    </row>
    <row r="41" spans="1:27" ht="13.5" customHeight="1">
      <c r="A41" s="210" t="s">
        <v>43</v>
      </c>
      <c r="B41" s="211"/>
      <c r="C41" s="211"/>
      <c r="D41" s="211"/>
      <c r="E41" s="212" t="s">
        <v>175</v>
      </c>
      <c r="F41" s="212"/>
      <c r="G41" s="212"/>
      <c r="H41" s="212"/>
      <c r="I41" s="212"/>
      <c r="J41" s="212"/>
      <c r="K41" s="212"/>
      <c r="L41" s="212"/>
      <c r="M41" s="213"/>
      <c r="N41" s="15"/>
      <c r="O41" s="214" t="s">
        <v>44</v>
      </c>
      <c r="P41" s="215"/>
      <c r="Q41" s="218" t="s">
        <v>45</v>
      </c>
      <c r="R41" s="218"/>
      <c r="S41" s="218"/>
      <c r="T41" s="218"/>
      <c r="U41" s="218"/>
      <c r="V41" s="218"/>
      <c r="W41" s="218"/>
      <c r="X41" s="91"/>
      <c r="Y41" s="219" t="str">
        <f>IF($Z$37="미가입",$Z$37, "가입")</f>
        <v>가입</v>
      </c>
      <c r="Z41" s="219"/>
      <c r="AA41" s="220"/>
    </row>
    <row r="42" spans="1:27" ht="13.5" customHeight="1">
      <c r="A42" s="210" t="s">
        <v>46</v>
      </c>
      <c r="B42" s="211"/>
      <c r="C42" s="211"/>
      <c r="D42" s="211"/>
      <c r="E42" s="212" t="s">
        <v>47</v>
      </c>
      <c r="F42" s="212"/>
      <c r="G42" s="212"/>
      <c r="H42" s="212"/>
      <c r="I42" s="212"/>
      <c r="J42" s="212"/>
      <c r="K42" s="212"/>
      <c r="L42" s="212"/>
      <c r="M42" s="213"/>
      <c r="N42" s="15"/>
      <c r="O42" s="214"/>
      <c r="P42" s="215"/>
      <c r="Q42" s="201" t="s">
        <v>48</v>
      </c>
      <c r="R42" s="201"/>
      <c r="S42" s="201"/>
      <c r="T42" s="201"/>
      <c r="U42" s="201"/>
      <c r="V42" s="201"/>
      <c r="W42" s="201"/>
      <c r="X42" s="91"/>
      <c r="Y42" s="202" t="str">
        <f>IF($Z$37="미가입",$Z$37, "가입")</f>
        <v>가입</v>
      </c>
      <c r="Z42" s="202"/>
      <c r="AA42" s="203"/>
    </row>
    <row r="43" spans="1:27" ht="13.5" customHeight="1">
      <c r="A43" s="221" t="s">
        <v>142</v>
      </c>
      <c r="B43" s="222"/>
      <c r="C43" s="222"/>
      <c r="D43" s="222"/>
      <c r="E43" s="199" t="s">
        <v>104</v>
      </c>
      <c r="F43" s="199"/>
      <c r="G43" s="199"/>
      <c r="H43" s="199"/>
      <c r="I43" s="199"/>
      <c r="J43" s="199"/>
      <c r="K43" s="199"/>
      <c r="L43" s="199"/>
      <c r="M43" s="200"/>
      <c r="N43" s="15"/>
      <c r="O43" s="214"/>
      <c r="P43" s="215"/>
      <c r="Q43" s="201" t="s">
        <v>49</v>
      </c>
      <c r="R43" s="201"/>
      <c r="S43" s="201"/>
      <c r="T43" s="201"/>
      <c r="U43" s="201"/>
      <c r="V43" s="201"/>
      <c r="W43" s="201"/>
      <c r="X43" s="91"/>
      <c r="Y43" s="202" t="str">
        <f>IF($Z$37="미가입",$Z$37, "가입")</f>
        <v>가입</v>
      </c>
      <c r="Z43" s="202"/>
      <c r="AA43" s="203"/>
    </row>
    <row r="44" spans="1:27" ht="13.5" customHeight="1" thickBot="1">
      <c r="A44" s="204" t="s">
        <v>50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6"/>
      <c r="N44" s="10"/>
      <c r="O44" s="216"/>
      <c r="P44" s="217"/>
      <c r="Q44" s="207" t="s">
        <v>218</v>
      </c>
      <c r="R44" s="207"/>
      <c r="S44" s="207"/>
      <c r="T44" s="207"/>
      <c r="U44" s="207"/>
      <c r="V44" s="207"/>
      <c r="W44" s="207"/>
      <c r="X44" s="93"/>
      <c r="Y44" s="208" t="str">
        <f>IF(Z37 ="가입", '견적서 보고용'!AD11&amp;"본 제공", "미가입")</f>
        <v>미가입</v>
      </c>
      <c r="Z44" s="208"/>
      <c r="AA44" s="209"/>
    </row>
    <row r="45" spans="1:27" ht="13.5" customHeight="1" thickBot="1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1"/>
      <c r="N45" s="15"/>
      <c r="O45" s="75"/>
      <c r="P45" s="75"/>
      <c r="Q45" s="175"/>
      <c r="R45" s="175"/>
      <c r="S45" s="175"/>
      <c r="T45" s="175"/>
      <c r="U45" s="175"/>
      <c r="V45" s="175"/>
      <c r="W45" s="175"/>
      <c r="X45" s="175"/>
      <c r="Y45" s="175"/>
      <c r="Z45" s="22"/>
      <c r="AA45" s="22"/>
    </row>
    <row r="46" spans="1:27" ht="13.5" customHeight="1" thickBot="1">
      <c r="A46" s="176" t="s">
        <v>121</v>
      </c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8"/>
      <c r="N46" s="10"/>
      <c r="O46" s="176" t="s">
        <v>51</v>
      </c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8"/>
    </row>
    <row r="47" spans="1:27" ht="13.5" customHeight="1">
      <c r="A47" s="179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1"/>
      <c r="N47" s="10"/>
      <c r="O47" s="188" t="s">
        <v>52</v>
      </c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90"/>
    </row>
    <row r="48" spans="1:27" ht="13.5" customHeight="1">
      <c r="A48" s="182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4"/>
      <c r="N48" s="10"/>
      <c r="O48" s="191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3"/>
    </row>
    <row r="49" spans="1:27" ht="13.5" customHeight="1">
      <c r="A49" s="182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4"/>
      <c r="N49" s="10"/>
      <c r="O49" s="191" t="s">
        <v>53</v>
      </c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5"/>
    </row>
    <row r="50" spans="1:27" ht="13.5" customHeight="1">
      <c r="A50" s="18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4"/>
      <c r="N50" s="10"/>
      <c r="O50" s="191" t="s">
        <v>230</v>
      </c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3"/>
    </row>
    <row r="51" spans="1:27" ht="13.5" customHeight="1">
      <c r="A51" s="18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4"/>
      <c r="N51" s="10"/>
      <c r="O51" s="191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3"/>
    </row>
    <row r="52" spans="1:27" ht="13.5" customHeight="1" thickBot="1">
      <c r="A52" s="185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0"/>
      <c r="O52" s="196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8"/>
    </row>
    <row r="53" spans="1:27" ht="9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3.5" customHeight="1">
      <c r="A54" s="10"/>
      <c r="B54" s="171" t="s">
        <v>54</v>
      </c>
      <c r="C54" s="171"/>
      <c r="D54" s="172" t="s">
        <v>55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</row>
    <row r="55" spans="1:27" ht="13.5" customHeight="1">
      <c r="A55" s="10"/>
      <c r="B55" s="171"/>
      <c r="C55" s="171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</row>
    <row r="56" spans="1:27" ht="9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23"/>
      <c r="L56" s="27"/>
      <c r="M56" s="27"/>
      <c r="N56" s="27"/>
      <c r="O56" s="27"/>
      <c r="P56" s="27"/>
      <c r="Q56" s="27"/>
      <c r="R56" s="27"/>
      <c r="S56" s="23"/>
      <c r="T56" s="26"/>
      <c r="U56" s="10"/>
      <c r="V56" s="10"/>
      <c r="W56" s="10"/>
      <c r="X56" s="10"/>
      <c r="Y56" s="10"/>
      <c r="Z56" s="10"/>
      <c r="AA56" s="10"/>
    </row>
    <row r="57" spans="1:2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73" t="s">
        <v>56</v>
      </c>
      <c r="L57" s="173"/>
      <c r="M57" s="173"/>
      <c r="N57" s="27"/>
      <c r="O57" s="174" t="s">
        <v>6</v>
      </c>
      <c r="P57" s="174"/>
      <c r="Q57" s="174"/>
      <c r="R57" s="27"/>
      <c r="S57" s="23"/>
      <c r="T57" s="26"/>
      <c r="U57" s="10"/>
      <c r="V57" s="10"/>
      <c r="W57" s="10"/>
      <c r="X57" s="10"/>
      <c r="Y57" s="10"/>
      <c r="Z57" s="10"/>
      <c r="AA57" s="10"/>
    </row>
    <row r="58" spans="1:27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73" t="s">
        <v>57</v>
      </c>
      <c r="L58" s="173"/>
      <c r="M58" s="173"/>
      <c r="N58" s="27"/>
      <c r="O58" s="174" t="s">
        <v>58</v>
      </c>
      <c r="P58" s="174"/>
      <c r="Q58" s="174"/>
      <c r="R58" s="27"/>
      <c r="S58" s="23"/>
      <c r="T58" s="26"/>
      <c r="U58" s="10"/>
      <c r="V58" s="10"/>
      <c r="W58" s="10"/>
      <c r="X58" s="10"/>
      <c r="Y58" s="10"/>
      <c r="Z58" s="10"/>
      <c r="AA58" s="10"/>
    </row>
    <row r="59" spans="1:27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23"/>
      <c r="L59" s="23"/>
      <c r="M59" s="23"/>
      <c r="N59" s="23"/>
      <c r="O59" s="23"/>
      <c r="P59" s="23"/>
      <c r="Q59" s="23"/>
      <c r="R59" s="23"/>
      <c r="S59" s="23"/>
      <c r="T59" s="26"/>
      <c r="U59" s="10"/>
      <c r="V59" s="10"/>
      <c r="W59" s="10"/>
      <c r="X59" s="10"/>
      <c r="Y59" s="10"/>
      <c r="Z59" s="10"/>
      <c r="AA59" s="10"/>
    </row>
    <row r="60" spans="1:27" ht="13.5" customHeight="1"/>
    <row r="61" spans="1:27" ht="13.5" customHeight="1"/>
    <row r="62" spans="1:27" ht="13.5" customHeight="1"/>
    <row r="63" spans="1:27" ht="13.5" customHeight="1"/>
    <row r="64" spans="1:2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4.5" customHeight="1"/>
    <row r="390" ht="14.5" customHeight="1"/>
    <row r="391" ht="14.5" customHeight="1"/>
    <row r="392" ht="14.5" customHeight="1"/>
    <row r="393" ht="14.5" customHeight="1"/>
    <row r="394" ht="14.5" customHeight="1"/>
    <row r="395" ht="14.5" customHeight="1"/>
    <row r="396" ht="14.5" customHeight="1"/>
    <row r="397" ht="14.5" customHeight="1"/>
    <row r="398" ht="14.5" customHeight="1"/>
    <row r="399" ht="14.5" customHeight="1"/>
    <row r="400" ht="14.5" customHeight="1"/>
    <row r="401" ht="14.5" customHeight="1"/>
    <row r="402" ht="14.5" customHeight="1"/>
    <row r="403" ht="14.5" customHeight="1"/>
    <row r="404" ht="14.5" customHeight="1"/>
    <row r="405" ht="14.5" customHeight="1"/>
    <row r="406" ht="14.5" customHeight="1"/>
    <row r="407" ht="14.5" customHeight="1"/>
    <row r="408" ht="14.5" customHeight="1"/>
    <row r="409" ht="14.5" customHeight="1"/>
    <row r="410" ht="14.5" customHeight="1"/>
    <row r="411" ht="14.5" customHeight="1"/>
    <row r="412" ht="14.5" customHeight="1"/>
    <row r="413" ht="14.5" customHeight="1"/>
    <row r="414" ht="14.5" customHeight="1"/>
    <row r="415" ht="14.5" customHeight="1"/>
    <row r="416" ht="14.5" customHeight="1"/>
    <row r="417" ht="14.5" customHeight="1"/>
    <row r="418" ht="14.5" customHeight="1"/>
    <row r="419" ht="14.5" customHeight="1"/>
    <row r="420" ht="14.5" customHeight="1"/>
    <row r="421" ht="14.5" customHeight="1"/>
    <row r="422" ht="14.5" customHeight="1"/>
    <row r="423" ht="14.5" customHeight="1"/>
    <row r="424" ht="14.5" customHeight="1"/>
    <row r="425" ht="14.5" customHeight="1"/>
    <row r="426" ht="14.5" customHeight="1"/>
    <row r="427" ht="14.5" customHeight="1"/>
    <row r="428" ht="14.5" customHeight="1"/>
    <row r="429" ht="14.5" customHeight="1"/>
    <row r="430" ht="14.5" customHeight="1"/>
    <row r="431" ht="14.5" customHeight="1"/>
    <row r="432" ht="14.5" customHeight="1"/>
    <row r="433" ht="14.5" customHeight="1"/>
    <row r="434" ht="14.5" customHeight="1"/>
    <row r="435" ht="14.5" customHeight="1"/>
    <row r="436" ht="14.5" customHeight="1"/>
    <row r="437" ht="14.5" customHeight="1"/>
    <row r="438" ht="14.5" customHeight="1"/>
    <row r="439" ht="14.5" customHeight="1"/>
    <row r="440" ht="14.5" customHeight="1"/>
    <row r="441" ht="14.5" customHeight="1"/>
    <row r="442" ht="14.5" customHeight="1"/>
    <row r="443" ht="14.5" customHeight="1"/>
    <row r="444" ht="14.5" customHeight="1"/>
    <row r="445" ht="14.5" customHeight="1"/>
    <row r="446" ht="14.5" customHeight="1"/>
    <row r="447" ht="14.5" customHeight="1"/>
    <row r="448" ht="14.5" customHeight="1"/>
    <row r="449" ht="14.5" customHeight="1"/>
    <row r="450" ht="14.5" customHeight="1"/>
    <row r="451" ht="14.5" customHeight="1"/>
    <row r="452" ht="14.5" customHeight="1"/>
    <row r="453" ht="14.5" customHeight="1"/>
    <row r="454" ht="14.5" customHeight="1"/>
    <row r="455" ht="14.5" customHeight="1"/>
    <row r="456" ht="14.5" customHeight="1"/>
    <row r="457" ht="14.5" customHeight="1"/>
    <row r="458" ht="14.5" customHeight="1"/>
    <row r="459" ht="14.5" customHeight="1"/>
    <row r="460" ht="14.5" customHeight="1"/>
    <row r="461" ht="14.5" customHeight="1"/>
    <row r="462" ht="14.5" customHeight="1"/>
    <row r="463" ht="14.5" customHeight="1"/>
    <row r="464" ht="14.5" customHeight="1"/>
    <row r="465" ht="14.5" customHeight="1"/>
    <row r="466" ht="14.5" customHeight="1"/>
    <row r="467" ht="14.5" customHeight="1"/>
    <row r="468" ht="14.5" customHeight="1"/>
    <row r="469" ht="14.5" customHeight="1"/>
    <row r="470" ht="14.5" customHeight="1"/>
    <row r="471" ht="14.5" customHeight="1"/>
    <row r="472" ht="14.5" customHeight="1"/>
    <row r="473" ht="14.5" customHeight="1"/>
    <row r="474" ht="14.5" customHeight="1"/>
    <row r="475" ht="14.5" customHeight="1"/>
    <row r="476" ht="14.5" customHeight="1"/>
    <row r="477" ht="14.5" customHeight="1"/>
    <row r="478" ht="14.5" customHeight="1"/>
    <row r="479" ht="14.5" customHeight="1"/>
    <row r="480" ht="14.5" customHeight="1"/>
    <row r="481" ht="14.5" customHeight="1"/>
    <row r="482" ht="14.5" customHeight="1"/>
    <row r="483" ht="14.5" customHeight="1"/>
    <row r="484" ht="14.5" customHeight="1"/>
    <row r="485" ht="14.5" customHeight="1"/>
    <row r="486" ht="14.5" customHeight="1"/>
    <row r="487" ht="14.5" customHeight="1"/>
    <row r="488" ht="14.5" customHeight="1"/>
    <row r="489" ht="14.5" customHeight="1"/>
    <row r="490" ht="14.5" customHeight="1"/>
    <row r="491" ht="14.5" customHeight="1"/>
    <row r="492" ht="14.5" customHeight="1"/>
    <row r="493" ht="14.5" customHeight="1"/>
    <row r="494" ht="14.5" customHeight="1"/>
    <row r="495" ht="14.5" customHeight="1"/>
    <row r="496" ht="14.5" customHeight="1"/>
    <row r="497" ht="14.5" customHeight="1"/>
    <row r="498" ht="14.5" customHeight="1"/>
    <row r="499" ht="14.5" customHeight="1"/>
    <row r="500" ht="14.5" customHeight="1"/>
    <row r="501" ht="14.5" customHeight="1"/>
    <row r="502" ht="14.5" customHeight="1"/>
    <row r="503" ht="14.5" customHeight="1"/>
    <row r="504" ht="14.5" customHeight="1"/>
  </sheetData>
  <mergeCells count="149">
    <mergeCell ref="A8:D8"/>
    <mergeCell ref="E8:M8"/>
    <mergeCell ref="O8:R8"/>
    <mergeCell ref="S8:AA8"/>
    <mergeCell ref="A9:D9"/>
    <mergeCell ref="E9:M9"/>
    <mergeCell ref="O9:R9"/>
    <mergeCell ref="S9:AA9"/>
    <mergeCell ref="I3:S4"/>
    <mergeCell ref="A6:D6"/>
    <mergeCell ref="E6:M6"/>
    <mergeCell ref="O6:R6"/>
    <mergeCell ref="S6:AA6"/>
    <mergeCell ref="A7:D7"/>
    <mergeCell ref="E7:M7"/>
    <mergeCell ref="O7:R7"/>
    <mergeCell ref="S7:AA7"/>
    <mergeCell ref="A14:AA16"/>
    <mergeCell ref="B18:G18"/>
    <mergeCell ref="I18:K18"/>
    <mergeCell ref="L18:O18"/>
    <mergeCell ref="P18:R18"/>
    <mergeCell ref="S18:U18"/>
    <mergeCell ref="V18:X18"/>
    <mergeCell ref="Y18:AA18"/>
    <mergeCell ref="A10:D12"/>
    <mergeCell ref="E10:M12"/>
    <mergeCell ref="O10:P12"/>
    <mergeCell ref="Q10:R10"/>
    <mergeCell ref="S10:AA10"/>
    <mergeCell ref="Q11:R11"/>
    <mergeCell ref="S11:AA11"/>
    <mergeCell ref="Q12:R12"/>
    <mergeCell ref="S12:AA12"/>
    <mergeCell ref="V19:X19"/>
    <mergeCell ref="Y19:AA19"/>
    <mergeCell ref="B20:C20"/>
    <mergeCell ref="D20:O20"/>
    <mergeCell ref="P20:R20"/>
    <mergeCell ref="S20:U20"/>
    <mergeCell ref="V20:X20"/>
    <mergeCell ref="Y20:AA20"/>
    <mergeCell ref="A19:A20"/>
    <mergeCell ref="B19:G19"/>
    <mergeCell ref="I19:K19"/>
    <mergeCell ref="L19:O19"/>
    <mergeCell ref="P19:R19"/>
    <mergeCell ref="S19:U19"/>
    <mergeCell ref="V21:X21"/>
    <mergeCell ref="Y21:AA21"/>
    <mergeCell ref="B22:C22"/>
    <mergeCell ref="D22:O22"/>
    <mergeCell ref="P22:R22"/>
    <mergeCell ref="S22:U22"/>
    <mergeCell ref="V22:X22"/>
    <mergeCell ref="Y22:AA22"/>
    <mergeCell ref="A21:A22"/>
    <mergeCell ref="B21:G21"/>
    <mergeCell ref="I21:K21"/>
    <mergeCell ref="L21:O21"/>
    <mergeCell ref="P21:R21"/>
    <mergeCell ref="S21:U21"/>
    <mergeCell ref="V23:X23"/>
    <mergeCell ref="Y23:AA23"/>
    <mergeCell ref="B24:C24"/>
    <mergeCell ref="D24:O24"/>
    <mergeCell ref="P24:R24"/>
    <mergeCell ref="S24:U24"/>
    <mergeCell ref="V24:X24"/>
    <mergeCell ref="Y24:AA24"/>
    <mergeCell ref="A23:A24"/>
    <mergeCell ref="B23:G23"/>
    <mergeCell ref="I23:K23"/>
    <mergeCell ref="L23:O23"/>
    <mergeCell ref="P23:R23"/>
    <mergeCell ref="S23:U23"/>
    <mergeCell ref="V25:X25"/>
    <mergeCell ref="Y25:AA25"/>
    <mergeCell ref="B26:C26"/>
    <mergeCell ref="D26:O26"/>
    <mergeCell ref="P26:R26"/>
    <mergeCell ref="S26:U26"/>
    <mergeCell ref="V26:X26"/>
    <mergeCell ref="Y26:AA26"/>
    <mergeCell ref="A25:A26"/>
    <mergeCell ref="B25:G25"/>
    <mergeCell ref="I25:K25"/>
    <mergeCell ref="L25:O25"/>
    <mergeCell ref="P25:R25"/>
    <mergeCell ref="S25:U25"/>
    <mergeCell ref="A34:M34"/>
    <mergeCell ref="O34:S34"/>
    <mergeCell ref="T34:W34"/>
    <mergeCell ref="A35:M35"/>
    <mergeCell ref="O35:S35"/>
    <mergeCell ref="T35:W35"/>
    <mergeCell ref="S27:AA27"/>
    <mergeCell ref="A28:AA30"/>
    <mergeCell ref="A32:M32"/>
    <mergeCell ref="O32:AA32"/>
    <mergeCell ref="A33:M33"/>
    <mergeCell ref="O33:S33"/>
    <mergeCell ref="T33:U33"/>
    <mergeCell ref="Q38:X38"/>
    <mergeCell ref="A39:D39"/>
    <mergeCell ref="E39:M39"/>
    <mergeCell ref="Q39:Y39"/>
    <mergeCell ref="A40:D40"/>
    <mergeCell ref="E40:M40"/>
    <mergeCell ref="O40:AA40"/>
    <mergeCell ref="A36:M36"/>
    <mergeCell ref="O36:AA36"/>
    <mergeCell ref="A37:C37"/>
    <mergeCell ref="D37:F37"/>
    <mergeCell ref="H37:J37"/>
    <mergeCell ref="K37:M37"/>
    <mergeCell ref="O37:P39"/>
    <mergeCell ref="Q37:Y37"/>
    <mergeCell ref="A38:D38"/>
    <mergeCell ref="E38:M38"/>
    <mergeCell ref="E43:M43"/>
    <mergeCell ref="Q43:W43"/>
    <mergeCell ref="Y43:AA43"/>
    <mergeCell ref="A44:M44"/>
    <mergeCell ref="Q44:W44"/>
    <mergeCell ref="Y44:AA44"/>
    <mergeCell ref="A41:D41"/>
    <mergeCell ref="E41:M41"/>
    <mergeCell ref="O41:P44"/>
    <mergeCell ref="Q41:W41"/>
    <mergeCell ref="Y41:AA41"/>
    <mergeCell ref="A42:D42"/>
    <mergeCell ref="E42:M42"/>
    <mergeCell ref="Q42:W42"/>
    <mergeCell ref="Y42:AA42"/>
    <mergeCell ref="A43:D43"/>
    <mergeCell ref="B54:C55"/>
    <mergeCell ref="D54:AA55"/>
    <mergeCell ref="K57:M57"/>
    <mergeCell ref="O57:Q57"/>
    <mergeCell ref="K58:M58"/>
    <mergeCell ref="O58:Q58"/>
    <mergeCell ref="Q45:Y45"/>
    <mergeCell ref="A46:M46"/>
    <mergeCell ref="O46:AA46"/>
    <mergeCell ref="A47:M52"/>
    <mergeCell ref="O47:AA48"/>
    <mergeCell ref="O49:AA49"/>
    <mergeCell ref="O50:AA52"/>
  </mergeCells>
  <phoneticPr fontId="1" type="noConversion"/>
  <hyperlinks>
    <hyperlink ref="S12" r:id="rId1" xr:uid="{5BFFD7A3-C83E-4488-B2AF-AED1424A2B99}"/>
  </hyperlinks>
  <pageMargins left="0.55118110236220474" right="0.47244094488188981" top="0.14660493827160495" bottom="0.18518518518518517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4"/>
  <sheetViews>
    <sheetView showGridLines="0" view="pageLayout" topLeftCell="A7" zoomScale="160" zoomScaleNormal="70" zoomScalePageLayoutView="160" workbookViewId="0">
      <selection activeCell="L21" sqref="L21:O21"/>
    </sheetView>
  </sheetViews>
  <sheetFormatPr defaultColWidth="8.75" defaultRowHeight="11.5"/>
  <cols>
    <col min="1" max="13" width="3.08203125" style="11" customWidth="1"/>
    <col min="14" max="14" width="1.33203125" style="11" customWidth="1"/>
    <col min="15" max="15" width="3.75" style="11" customWidth="1"/>
    <col min="16" max="27" width="3.08203125" style="11" customWidth="1"/>
    <col min="28" max="28" width="2.83203125" style="11" customWidth="1"/>
    <col min="29" max="29" width="9.33203125" style="11" bestFit="1" customWidth="1"/>
    <col min="30" max="16384" width="8.75" style="11"/>
  </cols>
  <sheetData>
    <row r="1" spans="1:27" s="10" customFormat="1"/>
    <row r="2" spans="1:27" ht="13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3.5" customHeight="1">
      <c r="A3" s="10"/>
      <c r="B3" s="10"/>
      <c r="C3" s="10"/>
      <c r="D3" s="10"/>
      <c r="E3" s="10"/>
      <c r="F3" s="10"/>
      <c r="G3" s="10"/>
      <c r="H3" s="10"/>
      <c r="I3" s="347" t="s">
        <v>0</v>
      </c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10"/>
      <c r="U3" s="10"/>
      <c r="V3" s="10"/>
      <c r="W3" s="10"/>
      <c r="X3" s="10"/>
      <c r="Y3" s="10"/>
      <c r="Z3" s="10"/>
      <c r="AA3" s="10"/>
    </row>
    <row r="4" spans="1:27" ht="13.5" customHeight="1">
      <c r="A4" s="10"/>
      <c r="B4" s="10"/>
      <c r="C4" s="10"/>
      <c r="D4" s="10"/>
      <c r="E4" s="10"/>
      <c r="F4" s="10"/>
      <c r="G4" s="10"/>
      <c r="H4" s="10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10"/>
      <c r="U4" s="10"/>
      <c r="V4" s="10"/>
      <c r="W4" s="10"/>
      <c r="X4" s="10"/>
      <c r="Y4" s="10"/>
      <c r="Z4" s="10"/>
      <c r="AA4" s="10"/>
    </row>
    <row r="5" spans="1:27" ht="8.5" customHeight="1" thickBo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3.5" customHeight="1">
      <c r="A6" s="348" t="s">
        <v>1</v>
      </c>
      <c r="B6" s="349"/>
      <c r="C6" s="349"/>
      <c r="D6" s="349"/>
      <c r="E6" s="350" t="str">
        <f>'견적서 보고용'!R1</f>
        <v>이희웅 대표님</v>
      </c>
      <c r="F6" s="351"/>
      <c r="G6" s="351"/>
      <c r="H6" s="351"/>
      <c r="I6" s="351"/>
      <c r="J6" s="351"/>
      <c r="K6" s="351"/>
      <c r="L6" s="351"/>
      <c r="M6" s="352"/>
      <c r="N6" s="10"/>
      <c r="O6" s="349" t="s">
        <v>2</v>
      </c>
      <c r="P6" s="349"/>
      <c r="Q6" s="349"/>
      <c r="R6" s="349"/>
      <c r="S6" s="353">
        <f ca="1">TODAY()</f>
        <v>46251</v>
      </c>
      <c r="T6" s="351"/>
      <c r="U6" s="351"/>
      <c r="V6" s="351"/>
      <c r="W6" s="351"/>
      <c r="X6" s="351"/>
      <c r="Y6" s="351"/>
      <c r="Z6" s="351"/>
      <c r="AA6" s="354"/>
    </row>
    <row r="7" spans="1:27" ht="13.5" customHeight="1">
      <c r="A7" s="340" t="s">
        <v>18</v>
      </c>
      <c r="B7" s="332"/>
      <c r="C7" s="332"/>
      <c r="D7" s="332"/>
      <c r="E7" s="334" t="str">
        <f>B19</f>
        <v xml:space="preserve"> 팰리세이드 (H) 2.5 2WD 프레스티지 9인승</v>
      </c>
      <c r="F7" s="335"/>
      <c r="G7" s="335"/>
      <c r="H7" s="335"/>
      <c r="I7" s="335"/>
      <c r="J7" s="335"/>
      <c r="K7" s="335"/>
      <c r="L7" s="335"/>
      <c r="M7" s="355"/>
      <c r="N7" s="10"/>
      <c r="O7" s="332" t="s">
        <v>4</v>
      </c>
      <c r="P7" s="332"/>
      <c r="Q7" s="332"/>
      <c r="R7" s="332"/>
      <c r="S7" s="334" t="s">
        <v>5</v>
      </c>
      <c r="T7" s="335"/>
      <c r="U7" s="335"/>
      <c r="V7" s="335"/>
      <c r="W7" s="335"/>
      <c r="X7" s="335"/>
      <c r="Y7" s="335"/>
      <c r="Z7" s="335"/>
      <c r="AA7" s="336"/>
    </row>
    <row r="8" spans="1:27" ht="13.5" customHeight="1">
      <c r="A8" s="340" t="s">
        <v>158</v>
      </c>
      <c r="B8" s="332"/>
      <c r="C8" s="332"/>
      <c r="D8" s="332"/>
      <c r="E8" s="341" t="str">
        <f>'견적서 보고용'!AH25</f>
        <v>1개월</v>
      </c>
      <c r="F8" s="342"/>
      <c r="G8" s="342"/>
      <c r="H8" s="342"/>
      <c r="I8" s="342"/>
      <c r="J8" s="342"/>
      <c r="K8" s="342"/>
      <c r="L8" s="342"/>
      <c r="M8" s="343"/>
      <c r="N8" s="10"/>
      <c r="O8" s="332" t="s">
        <v>177</v>
      </c>
      <c r="P8" s="332"/>
      <c r="Q8" s="332"/>
      <c r="R8" s="332"/>
      <c r="S8" s="334" t="str">
        <f>"A" &amp; LEFT('견적서 보고용'!AD3, 1) &amp; RIGHT('견적서 보고용'!AD3, 1) &amp;"B" &amp; LEFT('견적서 보고용'!AF19, 1) &amp; RIGHT('견적서 보고용'!AF19, 1)</f>
        <v>A03B06</v>
      </c>
      <c r="T8" s="335"/>
      <c r="U8" s="335"/>
      <c r="V8" s="335"/>
      <c r="W8" s="335"/>
      <c r="X8" s="335"/>
      <c r="Y8" s="335"/>
      <c r="Z8" s="335"/>
      <c r="AA8" s="336"/>
    </row>
    <row r="9" spans="1:27" ht="13.5" customHeight="1">
      <c r="A9" s="340" t="s">
        <v>119</v>
      </c>
      <c r="B9" s="332"/>
      <c r="C9" s="332"/>
      <c r="D9" s="332"/>
      <c r="E9" s="357" t="str">
        <f>"[외장] : "&amp;'견적서 보고용'!AL25&amp;", [내장] : "&amp;'견적서 보고용'!AP25</f>
        <v>[외장] : 화이트, [내장] : 블랙</v>
      </c>
      <c r="F9" s="342"/>
      <c r="G9" s="342"/>
      <c r="H9" s="342"/>
      <c r="I9" s="342"/>
      <c r="J9" s="342"/>
      <c r="K9" s="342"/>
      <c r="L9" s="342"/>
      <c r="M9" s="343"/>
      <c r="N9" s="10"/>
      <c r="O9" s="332" t="s">
        <v>7</v>
      </c>
      <c r="P9" s="332"/>
      <c r="Q9" s="332"/>
      <c r="R9" s="332"/>
      <c r="S9" s="334" t="s">
        <v>8</v>
      </c>
      <c r="T9" s="335"/>
      <c r="U9" s="335"/>
      <c r="V9" s="335"/>
      <c r="W9" s="335"/>
      <c r="X9" s="335"/>
      <c r="Y9" s="335"/>
      <c r="Z9" s="335"/>
      <c r="AA9" s="336"/>
    </row>
    <row r="10" spans="1:27" ht="13.5" customHeight="1">
      <c r="A10" s="314" t="s">
        <v>61</v>
      </c>
      <c r="B10" s="315"/>
      <c r="C10" s="315"/>
      <c r="D10" s="316"/>
      <c r="E10" s="356" t="str">
        <f>'견적서 보고용'!Z27</f>
        <v>빌트인캠2, 원격스마트 주차보조</v>
      </c>
      <c r="F10" s="324"/>
      <c r="G10" s="324"/>
      <c r="H10" s="324"/>
      <c r="I10" s="324"/>
      <c r="J10" s="324"/>
      <c r="K10" s="324"/>
      <c r="L10" s="324"/>
      <c r="M10" s="325"/>
      <c r="N10" s="10"/>
      <c r="O10" s="332" t="s">
        <v>9</v>
      </c>
      <c r="P10" s="332"/>
      <c r="Q10" s="332" t="s">
        <v>10</v>
      </c>
      <c r="R10" s="332"/>
      <c r="S10" s="334" t="s">
        <v>11</v>
      </c>
      <c r="T10" s="335"/>
      <c r="U10" s="335"/>
      <c r="V10" s="335"/>
      <c r="W10" s="335"/>
      <c r="X10" s="335"/>
      <c r="Y10" s="335"/>
      <c r="Z10" s="335"/>
      <c r="AA10" s="336"/>
    </row>
    <row r="11" spans="1:27" ht="13.5" customHeight="1">
      <c r="A11" s="317"/>
      <c r="B11" s="318"/>
      <c r="C11" s="318"/>
      <c r="D11" s="319"/>
      <c r="E11" s="326"/>
      <c r="F11" s="327"/>
      <c r="G11" s="327"/>
      <c r="H11" s="327"/>
      <c r="I11" s="327"/>
      <c r="J11" s="327"/>
      <c r="K11" s="327"/>
      <c r="L11" s="327"/>
      <c r="M11" s="328"/>
      <c r="N11" s="10"/>
      <c r="O11" s="332"/>
      <c r="P11" s="332"/>
      <c r="Q11" s="332" t="s">
        <v>12</v>
      </c>
      <c r="R11" s="332"/>
      <c r="S11" s="334" t="s">
        <v>13</v>
      </c>
      <c r="T11" s="335"/>
      <c r="U11" s="335"/>
      <c r="V11" s="335"/>
      <c r="W11" s="335"/>
      <c r="X11" s="335"/>
      <c r="Y11" s="335"/>
      <c r="Z11" s="335"/>
      <c r="AA11" s="336"/>
    </row>
    <row r="12" spans="1:27" ht="13.5" customHeight="1" thickBot="1">
      <c r="A12" s="320"/>
      <c r="B12" s="321"/>
      <c r="C12" s="321"/>
      <c r="D12" s="322"/>
      <c r="E12" s="329"/>
      <c r="F12" s="330"/>
      <c r="G12" s="330"/>
      <c r="H12" s="330"/>
      <c r="I12" s="330"/>
      <c r="J12" s="330"/>
      <c r="K12" s="330"/>
      <c r="L12" s="330"/>
      <c r="M12" s="331"/>
      <c r="N12" s="10"/>
      <c r="O12" s="333"/>
      <c r="P12" s="333"/>
      <c r="Q12" s="333" t="s">
        <v>14</v>
      </c>
      <c r="R12" s="333"/>
      <c r="S12" s="337" t="s">
        <v>15</v>
      </c>
      <c r="T12" s="338"/>
      <c r="U12" s="338"/>
      <c r="V12" s="338"/>
      <c r="W12" s="338"/>
      <c r="X12" s="338"/>
      <c r="Y12" s="338"/>
      <c r="Z12" s="338"/>
      <c r="AA12" s="339"/>
    </row>
    <row r="13" spans="1:27" ht="8.5" customHeight="1" thickBo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3.5" customHeight="1">
      <c r="A14" s="300" t="s">
        <v>16</v>
      </c>
      <c r="B14" s="301"/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1"/>
      <c r="R14" s="301"/>
      <c r="S14" s="301"/>
      <c r="T14" s="301"/>
      <c r="U14" s="301"/>
      <c r="V14" s="301"/>
      <c r="W14" s="301"/>
      <c r="X14" s="301"/>
      <c r="Y14" s="301"/>
      <c r="Z14" s="301"/>
      <c r="AA14" s="302"/>
    </row>
    <row r="15" spans="1:27" ht="13.5" customHeight="1">
      <c r="A15" s="303"/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4"/>
      <c r="N15" s="304"/>
      <c r="O15" s="304"/>
      <c r="P15" s="304"/>
      <c r="Q15" s="304"/>
      <c r="R15" s="304"/>
      <c r="S15" s="304"/>
      <c r="T15" s="304"/>
      <c r="U15" s="304"/>
      <c r="V15" s="304"/>
      <c r="W15" s="304"/>
      <c r="X15" s="304"/>
      <c r="Y15" s="304"/>
      <c r="Z15" s="304"/>
      <c r="AA15" s="305"/>
    </row>
    <row r="16" spans="1:27" ht="13.5" customHeight="1" thickBot="1">
      <c r="A16" s="306"/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8"/>
    </row>
    <row r="17" spans="1:29" ht="8.5" customHeight="1" thickBo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9" ht="13.5" customHeight="1" thickBot="1">
      <c r="A18" s="12" t="s">
        <v>17</v>
      </c>
      <c r="B18" s="309" t="s">
        <v>18</v>
      </c>
      <c r="C18" s="310"/>
      <c r="D18" s="310"/>
      <c r="E18" s="310"/>
      <c r="F18" s="310"/>
      <c r="G18" s="310"/>
      <c r="H18" s="13" t="s">
        <v>19</v>
      </c>
      <c r="I18" s="310" t="s">
        <v>20</v>
      </c>
      <c r="J18" s="310"/>
      <c r="K18" s="310"/>
      <c r="L18" s="310" t="s">
        <v>21</v>
      </c>
      <c r="M18" s="310"/>
      <c r="N18" s="310"/>
      <c r="O18" s="310"/>
      <c r="P18" s="310" t="s">
        <v>22</v>
      </c>
      <c r="Q18" s="310"/>
      <c r="R18" s="310"/>
      <c r="S18" s="310" t="s">
        <v>23</v>
      </c>
      <c r="T18" s="310"/>
      <c r="U18" s="310"/>
      <c r="V18" s="310" t="s">
        <v>24</v>
      </c>
      <c r="W18" s="310"/>
      <c r="X18" s="310"/>
      <c r="Y18" s="311" t="s">
        <v>25</v>
      </c>
      <c r="Z18" s="312"/>
      <c r="AA18" s="313"/>
    </row>
    <row r="19" spans="1:29" ht="13.5" customHeight="1">
      <c r="A19" s="292">
        <v>1</v>
      </c>
      <c r="B19" s="294" t="str">
        <f>'견적서 보고용'!$D$2</f>
        <v xml:space="preserve"> 팰리세이드 (H) 2.5 2WD 프레스티지 9인승</v>
      </c>
      <c r="C19" s="295"/>
      <c r="D19" s="295"/>
      <c r="E19" s="295"/>
      <c r="F19" s="295"/>
      <c r="G19" s="295"/>
      <c r="H19" s="28">
        <v>1</v>
      </c>
      <c r="I19" s="296">
        <f>'견적서 보고용'!E32</f>
        <v>48</v>
      </c>
      <c r="J19" s="296"/>
      <c r="K19" s="296"/>
      <c r="L19" s="297">
        <f>'견적서 보고용'!E7</f>
        <v>56680000</v>
      </c>
      <c r="M19" s="298"/>
      <c r="N19" s="298"/>
      <c r="O19" s="299"/>
      <c r="P19" s="277">
        <f>L19*P20</f>
        <v>17004000</v>
      </c>
      <c r="Q19" s="278"/>
      <c r="R19" s="278"/>
      <c r="S19" s="277">
        <f>L19*S20</f>
        <v>0</v>
      </c>
      <c r="T19" s="278"/>
      <c r="U19" s="278"/>
      <c r="V19" s="255">
        <f>L19*V20</f>
        <v>31174000.000000004</v>
      </c>
      <c r="W19" s="255"/>
      <c r="X19" s="255"/>
      <c r="Y19" s="289">
        <f>'견적서 보고용'!E41</f>
        <v>996000</v>
      </c>
      <c r="Z19" s="290"/>
      <c r="AA19" s="291"/>
      <c r="AC19" s="14"/>
    </row>
    <row r="20" spans="1:29" ht="13.5" customHeight="1" thickBot="1">
      <c r="A20" s="293"/>
      <c r="B20" s="279" t="s">
        <v>116</v>
      </c>
      <c r="C20" s="280"/>
      <c r="D20" s="280" t="str">
        <f>'견적서 보고용'!E29</f>
        <v>가입</v>
      </c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1"/>
      <c r="P20" s="282">
        <f>'견적서 보고용'!E37</f>
        <v>0.3</v>
      </c>
      <c r="Q20" s="283"/>
      <c r="R20" s="284"/>
      <c r="S20" s="282">
        <f>'견적서 보고용'!E39</f>
        <v>0</v>
      </c>
      <c r="T20" s="283"/>
      <c r="U20" s="284"/>
      <c r="V20" s="282">
        <f>'견적서 보고용'!E35</f>
        <v>0.55000000000000004</v>
      </c>
      <c r="W20" s="283"/>
      <c r="X20" s="284"/>
      <c r="Y20" s="285"/>
      <c r="Z20" s="286"/>
      <c r="AA20" s="287"/>
    </row>
    <row r="21" spans="1:29" ht="13.5" customHeight="1">
      <c r="A21" s="268">
        <v>2</v>
      </c>
      <c r="B21" s="270" t="str">
        <f>'견적서 보고용'!$D$2</f>
        <v xml:space="preserve"> 팰리세이드 (H) 2.5 2WD 프레스티지 9인승</v>
      </c>
      <c r="C21" s="271"/>
      <c r="D21" s="271"/>
      <c r="E21" s="271"/>
      <c r="F21" s="271"/>
      <c r="G21" s="272"/>
      <c r="H21" s="24">
        <v>1</v>
      </c>
      <c r="I21" s="273">
        <f>'견적서 보고용'!J32</f>
        <v>48</v>
      </c>
      <c r="J21" s="274"/>
      <c r="K21" s="275"/>
      <c r="L21" s="256">
        <f>'견적서 보고용'!J7</f>
        <v>56680000</v>
      </c>
      <c r="M21" s="257"/>
      <c r="N21" s="257"/>
      <c r="O21" s="276"/>
      <c r="P21" s="277">
        <f>L21*P22</f>
        <v>0</v>
      </c>
      <c r="Q21" s="278"/>
      <c r="R21" s="278"/>
      <c r="S21" s="277">
        <f>L21*S22</f>
        <v>0</v>
      </c>
      <c r="T21" s="278"/>
      <c r="U21" s="278"/>
      <c r="V21" s="255">
        <f>L21*V22</f>
        <v>0</v>
      </c>
      <c r="W21" s="255"/>
      <c r="X21" s="255"/>
      <c r="Y21" s="256">
        <f>'견적서 보고용'!J41</f>
        <v>0</v>
      </c>
      <c r="Z21" s="257"/>
      <c r="AA21" s="258"/>
    </row>
    <row r="22" spans="1:29" ht="13.5" customHeight="1" thickBot="1">
      <c r="A22" s="288"/>
      <c r="B22" s="279" t="s">
        <v>116</v>
      </c>
      <c r="C22" s="280"/>
      <c r="D22" s="280" t="str">
        <f>'견적서 보고용'!J29</f>
        <v>가입</v>
      </c>
      <c r="E22" s="280"/>
      <c r="F22" s="280"/>
      <c r="G22" s="280"/>
      <c r="H22" s="280"/>
      <c r="I22" s="280"/>
      <c r="J22" s="280"/>
      <c r="K22" s="280"/>
      <c r="L22" s="280"/>
      <c r="M22" s="280"/>
      <c r="N22" s="280"/>
      <c r="O22" s="281"/>
      <c r="P22" s="282">
        <f>'견적서 보고용'!J37</f>
        <v>0</v>
      </c>
      <c r="Q22" s="283"/>
      <c r="R22" s="284"/>
      <c r="S22" s="282">
        <f>'견적서 보고용'!J39</f>
        <v>0</v>
      </c>
      <c r="T22" s="283"/>
      <c r="U22" s="284"/>
      <c r="V22" s="282">
        <f>'견적서 보고용'!J35</f>
        <v>0</v>
      </c>
      <c r="W22" s="283"/>
      <c r="X22" s="284"/>
      <c r="Y22" s="285"/>
      <c r="Z22" s="286"/>
      <c r="AA22" s="287"/>
    </row>
    <row r="23" spans="1:29" ht="13.5" customHeight="1">
      <c r="A23" s="268">
        <v>3</v>
      </c>
      <c r="B23" s="270" t="str">
        <f>'견적서 보고용'!$D$2</f>
        <v xml:space="preserve"> 팰리세이드 (H) 2.5 2WD 프레스티지 9인승</v>
      </c>
      <c r="C23" s="271"/>
      <c r="D23" s="271"/>
      <c r="E23" s="271"/>
      <c r="F23" s="271"/>
      <c r="G23" s="272"/>
      <c r="H23" s="24">
        <v>1</v>
      </c>
      <c r="I23" s="273">
        <f>'견적서 보고용'!O32</f>
        <v>48</v>
      </c>
      <c r="J23" s="274"/>
      <c r="K23" s="275"/>
      <c r="L23" s="256">
        <f>'견적서 보고용'!O7</f>
        <v>56680000</v>
      </c>
      <c r="M23" s="257"/>
      <c r="N23" s="257"/>
      <c r="O23" s="276"/>
      <c r="P23" s="277">
        <f>L23*P24</f>
        <v>17004000</v>
      </c>
      <c r="Q23" s="278"/>
      <c r="R23" s="278"/>
      <c r="S23" s="277">
        <f>L23*S24</f>
        <v>0</v>
      </c>
      <c r="T23" s="278"/>
      <c r="U23" s="278"/>
      <c r="V23" s="255">
        <f>L23*V24</f>
        <v>34008000</v>
      </c>
      <c r="W23" s="255"/>
      <c r="X23" s="255"/>
      <c r="Y23" s="256">
        <f>'견적서 보고용'!O41</f>
        <v>938500</v>
      </c>
      <c r="Z23" s="257"/>
      <c r="AA23" s="258"/>
    </row>
    <row r="24" spans="1:29" ht="13.5" customHeight="1" thickBot="1">
      <c r="A24" s="288"/>
      <c r="B24" s="279" t="s">
        <v>116</v>
      </c>
      <c r="C24" s="280"/>
      <c r="D24" s="280" t="str">
        <f>'견적서 보고용'!O29</f>
        <v>가입</v>
      </c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1"/>
      <c r="P24" s="282">
        <f>'견적서 보고용'!O37</f>
        <v>0.3</v>
      </c>
      <c r="Q24" s="283"/>
      <c r="R24" s="284"/>
      <c r="S24" s="282">
        <f>'견적서 보고용'!O39</f>
        <v>0</v>
      </c>
      <c r="T24" s="283"/>
      <c r="U24" s="284"/>
      <c r="V24" s="282">
        <f>'견적서 보고용'!O35</f>
        <v>0.6</v>
      </c>
      <c r="W24" s="283"/>
      <c r="X24" s="284"/>
      <c r="Y24" s="285"/>
      <c r="Z24" s="286"/>
      <c r="AA24" s="287"/>
    </row>
    <row r="25" spans="1:29" ht="13.5" customHeight="1">
      <c r="A25" s="268">
        <v>4</v>
      </c>
      <c r="B25" s="270" t="str">
        <f>'견적서 보고용'!$D$2</f>
        <v xml:space="preserve"> 팰리세이드 (H) 2.5 2WD 프레스티지 9인승</v>
      </c>
      <c r="C25" s="271"/>
      <c r="D25" s="271"/>
      <c r="E25" s="271"/>
      <c r="F25" s="271"/>
      <c r="G25" s="272"/>
      <c r="H25" s="24">
        <v>1</v>
      </c>
      <c r="I25" s="273">
        <f>'견적서 보고용'!T32</f>
        <v>48</v>
      </c>
      <c r="J25" s="274"/>
      <c r="K25" s="275"/>
      <c r="L25" s="256">
        <f>'견적서 보고용'!T7</f>
        <v>56680000</v>
      </c>
      <c r="M25" s="257"/>
      <c r="N25" s="257"/>
      <c r="O25" s="276"/>
      <c r="P25" s="277">
        <f>L25*P26</f>
        <v>17004000</v>
      </c>
      <c r="Q25" s="278"/>
      <c r="R25" s="278"/>
      <c r="S25" s="277">
        <f>L25*S26</f>
        <v>0</v>
      </c>
      <c r="T25" s="278"/>
      <c r="U25" s="278"/>
      <c r="V25" s="255">
        <f>L25*V26</f>
        <v>31174000.000000004</v>
      </c>
      <c r="W25" s="255"/>
      <c r="X25" s="255"/>
      <c r="Y25" s="256">
        <f>'견적서 보고용'!T41</f>
        <v>994000</v>
      </c>
      <c r="Z25" s="257"/>
      <c r="AA25" s="258"/>
    </row>
    <row r="26" spans="1:29" ht="13.5" customHeight="1" thickBot="1">
      <c r="A26" s="269"/>
      <c r="B26" s="259" t="s">
        <v>116</v>
      </c>
      <c r="C26" s="260"/>
      <c r="D26" s="260" t="str">
        <f>'견적서 보고용'!T29</f>
        <v>가입</v>
      </c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1"/>
      <c r="P26" s="262">
        <f>'견적서 보고용'!T37</f>
        <v>0.3</v>
      </c>
      <c r="Q26" s="263"/>
      <c r="R26" s="264"/>
      <c r="S26" s="262">
        <f>'견적서 보고용'!T39</f>
        <v>0</v>
      </c>
      <c r="T26" s="263"/>
      <c r="U26" s="264"/>
      <c r="V26" s="262">
        <f>'견적서 보고용'!T35</f>
        <v>0.55000000000000004</v>
      </c>
      <c r="W26" s="263"/>
      <c r="X26" s="264"/>
      <c r="Y26" s="265"/>
      <c r="Z26" s="266"/>
      <c r="AA26" s="267"/>
    </row>
    <row r="27" spans="1:29" ht="13.5" customHeight="1" thickBo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74"/>
      <c r="S27" s="240" t="s">
        <v>26</v>
      </c>
      <c r="T27" s="240"/>
      <c r="U27" s="240"/>
      <c r="V27" s="240"/>
      <c r="W27" s="240"/>
      <c r="X27" s="240"/>
      <c r="Y27" s="240"/>
      <c r="Z27" s="240"/>
      <c r="AA27" s="240"/>
    </row>
    <row r="28" spans="1:29" ht="13.5" customHeight="1">
      <c r="A28" s="241" t="s">
        <v>27</v>
      </c>
      <c r="B28" s="242"/>
      <c r="C28" s="242"/>
      <c r="D28" s="242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2"/>
      <c r="R28" s="242"/>
      <c r="S28" s="242"/>
      <c r="T28" s="242"/>
      <c r="U28" s="242"/>
      <c r="V28" s="242"/>
      <c r="W28" s="242"/>
      <c r="X28" s="242"/>
      <c r="Y28" s="242"/>
      <c r="Z28" s="242"/>
      <c r="AA28" s="243"/>
    </row>
    <row r="29" spans="1:29" ht="13.5" customHeight="1">
      <c r="A29" s="244"/>
      <c r="B29" s="245"/>
      <c r="C29" s="245"/>
      <c r="D29" s="245"/>
      <c r="E29" s="245"/>
      <c r="F29" s="245"/>
      <c r="G29" s="245"/>
      <c r="H29" s="245"/>
      <c r="I29" s="245"/>
      <c r="J29" s="245"/>
      <c r="K29" s="245"/>
      <c r="L29" s="245"/>
      <c r="M29" s="245"/>
      <c r="N29" s="245"/>
      <c r="O29" s="245"/>
      <c r="P29" s="245"/>
      <c r="Q29" s="245"/>
      <c r="R29" s="245"/>
      <c r="S29" s="245"/>
      <c r="T29" s="245"/>
      <c r="U29" s="245"/>
      <c r="V29" s="245"/>
      <c r="W29" s="245"/>
      <c r="X29" s="245"/>
      <c r="Y29" s="245"/>
      <c r="Z29" s="245"/>
      <c r="AA29" s="246"/>
    </row>
    <row r="30" spans="1:29" ht="13.5" customHeight="1" thickBot="1">
      <c r="A30" s="247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9"/>
    </row>
    <row r="31" spans="1:29" ht="8.5" customHeight="1" thickBo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9" ht="13.5" customHeight="1" thickBot="1">
      <c r="A32" s="176" t="s">
        <v>28</v>
      </c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8"/>
      <c r="N32" s="10"/>
      <c r="O32" s="176" t="s">
        <v>29</v>
      </c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8"/>
    </row>
    <row r="33" spans="1:27" ht="13.5" customHeight="1">
      <c r="A33" s="250" t="s">
        <v>30</v>
      </c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2"/>
      <c r="N33" s="10"/>
      <c r="O33" s="253" t="s">
        <v>132</v>
      </c>
      <c r="P33" s="251"/>
      <c r="Q33" s="251"/>
      <c r="R33" s="251"/>
      <c r="S33" s="251"/>
      <c r="T33" s="254">
        <f>'견적서 보고용'!E34</f>
        <v>30000</v>
      </c>
      <c r="U33" s="254"/>
      <c r="V33" s="33" t="s">
        <v>133</v>
      </c>
      <c r="W33" s="65"/>
      <c r="X33" s="65"/>
      <c r="Y33" s="33"/>
      <c r="Z33" s="33"/>
      <c r="AA33" s="34"/>
    </row>
    <row r="34" spans="1:27" ht="13.5" customHeight="1">
      <c r="A34" s="234" t="s">
        <v>31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6"/>
      <c r="N34" s="10"/>
      <c r="O34" s="237" t="s">
        <v>134</v>
      </c>
      <c r="P34" s="235"/>
      <c r="Q34" s="235"/>
      <c r="R34" s="235"/>
      <c r="S34" s="235"/>
      <c r="T34" s="238">
        <v>0.35</v>
      </c>
      <c r="U34" s="239"/>
      <c r="V34" s="239"/>
      <c r="W34" s="239"/>
      <c r="X34" s="63"/>
      <c r="Y34" s="63"/>
      <c r="Z34" s="63"/>
      <c r="AA34" s="64"/>
    </row>
    <row r="35" spans="1:27" ht="13.5" customHeight="1" thickBot="1">
      <c r="A35" s="237" t="s">
        <v>32</v>
      </c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6"/>
      <c r="N35" s="10"/>
      <c r="O35" s="237" t="s">
        <v>135</v>
      </c>
      <c r="P35" s="235"/>
      <c r="Q35" s="235"/>
      <c r="R35" s="235"/>
      <c r="S35" s="235"/>
      <c r="T35" s="238" t="s">
        <v>136</v>
      </c>
      <c r="U35" s="239"/>
      <c r="V35" s="239"/>
      <c r="W35" s="239"/>
      <c r="X35" s="66"/>
      <c r="Y35" s="66"/>
      <c r="Z35" s="66"/>
      <c r="AA35" s="67"/>
    </row>
    <row r="36" spans="1:27" ht="13.5" customHeight="1" thickBot="1">
      <c r="A36" s="176" t="s">
        <v>33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8"/>
      <c r="N36" s="10"/>
      <c r="O36" s="176" t="s">
        <v>34</v>
      </c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8"/>
    </row>
    <row r="37" spans="1:27" ht="13.5" customHeight="1">
      <c r="A37" s="225" t="s">
        <v>137</v>
      </c>
      <c r="B37" s="226"/>
      <c r="C37" s="226"/>
      <c r="D37" s="227" t="s">
        <v>138</v>
      </c>
      <c r="E37" s="227"/>
      <c r="F37" s="227"/>
      <c r="G37" s="68" t="s">
        <v>139</v>
      </c>
      <c r="H37" s="226" t="s">
        <v>140</v>
      </c>
      <c r="I37" s="226"/>
      <c r="J37" s="226"/>
      <c r="K37" s="227" t="s">
        <v>141</v>
      </c>
      <c r="L37" s="227"/>
      <c r="M37" s="228"/>
      <c r="N37" s="15"/>
      <c r="O37" s="229" t="s">
        <v>35</v>
      </c>
      <c r="P37" s="230"/>
      <c r="Q37" s="218" t="s">
        <v>36</v>
      </c>
      <c r="R37" s="233"/>
      <c r="S37" s="233"/>
      <c r="T37" s="233"/>
      <c r="U37" s="233"/>
      <c r="V37" s="233"/>
      <c r="W37" s="233"/>
      <c r="X37" s="233"/>
      <c r="Y37" s="233"/>
      <c r="Z37" s="16" t="str">
        <f>D20</f>
        <v>가입</v>
      </c>
      <c r="AA37" s="17"/>
    </row>
    <row r="38" spans="1:27" ht="13.5" customHeight="1">
      <c r="A38" s="210" t="s">
        <v>37</v>
      </c>
      <c r="B38" s="211"/>
      <c r="C38" s="211"/>
      <c r="D38" s="211"/>
      <c r="E38" s="212" t="s">
        <v>38</v>
      </c>
      <c r="F38" s="212"/>
      <c r="G38" s="212"/>
      <c r="H38" s="212"/>
      <c r="I38" s="212"/>
      <c r="J38" s="212"/>
      <c r="K38" s="212"/>
      <c r="L38" s="212"/>
      <c r="M38" s="213"/>
      <c r="N38" s="15"/>
      <c r="O38" s="214"/>
      <c r="P38" s="215"/>
      <c r="Q38" s="201" t="s">
        <v>39</v>
      </c>
      <c r="R38" s="201"/>
      <c r="S38" s="201"/>
      <c r="T38" s="201"/>
      <c r="U38" s="201"/>
      <c r="V38" s="201"/>
      <c r="W38" s="201"/>
      <c r="X38" s="201"/>
      <c r="Y38" s="91"/>
      <c r="Z38" s="92" t="s">
        <v>103</v>
      </c>
      <c r="AA38" s="18"/>
    </row>
    <row r="39" spans="1:27" ht="13.5" customHeight="1" thickBot="1">
      <c r="A39" s="210" t="s">
        <v>40</v>
      </c>
      <c r="B39" s="211"/>
      <c r="C39" s="211"/>
      <c r="D39" s="211"/>
      <c r="E39" s="212" t="s">
        <v>217</v>
      </c>
      <c r="F39" s="212"/>
      <c r="G39" s="212"/>
      <c r="H39" s="212"/>
      <c r="I39" s="212"/>
      <c r="J39" s="212"/>
      <c r="K39" s="212"/>
      <c r="L39" s="212"/>
      <c r="M39" s="213"/>
      <c r="N39" s="15"/>
      <c r="O39" s="231"/>
      <c r="P39" s="232"/>
      <c r="Q39" s="223" t="s">
        <v>41</v>
      </c>
      <c r="R39" s="224"/>
      <c r="S39" s="224"/>
      <c r="T39" s="224"/>
      <c r="U39" s="224"/>
      <c r="V39" s="224"/>
      <c r="W39" s="224"/>
      <c r="X39" s="224"/>
      <c r="Y39" s="224"/>
      <c r="Z39" s="19" t="s">
        <v>104</v>
      </c>
      <c r="AA39" s="20"/>
    </row>
    <row r="40" spans="1:27" ht="13.5" customHeight="1" thickBot="1">
      <c r="A40" s="210" t="s">
        <v>42</v>
      </c>
      <c r="B40" s="211"/>
      <c r="C40" s="211"/>
      <c r="D40" s="211"/>
      <c r="E40" s="212" t="s">
        <v>174</v>
      </c>
      <c r="F40" s="212"/>
      <c r="G40" s="212"/>
      <c r="H40" s="212"/>
      <c r="I40" s="212"/>
      <c r="J40" s="212"/>
      <c r="K40" s="212"/>
      <c r="L40" s="212"/>
      <c r="M40" s="213"/>
      <c r="N40" s="15"/>
      <c r="O40" s="176" t="s">
        <v>213</v>
      </c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8"/>
    </row>
    <row r="41" spans="1:27" ht="13.5" customHeight="1">
      <c r="A41" s="210" t="s">
        <v>43</v>
      </c>
      <c r="B41" s="211"/>
      <c r="C41" s="211"/>
      <c r="D41" s="211"/>
      <c r="E41" s="212" t="s">
        <v>175</v>
      </c>
      <c r="F41" s="212"/>
      <c r="G41" s="212"/>
      <c r="H41" s="212"/>
      <c r="I41" s="212"/>
      <c r="J41" s="212"/>
      <c r="K41" s="212"/>
      <c r="L41" s="212"/>
      <c r="M41" s="213"/>
      <c r="N41" s="15"/>
      <c r="O41" s="214" t="s">
        <v>44</v>
      </c>
      <c r="P41" s="215"/>
      <c r="Q41" s="218" t="s">
        <v>45</v>
      </c>
      <c r="R41" s="218"/>
      <c r="S41" s="218"/>
      <c r="T41" s="218"/>
      <c r="U41" s="218"/>
      <c r="V41" s="218"/>
      <c r="W41" s="218"/>
      <c r="X41" s="91"/>
      <c r="Y41" s="219" t="str">
        <f>IF($Z$37="미가입",$Z$37, "가입")</f>
        <v>가입</v>
      </c>
      <c r="Z41" s="219"/>
      <c r="AA41" s="220"/>
    </row>
    <row r="42" spans="1:27" ht="13.5" customHeight="1">
      <c r="A42" s="210" t="s">
        <v>46</v>
      </c>
      <c r="B42" s="211"/>
      <c r="C42" s="211"/>
      <c r="D42" s="211"/>
      <c r="E42" s="212" t="s">
        <v>47</v>
      </c>
      <c r="F42" s="212"/>
      <c r="G42" s="212"/>
      <c r="H42" s="212"/>
      <c r="I42" s="212"/>
      <c r="J42" s="212"/>
      <c r="K42" s="212"/>
      <c r="L42" s="212"/>
      <c r="M42" s="213"/>
      <c r="N42" s="15"/>
      <c r="O42" s="214"/>
      <c r="P42" s="215"/>
      <c r="Q42" s="201" t="s">
        <v>48</v>
      </c>
      <c r="R42" s="201"/>
      <c r="S42" s="201"/>
      <c r="T42" s="201"/>
      <c r="U42" s="201"/>
      <c r="V42" s="201"/>
      <c r="W42" s="201"/>
      <c r="X42" s="91"/>
      <c r="Y42" s="202" t="str">
        <f>IF($Z$37="미가입",$Z$37, "가입")</f>
        <v>가입</v>
      </c>
      <c r="Z42" s="202"/>
      <c r="AA42" s="203"/>
    </row>
    <row r="43" spans="1:27" ht="13.5" customHeight="1">
      <c r="A43" s="221" t="s">
        <v>142</v>
      </c>
      <c r="B43" s="222"/>
      <c r="C43" s="222"/>
      <c r="D43" s="222"/>
      <c r="E43" s="199" t="s">
        <v>104</v>
      </c>
      <c r="F43" s="199"/>
      <c r="G43" s="199"/>
      <c r="H43" s="199"/>
      <c r="I43" s="199"/>
      <c r="J43" s="199"/>
      <c r="K43" s="199"/>
      <c r="L43" s="199"/>
      <c r="M43" s="200"/>
      <c r="N43" s="15"/>
      <c r="O43" s="214"/>
      <c r="P43" s="215"/>
      <c r="Q43" s="201" t="s">
        <v>49</v>
      </c>
      <c r="R43" s="201"/>
      <c r="S43" s="201"/>
      <c r="T43" s="201"/>
      <c r="U43" s="201"/>
      <c r="V43" s="201"/>
      <c r="W43" s="201"/>
      <c r="X43" s="91"/>
      <c r="Y43" s="202" t="str">
        <f>IF($Z$37="미가입",$Z$37, "가입")</f>
        <v>가입</v>
      </c>
      <c r="Z43" s="202"/>
      <c r="AA43" s="203"/>
    </row>
    <row r="44" spans="1:27" ht="13.5" customHeight="1" thickBot="1">
      <c r="A44" s="204" t="s">
        <v>50</v>
      </c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6"/>
      <c r="N44" s="10"/>
      <c r="O44" s="216"/>
      <c r="P44" s="217"/>
      <c r="Q44" s="207" t="s">
        <v>218</v>
      </c>
      <c r="R44" s="207"/>
      <c r="S44" s="207"/>
      <c r="T44" s="207"/>
      <c r="U44" s="207"/>
      <c r="V44" s="207"/>
      <c r="W44" s="207"/>
      <c r="X44" s="93"/>
      <c r="Y44" s="208" t="str">
        <f>IF(Z37 ="가입", '견적서 보고용'!AD11&amp;"본 제공", "미가입")</f>
        <v>4본 제공</v>
      </c>
      <c r="Z44" s="208"/>
      <c r="AA44" s="209"/>
    </row>
    <row r="45" spans="1:27" ht="13.5" customHeight="1" thickBot="1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1"/>
      <c r="N45" s="15"/>
      <c r="O45" s="75"/>
      <c r="P45" s="75"/>
      <c r="Q45" s="175"/>
      <c r="R45" s="175"/>
      <c r="S45" s="175"/>
      <c r="T45" s="175"/>
      <c r="U45" s="175"/>
      <c r="V45" s="175"/>
      <c r="W45" s="175"/>
      <c r="X45" s="175"/>
      <c r="Y45" s="175"/>
      <c r="Z45" s="22"/>
      <c r="AA45" s="22"/>
    </row>
    <row r="46" spans="1:27" ht="13.5" customHeight="1" thickBot="1">
      <c r="A46" s="176" t="s">
        <v>121</v>
      </c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8"/>
      <c r="N46" s="10"/>
      <c r="O46" s="176" t="s">
        <v>51</v>
      </c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8"/>
    </row>
    <row r="47" spans="1:27" ht="13.5" customHeight="1">
      <c r="A47" s="179" t="s">
        <v>236</v>
      </c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1"/>
      <c r="N47" s="10"/>
      <c r="O47" s="188" t="s">
        <v>52</v>
      </c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90"/>
    </row>
    <row r="48" spans="1:27" ht="13.5" customHeight="1">
      <c r="A48" s="182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4"/>
      <c r="N48" s="10"/>
      <c r="O48" s="191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3"/>
    </row>
    <row r="49" spans="1:27" ht="13.5" customHeight="1">
      <c r="A49" s="182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4"/>
      <c r="N49" s="10"/>
      <c r="O49" s="191" t="s">
        <v>53</v>
      </c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5"/>
    </row>
    <row r="50" spans="1:27" ht="13.5" customHeight="1">
      <c r="A50" s="182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4"/>
      <c r="N50" s="10"/>
      <c r="O50" s="191" t="s">
        <v>230</v>
      </c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3"/>
    </row>
    <row r="51" spans="1:27" ht="13.5" customHeight="1">
      <c r="A51" s="182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4"/>
      <c r="N51" s="10"/>
      <c r="O51" s="191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3"/>
    </row>
    <row r="52" spans="1:27" ht="13.5" customHeight="1" thickBot="1">
      <c r="A52" s="185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0"/>
      <c r="O52" s="196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8"/>
    </row>
    <row r="53" spans="1:27" ht="9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3.5" customHeight="1">
      <c r="A54" s="10"/>
      <c r="B54" s="171" t="s">
        <v>54</v>
      </c>
      <c r="C54" s="171"/>
      <c r="D54" s="172" t="s">
        <v>55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</row>
    <row r="55" spans="1:27" ht="13.5" customHeight="1">
      <c r="A55" s="10"/>
      <c r="B55" s="171"/>
      <c r="C55" s="171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</row>
    <row r="56" spans="1:27" ht="9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23"/>
      <c r="L56" s="27"/>
      <c r="M56" s="27"/>
      <c r="N56" s="27"/>
      <c r="O56" s="27"/>
      <c r="P56" s="27"/>
      <c r="Q56" s="27"/>
      <c r="R56" s="27"/>
      <c r="S56" s="23"/>
      <c r="T56" s="26"/>
      <c r="U56" s="10"/>
      <c r="V56" s="10"/>
      <c r="W56" s="10"/>
      <c r="X56" s="10"/>
      <c r="Y56" s="10"/>
      <c r="Z56" s="10"/>
      <c r="AA56" s="10"/>
    </row>
    <row r="57" spans="1:27" ht="13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73" t="s">
        <v>56</v>
      </c>
      <c r="L57" s="173"/>
      <c r="M57" s="173"/>
      <c r="N57" s="27"/>
      <c r="O57" s="174" t="s">
        <v>6</v>
      </c>
      <c r="P57" s="174"/>
      <c r="Q57" s="174"/>
      <c r="R57" s="27"/>
      <c r="S57" s="23"/>
      <c r="T57" s="26"/>
      <c r="U57" s="10"/>
      <c r="V57" s="10"/>
      <c r="W57" s="10"/>
      <c r="X57" s="10"/>
      <c r="Y57" s="10"/>
      <c r="Z57" s="10"/>
      <c r="AA57" s="10"/>
    </row>
    <row r="58" spans="1:27" ht="13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73" t="s">
        <v>57</v>
      </c>
      <c r="L58" s="173"/>
      <c r="M58" s="173"/>
      <c r="N58" s="27"/>
      <c r="O58" s="174" t="s">
        <v>58</v>
      </c>
      <c r="P58" s="174"/>
      <c r="Q58" s="174"/>
      <c r="R58" s="27"/>
      <c r="S58" s="23"/>
      <c r="T58" s="26"/>
      <c r="U58" s="10"/>
      <c r="V58" s="10"/>
      <c r="W58" s="10"/>
      <c r="X58" s="10"/>
      <c r="Y58" s="10"/>
      <c r="Z58" s="10"/>
      <c r="AA58" s="10"/>
    </row>
    <row r="59" spans="1:27" ht="13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23"/>
      <c r="L59" s="23"/>
      <c r="M59" s="23"/>
      <c r="N59" s="23"/>
      <c r="O59" s="23"/>
      <c r="P59" s="23"/>
      <c r="Q59" s="23"/>
      <c r="R59" s="23"/>
      <c r="S59" s="23"/>
      <c r="T59" s="26"/>
      <c r="U59" s="10"/>
      <c r="V59" s="10"/>
      <c r="W59" s="10"/>
      <c r="X59" s="10"/>
      <c r="Y59" s="10"/>
      <c r="Z59" s="10"/>
      <c r="AA59" s="10"/>
    </row>
    <row r="60" spans="1:27" ht="13.5" customHeight="1"/>
    <row r="61" spans="1:27" ht="13.5" customHeight="1"/>
    <row r="62" spans="1:27" ht="13.5" customHeight="1"/>
    <row r="63" spans="1:27" ht="13.5" customHeight="1"/>
    <row r="64" spans="1:27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4.5" customHeight="1"/>
    <row r="390" ht="14.5" customHeight="1"/>
    <row r="391" ht="14.5" customHeight="1"/>
    <row r="392" ht="14.5" customHeight="1"/>
    <row r="393" ht="14.5" customHeight="1"/>
    <row r="394" ht="14.5" customHeight="1"/>
    <row r="395" ht="14.5" customHeight="1"/>
    <row r="396" ht="14.5" customHeight="1"/>
    <row r="397" ht="14.5" customHeight="1"/>
    <row r="398" ht="14.5" customHeight="1"/>
    <row r="399" ht="14.5" customHeight="1"/>
    <row r="400" ht="14.5" customHeight="1"/>
    <row r="401" ht="14.5" customHeight="1"/>
    <row r="402" ht="14.5" customHeight="1"/>
    <row r="403" ht="14.5" customHeight="1"/>
    <row r="404" ht="14.5" customHeight="1"/>
    <row r="405" ht="14.5" customHeight="1"/>
    <row r="406" ht="14.5" customHeight="1"/>
    <row r="407" ht="14.5" customHeight="1"/>
    <row r="408" ht="14.5" customHeight="1"/>
    <row r="409" ht="14.5" customHeight="1"/>
    <row r="410" ht="14.5" customHeight="1"/>
    <row r="411" ht="14.5" customHeight="1"/>
    <row r="412" ht="14.5" customHeight="1"/>
    <row r="413" ht="14.5" customHeight="1"/>
    <row r="414" ht="14.5" customHeight="1"/>
    <row r="415" ht="14.5" customHeight="1"/>
    <row r="416" ht="14.5" customHeight="1"/>
    <row r="417" ht="14.5" customHeight="1"/>
    <row r="418" ht="14.5" customHeight="1"/>
    <row r="419" ht="14.5" customHeight="1"/>
    <row r="420" ht="14.5" customHeight="1"/>
    <row r="421" ht="14.5" customHeight="1"/>
    <row r="422" ht="14.5" customHeight="1"/>
    <row r="423" ht="14.5" customHeight="1"/>
    <row r="424" ht="14.5" customHeight="1"/>
    <row r="425" ht="14.5" customHeight="1"/>
    <row r="426" ht="14.5" customHeight="1"/>
    <row r="427" ht="14.5" customHeight="1"/>
    <row r="428" ht="14.5" customHeight="1"/>
    <row r="429" ht="14.5" customHeight="1"/>
    <row r="430" ht="14.5" customHeight="1"/>
    <row r="431" ht="14.5" customHeight="1"/>
    <row r="432" ht="14.5" customHeight="1"/>
    <row r="433" ht="14.5" customHeight="1"/>
    <row r="434" ht="14.5" customHeight="1"/>
    <row r="435" ht="14.5" customHeight="1"/>
    <row r="436" ht="14.5" customHeight="1"/>
    <row r="437" ht="14.5" customHeight="1"/>
    <row r="438" ht="14.5" customHeight="1"/>
    <row r="439" ht="14.5" customHeight="1"/>
    <row r="440" ht="14.5" customHeight="1"/>
    <row r="441" ht="14.5" customHeight="1"/>
    <row r="442" ht="14.5" customHeight="1"/>
    <row r="443" ht="14.5" customHeight="1"/>
    <row r="444" ht="14.5" customHeight="1"/>
    <row r="445" ht="14.5" customHeight="1"/>
    <row r="446" ht="14.5" customHeight="1"/>
    <row r="447" ht="14.5" customHeight="1"/>
    <row r="448" ht="14.5" customHeight="1"/>
    <row r="449" ht="14.5" customHeight="1"/>
    <row r="450" ht="14.5" customHeight="1"/>
    <row r="451" ht="14.5" customHeight="1"/>
    <row r="452" ht="14.5" customHeight="1"/>
    <row r="453" ht="14.5" customHeight="1"/>
    <row r="454" ht="14.5" customHeight="1"/>
    <row r="455" ht="14.5" customHeight="1"/>
    <row r="456" ht="14.5" customHeight="1"/>
    <row r="457" ht="14.5" customHeight="1"/>
    <row r="458" ht="14.5" customHeight="1"/>
    <row r="459" ht="14.5" customHeight="1"/>
    <row r="460" ht="14.5" customHeight="1"/>
    <row r="461" ht="14.5" customHeight="1"/>
    <row r="462" ht="14.5" customHeight="1"/>
    <row r="463" ht="14.5" customHeight="1"/>
    <row r="464" ht="14.5" customHeight="1"/>
    <row r="465" ht="14.5" customHeight="1"/>
    <row r="466" ht="14.5" customHeight="1"/>
    <row r="467" ht="14.5" customHeight="1"/>
    <row r="468" ht="14.5" customHeight="1"/>
    <row r="469" ht="14.5" customHeight="1"/>
    <row r="470" ht="14.5" customHeight="1"/>
    <row r="471" ht="14.5" customHeight="1"/>
    <row r="472" ht="14.5" customHeight="1"/>
    <row r="473" ht="14.5" customHeight="1"/>
    <row r="474" ht="14.5" customHeight="1"/>
    <row r="475" ht="14.5" customHeight="1"/>
    <row r="476" ht="14.5" customHeight="1"/>
    <row r="477" ht="14.5" customHeight="1"/>
    <row r="478" ht="14.5" customHeight="1"/>
    <row r="479" ht="14.5" customHeight="1"/>
    <row r="480" ht="14.5" customHeight="1"/>
    <row r="481" ht="14.5" customHeight="1"/>
    <row r="482" ht="14.5" customHeight="1"/>
    <row r="483" ht="14.5" customHeight="1"/>
    <row r="484" ht="14.5" customHeight="1"/>
    <row r="485" ht="14.5" customHeight="1"/>
    <row r="486" ht="14.5" customHeight="1"/>
    <row r="487" ht="14.5" customHeight="1"/>
    <row r="488" ht="14.5" customHeight="1"/>
    <row r="489" ht="14.5" customHeight="1"/>
    <row r="490" ht="14.5" customHeight="1"/>
    <row r="491" ht="14.5" customHeight="1"/>
    <row r="492" ht="14.5" customHeight="1"/>
    <row r="493" ht="14.5" customHeight="1"/>
    <row r="494" ht="14.5" customHeight="1"/>
    <row r="495" ht="14.5" customHeight="1"/>
    <row r="496" ht="14.5" customHeight="1"/>
    <row r="497" ht="14.5" customHeight="1"/>
    <row r="498" ht="14.5" customHeight="1"/>
    <row r="499" ht="14.5" customHeight="1"/>
    <row r="500" ht="14.5" customHeight="1"/>
    <row r="501" ht="14.5" customHeight="1"/>
    <row r="502" ht="14.5" customHeight="1"/>
    <row r="503" ht="14.5" customHeight="1"/>
    <row r="504" ht="14.5" customHeight="1"/>
  </sheetData>
  <mergeCells count="149">
    <mergeCell ref="Y43:AA43"/>
    <mergeCell ref="Y21:AA21"/>
    <mergeCell ref="Y22:AA22"/>
    <mergeCell ref="Y23:AA23"/>
    <mergeCell ref="Y24:AA24"/>
    <mergeCell ref="Y25:AA25"/>
    <mergeCell ref="Y26:AA26"/>
    <mergeCell ref="T33:U33"/>
    <mergeCell ref="O33:S33"/>
    <mergeCell ref="O34:S34"/>
    <mergeCell ref="T34:W34"/>
    <mergeCell ref="O35:S35"/>
    <mergeCell ref="T35:W35"/>
    <mergeCell ref="P24:R24"/>
    <mergeCell ref="S24:U24"/>
    <mergeCell ref="V24:X24"/>
    <mergeCell ref="P26:R26"/>
    <mergeCell ref="S26:U26"/>
    <mergeCell ref="O47:AA48"/>
    <mergeCell ref="O49:AA49"/>
    <mergeCell ref="A44:M44"/>
    <mergeCell ref="Q45:Y45"/>
    <mergeCell ref="V26:X26"/>
    <mergeCell ref="A36:M36"/>
    <mergeCell ref="O36:AA36"/>
    <mergeCell ref="S27:AA27"/>
    <mergeCell ref="A28:AA30"/>
    <mergeCell ref="A32:M32"/>
    <mergeCell ref="O32:AA32"/>
    <mergeCell ref="O37:P39"/>
    <mergeCell ref="Q37:Y37"/>
    <mergeCell ref="A38:D38"/>
    <mergeCell ref="E38:M38"/>
    <mergeCell ref="A39:D39"/>
    <mergeCell ref="E39:M39"/>
    <mergeCell ref="Q39:Y39"/>
    <mergeCell ref="A33:M33"/>
    <mergeCell ref="A34:M34"/>
    <mergeCell ref="A35:M35"/>
    <mergeCell ref="Q41:W41"/>
    <mergeCell ref="Y41:AA41"/>
    <mergeCell ref="Y42:AA42"/>
    <mergeCell ref="K57:M57"/>
    <mergeCell ref="O57:Q57"/>
    <mergeCell ref="K58:M58"/>
    <mergeCell ref="O58:Q58"/>
    <mergeCell ref="B54:C55"/>
    <mergeCell ref="D54:AA55"/>
    <mergeCell ref="A40:D40"/>
    <mergeCell ref="E40:M40"/>
    <mergeCell ref="A41:D41"/>
    <mergeCell ref="E41:M41"/>
    <mergeCell ref="A42:D42"/>
    <mergeCell ref="E42:M42"/>
    <mergeCell ref="A43:D43"/>
    <mergeCell ref="E43:M43"/>
    <mergeCell ref="O41:P44"/>
    <mergeCell ref="O40:AA40"/>
    <mergeCell ref="A47:M52"/>
    <mergeCell ref="Q44:W44"/>
    <mergeCell ref="Y44:AA44"/>
    <mergeCell ref="Q43:W43"/>
    <mergeCell ref="Q42:W42"/>
    <mergeCell ref="O50:AA52"/>
    <mergeCell ref="A46:M46"/>
    <mergeCell ref="O46:AA46"/>
    <mergeCell ref="A37:C37"/>
    <mergeCell ref="D37:F37"/>
    <mergeCell ref="H37:J37"/>
    <mergeCell ref="K37:M37"/>
    <mergeCell ref="Q38:X38"/>
    <mergeCell ref="S21:U21"/>
    <mergeCell ref="V21:X21"/>
    <mergeCell ref="A25:A26"/>
    <mergeCell ref="B25:G25"/>
    <mergeCell ref="I25:K25"/>
    <mergeCell ref="L25:O25"/>
    <mergeCell ref="P25:R25"/>
    <mergeCell ref="S25:U25"/>
    <mergeCell ref="V25:X25"/>
    <mergeCell ref="A23:A24"/>
    <mergeCell ref="B23:G23"/>
    <mergeCell ref="I23:K23"/>
    <mergeCell ref="L23:O23"/>
    <mergeCell ref="P23:R23"/>
    <mergeCell ref="S23:U23"/>
    <mergeCell ref="V23:X23"/>
    <mergeCell ref="P22:R22"/>
    <mergeCell ref="S22:U22"/>
    <mergeCell ref="V22:X22"/>
    <mergeCell ref="S19:U19"/>
    <mergeCell ref="V19:X19"/>
    <mergeCell ref="Y19:AA19"/>
    <mergeCell ref="Y20:AA20"/>
    <mergeCell ref="P20:R20"/>
    <mergeCell ref="S20:U20"/>
    <mergeCell ref="V20:X20"/>
    <mergeCell ref="B20:C20"/>
    <mergeCell ref="D20:O20"/>
    <mergeCell ref="S12:AA12"/>
    <mergeCell ref="A14:AA16"/>
    <mergeCell ref="B18:G18"/>
    <mergeCell ref="I18:K18"/>
    <mergeCell ref="L18:O18"/>
    <mergeCell ref="P18:R18"/>
    <mergeCell ref="S18:U18"/>
    <mergeCell ref="O10:P12"/>
    <mergeCell ref="Q10:R10"/>
    <mergeCell ref="S10:AA10"/>
    <mergeCell ref="Q11:R11"/>
    <mergeCell ref="S11:AA11"/>
    <mergeCell ref="V18:X18"/>
    <mergeCell ref="Y18:AA18"/>
    <mergeCell ref="S8:AA8"/>
    <mergeCell ref="E9:M9"/>
    <mergeCell ref="O9:R9"/>
    <mergeCell ref="S9:AA9"/>
    <mergeCell ref="I3:S4"/>
    <mergeCell ref="A6:D6"/>
    <mergeCell ref="E6:M6"/>
    <mergeCell ref="O6:R6"/>
    <mergeCell ref="S6:AA6"/>
    <mergeCell ref="A7:D7"/>
    <mergeCell ref="E7:M7"/>
    <mergeCell ref="O7:R7"/>
    <mergeCell ref="S7:AA7"/>
    <mergeCell ref="B22:C22"/>
    <mergeCell ref="D22:O22"/>
    <mergeCell ref="B24:C24"/>
    <mergeCell ref="D24:O24"/>
    <mergeCell ref="B26:C26"/>
    <mergeCell ref="D26:O26"/>
    <mergeCell ref="A8:D8"/>
    <mergeCell ref="E8:M8"/>
    <mergeCell ref="O8:R8"/>
    <mergeCell ref="Q12:R12"/>
    <mergeCell ref="A19:A20"/>
    <mergeCell ref="B19:G19"/>
    <mergeCell ref="I19:K19"/>
    <mergeCell ref="L19:O19"/>
    <mergeCell ref="P19:R19"/>
    <mergeCell ref="A21:A22"/>
    <mergeCell ref="B21:G21"/>
    <mergeCell ref="I21:K21"/>
    <mergeCell ref="L21:O21"/>
    <mergeCell ref="P21:R21"/>
    <mergeCell ref="A9:D9"/>
    <mergeCell ref="E10:M12"/>
    <mergeCell ref="A10:D12"/>
  </mergeCells>
  <phoneticPr fontId="1" type="noConversion"/>
  <hyperlinks>
    <hyperlink ref="S12" r:id="rId1" xr:uid="{00000000-0004-0000-0000-000000000000}"/>
  </hyperlinks>
  <pageMargins left="0.55118110236220474" right="0.47244094488188981" top="0.14660493827160495" bottom="0.18518518518518517" header="0.31496062992125984" footer="0.31496062992125984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478"/>
  <sheetViews>
    <sheetView showGridLines="0" view="pageLayout" zoomScaleNormal="70" workbookViewId="0">
      <selection activeCell="AD12" sqref="AD12:AH12"/>
    </sheetView>
  </sheetViews>
  <sheetFormatPr defaultColWidth="8.58203125" defaultRowHeight="11.5"/>
  <cols>
    <col min="1" max="49" width="3.25" style="1" customWidth="1"/>
    <col min="50" max="50" width="3.33203125" style="1" customWidth="1"/>
    <col min="51" max="51" width="11.5" style="1" bestFit="1" customWidth="1"/>
    <col min="52" max="16384" width="8.58203125" style="1"/>
  </cols>
  <sheetData>
    <row r="1" spans="1:51" s="2" customFormat="1" ht="30.5" thickBot="1">
      <c r="A1" s="113" t="s">
        <v>59</v>
      </c>
      <c r="B1" s="113"/>
      <c r="C1" s="113"/>
      <c r="D1" s="113"/>
      <c r="E1" s="7"/>
      <c r="F1" s="7"/>
      <c r="G1" s="7"/>
      <c r="H1" s="7"/>
      <c r="I1" s="8"/>
      <c r="J1" s="8"/>
      <c r="K1" s="8"/>
      <c r="L1" s="8"/>
      <c r="M1" s="8"/>
      <c r="N1" s="8"/>
      <c r="O1" s="8"/>
      <c r="P1" s="8"/>
      <c r="Q1" s="8"/>
      <c r="R1" s="149" t="s">
        <v>324</v>
      </c>
      <c r="S1" s="149"/>
      <c r="T1" s="149"/>
      <c r="U1" s="149"/>
      <c r="V1" s="149"/>
      <c r="W1" s="149"/>
      <c r="X1" s="149"/>
      <c r="Y1" s="4"/>
      <c r="Z1" s="113" t="s">
        <v>105</v>
      </c>
      <c r="AA1" s="113"/>
      <c r="AB1" s="113"/>
      <c r="AC1" s="113"/>
      <c r="AD1" s="113"/>
      <c r="AE1" s="113"/>
      <c r="AF1" s="6"/>
      <c r="AG1" s="6"/>
      <c r="AH1" s="6"/>
      <c r="AI1" s="6"/>
      <c r="AJ1" s="6"/>
      <c r="AK1" s="6"/>
      <c r="AL1" s="6"/>
      <c r="AM1" s="7"/>
      <c r="AN1" s="6"/>
      <c r="AO1" s="6"/>
      <c r="AP1" s="6"/>
      <c r="AQ1" s="6"/>
      <c r="AR1" s="6"/>
      <c r="AS1" s="6"/>
      <c r="AT1" s="6"/>
      <c r="AU1" s="6"/>
      <c r="AV1" s="6"/>
      <c r="AW1" s="6"/>
      <c r="AY1" s="95"/>
    </row>
    <row r="2" spans="1:51" ht="26.25" customHeight="1">
      <c r="A2" s="150" t="s">
        <v>60</v>
      </c>
      <c r="B2" s="150"/>
      <c r="C2" s="150"/>
      <c r="D2" s="155" t="s">
        <v>321</v>
      </c>
      <c r="E2" s="155"/>
      <c r="F2" s="155"/>
      <c r="G2" s="155"/>
      <c r="H2" s="155"/>
      <c r="I2" s="155"/>
      <c r="J2" s="155"/>
      <c r="K2" s="155"/>
      <c r="L2" s="156" t="s">
        <v>61</v>
      </c>
      <c r="M2" s="156"/>
      <c r="N2" s="155" t="s">
        <v>176</v>
      </c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57"/>
      <c r="Z2" s="119"/>
      <c r="AA2" s="119"/>
      <c r="AB2" s="119"/>
      <c r="AC2" s="119"/>
      <c r="AD2" s="124">
        <f>E7*AD3</f>
        <v>1700400</v>
      </c>
      <c r="AE2" s="125"/>
      <c r="AF2" s="125"/>
      <c r="AG2" s="125"/>
      <c r="AH2" s="125"/>
      <c r="AI2" s="124">
        <f>J7*AI3</f>
        <v>1700400</v>
      </c>
      <c r="AJ2" s="125"/>
      <c r="AK2" s="125"/>
      <c r="AL2" s="125"/>
      <c r="AM2" s="125"/>
      <c r="AN2" s="124">
        <f>O7*AN3</f>
        <v>1700400</v>
      </c>
      <c r="AO2" s="125"/>
      <c r="AP2" s="125"/>
      <c r="AQ2" s="125"/>
      <c r="AR2" s="125"/>
      <c r="AS2" s="124">
        <f>T7*AS3</f>
        <v>1700400</v>
      </c>
      <c r="AT2" s="125"/>
      <c r="AU2" s="125"/>
      <c r="AV2" s="125"/>
      <c r="AW2" s="125"/>
      <c r="AY2" s="96"/>
    </row>
    <row r="3" spans="1:51" ht="13.5" customHeight="1">
      <c r="A3" s="151" t="s">
        <v>62</v>
      </c>
      <c r="B3" s="151"/>
      <c r="C3" s="151"/>
      <c r="D3" s="152">
        <v>56680000</v>
      </c>
      <c r="E3" s="152"/>
      <c r="F3" s="152"/>
      <c r="G3" s="152"/>
      <c r="H3" s="152"/>
      <c r="I3" s="29"/>
      <c r="J3" s="153" t="s">
        <v>63</v>
      </c>
      <c r="K3" s="153"/>
      <c r="L3" s="154"/>
      <c r="M3" s="154"/>
      <c r="N3" s="154"/>
      <c r="O3" s="154"/>
      <c r="P3" s="154"/>
      <c r="Q3" s="29"/>
      <c r="R3" s="153" t="s">
        <v>64</v>
      </c>
      <c r="S3" s="153"/>
      <c r="T3" s="153"/>
      <c r="U3" s="152">
        <v>2500</v>
      </c>
      <c r="V3" s="152"/>
      <c r="W3" s="152"/>
      <c r="X3" s="31" t="s">
        <v>65</v>
      </c>
      <c r="Y3" s="55"/>
      <c r="Z3" s="114" t="s">
        <v>109</v>
      </c>
      <c r="AA3" s="114"/>
      <c r="AB3" s="114"/>
      <c r="AC3" s="114"/>
      <c r="AD3" s="117">
        <v>0.03</v>
      </c>
      <c r="AE3" s="117"/>
      <c r="AF3" s="117"/>
      <c r="AG3" s="117"/>
      <c r="AH3" s="117"/>
      <c r="AI3" s="117">
        <v>0.03</v>
      </c>
      <c r="AJ3" s="117"/>
      <c r="AK3" s="117"/>
      <c r="AL3" s="117"/>
      <c r="AM3" s="117"/>
      <c r="AN3" s="117">
        <v>0.03</v>
      </c>
      <c r="AO3" s="117"/>
      <c r="AP3" s="117"/>
      <c r="AQ3" s="117"/>
      <c r="AR3" s="117"/>
      <c r="AS3" s="117">
        <v>0.03</v>
      </c>
      <c r="AT3" s="117"/>
      <c r="AU3" s="117"/>
      <c r="AV3" s="117"/>
      <c r="AW3" s="117"/>
      <c r="AY3" s="96"/>
    </row>
    <row r="4" spans="1:51" ht="17.149999999999999" customHeight="1">
      <c r="A4" s="145" t="s">
        <v>66</v>
      </c>
      <c r="B4" s="145"/>
      <c r="C4" s="145"/>
      <c r="D4" s="144">
        <v>0</v>
      </c>
      <c r="E4" s="144"/>
      <c r="F4" s="144"/>
      <c r="G4" s="144"/>
      <c r="H4" s="144"/>
      <c r="I4" s="30"/>
      <c r="J4" s="145"/>
      <c r="K4" s="145"/>
      <c r="L4" s="145"/>
      <c r="M4" s="146"/>
      <c r="N4" s="146"/>
      <c r="O4" s="146"/>
      <c r="P4" s="146"/>
      <c r="Q4" s="30"/>
      <c r="R4" s="145" t="s">
        <v>67</v>
      </c>
      <c r="S4" s="145"/>
      <c r="T4" s="145"/>
      <c r="U4" s="147">
        <f>D3+D4</f>
        <v>56680000</v>
      </c>
      <c r="V4" s="147"/>
      <c r="W4" s="147"/>
      <c r="X4" s="147"/>
      <c r="Y4" s="56"/>
      <c r="AC4" s="25"/>
      <c r="AY4" s="96"/>
    </row>
    <row r="5" spans="1:51" ht="17.149999999999999" customHeight="1" thickBot="1">
      <c r="A5" s="113" t="s">
        <v>68</v>
      </c>
      <c r="B5" s="113"/>
      <c r="C5" s="113"/>
      <c r="D5" s="113"/>
      <c r="E5" s="6"/>
      <c r="F5" s="6"/>
      <c r="G5" s="6"/>
      <c r="H5" s="6"/>
      <c r="I5" s="6"/>
      <c r="J5" s="6"/>
      <c r="K5" s="6"/>
      <c r="L5" s="6"/>
      <c r="M5" s="6"/>
      <c r="N5" s="7"/>
      <c r="O5" s="6"/>
      <c r="P5" s="6"/>
      <c r="Q5" s="6"/>
      <c r="R5" s="6"/>
      <c r="S5" s="6"/>
      <c r="T5" s="6"/>
      <c r="U5" s="6"/>
      <c r="V5" s="6"/>
      <c r="W5" s="6"/>
      <c r="X5" s="6"/>
      <c r="Y5" s="3"/>
      <c r="Z5" s="113" t="s">
        <v>106</v>
      </c>
      <c r="AA5" s="113"/>
      <c r="AB5" s="113"/>
      <c r="AC5" s="113"/>
      <c r="AD5" s="113"/>
      <c r="AE5" s="113"/>
      <c r="AF5" s="6"/>
      <c r="AG5" s="6"/>
      <c r="AH5" s="6"/>
      <c r="AI5" s="6"/>
      <c r="AJ5" s="6"/>
      <c r="AK5" s="6"/>
      <c r="AL5" s="6"/>
      <c r="AM5" s="7"/>
      <c r="AN5" s="6"/>
      <c r="AO5" s="6"/>
      <c r="AP5" s="6"/>
      <c r="AQ5" s="6"/>
      <c r="AR5" s="6"/>
      <c r="AS5" s="6"/>
      <c r="AT5" s="6"/>
      <c r="AU5" s="6"/>
      <c r="AV5" s="6"/>
      <c r="AW5" s="6"/>
      <c r="AY5" s="96"/>
    </row>
    <row r="6" spans="1:51" ht="17.149999999999999" customHeight="1">
      <c r="A6" s="148"/>
      <c r="B6" s="148"/>
      <c r="C6" s="148"/>
      <c r="D6" s="148"/>
      <c r="E6" s="133" t="s">
        <v>325</v>
      </c>
      <c r="F6" s="133"/>
      <c r="G6" s="133"/>
      <c r="H6" s="133"/>
      <c r="I6" s="133"/>
      <c r="J6" s="133" t="s">
        <v>150</v>
      </c>
      <c r="K6" s="133"/>
      <c r="L6" s="133"/>
      <c r="M6" s="133"/>
      <c r="N6" s="133"/>
      <c r="O6" s="133" t="s">
        <v>151</v>
      </c>
      <c r="P6" s="133"/>
      <c r="Q6" s="133"/>
      <c r="R6" s="133"/>
      <c r="S6" s="133"/>
      <c r="T6" s="133" t="s">
        <v>69</v>
      </c>
      <c r="U6" s="133"/>
      <c r="V6" s="133"/>
      <c r="W6" s="133"/>
      <c r="X6" s="133"/>
      <c r="Y6" s="5"/>
      <c r="Z6" s="119"/>
      <c r="AA6" s="119"/>
      <c r="AB6" s="119"/>
      <c r="AC6" s="119"/>
      <c r="AD6" s="124">
        <f>E11*AD7</f>
        <v>0</v>
      </c>
      <c r="AE6" s="125"/>
      <c r="AF6" s="125"/>
      <c r="AG6" s="125"/>
      <c r="AH6" s="125"/>
      <c r="AI6" s="124">
        <f>J11*AI7</f>
        <v>0</v>
      </c>
      <c r="AJ6" s="125"/>
      <c r="AK6" s="125"/>
      <c r="AL6" s="125"/>
      <c r="AM6" s="125"/>
      <c r="AN6" s="124">
        <f>O11*AN7</f>
        <v>0</v>
      </c>
      <c r="AO6" s="125"/>
      <c r="AP6" s="125"/>
      <c r="AQ6" s="125"/>
      <c r="AR6" s="125"/>
      <c r="AS6" s="124">
        <f>T11*AS7</f>
        <v>0</v>
      </c>
      <c r="AT6" s="125"/>
      <c r="AU6" s="125"/>
      <c r="AV6" s="125"/>
      <c r="AW6" s="125"/>
      <c r="AY6" s="97"/>
    </row>
    <row r="7" spans="1:51" ht="17.149999999999999" customHeight="1">
      <c r="A7" s="114" t="s">
        <v>67</v>
      </c>
      <c r="B7" s="114"/>
      <c r="C7" s="114"/>
      <c r="D7" s="114"/>
      <c r="E7" s="131">
        <f>$D$3</f>
        <v>56680000</v>
      </c>
      <c r="F7" s="131"/>
      <c r="G7" s="131"/>
      <c r="H7" s="131"/>
      <c r="I7" s="131"/>
      <c r="J7" s="131">
        <f>$D$3</f>
        <v>56680000</v>
      </c>
      <c r="K7" s="131"/>
      <c r="L7" s="131"/>
      <c r="M7" s="131"/>
      <c r="N7" s="131"/>
      <c r="O7" s="131">
        <f>$D$3</f>
        <v>56680000</v>
      </c>
      <c r="P7" s="131"/>
      <c r="Q7" s="131"/>
      <c r="R7" s="131"/>
      <c r="S7" s="131"/>
      <c r="T7" s="131">
        <f>$D$3</f>
        <v>56680000</v>
      </c>
      <c r="U7" s="131"/>
      <c r="V7" s="131"/>
      <c r="W7" s="131"/>
      <c r="X7" s="131"/>
      <c r="Y7" s="9"/>
      <c r="Z7" s="114" t="s">
        <v>102</v>
      </c>
      <c r="AA7" s="114"/>
      <c r="AB7" s="114"/>
      <c r="AC7" s="114"/>
      <c r="AD7" s="117">
        <v>0</v>
      </c>
      <c r="AE7" s="117"/>
      <c r="AF7" s="117"/>
      <c r="AG7" s="117"/>
      <c r="AH7" s="117"/>
      <c r="AI7" s="117">
        <v>0</v>
      </c>
      <c r="AJ7" s="117"/>
      <c r="AK7" s="117"/>
      <c r="AL7" s="117"/>
      <c r="AM7" s="117"/>
      <c r="AN7" s="117">
        <v>0</v>
      </c>
      <c r="AO7" s="117"/>
      <c r="AP7" s="117"/>
      <c r="AQ7" s="117"/>
      <c r="AR7" s="117"/>
      <c r="AS7" s="117">
        <v>0</v>
      </c>
      <c r="AT7" s="117"/>
      <c r="AU7" s="117"/>
      <c r="AV7" s="117"/>
      <c r="AW7" s="117"/>
      <c r="AY7" s="97"/>
    </row>
    <row r="8" spans="1:51" ht="17.149999999999999" customHeight="1">
      <c r="A8" s="114" t="s">
        <v>70</v>
      </c>
      <c r="B8" s="114"/>
      <c r="C8" s="114"/>
      <c r="D8" s="114"/>
      <c r="E8" s="143"/>
      <c r="F8" s="143"/>
      <c r="G8" s="143"/>
      <c r="H8" s="143"/>
      <c r="I8" s="143"/>
      <c r="J8" s="143">
        <v>0</v>
      </c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53"/>
      <c r="AY8" s="97"/>
    </row>
    <row r="9" spans="1:51" ht="17.149999999999999" customHeight="1">
      <c r="A9" s="114" t="s">
        <v>72</v>
      </c>
      <c r="B9" s="114"/>
      <c r="C9" s="114"/>
      <c r="D9" s="114"/>
      <c r="E9" s="131">
        <f>E7*E8</f>
        <v>0</v>
      </c>
      <c r="F9" s="131"/>
      <c r="G9" s="131"/>
      <c r="H9" s="131"/>
      <c r="I9" s="131"/>
      <c r="J9" s="131">
        <f t="shared" ref="J9" si="0">J7*J8</f>
        <v>0</v>
      </c>
      <c r="K9" s="131"/>
      <c r="L9" s="131"/>
      <c r="M9" s="131"/>
      <c r="N9" s="131"/>
      <c r="O9" s="131">
        <f t="shared" ref="O9" si="1">O7*O8</f>
        <v>0</v>
      </c>
      <c r="P9" s="131"/>
      <c r="Q9" s="131"/>
      <c r="R9" s="131"/>
      <c r="S9" s="131"/>
      <c r="T9" s="131">
        <f t="shared" ref="T9" si="2">T7*T8</f>
        <v>0</v>
      </c>
      <c r="U9" s="131"/>
      <c r="V9" s="131"/>
      <c r="W9" s="131"/>
      <c r="X9" s="131"/>
      <c r="Y9" s="9"/>
      <c r="AY9" s="97"/>
    </row>
    <row r="10" spans="1:51" ht="17.149999999999999" customHeight="1" thickBot="1">
      <c r="A10" s="114" t="s">
        <v>210</v>
      </c>
      <c r="B10" s="114"/>
      <c r="C10" s="114"/>
      <c r="D10" s="114"/>
      <c r="E10" s="134">
        <v>360000</v>
      </c>
      <c r="F10" s="134"/>
      <c r="G10" s="134"/>
      <c r="H10" s="134"/>
      <c r="I10" s="134"/>
      <c r="J10" s="134">
        <v>360000</v>
      </c>
      <c r="K10" s="134"/>
      <c r="L10" s="134"/>
      <c r="M10" s="134"/>
      <c r="N10" s="134"/>
      <c r="O10" s="134">
        <v>360000</v>
      </c>
      <c r="P10" s="134"/>
      <c r="Q10" s="134"/>
      <c r="R10" s="134"/>
      <c r="S10" s="134"/>
      <c r="T10" s="134">
        <v>360000</v>
      </c>
      <c r="U10" s="134"/>
      <c r="V10" s="134"/>
      <c r="W10" s="134"/>
      <c r="X10" s="134"/>
      <c r="Y10" s="9"/>
      <c r="Z10" s="113" t="s">
        <v>108</v>
      </c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Y10" s="97"/>
    </row>
    <row r="11" spans="1:51" ht="17.149999999999999" customHeight="1">
      <c r="A11" s="114" t="s">
        <v>74</v>
      </c>
      <c r="B11" s="114"/>
      <c r="C11" s="114"/>
      <c r="D11" s="114"/>
      <c r="E11" s="131">
        <f>E7-E9+E10</f>
        <v>57040000</v>
      </c>
      <c r="F11" s="131"/>
      <c r="G11" s="131"/>
      <c r="H11" s="131"/>
      <c r="I11" s="131"/>
      <c r="J11" s="131">
        <f>J7-J9+J10</f>
        <v>57040000</v>
      </c>
      <c r="K11" s="131"/>
      <c r="L11" s="131"/>
      <c r="M11" s="131"/>
      <c r="N11" s="131"/>
      <c r="O11" s="131">
        <f>O7-O9+O10</f>
        <v>57040000</v>
      </c>
      <c r="P11" s="131"/>
      <c r="Q11" s="131"/>
      <c r="R11" s="131"/>
      <c r="S11" s="131"/>
      <c r="T11" s="131">
        <f>T7-T9+T10</f>
        <v>57040000</v>
      </c>
      <c r="U11" s="131"/>
      <c r="V11" s="131"/>
      <c r="W11" s="131"/>
      <c r="X11" s="131"/>
      <c r="Y11" s="53"/>
      <c r="Z11" s="114" t="s">
        <v>111</v>
      </c>
      <c r="AA11" s="114"/>
      <c r="AB11" s="114"/>
      <c r="AC11" s="114"/>
      <c r="AD11" s="118">
        <v>4</v>
      </c>
      <c r="AE11" s="118"/>
      <c r="AF11" s="118"/>
      <c r="AG11" s="118"/>
      <c r="AH11" s="118"/>
      <c r="AI11" s="118">
        <v>4</v>
      </c>
      <c r="AJ11" s="118"/>
      <c r="AK11" s="118"/>
      <c r="AL11" s="118"/>
      <c r="AM11" s="118"/>
      <c r="AN11" s="118">
        <v>4</v>
      </c>
      <c r="AO11" s="118"/>
      <c r="AP11" s="118"/>
      <c r="AQ11" s="118"/>
      <c r="AR11" s="118"/>
      <c r="AS11" s="118">
        <v>4</v>
      </c>
      <c r="AT11" s="118"/>
      <c r="AU11" s="118"/>
      <c r="AV11" s="118"/>
      <c r="AW11" s="118"/>
      <c r="AY11" s="97"/>
    </row>
    <row r="12" spans="1:51" ht="17.149999999999999" customHeight="1">
      <c r="A12" s="114" t="s">
        <v>76</v>
      </c>
      <c r="B12" s="114"/>
      <c r="C12" s="114"/>
      <c r="D12" s="114"/>
      <c r="E12" s="132">
        <f>E13/E11</f>
        <v>0.77352596101554227</v>
      </c>
      <c r="F12" s="132"/>
      <c r="G12" s="132"/>
      <c r="H12" s="132"/>
      <c r="I12" s="132"/>
      <c r="J12" s="132">
        <f t="shared" ref="J12" si="3">J13/J11</f>
        <v>1.0716325528808999</v>
      </c>
      <c r="K12" s="132"/>
      <c r="L12" s="132"/>
      <c r="M12" s="132"/>
      <c r="N12" s="132"/>
      <c r="O12" s="132">
        <f t="shared" ref="O12" si="4">O13/O11</f>
        <v>0.77352596101554227</v>
      </c>
      <c r="P12" s="132"/>
      <c r="Q12" s="132"/>
      <c r="R12" s="132"/>
      <c r="S12" s="132"/>
      <c r="T12" s="132">
        <f t="shared" ref="T12" si="5">T13/T11</f>
        <v>0.77352596101554227</v>
      </c>
      <c r="U12" s="132"/>
      <c r="V12" s="132"/>
      <c r="W12" s="132"/>
      <c r="X12" s="132"/>
      <c r="Y12" s="54"/>
      <c r="Z12" s="114" t="s">
        <v>114</v>
      </c>
      <c r="AA12" s="114"/>
      <c r="AB12" s="114"/>
      <c r="AC12" s="114"/>
      <c r="AD12" s="123">
        <v>160000</v>
      </c>
      <c r="AE12" s="123"/>
      <c r="AF12" s="123"/>
      <c r="AG12" s="123"/>
      <c r="AH12" s="123"/>
      <c r="AI12" s="123">
        <v>240000</v>
      </c>
      <c r="AJ12" s="123"/>
      <c r="AK12" s="123"/>
      <c r="AL12" s="123"/>
      <c r="AM12" s="123"/>
      <c r="AN12" s="123">
        <v>240000</v>
      </c>
      <c r="AO12" s="123"/>
      <c r="AP12" s="123"/>
      <c r="AQ12" s="123"/>
      <c r="AR12" s="123"/>
      <c r="AS12" s="123">
        <v>160000</v>
      </c>
      <c r="AT12" s="123"/>
      <c r="AU12" s="123"/>
      <c r="AV12" s="123"/>
      <c r="AW12" s="123"/>
      <c r="AY12" s="97"/>
    </row>
    <row r="13" spans="1:51" ht="17.149999999999999" customHeight="1">
      <c r="A13" s="114" t="s">
        <v>71</v>
      </c>
      <c r="B13" s="114"/>
      <c r="C13" s="114"/>
      <c r="D13" s="114"/>
      <c r="E13" s="142">
        <f>E11-E38-E40+E21+E22+E23+E24</f>
        <v>44121920.816326529</v>
      </c>
      <c r="F13" s="142"/>
      <c r="G13" s="142"/>
      <c r="H13" s="142"/>
      <c r="I13" s="142"/>
      <c r="J13" s="142">
        <f>J11-J38-J40+J21+J22+J23+J24</f>
        <v>61125920.816326529</v>
      </c>
      <c r="K13" s="142"/>
      <c r="L13" s="142"/>
      <c r="M13" s="142"/>
      <c r="N13" s="142"/>
      <c r="O13" s="142">
        <f>O11-O38-O40+O21+O22+O23+O24</f>
        <v>44121920.816326529</v>
      </c>
      <c r="P13" s="142"/>
      <c r="Q13" s="142"/>
      <c r="R13" s="142"/>
      <c r="S13" s="142"/>
      <c r="T13" s="142">
        <f>T11-T38-T40+T21+T22+T23+T24</f>
        <v>44121920.816326529</v>
      </c>
      <c r="U13" s="142"/>
      <c r="V13" s="142"/>
      <c r="W13" s="142"/>
      <c r="X13" s="142"/>
      <c r="Y13" s="53"/>
      <c r="Z13" s="114" t="s">
        <v>113</v>
      </c>
      <c r="AA13" s="114"/>
      <c r="AB13" s="114"/>
      <c r="AC13" s="114"/>
      <c r="AD13" s="121">
        <f>AD11*AD12</f>
        <v>640000</v>
      </c>
      <c r="AE13" s="122"/>
      <c r="AF13" s="122"/>
      <c r="AG13" s="122"/>
      <c r="AH13" s="122"/>
      <c r="AI13" s="121">
        <f t="shared" ref="AI13" si="6">AI11*AI12</f>
        <v>960000</v>
      </c>
      <c r="AJ13" s="122"/>
      <c r="AK13" s="122"/>
      <c r="AL13" s="122"/>
      <c r="AM13" s="122"/>
      <c r="AN13" s="121">
        <f t="shared" ref="AN13" si="7">AN11*AN12</f>
        <v>960000</v>
      </c>
      <c r="AO13" s="122"/>
      <c r="AP13" s="122"/>
      <c r="AQ13" s="122"/>
      <c r="AR13" s="122"/>
      <c r="AS13" s="121">
        <f t="shared" ref="AS13" si="8">AS11*AS12</f>
        <v>640000</v>
      </c>
      <c r="AT13" s="122"/>
      <c r="AU13" s="122"/>
      <c r="AV13" s="122"/>
      <c r="AW13" s="122"/>
      <c r="AY13" s="97"/>
    </row>
    <row r="14" spans="1:51" ht="17.149999999999999" customHeight="1">
      <c r="A14" s="32" t="s">
        <v>79</v>
      </c>
      <c r="B14" s="32"/>
      <c r="C14" s="32"/>
      <c r="D14" s="32"/>
      <c r="E14" s="170">
        <f>IF(E33=5,$AT$21,IF(E33=4,$AP$21,IF(E33=3,$AL$21,IF(E33=2,$AH$21, IF(E33=1, $AD$21)))))</f>
        <v>6.1399999999999996E-2</v>
      </c>
      <c r="F14" s="170"/>
      <c r="G14" s="170"/>
      <c r="H14" s="170"/>
      <c r="I14" s="170"/>
      <c r="J14" s="170">
        <f>IF(J33=5,$AT$21,IF(J33=4,$AP$21,IF(J33=3,$AL$21,IF(J33=2,$AH$21, IF(J33=1, $AD$21)))))</f>
        <v>6.1399999999999996E-2</v>
      </c>
      <c r="K14" s="170"/>
      <c r="L14" s="170"/>
      <c r="M14" s="170"/>
      <c r="N14" s="170"/>
      <c r="O14" s="170">
        <f>IF(O33=5,$AT$21,IF(O33=4,$AP$21,IF(O33=3,$AL$21,IF(O33=2,$AH$21, IF(O33=1, $AD$21)))))</f>
        <v>6.1399999999999996E-2</v>
      </c>
      <c r="P14" s="170"/>
      <c r="Q14" s="170"/>
      <c r="R14" s="170"/>
      <c r="S14" s="170"/>
      <c r="T14" s="170">
        <f>IF(T33=5,$AT$21,IF(T33=4,$AP$21,IF(T33=3,$AL$21,IF(T33=2,$AH$21, IF(T33=1, $AD$21)))))</f>
        <v>6.1399999999999996E-2</v>
      </c>
      <c r="U14" s="170"/>
      <c r="V14" s="170"/>
      <c r="W14" s="170"/>
      <c r="X14" s="170"/>
      <c r="Y14" s="9"/>
      <c r="AY14" s="97"/>
    </row>
    <row r="15" spans="1:51" ht="17.149999999999999" customHeight="1" thickBot="1">
      <c r="A15" s="32" t="s">
        <v>73</v>
      </c>
      <c r="B15" s="32"/>
      <c r="C15" s="32"/>
      <c r="D15" s="32"/>
      <c r="E15" s="131">
        <f>PMT(E14/12, E32, -E13)*E32-E13</f>
        <v>5751951.8611268401</v>
      </c>
      <c r="F15" s="131"/>
      <c r="G15" s="131"/>
      <c r="H15" s="131"/>
      <c r="I15" s="131"/>
      <c r="J15" s="131">
        <f>PMT(J14/12, J32, -J13)*J32-J13</f>
        <v>7968677.4169736505</v>
      </c>
      <c r="K15" s="131"/>
      <c r="L15" s="131"/>
      <c r="M15" s="131"/>
      <c r="N15" s="131"/>
      <c r="O15" s="131">
        <f>PMT(O14/12, O32, -O13)*O32-O13</f>
        <v>5751951.8611268401</v>
      </c>
      <c r="P15" s="131"/>
      <c r="Q15" s="131"/>
      <c r="R15" s="131"/>
      <c r="S15" s="131"/>
      <c r="T15" s="131">
        <f>PMT(T14/12, T32, -T13)*T32-T13</f>
        <v>5751951.8611268401</v>
      </c>
      <c r="U15" s="131"/>
      <c r="V15" s="131"/>
      <c r="W15" s="131"/>
      <c r="X15" s="131"/>
      <c r="Y15" s="9"/>
      <c r="Z15" s="113" t="s">
        <v>112</v>
      </c>
      <c r="AA15" s="113"/>
      <c r="AB15" s="113"/>
      <c r="AC15" s="113"/>
      <c r="AD15" s="113"/>
      <c r="AE15" s="113"/>
      <c r="AF15" s="6"/>
      <c r="AG15" s="6"/>
      <c r="AH15" s="6"/>
      <c r="AI15" s="6"/>
      <c r="AJ15" s="6"/>
      <c r="AK15" s="6"/>
      <c r="AL15" s="6"/>
      <c r="AM15" s="7"/>
      <c r="AN15" s="6"/>
      <c r="AO15" s="6"/>
      <c r="AP15" s="6"/>
      <c r="AQ15" s="6"/>
      <c r="AR15" s="6"/>
      <c r="AS15" s="6"/>
      <c r="AT15" s="6"/>
      <c r="AU15" s="6"/>
      <c r="AV15" s="6"/>
      <c r="AW15" s="6"/>
      <c r="AY15" s="97"/>
    </row>
    <row r="16" spans="1:51" ht="17.149999999999999" customHeight="1">
      <c r="A16" s="32" t="s">
        <v>80</v>
      </c>
      <c r="B16" s="32"/>
      <c r="C16" s="32"/>
      <c r="D16" s="32"/>
      <c r="E16" s="131">
        <f>E40*3%*E33</f>
        <v>0</v>
      </c>
      <c r="F16" s="131"/>
      <c r="G16" s="131"/>
      <c r="H16" s="131"/>
      <c r="I16" s="131"/>
      <c r="J16" s="131">
        <f>J40*3%*J33</f>
        <v>0</v>
      </c>
      <c r="K16" s="131"/>
      <c r="L16" s="131"/>
      <c r="M16" s="131"/>
      <c r="N16" s="131"/>
      <c r="O16" s="131">
        <f>O40*3%*O33</f>
        <v>0</v>
      </c>
      <c r="P16" s="131"/>
      <c r="Q16" s="131"/>
      <c r="R16" s="131"/>
      <c r="S16" s="131"/>
      <c r="T16" s="131">
        <f>T40*3%*T33</f>
        <v>0</v>
      </c>
      <c r="U16" s="131"/>
      <c r="V16" s="131"/>
      <c r="W16" s="131"/>
      <c r="X16" s="131"/>
      <c r="Y16" s="9"/>
      <c r="Z16" s="119"/>
      <c r="AA16" s="119"/>
      <c r="AB16" s="119"/>
      <c r="AC16" s="119"/>
      <c r="AD16" s="120">
        <f>AD17*E32</f>
        <v>2400000</v>
      </c>
      <c r="AE16" s="120"/>
      <c r="AF16" s="120"/>
      <c r="AG16" s="120"/>
      <c r="AH16" s="120"/>
      <c r="AI16" s="120">
        <f>AI17*J32</f>
        <v>2400000</v>
      </c>
      <c r="AJ16" s="120"/>
      <c r="AK16" s="120"/>
      <c r="AL16" s="120"/>
      <c r="AM16" s="120"/>
      <c r="AN16" s="120">
        <f>AN17*O32</f>
        <v>2400000</v>
      </c>
      <c r="AO16" s="120"/>
      <c r="AP16" s="120"/>
      <c r="AQ16" s="120"/>
      <c r="AR16" s="120"/>
      <c r="AS16" s="120">
        <f>AS17*T32</f>
        <v>2400000</v>
      </c>
      <c r="AT16" s="120"/>
      <c r="AU16" s="120"/>
      <c r="AV16" s="120"/>
      <c r="AW16" s="120"/>
      <c r="AY16" s="97"/>
    </row>
    <row r="17" spans="1:51" ht="17.149999999999999" customHeight="1">
      <c r="A17" s="32" t="s">
        <v>75</v>
      </c>
      <c r="B17" s="32"/>
      <c r="C17" s="32"/>
      <c r="D17" s="32"/>
      <c r="E17" s="131">
        <f>E18/E32</f>
        <v>1039039.0141136119</v>
      </c>
      <c r="F17" s="131"/>
      <c r="G17" s="131"/>
      <c r="H17" s="131"/>
      <c r="I17" s="131"/>
      <c r="J17" s="131">
        <f>J18/J32</f>
        <v>1439470.796527087</v>
      </c>
      <c r="K17" s="131"/>
      <c r="L17" s="131"/>
      <c r="M17" s="131"/>
      <c r="N17" s="131"/>
      <c r="O17" s="131">
        <f>O18/O32</f>
        <v>1039039.0141136119</v>
      </c>
      <c r="P17" s="131"/>
      <c r="Q17" s="131"/>
      <c r="R17" s="131"/>
      <c r="S17" s="131"/>
      <c r="T17" s="131">
        <f>T18/T32</f>
        <v>1039039.0141136119</v>
      </c>
      <c r="U17" s="131"/>
      <c r="V17" s="131"/>
      <c r="W17" s="131"/>
      <c r="X17" s="131"/>
      <c r="Y17" s="9"/>
      <c r="Z17" s="114" t="s">
        <v>178</v>
      </c>
      <c r="AA17" s="114"/>
      <c r="AB17" s="114"/>
      <c r="AC17" s="114"/>
      <c r="AD17" s="115">
        <v>50000</v>
      </c>
      <c r="AE17" s="115"/>
      <c r="AF17" s="115"/>
      <c r="AG17" s="115"/>
      <c r="AH17" s="115"/>
      <c r="AI17" s="115">
        <v>50000</v>
      </c>
      <c r="AJ17" s="115"/>
      <c r="AK17" s="115"/>
      <c r="AL17" s="115"/>
      <c r="AM17" s="115"/>
      <c r="AN17" s="115">
        <v>50000</v>
      </c>
      <c r="AO17" s="115"/>
      <c r="AP17" s="115"/>
      <c r="AQ17" s="115"/>
      <c r="AR17" s="115"/>
      <c r="AS17" s="115">
        <v>50000</v>
      </c>
      <c r="AT17" s="115"/>
      <c r="AU17" s="115"/>
      <c r="AV17" s="115"/>
      <c r="AW17" s="115"/>
      <c r="AY17" s="97"/>
    </row>
    <row r="18" spans="1:51" ht="17.149999999999999" customHeight="1">
      <c r="A18" s="114" t="s">
        <v>77</v>
      </c>
      <c r="B18" s="114"/>
      <c r="C18" s="114"/>
      <c r="D18" s="114"/>
      <c r="E18" s="131">
        <f>E13+E15-E16</f>
        <v>49873872.677453369</v>
      </c>
      <c r="F18" s="131"/>
      <c r="G18" s="131"/>
      <c r="H18" s="131"/>
      <c r="I18" s="131"/>
      <c r="J18" s="131">
        <f>J13+J15-J16</f>
        <v>69094598.233300179</v>
      </c>
      <c r="K18" s="131"/>
      <c r="L18" s="131"/>
      <c r="M18" s="131"/>
      <c r="N18" s="131"/>
      <c r="O18" s="131">
        <f>O13+O15-O16</f>
        <v>49873872.677453369</v>
      </c>
      <c r="P18" s="131"/>
      <c r="Q18" s="131"/>
      <c r="R18" s="131"/>
      <c r="S18" s="131"/>
      <c r="T18" s="131">
        <f>T13+T15-T16</f>
        <v>49873872.677453369</v>
      </c>
      <c r="U18" s="131"/>
      <c r="V18" s="131"/>
      <c r="W18" s="131"/>
      <c r="X18" s="131"/>
      <c r="Y18" s="9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Y18" s="97"/>
    </row>
    <row r="19" spans="1:51" ht="17.149999999999999" customHeight="1" thickBot="1">
      <c r="A19" s="136" t="s">
        <v>78</v>
      </c>
      <c r="B19" s="136"/>
      <c r="C19" s="136"/>
      <c r="D19" s="136"/>
      <c r="E19" s="128">
        <f>E11+E15+E16</f>
        <v>62791951.86112684</v>
      </c>
      <c r="F19" s="128"/>
      <c r="G19" s="128"/>
      <c r="H19" s="128"/>
      <c r="I19" s="128"/>
      <c r="J19" s="128">
        <f>J11+J15+J16</f>
        <v>65008677.41697365</v>
      </c>
      <c r="K19" s="128"/>
      <c r="L19" s="128"/>
      <c r="M19" s="128"/>
      <c r="N19" s="128"/>
      <c r="O19" s="128">
        <f>O11+O15+O16</f>
        <v>62791951.86112684</v>
      </c>
      <c r="P19" s="128"/>
      <c r="Q19" s="128"/>
      <c r="R19" s="128"/>
      <c r="S19" s="128"/>
      <c r="T19" s="128">
        <f>T11+T15+T16</f>
        <v>62791951.86112684</v>
      </c>
      <c r="U19" s="128"/>
      <c r="V19" s="128"/>
      <c r="W19" s="128"/>
      <c r="X19" s="128"/>
      <c r="Y19" s="3"/>
      <c r="Z19" s="113" t="s">
        <v>143</v>
      </c>
      <c r="AA19" s="113"/>
      <c r="AB19" s="113"/>
      <c r="AC19" s="113"/>
      <c r="AD19" s="113"/>
      <c r="AE19" s="113"/>
      <c r="AF19" s="116">
        <v>0.06</v>
      </c>
      <c r="AG19" s="116"/>
      <c r="AH19" s="116"/>
      <c r="AI19" s="6"/>
      <c r="AJ19" s="6"/>
      <c r="AK19" s="6"/>
      <c r="AL19" s="6"/>
      <c r="AM19" s="7"/>
      <c r="AN19" s="6"/>
      <c r="AO19" s="6"/>
      <c r="AP19" s="6"/>
      <c r="AQ19" s="6"/>
      <c r="AR19" s="6"/>
      <c r="AS19" s="6"/>
      <c r="AT19" s="6"/>
      <c r="AU19" s="6"/>
      <c r="AV19" s="6"/>
      <c r="AW19" s="6"/>
      <c r="AY19" s="97"/>
    </row>
    <row r="20" spans="1:51" ht="17.149999999999999" customHeight="1" thickBot="1">
      <c r="A20" s="113" t="s">
        <v>84</v>
      </c>
      <c r="B20" s="113"/>
      <c r="C20" s="113"/>
      <c r="D20" s="113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5"/>
      <c r="Z20" s="119"/>
      <c r="AA20" s="119"/>
      <c r="AB20" s="119"/>
      <c r="AC20" s="119"/>
      <c r="AD20" s="124" t="s">
        <v>144</v>
      </c>
      <c r="AE20" s="124"/>
      <c r="AF20" s="124"/>
      <c r="AG20" s="124"/>
      <c r="AH20" s="124" t="s">
        <v>145</v>
      </c>
      <c r="AI20" s="124"/>
      <c r="AJ20" s="124"/>
      <c r="AK20" s="124"/>
      <c r="AL20" s="124" t="s">
        <v>146</v>
      </c>
      <c r="AM20" s="124"/>
      <c r="AN20" s="124"/>
      <c r="AO20" s="124"/>
      <c r="AP20" s="124" t="s">
        <v>147</v>
      </c>
      <c r="AQ20" s="124"/>
      <c r="AR20" s="124"/>
      <c r="AS20" s="124"/>
      <c r="AT20" s="124" t="s">
        <v>148</v>
      </c>
      <c r="AU20" s="124"/>
      <c r="AV20" s="124"/>
      <c r="AW20" s="124"/>
      <c r="AY20" s="97"/>
    </row>
    <row r="21" spans="1:51" ht="17.149999999999999" customHeight="1">
      <c r="A21" s="114" t="s">
        <v>81</v>
      </c>
      <c r="B21" s="114"/>
      <c r="C21" s="114"/>
      <c r="D21" s="114"/>
      <c r="E21" s="137">
        <f>ROUNDDOWN(E11/1.1*0.04, -1)</f>
        <v>2074180</v>
      </c>
      <c r="F21" s="137"/>
      <c r="G21" s="137"/>
      <c r="H21" s="137"/>
      <c r="I21" s="137"/>
      <c r="J21" s="137">
        <f>ROUNDDOWN(J11/1.1*0.04, -1)</f>
        <v>2074180</v>
      </c>
      <c r="K21" s="137"/>
      <c r="L21" s="137"/>
      <c r="M21" s="137"/>
      <c r="N21" s="137"/>
      <c r="O21" s="137">
        <f>ROUNDDOWN(O11/1.1*0.04, -1)</f>
        <v>2074180</v>
      </c>
      <c r="P21" s="137"/>
      <c r="Q21" s="137"/>
      <c r="R21" s="137"/>
      <c r="S21" s="137"/>
      <c r="T21" s="137">
        <f>ROUNDDOWN(T11/1.1*0.04, -1)</f>
        <v>2074180</v>
      </c>
      <c r="U21" s="137"/>
      <c r="V21" s="137"/>
      <c r="W21" s="137"/>
      <c r="X21" s="137"/>
      <c r="Y21" s="58"/>
      <c r="Z21" s="114" t="s">
        <v>110</v>
      </c>
      <c r="AA21" s="114"/>
      <c r="AB21" s="114"/>
      <c r="AC21" s="114"/>
      <c r="AD21" s="127">
        <f>AF19+0.31%</f>
        <v>6.3100000000000003E-2</v>
      </c>
      <c r="AE21" s="127"/>
      <c r="AF21" s="127"/>
      <c r="AG21" s="127"/>
      <c r="AH21" s="127">
        <f>AF19+0.25%</f>
        <v>6.25E-2</v>
      </c>
      <c r="AI21" s="127"/>
      <c r="AJ21" s="127"/>
      <c r="AK21" s="127"/>
      <c r="AL21" s="127">
        <f>AF19+0.19%</f>
        <v>6.1899999999999997E-2</v>
      </c>
      <c r="AM21" s="127"/>
      <c r="AN21" s="127"/>
      <c r="AO21" s="127"/>
      <c r="AP21" s="127">
        <f>AF19+0.14%</f>
        <v>6.1399999999999996E-2</v>
      </c>
      <c r="AQ21" s="127"/>
      <c r="AR21" s="127"/>
      <c r="AS21" s="127"/>
      <c r="AT21" s="127">
        <f>AF19+0.1%</f>
        <v>6.0999999999999999E-2</v>
      </c>
      <c r="AU21" s="127"/>
      <c r="AV21" s="127"/>
      <c r="AW21" s="127"/>
      <c r="AY21" s="97"/>
    </row>
    <row r="22" spans="1:51" ht="17.149999999999999" customHeight="1">
      <c r="A22" s="114" t="s">
        <v>82</v>
      </c>
      <c r="B22" s="114"/>
      <c r="C22" s="114"/>
      <c r="D22" s="114"/>
      <c r="E22" s="137">
        <f>ROUNDDOWN(E11/1.1*3%*16%,-1)</f>
        <v>248900</v>
      </c>
      <c r="F22" s="137"/>
      <c r="G22" s="137"/>
      <c r="H22" s="137"/>
      <c r="I22" s="137"/>
      <c r="J22" s="137">
        <f>ROUNDDOWN(J11/1.1*3%*16%,-1)</f>
        <v>248900</v>
      </c>
      <c r="K22" s="137"/>
      <c r="L22" s="137"/>
      <c r="M22" s="137"/>
      <c r="N22" s="137"/>
      <c r="O22" s="137">
        <f>ROUNDDOWN(O11/1.1*3%*16%,-1)</f>
        <v>248900</v>
      </c>
      <c r="P22" s="137"/>
      <c r="Q22" s="137"/>
      <c r="R22" s="137"/>
      <c r="S22" s="137"/>
      <c r="T22" s="137">
        <f>ROUNDDOWN(T11/1.1*3%*16%,-1)</f>
        <v>248900</v>
      </c>
      <c r="U22" s="137"/>
      <c r="V22" s="137"/>
      <c r="W22" s="137"/>
      <c r="X22" s="137"/>
      <c r="Y22" s="58"/>
      <c r="Z22" s="108"/>
      <c r="AA22" s="108"/>
      <c r="AB22" s="108"/>
      <c r="AC22" s="108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Y22" s="97"/>
    </row>
    <row r="23" spans="1:51" ht="17.149999999999999" customHeight="1" thickBot="1">
      <c r="A23" s="114" t="s">
        <v>83</v>
      </c>
      <c r="B23" s="114"/>
      <c r="C23" s="114"/>
      <c r="D23" s="114"/>
      <c r="E23" s="141">
        <v>800000</v>
      </c>
      <c r="F23" s="141"/>
      <c r="G23" s="141"/>
      <c r="H23" s="141"/>
      <c r="I23" s="141"/>
      <c r="J23" s="141">
        <v>800000</v>
      </c>
      <c r="K23" s="141"/>
      <c r="L23" s="141"/>
      <c r="M23" s="141"/>
      <c r="N23" s="141"/>
      <c r="O23" s="141">
        <v>800000</v>
      </c>
      <c r="P23" s="141"/>
      <c r="Q23" s="141"/>
      <c r="R23" s="141"/>
      <c r="S23" s="141"/>
      <c r="T23" s="141">
        <v>800000</v>
      </c>
      <c r="U23" s="141"/>
      <c r="V23" s="141"/>
      <c r="W23" s="141"/>
      <c r="X23" s="141"/>
      <c r="Y23" s="58"/>
      <c r="Z23" s="113" t="s">
        <v>149</v>
      </c>
      <c r="AA23" s="113"/>
      <c r="AB23" s="113"/>
      <c r="AC23" s="113"/>
      <c r="AD23" s="113"/>
      <c r="AE23" s="113"/>
      <c r="AF23" s="6"/>
      <c r="AG23" s="6"/>
      <c r="AH23" s="6"/>
      <c r="AI23" s="6"/>
      <c r="AJ23" s="6"/>
      <c r="AK23" s="6"/>
      <c r="AL23" s="6"/>
      <c r="AM23" s="7"/>
      <c r="AN23" s="6"/>
      <c r="AO23" s="6"/>
      <c r="AP23" s="6"/>
      <c r="AQ23" s="6"/>
      <c r="AR23" s="6"/>
      <c r="AS23" s="6"/>
      <c r="AT23" s="6"/>
      <c r="AU23" s="6"/>
      <c r="AV23" s="6"/>
      <c r="AW23" s="6"/>
      <c r="AY23" s="97"/>
    </row>
    <row r="24" spans="1:51" ht="17.149999999999999" customHeight="1">
      <c r="A24" s="114" t="s">
        <v>212</v>
      </c>
      <c r="B24" s="114"/>
      <c r="C24" s="114"/>
      <c r="D24" s="114"/>
      <c r="E24" s="137">
        <f>CEILING(E7, 10000000) *
 IF(E7&lt;=10000000, 0.022,
    IF(E7&gt;=500000000, 0.012,
       0.017 - (E7-10000000)*(0.01/(500000000-10000000))
    )
 )</f>
        <v>962840.81632653077</v>
      </c>
      <c r="F24" s="137"/>
      <c r="G24" s="137"/>
      <c r="H24" s="137"/>
      <c r="I24" s="137"/>
      <c r="J24" s="137">
        <f>CEILING(J7, 10000000) *
 IF(J7&lt;=10000000, 0.022,
    IF(J7&gt;=500000000, 0.012,
       0.017 - (J7-10000000)*(0.01/(500000000-10000000))
    )
 )</f>
        <v>962840.81632653077</v>
      </c>
      <c r="K24" s="137"/>
      <c r="L24" s="137"/>
      <c r="M24" s="137"/>
      <c r="N24" s="137"/>
      <c r="O24" s="137">
        <f>CEILING(O7, 10000000) *
 IF(O7&lt;=10000000, 0.022,
    IF(O7&gt;=500000000, 0.012,
       0.017 - (O7-10000000)*(0.01/(500000000-10000000))
    )
 )</f>
        <v>962840.81632653077</v>
      </c>
      <c r="P24" s="137"/>
      <c r="Q24" s="137"/>
      <c r="R24" s="137"/>
      <c r="S24" s="137"/>
      <c r="T24" s="137">
        <f>CEILING(T7, 10000000) *
 IF(T7&lt;=10000000, 0.022,
    IF(T7&gt;=500000000, 0.012,
       0.017 - (T7-10000000)*(0.01/(500000000-10000000))
    )
 )</f>
        <v>962840.81632653077</v>
      </c>
      <c r="U24" s="137"/>
      <c r="V24" s="137"/>
      <c r="W24" s="137"/>
      <c r="X24" s="137"/>
      <c r="Y24" s="58"/>
      <c r="Z24" s="119"/>
      <c r="AA24" s="119"/>
      <c r="AB24" s="119"/>
      <c r="AC24" s="119"/>
      <c r="AD24" s="158">
        <f>100%-AD25</f>
        <v>1</v>
      </c>
      <c r="AE24" s="158"/>
      <c r="AF24" s="158"/>
      <c r="AG24" s="158"/>
      <c r="AH24" s="124" t="s">
        <v>170</v>
      </c>
      <c r="AI24" s="124"/>
      <c r="AJ24" s="124"/>
      <c r="AK24" s="124"/>
      <c r="AL24" s="124" t="s">
        <v>214</v>
      </c>
      <c r="AM24" s="124"/>
      <c r="AN24" s="124"/>
      <c r="AO24" s="124"/>
      <c r="AP24" s="124" t="s">
        <v>215</v>
      </c>
      <c r="AQ24" s="124"/>
      <c r="AR24" s="124"/>
      <c r="AS24" s="124"/>
      <c r="AT24" s="124"/>
      <c r="AU24" s="124"/>
      <c r="AV24" s="124"/>
      <c r="AW24" s="124"/>
      <c r="AY24" s="97"/>
    </row>
    <row r="25" spans="1:51" ht="17.149999999999999" customHeight="1">
      <c r="A25" s="114" t="s">
        <v>85</v>
      </c>
      <c r="B25" s="114"/>
      <c r="C25" s="114"/>
      <c r="D25" s="114"/>
      <c r="E25" s="137">
        <f>IF($U$3&lt;=1600,$U$3*18,IF($U$3&lt;=2500,$U$3*19,IF($U$3&gt;2500,$U$3*24,20000)))</f>
        <v>47500</v>
      </c>
      <c r="F25" s="137"/>
      <c r="G25" s="137"/>
      <c r="H25" s="137"/>
      <c r="I25" s="137"/>
      <c r="J25" s="137">
        <f t="shared" ref="J25" si="9">IF($U$3&lt;=1600,$U$3*18,IF($U$3&lt;=2500,$U$3*19,IF($U$3&gt;2500,$U$3*24,20000)))</f>
        <v>47500</v>
      </c>
      <c r="K25" s="137"/>
      <c r="L25" s="137"/>
      <c r="M25" s="137"/>
      <c r="N25" s="137"/>
      <c r="O25" s="137">
        <f t="shared" ref="O25" si="10">IF($U$3&lt;=1600,$U$3*18,IF($U$3&lt;=2500,$U$3*19,IF($U$3&gt;2500,$U$3*24,20000)))</f>
        <v>47500</v>
      </c>
      <c r="P25" s="137"/>
      <c r="Q25" s="137"/>
      <c r="R25" s="137"/>
      <c r="S25" s="137"/>
      <c r="T25" s="137">
        <f t="shared" ref="T25" si="11">IF($U$3&lt;=1600,$U$3*18,IF($U$3&lt;=2500,$U$3*19,IF($U$3&gt;2500,$U$3*24,20000)))</f>
        <v>47500</v>
      </c>
      <c r="U25" s="137"/>
      <c r="V25" s="137"/>
      <c r="W25" s="137"/>
      <c r="X25" s="137"/>
      <c r="Y25" s="58"/>
      <c r="Z25" s="114"/>
      <c r="AA25" s="114"/>
      <c r="AB25" s="114"/>
      <c r="AC25" s="114"/>
      <c r="AD25" s="127">
        <v>0</v>
      </c>
      <c r="AE25" s="127"/>
      <c r="AF25" s="127"/>
      <c r="AG25" s="127"/>
      <c r="AH25" s="115" t="s">
        <v>322</v>
      </c>
      <c r="AI25" s="115"/>
      <c r="AJ25" s="115"/>
      <c r="AK25" s="115"/>
      <c r="AL25" s="127" t="s">
        <v>319</v>
      </c>
      <c r="AM25" s="127"/>
      <c r="AN25" s="127"/>
      <c r="AO25" s="127"/>
      <c r="AP25" s="127" t="s">
        <v>320</v>
      </c>
      <c r="AQ25" s="127"/>
      <c r="AR25" s="127"/>
      <c r="AS25" s="127"/>
      <c r="AT25" s="127"/>
      <c r="AU25" s="127"/>
      <c r="AV25" s="127"/>
      <c r="AW25" s="127"/>
      <c r="AY25" s="97"/>
    </row>
    <row r="26" spans="1:51" ht="17.149999999999999" customHeight="1" thickBot="1">
      <c r="A26" s="136" t="s">
        <v>86</v>
      </c>
      <c r="B26" s="136"/>
      <c r="C26" s="136"/>
      <c r="D26" s="136"/>
      <c r="E26" s="138">
        <v>100000</v>
      </c>
      <c r="F26" s="138"/>
      <c r="G26" s="138"/>
      <c r="H26" s="138"/>
      <c r="I26" s="138"/>
      <c r="J26" s="138">
        <v>100000</v>
      </c>
      <c r="K26" s="138"/>
      <c r="L26" s="138"/>
      <c r="M26" s="138"/>
      <c r="N26" s="138"/>
      <c r="O26" s="138">
        <v>100000</v>
      </c>
      <c r="P26" s="138"/>
      <c r="Q26" s="138"/>
      <c r="R26" s="138"/>
      <c r="S26" s="138"/>
      <c r="T26" s="138">
        <v>100000</v>
      </c>
      <c r="U26" s="138"/>
      <c r="V26" s="138"/>
      <c r="W26" s="138"/>
      <c r="X26" s="138"/>
      <c r="Y26" s="3"/>
      <c r="Z26" s="113" t="s">
        <v>216</v>
      </c>
      <c r="AA26" s="113"/>
      <c r="AB26" s="113"/>
      <c r="AC26" s="113"/>
      <c r="AD26" s="113"/>
      <c r="AE26" s="113"/>
      <c r="AF26" s="6"/>
      <c r="AG26" s="6"/>
      <c r="AH26" s="6"/>
      <c r="AI26" s="6"/>
      <c r="AJ26" s="6"/>
      <c r="AK26" s="6"/>
      <c r="AL26" s="6"/>
      <c r="AM26" s="7"/>
      <c r="AN26" s="6"/>
      <c r="AO26" s="6"/>
      <c r="AP26" s="6"/>
      <c r="AQ26" s="6"/>
      <c r="AR26" s="6"/>
      <c r="AS26" s="6"/>
      <c r="AT26" s="6"/>
      <c r="AU26" s="6"/>
      <c r="AV26" s="6"/>
      <c r="AW26" s="6"/>
    </row>
    <row r="27" spans="1:51" ht="17.149999999999999" customHeight="1" thickBot="1">
      <c r="A27" s="139" t="s">
        <v>87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4"/>
      <c r="Z27" s="159" t="s">
        <v>323</v>
      </c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0"/>
      <c r="AN27" s="160"/>
      <c r="AO27" s="160"/>
      <c r="AP27" s="160"/>
      <c r="AQ27" s="160"/>
      <c r="AR27" s="160"/>
      <c r="AS27" s="160"/>
      <c r="AT27" s="160"/>
      <c r="AU27" s="160"/>
      <c r="AV27" s="160"/>
      <c r="AW27" s="161"/>
    </row>
    <row r="28" spans="1:51" ht="17.149999999999999" customHeight="1">
      <c r="A28" s="119" t="s">
        <v>107</v>
      </c>
      <c r="B28" s="119"/>
      <c r="C28" s="119"/>
      <c r="D28" s="119"/>
      <c r="E28" s="124">
        <f>E7*3%</f>
        <v>1700400</v>
      </c>
      <c r="F28" s="125"/>
      <c r="G28" s="125"/>
      <c r="H28" s="125"/>
      <c r="I28" s="125"/>
      <c r="J28" s="124">
        <f>J7*3%</f>
        <v>1700400</v>
      </c>
      <c r="K28" s="125"/>
      <c r="L28" s="125"/>
      <c r="M28" s="125"/>
      <c r="N28" s="125"/>
      <c r="O28" s="124">
        <v>0</v>
      </c>
      <c r="P28" s="125"/>
      <c r="Q28" s="125"/>
      <c r="R28" s="125"/>
      <c r="S28" s="125"/>
      <c r="T28" s="124">
        <f>T7*3%</f>
        <v>1700400</v>
      </c>
      <c r="U28" s="125"/>
      <c r="V28" s="125"/>
      <c r="W28" s="125"/>
      <c r="X28" s="125"/>
      <c r="Y28" s="9"/>
      <c r="Z28" s="162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4"/>
    </row>
    <row r="29" spans="1:51" ht="17.149999999999999" customHeight="1" thickBot="1">
      <c r="A29" s="140" t="s">
        <v>116</v>
      </c>
      <c r="B29" s="140"/>
      <c r="C29" s="140"/>
      <c r="D29" s="140"/>
      <c r="E29" s="134" t="s">
        <v>317</v>
      </c>
      <c r="F29" s="134"/>
      <c r="G29" s="134"/>
      <c r="H29" s="134"/>
      <c r="I29" s="134"/>
      <c r="J29" s="134" t="s">
        <v>317</v>
      </c>
      <c r="K29" s="134"/>
      <c r="L29" s="134"/>
      <c r="M29" s="134"/>
      <c r="N29" s="134"/>
      <c r="O29" s="134" t="s">
        <v>317</v>
      </c>
      <c r="P29" s="134"/>
      <c r="Q29" s="134"/>
      <c r="R29" s="134"/>
      <c r="S29" s="134"/>
      <c r="T29" s="134" t="s">
        <v>317</v>
      </c>
      <c r="U29" s="134"/>
      <c r="V29" s="134"/>
      <c r="W29" s="134"/>
      <c r="X29" s="134"/>
      <c r="Y29" s="9"/>
      <c r="Z29" s="165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7"/>
    </row>
    <row r="30" spans="1:51" ht="17.149999999999999" customHeight="1">
      <c r="A30" s="136" t="s">
        <v>115</v>
      </c>
      <c r="B30" s="136"/>
      <c r="C30" s="136"/>
      <c r="D30" s="136"/>
      <c r="E30" s="128">
        <f>IF(E29="가입",((E23+E24)*E33)+(E25*E33)+E19+E26+E22+E21+AD2+E28+AD6+AD16+AD13,((E23+E24)*E33)+(E25*E33)+E19+E26+E22+E21+AD2+E28+AD6)</f>
        <v>78897195.126432955</v>
      </c>
      <c r="F30" s="128"/>
      <c r="G30" s="128"/>
      <c r="H30" s="128"/>
      <c r="I30" s="128"/>
      <c r="J30" s="128">
        <f>IF(J29="가입",((J23+J24)*J33)+(J25*J33)+J19+J26+J22+J21+AI2+J28+AI6+AI16+AI13,((J23+J24)*J33)+(J25*J33)+J19+J26+J22+J21+AI2+J28+AI6)</f>
        <v>81433920.682279766</v>
      </c>
      <c r="K30" s="128"/>
      <c r="L30" s="128"/>
      <c r="M30" s="128"/>
      <c r="N30" s="128"/>
      <c r="O30" s="128">
        <f>IF(O29="가입",((O23+O24)*O33)+(O25*O33)+O19+O26+O22+O21+AN2+O28+AN6+AN16+AN13,((O23+O24)*O33)+(O25*O33)+O19+O26+O22+O21+AN2+O28+AN6)</f>
        <v>77516795.126432955</v>
      </c>
      <c r="P30" s="128"/>
      <c r="Q30" s="128"/>
      <c r="R30" s="128"/>
      <c r="S30" s="128"/>
      <c r="T30" s="128">
        <f>IF(T29="가입",((T23+T24)*T33)+(T25*T33)+T19+T26+T22+T21+AS2+T28+AS6+AS16+AS13,((T23+T24)*T33)+(T25*T33)+T19+T26+T22+T21+AS2+T28+AS6)</f>
        <v>78897195.126432955</v>
      </c>
      <c r="U30" s="128"/>
      <c r="V30" s="128"/>
      <c r="W30" s="128"/>
      <c r="X30" s="128"/>
      <c r="Y30" s="3"/>
      <c r="Z30" s="119"/>
      <c r="AA30" s="119"/>
      <c r="AB30" s="119"/>
      <c r="AC30" s="119"/>
      <c r="AD30" s="120" t="s">
        <v>231</v>
      </c>
      <c r="AE30" s="120"/>
      <c r="AF30" s="120"/>
      <c r="AG30" s="120"/>
      <c r="AH30" s="120"/>
      <c r="AI30" s="120" t="s">
        <v>232</v>
      </c>
      <c r="AJ30" s="120"/>
      <c r="AK30" s="120"/>
      <c r="AL30" s="120"/>
      <c r="AM30" s="120"/>
      <c r="AN30" s="120" t="s">
        <v>233</v>
      </c>
      <c r="AO30" s="120"/>
      <c r="AP30" s="120"/>
      <c r="AQ30" s="120"/>
      <c r="AR30" s="120"/>
      <c r="AS30" s="120" t="s">
        <v>234</v>
      </c>
      <c r="AT30" s="120"/>
      <c r="AU30" s="120"/>
      <c r="AV30" s="120"/>
      <c r="AW30" s="120"/>
    </row>
    <row r="31" spans="1:51" ht="17.149999999999999" customHeight="1" thickBot="1">
      <c r="A31" s="113" t="s">
        <v>89</v>
      </c>
      <c r="B31" s="113"/>
      <c r="C31" s="113"/>
      <c r="D31" s="113"/>
      <c r="E31" s="6"/>
      <c r="F31" s="6"/>
      <c r="G31" s="6"/>
      <c r="H31" s="6"/>
      <c r="I31" s="6"/>
      <c r="J31" s="6"/>
      <c r="K31" s="6"/>
      <c r="L31" s="6"/>
      <c r="M31" s="6"/>
      <c r="N31" s="7"/>
      <c r="O31" s="6"/>
      <c r="P31" s="6"/>
      <c r="Q31" s="6"/>
      <c r="R31" s="6"/>
      <c r="S31" s="6"/>
      <c r="T31" s="6"/>
      <c r="U31" s="6"/>
      <c r="V31" s="6"/>
      <c r="W31" s="6"/>
      <c r="X31" s="6"/>
      <c r="Y31" s="59"/>
      <c r="Z31" s="114" t="s">
        <v>235</v>
      </c>
      <c r="AA31" s="114"/>
      <c r="AB31" s="114"/>
      <c r="AC31" s="114"/>
      <c r="AD31" s="127">
        <f>(E44+AD2)/E7</f>
        <v>3.1496204544231556E-2</v>
      </c>
      <c r="AE31" s="127"/>
      <c r="AF31" s="127"/>
      <c r="AG31" s="127"/>
      <c r="AH31" s="127"/>
      <c r="AI31" s="127">
        <f>(J44+AI2)/J7</f>
        <v>-1.4067311341263191</v>
      </c>
      <c r="AJ31" s="127"/>
      <c r="AK31" s="127"/>
      <c r="AL31" s="127"/>
      <c r="AM31" s="127"/>
      <c r="AN31" s="127">
        <f>(O44+AN2)/O7</f>
        <v>5.7156049286645111E-2</v>
      </c>
      <c r="AO31" s="127"/>
      <c r="AP31" s="127"/>
      <c r="AQ31" s="127"/>
      <c r="AR31" s="127"/>
      <c r="AS31" s="127">
        <f>(T44+AS2)/T7</f>
        <v>0.03</v>
      </c>
      <c r="AT31" s="127"/>
      <c r="AU31" s="127"/>
      <c r="AV31" s="127"/>
      <c r="AW31" s="127"/>
    </row>
    <row r="32" spans="1:51" ht="17.149999999999999" customHeight="1">
      <c r="A32" s="114" t="s">
        <v>88</v>
      </c>
      <c r="B32" s="114"/>
      <c r="C32" s="114"/>
      <c r="D32" s="114"/>
      <c r="E32" s="129">
        <f>E33*12</f>
        <v>48</v>
      </c>
      <c r="F32" s="129"/>
      <c r="G32" s="129"/>
      <c r="H32" s="129"/>
      <c r="I32" s="129"/>
      <c r="J32" s="129">
        <f t="shared" ref="J32" si="12">J33*12</f>
        <v>48</v>
      </c>
      <c r="K32" s="129"/>
      <c r="L32" s="129"/>
      <c r="M32" s="129"/>
      <c r="N32" s="129"/>
      <c r="O32" s="129">
        <f t="shared" ref="O32" si="13">O33*12</f>
        <v>48</v>
      </c>
      <c r="P32" s="129"/>
      <c r="Q32" s="129"/>
      <c r="R32" s="129"/>
      <c r="S32" s="129"/>
      <c r="T32" s="129">
        <f t="shared" ref="T32" si="14">T33*12</f>
        <v>48</v>
      </c>
      <c r="U32" s="129"/>
      <c r="V32" s="129"/>
      <c r="W32" s="129"/>
      <c r="X32" s="129"/>
      <c r="Y32" s="59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</row>
    <row r="33" spans="1:49" ht="17.149999999999999" customHeight="1">
      <c r="A33" s="114" t="s">
        <v>93</v>
      </c>
      <c r="B33" s="114"/>
      <c r="C33" s="114"/>
      <c r="D33" s="114"/>
      <c r="E33" s="130">
        <v>4</v>
      </c>
      <c r="F33" s="130"/>
      <c r="G33" s="130"/>
      <c r="H33" s="130"/>
      <c r="I33" s="130"/>
      <c r="J33" s="130">
        <v>4</v>
      </c>
      <c r="K33" s="130"/>
      <c r="L33" s="130"/>
      <c r="M33" s="130"/>
      <c r="N33" s="130"/>
      <c r="O33" s="130">
        <v>4</v>
      </c>
      <c r="P33" s="130"/>
      <c r="Q33" s="130"/>
      <c r="R33" s="130"/>
      <c r="S33" s="130"/>
      <c r="T33" s="130">
        <v>4</v>
      </c>
      <c r="U33" s="130"/>
      <c r="V33" s="130"/>
      <c r="W33" s="130"/>
      <c r="X33" s="130"/>
      <c r="Y33" s="60"/>
      <c r="Z33" s="108"/>
      <c r="AA33" s="108"/>
      <c r="AB33" s="108"/>
      <c r="AC33" s="108"/>
      <c r="AD33" s="108"/>
      <c r="AE33" s="108"/>
      <c r="AF33" s="108"/>
      <c r="AG33" s="108"/>
      <c r="AH33" s="108"/>
      <c r="AI33" s="109"/>
      <c r="AJ33" s="109"/>
      <c r="AK33" s="109"/>
      <c r="AL33" s="109"/>
      <c r="AM33" s="109"/>
      <c r="AN33" s="110"/>
      <c r="AO33" s="110"/>
      <c r="AP33" s="110"/>
      <c r="AQ33" s="110"/>
      <c r="AR33" s="110"/>
      <c r="AS33" s="108"/>
      <c r="AT33" s="108"/>
      <c r="AU33" s="108"/>
      <c r="AV33" s="108"/>
      <c r="AW33" s="108"/>
    </row>
    <row r="34" spans="1:49" ht="17.149999999999999" customHeight="1">
      <c r="A34" s="114" t="s">
        <v>90</v>
      </c>
      <c r="B34" s="114"/>
      <c r="C34" s="114"/>
      <c r="D34" s="114"/>
      <c r="E34" s="115">
        <v>30000</v>
      </c>
      <c r="F34" s="115"/>
      <c r="G34" s="115"/>
      <c r="H34" s="115"/>
      <c r="I34" s="115"/>
      <c r="J34" s="115">
        <v>20000</v>
      </c>
      <c r="K34" s="115"/>
      <c r="L34" s="115"/>
      <c r="M34" s="115"/>
      <c r="N34" s="115"/>
      <c r="O34" s="115">
        <v>20000</v>
      </c>
      <c r="P34" s="115"/>
      <c r="Q34" s="115"/>
      <c r="R34" s="115"/>
      <c r="S34" s="115"/>
      <c r="T34" s="115">
        <v>20000</v>
      </c>
      <c r="U34" s="115"/>
      <c r="V34" s="115"/>
      <c r="W34" s="115"/>
      <c r="X34" s="115"/>
      <c r="Y34" s="61"/>
      <c r="Z34" s="108"/>
      <c r="AA34" s="108"/>
      <c r="AB34" s="108"/>
      <c r="AC34" s="108"/>
      <c r="AD34" s="108"/>
      <c r="AE34" s="108"/>
      <c r="AF34" s="108"/>
      <c r="AG34" s="108"/>
      <c r="AH34" s="108"/>
      <c r="AI34" s="16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</row>
    <row r="35" spans="1:49" ht="17.149999999999999" customHeight="1">
      <c r="A35" s="114" t="s">
        <v>96</v>
      </c>
      <c r="B35" s="114"/>
      <c r="C35" s="114"/>
      <c r="D35" s="114"/>
      <c r="E35" s="127">
        <v>0.55000000000000004</v>
      </c>
      <c r="F35" s="127"/>
      <c r="G35" s="127"/>
      <c r="H35" s="127"/>
      <c r="I35" s="127"/>
      <c r="J35" s="127">
        <v>0</v>
      </c>
      <c r="K35" s="127"/>
      <c r="L35" s="127"/>
      <c r="M35" s="127"/>
      <c r="N35" s="127"/>
      <c r="O35" s="127">
        <v>0.6</v>
      </c>
      <c r="P35" s="127"/>
      <c r="Q35" s="127"/>
      <c r="R35" s="127"/>
      <c r="S35" s="127"/>
      <c r="T35" s="127">
        <v>0.55000000000000004</v>
      </c>
      <c r="U35" s="127"/>
      <c r="V35" s="127"/>
      <c r="W35" s="127"/>
      <c r="X35" s="127"/>
      <c r="Y35" s="9"/>
      <c r="Z35" s="108"/>
      <c r="AA35" s="108"/>
      <c r="AB35" s="108"/>
      <c r="AC35" s="108"/>
      <c r="AD35" s="111"/>
      <c r="AE35" s="108"/>
      <c r="AF35" s="108"/>
      <c r="AG35" s="108"/>
      <c r="AH35" s="108"/>
      <c r="AI35" s="109"/>
      <c r="AJ35" s="109"/>
      <c r="AK35" s="109"/>
      <c r="AL35" s="109"/>
      <c r="AM35" s="109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</row>
    <row r="36" spans="1:49" ht="17.149999999999999" customHeight="1">
      <c r="A36" s="114" t="s">
        <v>91</v>
      </c>
      <c r="B36" s="114"/>
      <c r="C36" s="114"/>
      <c r="D36" s="114"/>
      <c r="E36" s="131">
        <f>E35*E7</f>
        <v>31174000.000000004</v>
      </c>
      <c r="F36" s="131"/>
      <c r="G36" s="131"/>
      <c r="H36" s="131"/>
      <c r="I36" s="131"/>
      <c r="J36" s="131">
        <f>J35*J7</f>
        <v>0</v>
      </c>
      <c r="K36" s="131"/>
      <c r="L36" s="131"/>
      <c r="M36" s="131"/>
      <c r="N36" s="131"/>
      <c r="O36" s="131">
        <f>O35*O7</f>
        <v>34008000</v>
      </c>
      <c r="P36" s="131"/>
      <c r="Q36" s="131"/>
      <c r="R36" s="131"/>
      <c r="S36" s="131"/>
      <c r="T36" s="131">
        <f>T35*T7</f>
        <v>31174000.000000004</v>
      </c>
      <c r="U36" s="131"/>
      <c r="V36" s="131"/>
      <c r="W36" s="131"/>
      <c r="X36" s="131"/>
      <c r="Y36" s="62"/>
      <c r="Z36" s="108"/>
      <c r="AA36" s="108"/>
      <c r="AB36" s="108"/>
      <c r="AC36" s="108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08"/>
      <c r="AT36" s="108"/>
      <c r="AU36" s="108"/>
      <c r="AV36" s="108"/>
      <c r="AW36" s="108"/>
    </row>
    <row r="37" spans="1:49" ht="17.149999999999999" customHeight="1">
      <c r="A37" s="114" t="s">
        <v>99</v>
      </c>
      <c r="B37" s="114"/>
      <c r="C37" s="114"/>
      <c r="D37" s="114"/>
      <c r="E37" s="127">
        <v>0.3</v>
      </c>
      <c r="F37" s="127"/>
      <c r="G37" s="127"/>
      <c r="H37" s="127"/>
      <c r="I37" s="127"/>
      <c r="J37" s="127">
        <v>0</v>
      </c>
      <c r="K37" s="127"/>
      <c r="L37" s="127"/>
      <c r="M37" s="127"/>
      <c r="N37" s="127"/>
      <c r="O37" s="127">
        <v>0.3</v>
      </c>
      <c r="P37" s="127"/>
      <c r="Q37" s="127"/>
      <c r="R37" s="127"/>
      <c r="S37" s="127"/>
      <c r="T37" s="127">
        <v>0.3</v>
      </c>
      <c r="U37" s="127"/>
      <c r="V37" s="127"/>
      <c r="W37" s="127"/>
      <c r="X37" s="127"/>
      <c r="Y37" s="9"/>
      <c r="Z37" s="108"/>
      <c r="AA37" s="108"/>
      <c r="AB37" s="108"/>
      <c r="AC37" s="108"/>
      <c r="AD37" s="108"/>
      <c r="AE37" s="108"/>
      <c r="AF37" s="108"/>
      <c r="AG37" s="108"/>
      <c r="AH37" s="108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08"/>
      <c r="AT37" s="108"/>
      <c r="AU37" s="108"/>
      <c r="AV37" s="108"/>
      <c r="AW37" s="108"/>
    </row>
    <row r="38" spans="1:49" ht="17.149999999999999" customHeight="1">
      <c r="A38" s="114" t="s">
        <v>92</v>
      </c>
      <c r="B38" s="114"/>
      <c r="C38" s="114"/>
      <c r="D38" s="114"/>
      <c r="E38" s="131">
        <f>E37*E7</f>
        <v>17004000</v>
      </c>
      <c r="F38" s="131"/>
      <c r="G38" s="131"/>
      <c r="H38" s="131"/>
      <c r="I38" s="131"/>
      <c r="J38" s="131">
        <f>J37*J7</f>
        <v>0</v>
      </c>
      <c r="K38" s="131"/>
      <c r="L38" s="131"/>
      <c r="M38" s="131"/>
      <c r="N38" s="131"/>
      <c r="O38" s="131">
        <f>O37*O7</f>
        <v>17004000</v>
      </c>
      <c r="P38" s="131"/>
      <c r="Q38" s="131"/>
      <c r="R38" s="131"/>
      <c r="S38" s="131"/>
      <c r="T38" s="131">
        <f>T37*T7</f>
        <v>17004000</v>
      </c>
      <c r="U38" s="131"/>
      <c r="V38" s="131"/>
      <c r="W38" s="131"/>
      <c r="X38" s="131"/>
      <c r="Y38" s="62"/>
      <c r="Z38" s="108"/>
      <c r="AA38" s="108"/>
      <c r="AB38" s="108"/>
      <c r="AC38" s="108"/>
      <c r="AD38" s="168"/>
      <c r="AE38" s="108"/>
      <c r="AF38" s="108"/>
      <c r="AG38" s="108"/>
      <c r="AH38" s="108"/>
      <c r="AI38" s="109"/>
      <c r="AJ38" s="109"/>
      <c r="AK38" s="109"/>
      <c r="AL38" s="109"/>
      <c r="AM38" s="109"/>
      <c r="AN38" s="169"/>
      <c r="AO38" s="169"/>
      <c r="AP38" s="169"/>
      <c r="AQ38" s="169"/>
      <c r="AR38" s="169"/>
      <c r="AS38" s="108"/>
      <c r="AT38" s="108"/>
      <c r="AU38" s="108"/>
      <c r="AV38" s="108"/>
      <c r="AW38" s="108"/>
    </row>
    <row r="39" spans="1:49" ht="17.149999999999999" customHeight="1">
      <c r="A39" s="114" t="s">
        <v>101</v>
      </c>
      <c r="B39" s="114"/>
      <c r="C39" s="114"/>
      <c r="D39" s="114"/>
      <c r="E39" s="127">
        <v>0</v>
      </c>
      <c r="F39" s="127"/>
      <c r="G39" s="127"/>
      <c r="H39" s="127"/>
      <c r="I39" s="127"/>
      <c r="J39" s="127">
        <v>0</v>
      </c>
      <c r="K39" s="127"/>
      <c r="L39" s="127"/>
      <c r="M39" s="127"/>
      <c r="N39" s="127"/>
      <c r="O39" s="127">
        <v>0</v>
      </c>
      <c r="P39" s="127"/>
      <c r="Q39" s="127"/>
      <c r="R39" s="127"/>
      <c r="S39" s="127"/>
      <c r="T39" s="127">
        <v>0</v>
      </c>
      <c r="U39" s="127"/>
      <c r="V39" s="127"/>
      <c r="W39" s="127"/>
      <c r="X39" s="127"/>
      <c r="Y39" s="9"/>
      <c r="Z39" s="108"/>
      <c r="AA39" s="108"/>
      <c r="AB39" s="108"/>
      <c r="AC39" s="108"/>
      <c r="AD39" s="111"/>
      <c r="AE39" s="108"/>
      <c r="AF39" s="108"/>
      <c r="AG39" s="108"/>
      <c r="AH39" s="108"/>
      <c r="AI39" s="111"/>
      <c r="AJ39" s="108"/>
      <c r="AK39" s="108"/>
      <c r="AL39" s="108"/>
      <c r="AM39" s="108"/>
      <c r="AN39" s="109"/>
      <c r="AO39" s="109"/>
      <c r="AP39" s="109"/>
      <c r="AQ39" s="109"/>
      <c r="AR39" s="109"/>
      <c r="AS39" s="108"/>
      <c r="AT39" s="108"/>
      <c r="AU39" s="108"/>
      <c r="AV39" s="108"/>
      <c r="AW39" s="108"/>
    </row>
    <row r="40" spans="1:49" ht="17.149999999999999" customHeight="1">
      <c r="A40" s="114" t="s">
        <v>94</v>
      </c>
      <c r="B40" s="114"/>
      <c r="C40" s="114"/>
      <c r="D40" s="114"/>
      <c r="E40" s="131">
        <f>E39*E7</f>
        <v>0</v>
      </c>
      <c r="F40" s="131"/>
      <c r="G40" s="131"/>
      <c r="H40" s="131"/>
      <c r="I40" s="131"/>
      <c r="J40" s="131">
        <f>J39*J7</f>
        <v>0</v>
      </c>
      <c r="K40" s="131"/>
      <c r="L40" s="131"/>
      <c r="M40" s="131"/>
      <c r="N40" s="131"/>
      <c r="O40" s="131">
        <f>O39*O7</f>
        <v>0</v>
      </c>
      <c r="P40" s="131"/>
      <c r="Q40" s="131"/>
      <c r="R40" s="131"/>
      <c r="S40" s="131"/>
      <c r="T40" s="131">
        <f>T39*T7</f>
        <v>0</v>
      </c>
      <c r="U40" s="131"/>
      <c r="V40" s="131"/>
      <c r="W40" s="131"/>
      <c r="X40" s="131"/>
      <c r="Y40" s="9"/>
      <c r="Z40" s="108"/>
      <c r="AA40" s="108"/>
      <c r="AB40" s="108"/>
      <c r="AC40" s="108"/>
      <c r="AD40" s="110"/>
      <c r="AE40" s="110"/>
      <c r="AF40" s="110"/>
      <c r="AG40" s="110"/>
      <c r="AH40" s="110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08"/>
      <c r="AT40" s="108"/>
      <c r="AU40" s="108"/>
      <c r="AV40" s="108"/>
      <c r="AW40" s="108"/>
    </row>
    <row r="41" spans="1:49" ht="17.149999999999999" customHeight="1">
      <c r="A41" s="114" t="s">
        <v>95</v>
      </c>
      <c r="B41" s="114"/>
      <c r="C41" s="114"/>
      <c r="D41" s="114"/>
      <c r="E41" s="134">
        <v>996000</v>
      </c>
      <c r="F41" s="134"/>
      <c r="G41" s="134"/>
      <c r="H41" s="134"/>
      <c r="I41" s="134"/>
      <c r="J41" s="134">
        <v>0</v>
      </c>
      <c r="K41" s="134"/>
      <c r="L41" s="134"/>
      <c r="M41" s="134"/>
      <c r="N41" s="134"/>
      <c r="O41" s="134">
        <v>938500</v>
      </c>
      <c r="P41" s="134"/>
      <c r="Q41" s="134"/>
      <c r="R41" s="134"/>
      <c r="S41" s="134"/>
      <c r="T41" s="131">
        <f>ROUNDDOWN(T42/T32, -3)</f>
        <v>994000</v>
      </c>
      <c r="U41" s="131"/>
      <c r="V41" s="131"/>
      <c r="W41" s="131"/>
      <c r="X41" s="131"/>
      <c r="Y41" s="9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7"/>
      <c r="AO41" s="77"/>
      <c r="AP41" s="77"/>
      <c r="AQ41" s="77"/>
      <c r="AR41" s="77"/>
      <c r="AS41" s="76"/>
      <c r="AT41" s="76"/>
      <c r="AU41" s="76"/>
      <c r="AV41" s="76"/>
      <c r="AW41" s="76"/>
    </row>
    <row r="42" spans="1:49" ht="17.149999999999999" customHeight="1">
      <c r="A42" s="114" t="s">
        <v>97</v>
      </c>
      <c r="B42" s="114"/>
      <c r="C42" s="114"/>
      <c r="D42" s="114"/>
      <c r="E42" s="131">
        <f>E41*E32</f>
        <v>47808000</v>
      </c>
      <c r="F42" s="131"/>
      <c r="G42" s="131"/>
      <c r="H42" s="131"/>
      <c r="I42" s="131"/>
      <c r="J42" s="131">
        <f t="shared" ref="J42" si="15">J41*J32</f>
        <v>0</v>
      </c>
      <c r="K42" s="131"/>
      <c r="L42" s="131"/>
      <c r="M42" s="131"/>
      <c r="N42" s="131"/>
      <c r="O42" s="131">
        <f t="shared" ref="O42" si="16">O41*O32</f>
        <v>45048000</v>
      </c>
      <c r="P42" s="131"/>
      <c r="Q42" s="131"/>
      <c r="R42" s="131"/>
      <c r="S42" s="131"/>
      <c r="T42" s="131">
        <f>T43-T36-T40</f>
        <v>47723195.126432955</v>
      </c>
      <c r="U42" s="131"/>
      <c r="V42" s="131"/>
      <c r="W42" s="131"/>
      <c r="X42" s="131"/>
      <c r="Y42" s="9"/>
    </row>
    <row r="43" spans="1:49" ht="17.149999999999999" customHeight="1">
      <c r="A43" s="114" t="s">
        <v>98</v>
      </c>
      <c r="B43" s="114"/>
      <c r="C43" s="114"/>
      <c r="D43" s="114"/>
      <c r="E43" s="131">
        <f>E42+E36+E40</f>
        <v>78982000</v>
      </c>
      <c r="F43" s="131"/>
      <c r="G43" s="131"/>
      <c r="H43" s="131"/>
      <c r="I43" s="131"/>
      <c r="J43" s="131">
        <f>J42+J36+J40</f>
        <v>0</v>
      </c>
      <c r="K43" s="131"/>
      <c r="L43" s="131"/>
      <c r="M43" s="131"/>
      <c r="N43" s="131"/>
      <c r="O43" s="131">
        <f>O42+O36+O40</f>
        <v>79056000</v>
      </c>
      <c r="P43" s="131"/>
      <c r="Q43" s="131"/>
      <c r="R43" s="131"/>
      <c r="S43" s="131"/>
      <c r="T43" s="131">
        <f>T30+T44</f>
        <v>78897195.126432955</v>
      </c>
      <c r="U43" s="131"/>
      <c r="V43" s="131"/>
      <c r="W43" s="131"/>
      <c r="X43" s="131"/>
      <c r="Y43" s="9"/>
    </row>
    <row r="44" spans="1:49" ht="17.149999999999999" customHeight="1">
      <c r="A44" s="136" t="s">
        <v>100</v>
      </c>
      <c r="B44" s="136"/>
      <c r="C44" s="136"/>
      <c r="D44" s="136"/>
      <c r="E44" s="128">
        <f>E43-E30</f>
        <v>84804.873567044735</v>
      </c>
      <c r="F44" s="128"/>
      <c r="G44" s="128"/>
      <c r="H44" s="128"/>
      <c r="I44" s="128"/>
      <c r="J44" s="128">
        <f>J43-J30</f>
        <v>-81433920.682279766</v>
      </c>
      <c r="K44" s="128"/>
      <c r="L44" s="128"/>
      <c r="M44" s="128"/>
      <c r="N44" s="128"/>
      <c r="O44" s="128">
        <f>O43-O30</f>
        <v>1539204.8735670447</v>
      </c>
      <c r="P44" s="128"/>
      <c r="Q44" s="128"/>
      <c r="R44" s="128"/>
      <c r="S44" s="128"/>
      <c r="T44" s="135">
        <v>0</v>
      </c>
      <c r="U44" s="135"/>
      <c r="V44" s="135"/>
      <c r="W44" s="135"/>
      <c r="X44" s="135"/>
      <c r="Y44" s="25"/>
    </row>
    <row r="45" spans="1:49" ht="17.149999999999999" customHeight="1"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</row>
    <row r="46" spans="1:49" ht="17.149999999999999" customHeight="1"/>
    <row r="47" spans="1:49" ht="17.149999999999999" customHeight="1"/>
    <row r="48" spans="1:49" ht="17.149999999999999" customHeight="1"/>
    <row r="49" ht="17.149999999999999" customHeight="1"/>
    <row r="50" ht="17.149999999999999" customHeight="1"/>
    <row r="51" ht="17.149999999999999" customHeight="1"/>
    <row r="52" ht="17.149999999999999" customHeight="1"/>
    <row r="53" ht="17.149999999999999" customHeight="1"/>
    <row r="54" ht="17.149999999999999" customHeight="1"/>
    <row r="55" ht="17.149999999999999" customHeight="1"/>
    <row r="56" ht="17.149999999999999" customHeight="1"/>
    <row r="57" ht="17.149999999999999" customHeight="1"/>
    <row r="58" ht="17.149999999999999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4.5" customHeight="1"/>
    <row r="364" ht="14.5" customHeight="1"/>
    <row r="365" ht="14.5" customHeight="1"/>
    <row r="366" ht="14.5" customHeight="1"/>
    <row r="367" ht="14.5" customHeight="1"/>
    <row r="368" ht="14.5" customHeight="1"/>
    <row r="369" ht="14.5" customHeight="1"/>
    <row r="370" ht="14.5" customHeight="1"/>
    <row r="371" ht="14.5" customHeight="1"/>
    <row r="372" ht="14.5" customHeight="1"/>
    <row r="373" ht="14.5" customHeight="1"/>
    <row r="374" ht="14.5" customHeight="1"/>
    <row r="375" ht="14.5" customHeight="1"/>
    <row r="376" ht="14.5" customHeight="1"/>
    <row r="377" ht="14.5" customHeight="1"/>
    <row r="378" ht="14.5" customHeight="1"/>
    <row r="379" ht="14.5" customHeight="1"/>
    <row r="380" ht="14.5" customHeight="1"/>
    <row r="381" ht="14.5" customHeight="1"/>
    <row r="382" ht="14.5" customHeight="1"/>
    <row r="383" ht="14.5" customHeight="1"/>
    <row r="384" ht="14.5" customHeight="1"/>
    <row r="385" ht="14.5" customHeight="1"/>
    <row r="386" ht="14.5" customHeight="1"/>
    <row r="387" ht="14.5" customHeight="1"/>
    <row r="388" ht="14.5" customHeight="1"/>
    <row r="389" ht="14.5" customHeight="1"/>
    <row r="390" ht="14.5" customHeight="1"/>
    <row r="391" ht="14.5" customHeight="1"/>
    <row r="392" ht="14.5" customHeight="1"/>
    <row r="393" ht="14.5" customHeight="1"/>
    <row r="394" ht="14.5" customHeight="1"/>
    <row r="395" ht="14.5" customHeight="1"/>
    <row r="396" ht="14.5" customHeight="1"/>
    <row r="397" ht="14.5" customHeight="1"/>
    <row r="398" ht="14.5" customHeight="1"/>
    <row r="399" ht="14.5" customHeight="1"/>
    <row r="400" ht="14.5" customHeight="1"/>
    <row r="401" ht="14.5" customHeight="1"/>
    <row r="402" ht="14.5" customHeight="1"/>
    <row r="403" ht="14.5" customHeight="1"/>
    <row r="404" ht="14.5" customHeight="1"/>
    <row r="405" ht="14.5" customHeight="1"/>
    <row r="406" ht="14.5" customHeight="1"/>
    <row r="407" ht="14.5" customHeight="1"/>
    <row r="408" ht="14.5" customHeight="1"/>
    <row r="409" ht="14.5" customHeight="1"/>
    <row r="410" ht="14.5" customHeight="1"/>
    <row r="411" ht="14.5" customHeight="1"/>
    <row r="412" ht="14.5" customHeight="1"/>
    <row r="413" ht="14.5" customHeight="1"/>
    <row r="414" ht="14.5" customHeight="1"/>
    <row r="415" ht="14.5" customHeight="1"/>
    <row r="416" ht="14.5" customHeight="1"/>
    <row r="417" ht="14.5" customHeight="1"/>
    <row r="418" ht="14.5" customHeight="1"/>
    <row r="419" ht="14.5" customHeight="1"/>
    <row r="420" ht="14.5" customHeight="1"/>
    <row r="421" ht="14.5" customHeight="1"/>
    <row r="422" ht="14.5" customHeight="1"/>
    <row r="423" ht="14.5" customHeight="1"/>
    <row r="424" ht="14.5" customHeight="1"/>
    <row r="425" ht="14.5" customHeight="1"/>
    <row r="426" ht="14.5" customHeight="1"/>
    <row r="427" ht="14.5" customHeight="1"/>
    <row r="428" ht="14.5" customHeight="1"/>
    <row r="429" ht="14.5" customHeight="1"/>
    <row r="430" ht="14.5" customHeight="1"/>
    <row r="431" ht="14.5" customHeight="1"/>
    <row r="432" ht="14.5" customHeight="1"/>
    <row r="433" ht="14.5" customHeight="1"/>
    <row r="434" ht="14.5" customHeight="1"/>
    <row r="435" ht="14.5" customHeight="1"/>
    <row r="436" ht="14.5" customHeight="1"/>
    <row r="437" ht="14.5" customHeight="1"/>
    <row r="438" ht="14.5" customHeight="1"/>
    <row r="439" ht="14.5" customHeight="1"/>
    <row r="440" ht="14.5" customHeight="1"/>
    <row r="441" ht="14.5" customHeight="1"/>
    <row r="442" ht="14.5" customHeight="1"/>
    <row r="443" ht="14.5" customHeight="1"/>
    <row r="444" ht="14.5" customHeight="1"/>
    <row r="445" ht="14.5" customHeight="1"/>
    <row r="446" ht="14.5" customHeight="1"/>
    <row r="447" ht="14.5" customHeight="1"/>
    <row r="448" ht="14.5" customHeight="1"/>
    <row r="449" ht="14.5" customHeight="1"/>
    <row r="450" ht="14.5" customHeight="1"/>
    <row r="451" ht="14.5" customHeight="1"/>
    <row r="452" ht="14.5" customHeight="1"/>
    <row r="453" ht="14.5" customHeight="1"/>
    <row r="454" ht="14.5" customHeight="1"/>
    <row r="455" ht="14.5" customHeight="1"/>
    <row r="456" ht="14.5" customHeight="1"/>
    <row r="457" ht="14.5" customHeight="1"/>
    <row r="458" ht="14.5" customHeight="1"/>
    <row r="459" ht="14.5" customHeight="1"/>
    <row r="460" ht="14.5" customHeight="1"/>
    <row r="461" ht="14.5" customHeight="1"/>
    <row r="462" ht="14.5" customHeight="1"/>
    <row r="463" ht="14.5" customHeight="1"/>
    <row r="464" ht="14.5" customHeight="1"/>
    <row r="465" ht="14.5" customHeight="1"/>
    <row r="466" ht="14.5" customHeight="1"/>
    <row r="467" ht="14.5" customHeight="1"/>
    <row r="468" ht="14.5" customHeight="1"/>
    <row r="469" ht="14.5" customHeight="1"/>
    <row r="470" ht="14.5" customHeight="1"/>
    <row r="471" ht="14.5" customHeight="1"/>
    <row r="472" ht="14.5" customHeight="1"/>
    <row r="473" ht="14.5" customHeight="1"/>
    <row r="474" ht="14.5" customHeight="1"/>
    <row r="475" ht="14.5" customHeight="1"/>
    <row r="476" ht="14.5" customHeight="1"/>
    <row r="477" ht="14.5" customHeight="1"/>
    <row r="478" ht="14.5" customHeight="1"/>
  </sheetData>
  <mergeCells count="345">
    <mergeCell ref="A10:D10"/>
    <mergeCell ref="E10:I10"/>
    <mergeCell ref="J10:N10"/>
    <mergeCell ref="O10:S10"/>
    <mergeCell ref="T10:X10"/>
    <mergeCell ref="A24:D24"/>
    <mergeCell ref="E24:I24"/>
    <mergeCell ref="J24:N24"/>
    <mergeCell ref="O24:S24"/>
    <mergeCell ref="T24:X24"/>
    <mergeCell ref="T11:X11"/>
    <mergeCell ref="E14:I14"/>
    <mergeCell ref="E12:I12"/>
    <mergeCell ref="J12:N12"/>
    <mergeCell ref="O12:S12"/>
    <mergeCell ref="A11:D11"/>
    <mergeCell ref="E11:I11"/>
    <mergeCell ref="J11:N11"/>
    <mergeCell ref="O11:S11"/>
    <mergeCell ref="A12:D12"/>
    <mergeCell ref="J14:N14"/>
    <mergeCell ref="O14:S14"/>
    <mergeCell ref="T14:X14"/>
    <mergeCell ref="A13:D13"/>
    <mergeCell ref="Z37:AC37"/>
    <mergeCell ref="AD37:AH37"/>
    <mergeCell ref="AI37:AM37"/>
    <mergeCell ref="AN37:AR37"/>
    <mergeCell ref="AS37:AW37"/>
    <mergeCell ref="Z38:AC38"/>
    <mergeCell ref="AD38:AH38"/>
    <mergeCell ref="AI38:AM38"/>
    <mergeCell ref="AN38:AR38"/>
    <mergeCell ref="AS38:AW38"/>
    <mergeCell ref="AN34:AR34"/>
    <mergeCell ref="AS34:AW34"/>
    <mergeCell ref="Z35:AC35"/>
    <mergeCell ref="AD35:AH35"/>
    <mergeCell ref="AI35:AM35"/>
    <mergeCell ref="AN35:AR35"/>
    <mergeCell ref="AS35:AW35"/>
    <mergeCell ref="Z36:AC36"/>
    <mergeCell ref="AD36:AH36"/>
    <mergeCell ref="AI36:AM36"/>
    <mergeCell ref="AN36:AR36"/>
    <mergeCell ref="AS36:AW36"/>
    <mergeCell ref="Z34:AC34"/>
    <mergeCell ref="AD34:AH34"/>
    <mergeCell ref="AI34:AM34"/>
    <mergeCell ref="Z26:AE26"/>
    <mergeCell ref="Z30:AC30"/>
    <mergeCell ref="AD30:AH30"/>
    <mergeCell ref="AI30:AM30"/>
    <mergeCell ref="AN30:AR30"/>
    <mergeCell ref="AS30:AW30"/>
    <mergeCell ref="Z31:AC31"/>
    <mergeCell ref="AD31:AH31"/>
    <mergeCell ref="AI31:AM31"/>
    <mergeCell ref="AN31:AR31"/>
    <mergeCell ref="AS31:AW31"/>
    <mergeCell ref="Z27:AW29"/>
    <mergeCell ref="Z24:AC24"/>
    <mergeCell ref="Z25:AC25"/>
    <mergeCell ref="AD24:AG24"/>
    <mergeCell ref="AH24:AK24"/>
    <mergeCell ref="AL24:AO24"/>
    <mergeCell ref="AP24:AS24"/>
    <mergeCell ref="AT24:AW24"/>
    <mergeCell ref="AD25:AG25"/>
    <mergeCell ref="AH25:AK25"/>
    <mergeCell ref="AL25:AO25"/>
    <mergeCell ref="AP25:AS25"/>
    <mergeCell ref="AT25:AW25"/>
    <mergeCell ref="Z22:AC22"/>
    <mergeCell ref="AD22:AG22"/>
    <mergeCell ref="AH22:AK22"/>
    <mergeCell ref="AL22:AO22"/>
    <mergeCell ref="AP22:AS22"/>
    <mergeCell ref="AT22:AW22"/>
    <mergeCell ref="Z23:AE23"/>
    <mergeCell ref="Z20:AC20"/>
    <mergeCell ref="Z21:AC21"/>
    <mergeCell ref="AD20:AG20"/>
    <mergeCell ref="AH20:AK20"/>
    <mergeCell ref="AL20:AO20"/>
    <mergeCell ref="AP20:AS20"/>
    <mergeCell ref="AT20:AW20"/>
    <mergeCell ref="AD21:AG21"/>
    <mergeCell ref="AH21:AK21"/>
    <mergeCell ref="AL21:AO21"/>
    <mergeCell ref="AP21:AS21"/>
    <mergeCell ref="AT21:AW21"/>
    <mergeCell ref="A1:D1"/>
    <mergeCell ref="R1:X1"/>
    <mergeCell ref="A2:C2"/>
    <mergeCell ref="A3:C3"/>
    <mergeCell ref="D3:H3"/>
    <mergeCell ref="J3:K3"/>
    <mergeCell ref="L3:P3"/>
    <mergeCell ref="R3:T3"/>
    <mergeCell ref="U3:W3"/>
    <mergeCell ref="D2:K2"/>
    <mergeCell ref="L2:M2"/>
    <mergeCell ref="N2:X2"/>
    <mergeCell ref="D4:H4"/>
    <mergeCell ref="J4:L4"/>
    <mergeCell ref="M4:P4"/>
    <mergeCell ref="R4:T4"/>
    <mergeCell ref="U4:X4"/>
    <mergeCell ref="A5:D5"/>
    <mergeCell ref="T8:X8"/>
    <mergeCell ref="A6:D6"/>
    <mergeCell ref="E6:I6"/>
    <mergeCell ref="A4:C4"/>
    <mergeCell ref="E7:I7"/>
    <mergeCell ref="J7:N7"/>
    <mergeCell ref="O7:S7"/>
    <mergeCell ref="J6:N6"/>
    <mergeCell ref="O6:S6"/>
    <mergeCell ref="T7:X7"/>
    <mergeCell ref="A9:D9"/>
    <mergeCell ref="A7:D7"/>
    <mergeCell ref="E9:I9"/>
    <mergeCell ref="J9:N9"/>
    <mergeCell ref="O9:S9"/>
    <mergeCell ref="T9:X9"/>
    <mergeCell ref="A8:D8"/>
    <mergeCell ref="E8:I8"/>
    <mergeCell ref="J8:N8"/>
    <mergeCell ref="O8:S8"/>
    <mergeCell ref="E16:I16"/>
    <mergeCell ref="J16:N16"/>
    <mergeCell ref="O16:S16"/>
    <mergeCell ref="T16:X16"/>
    <mergeCell ref="E13:I13"/>
    <mergeCell ref="J13:N13"/>
    <mergeCell ref="O13:S13"/>
    <mergeCell ref="T13:X13"/>
    <mergeCell ref="O17:S17"/>
    <mergeCell ref="T17:X17"/>
    <mergeCell ref="E15:I15"/>
    <mergeCell ref="J15:N15"/>
    <mergeCell ref="O15:S15"/>
    <mergeCell ref="T15:X15"/>
    <mergeCell ref="A20:D20"/>
    <mergeCell ref="A19:D19"/>
    <mergeCell ref="E19:I19"/>
    <mergeCell ref="J19:N19"/>
    <mergeCell ref="A18:D18"/>
    <mergeCell ref="E18:I18"/>
    <mergeCell ref="J18:N18"/>
    <mergeCell ref="E17:I17"/>
    <mergeCell ref="J17:N17"/>
    <mergeCell ref="J25:N25"/>
    <mergeCell ref="O25:S25"/>
    <mergeCell ref="A21:D21"/>
    <mergeCell ref="E22:I22"/>
    <mergeCell ref="J22:N22"/>
    <mergeCell ref="E21:I21"/>
    <mergeCell ref="J21:N21"/>
    <mergeCell ref="O22:S22"/>
    <mergeCell ref="T22:X22"/>
    <mergeCell ref="A23:D23"/>
    <mergeCell ref="E23:I23"/>
    <mergeCell ref="J23:N23"/>
    <mergeCell ref="O23:S23"/>
    <mergeCell ref="T23:X23"/>
    <mergeCell ref="A22:D22"/>
    <mergeCell ref="O21:S21"/>
    <mergeCell ref="T21:X21"/>
    <mergeCell ref="A31:D31"/>
    <mergeCell ref="T25:X25"/>
    <mergeCell ref="A25:D25"/>
    <mergeCell ref="J26:N26"/>
    <mergeCell ref="O26:S26"/>
    <mergeCell ref="T26:X26"/>
    <mergeCell ref="T30:X30"/>
    <mergeCell ref="A30:D30"/>
    <mergeCell ref="A27:M27"/>
    <mergeCell ref="E30:I30"/>
    <mergeCell ref="J30:N30"/>
    <mergeCell ref="E26:I26"/>
    <mergeCell ref="A29:D29"/>
    <mergeCell ref="E29:I29"/>
    <mergeCell ref="J29:N29"/>
    <mergeCell ref="O29:S29"/>
    <mergeCell ref="T29:X29"/>
    <mergeCell ref="E28:I28"/>
    <mergeCell ref="J28:N28"/>
    <mergeCell ref="O28:S28"/>
    <mergeCell ref="T28:X28"/>
    <mergeCell ref="A26:D26"/>
    <mergeCell ref="A28:D28"/>
    <mergeCell ref="E25:I25"/>
    <mergeCell ref="A32:D32"/>
    <mergeCell ref="E32:I32"/>
    <mergeCell ref="J32:N32"/>
    <mergeCell ref="O32:S32"/>
    <mergeCell ref="A33:D33"/>
    <mergeCell ref="E33:I33"/>
    <mergeCell ref="J33:N33"/>
    <mergeCell ref="J36:N36"/>
    <mergeCell ref="A34:D34"/>
    <mergeCell ref="E34:I34"/>
    <mergeCell ref="J34:N34"/>
    <mergeCell ref="O34:S34"/>
    <mergeCell ref="A35:D35"/>
    <mergeCell ref="O36:S36"/>
    <mergeCell ref="E35:I35"/>
    <mergeCell ref="J35:N35"/>
    <mergeCell ref="A36:D36"/>
    <mergeCell ref="E36:I36"/>
    <mergeCell ref="A41:D41"/>
    <mergeCell ref="T44:X44"/>
    <mergeCell ref="T41:X41"/>
    <mergeCell ref="E40:I40"/>
    <mergeCell ref="A40:D40"/>
    <mergeCell ref="A44:D44"/>
    <mergeCell ref="E44:I44"/>
    <mergeCell ref="J44:N44"/>
    <mergeCell ref="O44:S44"/>
    <mergeCell ref="A43:D43"/>
    <mergeCell ref="E43:I43"/>
    <mergeCell ref="J43:N43"/>
    <mergeCell ref="O43:S43"/>
    <mergeCell ref="T40:X40"/>
    <mergeCell ref="E41:I41"/>
    <mergeCell ref="A37:D37"/>
    <mergeCell ref="E37:I37"/>
    <mergeCell ref="J37:N37"/>
    <mergeCell ref="O37:S37"/>
    <mergeCell ref="T37:X37"/>
    <mergeCell ref="A42:D42"/>
    <mergeCell ref="E42:I42"/>
    <mergeCell ref="J42:N42"/>
    <mergeCell ref="O42:S42"/>
    <mergeCell ref="T42:X42"/>
    <mergeCell ref="E39:I39"/>
    <mergeCell ref="T38:X38"/>
    <mergeCell ref="A38:D38"/>
    <mergeCell ref="E38:I38"/>
    <mergeCell ref="J38:N38"/>
    <mergeCell ref="O38:S38"/>
    <mergeCell ref="J39:N39"/>
    <mergeCell ref="T39:X39"/>
    <mergeCell ref="A39:D39"/>
    <mergeCell ref="O39:S39"/>
    <mergeCell ref="J41:N41"/>
    <mergeCell ref="O41:S41"/>
    <mergeCell ref="J40:N40"/>
    <mergeCell ref="O40:S40"/>
    <mergeCell ref="O18:S18"/>
    <mergeCell ref="T18:X18"/>
    <mergeCell ref="T12:X12"/>
    <mergeCell ref="T6:X6"/>
    <mergeCell ref="Z1:AE1"/>
    <mergeCell ref="Z2:AC2"/>
    <mergeCell ref="AD2:AH2"/>
    <mergeCell ref="AI2:AM2"/>
    <mergeCell ref="O19:S19"/>
    <mergeCell ref="T19:X19"/>
    <mergeCell ref="Z15:AE15"/>
    <mergeCell ref="Z7:AC7"/>
    <mergeCell ref="AD7:AH7"/>
    <mergeCell ref="AI7:AM7"/>
    <mergeCell ref="Z18:AC18"/>
    <mergeCell ref="AD18:AH18"/>
    <mergeCell ref="AI18:AM18"/>
    <mergeCell ref="J45:N45"/>
    <mergeCell ref="O45:S45"/>
    <mergeCell ref="T45:X45"/>
    <mergeCell ref="O35:S35"/>
    <mergeCell ref="T35:X35"/>
    <mergeCell ref="O30:S30"/>
    <mergeCell ref="T32:X32"/>
    <mergeCell ref="T33:X33"/>
    <mergeCell ref="T34:X34"/>
    <mergeCell ref="T36:X36"/>
    <mergeCell ref="O33:S33"/>
    <mergeCell ref="T43:X43"/>
    <mergeCell ref="AN2:AR2"/>
    <mergeCell ref="AS2:AW2"/>
    <mergeCell ref="Z3:AC3"/>
    <mergeCell ref="AD3:AH3"/>
    <mergeCell ref="AI3:AM3"/>
    <mergeCell ref="AN3:AR3"/>
    <mergeCell ref="AS3:AW3"/>
    <mergeCell ref="Z5:AE5"/>
    <mergeCell ref="Z6:AC6"/>
    <mergeCell ref="AD6:AH6"/>
    <mergeCell ref="AI6:AM6"/>
    <mergeCell ref="AN6:AR6"/>
    <mergeCell ref="AS6:AW6"/>
    <mergeCell ref="AN7:AR7"/>
    <mergeCell ref="AS7:AW7"/>
    <mergeCell ref="Z11:AC11"/>
    <mergeCell ref="AD11:AH11"/>
    <mergeCell ref="AI11:AM11"/>
    <mergeCell ref="AN11:AR11"/>
    <mergeCell ref="AS11:AW11"/>
    <mergeCell ref="Z16:AC16"/>
    <mergeCell ref="AD16:AH16"/>
    <mergeCell ref="AI16:AM16"/>
    <mergeCell ref="AN16:AR16"/>
    <mergeCell ref="AS16:AW16"/>
    <mergeCell ref="Z10:AW10"/>
    <mergeCell ref="Z13:AC13"/>
    <mergeCell ref="AD13:AH13"/>
    <mergeCell ref="AI13:AM13"/>
    <mergeCell ref="AN13:AR13"/>
    <mergeCell ref="AS13:AW13"/>
    <mergeCell ref="Z12:AC12"/>
    <mergeCell ref="AD12:AH12"/>
    <mergeCell ref="AI12:AM12"/>
    <mergeCell ref="AN12:AR12"/>
    <mergeCell ref="AS12:AW12"/>
    <mergeCell ref="AN18:AR18"/>
    <mergeCell ref="AS18:AW18"/>
    <mergeCell ref="Z19:AE19"/>
    <mergeCell ref="Z17:AC17"/>
    <mergeCell ref="AD17:AH17"/>
    <mergeCell ref="AI17:AM17"/>
    <mergeCell ref="AN17:AR17"/>
    <mergeCell ref="AS17:AW17"/>
    <mergeCell ref="AF19:AH19"/>
    <mergeCell ref="Z39:AC39"/>
    <mergeCell ref="AD39:AH39"/>
    <mergeCell ref="AI39:AM39"/>
    <mergeCell ref="AN39:AR39"/>
    <mergeCell ref="AS39:AW39"/>
    <mergeCell ref="Z40:AC40"/>
    <mergeCell ref="AD40:AH40"/>
    <mergeCell ref="AI40:AM40"/>
    <mergeCell ref="AN40:AR40"/>
    <mergeCell ref="AS40:AW40"/>
    <mergeCell ref="Z32:AC32"/>
    <mergeCell ref="AD32:AH32"/>
    <mergeCell ref="AI32:AM32"/>
    <mergeCell ref="AN32:AR32"/>
    <mergeCell ref="AS32:AW32"/>
    <mergeCell ref="Z33:AC33"/>
    <mergeCell ref="AD33:AH33"/>
    <mergeCell ref="AI33:AM33"/>
    <mergeCell ref="AN33:AR33"/>
    <mergeCell ref="AS33:AW33"/>
  </mergeCells>
  <phoneticPr fontId="1" type="noConversion"/>
  <conditionalFormatting sqref="D2">
    <cfRule type="containsText" dxfId="1" priority="1" operator="containsText" text="렌터카 취급 불가 모델.">
      <formula>NOT(ISERROR(SEARCH("렌터카 취급 불가 모델.",D2)))</formula>
    </cfRule>
    <cfRule type="containsText" dxfId="0" priority="2" operator="containsText" text="렌터카 모델 여부 확인 바람">
      <formula>NOT(ISERROR(SEARCH("렌터카 모델 여부 확인 바람",D2)))</formula>
    </cfRule>
  </conditionalFormatting>
  <printOptions horizontalCentered="1" verticalCentered="1"/>
  <pageMargins left="0.55118110236220474" right="0.55118110236220474" top="0.15748031496062992" bottom="0.19685039370078741" header="0.31496062992125984" footer="0.31496062992125984"/>
  <pageSetup paperSize="9" orientation="portrait" r:id="rId1"/>
  <headerFooter>
    <oddHeader xml:space="preserve">&amp;C
&amp;G
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CECC-26EE-4F0F-A0E1-4FA70835729B}">
  <dimension ref="A1:Z465"/>
  <sheetViews>
    <sheetView showGridLines="0" view="pageLayout" zoomScale="130" zoomScaleNormal="70" zoomScalePageLayoutView="130" workbookViewId="0">
      <selection activeCell="P24" sqref="P24:U24"/>
    </sheetView>
  </sheetViews>
  <sheetFormatPr defaultColWidth="8.58203125" defaultRowHeight="11.5"/>
  <cols>
    <col min="1" max="26" width="3.08203125" style="11" customWidth="1"/>
    <col min="27" max="16384" width="8.58203125" style="11"/>
  </cols>
  <sheetData>
    <row r="1" spans="1:26" ht="13.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3.5" customHeight="1">
      <c r="A2" s="362" t="s">
        <v>180</v>
      </c>
      <c r="B2" s="362"/>
      <c r="C2" s="362"/>
      <c r="D2" s="362"/>
      <c r="E2" s="362"/>
      <c r="F2" s="362"/>
      <c r="G2" s="10"/>
      <c r="H2" s="10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10"/>
      <c r="U2" s="10"/>
      <c r="V2" s="10"/>
      <c r="W2" s="10"/>
      <c r="X2" s="10"/>
      <c r="Y2" s="10"/>
      <c r="Z2" s="10"/>
    </row>
    <row r="3" spans="1:26" ht="13.5" customHeight="1">
      <c r="A3" s="362"/>
      <c r="B3" s="362"/>
      <c r="C3" s="362"/>
      <c r="D3" s="362"/>
      <c r="E3" s="362"/>
      <c r="F3" s="362"/>
      <c r="G3" s="10"/>
      <c r="H3" s="10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10"/>
      <c r="U3" s="10"/>
      <c r="V3" s="10"/>
      <c r="W3" s="10"/>
      <c r="X3" s="10"/>
      <c r="Y3" s="10"/>
      <c r="Z3" s="10"/>
    </row>
    <row r="4" spans="1:26" ht="8.5" customHeight="1" thickBo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3.5" customHeight="1">
      <c r="A5" s="367" t="s">
        <v>1</v>
      </c>
      <c r="B5" s="368"/>
      <c r="C5" s="368"/>
      <c r="D5" s="368"/>
      <c r="E5" s="382" t="s">
        <v>221</v>
      </c>
      <c r="F5" s="382"/>
      <c r="G5" s="382"/>
      <c r="H5" s="382"/>
      <c r="I5" s="382"/>
      <c r="J5" s="382"/>
      <c r="K5" s="382"/>
      <c r="L5" s="382"/>
      <c r="M5" s="383"/>
      <c r="N5" s="36"/>
      <c r="O5" s="384" t="s">
        <v>9</v>
      </c>
      <c r="P5" s="368"/>
      <c r="Q5" s="368" t="s">
        <v>10</v>
      </c>
      <c r="R5" s="368"/>
      <c r="S5" s="382" t="s">
        <v>11</v>
      </c>
      <c r="T5" s="382"/>
      <c r="U5" s="382"/>
      <c r="V5" s="382"/>
      <c r="W5" s="382"/>
      <c r="X5" s="382"/>
      <c r="Y5" s="382"/>
      <c r="Z5" s="383"/>
    </row>
    <row r="6" spans="1:26" ht="13.5" customHeight="1">
      <c r="A6" s="409" t="s">
        <v>211</v>
      </c>
      <c r="B6" s="366"/>
      <c r="C6" s="366"/>
      <c r="D6" s="366"/>
      <c r="E6" s="363">
        <f ca="1">TODAY()</f>
        <v>46251</v>
      </c>
      <c r="F6" s="364"/>
      <c r="G6" s="364"/>
      <c r="H6" s="364"/>
      <c r="I6" s="364"/>
      <c r="J6" s="364"/>
      <c r="K6" s="364"/>
      <c r="L6" s="364"/>
      <c r="M6" s="365"/>
      <c r="N6" s="36"/>
      <c r="O6" s="385"/>
      <c r="P6" s="366"/>
      <c r="Q6" s="366" t="s">
        <v>12</v>
      </c>
      <c r="R6" s="366"/>
      <c r="S6" s="364" t="s">
        <v>13</v>
      </c>
      <c r="T6" s="364"/>
      <c r="U6" s="364"/>
      <c r="V6" s="364"/>
      <c r="W6" s="364"/>
      <c r="X6" s="364"/>
      <c r="Y6" s="364"/>
      <c r="Z6" s="365"/>
    </row>
    <row r="7" spans="1:26" ht="13.5" customHeight="1">
      <c r="A7" s="410" t="s">
        <v>170</v>
      </c>
      <c r="B7" s="387"/>
      <c r="C7" s="387"/>
      <c r="D7" s="387"/>
      <c r="E7" s="388"/>
      <c r="F7" s="388"/>
      <c r="G7" s="388"/>
      <c r="H7" s="388"/>
      <c r="I7" s="388"/>
      <c r="J7" s="388"/>
      <c r="K7" s="388"/>
      <c r="L7" s="388"/>
      <c r="M7" s="389"/>
      <c r="N7" s="36"/>
      <c r="O7" s="386"/>
      <c r="P7" s="387"/>
      <c r="Q7" s="387" t="s">
        <v>14</v>
      </c>
      <c r="R7" s="387"/>
      <c r="S7" s="390" t="s">
        <v>15</v>
      </c>
      <c r="T7" s="388"/>
      <c r="U7" s="388"/>
      <c r="V7" s="388"/>
      <c r="W7" s="388"/>
      <c r="X7" s="388"/>
      <c r="Y7" s="388"/>
      <c r="Z7" s="389"/>
    </row>
    <row r="8" spans="1:26" ht="12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O8" s="37"/>
      <c r="P8" s="37"/>
      <c r="Q8" s="37"/>
      <c r="R8" s="37"/>
      <c r="S8" s="38"/>
      <c r="T8" s="39"/>
      <c r="U8" s="39"/>
      <c r="V8" s="39"/>
      <c r="W8" s="39"/>
      <c r="X8" s="39"/>
      <c r="Y8" s="39"/>
      <c r="Z8" s="39"/>
    </row>
    <row r="9" spans="1:26" ht="16.5" customHeight="1" thickBot="1">
      <c r="A9" s="45" t="s">
        <v>120</v>
      </c>
      <c r="B9" s="46"/>
      <c r="C9" s="46"/>
      <c r="D9" s="46"/>
      <c r="E9" s="46"/>
      <c r="F9" s="46"/>
      <c r="G9" s="46"/>
      <c r="H9" s="46"/>
      <c r="I9" s="46"/>
      <c r="J9" s="46"/>
      <c r="K9" s="47"/>
      <c r="L9" s="46"/>
      <c r="M9" s="46"/>
      <c r="N9" s="46"/>
      <c r="O9" s="45"/>
      <c r="P9" s="46"/>
      <c r="Q9" s="46"/>
      <c r="R9" s="46"/>
      <c r="S9" s="46"/>
      <c r="T9" s="46"/>
      <c r="U9" s="46"/>
      <c r="V9" s="46"/>
      <c r="W9" s="46"/>
      <c r="X9" s="46"/>
      <c r="Y9" s="47"/>
      <c r="Z9" s="46"/>
    </row>
    <row r="10" spans="1:26" ht="19.5" customHeight="1">
      <c r="A10" s="391" t="s">
        <v>17</v>
      </c>
      <c r="B10" s="392"/>
      <c r="C10" s="392"/>
      <c r="D10" s="392"/>
      <c r="E10" s="376" t="s">
        <v>220</v>
      </c>
      <c r="F10" s="376"/>
      <c r="G10" s="376"/>
      <c r="H10" s="376"/>
      <c r="I10" s="376"/>
      <c r="J10" s="376"/>
      <c r="K10" s="376" t="s">
        <v>183</v>
      </c>
      <c r="L10" s="376"/>
      <c r="M10" s="376"/>
      <c r="N10" s="376"/>
      <c r="O10" s="376"/>
      <c r="P10" s="376" t="s">
        <v>221</v>
      </c>
      <c r="Q10" s="376"/>
      <c r="R10" s="376"/>
      <c r="S10" s="376"/>
      <c r="T10" s="376"/>
      <c r="U10" s="376"/>
      <c r="V10" s="376" t="s">
        <v>183</v>
      </c>
      <c r="W10" s="376"/>
      <c r="X10" s="376"/>
      <c r="Y10" s="376"/>
      <c r="Z10" s="397"/>
    </row>
    <row r="11" spans="1:26" ht="30" customHeight="1">
      <c r="A11" s="393" t="s">
        <v>184</v>
      </c>
      <c r="B11" s="394"/>
      <c r="C11" s="394"/>
      <c r="D11" s="394"/>
      <c r="E11" s="395" t="s">
        <v>185</v>
      </c>
      <c r="F11" s="395"/>
      <c r="G11" s="395"/>
      <c r="H11" s="395"/>
      <c r="I11" s="395"/>
      <c r="J11" s="395"/>
      <c r="K11" s="395">
        <v>94450000</v>
      </c>
      <c r="L11" s="395"/>
      <c r="M11" s="395"/>
      <c r="N11" s="395"/>
      <c r="O11" s="395"/>
      <c r="P11" s="404" t="s">
        <v>219</v>
      </c>
      <c r="Q11" s="395"/>
      <c r="R11" s="395"/>
      <c r="S11" s="395"/>
      <c r="T11" s="395"/>
      <c r="U11" s="395"/>
      <c r="V11" s="395">
        <f>95400000</f>
        <v>95400000</v>
      </c>
      <c r="W11" s="395"/>
      <c r="X11" s="395"/>
      <c r="Y11" s="395"/>
      <c r="Z11" s="405"/>
    </row>
    <row r="12" spans="1:26" ht="19.75" customHeight="1">
      <c r="A12" s="371" t="s">
        <v>186</v>
      </c>
      <c r="B12" s="359"/>
      <c r="C12" s="359"/>
      <c r="D12" s="359"/>
      <c r="E12" s="407" t="s">
        <v>229</v>
      </c>
      <c r="F12" s="407"/>
      <c r="G12" s="407"/>
      <c r="H12" s="407"/>
      <c r="I12" s="407"/>
      <c r="J12" s="407"/>
      <c r="K12" s="360">
        <v>0</v>
      </c>
      <c r="L12" s="360"/>
      <c r="M12" s="360"/>
      <c r="N12" s="360"/>
      <c r="O12" s="406"/>
      <c r="P12" s="360" t="s">
        <v>229</v>
      </c>
      <c r="Q12" s="360"/>
      <c r="R12" s="360"/>
      <c r="S12" s="360"/>
      <c r="T12" s="360"/>
      <c r="U12" s="360"/>
      <c r="V12" s="360">
        <v>6000000</v>
      </c>
      <c r="W12" s="360"/>
      <c r="X12" s="360"/>
      <c r="Y12" s="360"/>
      <c r="Z12" s="406"/>
    </row>
    <row r="13" spans="1:26" ht="19.75" customHeight="1">
      <c r="A13" s="371" t="s">
        <v>186</v>
      </c>
      <c r="B13" s="359"/>
      <c r="C13" s="359"/>
      <c r="D13" s="359"/>
      <c r="E13" s="360" t="s">
        <v>187</v>
      </c>
      <c r="F13" s="360"/>
      <c r="G13" s="360"/>
      <c r="H13" s="360"/>
      <c r="I13" s="360"/>
      <c r="J13" s="360"/>
      <c r="K13" s="360">
        <v>3460000</v>
      </c>
      <c r="L13" s="360"/>
      <c r="M13" s="360"/>
      <c r="N13" s="360"/>
      <c r="O13" s="406"/>
      <c r="P13" s="360" t="s">
        <v>187</v>
      </c>
      <c r="Q13" s="360"/>
      <c r="R13" s="360"/>
      <c r="S13" s="360"/>
      <c r="T13" s="360"/>
      <c r="U13" s="360"/>
      <c r="V13" s="360">
        <v>3500000</v>
      </c>
      <c r="W13" s="360"/>
      <c r="X13" s="360"/>
      <c r="Y13" s="360"/>
      <c r="Z13" s="406"/>
    </row>
    <row r="14" spans="1:26" ht="19.75" customHeight="1">
      <c r="A14" s="371" t="s">
        <v>195</v>
      </c>
      <c r="B14" s="359"/>
      <c r="C14" s="359"/>
      <c r="D14" s="359"/>
      <c r="E14" s="360" t="s">
        <v>181</v>
      </c>
      <c r="F14" s="360"/>
      <c r="G14" s="360"/>
      <c r="H14" s="360"/>
      <c r="I14" s="360"/>
      <c r="J14" s="360"/>
      <c r="K14" s="360">
        <v>0</v>
      </c>
      <c r="L14" s="360"/>
      <c r="M14" s="360"/>
      <c r="N14" s="360"/>
      <c r="O14" s="360"/>
      <c r="P14" s="360" t="s">
        <v>181</v>
      </c>
      <c r="Q14" s="360"/>
      <c r="R14" s="360"/>
      <c r="S14" s="360"/>
      <c r="T14" s="360"/>
      <c r="U14" s="360"/>
      <c r="V14" s="360">
        <v>0</v>
      </c>
      <c r="W14" s="360"/>
      <c r="X14" s="360"/>
      <c r="Y14" s="360"/>
      <c r="Z14" s="406"/>
    </row>
    <row r="15" spans="1:26" ht="79.5" customHeight="1">
      <c r="A15" s="371" t="s">
        <v>182</v>
      </c>
      <c r="B15" s="359"/>
      <c r="C15" s="359"/>
      <c r="D15" s="359"/>
      <c r="E15" s="370" t="s">
        <v>226</v>
      </c>
      <c r="F15" s="370"/>
      <c r="G15" s="370"/>
      <c r="H15" s="370"/>
      <c r="I15" s="370"/>
      <c r="J15" s="370"/>
      <c r="K15" s="360">
        <f>5440000+990000</f>
        <v>6430000</v>
      </c>
      <c r="L15" s="360"/>
      <c r="M15" s="360"/>
      <c r="N15" s="360"/>
      <c r="O15" s="360"/>
      <c r="P15" s="408" t="s">
        <v>223</v>
      </c>
      <c r="Q15" s="408"/>
      <c r="R15" s="408"/>
      <c r="S15" s="408"/>
      <c r="T15" s="408"/>
      <c r="U15" s="408"/>
      <c r="V15" s="360">
        <v>5500000</v>
      </c>
      <c r="W15" s="360"/>
      <c r="X15" s="360"/>
      <c r="Y15" s="360"/>
      <c r="Z15" s="406"/>
    </row>
    <row r="16" spans="1:26" ht="19.75" customHeight="1">
      <c r="A16" s="371" t="s">
        <v>194</v>
      </c>
      <c r="B16" s="359"/>
      <c r="C16" s="359"/>
      <c r="D16" s="359"/>
      <c r="E16" s="360" t="s">
        <v>192</v>
      </c>
      <c r="F16" s="360"/>
      <c r="G16" s="360"/>
      <c r="H16" s="360"/>
      <c r="I16" s="360"/>
      <c r="J16" s="360"/>
      <c r="K16" s="360">
        <v>990000</v>
      </c>
      <c r="L16" s="360"/>
      <c r="M16" s="360"/>
      <c r="N16" s="360"/>
      <c r="O16" s="360"/>
      <c r="P16" s="360" t="s">
        <v>192</v>
      </c>
      <c r="Q16" s="360"/>
      <c r="R16" s="360"/>
      <c r="S16" s="360"/>
      <c r="T16" s="360"/>
      <c r="U16" s="360"/>
      <c r="V16" s="360">
        <v>0</v>
      </c>
      <c r="W16" s="360"/>
      <c r="X16" s="360"/>
      <c r="Y16" s="360"/>
      <c r="Z16" s="406"/>
    </row>
    <row r="17" spans="1:26" ht="136.5" customHeight="1">
      <c r="A17" s="371" t="s">
        <v>188</v>
      </c>
      <c r="B17" s="359"/>
      <c r="C17" s="359"/>
      <c r="D17" s="359"/>
      <c r="E17" s="372" t="s">
        <v>227</v>
      </c>
      <c r="F17" s="373"/>
      <c r="G17" s="373"/>
      <c r="H17" s="373"/>
      <c r="I17" s="373"/>
      <c r="J17" s="373"/>
      <c r="K17" s="360">
        <v>19290000</v>
      </c>
      <c r="L17" s="360"/>
      <c r="M17" s="360"/>
      <c r="N17" s="360"/>
      <c r="O17" s="360"/>
      <c r="P17" s="372" t="s">
        <v>224</v>
      </c>
      <c r="Q17" s="373"/>
      <c r="R17" s="373"/>
      <c r="S17" s="373"/>
      <c r="T17" s="373"/>
      <c r="U17" s="373"/>
      <c r="V17" s="360">
        <v>9500000</v>
      </c>
      <c r="W17" s="360"/>
      <c r="X17" s="360"/>
      <c r="Y17" s="360"/>
      <c r="Z17" s="406"/>
    </row>
    <row r="18" spans="1:26" ht="38.25" customHeight="1">
      <c r="A18" s="358" t="s">
        <v>228</v>
      </c>
      <c r="B18" s="359"/>
      <c r="C18" s="359"/>
      <c r="D18" s="359"/>
      <c r="E18" s="360" t="s">
        <v>225</v>
      </c>
      <c r="F18" s="360"/>
      <c r="G18" s="360"/>
      <c r="H18" s="360"/>
      <c r="I18" s="360"/>
      <c r="J18" s="360"/>
      <c r="K18" s="361">
        <v>0</v>
      </c>
      <c r="L18" s="361"/>
      <c r="M18" s="361"/>
      <c r="N18" s="361"/>
      <c r="O18" s="361"/>
      <c r="P18" s="360" t="s">
        <v>189</v>
      </c>
      <c r="Q18" s="360"/>
      <c r="R18" s="360"/>
      <c r="S18" s="360"/>
      <c r="T18" s="360"/>
      <c r="U18" s="360"/>
      <c r="V18" s="360">
        <v>5000000</v>
      </c>
      <c r="W18" s="360"/>
      <c r="X18" s="360"/>
      <c r="Y18" s="360"/>
      <c r="Z18" s="360"/>
    </row>
    <row r="19" spans="1:26" ht="19.5" customHeight="1">
      <c r="A19" s="371" t="s">
        <v>190</v>
      </c>
      <c r="B19" s="359"/>
      <c r="C19" s="359"/>
      <c r="D19" s="359"/>
      <c r="E19" s="360" t="s">
        <v>189</v>
      </c>
      <c r="F19" s="360"/>
      <c r="G19" s="360"/>
      <c r="H19" s="360"/>
      <c r="I19" s="360"/>
      <c r="J19" s="360"/>
      <c r="K19" s="360">
        <v>790000</v>
      </c>
      <c r="L19" s="360"/>
      <c r="M19" s="360"/>
      <c r="N19" s="360"/>
      <c r="O19" s="360"/>
      <c r="P19" s="360" t="s">
        <v>189</v>
      </c>
      <c r="Q19" s="360"/>
      <c r="R19" s="360"/>
      <c r="S19" s="360"/>
      <c r="T19" s="360"/>
      <c r="U19" s="360"/>
      <c r="V19" s="360">
        <v>800000</v>
      </c>
      <c r="W19" s="360"/>
      <c r="X19" s="360"/>
      <c r="Y19" s="360"/>
      <c r="Z19" s="360"/>
    </row>
    <row r="20" spans="1:26" ht="19.75" customHeight="1">
      <c r="A20" s="402" t="s">
        <v>196</v>
      </c>
      <c r="B20" s="403"/>
      <c r="C20" s="403"/>
      <c r="D20" s="403"/>
      <c r="E20" s="360" t="s">
        <v>189</v>
      </c>
      <c r="F20" s="360"/>
      <c r="G20" s="360"/>
      <c r="H20" s="360"/>
      <c r="I20" s="360"/>
      <c r="J20" s="360"/>
      <c r="K20" s="360">
        <v>1980000</v>
      </c>
      <c r="L20" s="360"/>
      <c r="M20" s="360"/>
      <c r="N20" s="360"/>
      <c r="O20" s="360"/>
      <c r="P20" s="360" t="s">
        <v>189</v>
      </c>
      <c r="Q20" s="360"/>
      <c r="R20" s="360"/>
      <c r="S20" s="360"/>
      <c r="T20" s="360"/>
      <c r="U20" s="360"/>
      <c r="V20" s="360">
        <v>2000000</v>
      </c>
      <c r="W20" s="360"/>
      <c r="X20" s="360"/>
      <c r="Y20" s="360"/>
      <c r="Z20" s="360"/>
    </row>
    <row r="21" spans="1:26" ht="27.75" customHeight="1">
      <c r="A21" s="398" t="s">
        <v>222</v>
      </c>
      <c r="B21" s="399"/>
      <c r="C21" s="399"/>
      <c r="D21" s="399"/>
      <c r="E21" s="400" t="s">
        <v>189</v>
      </c>
      <c r="F21" s="401"/>
      <c r="G21" s="401"/>
      <c r="H21" s="401"/>
      <c r="I21" s="401"/>
      <c r="J21" s="401"/>
      <c r="K21" s="360">
        <v>3960000</v>
      </c>
      <c r="L21" s="360"/>
      <c r="M21" s="360"/>
      <c r="N21" s="360"/>
      <c r="O21" s="360"/>
      <c r="P21" s="411" t="s">
        <v>197</v>
      </c>
      <c r="Q21" s="411"/>
      <c r="R21" s="411"/>
      <c r="S21" s="411"/>
      <c r="T21" s="411"/>
      <c r="U21" s="411"/>
      <c r="V21" s="360">
        <v>0</v>
      </c>
      <c r="W21" s="360"/>
      <c r="X21" s="360"/>
      <c r="Y21" s="360"/>
      <c r="Z21" s="406"/>
    </row>
    <row r="22" spans="1:26" ht="19.75" customHeight="1">
      <c r="A22" s="371" t="s">
        <v>191</v>
      </c>
      <c r="B22" s="359"/>
      <c r="C22" s="359"/>
      <c r="D22" s="359"/>
      <c r="E22" s="360" t="s">
        <v>176</v>
      </c>
      <c r="F22" s="360"/>
      <c r="G22" s="360"/>
      <c r="H22" s="360"/>
      <c r="I22" s="360"/>
      <c r="J22" s="360"/>
      <c r="K22" s="360">
        <f>SUM(K13:O21)</f>
        <v>36900000</v>
      </c>
      <c r="L22" s="360"/>
      <c r="M22" s="360"/>
      <c r="N22" s="360"/>
      <c r="O22" s="360"/>
      <c r="P22" s="360" t="s">
        <v>176</v>
      </c>
      <c r="Q22" s="360"/>
      <c r="R22" s="360"/>
      <c r="S22" s="360"/>
      <c r="T22" s="360"/>
      <c r="U22" s="360"/>
      <c r="V22" s="360">
        <f>SUM(V12:Z21)</f>
        <v>32300000</v>
      </c>
      <c r="W22" s="360"/>
      <c r="X22" s="360"/>
      <c r="Y22" s="360"/>
      <c r="Z22" s="406"/>
    </row>
    <row r="23" spans="1:26" ht="19.75" customHeight="1">
      <c r="A23" s="371" t="s">
        <v>193</v>
      </c>
      <c r="B23" s="359"/>
      <c r="C23" s="359"/>
      <c r="D23" s="359"/>
      <c r="E23" s="360" t="s">
        <v>176</v>
      </c>
      <c r="F23" s="360"/>
      <c r="G23" s="360"/>
      <c r="H23" s="360"/>
      <c r="I23" s="360"/>
      <c r="J23" s="360"/>
      <c r="K23" s="360">
        <f>SUM(K22+K11)</f>
        <v>131350000</v>
      </c>
      <c r="L23" s="360"/>
      <c r="M23" s="360"/>
      <c r="N23" s="360"/>
      <c r="O23" s="360"/>
      <c r="P23" s="360" t="s">
        <v>176</v>
      </c>
      <c r="Q23" s="360"/>
      <c r="R23" s="360"/>
      <c r="S23" s="360"/>
      <c r="T23" s="360"/>
      <c r="U23" s="360"/>
      <c r="V23" s="360">
        <f>SUM(V22+V11)</f>
        <v>127700000</v>
      </c>
      <c r="W23" s="360"/>
      <c r="X23" s="360"/>
      <c r="Y23" s="360"/>
      <c r="Z23" s="406"/>
    </row>
    <row r="24" spans="1:26" ht="19.75" customHeight="1">
      <c r="A24" s="374" t="s">
        <v>198</v>
      </c>
      <c r="B24" s="375"/>
      <c r="C24" s="375"/>
      <c r="D24" s="375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69"/>
      <c r="U24" s="369"/>
      <c r="V24" s="377">
        <f>K23-V23</f>
        <v>3650000</v>
      </c>
      <c r="W24" s="377"/>
      <c r="X24" s="377"/>
      <c r="Y24" s="377"/>
      <c r="Z24" s="378"/>
    </row>
    <row r="25" spans="1:26" ht="19.75" customHeight="1" thickBot="1">
      <c r="A25" s="396" t="s">
        <v>179</v>
      </c>
      <c r="B25" s="396"/>
      <c r="C25" s="396"/>
      <c r="D25" s="396"/>
      <c r="E25" s="49"/>
      <c r="F25" s="49"/>
      <c r="G25" s="49"/>
      <c r="H25" s="49"/>
      <c r="I25" s="49"/>
      <c r="J25" s="49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1"/>
      <c r="X25" s="51"/>
      <c r="Y25" s="51"/>
      <c r="Z25" s="51"/>
    </row>
    <row r="26" spans="1:26" ht="19.75" customHeight="1" thickTop="1">
      <c r="A26" s="379"/>
      <c r="B26" s="379"/>
      <c r="C26" s="379"/>
      <c r="D26" s="379"/>
      <c r="E26" s="379"/>
      <c r="F26" s="379"/>
      <c r="G26" s="379"/>
      <c r="H26" s="379"/>
      <c r="I26" s="379"/>
      <c r="J26" s="379"/>
      <c r="K26" s="379"/>
      <c r="L26" s="379"/>
      <c r="M26" s="379"/>
      <c r="N26" s="379"/>
      <c r="O26" s="379"/>
      <c r="P26" s="379"/>
      <c r="Q26" s="379"/>
      <c r="R26" s="379"/>
      <c r="S26" s="379"/>
      <c r="T26" s="379"/>
      <c r="U26" s="379"/>
      <c r="V26" s="379"/>
      <c r="W26" s="379"/>
      <c r="X26" s="379"/>
      <c r="Y26" s="379"/>
      <c r="Z26" s="379"/>
    </row>
    <row r="27" spans="1:26" ht="19.75" customHeight="1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0"/>
      <c r="M27" s="380"/>
      <c r="N27" s="380"/>
      <c r="O27" s="380"/>
      <c r="P27" s="380"/>
      <c r="Q27" s="380"/>
      <c r="R27" s="380"/>
      <c r="S27" s="380"/>
      <c r="T27" s="380"/>
      <c r="U27" s="380"/>
      <c r="V27" s="380"/>
      <c r="W27" s="380"/>
      <c r="X27" s="380"/>
      <c r="Y27" s="380"/>
      <c r="Z27" s="380"/>
    </row>
    <row r="28" spans="1:26" ht="19.75" customHeight="1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0"/>
      <c r="M28" s="380"/>
      <c r="N28" s="380"/>
      <c r="O28" s="380"/>
      <c r="P28" s="380"/>
      <c r="Q28" s="380"/>
      <c r="R28" s="380"/>
      <c r="S28" s="380"/>
      <c r="T28" s="380"/>
      <c r="U28" s="380"/>
      <c r="V28" s="380"/>
      <c r="W28" s="380"/>
      <c r="X28" s="380"/>
      <c r="Y28" s="380"/>
      <c r="Z28" s="380"/>
    </row>
    <row r="29" spans="1:26" ht="19.75" customHeight="1">
      <c r="A29" s="381"/>
      <c r="B29" s="381"/>
      <c r="C29" s="381"/>
      <c r="D29" s="381"/>
      <c r="E29" s="381"/>
      <c r="F29" s="381"/>
      <c r="G29" s="381"/>
      <c r="H29" s="381"/>
      <c r="I29" s="381"/>
      <c r="J29" s="381"/>
      <c r="K29" s="381"/>
      <c r="L29" s="381"/>
      <c r="M29" s="381"/>
      <c r="N29" s="381"/>
      <c r="O29" s="381"/>
      <c r="P29" s="381"/>
      <c r="Q29" s="381"/>
      <c r="R29" s="381"/>
      <c r="S29" s="381"/>
      <c r="T29" s="381"/>
      <c r="U29" s="381"/>
      <c r="V29" s="381"/>
      <c r="W29" s="381"/>
      <c r="X29" s="381"/>
      <c r="Y29" s="381"/>
      <c r="Z29" s="381"/>
    </row>
    <row r="30" spans="1:26" ht="19.75" customHeight="1"/>
    <row r="31" spans="1:26" ht="19.75" customHeight="1"/>
    <row r="32" spans="1:26" ht="19.75" customHeight="1"/>
    <row r="33" ht="19.75" customHeight="1"/>
    <row r="34" ht="19.75" customHeight="1"/>
    <row r="35" ht="19.75" customHeight="1"/>
    <row r="36" ht="19.75" customHeight="1"/>
    <row r="37" ht="19.75" customHeight="1"/>
    <row r="38" ht="19.75" customHeight="1"/>
    <row r="39" ht="19.75" customHeight="1"/>
    <row r="40" ht="19.75" customHeight="1"/>
    <row r="41" ht="19.75" customHeight="1"/>
    <row r="42" ht="19.75" customHeight="1"/>
    <row r="43" ht="19.7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4.5" customHeight="1"/>
    <row r="351" ht="14.5" customHeight="1"/>
    <row r="352" ht="14.5" customHeight="1"/>
    <row r="353" ht="14.5" customHeight="1"/>
    <row r="354" ht="14.5" customHeight="1"/>
    <row r="355" ht="14.5" customHeight="1"/>
    <row r="356" ht="14.5" customHeight="1"/>
    <row r="357" ht="14.5" customHeight="1"/>
    <row r="358" ht="14.5" customHeight="1"/>
    <row r="359" ht="14.5" customHeight="1"/>
    <row r="360" ht="14.5" customHeight="1"/>
    <row r="361" ht="14.5" customHeight="1"/>
    <row r="362" ht="14.5" customHeight="1"/>
    <row r="363" ht="14.5" customHeight="1"/>
    <row r="364" ht="14.5" customHeight="1"/>
    <row r="365" ht="14.5" customHeight="1"/>
    <row r="366" ht="14.5" customHeight="1"/>
    <row r="367" ht="14.5" customHeight="1"/>
    <row r="368" ht="14.5" customHeight="1"/>
    <row r="369" ht="14.5" customHeight="1"/>
    <row r="370" ht="14.5" customHeight="1"/>
    <row r="371" ht="14.5" customHeight="1"/>
    <row r="372" ht="14.5" customHeight="1"/>
    <row r="373" ht="14.5" customHeight="1"/>
    <row r="374" ht="14.5" customHeight="1"/>
    <row r="375" ht="14.5" customHeight="1"/>
    <row r="376" ht="14.5" customHeight="1"/>
    <row r="377" ht="14.5" customHeight="1"/>
    <row r="378" ht="14.5" customHeight="1"/>
    <row r="379" ht="14.5" customHeight="1"/>
    <row r="380" ht="14.5" customHeight="1"/>
    <row r="381" ht="14.5" customHeight="1"/>
    <row r="382" ht="14.5" customHeight="1"/>
    <row r="383" ht="14.5" customHeight="1"/>
    <row r="384" ht="14.5" customHeight="1"/>
    <row r="385" ht="14.5" customHeight="1"/>
    <row r="386" ht="14.5" customHeight="1"/>
    <row r="387" ht="14.5" customHeight="1"/>
    <row r="388" ht="14.5" customHeight="1"/>
    <row r="389" ht="14.5" customHeight="1"/>
    <row r="390" ht="14.5" customHeight="1"/>
    <row r="391" ht="14.5" customHeight="1"/>
    <row r="392" ht="14.5" customHeight="1"/>
    <row r="393" ht="14.5" customHeight="1"/>
    <row r="394" ht="14.5" customHeight="1"/>
    <row r="395" ht="14.5" customHeight="1"/>
    <row r="396" ht="14.5" customHeight="1"/>
    <row r="397" ht="14.5" customHeight="1"/>
    <row r="398" ht="14.5" customHeight="1"/>
    <row r="399" ht="14.5" customHeight="1"/>
    <row r="400" ht="14.5" customHeight="1"/>
    <row r="401" ht="14.5" customHeight="1"/>
    <row r="402" ht="14.5" customHeight="1"/>
    <row r="403" ht="14.5" customHeight="1"/>
    <row r="404" ht="14.5" customHeight="1"/>
    <row r="405" ht="14.5" customHeight="1"/>
    <row r="406" ht="14.5" customHeight="1"/>
    <row r="407" ht="14.5" customHeight="1"/>
    <row r="408" ht="14.5" customHeight="1"/>
    <row r="409" ht="14.5" customHeight="1"/>
    <row r="410" ht="14.5" customHeight="1"/>
    <row r="411" ht="14.5" customHeight="1"/>
    <row r="412" ht="14.5" customHeight="1"/>
    <row r="413" ht="14.5" customHeight="1"/>
    <row r="414" ht="14.5" customHeight="1"/>
    <row r="415" ht="14.5" customHeight="1"/>
    <row r="416" ht="14.5" customHeight="1"/>
    <row r="417" ht="14.5" customHeight="1"/>
    <row r="418" ht="14.5" customHeight="1"/>
    <row r="419" ht="14.5" customHeight="1"/>
    <row r="420" ht="14.5" customHeight="1"/>
    <row r="421" ht="14.5" customHeight="1"/>
    <row r="422" ht="14.5" customHeight="1"/>
    <row r="423" ht="14.5" customHeight="1"/>
    <row r="424" ht="14.5" customHeight="1"/>
    <row r="425" ht="14.5" customHeight="1"/>
    <row r="426" ht="14.5" customHeight="1"/>
    <row r="427" ht="14.5" customHeight="1"/>
    <row r="428" ht="14.5" customHeight="1"/>
    <row r="429" ht="14.5" customHeight="1"/>
    <row r="430" ht="14.5" customHeight="1"/>
    <row r="431" ht="14.5" customHeight="1"/>
    <row r="432" ht="14.5" customHeight="1"/>
    <row r="433" ht="14.5" customHeight="1"/>
    <row r="434" ht="14.5" customHeight="1"/>
    <row r="435" ht="14.5" customHeight="1"/>
    <row r="436" ht="14.5" customHeight="1"/>
    <row r="437" ht="14.5" customHeight="1"/>
    <row r="438" ht="14.5" customHeight="1"/>
    <row r="439" ht="14.5" customHeight="1"/>
    <row r="440" ht="14.5" customHeight="1"/>
    <row r="441" ht="14.5" customHeight="1"/>
    <row r="442" ht="14.5" customHeight="1"/>
    <row r="443" ht="14.5" customHeight="1"/>
    <row r="444" ht="14.5" customHeight="1"/>
    <row r="445" ht="14.5" customHeight="1"/>
    <row r="446" ht="14.5" customHeight="1"/>
    <row r="447" ht="14.5" customHeight="1"/>
    <row r="448" ht="14.5" customHeight="1"/>
    <row r="449" ht="14.5" customHeight="1"/>
    <row r="450" ht="14.5" customHeight="1"/>
    <row r="451" ht="14.5" customHeight="1"/>
    <row r="452" ht="14.5" customHeight="1"/>
    <row r="453" ht="14.5" customHeight="1"/>
    <row r="454" ht="14.5" customHeight="1"/>
    <row r="455" ht="14.5" customHeight="1"/>
    <row r="456" ht="14.5" customHeight="1"/>
    <row r="457" ht="14.5" customHeight="1"/>
    <row r="458" ht="14.5" customHeight="1"/>
    <row r="459" ht="14.5" customHeight="1"/>
    <row r="460" ht="14.5" customHeight="1"/>
    <row r="461" ht="14.5" customHeight="1"/>
    <row r="462" ht="14.5" customHeight="1"/>
    <row r="463" ht="14.5" customHeight="1"/>
    <row r="464" ht="14.5" customHeight="1"/>
    <row r="465" ht="14.5" customHeight="1"/>
  </sheetData>
  <mergeCells count="91">
    <mergeCell ref="A6:D6"/>
    <mergeCell ref="A7:D7"/>
    <mergeCell ref="K23:O23"/>
    <mergeCell ref="P23:U23"/>
    <mergeCell ref="V23:Z23"/>
    <mergeCell ref="K19:O19"/>
    <mergeCell ref="P19:U19"/>
    <mergeCell ref="V19:Z19"/>
    <mergeCell ref="K22:O22"/>
    <mergeCell ref="P22:U22"/>
    <mergeCell ref="V22:Z22"/>
    <mergeCell ref="K21:O21"/>
    <mergeCell ref="P21:U21"/>
    <mergeCell ref="V21:Z21"/>
    <mergeCell ref="K20:O20"/>
    <mergeCell ref="K14:O14"/>
    <mergeCell ref="P20:U20"/>
    <mergeCell ref="V20:Z20"/>
    <mergeCell ref="K15:O15"/>
    <mergeCell ref="P15:U15"/>
    <mergeCell ref="V15:Z15"/>
    <mergeCell ref="K17:O17"/>
    <mergeCell ref="P17:U17"/>
    <mergeCell ref="V17:Z17"/>
    <mergeCell ref="A12:D12"/>
    <mergeCell ref="E12:J12"/>
    <mergeCell ref="K12:O12"/>
    <mergeCell ref="P12:U12"/>
    <mergeCell ref="V12:Z12"/>
    <mergeCell ref="P13:U13"/>
    <mergeCell ref="V13:Z13"/>
    <mergeCell ref="A16:D16"/>
    <mergeCell ref="E16:J16"/>
    <mergeCell ref="K16:O16"/>
    <mergeCell ref="P16:U16"/>
    <mergeCell ref="V16:Z16"/>
    <mergeCell ref="P14:U14"/>
    <mergeCell ref="V14:Z14"/>
    <mergeCell ref="P10:U10"/>
    <mergeCell ref="V10:Z10"/>
    <mergeCell ref="K11:O11"/>
    <mergeCell ref="A23:D23"/>
    <mergeCell ref="E23:J23"/>
    <mergeCell ref="A19:D19"/>
    <mergeCell ref="E19:J19"/>
    <mergeCell ref="A22:D22"/>
    <mergeCell ref="E22:J22"/>
    <mergeCell ref="A21:D21"/>
    <mergeCell ref="E21:J21"/>
    <mergeCell ref="A20:D20"/>
    <mergeCell ref="E20:J20"/>
    <mergeCell ref="P11:U11"/>
    <mergeCell ref="V11:Z11"/>
    <mergeCell ref="K13:O13"/>
    <mergeCell ref="V24:Z24"/>
    <mergeCell ref="A26:Z29"/>
    <mergeCell ref="E5:M5"/>
    <mergeCell ref="O5:P7"/>
    <mergeCell ref="Q5:R5"/>
    <mergeCell ref="S5:Z5"/>
    <mergeCell ref="S6:Z6"/>
    <mergeCell ref="E7:M7"/>
    <mergeCell ref="Q7:R7"/>
    <mergeCell ref="S7:Z7"/>
    <mergeCell ref="A10:D10"/>
    <mergeCell ref="E10:J10"/>
    <mergeCell ref="A11:D11"/>
    <mergeCell ref="E11:J11"/>
    <mergeCell ref="A25:D25"/>
    <mergeCell ref="A15:D15"/>
    <mergeCell ref="A2:F3"/>
    <mergeCell ref="E6:M6"/>
    <mergeCell ref="Q6:R6"/>
    <mergeCell ref="A5:D5"/>
    <mergeCell ref="K24:O24"/>
    <mergeCell ref="P24:U24"/>
    <mergeCell ref="E15:J15"/>
    <mergeCell ref="A17:D17"/>
    <mergeCell ref="E17:J17"/>
    <mergeCell ref="A13:D13"/>
    <mergeCell ref="E13:J13"/>
    <mergeCell ref="A14:D14"/>
    <mergeCell ref="E14:J14"/>
    <mergeCell ref="A24:D24"/>
    <mergeCell ref="E24:J24"/>
    <mergeCell ref="K10:O10"/>
    <mergeCell ref="A18:D18"/>
    <mergeCell ref="E18:J18"/>
    <mergeCell ref="K18:O18"/>
    <mergeCell ref="P18:U18"/>
    <mergeCell ref="V18:Z18"/>
  </mergeCells>
  <phoneticPr fontId="1" type="noConversion"/>
  <hyperlinks>
    <hyperlink ref="S7" r:id="rId1" xr:uid="{2FAFA1A5-4D0D-41AF-8D71-8E6A4E66AEEC}"/>
  </hyperlinks>
  <printOptions horizontalCentered="1"/>
  <pageMargins left="0.47244094488188981" right="0.47244094488188981" top="0.15748031496062992" bottom="0.19685039370078741" header="0.31496062992125984" footer="0.31496062992125984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498-A3BB-4F27-B681-C081608BB9FE}">
  <sheetPr>
    <pageSetUpPr fitToPage="1"/>
  </sheetPr>
  <dimension ref="A1:F20"/>
  <sheetViews>
    <sheetView view="pageBreakPreview" zoomScale="115" zoomScaleNormal="100" zoomScaleSheetLayoutView="115" workbookViewId="0">
      <selection activeCell="E10" sqref="E10"/>
    </sheetView>
  </sheetViews>
  <sheetFormatPr defaultRowHeight="17"/>
  <cols>
    <col min="1" max="1" width="14.58203125" bestFit="1" customWidth="1"/>
    <col min="2" max="5" width="14.75" customWidth="1"/>
    <col min="6" max="6" width="10.33203125" bestFit="1" customWidth="1"/>
  </cols>
  <sheetData>
    <row r="1" spans="1:6" ht="21">
      <c r="A1" s="412" t="s">
        <v>199</v>
      </c>
      <c r="B1" s="412"/>
      <c r="C1" s="412"/>
      <c r="D1" s="412"/>
      <c r="E1" s="412"/>
      <c r="F1" s="412"/>
    </row>
    <row r="2" spans="1:6" ht="21">
      <c r="A2" s="412"/>
      <c r="B2" s="412"/>
      <c r="C2" s="412"/>
      <c r="D2" s="412"/>
      <c r="E2" s="412"/>
      <c r="F2" s="412"/>
    </row>
    <row r="3" spans="1:6" ht="17.5">
      <c r="A3" s="413" t="str">
        <f>'견적서 보고용'!R1</f>
        <v>이희웅 대표님</v>
      </c>
      <c r="B3" s="413"/>
      <c r="C3" s="420" t="str">
        <f ca="1">"작성일 : " &amp; TEXT(TODAY(), "yyyy-mm-dd")</f>
        <v>작성일 : 2026-08-17</v>
      </c>
      <c r="D3" s="420"/>
      <c r="E3" s="420"/>
      <c r="F3" s="420"/>
    </row>
    <row r="4" spans="1:6" ht="35.15" customHeight="1">
      <c r="A4" s="414" t="s">
        <v>200</v>
      </c>
      <c r="B4" s="415" t="str">
        <f>'견적서 보고용'!D2</f>
        <v xml:space="preserve"> 팰리세이드 (H) 2.5 2WD 프레스티지 9인승</v>
      </c>
      <c r="C4" s="416"/>
      <c r="D4" s="416"/>
      <c r="E4" s="417"/>
      <c r="F4" s="418" t="s">
        <v>121</v>
      </c>
    </row>
    <row r="5" spans="1:6" ht="69" customHeight="1">
      <c r="A5" s="414"/>
      <c r="B5" s="78" t="str">
        <f>"렌트 "&amp;B12&amp;"개월"&amp;CHAR(10)&amp;
"보증금 "&amp;TEXT(B7/B6,"0%")&amp;CHAR(10)&amp;
"선수금 "&amp;TEXT(B8/B6,"0%")&amp;CHAR(10)&amp;
"잔존가치 "&amp;TEXT(B9/B6,"0%")</f>
        <v>렌트 48개월
보증금 30%
선수금 0%
잔존가치 55%</v>
      </c>
      <c r="C5" s="78" t="str">
        <f>"렌트 "&amp;C12&amp;"개월"&amp;CHAR(10)&amp;
"보증금 "&amp;TEXT(C7/C6,"0%")&amp;CHAR(10)&amp;
"선수금 "&amp;TEXT(C8/C6,"0%")&amp;CHAR(10)&amp;
"잔존가치 "&amp;TEXT(C9/C6,"0%")</f>
        <v>렌트 48개월
보증금 0%
선수금 0%
잔존가치 0%</v>
      </c>
      <c r="D5" s="78" t="str">
        <f>"렌트 "&amp;D12&amp;"개월"&amp;CHAR(10)&amp;
"보증금 "&amp;TEXT(D7/D6,"0%")&amp;CHAR(10)&amp;
"선수금 "&amp;TEXT(D8/D6,"0%")&amp;CHAR(10)&amp;
"잔존가치 "&amp;TEXT(D9/D6,"0%")</f>
        <v>렌트 48개월
보증금 30%
선수금 0%
잔존가치 60%</v>
      </c>
      <c r="E5" s="78" t="str">
        <f>"렌트 "&amp;E12&amp;"개월"&amp;CHAR(10)&amp;
"보증금 "&amp;TEXT(E7/E6,"0%")&amp;CHAR(10)&amp;
"선수금 "&amp;TEXT(E8/E6,"0%")&amp;CHAR(10)&amp;
"잔존가치 "&amp;TEXT(E9/E6,"0%")</f>
        <v>렌트 48개월
보증금 30%
선수금 0%
잔존가치 55%</v>
      </c>
      <c r="F5" s="419"/>
    </row>
    <row r="6" spans="1:6" ht="35.15" customHeight="1">
      <c r="A6" s="79" t="s">
        <v>21</v>
      </c>
      <c r="B6" s="80">
        <f>'견적서 보고용'!E7</f>
        <v>56680000</v>
      </c>
      <c r="C6" s="80">
        <f>'견적서 보고용'!J7</f>
        <v>56680000</v>
      </c>
      <c r="D6" s="80">
        <f>'견적서 보고용'!O7</f>
        <v>56680000</v>
      </c>
      <c r="E6" s="80">
        <f>'견적서 보고용'!T7</f>
        <v>56680000</v>
      </c>
      <c r="F6" s="80"/>
    </row>
    <row r="7" spans="1:6" ht="35.15" customHeight="1">
      <c r="A7" s="79" t="s">
        <v>22</v>
      </c>
      <c r="B7" s="80">
        <f>'견적서 보고용'!E38</f>
        <v>17004000</v>
      </c>
      <c r="C7" s="80">
        <f>'견적서 보고용'!J38</f>
        <v>0</v>
      </c>
      <c r="D7" s="80">
        <f>'견적서 보고용'!O38</f>
        <v>17004000</v>
      </c>
      <c r="E7" s="80">
        <f>'견적서 보고용'!T38</f>
        <v>17004000</v>
      </c>
      <c r="F7" s="80"/>
    </row>
    <row r="8" spans="1:6" ht="35.15" customHeight="1">
      <c r="A8" s="79" t="s">
        <v>23</v>
      </c>
      <c r="B8" s="80">
        <f>'견적서 보고용'!E40</f>
        <v>0</v>
      </c>
      <c r="C8" s="80">
        <f>'견적서 보고용'!J40</f>
        <v>0</v>
      </c>
      <c r="D8" s="80">
        <f>'견적서 보고용'!O40</f>
        <v>0</v>
      </c>
      <c r="E8" s="80">
        <f>'견적서 보고용'!T40</f>
        <v>0</v>
      </c>
      <c r="F8" s="80"/>
    </row>
    <row r="9" spans="1:6" ht="35.15" customHeight="1">
      <c r="A9" s="79" t="s">
        <v>126</v>
      </c>
      <c r="B9" s="80">
        <f>'견적서 보고용'!E36</f>
        <v>31174000.000000004</v>
      </c>
      <c r="C9" s="80">
        <f>'견적서 보고용'!J36</f>
        <v>0</v>
      </c>
      <c r="D9" s="80">
        <f>'견적서 보고용'!O36</f>
        <v>34008000</v>
      </c>
      <c r="E9" s="80">
        <f>'견적서 보고용'!T36</f>
        <v>31174000.000000004</v>
      </c>
      <c r="F9" s="80"/>
    </row>
    <row r="10" spans="1:6" ht="35.15" customHeight="1">
      <c r="A10" s="81" t="s">
        <v>201</v>
      </c>
      <c r="B10" s="82">
        <f>B7+B8</f>
        <v>17004000</v>
      </c>
      <c r="C10" s="82">
        <f>C7+C8</f>
        <v>0</v>
      </c>
      <c r="D10" s="82">
        <f>D7+D8</f>
        <v>17004000</v>
      </c>
      <c r="E10" s="82">
        <f>E7+E8</f>
        <v>17004000</v>
      </c>
      <c r="F10" s="82"/>
    </row>
    <row r="11" spans="1:6" ht="35.15" customHeight="1">
      <c r="A11" s="81" t="s">
        <v>202</v>
      </c>
      <c r="B11" s="80">
        <f>'견적서 보고용'!E41</f>
        <v>996000</v>
      </c>
      <c r="C11" s="80">
        <f>'견적서 보고용'!J41</f>
        <v>0</v>
      </c>
      <c r="D11" s="80">
        <f>'견적서 보고용'!O41</f>
        <v>938500</v>
      </c>
      <c r="E11" s="80">
        <f>'견적서 보고용'!T41</f>
        <v>994000</v>
      </c>
      <c r="F11" s="83"/>
    </row>
    <row r="12" spans="1:6" ht="35.15" customHeight="1">
      <c r="A12" s="79" t="s">
        <v>203</v>
      </c>
      <c r="B12" s="80">
        <f>'견적서 보고용'!E32</f>
        <v>48</v>
      </c>
      <c r="C12" s="80">
        <f>'견적서 보고용'!J32</f>
        <v>48</v>
      </c>
      <c r="D12" s="80">
        <f>'견적서 보고용'!O32</f>
        <v>48</v>
      </c>
      <c r="E12" s="80">
        <f>'견적서 보고용'!T32</f>
        <v>48</v>
      </c>
      <c r="F12" s="83"/>
    </row>
    <row r="13" spans="1:6" ht="35.15" customHeight="1">
      <c r="A13" s="79" t="s">
        <v>204</v>
      </c>
      <c r="B13" s="84">
        <f t="shared" ref="B13:E13" si="0">B11*B12</f>
        <v>47808000</v>
      </c>
      <c r="C13" s="84">
        <f t="shared" si="0"/>
        <v>0</v>
      </c>
      <c r="D13" s="84">
        <f t="shared" si="0"/>
        <v>45048000</v>
      </c>
      <c r="E13" s="84">
        <f t="shared" si="0"/>
        <v>47712000</v>
      </c>
      <c r="F13" s="84"/>
    </row>
    <row r="14" spans="1:6" ht="35.15" customHeight="1">
      <c r="A14" s="79" t="s">
        <v>205</v>
      </c>
      <c r="B14" s="84">
        <f>B9-B7</f>
        <v>14170000.000000004</v>
      </c>
      <c r="C14" s="84">
        <f>C9-C7</f>
        <v>0</v>
      </c>
      <c r="D14" s="84">
        <f>D9-D7</f>
        <v>17004000</v>
      </c>
      <c r="E14" s="84">
        <f>E9-E7</f>
        <v>14170000.000000004</v>
      </c>
      <c r="F14" s="84"/>
    </row>
    <row r="15" spans="1:6" ht="35.15" customHeight="1">
      <c r="A15" s="79" t="s">
        <v>206</v>
      </c>
      <c r="B15" s="84">
        <v>0</v>
      </c>
      <c r="C15" s="84">
        <v>0</v>
      </c>
      <c r="D15" s="84">
        <v>0</v>
      </c>
      <c r="E15" s="84">
        <v>0</v>
      </c>
      <c r="F15" s="84"/>
    </row>
    <row r="16" spans="1:6" ht="35.15" customHeight="1">
      <c r="A16" s="79" t="s">
        <v>207</v>
      </c>
      <c r="B16" s="84">
        <v>0</v>
      </c>
      <c r="C16" s="84">
        <v>0</v>
      </c>
      <c r="D16" s="84">
        <v>0</v>
      </c>
      <c r="E16" s="84">
        <v>0</v>
      </c>
      <c r="F16" s="84"/>
    </row>
    <row r="17" spans="1:6" ht="35.15" customHeight="1">
      <c r="A17" s="85" t="s">
        <v>115</v>
      </c>
      <c r="B17" s="86">
        <f>B10+B13+B14+B15+B16</f>
        <v>78982000</v>
      </c>
      <c r="C17" s="86">
        <f>C10+C13+C14+C15+C16</f>
        <v>0</v>
      </c>
      <c r="D17" s="86">
        <f>D10+D13+D14+D15+D16</f>
        <v>79056000</v>
      </c>
      <c r="E17" s="86">
        <f>E10+E13+E14+E15+E16</f>
        <v>78886000</v>
      </c>
      <c r="F17" s="86"/>
    </row>
    <row r="18" spans="1:6" ht="35.15" customHeight="1">
      <c r="A18" s="87" t="s">
        <v>208</v>
      </c>
      <c r="B18" s="88"/>
      <c r="C18" s="88">
        <f>$B$17-C17</f>
        <v>78982000</v>
      </c>
      <c r="D18" s="88">
        <f>$B$17-D17</f>
        <v>-74000</v>
      </c>
      <c r="E18" s="88">
        <f>$B$17-E17</f>
        <v>96000</v>
      </c>
      <c r="F18" s="88"/>
    </row>
    <row r="19" spans="1:6" ht="35.15" customHeight="1">
      <c r="A19" s="81" t="s">
        <v>209</v>
      </c>
      <c r="B19" s="80" t="str">
        <f>TEXT('견적서 보고용'!E34, "00,000") &amp; "km"</f>
        <v>30,000km</v>
      </c>
      <c r="C19" s="80" t="str">
        <f>TEXT('견적서 보고용'!J34, "00,000") &amp; "KM"</f>
        <v>20,000KM</v>
      </c>
      <c r="D19" s="80" t="str">
        <f>TEXT('견적서 보고용'!O34, "00,000") &amp; "KM"</f>
        <v>20,000KM</v>
      </c>
      <c r="E19" s="80" t="str">
        <f>TEXT('견적서 보고용'!T34, "00,000") &amp; "KM"</f>
        <v>20,000KM</v>
      </c>
      <c r="F19" s="89"/>
    </row>
    <row r="20" spans="1:6" ht="35.15" customHeight="1">
      <c r="A20" s="81" t="s">
        <v>116</v>
      </c>
      <c r="B20" s="80" t="str">
        <f>'견적서 보고용'!E29</f>
        <v>가입</v>
      </c>
      <c r="C20" s="80" t="str">
        <f>'견적서 보고용'!J29</f>
        <v>가입</v>
      </c>
      <c r="D20" s="80" t="str">
        <f>'견적서 보고용'!O29</f>
        <v>가입</v>
      </c>
      <c r="E20" s="80" t="str">
        <f>'견적서 보고용'!T29</f>
        <v>가입</v>
      </c>
      <c r="F20" s="89"/>
    </row>
  </sheetData>
  <mergeCells count="7">
    <mergeCell ref="A1:F1"/>
    <mergeCell ref="A2:F2"/>
    <mergeCell ref="A3:B3"/>
    <mergeCell ref="A4:A5"/>
    <mergeCell ref="B4:E4"/>
    <mergeCell ref="F4:F5"/>
    <mergeCell ref="C3:F3"/>
  </mergeCells>
  <phoneticPr fontId="1" type="noConversion"/>
  <pageMargins left="0.6692913385826772" right="0.31496062992125984" top="0.35433070866141736" bottom="0.35433070866141736" header="0.31496062992125984" footer="0.31496062992125984"/>
  <pageSetup paperSize="9" fitToHeight="0"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01C4-3DFC-46CC-B0D9-3191AA41D19C}">
  <dimension ref="B2:L15"/>
  <sheetViews>
    <sheetView workbookViewId="0">
      <selection activeCell="C5" sqref="C5"/>
    </sheetView>
  </sheetViews>
  <sheetFormatPr defaultRowHeight="17"/>
  <cols>
    <col min="2" max="2" width="11.33203125" bestFit="1" customWidth="1"/>
    <col min="3" max="3" width="31" bestFit="1" customWidth="1"/>
    <col min="5" max="5" width="12.08203125" bestFit="1" customWidth="1"/>
    <col min="6" max="6" width="31" bestFit="1" customWidth="1"/>
    <col min="8" max="8" width="12.08203125" bestFit="1" customWidth="1"/>
    <col min="9" max="9" width="31" bestFit="1" customWidth="1"/>
    <col min="11" max="11" width="12.08203125" bestFit="1" customWidth="1"/>
    <col min="12" max="12" width="31" bestFit="1" customWidth="1"/>
  </cols>
  <sheetData>
    <row r="2" spans="2:12">
      <c r="B2" s="69"/>
    </row>
    <row r="3" spans="2:12">
      <c r="B3" s="421" t="str">
        <f>CONCATENATE(C6,C8)</f>
        <v xml:space="preserve"> 팰리세이드 (H) 2.5 2WD 프레스티지 9인승[외장] : 화이트, [내장] : 블랙</v>
      </c>
      <c r="C3" s="421"/>
      <c r="E3" s="421" t="str">
        <f>CONCATENATE(F6,F8)</f>
        <v xml:space="preserve"> 팰리세이드 (H) 2.5 2WD 프레스티지 9인승[외장] : 화이트, [내장] : 블랙</v>
      </c>
      <c r="F3" s="421"/>
      <c r="H3" s="421" t="str">
        <f>CONCATENATE(I6,I8)</f>
        <v xml:space="preserve"> 팰리세이드 (H) 2.5 2WD 프레스티지 9인승[외장] : 화이트, [내장] : 블랙</v>
      </c>
      <c r="I3" s="421"/>
      <c r="K3" s="421" t="str">
        <f>CONCATENATE(L6,L8)</f>
        <v xml:space="preserve"> 팰리세이드 (H) 2.5 2WD 프레스티지 9인승[외장] : 화이트, [내장] : 블랙</v>
      </c>
      <c r="L3" s="421"/>
    </row>
    <row r="5" spans="2:12">
      <c r="B5" s="70" t="s">
        <v>152</v>
      </c>
      <c r="C5" s="71" t="str">
        <f>고객용!$E8</f>
        <v>1개월</v>
      </c>
      <c r="E5" s="70" t="s">
        <v>152</v>
      </c>
      <c r="F5" s="71" t="str">
        <f>고객용!$E8</f>
        <v>1개월</v>
      </c>
      <c r="H5" s="70" t="s">
        <v>152</v>
      </c>
      <c r="I5" s="71" t="str">
        <f>고객용!$E8</f>
        <v>1개월</v>
      </c>
      <c r="K5" s="70" t="s">
        <v>152</v>
      </c>
      <c r="L5" s="71" t="str">
        <f>고객용!$E8</f>
        <v>1개월</v>
      </c>
    </row>
    <row r="6" spans="2:12">
      <c r="B6" s="70" t="s">
        <v>153</v>
      </c>
      <c r="C6" s="72" t="str">
        <f>고객용!$B19</f>
        <v xml:space="preserve"> 팰리세이드 (H) 2.5 2WD 프레스티지 9인승</v>
      </c>
      <c r="E6" s="70" t="s">
        <v>153</v>
      </c>
      <c r="F6" s="72" t="str">
        <f>고객용!$B21</f>
        <v xml:space="preserve"> 팰리세이드 (H) 2.5 2WD 프레스티지 9인승</v>
      </c>
      <c r="H6" s="70" t="s">
        <v>153</v>
      </c>
      <c r="I6" s="72" t="str">
        <f>고객용!$B23</f>
        <v xml:space="preserve"> 팰리세이드 (H) 2.5 2WD 프레스티지 9인승</v>
      </c>
      <c r="K6" s="70" t="s">
        <v>153</v>
      </c>
      <c r="L6" s="72" t="str">
        <f>고객용!$B25</f>
        <v xml:space="preserve"> 팰리세이드 (H) 2.5 2WD 프레스티지 9인승</v>
      </c>
    </row>
    <row r="7" spans="2:12">
      <c r="B7" s="70" t="s">
        <v>154</v>
      </c>
      <c r="C7" s="72">
        <f>고객용!$H19</f>
        <v>1</v>
      </c>
      <c r="E7" s="70" t="s">
        <v>154</v>
      </c>
      <c r="F7" s="72">
        <f>고객용!$H21</f>
        <v>1</v>
      </c>
      <c r="H7" s="70" t="s">
        <v>154</v>
      </c>
      <c r="I7" s="72">
        <f>고객용!$H23</f>
        <v>1</v>
      </c>
      <c r="K7" s="70" t="s">
        <v>154</v>
      </c>
      <c r="L7" s="72">
        <f>고객용!$H25</f>
        <v>1</v>
      </c>
    </row>
    <row r="8" spans="2:12">
      <c r="B8" s="70" t="s">
        <v>155</v>
      </c>
      <c r="C8" s="72" t="str">
        <f>고객용!$E9</f>
        <v>[외장] : 화이트, [내장] : 블랙</v>
      </c>
      <c r="E8" s="70" t="s">
        <v>155</v>
      </c>
      <c r="F8" s="72" t="str">
        <f>고객용!$E9</f>
        <v>[외장] : 화이트, [내장] : 블랙</v>
      </c>
      <c r="H8" s="70" t="s">
        <v>155</v>
      </c>
      <c r="I8" s="72" t="str">
        <f>고객용!$E9</f>
        <v>[외장] : 화이트, [내장] : 블랙</v>
      </c>
      <c r="K8" s="70" t="s">
        <v>155</v>
      </c>
      <c r="L8" s="72" t="str">
        <f>고객용!$E9</f>
        <v>[외장] : 화이트, [내장] : 블랙</v>
      </c>
    </row>
    <row r="9" spans="2:12">
      <c r="B9" s="70" t="s">
        <v>156</v>
      </c>
      <c r="C9" s="72" t="str">
        <f>고객용!$E10</f>
        <v>빌트인캠2, 원격스마트 주차보조</v>
      </c>
      <c r="E9" s="70" t="s">
        <v>156</v>
      </c>
      <c r="F9" s="72" t="str">
        <f>고객용!$E10</f>
        <v>빌트인캠2, 원격스마트 주차보조</v>
      </c>
      <c r="H9" s="70" t="s">
        <v>156</v>
      </c>
      <c r="I9" s="72" t="str">
        <f>고객용!$E10</f>
        <v>빌트인캠2, 원격스마트 주차보조</v>
      </c>
      <c r="K9" s="70" t="s">
        <v>156</v>
      </c>
      <c r="L9" s="72" t="str">
        <f>고객용!$E10</f>
        <v>빌트인캠2, 원격스마트 주차보조</v>
      </c>
    </row>
    <row r="10" spans="2:12">
      <c r="B10" s="70" t="s">
        <v>157</v>
      </c>
      <c r="C10" s="73">
        <f>고객용!$L19</f>
        <v>56680000</v>
      </c>
      <c r="E10" s="70" t="s">
        <v>157</v>
      </c>
      <c r="F10" s="73">
        <f>고객용!$L21</f>
        <v>56680000</v>
      </c>
      <c r="H10" s="70" t="s">
        <v>157</v>
      </c>
      <c r="I10" s="73">
        <f>고객용!$L23</f>
        <v>56680000</v>
      </c>
      <c r="K10" s="70" t="s">
        <v>157</v>
      </c>
      <c r="L10" s="73">
        <f>고객용!$L25</f>
        <v>56680000</v>
      </c>
    </row>
    <row r="11" spans="2:12">
      <c r="B11" s="70" t="s">
        <v>162</v>
      </c>
      <c r="C11" s="73">
        <f>고객용!$I19</f>
        <v>48</v>
      </c>
      <c r="E11" s="70" t="s">
        <v>162</v>
      </c>
      <c r="F11" s="73">
        <f>고객용!$I21</f>
        <v>48</v>
      </c>
      <c r="H11" s="70" t="s">
        <v>162</v>
      </c>
      <c r="I11" s="73">
        <f>고객용!$I23</f>
        <v>48</v>
      </c>
      <c r="K11" s="70" t="s">
        <v>162</v>
      </c>
      <c r="L11" s="73">
        <f>고객용!$I25</f>
        <v>48</v>
      </c>
    </row>
    <row r="12" spans="2:12">
      <c r="B12" s="70" t="s">
        <v>159</v>
      </c>
      <c r="C12" s="73">
        <f>고객용!$P19</f>
        <v>17004000</v>
      </c>
      <c r="E12" s="70" t="s">
        <v>159</v>
      </c>
      <c r="F12" s="73">
        <f>고객용!$P21</f>
        <v>0</v>
      </c>
      <c r="H12" s="70" t="s">
        <v>159</v>
      </c>
      <c r="I12" s="73">
        <f>고객용!$P23</f>
        <v>17004000</v>
      </c>
      <c r="K12" s="70" t="s">
        <v>159</v>
      </c>
      <c r="L12" s="73">
        <f>고객용!$P25</f>
        <v>17004000</v>
      </c>
    </row>
    <row r="13" spans="2:12">
      <c r="B13" s="70" t="s">
        <v>163</v>
      </c>
      <c r="C13" s="73">
        <f>고객용!$S19</f>
        <v>0</v>
      </c>
      <c r="E13" s="70" t="s">
        <v>163</v>
      </c>
      <c r="F13" s="73">
        <f>고객용!$S21</f>
        <v>0</v>
      </c>
      <c r="H13" s="70" t="s">
        <v>163</v>
      </c>
      <c r="I13" s="73">
        <f>고객용!$S23</f>
        <v>0</v>
      </c>
      <c r="K13" s="70" t="s">
        <v>163</v>
      </c>
      <c r="L13" s="73">
        <f>고객용!$S25</f>
        <v>0</v>
      </c>
    </row>
    <row r="14" spans="2:12">
      <c r="B14" s="70" t="s">
        <v>160</v>
      </c>
      <c r="C14" s="73">
        <f>고객용!$V19</f>
        <v>31174000.000000004</v>
      </c>
      <c r="E14" s="70" t="s">
        <v>160</v>
      </c>
      <c r="F14" s="73">
        <f>고객용!$V21</f>
        <v>0</v>
      </c>
      <c r="H14" s="70" t="s">
        <v>160</v>
      </c>
      <c r="I14" s="73">
        <f>고객용!$V23</f>
        <v>34008000</v>
      </c>
      <c r="K14" s="70" t="s">
        <v>160</v>
      </c>
      <c r="L14" s="73">
        <f>고객용!$V25</f>
        <v>31174000.000000004</v>
      </c>
    </row>
    <row r="15" spans="2:12">
      <c r="B15" s="70" t="s">
        <v>161</v>
      </c>
      <c r="C15" s="73">
        <f>고객용!$Y19</f>
        <v>996000</v>
      </c>
      <c r="E15" s="70" t="s">
        <v>161</v>
      </c>
      <c r="F15" s="73">
        <f>고객용!$Y21</f>
        <v>0</v>
      </c>
      <c r="H15" s="70" t="s">
        <v>161</v>
      </c>
      <c r="I15" s="73">
        <f>고객용!$Y23</f>
        <v>938500</v>
      </c>
      <c r="K15" s="70" t="s">
        <v>161</v>
      </c>
      <c r="L15" s="73">
        <f>고객용!$Y25</f>
        <v>994000</v>
      </c>
    </row>
  </sheetData>
  <mergeCells count="4">
    <mergeCell ref="B3:C3"/>
    <mergeCell ref="E3:F3"/>
    <mergeCell ref="H3:I3"/>
    <mergeCell ref="K3:L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239A-3ED3-4DE9-9A27-033C2D99BDFF}">
  <dimension ref="A1:AC472"/>
  <sheetViews>
    <sheetView showGridLines="0" view="pageLayout" zoomScale="85" zoomScaleNormal="70" zoomScalePageLayoutView="85" workbookViewId="0">
      <selection activeCell="S10" sqref="S10:Z10"/>
    </sheetView>
  </sheetViews>
  <sheetFormatPr defaultColWidth="8.58203125" defaultRowHeight="11.5"/>
  <cols>
    <col min="1" max="26" width="3.08203125" style="11" customWidth="1"/>
    <col min="27" max="16384" width="8.58203125" style="11"/>
  </cols>
  <sheetData>
    <row r="1" spans="1:26" s="10" customFormat="1"/>
    <row r="2" spans="1:26" ht="13.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5" customHeight="1">
      <c r="A3" s="362" t="s">
        <v>117</v>
      </c>
      <c r="B3" s="362"/>
      <c r="C3" s="362"/>
      <c r="D3" s="362"/>
      <c r="E3" s="362"/>
      <c r="F3" s="362"/>
      <c r="G3" s="10"/>
      <c r="H3" s="10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10"/>
      <c r="U3" s="10"/>
      <c r="V3" s="10"/>
      <c r="W3" s="10"/>
      <c r="X3" s="10"/>
      <c r="Y3" s="10"/>
      <c r="Z3" s="10"/>
    </row>
    <row r="4" spans="1:26" ht="13.5" customHeight="1">
      <c r="A4" s="362"/>
      <c r="B4" s="362"/>
      <c r="C4" s="362"/>
      <c r="D4" s="362"/>
      <c r="E4" s="362"/>
      <c r="F4" s="362"/>
      <c r="G4" s="10"/>
      <c r="H4" s="10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10"/>
      <c r="U4" s="10"/>
      <c r="V4" s="10"/>
      <c r="W4" s="10"/>
      <c r="X4" s="10"/>
      <c r="Y4" s="10"/>
      <c r="Z4" s="10"/>
    </row>
    <row r="5" spans="1:26" ht="8.5" customHeight="1" thickBo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3.5" customHeight="1">
      <c r="A6" s="459" t="s">
        <v>1</v>
      </c>
      <c r="B6" s="460"/>
      <c r="C6" s="460"/>
      <c r="D6" s="460"/>
      <c r="E6" s="461" t="str">
        <f>고객용!E6</f>
        <v>이희웅 대표님</v>
      </c>
      <c r="F6" s="462"/>
      <c r="G6" s="462"/>
      <c r="H6" s="462"/>
      <c r="I6" s="462"/>
      <c r="J6" s="462"/>
      <c r="K6" s="462"/>
      <c r="L6" s="462"/>
      <c r="M6" s="463"/>
      <c r="N6" s="36"/>
      <c r="O6" s="460" t="s">
        <v>2</v>
      </c>
      <c r="P6" s="460"/>
      <c r="Q6" s="460"/>
      <c r="R6" s="460"/>
      <c r="S6" s="464">
        <f ca="1">TODAY()</f>
        <v>46251</v>
      </c>
      <c r="T6" s="462"/>
      <c r="U6" s="462"/>
      <c r="V6" s="462"/>
      <c r="W6" s="462"/>
      <c r="X6" s="462"/>
      <c r="Y6" s="462"/>
      <c r="Z6" s="463"/>
    </row>
    <row r="7" spans="1:26" ht="13.5" customHeight="1">
      <c r="A7" s="457" t="s">
        <v>3</v>
      </c>
      <c r="B7" s="450"/>
      <c r="C7" s="450"/>
      <c r="D7" s="450"/>
      <c r="E7" s="451"/>
      <c r="F7" s="452"/>
      <c r="G7" s="452"/>
      <c r="H7" s="452"/>
      <c r="I7" s="452"/>
      <c r="J7" s="452"/>
      <c r="K7" s="452"/>
      <c r="L7" s="452"/>
      <c r="M7" s="453"/>
      <c r="N7" s="36"/>
      <c r="O7" s="450" t="s">
        <v>4</v>
      </c>
      <c r="P7" s="450"/>
      <c r="Q7" s="450"/>
      <c r="R7" s="450"/>
      <c r="S7" s="451" t="s">
        <v>5</v>
      </c>
      <c r="T7" s="452"/>
      <c r="U7" s="452"/>
      <c r="V7" s="452"/>
      <c r="W7" s="452"/>
      <c r="X7" s="452"/>
      <c r="Y7" s="452"/>
      <c r="Z7" s="453"/>
    </row>
    <row r="8" spans="1:26" ht="13.5" customHeight="1">
      <c r="A8" s="457" t="s">
        <v>170</v>
      </c>
      <c r="B8" s="450"/>
      <c r="C8" s="450"/>
      <c r="D8" s="450"/>
      <c r="E8" s="451" t="s">
        <v>171</v>
      </c>
      <c r="F8" s="452"/>
      <c r="G8" s="452"/>
      <c r="H8" s="452"/>
      <c r="I8" s="452"/>
      <c r="J8" s="452"/>
      <c r="K8" s="452"/>
      <c r="L8" s="452"/>
      <c r="M8" s="453"/>
      <c r="N8" s="36"/>
      <c r="O8" s="450" t="s">
        <v>7</v>
      </c>
      <c r="P8" s="450"/>
      <c r="Q8" s="450"/>
      <c r="R8" s="450"/>
      <c r="S8" s="451" t="s">
        <v>8</v>
      </c>
      <c r="T8" s="452"/>
      <c r="U8" s="452"/>
      <c r="V8" s="452"/>
      <c r="W8" s="452"/>
      <c r="X8" s="452"/>
      <c r="Y8" s="452"/>
      <c r="Z8" s="453"/>
    </row>
    <row r="9" spans="1:26" ht="13.5" customHeight="1">
      <c r="A9" s="457" t="s">
        <v>9</v>
      </c>
      <c r="B9" s="450"/>
      <c r="C9" s="450" t="s">
        <v>10</v>
      </c>
      <c r="D9" s="450"/>
      <c r="E9" s="451"/>
      <c r="F9" s="452"/>
      <c r="G9" s="452"/>
      <c r="H9" s="452"/>
      <c r="I9" s="452"/>
      <c r="J9" s="452"/>
      <c r="K9" s="452"/>
      <c r="L9" s="452"/>
      <c r="M9" s="453"/>
      <c r="N9" s="36"/>
      <c r="O9" s="450" t="s">
        <v>9</v>
      </c>
      <c r="P9" s="450"/>
      <c r="Q9" s="450" t="s">
        <v>10</v>
      </c>
      <c r="R9" s="450"/>
      <c r="S9" s="451" t="s">
        <v>11</v>
      </c>
      <c r="T9" s="452"/>
      <c r="U9" s="452"/>
      <c r="V9" s="452"/>
      <c r="W9" s="452"/>
      <c r="X9" s="452"/>
      <c r="Y9" s="452"/>
      <c r="Z9" s="453"/>
    </row>
    <row r="10" spans="1:26" ht="13.5" customHeight="1">
      <c r="A10" s="457"/>
      <c r="B10" s="450"/>
      <c r="C10" s="450" t="s">
        <v>12</v>
      </c>
      <c r="D10" s="450"/>
      <c r="E10" s="451"/>
      <c r="F10" s="452"/>
      <c r="G10" s="452"/>
      <c r="H10" s="452"/>
      <c r="I10" s="452"/>
      <c r="J10" s="452"/>
      <c r="K10" s="452"/>
      <c r="L10" s="452"/>
      <c r="M10" s="453"/>
      <c r="N10" s="36"/>
      <c r="O10" s="450"/>
      <c r="P10" s="450"/>
      <c r="Q10" s="450" t="s">
        <v>12</v>
      </c>
      <c r="R10" s="450"/>
      <c r="S10" s="451" t="s">
        <v>13</v>
      </c>
      <c r="T10" s="452"/>
      <c r="U10" s="452"/>
      <c r="V10" s="452"/>
      <c r="W10" s="452"/>
      <c r="X10" s="452"/>
      <c r="Y10" s="452"/>
      <c r="Z10" s="453"/>
    </row>
    <row r="11" spans="1:26" ht="13.5" customHeight="1" thickBot="1">
      <c r="A11" s="458"/>
      <c r="B11" s="454"/>
      <c r="C11" s="454" t="s">
        <v>14</v>
      </c>
      <c r="D11" s="454"/>
      <c r="E11" s="455"/>
      <c r="F11" s="338"/>
      <c r="G11" s="338"/>
      <c r="H11" s="338"/>
      <c r="I11" s="338"/>
      <c r="J11" s="338"/>
      <c r="K11" s="338"/>
      <c r="L11" s="338"/>
      <c r="M11" s="456"/>
      <c r="N11" s="36"/>
      <c r="O11" s="454"/>
      <c r="P11" s="454"/>
      <c r="Q11" s="454" t="s">
        <v>14</v>
      </c>
      <c r="R11" s="454"/>
      <c r="S11" s="337" t="s">
        <v>15</v>
      </c>
      <c r="T11" s="338"/>
      <c r="U11" s="338"/>
      <c r="V11" s="338"/>
      <c r="W11" s="338"/>
      <c r="X11" s="338"/>
      <c r="Y11" s="338"/>
      <c r="Z11" s="456"/>
    </row>
    <row r="12" spans="1:26" ht="12" customHeight="1" thickBo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O12" s="37"/>
      <c r="P12" s="37"/>
      <c r="Q12" s="37"/>
      <c r="R12" s="37"/>
      <c r="S12" s="38"/>
      <c r="T12" s="39"/>
      <c r="U12" s="39"/>
      <c r="V12" s="39"/>
      <c r="W12" s="39"/>
      <c r="X12" s="39"/>
      <c r="Y12" s="39"/>
      <c r="Z12" s="39"/>
    </row>
    <row r="13" spans="1:26" ht="19.75" customHeight="1">
      <c r="A13" s="437" t="s">
        <v>131</v>
      </c>
      <c r="B13" s="440" t="s">
        <v>60</v>
      </c>
      <c r="C13" s="440"/>
      <c r="D13" s="441"/>
      <c r="E13" s="442" t="str">
        <f>'견적서 보고용'!D2</f>
        <v xml:space="preserve"> 팰리세이드 (H) 2.5 2WD 프레스티지 9인승</v>
      </c>
      <c r="F13" s="442"/>
      <c r="G13" s="442"/>
      <c r="H13" s="442"/>
      <c r="I13" s="442"/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 spans="1:26" ht="67.5" customHeight="1">
      <c r="A14" s="438"/>
      <c r="B14" s="443" t="s">
        <v>118</v>
      </c>
      <c r="C14" s="443"/>
      <c r="D14" s="444"/>
      <c r="E14" s="445" t="str">
        <f>'견적서 보고용'!N2</f>
        <v>-</v>
      </c>
      <c r="F14" s="446"/>
      <c r="G14" s="446"/>
      <c r="H14" s="446"/>
      <c r="I14" s="446"/>
      <c r="J14" s="446"/>
      <c r="K14" s="446"/>
      <c r="L14" s="446"/>
      <c r="M14" s="446"/>
      <c r="N14" s="446"/>
      <c r="O14" s="446"/>
      <c r="P14" s="446"/>
      <c r="Q14" s="446"/>
      <c r="R14" s="446"/>
      <c r="S14" s="446"/>
      <c r="T14" s="446"/>
      <c r="U14" s="446"/>
      <c r="V14" s="446"/>
      <c r="W14" s="446"/>
      <c r="X14" s="446"/>
      <c r="Y14" s="446"/>
      <c r="Z14" s="446"/>
    </row>
    <row r="15" spans="1:26" ht="19.75" customHeight="1" thickBot="1">
      <c r="A15" s="439"/>
      <c r="B15" s="447" t="s">
        <v>119</v>
      </c>
      <c r="C15" s="447"/>
      <c r="D15" s="448"/>
      <c r="E15" s="449" t="s">
        <v>169</v>
      </c>
      <c r="F15" s="449"/>
      <c r="G15" s="449"/>
      <c r="H15" s="449"/>
      <c r="I15" s="449"/>
      <c r="J15" s="449"/>
      <c r="K15" s="449"/>
      <c r="L15" s="449"/>
      <c r="M15" s="449"/>
      <c r="N15" s="449"/>
      <c r="O15" s="449"/>
      <c r="P15" s="449"/>
      <c r="Q15" s="449"/>
      <c r="R15" s="449"/>
      <c r="S15" s="449"/>
      <c r="T15" s="449"/>
      <c r="U15" s="449"/>
      <c r="V15" s="449"/>
      <c r="W15" s="449"/>
      <c r="X15" s="449"/>
      <c r="Y15" s="449"/>
      <c r="Z15" s="449"/>
    </row>
    <row r="16" spans="1:26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40"/>
      <c r="M16" s="40"/>
      <c r="N16" s="40"/>
      <c r="O16" s="40"/>
      <c r="P16" s="41"/>
      <c r="Q16" s="42"/>
      <c r="R16" s="42"/>
      <c r="S16" s="41"/>
      <c r="T16" s="42"/>
      <c r="U16" s="42"/>
      <c r="V16" s="43"/>
      <c r="W16" s="43"/>
      <c r="X16" s="43"/>
      <c r="Y16" s="44"/>
      <c r="Z16" s="44"/>
    </row>
    <row r="17" spans="1:29" ht="16.5" customHeight="1" thickBot="1">
      <c r="A17" s="45" t="s">
        <v>120</v>
      </c>
      <c r="B17" s="46"/>
      <c r="C17" s="46"/>
      <c r="D17" s="46"/>
      <c r="E17" s="46"/>
      <c r="F17" s="46"/>
      <c r="G17" s="46"/>
      <c r="H17" s="46"/>
      <c r="I17" s="46"/>
      <c r="J17" s="46"/>
      <c r="K17" s="47"/>
      <c r="L17" s="46"/>
      <c r="M17" s="46"/>
      <c r="N17" s="46"/>
      <c r="O17" s="45"/>
      <c r="P17" s="46"/>
      <c r="Q17" s="46"/>
      <c r="R17" s="46"/>
      <c r="S17" s="46"/>
      <c r="T17" s="46"/>
      <c r="U17" s="46"/>
      <c r="V17" s="46"/>
      <c r="W17" s="46"/>
      <c r="X17" s="46"/>
      <c r="Y17" s="47"/>
      <c r="Z17" s="46"/>
    </row>
    <row r="18" spans="1:29" ht="19.5" customHeight="1">
      <c r="A18" s="435" t="s">
        <v>17</v>
      </c>
      <c r="B18" s="435"/>
      <c r="C18" s="435"/>
      <c r="D18" s="435"/>
      <c r="E18" s="428" t="s">
        <v>164</v>
      </c>
      <c r="F18" s="428"/>
      <c r="G18" s="428"/>
      <c r="H18" s="428"/>
      <c r="I18" s="428"/>
      <c r="J18" s="428"/>
      <c r="K18" s="428" t="s">
        <v>6</v>
      </c>
      <c r="L18" s="428"/>
      <c r="M18" s="428"/>
      <c r="N18" s="428"/>
      <c r="O18" s="428"/>
      <c r="P18" s="428"/>
      <c r="Q18" s="428" t="s">
        <v>172</v>
      </c>
      <c r="R18" s="428"/>
      <c r="S18" s="428"/>
      <c r="T18" s="428"/>
      <c r="U18" s="428"/>
      <c r="V18" s="428"/>
      <c r="W18" s="436" t="s">
        <v>121</v>
      </c>
      <c r="X18" s="436"/>
      <c r="Y18" s="436"/>
      <c r="Z18" s="436"/>
    </row>
    <row r="19" spans="1:29" ht="19.75" customHeight="1">
      <c r="A19" s="422" t="s">
        <v>122</v>
      </c>
      <c r="B19" s="422"/>
      <c r="C19" s="422"/>
      <c r="D19" s="422"/>
      <c r="E19" s="423">
        <v>15850000</v>
      </c>
      <c r="F19" s="423"/>
      <c r="G19" s="423"/>
      <c r="H19" s="423"/>
      <c r="I19" s="423"/>
      <c r="J19" s="423"/>
      <c r="K19" s="423">
        <v>15850000</v>
      </c>
      <c r="L19" s="423"/>
      <c r="M19" s="423"/>
      <c r="N19" s="423"/>
      <c r="O19" s="423"/>
      <c r="P19" s="423"/>
      <c r="Q19" s="423">
        <f>15850000</f>
        <v>15850000</v>
      </c>
      <c r="R19" s="423"/>
      <c r="S19" s="423"/>
      <c r="T19" s="423"/>
      <c r="U19" s="423"/>
      <c r="V19" s="423"/>
      <c r="W19" s="423"/>
      <c r="X19" s="423"/>
      <c r="Y19" s="423"/>
      <c r="Z19" s="423"/>
    </row>
    <row r="20" spans="1:29" ht="19.75" customHeight="1">
      <c r="A20" s="422" t="s">
        <v>165</v>
      </c>
      <c r="B20" s="422"/>
      <c r="C20" s="422"/>
      <c r="D20" s="422"/>
      <c r="E20" s="423">
        <v>250000</v>
      </c>
      <c r="F20" s="423"/>
      <c r="G20" s="423"/>
      <c r="H20" s="423"/>
      <c r="I20" s="423"/>
      <c r="J20" s="423"/>
      <c r="K20" s="423">
        <v>0</v>
      </c>
      <c r="L20" s="423"/>
      <c r="M20" s="423"/>
      <c r="N20" s="423"/>
      <c r="O20" s="423"/>
      <c r="P20" s="423"/>
      <c r="Q20" s="423">
        <v>250000</v>
      </c>
      <c r="R20" s="423"/>
      <c r="S20" s="423"/>
      <c r="T20" s="423"/>
      <c r="U20" s="423"/>
      <c r="V20" s="423"/>
      <c r="W20" s="423"/>
      <c r="X20" s="423"/>
      <c r="Y20" s="423"/>
      <c r="Z20" s="423"/>
    </row>
    <row r="21" spans="1:29" ht="19.75" customHeight="1">
      <c r="A21" s="422" t="s">
        <v>166</v>
      </c>
      <c r="B21" s="422"/>
      <c r="C21" s="422"/>
      <c r="D21" s="422"/>
      <c r="E21" s="423">
        <v>90000</v>
      </c>
      <c r="F21" s="423"/>
      <c r="G21" s="423"/>
      <c r="H21" s="423"/>
      <c r="I21" s="423"/>
      <c r="J21" s="423"/>
      <c r="K21" s="423">
        <v>0</v>
      </c>
      <c r="L21" s="423"/>
      <c r="M21" s="423"/>
      <c r="N21" s="423"/>
      <c r="O21" s="423"/>
      <c r="P21" s="423"/>
      <c r="Q21" s="423">
        <v>90000</v>
      </c>
      <c r="R21" s="423"/>
      <c r="S21" s="423"/>
      <c r="T21" s="423"/>
      <c r="U21" s="423"/>
      <c r="V21" s="423"/>
      <c r="W21" s="423"/>
      <c r="X21" s="423"/>
      <c r="Y21" s="423"/>
      <c r="Z21" s="423"/>
    </row>
    <row r="22" spans="1:29" ht="19.75" customHeight="1">
      <c r="A22" s="422" t="s">
        <v>167</v>
      </c>
      <c r="B22" s="422"/>
      <c r="C22" s="422"/>
      <c r="D22" s="422"/>
      <c r="E22" s="423">
        <f>SUM(E19:J21)</f>
        <v>16190000</v>
      </c>
      <c r="F22" s="423"/>
      <c r="G22" s="423"/>
      <c r="H22" s="423"/>
      <c r="I22" s="423"/>
      <c r="J22" s="423"/>
      <c r="K22" s="423">
        <f t="shared" ref="K22" si="0">SUM(K19:P21)</f>
        <v>15850000</v>
      </c>
      <c r="L22" s="423"/>
      <c r="M22" s="423"/>
      <c r="N22" s="423"/>
      <c r="O22" s="423"/>
      <c r="P22" s="423"/>
      <c r="Q22" s="423">
        <f t="shared" ref="Q22" si="1">SUM(Q19:V21)</f>
        <v>16190000</v>
      </c>
      <c r="R22" s="423"/>
      <c r="S22" s="423"/>
      <c r="T22" s="423"/>
      <c r="U22" s="423"/>
      <c r="V22" s="423"/>
      <c r="W22" s="423"/>
      <c r="X22" s="423"/>
      <c r="Y22" s="423"/>
      <c r="Z22" s="423"/>
    </row>
    <row r="23" spans="1:29" ht="19.75" customHeight="1">
      <c r="A23" s="422" t="s">
        <v>123</v>
      </c>
      <c r="B23" s="422"/>
      <c r="C23" s="422"/>
      <c r="D23" s="422"/>
      <c r="E23" s="423">
        <f>'견적서 보고용'!E32</f>
        <v>48</v>
      </c>
      <c r="F23" s="423"/>
      <c r="G23" s="423"/>
      <c r="H23" s="423"/>
      <c r="I23" s="423"/>
      <c r="J23" s="423"/>
      <c r="K23" s="423">
        <f>'견적서 보고용'!J32</f>
        <v>48</v>
      </c>
      <c r="L23" s="423"/>
      <c r="M23" s="423"/>
      <c r="N23" s="423"/>
      <c r="O23" s="423"/>
      <c r="P23" s="423"/>
      <c r="Q23" s="423">
        <f>'견적서 보고용'!O32</f>
        <v>48</v>
      </c>
      <c r="R23" s="423"/>
      <c r="S23" s="423"/>
      <c r="T23" s="423"/>
      <c r="U23" s="423"/>
      <c r="V23" s="423"/>
      <c r="W23" s="423"/>
      <c r="X23" s="423"/>
      <c r="Y23" s="423"/>
      <c r="Z23" s="423"/>
    </row>
    <row r="24" spans="1:29" ht="19.75" customHeight="1">
      <c r="A24" s="422" t="s">
        <v>124</v>
      </c>
      <c r="B24" s="422"/>
      <c r="C24" s="422"/>
      <c r="D24" s="422"/>
      <c r="E24" s="433">
        <v>0</v>
      </c>
      <c r="F24" s="433"/>
      <c r="G24" s="433"/>
      <c r="H24" s="433"/>
      <c r="I24" s="433"/>
      <c r="J24" s="433"/>
      <c r="K24" s="433">
        <f>'견적서 보고용'!J41</f>
        <v>0</v>
      </c>
      <c r="L24" s="433"/>
      <c r="M24" s="433"/>
      <c r="N24" s="433"/>
      <c r="O24" s="433"/>
      <c r="P24" s="433"/>
      <c r="Q24" s="433">
        <f>'견적서 보고용'!O41</f>
        <v>938500</v>
      </c>
      <c r="R24" s="433"/>
      <c r="S24" s="433"/>
      <c r="T24" s="433"/>
      <c r="U24" s="433"/>
      <c r="V24" s="433"/>
      <c r="W24" s="423"/>
      <c r="X24" s="423"/>
      <c r="Y24" s="423"/>
      <c r="Z24" s="423"/>
    </row>
    <row r="25" spans="1:29" ht="19.75" customHeight="1">
      <c r="A25" s="422" t="s">
        <v>125</v>
      </c>
      <c r="B25" s="422"/>
      <c r="C25" s="422"/>
      <c r="D25" s="422"/>
      <c r="E25" s="433">
        <v>0</v>
      </c>
      <c r="F25" s="433"/>
      <c r="G25" s="433"/>
      <c r="H25" s="433"/>
      <c r="I25" s="433"/>
      <c r="J25" s="433"/>
      <c r="K25" s="433">
        <f>'견적서 보고용'!J34</f>
        <v>20000</v>
      </c>
      <c r="L25" s="433"/>
      <c r="M25" s="433"/>
      <c r="N25" s="433"/>
      <c r="O25" s="433"/>
      <c r="P25" s="433"/>
      <c r="Q25" s="433">
        <f>'견적서 보고용'!O34</f>
        <v>20000</v>
      </c>
      <c r="R25" s="433"/>
      <c r="S25" s="433"/>
      <c r="T25" s="433"/>
      <c r="U25" s="433"/>
      <c r="V25" s="433"/>
      <c r="W25" s="423"/>
      <c r="X25" s="423"/>
      <c r="Y25" s="423"/>
      <c r="Z25" s="423"/>
    </row>
    <row r="26" spans="1:29" ht="19.75" customHeight="1">
      <c r="A26" s="422" t="s">
        <v>126</v>
      </c>
      <c r="B26" s="422"/>
      <c r="C26" s="422"/>
      <c r="D26" s="422"/>
      <c r="E26" s="434">
        <v>0</v>
      </c>
      <c r="F26" s="434"/>
      <c r="G26" s="423">
        <v>0</v>
      </c>
      <c r="H26" s="423"/>
      <c r="I26" s="423"/>
      <c r="J26" s="423"/>
      <c r="K26" s="434">
        <f>M26/K19</f>
        <v>0</v>
      </c>
      <c r="L26" s="434"/>
      <c r="M26" s="423">
        <f>'견적서 보고용'!J36</f>
        <v>0</v>
      </c>
      <c r="N26" s="423"/>
      <c r="O26" s="423"/>
      <c r="P26" s="423"/>
      <c r="Q26" s="434">
        <f>S26/Q22</f>
        <v>2.1005558987029032</v>
      </c>
      <c r="R26" s="434"/>
      <c r="S26" s="423">
        <f>'견적서 보고용'!O36</f>
        <v>34008000</v>
      </c>
      <c r="T26" s="423"/>
      <c r="U26" s="423"/>
      <c r="V26" s="423"/>
      <c r="W26" s="423"/>
      <c r="X26" s="423"/>
      <c r="Y26" s="423"/>
      <c r="Z26" s="423"/>
    </row>
    <row r="27" spans="1:29" ht="19.75" customHeight="1">
      <c r="A27" s="422" t="s">
        <v>22</v>
      </c>
      <c r="B27" s="422"/>
      <c r="C27" s="422"/>
      <c r="D27" s="422"/>
      <c r="E27" s="434">
        <v>0</v>
      </c>
      <c r="F27" s="434"/>
      <c r="G27" s="423">
        <v>0</v>
      </c>
      <c r="H27" s="423"/>
      <c r="I27" s="423"/>
      <c r="J27" s="423"/>
      <c r="K27" s="434">
        <f>M27/K19</f>
        <v>0</v>
      </c>
      <c r="L27" s="434"/>
      <c r="M27" s="423">
        <f>'견적서 보고용'!J38</f>
        <v>0</v>
      </c>
      <c r="N27" s="423"/>
      <c r="O27" s="423"/>
      <c r="P27" s="423"/>
      <c r="Q27" s="434">
        <f>S27/Q22</f>
        <v>1.0502779493514516</v>
      </c>
      <c r="R27" s="434"/>
      <c r="S27" s="423">
        <f>'견적서 보고용'!O38</f>
        <v>17004000</v>
      </c>
      <c r="T27" s="423"/>
      <c r="U27" s="423"/>
      <c r="V27" s="423"/>
      <c r="W27" s="423"/>
      <c r="X27" s="423"/>
      <c r="Y27" s="423"/>
      <c r="Z27" s="423"/>
    </row>
    <row r="28" spans="1:29" ht="19.75" customHeight="1">
      <c r="A28" s="422" t="s">
        <v>127</v>
      </c>
      <c r="B28" s="422"/>
      <c r="C28" s="422"/>
      <c r="D28" s="422"/>
      <c r="E28" s="434">
        <f>G28/E19</f>
        <v>0</v>
      </c>
      <c r="F28" s="434"/>
      <c r="G28" s="423">
        <f>'견적서 보고용'!E40</f>
        <v>0</v>
      </c>
      <c r="H28" s="423"/>
      <c r="I28" s="423"/>
      <c r="J28" s="423"/>
      <c r="K28" s="434">
        <f>M28/K19</f>
        <v>0</v>
      </c>
      <c r="L28" s="434"/>
      <c r="M28" s="423">
        <f>'견적서 보고용'!J40</f>
        <v>0</v>
      </c>
      <c r="N28" s="423"/>
      <c r="O28" s="423"/>
      <c r="P28" s="423"/>
      <c r="Q28" s="434">
        <f>S28/Q22</f>
        <v>0</v>
      </c>
      <c r="R28" s="434"/>
      <c r="S28" s="423">
        <f>'견적서 보고용'!O40</f>
        <v>0</v>
      </c>
      <c r="T28" s="423"/>
      <c r="U28" s="423"/>
      <c r="V28" s="423"/>
      <c r="W28" s="423"/>
      <c r="X28" s="423"/>
      <c r="Y28" s="423"/>
      <c r="Z28" s="423"/>
    </row>
    <row r="29" spans="1:29" ht="19.75" customHeight="1">
      <c r="A29" s="422" t="s">
        <v>128</v>
      </c>
      <c r="B29" s="422"/>
      <c r="C29" s="422"/>
      <c r="D29" s="422"/>
      <c r="E29" s="433">
        <f>G27+G28</f>
        <v>0</v>
      </c>
      <c r="F29" s="433"/>
      <c r="G29" s="433"/>
      <c r="H29" s="433"/>
      <c r="I29" s="433"/>
      <c r="J29" s="433"/>
      <c r="K29" s="433">
        <f t="shared" ref="K29" si="2">M27+M28</f>
        <v>0</v>
      </c>
      <c r="L29" s="433"/>
      <c r="M29" s="433"/>
      <c r="N29" s="433"/>
      <c r="O29" s="433"/>
      <c r="P29" s="433"/>
      <c r="Q29" s="433">
        <f>S27+S28</f>
        <v>17004000</v>
      </c>
      <c r="R29" s="433"/>
      <c r="S29" s="433"/>
      <c r="T29" s="433"/>
      <c r="U29" s="433"/>
      <c r="V29" s="433"/>
      <c r="W29" s="423"/>
      <c r="X29" s="423"/>
      <c r="Y29" s="423"/>
      <c r="Z29" s="423"/>
    </row>
    <row r="30" spans="1:29" ht="19.75" customHeight="1">
      <c r="A30" s="422" t="s">
        <v>129</v>
      </c>
      <c r="B30" s="422"/>
      <c r="C30" s="422"/>
      <c r="D30" s="422"/>
      <c r="E30" s="433">
        <f>E24*E23</f>
        <v>0</v>
      </c>
      <c r="F30" s="433"/>
      <c r="G30" s="433"/>
      <c r="H30" s="433"/>
      <c r="I30" s="433"/>
      <c r="J30" s="433"/>
      <c r="K30" s="433">
        <f t="shared" ref="K30" si="3">K24*K23</f>
        <v>0</v>
      </c>
      <c r="L30" s="433"/>
      <c r="M30" s="433"/>
      <c r="N30" s="433"/>
      <c r="O30" s="433"/>
      <c r="P30" s="433"/>
      <c r="Q30" s="433">
        <f t="shared" ref="Q30" si="4">Q24*Q23</f>
        <v>45048000</v>
      </c>
      <c r="R30" s="433"/>
      <c r="S30" s="433"/>
      <c r="T30" s="433"/>
      <c r="U30" s="433"/>
      <c r="V30" s="433"/>
      <c r="W30" s="52"/>
      <c r="X30" s="52"/>
      <c r="Y30" s="52"/>
      <c r="Z30" s="52"/>
    </row>
    <row r="31" spans="1:29" ht="19.75" customHeight="1">
      <c r="A31" s="429" t="s">
        <v>115</v>
      </c>
      <c r="B31" s="429"/>
      <c r="C31" s="429"/>
      <c r="D31" s="429"/>
      <c r="E31" s="430">
        <f>E22</f>
        <v>16190000</v>
      </c>
      <c r="F31" s="430"/>
      <c r="G31" s="430"/>
      <c r="H31" s="430"/>
      <c r="I31" s="430"/>
      <c r="J31" s="430"/>
      <c r="K31" s="430">
        <f t="shared" ref="K31" si="5">M26+K30-M27+K29</f>
        <v>0</v>
      </c>
      <c r="L31" s="430"/>
      <c r="M31" s="430"/>
      <c r="N31" s="430"/>
      <c r="O31" s="430"/>
      <c r="P31" s="430"/>
      <c r="Q31" s="430">
        <f t="shared" ref="Q31" si="6">S26+Q30-S27+Q29</f>
        <v>79056000</v>
      </c>
      <c r="R31" s="430"/>
      <c r="S31" s="430"/>
      <c r="T31" s="430"/>
      <c r="U31" s="430"/>
      <c r="V31" s="430"/>
      <c r="W31" s="48"/>
      <c r="X31" s="48"/>
      <c r="Y31" s="48"/>
      <c r="Z31" s="48"/>
      <c r="AB31" s="14"/>
      <c r="AC31" s="14"/>
    </row>
    <row r="32" spans="1:29" ht="26.25" customHeight="1" thickBot="1">
      <c r="A32" s="396" t="s">
        <v>130</v>
      </c>
      <c r="B32" s="396"/>
      <c r="C32" s="396"/>
      <c r="D32" s="396"/>
      <c r="E32" s="49"/>
      <c r="F32" s="49"/>
      <c r="G32" s="49"/>
      <c r="H32" s="49"/>
      <c r="I32" s="49"/>
      <c r="J32" s="49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1"/>
      <c r="X32" s="51"/>
      <c r="Y32" s="51"/>
      <c r="Z32" s="51"/>
    </row>
    <row r="33" spans="1:26" ht="18.649999999999999" customHeight="1" thickTop="1">
      <c r="A33" s="431" t="s">
        <v>168</v>
      </c>
      <c r="B33" s="432"/>
      <c r="C33" s="432"/>
      <c r="D33" s="432"/>
      <c r="E33" s="432"/>
      <c r="F33" s="432"/>
      <c r="G33" s="432"/>
      <c r="H33" s="432"/>
      <c r="I33" s="432"/>
      <c r="J33" s="432"/>
      <c r="K33" s="432"/>
      <c r="L33" s="432"/>
      <c r="M33" s="432"/>
      <c r="N33" s="432"/>
      <c r="O33" s="432"/>
      <c r="P33" s="432"/>
      <c r="Q33" s="432"/>
      <c r="R33" s="432"/>
      <c r="S33" s="432"/>
      <c r="T33" s="432"/>
      <c r="U33" s="432"/>
      <c r="V33" s="432"/>
      <c r="W33" s="432"/>
      <c r="X33" s="432"/>
      <c r="Y33" s="432"/>
      <c r="Z33" s="432"/>
    </row>
    <row r="34" spans="1:26" ht="18.649999999999999" customHeight="1">
      <c r="A34" s="424" t="s">
        <v>173</v>
      </c>
      <c r="B34" s="425"/>
      <c r="C34" s="425"/>
      <c r="D34" s="425"/>
      <c r="E34" s="425"/>
      <c r="F34" s="425"/>
      <c r="G34" s="425"/>
      <c r="H34" s="425"/>
      <c r="I34" s="425"/>
      <c r="J34" s="425"/>
      <c r="K34" s="425"/>
      <c r="L34" s="425"/>
      <c r="M34" s="425"/>
      <c r="N34" s="425"/>
      <c r="O34" s="425"/>
      <c r="P34" s="425"/>
      <c r="Q34" s="425"/>
      <c r="R34" s="425"/>
      <c r="S34" s="425"/>
      <c r="T34" s="425"/>
      <c r="U34" s="425"/>
      <c r="V34" s="425"/>
      <c r="W34" s="425"/>
      <c r="X34" s="425"/>
      <c r="Y34" s="425"/>
      <c r="Z34" s="425"/>
    </row>
    <row r="35" spans="1:26" ht="18.649999999999999" customHeight="1">
      <c r="A35" s="426"/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426"/>
      <c r="M35" s="426"/>
      <c r="N35" s="426"/>
      <c r="O35" s="426"/>
      <c r="P35" s="426"/>
      <c r="Q35" s="426"/>
      <c r="R35" s="426"/>
      <c r="S35" s="426"/>
      <c r="T35" s="426"/>
      <c r="U35" s="426"/>
      <c r="V35" s="426"/>
      <c r="W35" s="426"/>
      <c r="X35" s="426"/>
      <c r="Y35" s="426"/>
      <c r="Z35" s="426"/>
    </row>
    <row r="36" spans="1:26" ht="18.649999999999999" customHeight="1">
      <c r="A36" s="427"/>
      <c r="B36" s="427"/>
      <c r="C36" s="427"/>
      <c r="D36" s="427"/>
      <c r="E36" s="427"/>
      <c r="F36" s="427"/>
      <c r="G36" s="427"/>
      <c r="H36" s="427"/>
      <c r="I36" s="427"/>
      <c r="J36" s="427"/>
      <c r="K36" s="427"/>
      <c r="L36" s="427"/>
      <c r="M36" s="427"/>
      <c r="N36" s="427"/>
      <c r="O36" s="427"/>
      <c r="P36" s="427"/>
      <c r="Q36" s="427"/>
      <c r="R36" s="427"/>
      <c r="S36" s="427"/>
      <c r="T36" s="427"/>
      <c r="U36" s="427"/>
      <c r="V36" s="427"/>
      <c r="W36" s="427"/>
      <c r="X36" s="427"/>
      <c r="Y36" s="427"/>
      <c r="Z36" s="427"/>
    </row>
    <row r="37" spans="1:26" ht="13.5" customHeight="1"/>
    <row r="38" spans="1:26" ht="13.5" customHeight="1"/>
    <row r="39" spans="1:26" ht="13.5" customHeight="1"/>
    <row r="40" spans="1:26" ht="13.5" customHeight="1"/>
    <row r="41" spans="1:26" ht="13.5" customHeight="1"/>
    <row r="42" spans="1:26" ht="13.5" customHeight="1"/>
    <row r="43" spans="1:26" ht="13.5" customHeight="1"/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4.5" customHeight="1"/>
    <row r="358" ht="14.5" customHeight="1"/>
    <row r="359" ht="14.5" customHeight="1"/>
    <row r="360" ht="14.5" customHeight="1"/>
    <row r="361" ht="14.5" customHeight="1"/>
    <row r="362" ht="14.5" customHeight="1"/>
    <row r="363" ht="14.5" customHeight="1"/>
    <row r="364" ht="14.5" customHeight="1"/>
    <row r="365" ht="14.5" customHeight="1"/>
    <row r="366" ht="14.5" customHeight="1"/>
    <row r="367" ht="14.5" customHeight="1"/>
    <row r="368" ht="14.5" customHeight="1"/>
    <row r="369" ht="14.5" customHeight="1"/>
    <row r="370" ht="14.5" customHeight="1"/>
    <row r="371" ht="14.5" customHeight="1"/>
    <row r="372" ht="14.5" customHeight="1"/>
    <row r="373" ht="14.5" customHeight="1"/>
    <row r="374" ht="14.5" customHeight="1"/>
    <row r="375" ht="14.5" customHeight="1"/>
    <row r="376" ht="14.5" customHeight="1"/>
    <row r="377" ht="14.5" customHeight="1"/>
    <row r="378" ht="14.5" customHeight="1"/>
    <row r="379" ht="14.5" customHeight="1"/>
    <row r="380" ht="14.5" customHeight="1"/>
    <row r="381" ht="14.5" customHeight="1"/>
    <row r="382" ht="14.5" customHeight="1"/>
    <row r="383" ht="14.5" customHeight="1"/>
    <row r="384" ht="14.5" customHeight="1"/>
    <row r="385" ht="14.5" customHeight="1"/>
    <row r="386" ht="14.5" customHeight="1"/>
    <row r="387" ht="14.5" customHeight="1"/>
    <row r="388" ht="14.5" customHeight="1"/>
    <row r="389" ht="14.5" customHeight="1"/>
    <row r="390" ht="14.5" customHeight="1"/>
    <row r="391" ht="14.5" customHeight="1"/>
    <row r="392" ht="14.5" customHeight="1"/>
    <row r="393" ht="14.5" customHeight="1"/>
    <row r="394" ht="14.5" customHeight="1"/>
    <row r="395" ht="14.5" customHeight="1"/>
    <row r="396" ht="14.5" customHeight="1"/>
    <row r="397" ht="14.5" customHeight="1"/>
    <row r="398" ht="14.5" customHeight="1"/>
    <row r="399" ht="14.5" customHeight="1"/>
    <row r="400" ht="14.5" customHeight="1"/>
    <row r="401" ht="14.5" customHeight="1"/>
    <row r="402" ht="14.5" customHeight="1"/>
    <row r="403" ht="14.5" customHeight="1"/>
    <row r="404" ht="14.5" customHeight="1"/>
    <row r="405" ht="14.5" customHeight="1"/>
    <row r="406" ht="14.5" customHeight="1"/>
    <row r="407" ht="14.5" customHeight="1"/>
    <row r="408" ht="14.5" customHeight="1"/>
    <row r="409" ht="14.5" customHeight="1"/>
    <row r="410" ht="14.5" customHeight="1"/>
    <row r="411" ht="14.5" customHeight="1"/>
    <row r="412" ht="14.5" customHeight="1"/>
    <row r="413" ht="14.5" customHeight="1"/>
    <row r="414" ht="14.5" customHeight="1"/>
    <row r="415" ht="14.5" customHeight="1"/>
    <row r="416" ht="14.5" customHeight="1"/>
    <row r="417" ht="14.5" customHeight="1"/>
    <row r="418" ht="14.5" customHeight="1"/>
    <row r="419" ht="14.5" customHeight="1"/>
    <row r="420" ht="14.5" customHeight="1"/>
    <row r="421" ht="14.5" customHeight="1"/>
    <row r="422" ht="14.5" customHeight="1"/>
    <row r="423" ht="14.5" customHeight="1"/>
    <row r="424" ht="14.5" customHeight="1"/>
    <row r="425" ht="14.5" customHeight="1"/>
    <row r="426" ht="14.5" customHeight="1"/>
    <row r="427" ht="14.5" customHeight="1"/>
    <row r="428" ht="14.5" customHeight="1"/>
    <row r="429" ht="14.5" customHeight="1"/>
    <row r="430" ht="14.5" customHeight="1"/>
    <row r="431" ht="14.5" customHeight="1"/>
    <row r="432" ht="14.5" customHeight="1"/>
    <row r="433" ht="14.5" customHeight="1"/>
    <row r="434" ht="14.5" customHeight="1"/>
    <row r="435" ht="14.5" customHeight="1"/>
    <row r="436" ht="14.5" customHeight="1"/>
    <row r="437" ht="14.5" customHeight="1"/>
    <row r="438" ht="14.5" customHeight="1"/>
    <row r="439" ht="14.5" customHeight="1"/>
    <row r="440" ht="14.5" customHeight="1"/>
    <row r="441" ht="14.5" customHeight="1"/>
    <row r="442" ht="14.5" customHeight="1"/>
    <row r="443" ht="14.5" customHeight="1"/>
    <row r="444" ht="14.5" customHeight="1"/>
    <row r="445" ht="14.5" customHeight="1"/>
    <row r="446" ht="14.5" customHeight="1"/>
    <row r="447" ht="14.5" customHeight="1"/>
    <row r="448" ht="14.5" customHeight="1"/>
    <row r="449" ht="14.5" customHeight="1"/>
    <row r="450" ht="14.5" customHeight="1"/>
    <row r="451" ht="14.5" customHeight="1"/>
    <row r="452" ht="14.5" customHeight="1"/>
    <row r="453" ht="14.5" customHeight="1"/>
    <row r="454" ht="14.5" customHeight="1"/>
    <row r="455" ht="14.5" customHeight="1"/>
    <row r="456" ht="14.5" customHeight="1"/>
    <row r="457" ht="14.5" customHeight="1"/>
    <row r="458" ht="14.5" customHeight="1"/>
    <row r="459" ht="14.5" customHeight="1"/>
    <row r="460" ht="14.5" customHeight="1"/>
    <row r="461" ht="14.5" customHeight="1"/>
    <row r="462" ht="14.5" customHeight="1"/>
    <row r="463" ht="14.5" customHeight="1"/>
    <row r="464" ht="14.5" customHeight="1"/>
    <row r="465" ht="14.5" customHeight="1"/>
    <row r="466" ht="14.5" customHeight="1"/>
    <row r="467" ht="14.5" customHeight="1"/>
    <row r="468" ht="14.5" customHeight="1"/>
    <row r="469" ht="14.5" customHeight="1"/>
    <row r="470" ht="14.5" customHeight="1"/>
    <row r="471" ht="14.5" customHeight="1"/>
    <row r="472" ht="14.5" customHeight="1"/>
  </sheetData>
  <mergeCells count="116">
    <mergeCell ref="A3:F4"/>
    <mergeCell ref="A6:D6"/>
    <mergeCell ref="E6:M6"/>
    <mergeCell ref="O6:R6"/>
    <mergeCell ref="S6:Z6"/>
    <mergeCell ref="A7:D7"/>
    <mergeCell ref="E7:M7"/>
    <mergeCell ref="O7:R7"/>
    <mergeCell ref="S7:Z7"/>
    <mergeCell ref="C10:D10"/>
    <mergeCell ref="E10:M10"/>
    <mergeCell ref="Q10:R10"/>
    <mergeCell ref="S10:Z10"/>
    <mergeCell ref="C11:D11"/>
    <mergeCell ref="E11:M11"/>
    <mergeCell ref="Q11:R11"/>
    <mergeCell ref="S11:Z11"/>
    <mergeCell ref="A8:D8"/>
    <mergeCell ref="E8:M8"/>
    <mergeCell ref="O8:R8"/>
    <mergeCell ref="S8:Z8"/>
    <mergeCell ref="A9:B11"/>
    <mergeCell ref="C9:D9"/>
    <mergeCell ref="E9:M9"/>
    <mergeCell ref="O9:P11"/>
    <mergeCell ref="Q9:R9"/>
    <mergeCell ref="S9:Z9"/>
    <mergeCell ref="A19:D19"/>
    <mergeCell ref="E19:J19"/>
    <mergeCell ref="K19:P19"/>
    <mergeCell ref="Q19:V19"/>
    <mergeCell ref="W19:Z19"/>
    <mergeCell ref="A18:D18"/>
    <mergeCell ref="W18:Z18"/>
    <mergeCell ref="A13:A15"/>
    <mergeCell ref="B13:D13"/>
    <mergeCell ref="E13:Z13"/>
    <mergeCell ref="B14:D14"/>
    <mergeCell ref="E14:Z14"/>
    <mergeCell ref="B15:D15"/>
    <mergeCell ref="E15:Z15"/>
    <mergeCell ref="W25:Z25"/>
    <mergeCell ref="A26:D26"/>
    <mergeCell ref="E26:F26"/>
    <mergeCell ref="G26:J26"/>
    <mergeCell ref="K26:L26"/>
    <mergeCell ref="M26:P26"/>
    <mergeCell ref="A23:D23"/>
    <mergeCell ref="E23:J23"/>
    <mergeCell ref="K23:P23"/>
    <mergeCell ref="Q23:V23"/>
    <mergeCell ref="W23:Z23"/>
    <mergeCell ref="A24:D24"/>
    <mergeCell ref="E24:J24"/>
    <mergeCell ref="K24:P24"/>
    <mergeCell ref="Q24:V24"/>
    <mergeCell ref="W24:Z24"/>
    <mergeCell ref="A27:D27"/>
    <mergeCell ref="E27:F27"/>
    <mergeCell ref="G27:J27"/>
    <mergeCell ref="K27:L27"/>
    <mergeCell ref="M27:P27"/>
    <mergeCell ref="Q27:R27"/>
    <mergeCell ref="S27:V27"/>
    <mergeCell ref="A25:D25"/>
    <mergeCell ref="E25:J25"/>
    <mergeCell ref="K25:P25"/>
    <mergeCell ref="Q25:V25"/>
    <mergeCell ref="G28:J28"/>
    <mergeCell ref="K28:L28"/>
    <mergeCell ref="M28:P28"/>
    <mergeCell ref="Q28:R28"/>
    <mergeCell ref="S28:V28"/>
    <mergeCell ref="W28:Z28"/>
    <mergeCell ref="Q26:R26"/>
    <mergeCell ref="S26:V26"/>
    <mergeCell ref="W26:Z26"/>
    <mergeCell ref="A34:Z34"/>
    <mergeCell ref="A35:Z35"/>
    <mergeCell ref="A36:Z36"/>
    <mergeCell ref="E18:J18"/>
    <mergeCell ref="K18:P18"/>
    <mergeCell ref="Q18:V18"/>
    <mergeCell ref="A31:D31"/>
    <mergeCell ref="E31:J31"/>
    <mergeCell ref="K31:P31"/>
    <mergeCell ref="Q31:V31"/>
    <mergeCell ref="A32:D32"/>
    <mergeCell ref="A33:Z33"/>
    <mergeCell ref="A29:D29"/>
    <mergeCell ref="E29:J29"/>
    <mergeCell ref="K29:P29"/>
    <mergeCell ref="Q29:V29"/>
    <mergeCell ref="W29:Z29"/>
    <mergeCell ref="A30:D30"/>
    <mergeCell ref="E30:J30"/>
    <mergeCell ref="K30:P30"/>
    <mergeCell ref="Q30:V30"/>
    <mergeCell ref="W27:Z27"/>
    <mergeCell ref="A28:D28"/>
    <mergeCell ref="E28:F28"/>
    <mergeCell ref="A22:D22"/>
    <mergeCell ref="E22:J22"/>
    <mergeCell ref="K22:P22"/>
    <mergeCell ref="Q22:V22"/>
    <mergeCell ref="W22:Z22"/>
    <mergeCell ref="A20:D20"/>
    <mergeCell ref="E20:J20"/>
    <mergeCell ref="K20:P20"/>
    <mergeCell ref="Q20:V20"/>
    <mergeCell ref="W20:Z20"/>
    <mergeCell ref="A21:D21"/>
    <mergeCell ref="E21:J21"/>
    <mergeCell ref="K21:P21"/>
    <mergeCell ref="Q21:V21"/>
    <mergeCell ref="W21:Z21"/>
  </mergeCells>
  <phoneticPr fontId="1" type="noConversion"/>
  <hyperlinks>
    <hyperlink ref="S11" r:id="rId1" xr:uid="{5498167F-CD7B-425A-ADE0-FCE76A018B73}"/>
  </hyperlinks>
  <printOptions horizontalCentered="1"/>
  <pageMargins left="0.47244094488188981" right="0.47244094488188981" top="0.15748031496062992" bottom="0.19685039370078741" header="0.31496062992125984" footer="0.31496062992125984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68FC-B911-418E-A48D-E8647E2E2F16}">
  <sheetPr codeName="Sheet5"/>
  <dimension ref="A2:D20"/>
  <sheetViews>
    <sheetView zoomScale="115" zoomScaleNormal="115" workbookViewId="0">
      <selection activeCell="D20" sqref="D20"/>
    </sheetView>
  </sheetViews>
  <sheetFormatPr defaultRowHeight="17"/>
  <cols>
    <col min="1" max="1" width="23.33203125" customWidth="1"/>
    <col min="2" max="2" width="29.83203125" customWidth="1"/>
    <col min="3" max="3" width="26.08203125" customWidth="1"/>
    <col min="4" max="4" width="9.25" customWidth="1"/>
  </cols>
  <sheetData>
    <row r="2" spans="1:4">
      <c r="A2" s="98" t="s">
        <v>237</v>
      </c>
      <c r="B2" s="98" t="s">
        <v>238</v>
      </c>
      <c r="C2" s="98" t="s">
        <v>239</v>
      </c>
      <c r="D2" s="98" t="s">
        <v>240</v>
      </c>
    </row>
    <row r="3" spans="1:4">
      <c r="A3" s="94" t="s">
        <v>241</v>
      </c>
      <c r="B3" s="99" t="s">
        <v>242</v>
      </c>
      <c r="C3" s="99" t="s">
        <v>243</v>
      </c>
      <c r="D3" s="100">
        <v>200000</v>
      </c>
    </row>
    <row r="4" spans="1:4">
      <c r="A4" s="94" t="s">
        <v>244</v>
      </c>
      <c r="B4" s="99" t="s">
        <v>245</v>
      </c>
      <c r="C4" s="99" t="s">
        <v>246</v>
      </c>
      <c r="D4" s="100">
        <v>40000</v>
      </c>
    </row>
    <row r="5" spans="1:4">
      <c r="A5" s="94" t="s">
        <v>247</v>
      </c>
      <c r="B5" s="99" t="s">
        <v>248</v>
      </c>
      <c r="C5" s="99"/>
      <c r="D5" s="100">
        <v>25000</v>
      </c>
    </row>
    <row r="6" spans="1:4">
      <c r="A6" s="94" t="s">
        <v>249</v>
      </c>
      <c r="B6" s="99" t="s">
        <v>248</v>
      </c>
      <c r="C6" s="99" t="s">
        <v>250</v>
      </c>
      <c r="D6" s="100">
        <v>250000</v>
      </c>
    </row>
    <row r="7" spans="1:4">
      <c r="A7" s="94" t="s">
        <v>251</v>
      </c>
      <c r="B7" s="99" t="s">
        <v>252</v>
      </c>
      <c r="C7" s="99" t="s">
        <v>253</v>
      </c>
      <c r="D7" s="100">
        <v>100000</v>
      </c>
    </row>
    <row r="8" spans="1:4">
      <c r="A8" s="94" t="s">
        <v>254</v>
      </c>
      <c r="B8" s="99" t="s">
        <v>255</v>
      </c>
      <c r="C8" s="99"/>
      <c r="D8" s="100">
        <v>0</v>
      </c>
    </row>
    <row r="9" spans="1:4">
      <c r="A9" s="94" t="s">
        <v>256</v>
      </c>
      <c r="B9" s="99" t="s">
        <v>257</v>
      </c>
      <c r="C9" s="99" t="s">
        <v>258</v>
      </c>
      <c r="D9" s="100">
        <v>600000</v>
      </c>
    </row>
    <row r="10" spans="1:4">
      <c r="A10" s="94" t="s">
        <v>259</v>
      </c>
      <c r="B10" s="99" t="s">
        <v>260</v>
      </c>
      <c r="C10" s="99"/>
      <c r="D10" s="100">
        <v>60000</v>
      </c>
    </row>
    <row r="11" spans="1:4">
      <c r="A11" s="94" t="s">
        <v>261</v>
      </c>
      <c r="B11" s="99" t="s">
        <v>262</v>
      </c>
      <c r="C11" s="99" t="s">
        <v>263</v>
      </c>
      <c r="D11" s="100">
        <v>150000</v>
      </c>
    </row>
    <row r="12" spans="1:4">
      <c r="A12" s="94" t="s">
        <v>264</v>
      </c>
      <c r="B12" s="99" t="s">
        <v>265</v>
      </c>
      <c r="C12" s="99" t="s">
        <v>266</v>
      </c>
      <c r="D12" s="100">
        <v>150000</v>
      </c>
    </row>
    <row r="13" spans="1:4">
      <c r="A13" s="94" t="s">
        <v>267</v>
      </c>
      <c r="B13" s="99" t="s">
        <v>268</v>
      </c>
      <c r="C13" s="99" t="s">
        <v>269</v>
      </c>
      <c r="D13" s="100">
        <v>150000</v>
      </c>
    </row>
    <row r="14" spans="1:4">
      <c r="A14" s="94" t="s">
        <v>270</v>
      </c>
      <c r="B14" s="99" t="s">
        <v>271</v>
      </c>
      <c r="C14" s="99" t="s">
        <v>272</v>
      </c>
      <c r="D14" s="100">
        <v>200000</v>
      </c>
    </row>
    <row r="15" spans="1:4">
      <c r="A15" s="94" t="s">
        <v>273</v>
      </c>
      <c r="B15" s="99" t="s">
        <v>274</v>
      </c>
      <c r="C15" s="99" t="s">
        <v>275</v>
      </c>
      <c r="D15" s="100">
        <v>50000</v>
      </c>
    </row>
    <row r="16" spans="1:4">
      <c r="A16" s="94" t="s">
        <v>276</v>
      </c>
      <c r="B16" s="99" t="s">
        <v>277</v>
      </c>
      <c r="C16" s="99" t="s">
        <v>276</v>
      </c>
      <c r="D16" s="100">
        <v>200000</v>
      </c>
    </row>
    <row r="17" spans="1:4">
      <c r="A17" s="94" t="s">
        <v>278</v>
      </c>
      <c r="B17" s="99" t="s">
        <v>279</v>
      </c>
      <c r="C17" s="99" t="s">
        <v>280</v>
      </c>
      <c r="D17" s="100">
        <v>50000</v>
      </c>
    </row>
    <row r="18" spans="1:4">
      <c r="A18" s="94" t="s">
        <v>281</v>
      </c>
      <c r="B18" s="99" t="s">
        <v>282</v>
      </c>
      <c r="C18" s="99" t="s">
        <v>283</v>
      </c>
      <c r="D18" s="100">
        <v>267450</v>
      </c>
    </row>
    <row r="19" spans="1:4">
      <c r="A19" s="94" t="s">
        <v>284</v>
      </c>
      <c r="B19" s="99" t="s">
        <v>285</v>
      </c>
      <c r="C19" s="99" t="s">
        <v>284</v>
      </c>
      <c r="D19" s="100">
        <v>50000</v>
      </c>
    </row>
    <row r="20" spans="1:4">
      <c r="A20" s="94" t="s">
        <v>286</v>
      </c>
      <c r="B20" s="99" t="s">
        <v>287</v>
      </c>
      <c r="C20" s="99" t="s">
        <v>176</v>
      </c>
      <c r="D20" s="100">
        <f>SUM(D3:D19)</f>
        <v>2542450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D0E2-A889-49C9-992A-6709864EFD89}">
  <dimension ref="A1:F23"/>
  <sheetViews>
    <sheetView zoomScale="130" zoomScaleNormal="130" workbookViewId="0">
      <selection activeCell="I9" sqref="I9"/>
    </sheetView>
  </sheetViews>
  <sheetFormatPr defaultRowHeight="17"/>
  <cols>
    <col min="1" max="1" width="20.25" customWidth="1"/>
    <col min="2" max="2" width="13" customWidth="1"/>
    <col min="3" max="3" width="11.83203125" bestFit="1" customWidth="1"/>
    <col min="4" max="4" width="10" bestFit="1" customWidth="1"/>
    <col min="5" max="5" width="13.75" bestFit="1" customWidth="1"/>
    <col min="6" max="6" width="11.58203125" bestFit="1" customWidth="1"/>
  </cols>
  <sheetData>
    <row r="1" spans="1:6">
      <c r="E1" s="90" t="s">
        <v>20</v>
      </c>
      <c r="F1" s="105">
        <v>5</v>
      </c>
    </row>
    <row r="2" spans="1:6">
      <c r="E2" s="90" t="s">
        <v>310</v>
      </c>
      <c r="F2" s="105">
        <v>20000</v>
      </c>
    </row>
    <row r="3" spans="1:6">
      <c r="E3" s="90" t="s">
        <v>311</v>
      </c>
      <c r="F3" s="105">
        <f>F2*F1</f>
        <v>100000</v>
      </c>
    </row>
    <row r="5" spans="1:6">
      <c r="A5" s="101" t="s">
        <v>288</v>
      </c>
      <c r="B5" s="101" t="s">
        <v>289</v>
      </c>
      <c r="C5" s="101" t="s">
        <v>290</v>
      </c>
      <c r="D5" s="101" t="s">
        <v>291</v>
      </c>
      <c r="E5" s="101" t="s">
        <v>292</v>
      </c>
      <c r="F5" s="101" t="s">
        <v>293</v>
      </c>
    </row>
    <row r="6" spans="1:6">
      <c r="A6" s="102" t="s">
        <v>294</v>
      </c>
      <c r="B6" s="103" t="s">
        <v>313</v>
      </c>
      <c r="C6" s="103" t="s">
        <v>314</v>
      </c>
      <c r="D6" s="103" t="s">
        <v>240</v>
      </c>
      <c r="E6" s="103" t="s">
        <v>315</v>
      </c>
      <c r="F6" s="103" t="s">
        <v>316</v>
      </c>
    </row>
    <row r="7" spans="1:6">
      <c r="A7" s="102" t="s">
        <v>295</v>
      </c>
      <c r="B7" s="104">
        <v>10000</v>
      </c>
      <c r="C7" s="104">
        <v>0</v>
      </c>
      <c r="D7" s="104">
        <v>160000</v>
      </c>
      <c r="E7" s="103">
        <f t="shared" ref="E7:E22" si="0">MAX(IF(B7&gt;0, ROUNDDOWN($F$3/B7,0), 0), IF(C7&gt;0, ROUNDDOWN($F$1/C7,0), 0))</f>
        <v>10</v>
      </c>
      <c r="F7" s="104">
        <f t="shared" ref="F7:F22" si="1">E7*D7</f>
        <v>1600000</v>
      </c>
    </row>
    <row r="8" spans="1:6">
      <c r="A8" s="102" t="s">
        <v>296</v>
      </c>
      <c r="B8" s="104">
        <v>15000</v>
      </c>
      <c r="C8" s="104">
        <v>1</v>
      </c>
      <c r="D8" s="104">
        <v>40000</v>
      </c>
      <c r="E8" s="103">
        <f t="shared" si="0"/>
        <v>6</v>
      </c>
      <c r="F8" s="104">
        <f t="shared" si="1"/>
        <v>240000</v>
      </c>
    </row>
    <row r="9" spans="1:6">
      <c r="A9" s="102" t="s">
        <v>297</v>
      </c>
      <c r="B9" s="104">
        <v>0</v>
      </c>
      <c r="C9" s="104">
        <v>1</v>
      </c>
      <c r="D9" s="104">
        <v>25000</v>
      </c>
      <c r="E9" s="103">
        <f t="shared" si="0"/>
        <v>5</v>
      </c>
      <c r="F9" s="104">
        <f t="shared" si="1"/>
        <v>125000</v>
      </c>
    </row>
    <row r="10" spans="1:6">
      <c r="A10" s="102" t="s">
        <v>298</v>
      </c>
      <c r="B10" s="104">
        <v>0</v>
      </c>
      <c r="C10" s="104">
        <v>1</v>
      </c>
      <c r="D10" s="104">
        <v>250000</v>
      </c>
      <c r="E10" s="103">
        <f t="shared" si="0"/>
        <v>5</v>
      </c>
      <c r="F10" s="104">
        <f t="shared" si="1"/>
        <v>1250000</v>
      </c>
    </row>
    <row r="11" spans="1:6">
      <c r="A11" s="102" t="s">
        <v>299</v>
      </c>
      <c r="B11" s="104">
        <v>20000</v>
      </c>
      <c r="C11" s="104">
        <v>0</v>
      </c>
      <c r="D11" s="104">
        <v>100000</v>
      </c>
      <c r="E11" s="103">
        <f t="shared" si="0"/>
        <v>5</v>
      </c>
      <c r="F11" s="104">
        <f t="shared" si="1"/>
        <v>500000</v>
      </c>
    </row>
    <row r="12" spans="1:6">
      <c r="A12" s="102" t="s">
        <v>300</v>
      </c>
      <c r="B12" s="104">
        <v>50000</v>
      </c>
      <c r="C12" s="104">
        <v>0</v>
      </c>
      <c r="D12" s="104">
        <v>600000</v>
      </c>
      <c r="E12" s="103">
        <f t="shared" si="0"/>
        <v>2</v>
      </c>
      <c r="F12" s="104">
        <f t="shared" si="1"/>
        <v>1200000</v>
      </c>
    </row>
    <row r="13" spans="1:6">
      <c r="A13" s="102" t="s">
        <v>301</v>
      </c>
      <c r="B13" s="104">
        <v>50000</v>
      </c>
      <c r="C13" s="104">
        <v>0</v>
      </c>
      <c r="D13" s="104">
        <v>60000</v>
      </c>
      <c r="E13" s="103">
        <f t="shared" si="0"/>
        <v>2</v>
      </c>
      <c r="F13" s="104">
        <f t="shared" si="1"/>
        <v>120000</v>
      </c>
    </row>
    <row r="14" spans="1:6">
      <c r="A14" s="102" t="s">
        <v>302</v>
      </c>
      <c r="B14" s="104">
        <v>40000</v>
      </c>
      <c r="C14" s="104">
        <v>0</v>
      </c>
      <c r="D14" s="104">
        <v>150000</v>
      </c>
      <c r="E14" s="103">
        <f t="shared" si="0"/>
        <v>2</v>
      </c>
      <c r="F14" s="104">
        <f t="shared" si="1"/>
        <v>300000</v>
      </c>
    </row>
    <row r="15" spans="1:6">
      <c r="A15" s="102" t="s">
        <v>303</v>
      </c>
      <c r="B15" s="104">
        <v>70000</v>
      </c>
      <c r="C15" s="104">
        <v>0</v>
      </c>
      <c r="D15" s="104">
        <v>150000</v>
      </c>
      <c r="E15" s="103">
        <f t="shared" si="0"/>
        <v>1</v>
      </c>
      <c r="F15" s="104">
        <f t="shared" si="1"/>
        <v>150000</v>
      </c>
    </row>
    <row r="16" spans="1:6">
      <c r="A16" s="102" t="s">
        <v>304</v>
      </c>
      <c r="B16" s="104">
        <v>50000</v>
      </c>
      <c r="C16" s="104">
        <v>0</v>
      </c>
      <c r="D16" s="104">
        <v>150000</v>
      </c>
      <c r="E16" s="103">
        <f t="shared" si="0"/>
        <v>2</v>
      </c>
      <c r="F16" s="104">
        <f t="shared" si="1"/>
        <v>300000</v>
      </c>
    </row>
    <row r="17" spans="1:6">
      <c r="A17" s="102" t="s">
        <v>305</v>
      </c>
      <c r="B17" s="104">
        <v>50000</v>
      </c>
      <c r="C17" s="104">
        <v>0</v>
      </c>
      <c r="D17" s="104">
        <v>200000</v>
      </c>
      <c r="E17" s="103">
        <f t="shared" si="0"/>
        <v>2</v>
      </c>
      <c r="F17" s="104">
        <f t="shared" si="1"/>
        <v>400000</v>
      </c>
    </row>
    <row r="18" spans="1:6">
      <c r="A18" s="102" t="s">
        <v>306</v>
      </c>
      <c r="B18" s="104">
        <v>0</v>
      </c>
      <c r="C18" s="104">
        <v>0</v>
      </c>
      <c r="D18" s="104">
        <v>50000</v>
      </c>
      <c r="E18" s="103">
        <f t="shared" si="0"/>
        <v>0</v>
      </c>
      <c r="F18" s="104">
        <f t="shared" si="1"/>
        <v>0</v>
      </c>
    </row>
    <row r="19" spans="1:6">
      <c r="A19" s="102" t="s">
        <v>307</v>
      </c>
      <c r="B19" s="104">
        <v>80000</v>
      </c>
      <c r="C19" s="104">
        <v>0</v>
      </c>
      <c r="D19" s="104">
        <v>200000</v>
      </c>
      <c r="E19" s="103">
        <f t="shared" si="0"/>
        <v>1</v>
      </c>
      <c r="F19" s="104">
        <f t="shared" si="1"/>
        <v>200000</v>
      </c>
    </row>
    <row r="20" spans="1:6">
      <c r="A20" s="102" t="s">
        <v>308</v>
      </c>
      <c r="B20" s="104">
        <v>40000</v>
      </c>
      <c r="C20" s="104">
        <v>0</v>
      </c>
      <c r="D20" s="104">
        <v>50000</v>
      </c>
      <c r="E20" s="103">
        <f t="shared" si="0"/>
        <v>2</v>
      </c>
      <c r="F20" s="104">
        <f t="shared" si="1"/>
        <v>100000</v>
      </c>
    </row>
    <row r="21" spans="1:6">
      <c r="A21" s="102" t="s">
        <v>309</v>
      </c>
      <c r="B21" s="104">
        <v>80000</v>
      </c>
      <c r="C21" s="104">
        <v>0</v>
      </c>
      <c r="D21" s="104">
        <v>267450</v>
      </c>
      <c r="E21" s="103">
        <f t="shared" si="0"/>
        <v>1</v>
      </c>
      <c r="F21" s="104">
        <f t="shared" si="1"/>
        <v>267450</v>
      </c>
    </row>
    <row r="22" spans="1:6">
      <c r="A22" s="102" t="s">
        <v>284</v>
      </c>
      <c r="B22" s="104">
        <v>100000</v>
      </c>
      <c r="C22" s="104">
        <v>0</v>
      </c>
      <c r="D22" s="104">
        <v>50000</v>
      </c>
      <c r="E22" s="103">
        <f t="shared" si="0"/>
        <v>1</v>
      </c>
      <c r="F22" s="104">
        <f t="shared" si="1"/>
        <v>50000</v>
      </c>
    </row>
    <row r="23" spans="1:6">
      <c r="A23" s="106" t="s">
        <v>312</v>
      </c>
      <c r="B23" s="465"/>
      <c r="C23" s="466"/>
      <c r="D23" s="466"/>
      <c r="E23" s="467"/>
      <c r="F23" s="107">
        <f>SUM(F6:F22)</f>
        <v>6802450</v>
      </c>
    </row>
  </sheetData>
  <mergeCells count="1">
    <mergeCell ref="B23:E23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고객용 (3)</vt:lpstr>
      <vt:lpstr>고객용</vt:lpstr>
      <vt:lpstr>견적서 보고용</vt:lpstr>
      <vt:lpstr>차량 옵션비교표</vt:lpstr>
      <vt:lpstr>렌트 리스 비교표</vt:lpstr>
      <vt:lpstr>메모 양식</vt:lpstr>
      <vt:lpstr>렌트 견적 비교</vt:lpstr>
      <vt:lpstr>기본 정비내용</vt:lpstr>
      <vt:lpstr>Sheet2</vt:lpstr>
      <vt:lpstr>'렌트 리스 비교표'!Print_Area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CEO</cp:lastModifiedBy>
  <cp:revision/>
  <cp:lastPrinted>2026-08-17T10:29:43Z</cp:lastPrinted>
  <dcterms:created xsi:type="dcterms:W3CDTF">2021-10-24T03:49:03Z</dcterms:created>
  <dcterms:modified xsi:type="dcterms:W3CDTF">2026-08-17T10:31:06Z</dcterms:modified>
  <cp:category/>
  <cp:contentStatus/>
</cp:coreProperties>
</file>