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https://sdibenefit-my.sharepoint.com/personal/rent_sdibenefit_com/Documents/rentbenefit/rentbenefit_program/example/"/>
    </mc:Choice>
  </mc:AlternateContent>
  <xr:revisionPtr revIDLastSave="8" documentId="13_ncr:1_{CE26BAE7-D0D2-4C69-8050-56EC6AA0798C}" xr6:coauthVersionLast="47" xr6:coauthVersionMax="47" xr10:uidLastSave="{76D0A4CD-31F8-46E3-8252-96449801F7D9}"/>
  <bookViews>
    <workbookView xWindow="-110" yWindow="-110" windowWidth="38620" windowHeight="21100" xr2:uid="{B62166E8-6D92-4F14-946F-E8E0F9854870}"/>
  </bookViews>
  <sheets>
    <sheet name="청구서" sheetId="3" r:id="rId1"/>
    <sheet name="월대여료" sheetId="6" r:id="rId2"/>
    <sheet name="문자 발송 예시안" sheetId="13" r:id="rId3"/>
  </sheets>
  <externalReferences>
    <externalReference r:id="rId4"/>
  </externalReferences>
  <definedNames>
    <definedName name="_xlnm._FilterDatabase" localSheetId="1" hidden="1">월대여료!$A$2:$AE$2</definedName>
    <definedName name="법개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2" i="6" l="1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X36" i="6"/>
  <c r="W36" i="6"/>
  <c r="V36" i="6"/>
  <c r="U36" i="6"/>
  <c r="T36" i="6"/>
  <c r="S36" i="6"/>
  <c r="R36" i="6"/>
  <c r="Q36" i="6"/>
  <c r="G36" i="6"/>
  <c r="X35" i="6"/>
  <c r="W35" i="6"/>
  <c r="V35" i="6"/>
  <c r="U35" i="6"/>
  <c r="T35" i="6"/>
  <c r="S35" i="6"/>
  <c r="R35" i="6"/>
  <c r="Q35" i="6"/>
  <c r="G35" i="6"/>
  <c r="X34" i="6"/>
  <c r="W34" i="6"/>
  <c r="V34" i="6"/>
  <c r="U34" i="6"/>
  <c r="T34" i="6"/>
  <c r="S34" i="6"/>
  <c r="R34" i="6"/>
  <c r="Q34" i="6"/>
  <c r="G34" i="6"/>
  <c r="X33" i="6"/>
  <c r="W33" i="6"/>
  <c r="V33" i="6"/>
  <c r="U33" i="6"/>
  <c r="T33" i="6"/>
  <c r="S33" i="6"/>
  <c r="R33" i="6"/>
  <c r="Q33" i="6"/>
  <c r="G33" i="6"/>
  <c r="X32" i="6"/>
  <c r="W32" i="6"/>
  <c r="V32" i="6"/>
  <c r="U32" i="6"/>
  <c r="T32" i="6"/>
  <c r="S32" i="6"/>
  <c r="R32" i="6"/>
  <c r="Q32" i="6"/>
  <c r="G32" i="6"/>
  <c r="X31" i="6"/>
  <c r="W31" i="6"/>
  <c r="V31" i="6"/>
  <c r="U31" i="6"/>
  <c r="T31" i="6"/>
  <c r="S31" i="6"/>
  <c r="R31" i="6"/>
  <c r="Q31" i="6"/>
  <c r="G31" i="6"/>
  <c r="X30" i="6"/>
  <c r="W30" i="6"/>
  <c r="V30" i="6"/>
  <c r="U30" i="6"/>
  <c r="T30" i="6"/>
  <c r="S30" i="6"/>
  <c r="R30" i="6"/>
  <c r="Q30" i="6"/>
  <c r="G30" i="6"/>
  <c r="X29" i="6"/>
  <c r="W29" i="6"/>
  <c r="V29" i="6"/>
  <c r="U29" i="6"/>
  <c r="T29" i="6"/>
  <c r="S29" i="6"/>
  <c r="R29" i="6"/>
  <c r="Q29" i="6"/>
  <c r="G29" i="6"/>
  <c r="X28" i="6"/>
  <c r="W28" i="6"/>
  <c r="V28" i="6"/>
  <c r="U28" i="6"/>
  <c r="T28" i="6"/>
  <c r="S28" i="6"/>
  <c r="R28" i="6"/>
  <c r="Q28" i="6"/>
  <c r="G28" i="6"/>
  <c r="X27" i="6"/>
  <c r="W27" i="6"/>
  <c r="V27" i="6"/>
  <c r="U27" i="6"/>
  <c r="T27" i="6"/>
  <c r="S27" i="6"/>
  <c r="R27" i="6"/>
  <c r="Q27" i="6"/>
  <c r="G27" i="6"/>
  <c r="X26" i="6"/>
  <c r="W26" i="6"/>
  <c r="V26" i="6"/>
  <c r="U26" i="6"/>
  <c r="T26" i="6"/>
  <c r="S26" i="6"/>
  <c r="R26" i="6"/>
  <c r="Q26" i="6"/>
  <c r="G26" i="6"/>
  <c r="X25" i="6"/>
  <c r="W25" i="6"/>
  <c r="V25" i="6"/>
  <c r="U25" i="6"/>
  <c r="T25" i="6"/>
  <c r="S25" i="6"/>
  <c r="R25" i="6"/>
  <c r="Q25" i="6"/>
  <c r="G25" i="6"/>
  <c r="X24" i="6"/>
  <c r="W24" i="6"/>
  <c r="V24" i="6"/>
  <c r="U24" i="6"/>
  <c r="T24" i="6"/>
  <c r="S24" i="6"/>
  <c r="R24" i="6"/>
  <c r="Q24" i="6"/>
  <c r="G24" i="6"/>
  <c r="X23" i="6"/>
  <c r="W23" i="6"/>
  <c r="V23" i="6"/>
  <c r="U23" i="6"/>
  <c r="T23" i="6"/>
  <c r="S23" i="6"/>
  <c r="R23" i="6"/>
  <c r="Q23" i="6"/>
  <c r="G23" i="6"/>
  <c r="X22" i="6"/>
  <c r="W22" i="6"/>
  <c r="V22" i="6"/>
  <c r="U22" i="6"/>
  <c r="T22" i="6"/>
  <c r="S22" i="6"/>
  <c r="R22" i="6"/>
  <c r="Q22" i="6"/>
  <c r="G22" i="6"/>
  <c r="X21" i="6"/>
  <c r="W21" i="6"/>
  <c r="V21" i="6"/>
  <c r="U21" i="6"/>
  <c r="T21" i="6"/>
  <c r="S21" i="6"/>
  <c r="R21" i="6"/>
  <c r="Q21" i="6"/>
  <c r="G21" i="6"/>
  <c r="X20" i="6"/>
  <c r="W20" i="6"/>
  <c r="V20" i="6"/>
  <c r="U20" i="6"/>
  <c r="T20" i="6"/>
  <c r="S20" i="6"/>
  <c r="R20" i="6"/>
  <c r="Q20" i="6"/>
  <c r="G20" i="6"/>
  <c r="X19" i="6"/>
  <c r="W19" i="6"/>
  <c r="V19" i="6"/>
  <c r="U19" i="6"/>
  <c r="T19" i="6"/>
  <c r="S19" i="6"/>
  <c r="R19" i="6"/>
  <c r="Q19" i="6"/>
  <c r="G19" i="6"/>
  <c r="X18" i="6"/>
  <c r="W18" i="6"/>
  <c r="V18" i="6"/>
  <c r="U18" i="6"/>
  <c r="T18" i="6"/>
  <c r="S18" i="6"/>
  <c r="R18" i="6"/>
  <c r="Q18" i="6"/>
  <c r="G18" i="6"/>
  <c r="X17" i="6"/>
  <c r="W17" i="6"/>
  <c r="V17" i="6"/>
  <c r="U17" i="6"/>
  <c r="T17" i="6"/>
  <c r="S17" i="6"/>
  <c r="R17" i="6"/>
  <c r="Q17" i="6"/>
  <c r="G17" i="6"/>
  <c r="X16" i="6"/>
  <c r="W16" i="6"/>
  <c r="V16" i="6"/>
  <c r="U16" i="6"/>
  <c r="T16" i="6"/>
  <c r="S16" i="6"/>
  <c r="R16" i="6"/>
  <c r="Q16" i="6"/>
  <c r="G16" i="6"/>
  <c r="X15" i="6"/>
  <c r="W15" i="6"/>
  <c r="V15" i="6"/>
  <c r="U15" i="6"/>
  <c r="T15" i="6"/>
  <c r="S15" i="6"/>
  <c r="R15" i="6"/>
  <c r="Q15" i="6"/>
  <c r="G15" i="6"/>
  <c r="X14" i="6"/>
  <c r="W14" i="6"/>
  <c r="V14" i="6"/>
  <c r="U14" i="6"/>
  <c r="T14" i="6"/>
  <c r="S14" i="6"/>
  <c r="R14" i="6"/>
  <c r="Q14" i="6"/>
  <c r="G14" i="6"/>
  <c r="X13" i="6"/>
  <c r="W13" i="6"/>
  <c r="V13" i="6"/>
  <c r="U13" i="6"/>
  <c r="T13" i="6"/>
  <c r="S13" i="6"/>
  <c r="R13" i="6"/>
  <c r="Q13" i="6"/>
  <c r="G13" i="6"/>
  <c r="X12" i="6"/>
  <c r="W12" i="6"/>
  <c r="V12" i="6"/>
  <c r="U12" i="6"/>
  <c r="T12" i="6"/>
  <c r="S12" i="6"/>
  <c r="R12" i="6"/>
  <c r="Q12" i="6"/>
  <c r="G12" i="6"/>
  <c r="X11" i="6"/>
  <c r="W11" i="6"/>
  <c r="V11" i="6"/>
  <c r="U11" i="6"/>
  <c r="T11" i="6"/>
  <c r="S11" i="6"/>
  <c r="R11" i="6"/>
  <c r="Q11" i="6"/>
  <c r="G11" i="6"/>
  <c r="X10" i="6"/>
  <c r="W10" i="6"/>
  <c r="V10" i="6"/>
  <c r="U10" i="6"/>
  <c r="T10" i="6"/>
  <c r="S10" i="6"/>
  <c r="R10" i="6"/>
  <c r="Q10" i="6"/>
  <c r="G10" i="6"/>
  <c r="X9" i="6"/>
  <c r="W9" i="6"/>
  <c r="V9" i="6"/>
  <c r="U9" i="6"/>
  <c r="T9" i="6"/>
  <c r="S9" i="6"/>
  <c r="R9" i="6"/>
  <c r="Q9" i="6"/>
  <c r="G9" i="6"/>
  <c r="X8" i="6"/>
  <c r="W8" i="6"/>
  <c r="V8" i="6"/>
  <c r="U8" i="6"/>
  <c r="T8" i="6"/>
  <c r="S8" i="6"/>
  <c r="R8" i="6"/>
  <c r="Q8" i="6"/>
  <c r="G8" i="6"/>
  <c r="X7" i="6"/>
  <c r="W7" i="6"/>
  <c r="V7" i="6"/>
  <c r="U7" i="6"/>
  <c r="T7" i="6"/>
  <c r="S7" i="6"/>
  <c r="R7" i="6"/>
  <c r="Q7" i="6"/>
  <c r="G7" i="6"/>
  <c r="X6" i="6"/>
  <c r="W6" i="6"/>
  <c r="V6" i="6"/>
  <c r="U6" i="6"/>
  <c r="T6" i="6"/>
  <c r="S6" i="6"/>
  <c r="R6" i="6"/>
  <c r="Q6" i="6"/>
  <c r="G6" i="6"/>
  <c r="X5" i="6"/>
  <c r="W5" i="6"/>
  <c r="V5" i="6"/>
  <c r="U5" i="6"/>
  <c r="T5" i="6"/>
  <c r="S5" i="6"/>
  <c r="R5" i="6"/>
  <c r="Q5" i="6"/>
  <c r="G5" i="6"/>
  <c r="X4" i="6"/>
  <c r="W4" i="6"/>
  <c r="V4" i="6"/>
  <c r="U4" i="6"/>
  <c r="T4" i="6"/>
  <c r="S4" i="6"/>
  <c r="R4" i="6"/>
  <c r="Q4" i="6"/>
  <c r="G4" i="6"/>
  <c r="G3" i="6"/>
  <c r="B20" i="3" l="1"/>
  <c r="V6" i="3"/>
  <c r="P20" i="3" l="1"/>
  <c r="B21" i="3"/>
  <c r="B19" i="3"/>
  <c r="P19" i="3"/>
  <c r="P18" i="3"/>
  <c r="P21" i="3"/>
  <c r="P17" i="3"/>
  <c r="B18" i="3"/>
  <c r="AC3" i="6" l="1"/>
  <c r="U3" i="6"/>
  <c r="P3" i="6"/>
  <c r="AD3" i="6"/>
  <c r="Z3" i="6"/>
  <c r="T11" i="3" s="1"/>
  <c r="Q3" i="6"/>
  <c r="T10" i="3" s="1"/>
  <c r="T3" i="6"/>
  <c r="AA3" i="6"/>
  <c r="T12" i="3" s="1"/>
  <c r="Y3" i="6"/>
  <c r="R3" i="6"/>
  <c r="W3" i="6"/>
  <c r="X3" i="6"/>
  <c r="AE3" i="6"/>
  <c r="B17" i="3" l="1"/>
  <c r="F20" i="3"/>
  <c r="J20" i="3"/>
  <c r="F21" i="3"/>
  <c r="X20" i="3"/>
  <c r="J21" i="3"/>
  <c r="J19" i="3"/>
  <c r="T17" i="3"/>
  <c r="T18" i="3"/>
  <c r="X17" i="3"/>
  <c r="X21" i="3"/>
  <c r="J18" i="3"/>
  <c r="F18" i="3"/>
  <c r="T21" i="3"/>
  <c r="X18" i="3"/>
  <c r="T20" i="3"/>
  <c r="X19" i="3"/>
  <c r="T19" i="3"/>
  <c r="F19" i="3"/>
  <c r="B58" i="6"/>
  <c r="B28" i="6"/>
  <c r="B62" i="6"/>
  <c r="B36" i="6"/>
  <c r="B20" i="6"/>
  <c r="B47" i="6"/>
  <c r="B33" i="6"/>
  <c r="B6" i="6"/>
  <c r="B11" i="6"/>
  <c r="B16" i="6"/>
  <c r="B21" i="6"/>
  <c r="B26" i="6"/>
  <c r="B30" i="6"/>
  <c r="B45" i="6"/>
  <c r="B44" i="6"/>
  <c r="B55" i="6"/>
  <c r="B14" i="6"/>
  <c r="B19" i="6"/>
  <c r="B24" i="6"/>
  <c r="B29" i="6"/>
  <c r="B34" i="6"/>
  <c r="B9" i="6"/>
  <c r="B41" i="6"/>
  <c r="B22" i="6"/>
  <c r="B27" i="6"/>
  <c r="B32" i="6"/>
  <c r="B37" i="6"/>
  <c r="B42" i="6"/>
  <c r="B7" i="6"/>
  <c r="B52" i="6"/>
  <c r="B60" i="6"/>
  <c r="B15" i="6"/>
  <c r="B17" i="6"/>
  <c r="B49" i="6"/>
  <c r="B38" i="6"/>
  <c r="B43" i="6"/>
  <c r="B48" i="6"/>
  <c r="B53" i="6"/>
  <c r="B31" i="6"/>
  <c r="B12" i="6"/>
  <c r="B8" i="6"/>
  <c r="B40" i="6"/>
  <c r="B3" i="6"/>
  <c r="F13" i="3" s="1"/>
  <c r="B23" i="6"/>
  <c r="B46" i="6"/>
  <c r="B51" i="6"/>
  <c r="B56" i="6"/>
  <c r="B61" i="6"/>
  <c r="B4" i="6"/>
  <c r="B25" i="6"/>
  <c r="B57" i="6"/>
  <c r="B54" i="6"/>
  <c r="B59" i="6"/>
  <c r="B5" i="6"/>
  <c r="B10" i="6"/>
  <c r="B39" i="6"/>
  <c r="B13" i="6"/>
  <c r="B18" i="6"/>
  <c r="B35" i="6"/>
  <c r="B50" i="6"/>
  <c r="C59" i="6" l="1"/>
  <c r="D59" i="6"/>
  <c r="D46" i="6"/>
  <c r="C46" i="6"/>
  <c r="D48" i="6"/>
  <c r="C48" i="6"/>
  <c r="C7" i="6"/>
  <c r="D7" i="6"/>
  <c r="D34" i="6"/>
  <c r="C34" i="6"/>
  <c r="D30" i="6"/>
  <c r="C30" i="6"/>
  <c r="D20" i="6"/>
  <c r="C20" i="6"/>
  <c r="C23" i="6"/>
  <c r="D23" i="6"/>
  <c r="D35" i="6"/>
  <c r="C35" i="6"/>
  <c r="F35" i="6" s="1"/>
  <c r="D57" i="6"/>
  <c r="C57" i="6"/>
  <c r="D3" i="6"/>
  <c r="F12" i="3" s="1"/>
  <c r="C3" i="6"/>
  <c r="V5" i="3" s="1"/>
  <c r="T14" i="3" s="1"/>
  <c r="B13" i="3"/>
  <c r="F10" i="3"/>
  <c r="F11" i="3"/>
  <c r="F14" i="3"/>
  <c r="D38" i="6"/>
  <c r="C38" i="6"/>
  <c r="C37" i="6"/>
  <c r="D37" i="6"/>
  <c r="D24" i="6"/>
  <c r="C24" i="6"/>
  <c r="C21" i="6"/>
  <c r="D21" i="6"/>
  <c r="D62" i="6"/>
  <c r="C62" i="6"/>
  <c r="D42" i="6"/>
  <c r="C42" i="6"/>
  <c r="D18" i="6"/>
  <c r="C18" i="6"/>
  <c r="D25" i="6"/>
  <c r="C25" i="6"/>
  <c r="D40" i="6"/>
  <c r="C40" i="6"/>
  <c r="D49" i="6"/>
  <c r="C49" i="6"/>
  <c r="F49" i="6" s="1"/>
  <c r="D32" i="6"/>
  <c r="C32" i="6"/>
  <c r="D19" i="6"/>
  <c r="C19" i="6"/>
  <c r="D16" i="6"/>
  <c r="C16" i="6"/>
  <c r="D28" i="6"/>
  <c r="C28" i="6"/>
  <c r="D26" i="6"/>
  <c r="C26" i="6"/>
  <c r="F26" i="6" s="1"/>
  <c r="C13" i="6"/>
  <c r="D13" i="6"/>
  <c r="D4" i="6"/>
  <c r="C4" i="6"/>
  <c r="D8" i="6"/>
  <c r="C8" i="6"/>
  <c r="D17" i="6"/>
  <c r="C17" i="6"/>
  <c r="F17" i="6" s="1"/>
  <c r="D27" i="6"/>
  <c r="C27" i="6"/>
  <c r="D14" i="6"/>
  <c r="C14" i="6"/>
  <c r="D11" i="6"/>
  <c r="C11" i="6"/>
  <c r="F11" i="6" s="1"/>
  <c r="D58" i="6"/>
  <c r="C58" i="6"/>
  <c r="F58" i="6" s="1"/>
  <c r="C43" i="6"/>
  <c r="D43" i="6"/>
  <c r="D39" i="6"/>
  <c r="C39" i="6"/>
  <c r="F39" i="6" s="1"/>
  <c r="C61" i="6"/>
  <c r="D61" i="6"/>
  <c r="D12" i="6"/>
  <c r="C12" i="6"/>
  <c r="F12" i="6" s="1"/>
  <c r="C15" i="6"/>
  <c r="D15" i="6"/>
  <c r="D22" i="6"/>
  <c r="C22" i="6"/>
  <c r="D55" i="6"/>
  <c r="C55" i="6"/>
  <c r="F55" i="6" s="1"/>
  <c r="D6" i="6"/>
  <c r="C6" i="6"/>
  <c r="C29" i="6"/>
  <c r="D29" i="6"/>
  <c r="D10" i="6"/>
  <c r="C10" i="6"/>
  <c r="D56" i="6"/>
  <c r="C56" i="6"/>
  <c r="C31" i="6"/>
  <c r="F31" i="6" s="1"/>
  <c r="D31" i="6"/>
  <c r="D60" i="6"/>
  <c r="C60" i="6"/>
  <c r="F60" i="6" s="1"/>
  <c r="D41" i="6"/>
  <c r="C41" i="6"/>
  <c r="F41" i="6" s="1"/>
  <c r="D44" i="6"/>
  <c r="C44" i="6"/>
  <c r="D33" i="6"/>
  <c r="C33" i="6"/>
  <c r="F33" i="6" s="1"/>
  <c r="D50" i="6"/>
  <c r="C50" i="6"/>
  <c r="F50" i="6" s="1"/>
  <c r="D54" i="6"/>
  <c r="C54" i="6"/>
  <c r="F54" i="6" s="1"/>
  <c r="D36" i="6"/>
  <c r="C36" i="6"/>
  <c r="F36" i="6" s="1"/>
  <c r="D5" i="6"/>
  <c r="C5" i="6"/>
  <c r="F5" i="6" s="1"/>
  <c r="C51" i="6"/>
  <c r="D51" i="6"/>
  <c r="C53" i="6"/>
  <c r="D53" i="6"/>
  <c r="D52" i="6"/>
  <c r="C52" i="6"/>
  <c r="D9" i="6"/>
  <c r="C9" i="6"/>
  <c r="F9" i="6" s="1"/>
  <c r="C45" i="6"/>
  <c r="D45" i="6"/>
  <c r="D47" i="6"/>
  <c r="C47" i="6"/>
  <c r="F47" i="6" s="1"/>
  <c r="U31" i="3"/>
  <c r="J17" i="3"/>
  <c r="F17" i="3"/>
  <c r="E24" i="3" s="1"/>
  <c r="F32" i="6" l="1"/>
  <c r="F56" i="6"/>
  <c r="F24" i="6"/>
  <c r="F38" i="6"/>
  <c r="F28" i="6"/>
  <c r="F45" i="6"/>
  <c r="F51" i="6"/>
  <c r="F29" i="6"/>
  <c r="F15" i="6"/>
  <c r="F43" i="6"/>
  <c r="F23" i="6"/>
  <c r="F42" i="6"/>
  <c r="F20" i="6"/>
  <c r="F48" i="6"/>
  <c r="F7" i="6"/>
  <c r="F44" i="6"/>
  <c r="F8" i="6"/>
  <c r="F61" i="6"/>
  <c r="F37" i="6"/>
  <c r="F6" i="6"/>
  <c r="F22" i="6"/>
  <c r="F14" i="6"/>
  <c r="F16" i="6"/>
  <c r="F62" i="6"/>
  <c r="F57" i="6"/>
  <c r="F30" i="6"/>
  <c r="F46" i="6"/>
  <c r="F52" i="6"/>
  <c r="F10" i="6"/>
  <c r="F4" i="6"/>
  <c r="F40" i="6"/>
  <c r="F53" i="6"/>
  <c r="F18" i="6"/>
  <c r="F27" i="6"/>
  <c r="F19" i="6"/>
  <c r="F25" i="6"/>
  <c r="F34" i="6"/>
  <c r="F13" i="6"/>
  <c r="F21" i="6"/>
  <c r="F59" i="6"/>
  <c r="N4" i="3"/>
  <c r="V3" i="6" l="1"/>
  <c r="S3" i="6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<sst xmlns="http://schemas.openxmlformats.org/spreadsheetml/2006/main" count="135" uniqueCount="64">
  <si>
    <t>대표이사 신동일 | 사업자번호 422-88-02467</t>
    <phoneticPr fontId="1" type="noConversion"/>
  </si>
  <si>
    <t>F. 02-529-3303</t>
    <phoneticPr fontId="1" type="noConversion"/>
  </si>
  <si>
    <t>T. 02-547-0303</t>
    <phoneticPr fontId="1" type="noConversion"/>
  </si>
  <si>
    <t>청구내역</t>
    <phoneticPr fontId="1" type="noConversion"/>
  </si>
  <si>
    <t>원</t>
    <phoneticPr fontId="1" type="noConversion"/>
  </si>
  <si>
    <t>결제일</t>
    <phoneticPr fontId="1" type="noConversion"/>
  </si>
  <si>
    <t>작성기준일</t>
    <phoneticPr fontId="1" type="noConversion"/>
  </si>
  <si>
    <t>입금전용계좌</t>
    <phoneticPr fontId="1" type="noConversion"/>
  </si>
  <si>
    <t>상세내역</t>
    <phoneticPr fontId="1" type="noConversion"/>
  </si>
  <si>
    <t>전월 미결제금액</t>
    <phoneticPr fontId="1" type="noConversion"/>
  </si>
  <si>
    <t>전월 초과 입금액</t>
    <phoneticPr fontId="1" type="noConversion"/>
  </si>
  <si>
    <t>당월 결제금액</t>
    <phoneticPr fontId="1" type="noConversion"/>
  </si>
  <si>
    <t>범칙금</t>
    <phoneticPr fontId="1" type="noConversion"/>
  </si>
  <si>
    <t>고객명</t>
    <phoneticPr fontId="1" type="noConversion"/>
  </si>
  <si>
    <t>거래은행</t>
    <phoneticPr fontId="1" type="noConversion"/>
  </si>
  <si>
    <t>차량번호</t>
    <phoneticPr fontId="1" type="noConversion"/>
  </si>
  <si>
    <t>납입회자</t>
    <phoneticPr fontId="1" type="noConversion"/>
  </si>
  <si>
    <t>부산은행 / 101-2077-5994-03</t>
    <phoneticPr fontId="1" type="noConversion"/>
  </si>
  <si>
    <t>계좌번호</t>
    <phoneticPr fontId="1" type="noConversion"/>
  </si>
  <si>
    <t>출금일</t>
    <phoneticPr fontId="1" type="noConversion"/>
  </si>
  <si>
    <t>월 렌트료</t>
    <phoneticPr fontId="1" type="noConversion"/>
  </si>
  <si>
    <t>첫달 결제금액</t>
    <phoneticPr fontId="1" type="noConversion"/>
  </si>
  <si>
    <t>1일 렌트료</t>
    <phoneticPr fontId="1" type="noConversion"/>
  </si>
  <si>
    <t>마지막달 결제금액</t>
    <phoneticPr fontId="1" type="noConversion"/>
  </si>
  <si>
    <t>서울시 서초구 양재대로 11길 36, 은관 505호(양재동, 서울오토갤러리)</t>
    <phoneticPr fontId="1" type="noConversion"/>
  </si>
  <si>
    <t>No</t>
    <phoneticPr fontId="1" type="noConversion"/>
  </si>
  <si>
    <t>결제금액 내역</t>
    <phoneticPr fontId="1" type="noConversion"/>
  </si>
  <si>
    <t>날짜</t>
    <phoneticPr fontId="1" type="noConversion"/>
  </si>
  <si>
    <t>회차</t>
    <phoneticPr fontId="1" type="noConversion"/>
  </si>
  <si>
    <t>실행일</t>
    <phoneticPr fontId="1" type="noConversion"/>
  </si>
  <si>
    <t>구분</t>
    <phoneticPr fontId="1" type="noConversion"/>
  </si>
  <si>
    <t>회</t>
    <phoneticPr fontId="1" type="noConversion"/>
  </si>
  <si>
    <t>인도일</t>
    <phoneticPr fontId="1" type="noConversion"/>
  </si>
  <si>
    <t>렌트기간</t>
    <phoneticPr fontId="1" type="noConversion"/>
  </si>
  <si>
    <t>남은 기간</t>
    <phoneticPr fontId="1" type="noConversion"/>
  </si>
  <si>
    <t>렌트 종료</t>
    <phoneticPr fontId="1" type="noConversion"/>
  </si>
  <si>
    <t>Email</t>
    <phoneticPr fontId="1" type="noConversion"/>
  </si>
  <si>
    <t>담당자 E-Mail</t>
    <phoneticPr fontId="1" type="noConversion"/>
  </si>
  <si>
    <t>정기점검 주기</t>
    <phoneticPr fontId="1" type="noConversion"/>
  </si>
  <si>
    <t>기타청구</t>
    <phoneticPr fontId="1" type="noConversion"/>
  </si>
  <si>
    <t>은행</t>
    <phoneticPr fontId="1" type="noConversion"/>
  </si>
  <si>
    <t>정기점검</t>
    <phoneticPr fontId="1" type="noConversion"/>
  </si>
  <si>
    <t>자동차 검사 주기</t>
    <phoneticPr fontId="1" type="noConversion"/>
  </si>
  <si>
    <t>월대여료</t>
    <phoneticPr fontId="1" type="noConversion"/>
  </si>
  <si>
    <t>보증금</t>
    <phoneticPr fontId="1" type="noConversion"/>
  </si>
  <si>
    <t>선수금</t>
    <phoneticPr fontId="1" type="noConversion"/>
  </si>
  <si>
    <r>
      <t xml:space="preserve">-----------------------------------------------------------------------------------
</t>
    </r>
    <r>
      <rPr>
        <b/>
        <sz val="11"/>
        <color theme="1"/>
        <rFont val="맑은 고딕"/>
        <family val="3"/>
        <charset val="129"/>
        <scheme val="minor"/>
      </rPr>
      <t>㈜S BENefit ㈜RENT BENefit ㈜FIN BENefit</t>
    </r>
    <r>
      <rPr>
        <sz val="11"/>
        <color theme="1"/>
        <rFont val="맑은 고딕"/>
        <family val="2"/>
        <charset val="129"/>
        <scheme val="minor"/>
      </rPr>
      <t xml:space="preserve">
팀장 이두식
(06772) 서울시 서초구 양재대로 11길 36 서울오토갤러리 은관 505호
Office: 02-547-0303  Fax: 02-529-3303  M: 010-9061-3000
</t>
    </r>
    <r>
      <rPr>
        <sz val="11"/>
        <color rgb="FF00B0F0"/>
        <rFont val="맑은 고딕"/>
        <family val="3"/>
        <charset val="129"/>
        <scheme val="minor"/>
      </rPr>
      <t>E-mail: rent@sdibenefit.com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-----------------------------------------------------------------------------------</t>
    </r>
    <r>
      <rPr>
        <sz val="11"/>
        <color theme="1"/>
        <rFont val="맑은 고딕"/>
        <family val="2"/>
        <charset val="129"/>
        <scheme val="minor"/>
      </rPr>
      <t xml:space="preserve">
고객의 시간을 만드는 기업, BENefit</t>
    </r>
    <phoneticPr fontId="1" type="noConversion"/>
  </si>
  <si>
    <t>렌트베네핏 차량 청구서 보내드립니다.
문의사항이 있으시면 언제든지 연락주시기 바랍니다.
감사합니다.</t>
    <phoneticPr fontId="1" type="noConversion"/>
  </si>
  <si>
    <t>고객님 안녕하십니까.
렌트베네핏 이두식 팀장입니다.
월 렌트료 출금이 잔액 부족으로 실패되어
금월 렌트료가 미납된 것으로 확인되어 안내드립니다.
출금일 기준 7일 이내 입금 시에는
연체료가 부과되지 않으니 참고 부탁드립니다.
아래 청구서 계좌로 입금 부탁드립니다.
- 입금 금액 : 1,367,000원
- 계좌번호 : 101-2077-5994-03 (부산은행)
- 예금주 : (주)렌트베네핏 신동일
확인 후 처리 부탁드리며,
문의사항 있으시면 연락 주시기 바랍니다.
감사합니다.
(주)렌트베네핏
팀장 이두식 올림</t>
    <phoneticPr fontId="1" type="noConversion"/>
  </si>
  <si>
    <t>1차 문자 발송 안내</t>
    <phoneticPr fontId="1" type="noConversion"/>
  </si>
  <si>
    <t>고객님 안녕하십니까.
렌트베네핏 이두식 팀장입니다.
이전 안내드린 월 렌트료 미납 건과 관련하여
현재까지 입금 확인이 되지 않아
계약 약관에 따른 연체 상태로 확인되고 있습니다.
약관에 따라 미납 상태가 지속될 경우
연체이자가 발생될 수 있으니
기한 내 납부를 다시 한번 요청드립니다.
아래 계좌로 입금 확인 부탁드립니다.
- 입금 금액 : 1,367,000원
- 계좌번호 : 101-2077-5994-03 (부산은행)
- 예금주 : (주)렌트베네핏 신동일
본 문자 수신 후에도 미납이 지속될 경우,
추가적인 안내가 진행될 수 있음을 안내드립니다.
감사합니다.
(주)렌트베네핏
팀장 이두식 올림</t>
    <phoneticPr fontId="1" type="noConversion"/>
  </si>
  <si>
    <t>2차 문자 발송 안내</t>
    <phoneticPr fontId="1" type="noConversion"/>
  </si>
  <si>
    <t>고객님 안녕하십니까.
렌트베네핏 이두식 팀장입니다.
수차례 안내드린 월 렌트료 미납 건과 관련하여
현재 기준 1개월 렌트료 미납이 확정되어 안내드립니다.
계약 약관에 따라 미납 금액에 대한
연체이자가 확정 적용되었으며,
미납 상태가 지속될 경우 연체이자는 추가로 발생됩니다.
또한 다음 달 렌트료까지 미납이 발생할 경우,
약관에 근거하여 차량 회수 절차를 포함한
계약상 조치가 진행될 수 있음을 사전 안내드립니다.
아래 계좌로 미납 금액 및 연체이자를
기한 내 납부해 주시기 바랍니다.
- 미납 금액 : 1,367,000원
- (연체이자 별도 적용)
- 계좌번호 : 101-2077-5994-03 (부산은행)
- 예금주 : (주)렌트베네핏 신동일
본 안내 이후에도 미납이 지속될 경우,
당사는 약관에 따른 절차를 진행할 예정이오니
이 점 유의하여 주시기 바랍니다.
감사합니다.
(주)렌트베네핏
팀장 이두식 올림</t>
    <phoneticPr fontId="1" type="noConversion"/>
  </si>
  <si>
    <t>고객님 안녕하십니까.
렌트베네핏 이두식 팀장입니다.
월 렌트료 미납 건과 관련하여
현재 기준 렌트료 2개월 미납이 확인되어
계약 위반 상태임을 안내드립니다.
계약 약관에 따라 렌트료가 2개월 이상 미납될 경우,
당사는 계약 해지 및 차량 회수 절차를
진행할 수 있는 권한을 가지며,
미납 금액에 대한 연체이자 및
법적 조치가 병행될 수 있습니다.
다만, 본 문자 발송일 기준
최종 유예기간으로 7일의 납부 기한을 드리며,
해당 기간 내 미납 금액이 전액 납부되지 않을 경우,
별도의 추가 안내 없이
차량 회수 절차 및 약관에 따른 법적 조치가
즉시 진행될 예정임을 알려드립니다.
아래 계좌로 미납 금액 및 연체이자를
기한 내 납부하여 주시기 바랍니다.
- 미납 금액 : (2개월분 렌트료)
- 연체이자 : 약관에 따라 부과
- 계좌번호 : 101-2077-5994-03 (부산은행)
- 예금주 : (주)렌트베네핏 신동일
본 안내는 계약 약관에 근거한
공식 통보임을 안내드리며,
기한 내 미납 해소를 강력히 요청드립니다.
감사합니다.
(주)렌트베네핏  
팀장 이두식 올림</t>
    <phoneticPr fontId="1" type="noConversion"/>
  </si>
  <si>
    <t>2개월 미납 확정 안내문</t>
    <phoneticPr fontId="1" type="noConversion"/>
  </si>
  <si>
    <t>3차 이자 발생 확정 문자 발송 안내</t>
    <phoneticPr fontId="1" type="noConversion"/>
  </si>
  <si>
    <t>전월 미결제 금액</t>
    <phoneticPr fontId="1" type="noConversion"/>
  </si>
  <si>
    <t>이자</t>
    <phoneticPr fontId="1" type="noConversion"/>
  </si>
  <si>
    <t>연체이자율</t>
    <phoneticPr fontId="1" type="noConversion"/>
  </si>
  <si>
    <t>고객님 안녕하십니까.
렌트베네핏 이두식 팀장입니다.
기 안내드린 **렌트료 미납 관련 최종 납부 기한(○월 ○일)**까지
미납 금액이 입금되지 않아
계약 약관에 따라 차량 회수 절차가 진행됨을 안내드립니다.
당사는 계약 약관에 근거하여
차량 회수 및 계약 해지 절차를 진행할 예정이며,
이에 따라 미납 렌트료, 연체이자, 차량 회수 비용 및 기타 발생 비용에 대한 청구와 함께 법적 절차가 진행될 수 있음을 안내드립니다.
차량 회수 관련하여
담당 직원이 차량 위치 확인 및 회수 일정 조율을 위해 연락드릴 예정이오니 협조 부탁드립니다.
만약 차량을 임의로 은닉하거나 회수를 방해할 경우
추가적인 법적 책임이 발생할 수 있음을 함께 안내드립니다.
감사합니다.
(주)렌트베네핏
팀장 이두식 올림</t>
    <phoneticPr fontId="1" type="noConversion"/>
  </si>
  <si>
    <t>차량 회수 안내 문자</t>
    <phoneticPr fontId="1" type="noConversion"/>
  </si>
  <si>
    <t>고객님 안녕하십니까.
렌트베네핏 이두식 팀장입니다.
기 안내드린 월 렌트료 미납 건과 관련하여
고객님께 부여된 최종 납부 기한이 금일(○월 ○일)까지임을
다시 한번 안내드립니다.
금일 기준 미납 금액이 전액 입금되지 않을 경우,
계약 약관에 따라 차량 회수 절차가 즉시 진행될 예정이며
차량 회수와 함께 계약 해지 및 미납 렌트료, 연체이자,
차량 회수 관련 비용 등에 대한 청구 및 법적 절차가 진행될 수 있음을 안내드립니다.
이에 따라 금일 내 미납 금액 전액을 납부하여 주시기 바라며,
금일 입금이 확인되지 않을 경우
차량 회수 진행에 동의한 것으로 간주하고 절차를 진행하도록 하겠습니다.
미납 금액 : (미납 렌트료 2개월분)
연체이자 : 약관에 따라 부과
계좌번호 : 101-2077-5994-03 (부산은행)
예금주 : (주)렌트베네핏 신동일
본 안내는 계약 약관에 따른 최종 안내이오니
기한 내 납부를 요청드립니다.
감사합니다.
(주)렌트베네핏
팀장 이두식 올림</t>
    <phoneticPr fontId="1" type="noConversion"/>
  </si>
  <si>
    <t>Tucson-001</t>
    <phoneticPr fontId="1" type="noConversion"/>
  </si>
  <si>
    <t>법인/고객명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</si>
</sst>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_-[$₩-412]* #,##0_-;\-[$₩-412]* #,##0_-;_-[$₩-412]* &quot;-&quot;??_-;_-@_-"/>
    <numFmt numFmtId="177" formatCode="0_ "/>
    <numFmt numFmtId="178" formatCode="#,##0_ "/>
  </numFmts>
  <fonts count="2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6"/>
      <color theme="1"/>
      <name val="맑은 고딕"/>
      <family val="2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7"/>
      <color theme="1"/>
      <name val="맑은 고딕"/>
      <family val="2"/>
      <charset val="2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6"/>
      <color theme="1"/>
      <name val="맑은 고딕"/>
      <family val="2"/>
      <charset val="2"/>
      <scheme val="minor"/>
    </font>
    <font>
      <b/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8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b/>
      <sz val="8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color rgb="FF00B0F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 style="medium">
        <color theme="0" tint="-0.14996795556505021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 style="medium">
        <color theme="0" tint="-0.14996795556505021"/>
      </bottom>
      <diagonal/>
    </border>
    <border>
      <left/>
      <right/>
      <top/>
      <bottom style="medium">
        <color theme="1" tint="0.34998626667073579"/>
      </bottom>
      <diagonal/>
    </border>
    <border>
      <left style="thin">
        <color theme="0" tint="-0.14996795556505021"/>
      </left>
      <right/>
      <top style="medium">
        <color theme="1" tint="0.34998626667073579"/>
      </top>
      <bottom style="medium">
        <color theme="0" tint="-0.14996795556505021"/>
      </bottom>
      <diagonal/>
    </border>
    <border>
      <left/>
      <right style="thin">
        <color theme="0" tint="-0.14996795556505021"/>
      </right>
      <top style="medium">
        <color theme="1" tint="0.34998626667073579"/>
      </top>
      <bottom style="medium">
        <color theme="0" tint="-0.14996795556505021"/>
      </bottom>
      <diagonal/>
    </border>
    <border>
      <left style="thin">
        <color theme="0" tint="-0.14996795556505021"/>
      </left>
      <right/>
      <top style="medium">
        <color theme="0" tint="-0.14996795556505021"/>
      </top>
      <bottom/>
      <diagonal/>
    </border>
    <border>
      <left/>
      <right style="thin">
        <color theme="0" tint="-0.14996795556505021"/>
      </right>
      <top style="medium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/>
      <right style="dotted">
        <color theme="0" tint="-0.34998626667073579"/>
      </right>
      <top style="medium">
        <color theme="0" tint="-0.499984740745262"/>
      </top>
      <bottom style="thin">
        <color theme="0" tint="-0.499984740745262"/>
      </bottom>
      <diagonal/>
    </border>
    <border>
      <left style="dotted">
        <color theme="0" tint="-0.34998626667073579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dotted">
        <color theme="0" tint="-0.34998626667073579"/>
      </left>
      <right style="dotted">
        <color theme="0" tint="-0.34998626667073579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14996795556505021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thin">
        <color theme="0" tint="-0.14996795556505021"/>
      </right>
      <top/>
      <bottom style="medium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</borders>
  <cellStyleXfs count="5">
    <xf numFmtId="0" fontId="0" fillId="0" borderId="0">
      <alignment vertical="center"/>
    </xf>
    <xf numFmtId="41" fontId="8" fillId="0" borderId="0" applyFont="0" applyFill="0" applyBorder="0" applyAlignment="0" applyProtection="0">
      <alignment vertical="center"/>
    </xf>
    <xf numFmtId="0" fontId="22" fillId="0" borderId="0"/>
    <xf numFmtId="0" fontId="23" fillId="0" borderId="0">
      <alignment vertical="center"/>
    </xf>
    <xf numFmtId="9" fontId="8" fillId="0" borderId="0" applyFont="0" applyFill="0" applyBorder="0" applyAlignment="0" applyProtection="0">
      <alignment vertical="center"/>
    </xf>
  </cellStyleXfs>
  <cellXfs count="14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5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left" vertical="center" wrapText="1"/>
    </xf>
    <xf numFmtId="0" fontId="2" fillId="4" borderId="0" xfId="0" applyFont="1" applyFill="1">
      <alignment vertical="center"/>
    </xf>
    <xf numFmtId="0" fontId="7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/>
    </xf>
    <xf numFmtId="0" fontId="3" fillId="3" borderId="0" xfId="0" applyFont="1" applyFill="1">
      <alignment vertical="center"/>
    </xf>
    <xf numFmtId="0" fontId="10" fillId="3" borderId="0" xfId="0" applyFont="1" applyFill="1" applyAlignment="1">
      <alignment horizontal="left" vertical="center"/>
    </xf>
    <xf numFmtId="0" fontId="14" fillId="3" borderId="0" xfId="0" applyFont="1" applyFill="1">
      <alignment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17" fillId="3" borderId="0" xfId="0" applyFont="1" applyFill="1">
      <alignment vertical="center"/>
    </xf>
    <xf numFmtId="0" fontId="17" fillId="3" borderId="2" xfId="0" applyFont="1" applyFill="1" applyBorder="1">
      <alignment vertical="center"/>
    </xf>
    <xf numFmtId="0" fontId="18" fillId="3" borderId="0" xfId="0" applyFont="1" applyFill="1">
      <alignment vertical="center"/>
    </xf>
    <xf numFmtId="14" fontId="17" fillId="3" borderId="0" xfId="0" applyNumberFormat="1" applyFont="1" applyFill="1">
      <alignment vertical="center"/>
    </xf>
    <xf numFmtId="0" fontId="5" fillId="3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left" vertical="center"/>
    </xf>
    <xf numFmtId="0" fontId="17" fillId="3" borderId="0" xfId="0" applyFont="1" applyFill="1" applyAlignment="1"/>
    <xf numFmtId="41" fontId="17" fillId="3" borderId="0" xfId="1" applyFont="1" applyFill="1" applyBorder="1">
      <alignment vertical="center"/>
    </xf>
    <xf numFmtId="14" fontId="19" fillId="3" borderId="0" xfId="0" applyNumberFormat="1" applyFont="1" applyFill="1">
      <alignment vertical="center"/>
    </xf>
    <xf numFmtId="41" fontId="20" fillId="3" borderId="0" xfId="0" applyNumberFormat="1" applyFont="1" applyFill="1">
      <alignment vertical="center"/>
    </xf>
    <xf numFmtId="41" fontId="17" fillId="3" borderId="0" xfId="1" applyFont="1" applyFill="1" applyBorder="1" applyAlignment="1">
      <alignment horizontal="right" vertical="center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41" fontId="17" fillId="0" borderId="0" xfId="1" applyFont="1" applyFill="1" applyBorder="1">
      <alignment vertical="center"/>
    </xf>
    <xf numFmtId="14" fontId="18" fillId="0" borderId="0" xfId="0" applyNumberFormat="1" applyFont="1">
      <alignment vertical="center"/>
    </xf>
    <xf numFmtId="41" fontId="17" fillId="0" borderId="0" xfId="0" applyNumberFormat="1" applyFont="1">
      <alignment vertical="center"/>
    </xf>
    <xf numFmtId="41" fontId="17" fillId="3" borderId="11" xfId="1" applyFont="1" applyFill="1" applyBorder="1">
      <alignment vertical="center"/>
    </xf>
    <xf numFmtId="41" fontId="17" fillId="3" borderId="11" xfId="1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8" borderId="10" xfId="0" applyFont="1" applyFill="1" applyBorder="1" applyAlignment="1">
      <alignment horizontal="right" vertical="center" wrapText="1" indent="1"/>
    </xf>
    <xf numFmtId="0" fontId="21" fillId="0" borderId="0" xfId="0" applyFont="1">
      <alignment vertical="center"/>
    </xf>
    <xf numFmtId="0" fontId="0" fillId="0" borderId="0" xfId="0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5" fillId="6" borderId="20" xfId="0" applyFont="1" applyFill="1" applyBorder="1" applyAlignment="1">
      <alignment horizontal="center" vertical="center"/>
    </xf>
    <xf numFmtId="0" fontId="16" fillId="6" borderId="20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14" fillId="3" borderId="16" xfId="0" applyFont="1" applyFill="1" applyBorder="1" applyAlignment="1">
      <alignment horizontal="center" vertical="center"/>
    </xf>
    <xf numFmtId="41" fontId="0" fillId="0" borderId="19" xfId="1" applyFont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14" fontId="11" fillId="0" borderId="19" xfId="0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9" xfId="0" applyBorder="1" applyAlignment="1">
      <alignment horizontal="center" vertical="center"/>
    </xf>
    <xf numFmtId="41" fontId="0" fillId="3" borderId="19" xfId="1" applyFont="1" applyFill="1" applyBorder="1" applyAlignment="1">
      <alignment horizontal="center" vertical="center"/>
    </xf>
    <xf numFmtId="41" fontId="11" fillId="0" borderId="19" xfId="1" applyFont="1" applyBorder="1" applyAlignment="1">
      <alignment horizontal="center" vertical="center"/>
    </xf>
    <xf numFmtId="14" fontId="0" fillId="0" borderId="19" xfId="1" applyNumberFormat="1" applyFont="1" applyBorder="1" applyAlignment="1">
      <alignment horizontal="center" vertical="center"/>
    </xf>
    <xf numFmtId="14" fontId="11" fillId="0" borderId="19" xfId="1" applyNumberFormat="1" applyFont="1" applyBorder="1" applyAlignment="1">
      <alignment horizontal="center" vertical="center"/>
    </xf>
    <xf numFmtId="0" fontId="18" fillId="3" borderId="2" xfId="0" applyFont="1" applyFill="1" applyBorder="1">
      <alignment vertical="center"/>
    </xf>
    <xf numFmtId="0" fontId="24" fillId="3" borderId="0" xfId="0" applyFont="1" applyFill="1" applyAlignment="1">
      <alignment horizontal="left" vertical="center"/>
    </xf>
    <xf numFmtId="0" fontId="0" fillId="0" borderId="18" xfId="0" applyBorder="1" applyAlignment="1">
      <alignment horizontal="center" vertical="center"/>
    </xf>
    <xf numFmtId="41" fontId="0" fillId="0" borderId="19" xfId="0" applyNumberFormat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0" borderId="19" xfId="0" applyBorder="1">
      <alignment vertical="center"/>
    </xf>
    <xf numFmtId="0" fontId="0" fillId="0" borderId="21" xfId="0" applyBorder="1">
      <alignment vertical="center"/>
    </xf>
    <xf numFmtId="41" fontId="0" fillId="0" borderId="21" xfId="1" applyFont="1" applyBorder="1" applyAlignment="1">
      <alignment horizontal="center" vertical="center"/>
    </xf>
    <xf numFmtId="0" fontId="11" fillId="9" borderId="22" xfId="0" applyFont="1" applyFill="1" applyBorder="1" applyAlignment="1">
      <alignment horizontal="center" vertical="center"/>
    </xf>
    <xf numFmtId="0" fontId="11" fillId="9" borderId="23" xfId="0" applyFont="1" applyFill="1" applyBorder="1" applyAlignment="1">
      <alignment horizontal="center" vertical="center"/>
    </xf>
    <xf numFmtId="0" fontId="11" fillId="9" borderId="24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76" fontId="0" fillId="0" borderId="26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41" fontId="0" fillId="0" borderId="0" xfId="1" applyFont="1">
      <alignment vertical="center"/>
    </xf>
    <xf numFmtId="178" fontId="0" fillId="0" borderId="0" xfId="0" applyNumberFormat="1" applyAlignment="1">
      <alignment horizontal="center" vertical="center"/>
    </xf>
    <xf numFmtId="178" fontId="11" fillId="9" borderId="23" xfId="0" applyNumberFormat="1" applyFont="1" applyFill="1" applyBorder="1" applyAlignment="1">
      <alignment horizontal="center" vertical="center"/>
    </xf>
    <xf numFmtId="178" fontId="0" fillId="0" borderId="19" xfId="0" applyNumberFormat="1" applyBorder="1">
      <alignment vertical="center"/>
    </xf>
    <xf numFmtId="178" fontId="0" fillId="0" borderId="26" xfId="0" applyNumberFormat="1" applyBorder="1">
      <alignment vertical="center"/>
    </xf>
    <xf numFmtId="178" fontId="21" fillId="0" borderId="0" xfId="0" applyNumberFormat="1" applyFont="1">
      <alignment vertical="center"/>
    </xf>
    <xf numFmtId="178" fontId="0" fillId="0" borderId="0" xfId="0" applyNumberFormat="1">
      <alignment vertical="center"/>
    </xf>
    <xf numFmtId="0" fontId="0" fillId="0" borderId="0" xfId="0" quotePrefix="1" applyAlignment="1">
      <alignment vertical="center" wrapText="1"/>
    </xf>
    <xf numFmtId="9" fontId="0" fillId="0" borderId="0" xfId="4" applyFont="1">
      <alignment vertical="center"/>
    </xf>
    <xf numFmtId="41" fontId="0" fillId="0" borderId="19" xfId="0" applyNumberFormat="1" applyBorder="1">
      <alignment vertical="center"/>
    </xf>
    <xf numFmtId="176" fontId="0" fillId="8" borderId="19" xfId="0" applyNumberFormat="1" applyFill="1" applyBorder="1">
      <alignment vertical="center"/>
    </xf>
    <xf numFmtId="176" fontId="0" fillId="8" borderId="26" xfId="0" applyNumberFormat="1" applyFill="1" applyBorder="1">
      <alignment vertical="center"/>
    </xf>
    <xf numFmtId="41" fontId="0" fillId="8" borderId="19" xfId="0" applyNumberFormat="1" applyFill="1" applyBorder="1">
      <alignment vertical="center"/>
    </xf>
    <xf numFmtId="41" fontId="0" fillId="8" borderId="26" xfId="0" applyNumberFormat="1" applyFill="1" applyBorder="1">
      <alignment vertical="center"/>
    </xf>
    <xf numFmtId="0" fontId="0" fillId="8" borderId="19" xfId="0" applyFill="1" applyBorder="1">
      <alignment vertical="center"/>
    </xf>
    <xf numFmtId="0" fontId="0" fillId="8" borderId="26" xfId="0" applyFill="1" applyBorder="1">
      <alignment vertical="center"/>
    </xf>
    <xf numFmtId="41" fontId="0" fillId="0" borderId="26" xfId="0" applyNumberFormat="1" applyBorder="1">
      <alignment vertical="center"/>
    </xf>
    <xf numFmtId="3" fontId="0" fillId="0" borderId="0" xfId="0" applyNumberFormat="1">
      <alignment vertical="center"/>
    </xf>
    <xf numFmtId="14" fontId="0" fillId="0" borderId="26" xfId="0" applyNumberFormat="1" applyBorder="1" applyAlignment="1">
      <alignment horizontal="center" vertical="center"/>
    </xf>
    <xf numFmtId="0" fontId="0" fillId="0" borderId="28" xfId="0" applyBorder="1">
      <alignment vertical="center"/>
    </xf>
    <xf numFmtId="0" fontId="11" fillId="9" borderId="23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left" vertical="center" indent="1"/>
    </xf>
    <xf numFmtId="0" fontId="7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right" vertical="center"/>
    </xf>
    <xf numFmtId="41" fontId="10" fillId="3" borderId="0" xfId="1" applyFont="1" applyFill="1" applyBorder="1" applyAlignment="1">
      <alignment horizontal="right" vertical="center"/>
    </xf>
    <xf numFmtId="41" fontId="10" fillId="3" borderId="4" xfId="1" applyFont="1" applyFill="1" applyBorder="1" applyAlignment="1">
      <alignment horizontal="right" vertical="center"/>
    </xf>
    <xf numFmtId="14" fontId="17" fillId="3" borderId="2" xfId="0" applyNumberFormat="1" applyFont="1" applyFill="1" applyBorder="1">
      <alignment vertical="center"/>
    </xf>
    <xf numFmtId="0" fontId="17" fillId="3" borderId="2" xfId="0" applyFont="1" applyFill="1" applyBorder="1">
      <alignment vertical="center"/>
    </xf>
    <xf numFmtId="14" fontId="17" fillId="3" borderId="0" xfId="0" applyNumberFormat="1" applyFont="1" applyFill="1">
      <alignment vertical="center"/>
    </xf>
    <xf numFmtId="0" fontId="17" fillId="3" borderId="0" xfId="0" applyFont="1" applyFill="1">
      <alignment vertical="center"/>
    </xf>
    <xf numFmtId="0" fontId="17" fillId="3" borderId="0" xfId="0" applyFont="1" applyFill="1" applyAlignment="1">
      <alignment horizontal="right" vertical="center"/>
    </xf>
    <xf numFmtId="0" fontId="18" fillId="3" borderId="1" xfId="0" applyFont="1" applyFill="1" applyBorder="1" applyAlignment="1">
      <alignment horizontal="right" vertical="center" wrapText="1" indent="1"/>
    </xf>
    <xf numFmtId="0" fontId="7" fillId="3" borderId="1" xfId="0" applyFont="1" applyFill="1" applyBorder="1" applyAlignment="1">
      <alignment horizontal="right" vertical="center" wrapText="1" indent="1"/>
    </xf>
    <xf numFmtId="0" fontId="7" fillId="3" borderId="8" xfId="0" applyFont="1" applyFill="1" applyBorder="1" applyAlignment="1">
      <alignment horizontal="right" vertical="center" wrapText="1" indent="1"/>
    </xf>
    <xf numFmtId="0" fontId="7" fillId="8" borderId="0" xfId="0" applyFont="1" applyFill="1" applyAlignment="1">
      <alignment horizontal="right" vertical="center" wrapText="1" indent="1"/>
    </xf>
    <xf numFmtId="0" fontId="7" fillId="8" borderId="10" xfId="0" applyFont="1" applyFill="1" applyBorder="1" applyAlignment="1">
      <alignment horizontal="right" vertical="center" wrapText="1" indent="1"/>
    </xf>
    <xf numFmtId="0" fontId="7" fillId="8" borderId="0" xfId="0" applyFont="1" applyFill="1" applyAlignment="1">
      <alignment vertical="center" wrapText="1"/>
    </xf>
    <xf numFmtId="0" fontId="7" fillId="3" borderId="1" xfId="0" applyFont="1" applyFill="1" applyBorder="1" applyAlignment="1">
      <alignment horizontal="left" vertical="center"/>
    </xf>
    <xf numFmtId="41" fontId="14" fillId="3" borderId="0" xfId="1" applyFont="1" applyFill="1" applyBorder="1" applyAlignment="1">
      <alignment horizontal="right" vertical="center" indent="1"/>
    </xf>
    <xf numFmtId="41" fontId="14" fillId="3" borderId="10" xfId="1" applyFont="1" applyFill="1" applyBorder="1" applyAlignment="1">
      <alignment horizontal="right" vertical="center" indent="1"/>
    </xf>
    <xf numFmtId="0" fontId="11" fillId="2" borderId="5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41" fontId="14" fillId="3" borderId="16" xfId="1" applyFont="1" applyFill="1" applyBorder="1" applyAlignment="1">
      <alignment horizontal="right" vertical="center" indent="1"/>
    </xf>
    <xf numFmtId="41" fontId="14" fillId="3" borderId="17" xfId="1" applyFont="1" applyFill="1" applyBorder="1" applyAlignment="1">
      <alignment horizontal="right" vertical="center" indent="1"/>
    </xf>
    <xf numFmtId="0" fontId="7" fillId="3" borderId="16" xfId="0" applyFont="1" applyFill="1" applyBorder="1" applyAlignment="1">
      <alignment horizontal="left" vertical="center"/>
    </xf>
    <xf numFmtId="41" fontId="14" fillId="3" borderId="1" xfId="1" applyFont="1" applyFill="1" applyBorder="1" applyAlignment="1">
      <alignment horizontal="right" vertical="center" indent="1"/>
    </xf>
    <xf numFmtId="41" fontId="14" fillId="3" borderId="8" xfId="1" applyFont="1" applyFill="1" applyBorder="1" applyAlignment="1">
      <alignment horizontal="right" vertical="center" indent="1"/>
    </xf>
    <xf numFmtId="41" fontId="14" fillId="3" borderId="0" xfId="1" applyFont="1" applyFill="1" applyBorder="1" applyAlignment="1">
      <alignment horizontal="center" vertical="center"/>
    </xf>
    <xf numFmtId="14" fontId="14" fillId="3" borderId="0" xfId="1" applyNumberFormat="1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 vertical="center"/>
    </xf>
    <xf numFmtId="41" fontId="14" fillId="3" borderId="16" xfId="1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left" vertical="center" indent="1"/>
    </xf>
    <xf numFmtId="0" fontId="18" fillId="7" borderId="14" xfId="0" applyFont="1" applyFill="1" applyBorder="1" applyAlignment="1">
      <alignment horizontal="left" vertical="center" indent="1"/>
    </xf>
    <xf numFmtId="41" fontId="17" fillId="3" borderId="14" xfId="1" quotePrefix="1" applyFont="1" applyFill="1" applyBorder="1" applyAlignment="1">
      <alignment horizontal="center" vertical="center"/>
    </xf>
    <xf numFmtId="41" fontId="17" fillId="3" borderId="13" xfId="1" quotePrefix="1" applyFont="1" applyFill="1" applyBorder="1" applyAlignment="1">
      <alignment horizontal="center" vertical="center"/>
    </xf>
    <xf numFmtId="0" fontId="18" fillId="3" borderId="0" xfId="0" applyFont="1" applyFill="1">
      <alignment vertical="center"/>
    </xf>
    <xf numFmtId="0" fontId="18" fillId="7" borderId="12" xfId="0" quotePrefix="1" applyFont="1" applyFill="1" applyBorder="1" applyAlignment="1">
      <alignment horizontal="left" vertical="center" indent="1"/>
    </xf>
    <xf numFmtId="0" fontId="18" fillId="7" borderId="14" xfId="0" quotePrefix="1" applyFont="1" applyFill="1" applyBorder="1" applyAlignment="1">
      <alignment horizontal="left" vertical="center" indent="1"/>
    </xf>
    <xf numFmtId="0" fontId="15" fillId="6" borderId="20" xfId="0" applyFont="1" applyFill="1" applyBorder="1" applyAlignment="1">
      <alignment horizontal="center" vertical="center"/>
    </xf>
    <xf numFmtId="14" fontId="7" fillId="3" borderId="16" xfId="0" applyNumberFormat="1" applyFont="1" applyFill="1" applyBorder="1" applyAlignment="1">
      <alignment horizontal="right" vertical="center" wrapText="1" indent="1"/>
    </xf>
    <xf numFmtId="0" fontId="7" fillId="3" borderId="16" xfId="0" applyFont="1" applyFill="1" applyBorder="1" applyAlignment="1">
      <alignment horizontal="right" vertical="center" wrapText="1" indent="1"/>
    </xf>
    <xf numFmtId="0" fontId="7" fillId="3" borderId="17" xfId="0" applyFont="1" applyFill="1" applyBorder="1" applyAlignment="1">
      <alignment horizontal="right" vertical="center" wrapText="1" indent="1"/>
    </xf>
    <xf numFmtId="0" fontId="25" fillId="3" borderId="0" xfId="0" applyFont="1" applyFill="1" applyAlignment="1">
      <alignment horizontal="left" vertical="center"/>
    </xf>
    <xf numFmtId="41" fontId="17" fillId="3" borderId="11" xfId="1" quotePrefix="1" applyFont="1" applyFill="1" applyBorder="1" applyAlignment="1">
      <alignment horizontal="center" vertical="center"/>
    </xf>
    <xf numFmtId="14" fontId="14" fillId="3" borderId="16" xfId="1" applyNumberFormat="1" applyFont="1" applyFill="1" applyBorder="1" applyAlignment="1">
      <alignment horizontal="center" vertical="center"/>
    </xf>
    <xf numFmtId="41" fontId="17" fillId="3" borderId="14" xfId="1" quotePrefix="1" applyFont="1" applyFill="1" applyBorder="1" applyAlignment="1">
      <alignment horizontal="right" vertical="center" indent="1"/>
    </xf>
    <xf numFmtId="41" fontId="17" fillId="3" borderId="13" xfId="1" quotePrefix="1" applyFont="1" applyFill="1" applyBorder="1" applyAlignment="1">
      <alignment horizontal="right" vertical="center" indent="1"/>
    </xf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5">
    <cellStyle name="Normal 2" xfId="2" xr:uid="{0DED4B1F-3854-4218-B984-8059F8A54DC6}"/>
    <cellStyle name="백분율" xfId="4" builtinId="5"/>
    <cellStyle name="쉼표 [0]" xfId="1" builtinId="6"/>
    <cellStyle name="표준" xfId="0" builtinId="0"/>
    <cellStyle name="표준 2" xfId="3" xr:uid="{094DD6DD-0B68-4B33-849B-5DF7D6EC7E7D}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17/06/relationships/rdRichValue" Target="richData/rdrichvalue.xml"/><Relationship Id="rId4" Type="http://schemas.openxmlformats.org/officeDocument/2006/relationships/externalLink" Target="externalLinks/externalLink1.xml"/><Relationship Id="rId9" Type="http://schemas.microsoft.com/office/2022/10/relationships/richValueRel" Target="richData/richValueRel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92075</xdr:colOff>
      <xdr:row>32</xdr:row>
      <xdr:rowOff>60471</xdr:rowOff>
    </xdr:from>
    <xdr:to>
      <xdr:col>26</xdr:col>
      <xdr:colOff>222399</xdr:colOff>
      <xdr:row>33</xdr:row>
      <xdr:rowOff>242450</xdr:rowOff>
    </xdr:to>
    <xdr:pic>
      <xdr:nvPicPr>
        <xdr:cNvPr id="2" name="그림 1" descr="텍스트이(가) 표시된 사진&#10;&#10;자동 생성된 설명">
          <a:extLst>
            <a:ext uri="{FF2B5EF4-FFF2-40B4-BE49-F238E27FC236}">
              <a16:creationId xmlns:a16="http://schemas.microsoft.com/office/drawing/2014/main" id="{3D577DA1-7278-4E6F-B874-953591832D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73" t="5017" r="4103"/>
        <a:stretch/>
      </xdr:blipFill>
      <xdr:spPr>
        <a:xfrm>
          <a:off x="5417792" y="8434188"/>
          <a:ext cx="1124237" cy="4304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185487</xdr:rowOff>
    </xdr:from>
    <xdr:to>
      <xdr:col>5</xdr:col>
      <xdr:colOff>5953</xdr:colOff>
      <xdr:row>33</xdr:row>
      <xdr:rowOff>199704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9DF4230-2106-4997-9F91-D24DC5EAA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8559204"/>
          <a:ext cx="1248344" cy="262696"/>
        </a:xfrm>
        <a:prstGeom prst="rect">
          <a:avLst/>
        </a:prstGeom>
      </xdr:spPr>
    </xdr:pic>
    <xdr:clientData/>
  </xdr:twoCellAnchor>
  <xdr:twoCellAnchor>
    <xdr:from>
      <xdr:col>27</xdr:col>
      <xdr:colOff>223631</xdr:colOff>
      <xdr:row>2</xdr:row>
      <xdr:rowOff>124239</xdr:rowOff>
    </xdr:from>
    <xdr:to>
      <xdr:col>29</xdr:col>
      <xdr:colOff>248478</xdr:colOff>
      <xdr:row>3</xdr:row>
      <xdr:rowOff>364434</xdr:rowOff>
    </xdr:to>
    <xdr:sp macro="[0]!Tes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AE3BC750-A9B1-5B5A-C292-2FEE09CB25E2}"/>
            </a:ext>
          </a:extLst>
        </xdr:cNvPr>
        <xdr:cNvSpPr/>
      </xdr:nvSpPr>
      <xdr:spPr>
        <a:xfrm>
          <a:off x="6775174" y="960782"/>
          <a:ext cx="1366630" cy="546652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메일 보내기</a:t>
          </a:r>
          <a:endParaRPr lang="en-US" altLang="ko-K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5.%20&#47116;&#53944;&#52852;_&#51221;&#49328;&#49436;/1.%20&#47116;&#53944;&#52852;%20&#47588;&#51077;&#52264;&#47049;%20&#47532;&#49828;&#53944;%20&#44288;&#47532;.xlsx" TargetMode="External"/><Relationship Id="rId2" Type="http://schemas.openxmlformats.org/officeDocument/2006/relationships/externalLinkPath" Target="https://sdibenefit-my.sharepoint.com/personal/rent_sdibenefit_com/Documents/rentbenefit/5.%20&#47116;&#53944;&#52852;_&#51221;&#49328;&#49436;/1.%20&#47116;&#53944;&#52852;%20&#47588;&#51077;&#52264;&#47049;%20&#47532;&#49828;&#53944;%20&#44288;&#47532;.xlsx" TargetMode="External"/><Relationship Id="rId1" Type="http://schemas.openxmlformats.org/officeDocument/2006/relationships/externalLinkPath" Target="/personal/rent_sdibenefit_com/Documents/rentbenefit/5.%20&#47116;&#53944;&#52852;_&#51221;&#49328;&#49436;/1.%20&#47116;&#53944;&#52852;%20&#47588;&#51077;&#52264;&#47049;%20&#47532;&#49828;&#53944;%20&#44288;&#4753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DB_렌트_차량관리"/>
      <sheetName val="렌트_차량관리"/>
      <sheetName val="렌트_사고대차관리"/>
      <sheetName val="렌트_차량관리_거래완료"/>
      <sheetName val="렌트_계약서번호"/>
      <sheetName val="렌트_Outlook 메모"/>
      <sheetName val="사고대차_Outlook 메모"/>
    </sheetNames>
    <sheetDataSet>
      <sheetData sheetId="0"/>
      <sheetData sheetId="1">
        <row r="4">
          <cell r="C4" t="str">
            <v>Ray-001</v>
          </cell>
          <cell r="D4" t="str">
            <v>신흥정보통신㈜_1</v>
          </cell>
          <cell r="E4" t="str">
            <v>이종희 이사님</v>
          </cell>
          <cell r="F4" t="str">
            <v>010-3214-0636</v>
          </cell>
          <cell r="G4" t="str">
            <v>Ray Van</v>
          </cell>
          <cell r="H4" t="str">
            <v>스탠다드 A/T</v>
          </cell>
          <cell r="I4">
            <v>12750000</v>
          </cell>
          <cell r="J4">
            <v>2022</v>
          </cell>
          <cell r="K4" t="str">
            <v>White/Black</v>
          </cell>
          <cell r="L4" t="str">
            <v>가솔린</v>
          </cell>
          <cell r="M4" t="str">
            <v>KNACF911BNT283289</v>
          </cell>
          <cell r="N4" t="str">
            <v>101호2182</v>
          </cell>
          <cell r="O4" t="str">
            <v>-</v>
          </cell>
          <cell r="P4">
            <v>998</v>
          </cell>
          <cell r="Q4">
            <v>44494</v>
          </cell>
          <cell r="R4">
            <v>44497</v>
          </cell>
          <cell r="S4">
            <v>44497</v>
          </cell>
          <cell r="T4" t="str">
            <v>5</v>
          </cell>
          <cell r="U4">
            <v>46322</v>
          </cell>
          <cell r="V4">
            <v>2</v>
          </cell>
          <cell r="W4">
            <v>20000</v>
          </cell>
          <cell r="X4" t="str">
            <v>이성호</v>
          </cell>
          <cell r="Y4" t="str">
            <v>010-9698-0404</v>
          </cell>
          <cell r="Z4" t="str">
            <v>경광주</v>
          </cell>
          <cell r="AA4" t="str">
            <v>경기도 광주시 중앙로 144 (경안동, KT광주지점) 3층 신흥정보통신</v>
          </cell>
          <cell r="AB4">
            <v>44505</v>
          </cell>
          <cell r="AC4">
            <v>1825</v>
          </cell>
          <cell r="AD4">
            <v>77</v>
          </cell>
          <cell r="AE4">
            <v>21100001</v>
          </cell>
          <cell r="AF4">
            <v>13234421</v>
          </cell>
          <cell r="AG4">
            <v>200000</v>
          </cell>
          <cell r="AH4">
            <v>12688000</v>
          </cell>
          <cell r="AI4">
            <v>0</v>
          </cell>
          <cell r="AJ4">
            <v>2000</v>
          </cell>
          <cell r="AK4">
            <v>461380</v>
          </cell>
          <cell r="AL4">
            <v>0</v>
          </cell>
          <cell r="AM4">
            <v>2000</v>
          </cell>
          <cell r="AN4">
            <v>27000</v>
          </cell>
          <cell r="AO4">
            <v>30000</v>
          </cell>
          <cell r="AP4">
            <v>430000</v>
          </cell>
          <cell r="AQ4">
            <v>0</v>
          </cell>
          <cell r="AR4" t="str">
            <v>엠피온</v>
          </cell>
          <cell r="AS4">
            <v>0</v>
          </cell>
          <cell r="AT4" t="str">
            <v>루마 전면 없음/측후면 15%</v>
          </cell>
          <cell r="AU4" t="str">
            <v>0</v>
          </cell>
          <cell r="AV4">
            <v>522380</v>
          </cell>
          <cell r="AW4" t="str">
            <v>렌터카 공제</v>
          </cell>
          <cell r="AX4">
            <v>44494</v>
          </cell>
          <cell r="AY4">
            <v>1138590</v>
          </cell>
          <cell r="AZ4">
            <v>1034460</v>
          </cell>
          <cell r="BA4" t="str">
            <v>0</v>
          </cell>
          <cell r="BB4" t="str">
            <v>0</v>
          </cell>
          <cell r="BC4" t="str">
            <v>0</v>
          </cell>
          <cell r="BD4" t="str">
            <v>만26세</v>
          </cell>
          <cell r="BE4" t="str">
            <v>무한대</v>
          </cell>
          <cell r="BF4" t="str">
            <v>2억원</v>
          </cell>
          <cell r="BG4" t="str">
            <v>1억원/1500만</v>
          </cell>
          <cell r="BH4" t="str">
            <v>2억원/1인당</v>
          </cell>
          <cell r="BI4" t="str">
            <v>30만원</v>
          </cell>
          <cell r="BJ4" t="str">
            <v>임직원</v>
          </cell>
          <cell r="BK4" t="str">
            <v>5회/년</v>
          </cell>
          <cell r="BL4" t="str">
            <v>가입</v>
          </cell>
          <cell r="BM4" t="str">
            <v>미가입</v>
          </cell>
          <cell r="BN4" t="str">
            <v>브랜드보증 외 사용자 부담</v>
          </cell>
          <cell r="BO4" t="str">
            <v>브랜드보증 외 사용자 부담</v>
          </cell>
          <cell r="BP4" t="str">
            <v>HANKOOK 앞/뒤165 60R14 79H 32만원/18/4</v>
          </cell>
          <cell r="BQ4" t="str">
            <v>0</v>
          </cell>
          <cell r="BR4">
            <v>17964</v>
          </cell>
          <cell r="BS4" t="str">
            <v>현금</v>
          </cell>
          <cell r="BT4" t="str">
            <v>0</v>
          </cell>
          <cell r="BU4" t="str">
            <v>0</v>
          </cell>
          <cell r="BV4" t="str">
            <v>0</v>
          </cell>
          <cell r="BW4" t="str">
            <v>0</v>
          </cell>
          <cell r="BX4">
            <v>0</v>
          </cell>
          <cell r="BY4">
            <v>0</v>
          </cell>
          <cell r="BZ4">
            <v>0</v>
          </cell>
          <cell r="CA4" t="str">
            <v>0</v>
          </cell>
          <cell r="CB4" t="str">
            <v>5</v>
          </cell>
          <cell r="CC4" t="str">
            <v>5</v>
          </cell>
          <cell r="CD4">
            <v>342650</v>
          </cell>
          <cell r="CE4">
            <v>60</v>
          </cell>
          <cell r="CF4">
            <v>20559000</v>
          </cell>
          <cell r="CG4" t="str">
            <v>0</v>
          </cell>
          <cell r="CH4" t="str">
            <v>0</v>
          </cell>
          <cell r="CI4">
            <v>2506900</v>
          </cell>
          <cell r="CJ4">
            <v>0.04</v>
          </cell>
          <cell r="CK4">
            <v>0.04</v>
          </cell>
          <cell r="CL4" t="str">
            <v>jhlee@shtel.co.kr</v>
          </cell>
          <cell r="CM4" t="str">
            <v>0</v>
          </cell>
          <cell r="CN4" t="str">
            <v>0</v>
          </cell>
          <cell r="CO4">
            <v>0.03</v>
          </cell>
          <cell r="CP4" t="str">
            <v>0</v>
          </cell>
          <cell r="CQ4">
            <v>0</v>
          </cell>
          <cell r="CR4">
            <v>0</v>
          </cell>
          <cell r="CS4">
            <v>0</v>
          </cell>
          <cell r="CT4">
            <v>0</v>
          </cell>
          <cell r="CU4">
            <v>0</v>
          </cell>
          <cell r="CV4">
            <v>0</v>
          </cell>
          <cell r="CW4">
            <v>0</v>
          </cell>
          <cell r="CX4">
            <v>0</v>
          </cell>
          <cell r="CY4">
            <v>0</v>
          </cell>
          <cell r="CZ4">
            <v>0</v>
          </cell>
          <cell r="DA4">
            <v>0</v>
          </cell>
          <cell r="DB4" t="str">
            <v>기아</v>
          </cell>
          <cell r="DC4" t="str">
            <v>정수원 실장</v>
          </cell>
          <cell r="DD4" t="str">
            <v>렌트베네핏</v>
          </cell>
          <cell r="DE4" t="str">
            <v>0</v>
          </cell>
          <cell r="DF4" t="str">
            <v>0</v>
          </cell>
          <cell r="DG4" t="str">
            <v>0</v>
          </cell>
          <cell r="DH4" t="str">
            <v>206-85-09469</v>
          </cell>
          <cell r="DI4" t="str">
            <v>주소 없음</v>
          </cell>
          <cell r="DJ4">
            <v>0.3</v>
          </cell>
          <cell r="DK4">
            <v>0.2</v>
          </cell>
          <cell r="DL4" t="str">
            <v>0</v>
          </cell>
          <cell r="DM4" t="str">
            <v>0</v>
          </cell>
          <cell r="DN4" t="str">
            <v>0</v>
          </cell>
          <cell r="DO4" t="str">
            <v>0</v>
          </cell>
          <cell r="DP4" t="str">
            <v>0</v>
          </cell>
        </row>
        <row r="5">
          <cell r="C5" t="str">
            <v>Ray-002</v>
          </cell>
          <cell r="D5" t="str">
            <v>신흥정보통신㈜_2</v>
          </cell>
          <cell r="E5" t="str">
            <v>이종희 이사님</v>
          </cell>
          <cell r="F5" t="str">
            <v>010-3214-0636</v>
          </cell>
          <cell r="G5" t="str">
            <v>Ray Van</v>
          </cell>
          <cell r="H5" t="str">
            <v>스탠다드 A/T</v>
          </cell>
          <cell r="I5">
            <v>12750000</v>
          </cell>
          <cell r="J5">
            <v>2022</v>
          </cell>
          <cell r="K5" t="str">
            <v>White/Black</v>
          </cell>
          <cell r="L5" t="str">
            <v>가솔린</v>
          </cell>
          <cell r="M5" t="str">
            <v>KNACF911BNT282816</v>
          </cell>
          <cell r="N5" t="str">
            <v>101호2165</v>
          </cell>
          <cell r="O5" t="str">
            <v>-</v>
          </cell>
          <cell r="P5">
            <v>998</v>
          </cell>
          <cell r="Q5">
            <v>44494</v>
          </cell>
          <cell r="R5">
            <v>44497</v>
          </cell>
          <cell r="S5">
            <v>44497</v>
          </cell>
          <cell r="T5" t="str">
            <v>5</v>
          </cell>
          <cell r="U5">
            <v>46322</v>
          </cell>
          <cell r="V5">
            <v>2</v>
          </cell>
          <cell r="W5">
            <v>20000</v>
          </cell>
          <cell r="X5" t="str">
            <v>이진근</v>
          </cell>
          <cell r="Y5" t="str">
            <v>010-7234-1114</v>
          </cell>
          <cell r="Z5" t="str">
            <v>동두천</v>
          </cell>
          <cell r="AA5" t="str">
            <v>경기도 동두천시 중앙로 260 (생연동) KT 동두천지점 2층 신흥정보통신</v>
          </cell>
          <cell r="AB5">
            <v>44505</v>
          </cell>
          <cell r="AC5">
            <v>1825</v>
          </cell>
          <cell r="AD5">
            <v>77</v>
          </cell>
          <cell r="AE5">
            <v>21100002</v>
          </cell>
          <cell r="AF5">
            <v>13234421</v>
          </cell>
          <cell r="AG5">
            <v>200000</v>
          </cell>
          <cell r="AH5">
            <v>12704000</v>
          </cell>
          <cell r="AI5">
            <v>0</v>
          </cell>
          <cell r="AJ5">
            <v>2000</v>
          </cell>
          <cell r="AK5">
            <v>461960</v>
          </cell>
          <cell r="AL5">
            <v>0</v>
          </cell>
          <cell r="AM5">
            <v>2000</v>
          </cell>
          <cell r="AN5">
            <v>27000</v>
          </cell>
          <cell r="AO5">
            <v>30000</v>
          </cell>
          <cell r="AP5">
            <v>430000</v>
          </cell>
          <cell r="AQ5">
            <v>0</v>
          </cell>
          <cell r="AR5" t="str">
            <v>엠피온</v>
          </cell>
          <cell r="AS5">
            <v>0</v>
          </cell>
          <cell r="AT5" t="str">
            <v>루마 전면 없음/측후면 15%</v>
          </cell>
          <cell r="AU5" t="str">
            <v>0</v>
          </cell>
          <cell r="AV5">
            <v>522960</v>
          </cell>
          <cell r="AW5" t="str">
            <v>렌터카 공제</v>
          </cell>
          <cell r="AX5">
            <v>44494</v>
          </cell>
          <cell r="AY5">
            <v>1138590</v>
          </cell>
          <cell r="AZ5">
            <v>1034460</v>
          </cell>
          <cell r="BA5" t="str">
            <v>0</v>
          </cell>
          <cell r="BB5" t="str">
            <v>0</v>
          </cell>
          <cell r="BC5" t="str">
            <v>0</v>
          </cell>
          <cell r="BD5" t="str">
            <v>만26세</v>
          </cell>
          <cell r="BE5" t="str">
            <v>무한대</v>
          </cell>
          <cell r="BF5" t="str">
            <v>2억원</v>
          </cell>
          <cell r="BG5" t="str">
            <v>1억원/1500만</v>
          </cell>
          <cell r="BH5" t="str">
            <v>2억원/1인당</v>
          </cell>
          <cell r="BI5" t="str">
            <v>30만원</v>
          </cell>
          <cell r="BJ5" t="str">
            <v>임직원</v>
          </cell>
          <cell r="BK5" t="str">
            <v>5회/년</v>
          </cell>
          <cell r="BL5" t="str">
            <v>가입</v>
          </cell>
          <cell r="BM5" t="str">
            <v>미가입</v>
          </cell>
          <cell r="BN5" t="str">
            <v>브랜드보증 외 사용자 부담</v>
          </cell>
          <cell r="BO5" t="str">
            <v>브랜드보증 외 사용자 부담</v>
          </cell>
          <cell r="BP5" t="str">
            <v>HANKOOK 앞/뒤165 60R14 79H</v>
          </cell>
          <cell r="BQ5" t="str">
            <v>0</v>
          </cell>
          <cell r="BR5">
            <v>17964</v>
          </cell>
          <cell r="BS5" t="str">
            <v>현금</v>
          </cell>
          <cell r="BT5" t="str">
            <v>0</v>
          </cell>
          <cell r="BU5" t="str">
            <v>0</v>
          </cell>
          <cell r="BV5" t="str">
            <v>0</v>
          </cell>
          <cell r="BW5" t="str">
            <v>0</v>
          </cell>
          <cell r="BX5">
            <v>0</v>
          </cell>
          <cell r="BY5">
            <v>0</v>
          </cell>
          <cell r="BZ5">
            <v>0</v>
          </cell>
          <cell r="CA5" t="str">
            <v>0</v>
          </cell>
          <cell r="CB5" t="str">
            <v>5</v>
          </cell>
          <cell r="CC5" t="str">
            <v>5</v>
          </cell>
          <cell r="CD5">
            <v>342650</v>
          </cell>
          <cell r="CE5">
            <v>60</v>
          </cell>
          <cell r="CF5">
            <v>20559000</v>
          </cell>
          <cell r="CG5" t="str">
            <v>0</v>
          </cell>
          <cell r="CH5" t="str">
            <v>0</v>
          </cell>
          <cell r="CI5">
            <v>2506900</v>
          </cell>
          <cell r="CJ5">
            <v>0.04</v>
          </cell>
          <cell r="CK5">
            <v>0.04</v>
          </cell>
          <cell r="CL5" t="str">
            <v>jhlee@shtel.co.kr</v>
          </cell>
          <cell r="CM5" t="str">
            <v>0</v>
          </cell>
          <cell r="CN5" t="str">
            <v>0</v>
          </cell>
          <cell r="CO5">
            <v>0.03</v>
          </cell>
          <cell r="CP5" t="str">
            <v>0</v>
          </cell>
          <cell r="CQ5">
            <v>0</v>
          </cell>
          <cell r="CR5">
            <v>0</v>
          </cell>
          <cell r="CS5">
            <v>0</v>
          </cell>
          <cell r="CT5">
            <v>0</v>
          </cell>
          <cell r="CU5">
            <v>0</v>
          </cell>
          <cell r="CV5">
            <v>0</v>
          </cell>
          <cell r="CW5">
            <v>0</v>
          </cell>
          <cell r="CX5">
            <v>0</v>
          </cell>
          <cell r="CY5">
            <v>0</v>
          </cell>
          <cell r="CZ5">
            <v>0</v>
          </cell>
          <cell r="DA5">
            <v>0</v>
          </cell>
          <cell r="DB5" t="str">
            <v>기아</v>
          </cell>
          <cell r="DC5" t="str">
            <v>정수원 실장</v>
          </cell>
          <cell r="DD5" t="str">
            <v>렌트베네핏</v>
          </cell>
          <cell r="DE5" t="str">
            <v>0</v>
          </cell>
          <cell r="DF5" t="str">
            <v>0</v>
          </cell>
          <cell r="DG5" t="str">
            <v>0</v>
          </cell>
          <cell r="DH5" t="str">
            <v>206-85-09469</v>
          </cell>
          <cell r="DI5" t="str">
            <v>주소 없음</v>
          </cell>
          <cell r="DJ5">
            <v>0.3</v>
          </cell>
          <cell r="DK5">
            <v>0.2</v>
          </cell>
          <cell r="DL5" t="str">
            <v>0</v>
          </cell>
          <cell r="DM5" t="str">
            <v>0</v>
          </cell>
          <cell r="DN5" t="str">
            <v>0</v>
          </cell>
          <cell r="DO5" t="str">
            <v>0</v>
          </cell>
          <cell r="DP5" t="str">
            <v>0</v>
          </cell>
        </row>
        <row r="6">
          <cell r="C6" t="str">
            <v>Ray-003</v>
          </cell>
          <cell r="D6" t="str">
            <v>신흥정보통신㈜_3</v>
          </cell>
          <cell r="E6" t="str">
            <v>이종희 이사님</v>
          </cell>
          <cell r="F6" t="str">
            <v>010-3214-0636</v>
          </cell>
          <cell r="G6" t="str">
            <v>Ray Van</v>
          </cell>
          <cell r="H6" t="str">
            <v>스탠다드 A/T</v>
          </cell>
          <cell r="I6">
            <v>12750000</v>
          </cell>
          <cell r="J6">
            <v>2022</v>
          </cell>
          <cell r="K6" t="str">
            <v>White/Black</v>
          </cell>
          <cell r="L6" t="str">
            <v>가솔린</v>
          </cell>
          <cell r="M6" t="str">
            <v>KNACF911BNT282750</v>
          </cell>
          <cell r="N6" t="str">
            <v>101호2175</v>
          </cell>
          <cell r="O6" t="str">
            <v>-</v>
          </cell>
          <cell r="P6">
            <v>998</v>
          </cell>
          <cell r="Q6">
            <v>44494</v>
          </cell>
          <cell r="R6">
            <v>44497</v>
          </cell>
          <cell r="S6">
            <v>44497</v>
          </cell>
          <cell r="T6" t="str">
            <v>5</v>
          </cell>
          <cell r="U6">
            <v>46322</v>
          </cell>
          <cell r="V6">
            <v>2</v>
          </cell>
          <cell r="W6">
            <v>20000</v>
          </cell>
          <cell r="X6" t="str">
            <v>이진근</v>
          </cell>
          <cell r="Y6" t="str">
            <v>010-7234-1114</v>
          </cell>
          <cell r="Z6" t="str">
            <v>동두천</v>
          </cell>
          <cell r="AA6" t="str">
            <v>경기도 동두천시 중앙로 260 (생연동) KT 동두천지점 2층 신흥정보통신</v>
          </cell>
          <cell r="AB6">
            <v>44505</v>
          </cell>
          <cell r="AC6">
            <v>1825</v>
          </cell>
          <cell r="AD6">
            <v>77</v>
          </cell>
          <cell r="AE6">
            <v>21100003</v>
          </cell>
          <cell r="AF6">
            <v>13234421</v>
          </cell>
          <cell r="AG6">
            <v>200000</v>
          </cell>
          <cell r="AH6">
            <v>12704000</v>
          </cell>
          <cell r="AI6">
            <v>0</v>
          </cell>
          <cell r="AJ6">
            <v>2000</v>
          </cell>
          <cell r="AK6">
            <v>461960</v>
          </cell>
          <cell r="AL6">
            <v>0</v>
          </cell>
          <cell r="AM6">
            <v>2000</v>
          </cell>
          <cell r="AN6">
            <v>27000</v>
          </cell>
          <cell r="AO6">
            <v>30000</v>
          </cell>
          <cell r="AP6">
            <v>430000</v>
          </cell>
          <cell r="AQ6">
            <v>0</v>
          </cell>
          <cell r="AR6" t="str">
            <v>엠피온</v>
          </cell>
          <cell r="AS6">
            <v>0</v>
          </cell>
          <cell r="AT6" t="str">
            <v>루마 전면 없음/측후면 15%</v>
          </cell>
          <cell r="AU6" t="str">
            <v>0</v>
          </cell>
          <cell r="AV6">
            <v>522960</v>
          </cell>
          <cell r="AW6" t="str">
            <v>렌터카 공제</v>
          </cell>
          <cell r="AX6">
            <v>44494</v>
          </cell>
          <cell r="AY6">
            <v>1138590</v>
          </cell>
          <cell r="AZ6">
            <v>1034460</v>
          </cell>
          <cell r="BA6" t="str">
            <v>0</v>
          </cell>
          <cell r="BB6" t="str">
            <v>0</v>
          </cell>
          <cell r="BC6" t="str">
            <v>0</v>
          </cell>
          <cell r="BD6" t="str">
            <v>만26세</v>
          </cell>
          <cell r="BE6" t="str">
            <v>무한대</v>
          </cell>
          <cell r="BF6" t="str">
            <v>2억원</v>
          </cell>
          <cell r="BG6" t="str">
            <v>1억원/1500만</v>
          </cell>
          <cell r="BH6" t="str">
            <v>2억원/1인당</v>
          </cell>
          <cell r="BI6" t="str">
            <v>30만원</v>
          </cell>
          <cell r="BJ6" t="str">
            <v>임직원</v>
          </cell>
          <cell r="BK6" t="str">
            <v>5회/년</v>
          </cell>
          <cell r="BL6" t="str">
            <v>가입</v>
          </cell>
          <cell r="BM6" t="str">
            <v>미가입</v>
          </cell>
          <cell r="BN6" t="str">
            <v>브랜드보증 외 사용자 부담</v>
          </cell>
          <cell r="BO6" t="str">
            <v>브랜드보증 외 사용자 부담</v>
          </cell>
          <cell r="BP6" t="str">
            <v>HANKOOK 앞/뒤165 60R14 79H</v>
          </cell>
          <cell r="BQ6" t="str">
            <v>0</v>
          </cell>
          <cell r="BR6">
            <v>17964</v>
          </cell>
          <cell r="BS6" t="str">
            <v>현금</v>
          </cell>
          <cell r="BT6" t="str">
            <v>0</v>
          </cell>
          <cell r="BU6" t="str">
            <v>0</v>
          </cell>
          <cell r="BV6" t="str">
            <v>0</v>
          </cell>
          <cell r="BW6" t="str">
            <v>0</v>
          </cell>
          <cell r="BX6">
            <v>0</v>
          </cell>
          <cell r="BY6">
            <v>0</v>
          </cell>
          <cell r="BZ6">
            <v>0</v>
          </cell>
          <cell r="CA6" t="str">
            <v>0</v>
          </cell>
          <cell r="CB6" t="str">
            <v>5</v>
          </cell>
          <cell r="CC6" t="str">
            <v>5</v>
          </cell>
          <cell r="CD6">
            <v>342650</v>
          </cell>
          <cell r="CE6">
            <v>60</v>
          </cell>
          <cell r="CF6">
            <v>20559000</v>
          </cell>
          <cell r="CG6" t="str">
            <v>0</v>
          </cell>
          <cell r="CH6" t="str">
            <v>0</v>
          </cell>
          <cell r="CI6">
            <v>2506900</v>
          </cell>
          <cell r="CJ6">
            <v>0.04</v>
          </cell>
          <cell r="CK6">
            <v>0.04</v>
          </cell>
          <cell r="CL6" t="str">
            <v>jhlee@shtel.co.kr</v>
          </cell>
          <cell r="CM6" t="str">
            <v>0</v>
          </cell>
          <cell r="CN6" t="str">
            <v>0</v>
          </cell>
          <cell r="CO6">
            <v>0.03</v>
          </cell>
          <cell r="CP6" t="str">
            <v>0</v>
          </cell>
          <cell r="CQ6">
            <v>0</v>
          </cell>
          <cell r="CR6">
            <v>0</v>
          </cell>
          <cell r="CS6">
            <v>0</v>
          </cell>
          <cell r="CT6">
            <v>0</v>
          </cell>
          <cell r="CU6">
            <v>0</v>
          </cell>
          <cell r="CV6">
            <v>0</v>
          </cell>
          <cell r="CW6">
            <v>0</v>
          </cell>
          <cell r="CX6">
            <v>0</v>
          </cell>
          <cell r="CY6">
            <v>0</v>
          </cell>
          <cell r="CZ6">
            <v>0</v>
          </cell>
          <cell r="DA6">
            <v>0</v>
          </cell>
          <cell r="DB6" t="str">
            <v>기아</v>
          </cell>
          <cell r="DC6" t="str">
            <v>정수원 실장</v>
          </cell>
          <cell r="DD6" t="str">
            <v>렌트베네핏</v>
          </cell>
          <cell r="DE6" t="str">
            <v>0</v>
          </cell>
          <cell r="DF6" t="str">
            <v>0</v>
          </cell>
          <cell r="DG6" t="str">
            <v>0</v>
          </cell>
          <cell r="DH6" t="str">
            <v>206-85-09469</v>
          </cell>
          <cell r="DI6" t="str">
            <v>주소 없음</v>
          </cell>
          <cell r="DJ6">
            <v>0.3</v>
          </cell>
          <cell r="DK6">
            <v>0.2</v>
          </cell>
          <cell r="DL6" t="str">
            <v>0</v>
          </cell>
          <cell r="DM6" t="str">
            <v>0</v>
          </cell>
          <cell r="DN6" t="str">
            <v>0</v>
          </cell>
          <cell r="DO6" t="str">
            <v>0</v>
          </cell>
          <cell r="DP6" t="str">
            <v>0</v>
          </cell>
        </row>
        <row r="7">
          <cell r="C7" t="str">
            <v>Ray-004</v>
          </cell>
          <cell r="D7" t="str">
            <v>신흥정보통신㈜_4</v>
          </cell>
          <cell r="E7" t="str">
            <v>이종희 이사님</v>
          </cell>
          <cell r="F7" t="str">
            <v>010-3214-0636</v>
          </cell>
          <cell r="G7" t="str">
            <v>Ray Van</v>
          </cell>
          <cell r="H7" t="str">
            <v>스탠다드 A/T</v>
          </cell>
          <cell r="I7">
            <v>12750000</v>
          </cell>
          <cell r="J7">
            <v>2022</v>
          </cell>
          <cell r="K7" t="str">
            <v>White/Black</v>
          </cell>
          <cell r="L7" t="str">
            <v>가솔린</v>
          </cell>
          <cell r="M7" t="str">
            <v>KNACF911BNT283278</v>
          </cell>
          <cell r="N7" t="str">
            <v>101호2174</v>
          </cell>
          <cell r="O7" t="str">
            <v>-</v>
          </cell>
          <cell r="P7">
            <v>998</v>
          </cell>
          <cell r="Q7">
            <v>44494</v>
          </cell>
          <cell r="R7">
            <v>44497</v>
          </cell>
          <cell r="S7">
            <v>44497</v>
          </cell>
          <cell r="T7" t="str">
            <v>5</v>
          </cell>
          <cell r="U7">
            <v>46322</v>
          </cell>
          <cell r="V7">
            <v>2</v>
          </cell>
          <cell r="W7">
            <v>20000</v>
          </cell>
          <cell r="X7" t="str">
            <v>이진근</v>
          </cell>
          <cell r="Y7" t="str">
            <v>010-7234-1114</v>
          </cell>
          <cell r="Z7" t="str">
            <v>동두천</v>
          </cell>
          <cell r="AA7" t="str">
            <v>경기도 동두천시 중앙로 260 (생연동) KT 동두천지점 2층 신흥정보통신</v>
          </cell>
          <cell r="AB7">
            <v>44505</v>
          </cell>
          <cell r="AC7">
            <v>1825</v>
          </cell>
          <cell r="AD7">
            <v>77</v>
          </cell>
          <cell r="AE7">
            <v>21100004</v>
          </cell>
          <cell r="AF7">
            <v>13234421</v>
          </cell>
          <cell r="AG7">
            <v>200000</v>
          </cell>
          <cell r="AH7">
            <v>12704000</v>
          </cell>
          <cell r="AI7">
            <v>0</v>
          </cell>
          <cell r="AJ7">
            <v>2000</v>
          </cell>
          <cell r="AK7">
            <v>461960</v>
          </cell>
          <cell r="AL7">
            <v>0</v>
          </cell>
          <cell r="AM7">
            <v>2000</v>
          </cell>
          <cell r="AN7">
            <v>27000</v>
          </cell>
          <cell r="AO7">
            <v>30000</v>
          </cell>
          <cell r="AP7">
            <v>430000</v>
          </cell>
          <cell r="AQ7">
            <v>0</v>
          </cell>
          <cell r="AR7" t="str">
            <v>엠피온</v>
          </cell>
          <cell r="AS7">
            <v>0</v>
          </cell>
          <cell r="AT7" t="str">
            <v>루마 전면 없음/측후면 15%</v>
          </cell>
          <cell r="AU7" t="str">
            <v>0</v>
          </cell>
          <cell r="AV7">
            <v>522960</v>
          </cell>
          <cell r="AW7" t="str">
            <v>렌터카 공제</v>
          </cell>
          <cell r="AX7">
            <v>44494</v>
          </cell>
          <cell r="AY7">
            <v>1138590</v>
          </cell>
          <cell r="AZ7">
            <v>1034460</v>
          </cell>
          <cell r="BA7" t="str">
            <v>0</v>
          </cell>
          <cell r="BB7" t="str">
            <v>0</v>
          </cell>
          <cell r="BC7" t="str">
            <v>0</v>
          </cell>
          <cell r="BD7" t="str">
            <v>만26세</v>
          </cell>
          <cell r="BE7" t="str">
            <v>무한대</v>
          </cell>
          <cell r="BF7" t="str">
            <v>2억원</v>
          </cell>
          <cell r="BG7" t="str">
            <v>1억원/1500만</v>
          </cell>
          <cell r="BH7" t="str">
            <v>2억원/1인당</v>
          </cell>
          <cell r="BI7" t="str">
            <v>30만원</v>
          </cell>
          <cell r="BJ7" t="str">
            <v>임직원</v>
          </cell>
          <cell r="BK7" t="str">
            <v>5회/년</v>
          </cell>
          <cell r="BL7" t="str">
            <v>가입</v>
          </cell>
          <cell r="BM7" t="str">
            <v>미가입</v>
          </cell>
          <cell r="BN7" t="str">
            <v>브랜드보증 외 사용자 부담</v>
          </cell>
          <cell r="BO7" t="str">
            <v>브랜드보증 외 사용자 부담</v>
          </cell>
          <cell r="BP7" t="str">
            <v>HANKOOK 앞/뒤165 60R14 79H</v>
          </cell>
          <cell r="BQ7" t="str">
            <v>0</v>
          </cell>
          <cell r="BR7">
            <v>17964</v>
          </cell>
          <cell r="BS7" t="str">
            <v>현금</v>
          </cell>
          <cell r="BT7" t="str">
            <v>0</v>
          </cell>
          <cell r="BU7" t="str">
            <v>0</v>
          </cell>
          <cell r="BV7" t="str">
            <v>0</v>
          </cell>
          <cell r="BW7" t="str">
            <v>0</v>
          </cell>
          <cell r="BX7">
            <v>0</v>
          </cell>
          <cell r="BY7">
            <v>0</v>
          </cell>
          <cell r="BZ7">
            <v>0</v>
          </cell>
          <cell r="CA7" t="str">
            <v>0</v>
          </cell>
          <cell r="CB7" t="str">
            <v>5</v>
          </cell>
          <cell r="CC7" t="str">
            <v>5</v>
          </cell>
          <cell r="CD7">
            <v>342650</v>
          </cell>
          <cell r="CE7">
            <v>60</v>
          </cell>
          <cell r="CF7">
            <v>20559000</v>
          </cell>
          <cell r="CG7" t="str">
            <v>0</v>
          </cell>
          <cell r="CH7" t="str">
            <v>0</v>
          </cell>
          <cell r="CI7">
            <v>2506900</v>
          </cell>
          <cell r="CJ7">
            <v>0.04</v>
          </cell>
          <cell r="CK7">
            <v>0.04</v>
          </cell>
          <cell r="CL7" t="str">
            <v>jhlee@shtel.co.kr</v>
          </cell>
          <cell r="CM7" t="str">
            <v>0</v>
          </cell>
          <cell r="CN7" t="str">
            <v>0</v>
          </cell>
          <cell r="CO7">
            <v>0.03</v>
          </cell>
          <cell r="CP7" t="str">
            <v>0</v>
          </cell>
          <cell r="CQ7">
            <v>0</v>
          </cell>
          <cell r="CR7">
            <v>0</v>
          </cell>
          <cell r="CS7">
            <v>0</v>
          </cell>
          <cell r="CT7">
            <v>0</v>
          </cell>
          <cell r="CU7">
            <v>0</v>
          </cell>
          <cell r="CV7">
            <v>0</v>
          </cell>
          <cell r="CW7">
            <v>0</v>
          </cell>
          <cell r="CX7">
            <v>0</v>
          </cell>
          <cell r="CY7">
            <v>0</v>
          </cell>
          <cell r="CZ7">
            <v>0</v>
          </cell>
          <cell r="DA7">
            <v>0</v>
          </cell>
          <cell r="DB7" t="str">
            <v>기아</v>
          </cell>
          <cell r="DC7" t="str">
            <v>정수원 실장</v>
          </cell>
          <cell r="DD7" t="str">
            <v>렌트베네핏</v>
          </cell>
          <cell r="DE7" t="str">
            <v>0</v>
          </cell>
          <cell r="DF7" t="str">
            <v>0</v>
          </cell>
          <cell r="DG7" t="str">
            <v>0</v>
          </cell>
          <cell r="DH7" t="str">
            <v>206-85-09469</v>
          </cell>
          <cell r="DI7" t="str">
            <v>주소 없음</v>
          </cell>
          <cell r="DJ7">
            <v>0.3</v>
          </cell>
          <cell r="DK7">
            <v>0.2</v>
          </cell>
          <cell r="DL7" t="str">
            <v>0</v>
          </cell>
          <cell r="DM7" t="str">
            <v>0</v>
          </cell>
          <cell r="DN7" t="str">
            <v>0</v>
          </cell>
          <cell r="DO7" t="str">
            <v>0</v>
          </cell>
          <cell r="DP7" t="str">
            <v>0</v>
          </cell>
        </row>
        <row r="8">
          <cell r="C8" t="str">
            <v>Ray-005</v>
          </cell>
          <cell r="D8" t="str">
            <v>신흥정보통신㈜_5</v>
          </cell>
          <cell r="E8" t="str">
            <v>이종희 이사님</v>
          </cell>
          <cell r="F8" t="str">
            <v>010-3214-0636</v>
          </cell>
          <cell r="G8" t="str">
            <v>Ray Van</v>
          </cell>
          <cell r="H8" t="str">
            <v>스탠다드 A/T</v>
          </cell>
          <cell r="I8">
            <v>12750000</v>
          </cell>
          <cell r="J8">
            <v>2022</v>
          </cell>
          <cell r="K8" t="str">
            <v>White/Black</v>
          </cell>
          <cell r="L8" t="str">
            <v>가솔린</v>
          </cell>
          <cell r="M8" t="str">
            <v>KNACF911BNT283303</v>
          </cell>
          <cell r="N8" t="str">
            <v>101호2164</v>
          </cell>
          <cell r="O8" t="str">
            <v>-</v>
          </cell>
          <cell r="P8">
            <v>998</v>
          </cell>
          <cell r="Q8">
            <v>44494</v>
          </cell>
          <cell r="R8">
            <v>44497</v>
          </cell>
          <cell r="S8">
            <v>44497</v>
          </cell>
          <cell r="T8" t="str">
            <v>5</v>
          </cell>
          <cell r="U8">
            <v>46322</v>
          </cell>
          <cell r="V8">
            <v>2</v>
          </cell>
          <cell r="W8">
            <v>20000</v>
          </cell>
          <cell r="X8" t="str">
            <v>이진근</v>
          </cell>
          <cell r="Y8" t="str">
            <v>010-7234-1114</v>
          </cell>
          <cell r="Z8" t="str">
            <v>동두천</v>
          </cell>
          <cell r="AA8" t="str">
            <v>경기도 동두천시 중앙로 260 (생연동) KT 동두천지점 2층 신흥정보통신</v>
          </cell>
          <cell r="AB8">
            <v>44505</v>
          </cell>
          <cell r="AC8">
            <v>1825</v>
          </cell>
          <cell r="AD8">
            <v>77</v>
          </cell>
          <cell r="AE8">
            <v>21100005</v>
          </cell>
          <cell r="AF8">
            <v>13234421</v>
          </cell>
          <cell r="AG8">
            <v>200000</v>
          </cell>
          <cell r="AH8">
            <v>12704000</v>
          </cell>
          <cell r="AI8">
            <v>0</v>
          </cell>
          <cell r="AJ8">
            <v>2000</v>
          </cell>
          <cell r="AK8">
            <v>461960</v>
          </cell>
          <cell r="AL8">
            <v>0</v>
          </cell>
          <cell r="AM8">
            <v>2000</v>
          </cell>
          <cell r="AN8">
            <v>27000</v>
          </cell>
          <cell r="AO8">
            <v>30000</v>
          </cell>
          <cell r="AP8">
            <v>430000</v>
          </cell>
          <cell r="AQ8">
            <v>0</v>
          </cell>
          <cell r="AR8" t="str">
            <v>엠피온</v>
          </cell>
          <cell r="AS8">
            <v>0</v>
          </cell>
          <cell r="AT8" t="str">
            <v>루마 전면 없음/측후면 15%</v>
          </cell>
          <cell r="AU8" t="str">
            <v>0</v>
          </cell>
          <cell r="AV8">
            <v>522960</v>
          </cell>
          <cell r="AW8" t="str">
            <v>렌터카 공제</v>
          </cell>
          <cell r="AX8">
            <v>44494</v>
          </cell>
          <cell r="AY8">
            <v>1138590</v>
          </cell>
          <cell r="AZ8">
            <v>1034460</v>
          </cell>
          <cell r="BA8" t="str">
            <v>0</v>
          </cell>
          <cell r="BB8" t="str">
            <v>0</v>
          </cell>
          <cell r="BC8" t="str">
            <v>0</v>
          </cell>
          <cell r="BD8" t="str">
            <v>만26세</v>
          </cell>
          <cell r="BE8" t="str">
            <v>무한대</v>
          </cell>
          <cell r="BF8" t="str">
            <v>2억원</v>
          </cell>
          <cell r="BG8" t="str">
            <v>1억원/1500만</v>
          </cell>
          <cell r="BH8" t="str">
            <v>2억원/1인당</v>
          </cell>
          <cell r="BI8" t="str">
            <v>30만원</v>
          </cell>
          <cell r="BJ8" t="str">
            <v>임직원</v>
          </cell>
          <cell r="BK8" t="str">
            <v>5회/년</v>
          </cell>
          <cell r="BL8" t="str">
            <v>가입</v>
          </cell>
          <cell r="BM8" t="str">
            <v>미가입</v>
          </cell>
          <cell r="BN8" t="str">
            <v>브랜드보증 외 사용자 부담</v>
          </cell>
          <cell r="BO8" t="str">
            <v>브랜드보증 외 사용자 부담</v>
          </cell>
          <cell r="BP8" t="str">
            <v>HANKOOK 앞/뒤165 60R14 79H</v>
          </cell>
          <cell r="BQ8" t="str">
            <v>0</v>
          </cell>
          <cell r="BR8">
            <v>17964</v>
          </cell>
          <cell r="BS8" t="str">
            <v>현금</v>
          </cell>
          <cell r="BT8" t="str">
            <v>0</v>
          </cell>
          <cell r="BU8" t="str">
            <v>0</v>
          </cell>
          <cell r="BV8" t="str">
            <v>0</v>
          </cell>
          <cell r="BW8" t="str">
            <v>0</v>
          </cell>
          <cell r="BX8">
            <v>0</v>
          </cell>
          <cell r="BY8">
            <v>0</v>
          </cell>
          <cell r="BZ8">
            <v>0</v>
          </cell>
          <cell r="CA8" t="str">
            <v>0</v>
          </cell>
          <cell r="CB8" t="str">
            <v>5</v>
          </cell>
          <cell r="CC8" t="str">
            <v>5</v>
          </cell>
          <cell r="CD8">
            <v>342650</v>
          </cell>
          <cell r="CE8">
            <v>60</v>
          </cell>
          <cell r="CF8">
            <v>20559000</v>
          </cell>
          <cell r="CG8" t="str">
            <v>0</v>
          </cell>
          <cell r="CH8" t="str">
            <v>0</v>
          </cell>
          <cell r="CI8">
            <v>2506900</v>
          </cell>
          <cell r="CJ8">
            <v>0.04</v>
          </cell>
          <cell r="CK8">
            <v>0.04</v>
          </cell>
          <cell r="CL8" t="str">
            <v>jhlee@shtel.co.kr</v>
          </cell>
          <cell r="CM8" t="str">
            <v>0</v>
          </cell>
          <cell r="CN8" t="str">
            <v>0</v>
          </cell>
          <cell r="CO8">
            <v>0.03</v>
          </cell>
          <cell r="CP8" t="str">
            <v>0</v>
          </cell>
          <cell r="CQ8">
            <v>0</v>
          </cell>
          <cell r="CR8">
            <v>0</v>
          </cell>
          <cell r="CS8">
            <v>0</v>
          </cell>
          <cell r="CT8">
            <v>0</v>
          </cell>
          <cell r="CU8">
            <v>0</v>
          </cell>
          <cell r="CV8">
            <v>0</v>
          </cell>
          <cell r="CW8">
            <v>0</v>
          </cell>
          <cell r="CX8">
            <v>0</v>
          </cell>
          <cell r="CY8">
            <v>0</v>
          </cell>
          <cell r="CZ8">
            <v>0</v>
          </cell>
          <cell r="DA8">
            <v>0</v>
          </cell>
          <cell r="DB8" t="str">
            <v>기아</v>
          </cell>
          <cell r="DC8" t="str">
            <v>정수원 실장</v>
          </cell>
          <cell r="DD8" t="str">
            <v>렌트베네핏</v>
          </cell>
          <cell r="DE8" t="str">
            <v>0</v>
          </cell>
          <cell r="DF8" t="str">
            <v>0</v>
          </cell>
          <cell r="DG8" t="str">
            <v>0</v>
          </cell>
          <cell r="DH8" t="str">
            <v>206-85-09469</v>
          </cell>
          <cell r="DI8" t="str">
            <v>주소 없음</v>
          </cell>
          <cell r="DJ8">
            <v>0.3</v>
          </cell>
          <cell r="DK8">
            <v>0.2</v>
          </cell>
          <cell r="DL8" t="str">
            <v>0</v>
          </cell>
          <cell r="DM8" t="str">
            <v>0</v>
          </cell>
          <cell r="DN8" t="str">
            <v>0</v>
          </cell>
          <cell r="DO8" t="str">
            <v>0</v>
          </cell>
          <cell r="DP8" t="str">
            <v>0</v>
          </cell>
        </row>
        <row r="9">
          <cell r="C9" t="str">
            <v>Ray-006</v>
          </cell>
          <cell r="D9" t="str">
            <v>신흥정보통신㈜_6</v>
          </cell>
          <cell r="E9" t="str">
            <v>이종희 이사님</v>
          </cell>
          <cell r="F9" t="str">
            <v>010-3214-0636</v>
          </cell>
          <cell r="G9" t="str">
            <v>Ray Van</v>
          </cell>
          <cell r="H9" t="str">
            <v>스탠다드 A/T</v>
          </cell>
          <cell r="I9">
            <v>12750000</v>
          </cell>
          <cell r="J9">
            <v>2022</v>
          </cell>
          <cell r="K9" t="str">
            <v>White/Black</v>
          </cell>
          <cell r="L9" t="str">
            <v>가솔린</v>
          </cell>
          <cell r="M9" t="str">
            <v>KNACF911BNT283296</v>
          </cell>
          <cell r="N9" t="str">
            <v>125호8641</v>
          </cell>
          <cell r="O9" t="str">
            <v>-</v>
          </cell>
          <cell r="P9">
            <v>998</v>
          </cell>
          <cell r="Q9">
            <v>44494</v>
          </cell>
          <cell r="R9">
            <v>44497</v>
          </cell>
          <cell r="S9">
            <v>44497</v>
          </cell>
          <cell r="T9" t="str">
            <v>5</v>
          </cell>
          <cell r="U9">
            <v>46322</v>
          </cell>
          <cell r="V9">
            <v>2</v>
          </cell>
          <cell r="W9">
            <v>20000</v>
          </cell>
          <cell r="X9" t="str">
            <v>이진근</v>
          </cell>
          <cell r="Y9" t="str">
            <v>010-7234-1114</v>
          </cell>
          <cell r="Z9" t="str">
            <v>동두천</v>
          </cell>
          <cell r="AA9" t="str">
            <v>경기도 동두천시 중앙로 260 (생연동) KT 동두천지점 2층 신흥정보통신</v>
          </cell>
          <cell r="AB9">
            <v>44505</v>
          </cell>
          <cell r="AC9">
            <v>1825</v>
          </cell>
          <cell r="AD9">
            <v>77</v>
          </cell>
          <cell r="AE9">
            <v>21100006</v>
          </cell>
          <cell r="AF9">
            <v>13234421</v>
          </cell>
          <cell r="AG9">
            <v>200000</v>
          </cell>
          <cell r="AH9">
            <v>12704000</v>
          </cell>
          <cell r="AI9">
            <v>0</v>
          </cell>
          <cell r="AJ9">
            <v>2000</v>
          </cell>
          <cell r="AK9">
            <v>461960</v>
          </cell>
          <cell r="AL9">
            <v>0</v>
          </cell>
          <cell r="AM9">
            <v>2000</v>
          </cell>
          <cell r="AN9">
            <v>27000</v>
          </cell>
          <cell r="AO9">
            <v>30000</v>
          </cell>
          <cell r="AP9">
            <v>430000</v>
          </cell>
          <cell r="AQ9">
            <v>0</v>
          </cell>
          <cell r="AR9" t="str">
            <v>엠피온</v>
          </cell>
          <cell r="AS9">
            <v>0</v>
          </cell>
          <cell r="AT9" t="str">
            <v>루마 전면 없음/측후면 15%</v>
          </cell>
          <cell r="AU9" t="str">
            <v>0</v>
          </cell>
          <cell r="AV9">
            <v>522960</v>
          </cell>
          <cell r="AW9" t="str">
            <v>렌터카 공제</v>
          </cell>
          <cell r="AX9">
            <v>44494</v>
          </cell>
          <cell r="AY9">
            <v>1138590</v>
          </cell>
          <cell r="AZ9">
            <v>1034460</v>
          </cell>
          <cell r="BA9" t="str">
            <v>0</v>
          </cell>
          <cell r="BB9" t="str">
            <v>0</v>
          </cell>
          <cell r="BC9" t="str">
            <v>0</v>
          </cell>
          <cell r="BD9" t="str">
            <v>만26세</v>
          </cell>
          <cell r="BE9" t="str">
            <v>무한대</v>
          </cell>
          <cell r="BF9" t="str">
            <v>2억원</v>
          </cell>
          <cell r="BG9" t="str">
            <v>1억원/1500만</v>
          </cell>
          <cell r="BH9" t="str">
            <v>2억원/1인당</v>
          </cell>
          <cell r="BI9" t="str">
            <v>30만원</v>
          </cell>
          <cell r="BJ9" t="str">
            <v>임직원</v>
          </cell>
          <cell r="BK9" t="str">
            <v>5회/년</v>
          </cell>
          <cell r="BL9" t="str">
            <v>가입</v>
          </cell>
          <cell r="BM9" t="str">
            <v>미가입</v>
          </cell>
          <cell r="BN9" t="str">
            <v>브랜드보증 외 사용자 부담</v>
          </cell>
          <cell r="BO9" t="str">
            <v>브랜드보증 외 사용자 부담</v>
          </cell>
          <cell r="BP9" t="str">
            <v>HANKOOK 앞/뒤165 60R14 79H</v>
          </cell>
          <cell r="BQ9" t="str">
            <v>0</v>
          </cell>
          <cell r="BR9">
            <v>17964</v>
          </cell>
          <cell r="BS9" t="str">
            <v>현금</v>
          </cell>
          <cell r="BT9" t="str">
            <v>0</v>
          </cell>
          <cell r="BU9" t="str">
            <v>0</v>
          </cell>
          <cell r="BV9" t="str">
            <v>0</v>
          </cell>
          <cell r="BW9" t="str">
            <v>0</v>
          </cell>
          <cell r="BX9">
            <v>0</v>
          </cell>
          <cell r="BY9">
            <v>0</v>
          </cell>
          <cell r="BZ9">
            <v>0</v>
          </cell>
          <cell r="CA9" t="str">
            <v>0</v>
          </cell>
          <cell r="CB9" t="str">
            <v>5</v>
          </cell>
          <cell r="CC9" t="str">
            <v>5</v>
          </cell>
          <cell r="CD9">
            <v>342650</v>
          </cell>
          <cell r="CE9">
            <v>60</v>
          </cell>
          <cell r="CF9">
            <v>20559000</v>
          </cell>
          <cell r="CG9" t="str">
            <v>0</v>
          </cell>
          <cell r="CH9" t="str">
            <v>0</v>
          </cell>
          <cell r="CI9">
            <v>2506900</v>
          </cell>
          <cell r="CJ9">
            <v>0.04</v>
          </cell>
          <cell r="CK9">
            <v>0.04</v>
          </cell>
          <cell r="CL9" t="str">
            <v>jhlee@shtel.co.kr</v>
          </cell>
          <cell r="CM9" t="str">
            <v>0</v>
          </cell>
          <cell r="CN9" t="str">
            <v>0</v>
          </cell>
          <cell r="CO9">
            <v>0.03</v>
          </cell>
          <cell r="CP9" t="str">
            <v>0</v>
          </cell>
          <cell r="CQ9">
            <v>0</v>
          </cell>
          <cell r="CR9">
            <v>0</v>
          </cell>
          <cell r="CS9">
            <v>0</v>
          </cell>
          <cell r="CT9">
            <v>0</v>
          </cell>
          <cell r="CU9">
            <v>0</v>
          </cell>
          <cell r="CV9">
            <v>0</v>
          </cell>
          <cell r="CW9">
            <v>0</v>
          </cell>
          <cell r="CX9">
            <v>0</v>
          </cell>
          <cell r="CY9">
            <v>0</v>
          </cell>
          <cell r="CZ9">
            <v>0</v>
          </cell>
          <cell r="DA9">
            <v>0</v>
          </cell>
          <cell r="DB9" t="str">
            <v>기아</v>
          </cell>
          <cell r="DC9" t="str">
            <v>정수원 실장</v>
          </cell>
          <cell r="DD9" t="str">
            <v>렌트베네핏</v>
          </cell>
          <cell r="DE9" t="str">
            <v>0</v>
          </cell>
          <cell r="DF9" t="str">
            <v>0</v>
          </cell>
          <cell r="DG9" t="str">
            <v>0</v>
          </cell>
          <cell r="DH9" t="str">
            <v>206-85-09469</v>
          </cell>
          <cell r="DI9" t="str">
            <v>주소 없음</v>
          </cell>
          <cell r="DJ9">
            <v>0.3</v>
          </cell>
          <cell r="DK9">
            <v>0.2</v>
          </cell>
          <cell r="DL9" t="str">
            <v>0</v>
          </cell>
          <cell r="DM9" t="str">
            <v>0</v>
          </cell>
          <cell r="DN9" t="str">
            <v>0</v>
          </cell>
          <cell r="DO9" t="str">
            <v>0</v>
          </cell>
          <cell r="DP9" t="str">
            <v>0</v>
          </cell>
        </row>
        <row r="10">
          <cell r="C10" t="str">
            <v>Ray-007</v>
          </cell>
          <cell r="D10" t="str">
            <v>신흥정보통신㈜_7</v>
          </cell>
          <cell r="E10" t="str">
            <v>이종희 이사님</v>
          </cell>
          <cell r="F10" t="str">
            <v>010-3214-0636</v>
          </cell>
          <cell r="G10" t="str">
            <v>Ray Van</v>
          </cell>
          <cell r="H10" t="str">
            <v>스탠다드 A/T</v>
          </cell>
          <cell r="I10">
            <v>12750000</v>
          </cell>
          <cell r="J10">
            <v>2022</v>
          </cell>
          <cell r="K10" t="str">
            <v>White/Black</v>
          </cell>
          <cell r="L10" t="str">
            <v>가솔린</v>
          </cell>
          <cell r="M10" t="str">
            <v>KNACF911BNT283313</v>
          </cell>
          <cell r="N10" t="str">
            <v>101호2173</v>
          </cell>
          <cell r="O10" t="str">
            <v>-</v>
          </cell>
          <cell r="P10">
            <v>998</v>
          </cell>
          <cell r="Q10">
            <v>44494</v>
          </cell>
          <cell r="R10">
            <v>44497</v>
          </cell>
          <cell r="S10">
            <v>44497</v>
          </cell>
          <cell r="T10" t="str">
            <v>5</v>
          </cell>
          <cell r="U10">
            <v>46322</v>
          </cell>
          <cell r="V10">
            <v>2</v>
          </cell>
          <cell r="W10">
            <v>20000</v>
          </cell>
          <cell r="X10" t="str">
            <v>이성호</v>
          </cell>
          <cell r="Y10" t="str">
            <v>010-9698-0404</v>
          </cell>
          <cell r="Z10" t="str">
            <v>경광주</v>
          </cell>
          <cell r="AA10" t="str">
            <v>경기도 광주시 중앙로 144 (경안동, KT광주지점) 3층 신흥정보통신</v>
          </cell>
          <cell r="AB10">
            <v>44505</v>
          </cell>
          <cell r="AC10">
            <v>1825</v>
          </cell>
          <cell r="AD10">
            <v>77</v>
          </cell>
          <cell r="AE10">
            <v>21100007</v>
          </cell>
          <cell r="AF10">
            <v>13234421</v>
          </cell>
          <cell r="AG10">
            <v>200000</v>
          </cell>
          <cell r="AH10">
            <v>12688000</v>
          </cell>
          <cell r="AI10">
            <v>0</v>
          </cell>
          <cell r="AJ10">
            <v>2000</v>
          </cell>
          <cell r="AK10">
            <v>461380</v>
          </cell>
          <cell r="AL10">
            <v>0</v>
          </cell>
          <cell r="AM10">
            <v>2000</v>
          </cell>
          <cell r="AN10">
            <v>27000</v>
          </cell>
          <cell r="AO10">
            <v>30000</v>
          </cell>
          <cell r="AP10">
            <v>430000</v>
          </cell>
          <cell r="AQ10">
            <v>0</v>
          </cell>
          <cell r="AR10" t="str">
            <v>엠피온</v>
          </cell>
          <cell r="AS10">
            <v>0</v>
          </cell>
          <cell r="AT10" t="str">
            <v>루마 전면 없음/측후면 15%</v>
          </cell>
          <cell r="AU10" t="str">
            <v>0</v>
          </cell>
          <cell r="AV10">
            <v>522380</v>
          </cell>
          <cell r="AW10" t="str">
            <v>렌터카 공제</v>
          </cell>
          <cell r="AX10">
            <v>44494</v>
          </cell>
          <cell r="AY10">
            <v>1138590</v>
          </cell>
          <cell r="AZ10">
            <v>1034460</v>
          </cell>
          <cell r="BA10" t="str">
            <v>0</v>
          </cell>
          <cell r="BB10" t="str">
            <v>0</v>
          </cell>
          <cell r="BC10" t="str">
            <v>0</v>
          </cell>
          <cell r="BD10" t="str">
            <v>만26세</v>
          </cell>
          <cell r="BE10" t="str">
            <v>무한대</v>
          </cell>
          <cell r="BF10" t="str">
            <v>2억원</v>
          </cell>
          <cell r="BG10" t="str">
            <v>1억원/1500만</v>
          </cell>
          <cell r="BH10" t="str">
            <v>2억원/1인당</v>
          </cell>
          <cell r="BI10" t="str">
            <v>30만원</v>
          </cell>
          <cell r="BJ10" t="str">
            <v>임직원</v>
          </cell>
          <cell r="BK10" t="str">
            <v>5회/년</v>
          </cell>
          <cell r="BL10" t="str">
            <v>가입</v>
          </cell>
          <cell r="BM10" t="str">
            <v>미가입</v>
          </cell>
          <cell r="BN10" t="str">
            <v>브랜드보증 외 사용자 부담</v>
          </cell>
          <cell r="BO10" t="str">
            <v>브랜드보증 외 사용자 부담</v>
          </cell>
          <cell r="BP10" t="str">
            <v>HANKOOK 앞/뒤165 60R14 79H</v>
          </cell>
          <cell r="BQ10" t="str">
            <v>0</v>
          </cell>
          <cell r="BR10">
            <v>17964</v>
          </cell>
          <cell r="BS10" t="str">
            <v>현금</v>
          </cell>
          <cell r="BT10" t="str">
            <v>0</v>
          </cell>
          <cell r="BU10" t="str">
            <v>0</v>
          </cell>
          <cell r="BV10" t="str">
            <v>0</v>
          </cell>
          <cell r="BW10" t="str">
            <v>0</v>
          </cell>
          <cell r="BX10">
            <v>0</v>
          </cell>
          <cell r="BY10">
            <v>0</v>
          </cell>
          <cell r="BZ10">
            <v>0</v>
          </cell>
          <cell r="CA10" t="str">
            <v>0</v>
          </cell>
          <cell r="CB10" t="str">
            <v>5</v>
          </cell>
          <cell r="CC10" t="str">
            <v>5</v>
          </cell>
          <cell r="CD10">
            <v>342650</v>
          </cell>
          <cell r="CE10">
            <v>60</v>
          </cell>
          <cell r="CF10">
            <v>20559000</v>
          </cell>
          <cell r="CG10" t="str">
            <v>0</v>
          </cell>
          <cell r="CH10" t="str">
            <v>0</v>
          </cell>
          <cell r="CI10">
            <v>2506900</v>
          </cell>
          <cell r="CJ10">
            <v>0.04</v>
          </cell>
          <cell r="CK10">
            <v>0.04</v>
          </cell>
          <cell r="CL10" t="str">
            <v>jhlee@shtel.co.kr</v>
          </cell>
          <cell r="CM10" t="str">
            <v>0</v>
          </cell>
          <cell r="CN10" t="str">
            <v>0</v>
          </cell>
          <cell r="CO10">
            <v>0.03</v>
          </cell>
          <cell r="CP10" t="str">
            <v>0</v>
          </cell>
          <cell r="CQ10">
            <v>0</v>
          </cell>
          <cell r="CR10">
            <v>0</v>
          </cell>
          <cell r="CS10">
            <v>0</v>
          </cell>
          <cell r="CT10">
            <v>0</v>
          </cell>
          <cell r="CU10">
            <v>0</v>
          </cell>
          <cell r="CV10">
            <v>0</v>
          </cell>
          <cell r="CW10">
            <v>0</v>
          </cell>
          <cell r="CX10">
            <v>0</v>
          </cell>
          <cell r="CY10">
            <v>0</v>
          </cell>
          <cell r="CZ10">
            <v>0</v>
          </cell>
          <cell r="DA10">
            <v>0</v>
          </cell>
          <cell r="DB10" t="str">
            <v>기아</v>
          </cell>
          <cell r="DC10" t="str">
            <v>정수원 실장</v>
          </cell>
          <cell r="DD10" t="str">
            <v>렌트베네핏</v>
          </cell>
          <cell r="DE10" t="str">
            <v>0</v>
          </cell>
          <cell r="DF10" t="str">
            <v>0</v>
          </cell>
          <cell r="DG10" t="str">
            <v>0</v>
          </cell>
          <cell r="DH10" t="str">
            <v>206-85-09469</v>
          </cell>
          <cell r="DI10" t="str">
            <v>주소 없음</v>
          </cell>
          <cell r="DJ10">
            <v>0.3</v>
          </cell>
          <cell r="DK10">
            <v>0.2</v>
          </cell>
          <cell r="DL10" t="str">
            <v>0</v>
          </cell>
          <cell r="DM10" t="str">
            <v>0</v>
          </cell>
          <cell r="DN10" t="str">
            <v>0</v>
          </cell>
          <cell r="DO10" t="str">
            <v>0</v>
          </cell>
          <cell r="DP10" t="str">
            <v>0</v>
          </cell>
        </row>
        <row r="11">
          <cell r="C11" t="str">
            <v>Ray-008</v>
          </cell>
          <cell r="D11" t="str">
            <v>신흥정보통신㈜_8</v>
          </cell>
          <cell r="E11" t="str">
            <v>이종희 이사님</v>
          </cell>
          <cell r="F11" t="str">
            <v>010-3214-0636</v>
          </cell>
          <cell r="G11" t="str">
            <v>Ray Van</v>
          </cell>
          <cell r="H11" t="str">
            <v>스탠다드 A/T</v>
          </cell>
          <cell r="I11">
            <v>12750000</v>
          </cell>
          <cell r="J11">
            <v>2022</v>
          </cell>
          <cell r="K11" t="str">
            <v>White/Black</v>
          </cell>
          <cell r="L11" t="str">
            <v>가솔린</v>
          </cell>
          <cell r="M11" t="str">
            <v>KNACF911BNT283348</v>
          </cell>
          <cell r="N11" t="str">
            <v>101호2163</v>
          </cell>
          <cell r="O11" t="str">
            <v>-</v>
          </cell>
          <cell r="P11">
            <v>998</v>
          </cell>
          <cell r="Q11">
            <v>44494</v>
          </cell>
          <cell r="R11">
            <v>44497</v>
          </cell>
          <cell r="S11">
            <v>44497</v>
          </cell>
          <cell r="T11" t="str">
            <v>5</v>
          </cell>
          <cell r="U11">
            <v>46322</v>
          </cell>
          <cell r="V11">
            <v>2</v>
          </cell>
          <cell r="W11">
            <v>20000</v>
          </cell>
          <cell r="X11" t="str">
            <v>이석환</v>
          </cell>
          <cell r="Y11" t="str">
            <v>010-3408-0977</v>
          </cell>
          <cell r="Z11" t="str">
            <v>동래</v>
          </cell>
          <cell r="AA11" t="str">
            <v>부산광역시 동래구 사직북로48번길 127 (온천동, KT미남지점) 2층 신흥정보통신</v>
          </cell>
          <cell r="AB11">
            <v>44505</v>
          </cell>
          <cell r="AC11">
            <v>1825</v>
          </cell>
          <cell r="AD11">
            <v>77</v>
          </cell>
          <cell r="AE11">
            <v>21100008</v>
          </cell>
          <cell r="AF11">
            <v>13234421</v>
          </cell>
          <cell r="AG11">
            <v>200000</v>
          </cell>
          <cell r="AH11">
            <v>12799000</v>
          </cell>
          <cell r="AI11">
            <v>0</v>
          </cell>
          <cell r="AJ11">
            <v>2000</v>
          </cell>
          <cell r="AK11">
            <v>465410</v>
          </cell>
          <cell r="AL11">
            <v>0</v>
          </cell>
          <cell r="AM11">
            <v>2000</v>
          </cell>
          <cell r="AN11">
            <v>27000</v>
          </cell>
          <cell r="AO11">
            <v>30000</v>
          </cell>
          <cell r="AP11">
            <v>430000</v>
          </cell>
          <cell r="AQ11">
            <v>0</v>
          </cell>
          <cell r="AR11" t="str">
            <v>엠피온</v>
          </cell>
          <cell r="AS11">
            <v>0</v>
          </cell>
          <cell r="AT11" t="str">
            <v>루마 전면 없음/측후면 15%</v>
          </cell>
          <cell r="AU11" t="str">
            <v>0</v>
          </cell>
          <cell r="AV11">
            <v>526410</v>
          </cell>
          <cell r="AW11" t="str">
            <v>렌터카 공제</v>
          </cell>
          <cell r="AX11">
            <v>44494</v>
          </cell>
          <cell r="AY11">
            <v>1138590</v>
          </cell>
          <cell r="AZ11">
            <v>1034460</v>
          </cell>
          <cell r="BA11" t="str">
            <v>0</v>
          </cell>
          <cell r="BB11" t="str">
            <v>0</v>
          </cell>
          <cell r="BC11" t="str">
            <v>0</v>
          </cell>
          <cell r="BD11" t="str">
            <v>만26세</v>
          </cell>
          <cell r="BE11" t="str">
            <v>무한대</v>
          </cell>
          <cell r="BF11" t="str">
            <v>2억원</v>
          </cell>
          <cell r="BG11" t="str">
            <v>1억원/1500만</v>
          </cell>
          <cell r="BH11" t="str">
            <v>2억원/1인당</v>
          </cell>
          <cell r="BI11" t="str">
            <v>30만원</v>
          </cell>
          <cell r="BJ11" t="str">
            <v>임직원</v>
          </cell>
          <cell r="BK11" t="str">
            <v>5회/년</v>
          </cell>
          <cell r="BL11" t="str">
            <v>가입</v>
          </cell>
          <cell r="BM11" t="str">
            <v>미가입</v>
          </cell>
          <cell r="BN11" t="str">
            <v>브랜드보증 외 사용자 부담</v>
          </cell>
          <cell r="BO11" t="str">
            <v>브랜드보증 외 사용자 부담</v>
          </cell>
          <cell r="BP11" t="str">
            <v>HANKOOK 앞/뒤165 60R14 79H</v>
          </cell>
          <cell r="BQ11" t="str">
            <v>0</v>
          </cell>
          <cell r="BR11">
            <v>17964</v>
          </cell>
          <cell r="BS11" t="str">
            <v>현금</v>
          </cell>
          <cell r="BT11" t="str">
            <v>0</v>
          </cell>
          <cell r="BU11" t="str">
            <v>0</v>
          </cell>
          <cell r="BV11" t="str">
            <v>0</v>
          </cell>
          <cell r="BW11" t="str">
            <v>0</v>
          </cell>
          <cell r="BX11">
            <v>0</v>
          </cell>
          <cell r="BY11">
            <v>0</v>
          </cell>
          <cell r="BZ11">
            <v>0</v>
          </cell>
          <cell r="CA11" t="str">
            <v>0</v>
          </cell>
          <cell r="CB11" t="str">
            <v>5</v>
          </cell>
          <cell r="CC11" t="str">
            <v>5</v>
          </cell>
          <cell r="CD11">
            <v>342650</v>
          </cell>
          <cell r="CE11">
            <v>60</v>
          </cell>
          <cell r="CF11">
            <v>20559000</v>
          </cell>
          <cell r="CG11" t="str">
            <v>0</v>
          </cell>
          <cell r="CH11" t="str">
            <v>0</v>
          </cell>
          <cell r="CI11">
            <v>2506900</v>
          </cell>
          <cell r="CJ11">
            <v>0.04</v>
          </cell>
          <cell r="CK11">
            <v>0.04</v>
          </cell>
          <cell r="CL11" t="str">
            <v>jhlee@shtel.co.kr</v>
          </cell>
          <cell r="CM11" t="str">
            <v>0</v>
          </cell>
          <cell r="CN11" t="str">
            <v>0</v>
          </cell>
          <cell r="CO11">
            <v>0.03</v>
          </cell>
          <cell r="CP11" t="str">
            <v>0</v>
          </cell>
          <cell r="CQ11">
            <v>0</v>
          </cell>
          <cell r="CR11">
            <v>0</v>
          </cell>
          <cell r="CS11">
            <v>0</v>
          </cell>
          <cell r="CT11">
            <v>0</v>
          </cell>
          <cell r="CU11">
            <v>0</v>
          </cell>
          <cell r="CV11">
            <v>0</v>
          </cell>
          <cell r="CW11">
            <v>0</v>
          </cell>
          <cell r="CX11">
            <v>0</v>
          </cell>
          <cell r="CY11">
            <v>0</v>
          </cell>
          <cell r="CZ11">
            <v>0</v>
          </cell>
          <cell r="DA11">
            <v>0</v>
          </cell>
          <cell r="DB11" t="str">
            <v>기아</v>
          </cell>
          <cell r="DC11" t="str">
            <v>정수원 실장</v>
          </cell>
          <cell r="DD11" t="str">
            <v>렌트베네핏</v>
          </cell>
          <cell r="DE11" t="str">
            <v>0</v>
          </cell>
          <cell r="DF11" t="str">
            <v>0</v>
          </cell>
          <cell r="DG11" t="str">
            <v>0</v>
          </cell>
          <cell r="DH11" t="str">
            <v>206-85-09469</v>
          </cell>
          <cell r="DI11" t="str">
            <v>주소 없음</v>
          </cell>
          <cell r="DJ11">
            <v>0.3</v>
          </cell>
          <cell r="DK11">
            <v>0.2</v>
          </cell>
          <cell r="DL11" t="str">
            <v>0</v>
          </cell>
          <cell r="DM11" t="str">
            <v>0</v>
          </cell>
          <cell r="DN11" t="str">
            <v>0</v>
          </cell>
          <cell r="DO11" t="str">
            <v>0</v>
          </cell>
          <cell r="DP11" t="str">
            <v>0</v>
          </cell>
        </row>
        <row r="12">
          <cell r="C12" t="str">
            <v>Ray-009</v>
          </cell>
          <cell r="D12" t="str">
            <v>신흥정보통신㈜_9</v>
          </cell>
          <cell r="E12" t="str">
            <v>이종희 이사님</v>
          </cell>
          <cell r="F12" t="str">
            <v>010-3214-0636</v>
          </cell>
          <cell r="G12" t="str">
            <v>Ray Van</v>
          </cell>
          <cell r="H12" t="str">
            <v>스탠다드 A/T</v>
          </cell>
          <cell r="I12">
            <v>12750000</v>
          </cell>
          <cell r="J12">
            <v>2022</v>
          </cell>
          <cell r="K12" t="str">
            <v>White/Black</v>
          </cell>
          <cell r="L12" t="str">
            <v>가솔린</v>
          </cell>
          <cell r="M12" t="str">
            <v>KNACF911BNT283350</v>
          </cell>
          <cell r="N12" t="str">
            <v>101호2167</v>
          </cell>
          <cell r="O12" t="str">
            <v>-</v>
          </cell>
          <cell r="P12">
            <v>998</v>
          </cell>
          <cell r="Q12">
            <v>44494</v>
          </cell>
          <cell r="R12">
            <v>44497</v>
          </cell>
          <cell r="S12">
            <v>44497</v>
          </cell>
          <cell r="T12" t="str">
            <v>5</v>
          </cell>
          <cell r="U12">
            <v>46322</v>
          </cell>
          <cell r="V12">
            <v>2</v>
          </cell>
          <cell r="W12">
            <v>20000</v>
          </cell>
          <cell r="X12" t="str">
            <v>이석환</v>
          </cell>
          <cell r="Y12" t="str">
            <v>010-3408-0977</v>
          </cell>
          <cell r="Z12" t="str">
            <v>동래</v>
          </cell>
          <cell r="AA12" t="str">
            <v>부산광역시 동래구 사직북로48번길 127 (온천동, KT미남지점) 2층 신흥정보통신</v>
          </cell>
          <cell r="AB12">
            <v>44505</v>
          </cell>
          <cell r="AC12">
            <v>1825</v>
          </cell>
          <cell r="AD12">
            <v>77</v>
          </cell>
          <cell r="AE12">
            <v>21100009</v>
          </cell>
          <cell r="AF12">
            <v>13234421</v>
          </cell>
          <cell r="AG12">
            <v>200000</v>
          </cell>
          <cell r="AH12">
            <v>12799000</v>
          </cell>
          <cell r="AI12">
            <v>0</v>
          </cell>
          <cell r="AJ12">
            <v>2000</v>
          </cell>
          <cell r="AK12">
            <v>465410</v>
          </cell>
          <cell r="AL12">
            <v>0</v>
          </cell>
          <cell r="AM12">
            <v>2000</v>
          </cell>
          <cell r="AN12">
            <v>27000</v>
          </cell>
          <cell r="AO12">
            <v>30000</v>
          </cell>
          <cell r="AP12">
            <v>430000</v>
          </cell>
          <cell r="AQ12">
            <v>0</v>
          </cell>
          <cell r="AR12" t="str">
            <v>엠피온</v>
          </cell>
          <cell r="AS12">
            <v>0</v>
          </cell>
          <cell r="AT12" t="str">
            <v>루마 전면 없음/측후면 15%</v>
          </cell>
          <cell r="AU12" t="str">
            <v>0</v>
          </cell>
          <cell r="AV12">
            <v>526410</v>
          </cell>
          <cell r="AW12" t="str">
            <v>렌터카 공제</v>
          </cell>
          <cell r="AX12">
            <v>44494</v>
          </cell>
          <cell r="AY12">
            <v>1138590</v>
          </cell>
          <cell r="AZ12">
            <v>1034460</v>
          </cell>
          <cell r="BA12" t="str">
            <v>0</v>
          </cell>
          <cell r="BB12" t="str">
            <v>0</v>
          </cell>
          <cell r="BC12" t="str">
            <v>0</v>
          </cell>
          <cell r="BD12" t="str">
            <v>만26세</v>
          </cell>
          <cell r="BE12" t="str">
            <v>무한대</v>
          </cell>
          <cell r="BF12" t="str">
            <v>2억원</v>
          </cell>
          <cell r="BG12" t="str">
            <v>1억원/1500만</v>
          </cell>
          <cell r="BH12" t="str">
            <v>2억원/1인당</v>
          </cell>
          <cell r="BI12" t="str">
            <v>30만원</v>
          </cell>
          <cell r="BJ12" t="str">
            <v>임직원</v>
          </cell>
          <cell r="BK12" t="str">
            <v>5회/년</v>
          </cell>
          <cell r="BL12" t="str">
            <v>가입</v>
          </cell>
          <cell r="BM12" t="str">
            <v>미가입</v>
          </cell>
          <cell r="BN12" t="str">
            <v>브랜드보증 외 사용자 부담</v>
          </cell>
          <cell r="BO12" t="str">
            <v>브랜드보증 외 사용자 부담</v>
          </cell>
          <cell r="BP12" t="str">
            <v>HANKOOK 앞/뒤165 60R14 79H</v>
          </cell>
          <cell r="BQ12" t="str">
            <v>0</v>
          </cell>
          <cell r="BR12">
            <v>17964</v>
          </cell>
          <cell r="BS12" t="str">
            <v>현금</v>
          </cell>
          <cell r="BT12" t="str">
            <v>0</v>
          </cell>
          <cell r="BU12" t="str">
            <v>0</v>
          </cell>
          <cell r="BV12" t="str">
            <v>0</v>
          </cell>
          <cell r="BW12" t="str">
            <v>0</v>
          </cell>
          <cell r="BX12">
            <v>0</v>
          </cell>
          <cell r="BY12">
            <v>0</v>
          </cell>
          <cell r="BZ12">
            <v>0</v>
          </cell>
          <cell r="CA12" t="str">
            <v>0</v>
          </cell>
          <cell r="CB12" t="str">
            <v>5</v>
          </cell>
          <cell r="CC12" t="str">
            <v>5</v>
          </cell>
          <cell r="CD12">
            <v>342650</v>
          </cell>
          <cell r="CE12">
            <v>60</v>
          </cell>
          <cell r="CF12">
            <v>20559000</v>
          </cell>
          <cell r="CG12" t="str">
            <v>0</v>
          </cell>
          <cell r="CH12" t="str">
            <v>0</v>
          </cell>
          <cell r="CI12">
            <v>2506900</v>
          </cell>
          <cell r="CJ12">
            <v>0.04</v>
          </cell>
          <cell r="CK12">
            <v>0.04</v>
          </cell>
          <cell r="CL12" t="str">
            <v>jhlee@shtel.co.kr</v>
          </cell>
          <cell r="CM12" t="str">
            <v>0</v>
          </cell>
          <cell r="CN12" t="str">
            <v>0</v>
          </cell>
          <cell r="CO12">
            <v>0.03</v>
          </cell>
          <cell r="CP12" t="str">
            <v>0</v>
          </cell>
          <cell r="CQ12">
            <v>0</v>
          </cell>
          <cell r="CR12">
            <v>0</v>
          </cell>
          <cell r="CS12">
            <v>0</v>
          </cell>
          <cell r="CT12">
            <v>0</v>
          </cell>
          <cell r="CU12">
            <v>0</v>
          </cell>
          <cell r="CV12">
            <v>0</v>
          </cell>
          <cell r="CW12">
            <v>0</v>
          </cell>
          <cell r="CX12">
            <v>0</v>
          </cell>
          <cell r="CY12">
            <v>0</v>
          </cell>
          <cell r="CZ12">
            <v>0</v>
          </cell>
          <cell r="DA12">
            <v>0</v>
          </cell>
          <cell r="DB12" t="str">
            <v>기아</v>
          </cell>
          <cell r="DC12" t="str">
            <v>정수원 실장</v>
          </cell>
          <cell r="DD12" t="str">
            <v>렌트베네핏</v>
          </cell>
          <cell r="DE12" t="str">
            <v>0</v>
          </cell>
          <cell r="DF12" t="str">
            <v>0</v>
          </cell>
          <cell r="DG12" t="str">
            <v>0</v>
          </cell>
          <cell r="DH12" t="str">
            <v>206-85-09469</v>
          </cell>
          <cell r="DI12" t="str">
            <v>주소 없음</v>
          </cell>
          <cell r="DJ12">
            <v>0.3</v>
          </cell>
          <cell r="DK12">
            <v>0.2</v>
          </cell>
          <cell r="DL12" t="str">
            <v>0</v>
          </cell>
          <cell r="DM12" t="str">
            <v>0</v>
          </cell>
          <cell r="DN12" t="str">
            <v>0</v>
          </cell>
          <cell r="DO12" t="str">
            <v>0</v>
          </cell>
          <cell r="DP12" t="str">
            <v>0</v>
          </cell>
        </row>
        <row r="13">
          <cell r="C13" t="str">
            <v>Ray-010</v>
          </cell>
          <cell r="D13" t="str">
            <v>신흥정보통신㈜_10</v>
          </cell>
          <cell r="E13" t="str">
            <v>이종희 이사님</v>
          </cell>
          <cell r="F13" t="str">
            <v>010-3214-0636</v>
          </cell>
          <cell r="G13" t="str">
            <v>Ray Van</v>
          </cell>
          <cell r="H13" t="str">
            <v>스탠다드 A/T</v>
          </cell>
          <cell r="I13">
            <v>12750000</v>
          </cell>
          <cell r="J13">
            <v>2022</v>
          </cell>
          <cell r="K13" t="str">
            <v>White/Black</v>
          </cell>
          <cell r="L13" t="str">
            <v>가솔린</v>
          </cell>
          <cell r="M13" t="str">
            <v>KNACF911BNT283362</v>
          </cell>
          <cell r="N13" t="str">
            <v>101호2176</v>
          </cell>
          <cell r="O13" t="str">
            <v>-</v>
          </cell>
          <cell r="P13">
            <v>998</v>
          </cell>
          <cell r="Q13">
            <v>44494</v>
          </cell>
          <cell r="R13">
            <v>44497</v>
          </cell>
          <cell r="S13">
            <v>44497</v>
          </cell>
          <cell r="T13" t="str">
            <v>5</v>
          </cell>
          <cell r="U13">
            <v>46322</v>
          </cell>
          <cell r="V13">
            <v>2</v>
          </cell>
          <cell r="W13">
            <v>20000</v>
          </cell>
          <cell r="X13" t="str">
            <v>이석환</v>
          </cell>
          <cell r="Y13" t="str">
            <v>010-3408-0977</v>
          </cell>
          <cell r="Z13" t="str">
            <v>동래</v>
          </cell>
          <cell r="AA13" t="str">
            <v>부산광역시 동래구 사직북로48번길 127 (온천동, KT미남지점) 2층 신흥정보통신</v>
          </cell>
          <cell r="AB13">
            <v>44505</v>
          </cell>
          <cell r="AC13">
            <v>1825</v>
          </cell>
          <cell r="AD13">
            <v>77</v>
          </cell>
          <cell r="AE13">
            <v>21100010</v>
          </cell>
          <cell r="AF13">
            <v>13234421</v>
          </cell>
          <cell r="AG13">
            <v>200000</v>
          </cell>
          <cell r="AH13">
            <v>12799000</v>
          </cell>
          <cell r="AI13">
            <v>0</v>
          </cell>
          <cell r="AJ13">
            <v>2000</v>
          </cell>
          <cell r="AK13">
            <v>465410</v>
          </cell>
          <cell r="AL13">
            <v>0</v>
          </cell>
          <cell r="AM13">
            <v>2000</v>
          </cell>
          <cell r="AN13">
            <v>27000</v>
          </cell>
          <cell r="AO13">
            <v>30000</v>
          </cell>
          <cell r="AP13">
            <v>430000</v>
          </cell>
          <cell r="AQ13">
            <v>0</v>
          </cell>
          <cell r="AR13" t="str">
            <v>엠피온</v>
          </cell>
          <cell r="AS13">
            <v>0</v>
          </cell>
          <cell r="AT13" t="str">
            <v>루마 전면 없음/측후면 15%</v>
          </cell>
          <cell r="AU13" t="str">
            <v>0</v>
          </cell>
          <cell r="AV13">
            <v>526410</v>
          </cell>
          <cell r="AW13" t="str">
            <v>렌터카 공제</v>
          </cell>
          <cell r="AX13">
            <v>44494</v>
          </cell>
          <cell r="AY13">
            <v>1138590</v>
          </cell>
          <cell r="AZ13">
            <v>1034460</v>
          </cell>
          <cell r="BA13" t="str">
            <v>0</v>
          </cell>
          <cell r="BB13" t="str">
            <v>0</v>
          </cell>
          <cell r="BC13" t="str">
            <v>0</v>
          </cell>
          <cell r="BD13" t="str">
            <v>만26세</v>
          </cell>
          <cell r="BE13" t="str">
            <v>무한대</v>
          </cell>
          <cell r="BF13" t="str">
            <v>2억원</v>
          </cell>
          <cell r="BG13" t="str">
            <v>1억원/1500만</v>
          </cell>
          <cell r="BH13" t="str">
            <v>2억원/1인당</v>
          </cell>
          <cell r="BI13" t="str">
            <v>30만원</v>
          </cell>
          <cell r="BJ13" t="str">
            <v>임직원</v>
          </cell>
          <cell r="BK13" t="str">
            <v>5회/년</v>
          </cell>
          <cell r="BL13" t="str">
            <v>가입</v>
          </cell>
          <cell r="BM13" t="str">
            <v>미가입</v>
          </cell>
          <cell r="BN13" t="str">
            <v>브랜드보증 외 사용자 부담</v>
          </cell>
          <cell r="BO13" t="str">
            <v>브랜드보증 외 사용자 부담</v>
          </cell>
          <cell r="BP13" t="str">
            <v>HANKOOK 앞/뒤165 60R14 79H</v>
          </cell>
          <cell r="BQ13" t="str">
            <v>0</v>
          </cell>
          <cell r="BR13">
            <v>17964</v>
          </cell>
          <cell r="BS13" t="str">
            <v>현금</v>
          </cell>
          <cell r="BT13" t="str">
            <v>0</v>
          </cell>
          <cell r="BU13" t="str">
            <v>0</v>
          </cell>
          <cell r="BV13" t="str">
            <v>0</v>
          </cell>
          <cell r="BW13" t="str">
            <v>0</v>
          </cell>
          <cell r="BX13">
            <v>0</v>
          </cell>
          <cell r="BY13">
            <v>0</v>
          </cell>
          <cell r="BZ13">
            <v>0</v>
          </cell>
          <cell r="CA13" t="str">
            <v>0</v>
          </cell>
          <cell r="CB13" t="str">
            <v>5</v>
          </cell>
          <cell r="CC13" t="str">
            <v>5</v>
          </cell>
          <cell r="CD13">
            <v>342650</v>
          </cell>
          <cell r="CE13">
            <v>60</v>
          </cell>
          <cell r="CF13">
            <v>20559000</v>
          </cell>
          <cell r="CG13" t="str">
            <v>0</v>
          </cell>
          <cell r="CH13" t="str">
            <v>0</v>
          </cell>
          <cell r="CI13">
            <v>2506900</v>
          </cell>
          <cell r="CJ13">
            <v>0.04</v>
          </cell>
          <cell r="CK13">
            <v>0.04</v>
          </cell>
          <cell r="CL13" t="str">
            <v>jhlee@shtel.co.kr</v>
          </cell>
          <cell r="CM13" t="str">
            <v>0</v>
          </cell>
          <cell r="CN13" t="str">
            <v>0</v>
          </cell>
          <cell r="CO13">
            <v>0.03</v>
          </cell>
          <cell r="CP13" t="str">
            <v>0</v>
          </cell>
          <cell r="CQ13">
            <v>0</v>
          </cell>
          <cell r="CR13">
            <v>0</v>
          </cell>
          <cell r="CS13">
            <v>0</v>
          </cell>
          <cell r="CT13">
            <v>0</v>
          </cell>
          <cell r="CU13">
            <v>0</v>
          </cell>
          <cell r="CV13">
            <v>0</v>
          </cell>
          <cell r="CW13">
            <v>0</v>
          </cell>
          <cell r="CX13">
            <v>0</v>
          </cell>
          <cell r="CY13">
            <v>0</v>
          </cell>
          <cell r="CZ13">
            <v>0</v>
          </cell>
          <cell r="DA13">
            <v>0</v>
          </cell>
          <cell r="DB13" t="str">
            <v>기아</v>
          </cell>
          <cell r="DC13" t="str">
            <v>정수원 실장</v>
          </cell>
          <cell r="DD13" t="str">
            <v>렌트베네핏</v>
          </cell>
          <cell r="DE13" t="str">
            <v>0</v>
          </cell>
          <cell r="DF13" t="str">
            <v>0</v>
          </cell>
          <cell r="DG13" t="str">
            <v>0</v>
          </cell>
          <cell r="DH13" t="str">
            <v>206-85-09469</v>
          </cell>
          <cell r="DI13" t="str">
            <v>주소 없음</v>
          </cell>
          <cell r="DJ13">
            <v>0.3</v>
          </cell>
          <cell r="DK13">
            <v>0.2</v>
          </cell>
          <cell r="DL13" t="str">
            <v>0</v>
          </cell>
          <cell r="DM13" t="str">
            <v>0</v>
          </cell>
          <cell r="DN13" t="str">
            <v>0</v>
          </cell>
          <cell r="DO13" t="str">
            <v>0</v>
          </cell>
          <cell r="DP13" t="str">
            <v>0</v>
          </cell>
        </row>
        <row r="14">
          <cell r="C14" t="str">
            <v>Ray-011</v>
          </cell>
          <cell r="D14" t="str">
            <v>신흥정보통신㈜_11</v>
          </cell>
          <cell r="E14" t="str">
            <v>이종희 이사님</v>
          </cell>
          <cell r="F14" t="str">
            <v>010-3214-0636</v>
          </cell>
          <cell r="G14" t="str">
            <v>Ray Van</v>
          </cell>
          <cell r="H14" t="str">
            <v>스탠다드 A/T</v>
          </cell>
          <cell r="I14">
            <v>12750000</v>
          </cell>
          <cell r="J14">
            <v>2022</v>
          </cell>
          <cell r="K14" t="str">
            <v>White/Black</v>
          </cell>
          <cell r="L14" t="str">
            <v>가솔린</v>
          </cell>
          <cell r="M14" t="str">
            <v>KNACF911BNT283365</v>
          </cell>
          <cell r="N14" t="str">
            <v>101호2177</v>
          </cell>
          <cell r="O14" t="str">
            <v>-</v>
          </cell>
          <cell r="P14">
            <v>998</v>
          </cell>
          <cell r="Q14">
            <v>44494</v>
          </cell>
          <cell r="R14">
            <v>44497</v>
          </cell>
          <cell r="S14">
            <v>44497</v>
          </cell>
          <cell r="T14" t="str">
            <v>5</v>
          </cell>
          <cell r="U14">
            <v>46322</v>
          </cell>
          <cell r="V14">
            <v>2</v>
          </cell>
          <cell r="W14">
            <v>20000</v>
          </cell>
          <cell r="X14" t="str">
            <v>김상덕</v>
          </cell>
          <cell r="Y14" t="str">
            <v>010-9800-0189</v>
          </cell>
          <cell r="Z14" t="str">
            <v>서부산</v>
          </cell>
          <cell r="AA14" t="str">
            <v>부산광역시 중구 중앙대로 136 (중앙동, KT중부산지사) 3층 신흥정보통신</v>
          </cell>
          <cell r="AB14">
            <v>44505</v>
          </cell>
          <cell r="AC14">
            <v>1825</v>
          </cell>
          <cell r="AD14">
            <v>77</v>
          </cell>
          <cell r="AE14">
            <v>21100011</v>
          </cell>
          <cell r="AF14">
            <v>13234421</v>
          </cell>
          <cell r="AG14">
            <v>200000</v>
          </cell>
          <cell r="AH14">
            <v>12786000</v>
          </cell>
          <cell r="AI14">
            <v>0</v>
          </cell>
          <cell r="AJ14">
            <v>2000</v>
          </cell>
          <cell r="AK14">
            <v>464940</v>
          </cell>
          <cell r="AL14">
            <v>0</v>
          </cell>
          <cell r="AM14">
            <v>2000</v>
          </cell>
          <cell r="AN14">
            <v>27000</v>
          </cell>
          <cell r="AO14">
            <v>30000</v>
          </cell>
          <cell r="AP14">
            <v>430000</v>
          </cell>
          <cell r="AQ14">
            <v>0</v>
          </cell>
          <cell r="AR14" t="str">
            <v>엠피온</v>
          </cell>
          <cell r="AS14">
            <v>0</v>
          </cell>
          <cell r="AT14" t="str">
            <v>루마 전면 없음/측후면 15%</v>
          </cell>
          <cell r="AU14" t="str">
            <v>0</v>
          </cell>
          <cell r="AV14">
            <v>525940</v>
          </cell>
          <cell r="AW14" t="str">
            <v>렌터카 공제</v>
          </cell>
          <cell r="AX14">
            <v>44494</v>
          </cell>
          <cell r="AY14">
            <v>1138590</v>
          </cell>
          <cell r="AZ14">
            <v>1034460</v>
          </cell>
          <cell r="BA14" t="str">
            <v>0</v>
          </cell>
          <cell r="BB14" t="str">
            <v>0</v>
          </cell>
          <cell r="BC14" t="str">
            <v>0</v>
          </cell>
          <cell r="BD14" t="str">
            <v>만26세</v>
          </cell>
          <cell r="BE14" t="str">
            <v>무한대</v>
          </cell>
          <cell r="BF14" t="str">
            <v>2억원</v>
          </cell>
          <cell r="BG14" t="str">
            <v>1억원/1500만</v>
          </cell>
          <cell r="BH14" t="str">
            <v>2억원/1인당</v>
          </cell>
          <cell r="BI14" t="str">
            <v>30만원</v>
          </cell>
          <cell r="BJ14" t="str">
            <v>임직원</v>
          </cell>
          <cell r="BK14" t="str">
            <v>5회/년</v>
          </cell>
          <cell r="BL14" t="str">
            <v>가입</v>
          </cell>
          <cell r="BM14" t="str">
            <v>미가입</v>
          </cell>
          <cell r="BN14" t="str">
            <v>브랜드보증 외 사용자 부담</v>
          </cell>
          <cell r="BO14" t="str">
            <v>브랜드보증 외 사용자 부담</v>
          </cell>
          <cell r="BP14" t="str">
            <v>HANKOOK 앞/뒤165 60R14 79H</v>
          </cell>
          <cell r="BQ14" t="str">
            <v>0</v>
          </cell>
          <cell r="BR14">
            <v>17964</v>
          </cell>
          <cell r="BS14" t="str">
            <v>현금</v>
          </cell>
          <cell r="BT14" t="str">
            <v>0</v>
          </cell>
          <cell r="BU14" t="str">
            <v>0</v>
          </cell>
          <cell r="BV14" t="str">
            <v>0</v>
          </cell>
          <cell r="BW14" t="str">
            <v>0</v>
          </cell>
          <cell r="BX14">
            <v>0</v>
          </cell>
          <cell r="BY14">
            <v>0</v>
          </cell>
          <cell r="BZ14">
            <v>0</v>
          </cell>
          <cell r="CA14" t="str">
            <v>0</v>
          </cell>
          <cell r="CB14" t="str">
            <v>5</v>
          </cell>
          <cell r="CC14" t="str">
            <v>5</v>
          </cell>
          <cell r="CD14">
            <v>342650</v>
          </cell>
          <cell r="CE14">
            <v>60</v>
          </cell>
          <cell r="CF14">
            <v>20559000</v>
          </cell>
          <cell r="CG14" t="str">
            <v>0</v>
          </cell>
          <cell r="CH14" t="str">
            <v>0</v>
          </cell>
          <cell r="CI14">
            <v>2506900</v>
          </cell>
          <cell r="CJ14">
            <v>0.04</v>
          </cell>
          <cell r="CK14">
            <v>0.04</v>
          </cell>
          <cell r="CL14" t="str">
            <v>jhlee@shtel.co.kr</v>
          </cell>
          <cell r="CM14" t="str">
            <v>0</v>
          </cell>
          <cell r="CN14" t="str">
            <v>0</v>
          </cell>
          <cell r="CO14">
            <v>0.03</v>
          </cell>
          <cell r="CP14" t="str">
            <v>0</v>
          </cell>
          <cell r="CQ14">
            <v>0</v>
          </cell>
          <cell r="CR14">
            <v>0</v>
          </cell>
          <cell r="CS14">
            <v>0</v>
          </cell>
          <cell r="CT14">
            <v>0</v>
          </cell>
          <cell r="CU14">
            <v>0</v>
          </cell>
          <cell r="CV14">
            <v>0</v>
          </cell>
          <cell r="CW14">
            <v>0</v>
          </cell>
          <cell r="CX14">
            <v>0</v>
          </cell>
          <cell r="CY14">
            <v>0</v>
          </cell>
          <cell r="CZ14">
            <v>0</v>
          </cell>
          <cell r="DA14">
            <v>0</v>
          </cell>
          <cell r="DB14" t="str">
            <v>기아</v>
          </cell>
          <cell r="DC14" t="str">
            <v>정수원 실장</v>
          </cell>
          <cell r="DD14" t="str">
            <v>렌트베네핏</v>
          </cell>
          <cell r="DE14" t="str">
            <v>0</v>
          </cell>
          <cell r="DF14" t="str">
            <v>0</v>
          </cell>
          <cell r="DG14" t="str">
            <v>0</v>
          </cell>
          <cell r="DH14" t="str">
            <v>206-85-09469</v>
          </cell>
          <cell r="DI14" t="str">
            <v>주소 없음</v>
          </cell>
          <cell r="DJ14">
            <v>0.3</v>
          </cell>
          <cell r="DK14">
            <v>0.2</v>
          </cell>
          <cell r="DL14" t="str">
            <v>0</v>
          </cell>
          <cell r="DM14" t="str">
            <v>0</v>
          </cell>
          <cell r="DN14" t="str">
            <v>0</v>
          </cell>
          <cell r="DO14" t="str">
            <v>0</v>
          </cell>
          <cell r="DP14" t="str">
            <v>0</v>
          </cell>
        </row>
        <row r="15">
          <cell r="C15" t="str">
            <v>Ray-012</v>
          </cell>
          <cell r="D15" t="str">
            <v>신흥정보통신㈜_12</v>
          </cell>
          <cell r="E15" t="str">
            <v>이종희 이사님</v>
          </cell>
          <cell r="F15" t="str">
            <v>010-3214-0636</v>
          </cell>
          <cell r="G15" t="str">
            <v>Ray Van</v>
          </cell>
          <cell r="H15" t="str">
            <v>스탠다드 A/T</v>
          </cell>
          <cell r="I15">
            <v>12750000</v>
          </cell>
          <cell r="J15">
            <v>2022</v>
          </cell>
          <cell r="K15" t="str">
            <v>White/Black</v>
          </cell>
          <cell r="L15" t="str">
            <v>가솔린</v>
          </cell>
          <cell r="M15" t="str">
            <v>KNACF911BNT283427</v>
          </cell>
          <cell r="N15" t="str">
            <v>101호2178</v>
          </cell>
          <cell r="O15" t="str">
            <v>-</v>
          </cell>
          <cell r="P15">
            <v>998</v>
          </cell>
          <cell r="Q15">
            <v>44494</v>
          </cell>
          <cell r="R15">
            <v>44497</v>
          </cell>
          <cell r="S15">
            <v>44497</v>
          </cell>
          <cell r="T15" t="str">
            <v>5</v>
          </cell>
          <cell r="U15">
            <v>46322</v>
          </cell>
          <cell r="V15">
            <v>2</v>
          </cell>
          <cell r="W15">
            <v>20000</v>
          </cell>
          <cell r="X15" t="str">
            <v>김지호</v>
          </cell>
          <cell r="Y15" t="str">
            <v>010-9608-8884</v>
          </cell>
          <cell r="Z15" t="str">
            <v>구봉</v>
          </cell>
          <cell r="AA15" t="str">
            <v>대전광역시 서구 관저북로 6 (관저동) KT구봉지점 2층 신흥정보통신</v>
          </cell>
          <cell r="AB15">
            <v>44505</v>
          </cell>
          <cell r="AC15">
            <v>1825</v>
          </cell>
          <cell r="AD15">
            <v>77</v>
          </cell>
          <cell r="AE15">
            <v>21100012</v>
          </cell>
          <cell r="AF15">
            <v>13234421</v>
          </cell>
          <cell r="AG15">
            <v>200000</v>
          </cell>
          <cell r="AH15">
            <v>12682000</v>
          </cell>
          <cell r="AI15">
            <v>0</v>
          </cell>
          <cell r="AJ15">
            <v>2000</v>
          </cell>
          <cell r="AK15">
            <v>461160</v>
          </cell>
          <cell r="AL15">
            <v>0</v>
          </cell>
          <cell r="AM15">
            <v>2000</v>
          </cell>
          <cell r="AN15">
            <v>27000</v>
          </cell>
          <cell r="AO15">
            <v>30000</v>
          </cell>
          <cell r="AP15">
            <v>430000</v>
          </cell>
          <cell r="AQ15">
            <v>0</v>
          </cell>
          <cell r="AR15" t="str">
            <v>엠피온</v>
          </cell>
          <cell r="AS15">
            <v>0</v>
          </cell>
          <cell r="AT15" t="str">
            <v>루마 전면 없음/측후면 15%</v>
          </cell>
          <cell r="AU15" t="str">
            <v>0</v>
          </cell>
          <cell r="AV15">
            <v>522160</v>
          </cell>
          <cell r="AW15" t="str">
            <v>렌터카 공제</v>
          </cell>
          <cell r="AX15">
            <v>44494</v>
          </cell>
          <cell r="AY15">
            <v>1138590</v>
          </cell>
          <cell r="AZ15">
            <v>1034460</v>
          </cell>
          <cell r="BA15" t="str">
            <v>0</v>
          </cell>
          <cell r="BB15" t="str">
            <v>0</v>
          </cell>
          <cell r="BC15" t="str">
            <v>0</v>
          </cell>
          <cell r="BD15" t="str">
            <v>만26세</v>
          </cell>
          <cell r="BE15" t="str">
            <v>무한대</v>
          </cell>
          <cell r="BF15" t="str">
            <v>2억원</v>
          </cell>
          <cell r="BG15" t="str">
            <v>1억원/1500만</v>
          </cell>
          <cell r="BH15" t="str">
            <v>2억원/1인당</v>
          </cell>
          <cell r="BI15" t="str">
            <v>30만원</v>
          </cell>
          <cell r="BJ15" t="str">
            <v>임직원</v>
          </cell>
          <cell r="BK15" t="str">
            <v>5회/년</v>
          </cell>
          <cell r="BL15" t="str">
            <v>가입</v>
          </cell>
          <cell r="BM15" t="str">
            <v>미가입</v>
          </cell>
          <cell r="BN15" t="str">
            <v>브랜드보증 외 사용자 부담</v>
          </cell>
          <cell r="BO15" t="str">
            <v>브랜드보증 외 사용자 부담</v>
          </cell>
          <cell r="BP15" t="str">
            <v>HANKOOK 앞/뒤165 60R14 79H</v>
          </cell>
          <cell r="BQ15" t="str">
            <v>0</v>
          </cell>
          <cell r="BR15">
            <v>17964</v>
          </cell>
          <cell r="BS15" t="str">
            <v>현금</v>
          </cell>
          <cell r="BT15" t="str">
            <v>0</v>
          </cell>
          <cell r="BU15" t="str">
            <v>0</v>
          </cell>
          <cell r="BV15" t="str">
            <v>0</v>
          </cell>
          <cell r="BW15" t="str">
            <v>0</v>
          </cell>
          <cell r="BX15">
            <v>0</v>
          </cell>
          <cell r="BY15">
            <v>0</v>
          </cell>
          <cell r="BZ15">
            <v>0</v>
          </cell>
          <cell r="CA15" t="str">
            <v>0</v>
          </cell>
          <cell r="CB15" t="str">
            <v>5</v>
          </cell>
          <cell r="CC15" t="str">
            <v>5</v>
          </cell>
          <cell r="CD15">
            <v>342650</v>
          </cell>
          <cell r="CE15">
            <v>60</v>
          </cell>
          <cell r="CF15">
            <v>20559000</v>
          </cell>
          <cell r="CG15" t="str">
            <v>0</v>
          </cell>
          <cell r="CH15" t="str">
            <v>0</v>
          </cell>
          <cell r="CI15">
            <v>2506900</v>
          </cell>
          <cell r="CJ15">
            <v>0.04</v>
          </cell>
          <cell r="CK15">
            <v>0.04</v>
          </cell>
          <cell r="CL15" t="str">
            <v>jhlee@shtel.co.kr</v>
          </cell>
          <cell r="CM15" t="str">
            <v>0</v>
          </cell>
          <cell r="CN15" t="str">
            <v>0</v>
          </cell>
          <cell r="CO15">
            <v>0.03</v>
          </cell>
          <cell r="CP15" t="str">
            <v>0</v>
          </cell>
          <cell r="CQ15">
            <v>0</v>
          </cell>
          <cell r="CR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W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B15" t="str">
            <v>기아</v>
          </cell>
          <cell r="DC15" t="str">
            <v>정수원 실장</v>
          </cell>
          <cell r="DD15" t="str">
            <v>렌트베네핏</v>
          </cell>
          <cell r="DE15" t="str">
            <v>0</v>
          </cell>
          <cell r="DF15" t="str">
            <v>0</v>
          </cell>
          <cell r="DG15" t="str">
            <v>0</v>
          </cell>
          <cell r="DH15" t="str">
            <v>206-85-09469</v>
          </cell>
          <cell r="DI15" t="str">
            <v>주소 없음</v>
          </cell>
          <cell r="DJ15">
            <v>0.3</v>
          </cell>
          <cell r="DK15">
            <v>0.2</v>
          </cell>
          <cell r="DL15" t="str">
            <v>0</v>
          </cell>
          <cell r="DM15" t="str">
            <v>0</v>
          </cell>
          <cell r="DN15" t="str">
            <v>0</v>
          </cell>
          <cell r="DO15" t="str">
            <v>0</v>
          </cell>
          <cell r="DP15" t="str">
            <v>0</v>
          </cell>
        </row>
        <row r="16">
          <cell r="C16" t="str">
            <v>Ray-013</v>
          </cell>
          <cell r="D16" t="str">
            <v>신흥정보통신㈜_13</v>
          </cell>
          <cell r="E16" t="str">
            <v>이종희 이사님</v>
          </cell>
          <cell r="F16" t="str">
            <v>010-3214-0636</v>
          </cell>
          <cell r="G16" t="str">
            <v>Ray Van</v>
          </cell>
          <cell r="H16" t="str">
            <v>스탠다드 A/T</v>
          </cell>
          <cell r="I16">
            <v>12750000</v>
          </cell>
          <cell r="J16">
            <v>2022</v>
          </cell>
          <cell r="K16" t="str">
            <v>White/Black</v>
          </cell>
          <cell r="L16" t="str">
            <v>가솔린</v>
          </cell>
          <cell r="M16" t="str">
            <v>KNACF911BNT283366</v>
          </cell>
          <cell r="N16" t="str">
            <v>101호2168</v>
          </cell>
          <cell r="O16" t="str">
            <v>-</v>
          </cell>
          <cell r="P16">
            <v>998</v>
          </cell>
          <cell r="Q16">
            <v>44494</v>
          </cell>
          <cell r="R16">
            <v>44497</v>
          </cell>
          <cell r="S16">
            <v>44497</v>
          </cell>
          <cell r="T16" t="str">
            <v>5</v>
          </cell>
          <cell r="U16">
            <v>46322</v>
          </cell>
          <cell r="V16">
            <v>2</v>
          </cell>
          <cell r="W16">
            <v>20000</v>
          </cell>
          <cell r="X16" t="str">
            <v>김지호</v>
          </cell>
          <cell r="Y16" t="str">
            <v>010-9608-8884</v>
          </cell>
          <cell r="Z16" t="str">
            <v>구봉</v>
          </cell>
          <cell r="AA16" t="str">
            <v>대전광역시 서구 관저북로 6 (관저동) KT구봉지점 2층 신흥정보통신</v>
          </cell>
          <cell r="AB16">
            <v>44505</v>
          </cell>
          <cell r="AC16">
            <v>1825</v>
          </cell>
          <cell r="AD16">
            <v>77</v>
          </cell>
          <cell r="AE16">
            <v>21100013</v>
          </cell>
          <cell r="AF16">
            <v>13234421</v>
          </cell>
          <cell r="AG16">
            <v>200000</v>
          </cell>
          <cell r="AH16">
            <v>12682000</v>
          </cell>
          <cell r="AI16">
            <v>0</v>
          </cell>
          <cell r="AJ16">
            <v>2000</v>
          </cell>
          <cell r="AK16">
            <v>461160</v>
          </cell>
          <cell r="AL16">
            <v>0</v>
          </cell>
          <cell r="AM16">
            <v>2000</v>
          </cell>
          <cell r="AN16">
            <v>27000</v>
          </cell>
          <cell r="AO16">
            <v>30000</v>
          </cell>
          <cell r="AP16">
            <v>430000</v>
          </cell>
          <cell r="AQ16">
            <v>0</v>
          </cell>
          <cell r="AR16" t="str">
            <v>엠피온</v>
          </cell>
          <cell r="AS16">
            <v>0</v>
          </cell>
          <cell r="AT16" t="str">
            <v>루마 전면 없음/측후면 15%</v>
          </cell>
          <cell r="AU16" t="str">
            <v>0</v>
          </cell>
          <cell r="AV16">
            <v>522160</v>
          </cell>
          <cell r="AW16" t="str">
            <v>렌터카 공제</v>
          </cell>
          <cell r="AX16">
            <v>44494</v>
          </cell>
          <cell r="AY16">
            <v>1138590</v>
          </cell>
          <cell r="AZ16">
            <v>1034460</v>
          </cell>
          <cell r="BA16" t="str">
            <v>0</v>
          </cell>
          <cell r="BB16" t="str">
            <v>0</v>
          </cell>
          <cell r="BC16" t="str">
            <v>0</v>
          </cell>
          <cell r="BD16" t="str">
            <v>만26세</v>
          </cell>
          <cell r="BE16" t="str">
            <v>무한대</v>
          </cell>
          <cell r="BF16" t="str">
            <v>2억원</v>
          </cell>
          <cell r="BG16" t="str">
            <v>1억원/1500만</v>
          </cell>
          <cell r="BH16" t="str">
            <v>2억원/1인당</v>
          </cell>
          <cell r="BI16" t="str">
            <v>30만원</v>
          </cell>
          <cell r="BJ16" t="str">
            <v>임직원</v>
          </cell>
          <cell r="BK16" t="str">
            <v>5회/년</v>
          </cell>
          <cell r="BL16" t="str">
            <v>가입</v>
          </cell>
          <cell r="BM16" t="str">
            <v>미가입</v>
          </cell>
          <cell r="BN16" t="str">
            <v>브랜드보증 외 사용자 부담</v>
          </cell>
          <cell r="BO16" t="str">
            <v>브랜드보증 외 사용자 부담</v>
          </cell>
          <cell r="BP16" t="str">
            <v>HANKOOK 앞/뒤165 60R14 79H</v>
          </cell>
          <cell r="BQ16" t="str">
            <v>0</v>
          </cell>
          <cell r="BR16">
            <v>17964</v>
          </cell>
          <cell r="BS16" t="str">
            <v>현금</v>
          </cell>
          <cell r="BT16" t="str">
            <v>0</v>
          </cell>
          <cell r="BU16" t="str">
            <v>0</v>
          </cell>
          <cell r="BV16" t="str">
            <v>0</v>
          </cell>
          <cell r="BW16" t="str">
            <v>0</v>
          </cell>
          <cell r="BX16">
            <v>0</v>
          </cell>
          <cell r="BY16">
            <v>0</v>
          </cell>
          <cell r="BZ16">
            <v>0</v>
          </cell>
          <cell r="CA16" t="str">
            <v>0</v>
          </cell>
          <cell r="CB16" t="str">
            <v>5</v>
          </cell>
          <cell r="CC16" t="str">
            <v>5</v>
          </cell>
          <cell r="CD16">
            <v>342650</v>
          </cell>
          <cell r="CE16">
            <v>60</v>
          </cell>
          <cell r="CF16">
            <v>20559000</v>
          </cell>
          <cell r="CG16" t="str">
            <v>0</v>
          </cell>
          <cell r="CH16" t="str">
            <v>0</v>
          </cell>
          <cell r="CI16">
            <v>2506900</v>
          </cell>
          <cell r="CJ16">
            <v>0.04</v>
          </cell>
          <cell r="CK16">
            <v>0.04</v>
          </cell>
          <cell r="CL16" t="str">
            <v>jhlee@shtel.co.kr</v>
          </cell>
          <cell r="CM16" t="str">
            <v>0</v>
          </cell>
          <cell r="CN16" t="str">
            <v>0</v>
          </cell>
          <cell r="CO16">
            <v>0.03</v>
          </cell>
          <cell r="CP16" t="str">
            <v>0</v>
          </cell>
          <cell r="CQ16">
            <v>0</v>
          </cell>
          <cell r="CR16">
            <v>0</v>
          </cell>
          <cell r="CS16">
            <v>0</v>
          </cell>
          <cell r="CT16">
            <v>0</v>
          </cell>
          <cell r="CU16">
            <v>0</v>
          </cell>
          <cell r="CV16">
            <v>0</v>
          </cell>
          <cell r="CW16">
            <v>0</v>
          </cell>
          <cell r="CX16">
            <v>0</v>
          </cell>
          <cell r="CY16">
            <v>0</v>
          </cell>
          <cell r="CZ16">
            <v>0</v>
          </cell>
          <cell r="DA16">
            <v>0</v>
          </cell>
          <cell r="DB16" t="str">
            <v>기아</v>
          </cell>
          <cell r="DC16" t="str">
            <v>정수원 실장</v>
          </cell>
          <cell r="DD16" t="str">
            <v>렌트베네핏</v>
          </cell>
          <cell r="DE16" t="str">
            <v>0</v>
          </cell>
          <cell r="DF16" t="str">
            <v>0</v>
          </cell>
          <cell r="DG16" t="str">
            <v>0</v>
          </cell>
          <cell r="DH16" t="str">
            <v>206-85-09469</v>
          </cell>
          <cell r="DI16" t="str">
            <v>주소 없음</v>
          </cell>
          <cell r="DJ16">
            <v>0.3</v>
          </cell>
          <cell r="DK16">
            <v>0.2</v>
          </cell>
          <cell r="DL16" t="str">
            <v>0</v>
          </cell>
          <cell r="DM16" t="str">
            <v>0</v>
          </cell>
          <cell r="DN16" t="str">
            <v>0</v>
          </cell>
          <cell r="DO16" t="str">
            <v>0</v>
          </cell>
          <cell r="DP16" t="str">
            <v>0</v>
          </cell>
        </row>
        <row r="17">
          <cell r="C17" t="str">
            <v>Ray-014</v>
          </cell>
          <cell r="D17" t="str">
            <v>신흥정보통신㈜_14</v>
          </cell>
          <cell r="E17" t="str">
            <v>이종희 이사님</v>
          </cell>
          <cell r="F17" t="str">
            <v>010-3214-0636</v>
          </cell>
          <cell r="G17" t="str">
            <v>Ray Van</v>
          </cell>
          <cell r="H17" t="str">
            <v>스탠다드 A/T</v>
          </cell>
          <cell r="I17">
            <v>12750000</v>
          </cell>
          <cell r="J17">
            <v>2022</v>
          </cell>
          <cell r="K17" t="str">
            <v>White/Black</v>
          </cell>
          <cell r="L17" t="str">
            <v>가솔린</v>
          </cell>
          <cell r="M17" t="str">
            <v>KNACF911BNT283483</v>
          </cell>
          <cell r="N17" t="str">
            <v>101호2169</v>
          </cell>
          <cell r="O17" t="str">
            <v>-</v>
          </cell>
          <cell r="P17">
            <v>998</v>
          </cell>
          <cell r="Q17">
            <v>44494</v>
          </cell>
          <cell r="R17">
            <v>44497</v>
          </cell>
          <cell r="S17">
            <v>44497</v>
          </cell>
          <cell r="T17" t="str">
            <v>5</v>
          </cell>
          <cell r="U17">
            <v>46322</v>
          </cell>
          <cell r="V17">
            <v>2</v>
          </cell>
          <cell r="W17">
            <v>20000</v>
          </cell>
          <cell r="X17" t="str">
            <v>남진한</v>
          </cell>
          <cell r="Y17" t="str">
            <v>010-3479-8628</v>
          </cell>
          <cell r="Z17" t="str">
            <v>서대전</v>
          </cell>
          <cell r="AA17" t="str">
            <v>대전광역시 서구 괴정로 72 (괴정동) KT서대전지사 2층 신흥정보통신</v>
          </cell>
          <cell r="AB17">
            <v>44505</v>
          </cell>
          <cell r="AC17">
            <v>1825</v>
          </cell>
          <cell r="AD17">
            <v>77</v>
          </cell>
          <cell r="AE17">
            <v>21100014</v>
          </cell>
          <cell r="AF17">
            <v>13234421</v>
          </cell>
          <cell r="AG17">
            <v>200000</v>
          </cell>
          <cell r="AH17">
            <v>12682000</v>
          </cell>
          <cell r="AI17">
            <v>0</v>
          </cell>
          <cell r="AJ17">
            <v>2000</v>
          </cell>
          <cell r="AK17">
            <v>461160</v>
          </cell>
          <cell r="AL17">
            <v>0</v>
          </cell>
          <cell r="AM17">
            <v>2000</v>
          </cell>
          <cell r="AN17">
            <v>27000</v>
          </cell>
          <cell r="AO17">
            <v>30000</v>
          </cell>
          <cell r="AP17">
            <v>430000</v>
          </cell>
          <cell r="AQ17">
            <v>0</v>
          </cell>
          <cell r="AR17" t="str">
            <v>엠피온</v>
          </cell>
          <cell r="AS17">
            <v>0</v>
          </cell>
          <cell r="AT17" t="str">
            <v>루마 전면 없음/측후면 15%</v>
          </cell>
          <cell r="AU17" t="str">
            <v>0</v>
          </cell>
          <cell r="AV17">
            <v>522160</v>
          </cell>
          <cell r="AW17" t="str">
            <v>렌터카 공제</v>
          </cell>
          <cell r="AX17">
            <v>44494</v>
          </cell>
          <cell r="AY17">
            <v>1138590</v>
          </cell>
          <cell r="AZ17">
            <v>1034460</v>
          </cell>
          <cell r="BA17" t="str">
            <v>0</v>
          </cell>
          <cell r="BB17" t="str">
            <v>0</v>
          </cell>
          <cell r="BC17" t="str">
            <v>0</v>
          </cell>
          <cell r="BD17" t="str">
            <v>만26세</v>
          </cell>
          <cell r="BE17" t="str">
            <v>무한대</v>
          </cell>
          <cell r="BF17" t="str">
            <v>2억원</v>
          </cell>
          <cell r="BG17" t="str">
            <v>1억원/1500만</v>
          </cell>
          <cell r="BH17" t="str">
            <v>2억원/1인당</v>
          </cell>
          <cell r="BI17" t="str">
            <v>30만원</v>
          </cell>
          <cell r="BJ17" t="str">
            <v>임직원</v>
          </cell>
          <cell r="BK17" t="str">
            <v>5회/년</v>
          </cell>
          <cell r="BL17" t="str">
            <v>가입</v>
          </cell>
          <cell r="BM17" t="str">
            <v>미가입</v>
          </cell>
          <cell r="BN17" t="str">
            <v>브랜드보증 외 사용자 부담</v>
          </cell>
          <cell r="BO17" t="str">
            <v>브랜드보증 외 사용자 부담</v>
          </cell>
          <cell r="BP17" t="str">
            <v>HANKOOK 앞/뒤165 60R14 79H</v>
          </cell>
          <cell r="BQ17" t="str">
            <v>0</v>
          </cell>
          <cell r="BR17">
            <v>17964</v>
          </cell>
          <cell r="BS17" t="str">
            <v>현금</v>
          </cell>
          <cell r="BT17" t="str">
            <v>0</v>
          </cell>
          <cell r="BU17" t="str">
            <v>0</v>
          </cell>
          <cell r="BV17" t="str">
            <v>0</v>
          </cell>
          <cell r="BW17" t="str">
            <v>0</v>
          </cell>
          <cell r="BX17">
            <v>0</v>
          </cell>
          <cell r="BY17">
            <v>0</v>
          </cell>
          <cell r="BZ17">
            <v>0</v>
          </cell>
          <cell r="CA17" t="str">
            <v>0</v>
          </cell>
          <cell r="CB17" t="str">
            <v>5</v>
          </cell>
          <cell r="CC17" t="str">
            <v>5</v>
          </cell>
          <cell r="CD17">
            <v>342650</v>
          </cell>
          <cell r="CE17">
            <v>60</v>
          </cell>
          <cell r="CF17">
            <v>20559000</v>
          </cell>
          <cell r="CG17" t="str">
            <v>0</v>
          </cell>
          <cell r="CH17" t="str">
            <v>0</v>
          </cell>
          <cell r="CI17">
            <v>2506900</v>
          </cell>
          <cell r="CJ17">
            <v>0.04</v>
          </cell>
          <cell r="CK17">
            <v>0.04</v>
          </cell>
          <cell r="CL17" t="str">
            <v>jhlee@shtel.co.kr</v>
          </cell>
          <cell r="CM17" t="str">
            <v>0</v>
          </cell>
          <cell r="CN17" t="str">
            <v>0</v>
          </cell>
          <cell r="CO17">
            <v>0.03</v>
          </cell>
          <cell r="CP17" t="str">
            <v>0</v>
          </cell>
          <cell r="CQ17">
            <v>0</v>
          </cell>
          <cell r="CR17">
            <v>0</v>
          </cell>
          <cell r="CS17">
            <v>0</v>
          </cell>
          <cell r="CT17">
            <v>0</v>
          </cell>
          <cell r="CU17">
            <v>0</v>
          </cell>
          <cell r="CV17">
            <v>0</v>
          </cell>
          <cell r="CW17">
            <v>0</v>
          </cell>
          <cell r="CX17">
            <v>0</v>
          </cell>
          <cell r="CY17">
            <v>0</v>
          </cell>
          <cell r="CZ17">
            <v>0</v>
          </cell>
          <cell r="DA17">
            <v>0</v>
          </cell>
          <cell r="DB17" t="str">
            <v>기아</v>
          </cell>
          <cell r="DC17" t="str">
            <v>정수원 실장</v>
          </cell>
          <cell r="DD17" t="str">
            <v>렌트베네핏</v>
          </cell>
          <cell r="DE17" t="str">
            <v>0</v>
          </cell>
          <cell r="DF17" t="str">
            <v>0</v>
          </cell>
          <cell r="DG17" t="str">
            <v>0</v>
          </cell>
          <cell r="DH17" t="str">
            <v>206-85-09469</v>
          </cell>
          <cell r="DI17" t="str">
            <v>주소 없음</v>
          </cell>
          <cell r="DJ17">
            <v>0.3</v>
          </cell>
          <cell r="DK17">
            <v>0.2</v>
          </cell>
          <cell r="DL17" t="str">
            <v>0</v>
          </cell>
          <cell r="DM17" t="str">
            <v>0</v>
          </cell>
          <cell r="DN17" t="str">
            <v>0</v>
          </cell>
          <cell r="DO17" t="str">
            <v>0</v>
          </cell>
          <cell r="DP17" t="str">
            <v>0</v>
          </cell>
        </row>
        <row r="18">
          <cell r="C18" t="str">
            <v>Ray-015</v>
          </cell>
          <cell r="D18" t="str">
            <v>신흥정보통신㈜_15</v>
          </cell>
          <cell r="E18" t="str">
            <v>이종희 이사님</v>
          </cell>
          <cell r="F18" t="str">
            <v>010-3214-0636</v>
          </cell>
          <cell r="G18" t="str">
            <v>Ray Van</v>
          </cell>
          <cell r="H18" t="str">
            <v>스탠다드 A/T</v>
          </cell>
          <cell r="I18">
            <v>12750000</v>
          </cell>
          <cell r="J18">
            <v>2022</v>
          </cell>
          <cell r="K18" t="str">
            <v>White/Black</v>
          </cell>
          <cell r="L18" t="str">
            <v>가솔린</v>
          </cell>
          <cell r="M18" t="str">
            <v>KNACF911BNT283551</v>
          </cell>
          <cell r="N18" t="str">
            <v>101호2171</v>
          </cell>
          <cell r="O18" t="str">
            <v>-</v>
          </cell>
          <cell r="P18">
            <v>998</v>
          </cell>
          <cell r="Q18">
            <v>44494</v>
          </cell>
          <cell r="R18">
            <v>44497</v>
          </cell>
          <cell r="S18">
            <v>44497</v>
          </cell>
          <cell r="T18" t="str">
            <v>5</v>
          </cell>
          <cell r="U18">
            <v>46322</v>
          </cell>
          <cell r="V18">
            <v>2</v>
          </cell>
          <cell r="W18">
            <v>20000</v>
          </cell>
          <cell r="X18" t="str">
            <v>김지호</v>
          </cell>
          <cell r="Y18" t="str">
            <v>010-9608-8884</v>
          </cell>
          <cell r="Z18" t="str">
            <v>구봉</v>
          </cell>
          <cell r="AA18" t="str">
            <v>대전광역시 서구 관저북로 6 (관저동) KT구봉지점 2층 신흥정보통신</v>
          </cell>
          <cell r="AB18">
            <v>44505</v>
          </cell>
          <cell r="AC18">
            <v>1825</v>
          </cell>
          <cell r="AD18">
            <v>77</v>
          </cell>
          <cell r="AE18">
            <v>21100015</v>
          </cell>
          <cell r="AF18">
            <v>13234421</v>
          </cell>
          <cell r="AG18">
            <v>200000</v>
          </cell>
          <cell r="AH18">
            <v>12682000</v>
          </cell>
          <cell r="AI18">
            <v>0</v>
          </cell>
          <cell r="AJ18">
            <v>2000</v>
          </cell>
          <cell r="AK18">
            <v>461160</v>
          </cell>
          <cell r="AL18">
            <v>0</v>
          </cell>
          <cell r="AM18">
            <v>2000</v>
          </cell>
          <cell r="AN18">
            <v>27000</v>
          </cell>
          <cell r="AO18">
            <v>30000</v>
          </cell>
          <cell r="AP18">
            <v>430000</v>
          </cell>
          <cell r="AQ18">
            <v>0</v>
          </cell>
          <cell r="AR18" t="str">
            <v>엠피온</v>
          </cell>
          <cell r="AS18">
            <v>0</v>
          </cell>
          <cell r="AT18" t="str">
            <v>루마 전면 없음/측후면 15%</v>
          </cell>
          <cell r="AU18" t="str">
            <v>0</v>
          </cell>
          <cell r="AV18">
            <v>522160</v>
          </cell>
          <cell r="AW18" t="str">
            <v>렌터카 공제</v>
          </cell>
          <cell r="AX18">
            <v>44494</v>
          </cell>
          <cell r="AY18">
            <v>1138590</v>
          </cell>
          <cell r="AZ18">
            <v>1034460</v>
          </cell>
          <cell r="BA18" t="str">
            <v>0</v>
          </cell>
          <cell r="BB18" t="str">
            <v>0</v>
          </cell>
          <cell r="BC18" t="str">
            <v>0</v>
          </cell>
          <cell r="BD18" t="str">
            <v>만26세</v>
          </cell>
          <cell r="BE18" t="str">
            <v>무한대</v>
          </cell>
          <cell r="BF18" t="str">
            <v>2억원</v>
          </cell>
          <cell r="BG18" t="str">
            <v>1억원/1500만</v>
          </cell>
          <cell r="BH18" t="str">
            <v>2억원/1인당</v>
          </cell>
          <cell r="BI18" t="str">
            <v>30만원</v>
          </cell>
          <cell r="BJ18" t="str">
            <v>임직원</v>
          </cell>
          <cell r="BK18" t="str">
            <v>5회/년</v>
          </cell>
          <cell r="BL18" t="str">
            <v>가입</v>
          </cell>
          <cell r="BM18" t="str">
            <v>미가입</v>
          </cell>
          <cell r="BN18" t="str">
            <v>브랜드보증 외 사용자 부담</v>
          </cell>
          <cell r="BO18" t="str">
            <v>브랜드보증 외 사용자 부담</v>
          </cell>
          <cell r="BP18" t="str">
            <v>HANKOOK 앞/뒤165 60R14 79H</v>
          </cell>
          <cell r="BQ18" t="str">
            <v>0</v>
          </cell>
          <cell r="BR18">
            <v>17964</v>
          </cell>
          <cell r="BS18" t="str">
            <v>현금</v>
          </cell>
          <cell r="BT18" t="str">
            <v>0</v>
          </cell>
          <cell r="BU18" t="str">
            <v>0</v>
          </cell>
          <cell r="BV18" t="str">
            <v>0</v>
          </cell>
          <cell r="BW18" t="str">
            <v>0</v>
          </cell>
          <cell r="BX18">
            <v>0</v>
          </cell>
          <cell r="BY18">
            <v>0</v>
          </cell>
          <cell r="BZ18">
            <v>0</v>
          </cell>
          <cell r="CA18" t="str">
            <v>0</v>
          </cell>
          <cell r="CB18" t="str">
            <v>5</v>
          </cell>
          <cell r="CC18" t="str">
            <v>5</v>
          </cell>
          <cell r="CD18">
            <v>342650</v>
          </cell>
          <cell r="CE18">
            <v>60</v>
          </cell>
          <cell r="CF18">
            <v>20559000</v>
          </cell>
          <cell r="CG18" t="str">
            <v>0</v>
          </cell>
          <cell r="CH18" t="str">
            <v>0</v>
          </cell>
          <cell r="CI18">
            <v>2506900</v>
          </cell>
          <cell r="CJ18">
            <v>0.04</v>
          </cell>
          <cell r="CK18">
            <v>0.04</v>
          </cell>
          <cell r="CL18" t="str">
            <v>jhlee@shtel.co.kr</v>
          </cell>
          <cell r="CM18" t="str">
            <v>0</v>
          </cell>
          <cell r="CN18" t="str">
            <v>0</v>
          </cell>
          <cell r="CO18">
            <v>0.03</v>
          </cell>
          <cell r="CP18" t="str">
            <v>0</v>
          </cell>
          <cell r="CQ18">
            <v>0</v>
          </cell>
          <cell r="CR18">
            <v>0</v>
          </cell>
          <cell r="CS18">
            <v>0</v>
          </cell>
          <cell r="CT18">
            <v>0</v>
          </cell>
          <cell r="CU18">
            <v>0</v>
          </cell>
          <cell r="CV18">
            <v>0</v>
          </cell>
          <cell r="CW18">
            <v>0</v>
          </cell>
          <cell r="CX18">
            <v>0</v>
          </cell>
          <cell r="CY18">
            <v>0</v>
          </cell>
          <cell r="CZ18">
            <v>0</v>
          </cell>
          <cell r="DA18">
            <v>0</v>
          </cell>
          <cell r="DB18" t="str">
            <v>기아</v>
          </cell>
          <cell r="DC18" t="str">
            <v>정수원 실장</v>
          </cell>
          <cell r="DD18" t="str">
            <v>렌트베네핏</v>
          </cell>
          <cell r="DE18" t="str">
            <v>0</v>
          </cell>
          <cell r="DF18" t="str">
            <v>0</v>
          </cell>
          <cell r="DG18" t="str">
            <v>0</v>
          </cell>
          <cell r="DH18" t="str">
            <v>206-85-09469</v>
          </cell>
          <cell r="DI18" t="str">
            <v>주소 없음</v>
          </cell>
          <cell r="DJ18">
            <v>0.3</v>
          </cell>
          <cell r="DK18">
            <v>0.2</v>
          </cell>
          <cell r="DL18" t="str">
            <v>0</v>
          </cell>
          <cell r="DM18" t="str">
            <v>0</v>
          </cell>
          <cell r="DN18" t="str">
            <v>0</v>
          </cell>
          <cell r="DO18" t="str">
            <v>0</v>
          </cell>
          <cell r="DP18" t="str">
            <v>0</v>
          </cell>
        </row>
        <row r="19">
          <cell r="C19" t="str">
            <v>Ray-016</v>
          </cell>
          <cell r="D19" t="str">
            <v>신흥정보통신㈜_16</v>
          </cell>
          <cell r="E19" t="str">
            <v>이종희 이사님</v>
          </cell>
          <cell r="F19" t="str">
            <v>010-3214-0636</v>
          </cell>
          <cell r="G19" t="str">
            <v>Ray Van</v>
          </cell>
          <cell r="H19" t="str">
            <v>스탠다드 A/T</v>
          </cell>
          <cell r="I19">
            <v>12750000</v>
          </cell>
          <cell r="J19">
            <v>2022</v>
          </cell>
          <cell r="K19" t="str">
            <v>White/Black</v>
          </cell>
          <cell r="L19" t="str">
            <v>가솔린</v>
          </cell>
          <cell r="M19" t="str">
            <v>KNACF911BNT283500</v>
          </cell>
          <cell r="N19" t="str">
            <v>101호2172</v>
          </cell>
          <cell r="O19" t="str">
            <v>-</v>
          </cell>
          <cell r="P19">
            <v>998</v>
          </cell>
          <cell r="Q19">
            <v>44494</v>
          </cell>
          <cell r="R19">
            <v>44497</v>
          </cell>
          <cell r="S19">
            <v>44497</v>
          </cell>
          <cell r="T19" t="str">
            <v>5</v>
          </cell>
          <cell r="U19">
            <v>46322</v>
          </cell>
          <cell r="V19">
            <v>2</v>
          </cell>
          <cell r="W19">
            <v>20000</v>
          </cell>
          <cell r="X19" t="str">
            <v>남진한</v>
          </cell>
          <cell r="Y19" t="str">
            <v>010-3479-8628</v>
          </cell>
          <cell r="Z19" t="str">
            <v>서대전</v>
          </cell>
          <cell r="AA19" t="str">
            <v>대전광역시 서구 괴정로 72 (괴정동) KT서대전지사 2층 신흥정보통신</v>
          </cell>
          <cell r="AB19">
            <v>44505</v>
          </cell>
          <cell r="AC19">
            <v>1825</v>
          </cell>
          <cell r="AD19">
            <v>77</v>
          </cell>
          <cell r="AE19">
            <v>21100016</v>
          </cell>
          <cell r="AF19">
            <v>13234421</v>
          </cell>
          <cell r="AG19">
            <v>200000</v>
          </cell>
          <cell r="AH19">
            <v>12682000</v>
          </cell>
          <cell r="AI19">
            <v>0</v>
          </cell>
          <cell r="AJ19">
            <v>2000</v>
          </cell>
          <cell r="AK19">
            <v>461160</v>
          </cell>
          <cell r="AL19">
            <v>0</v>
          </cell>
          <cell r="AM19">
            <v>2000</v>
          </cell>
          <cell r="AN19">
            <v>27000</v>
          </cell>
          <cell r="AO19">
            <v>30000</v>
          </cell>
          <cell r="AP19">
            <v>430000</v>
          </cell>
          <cell r="AQ19">
            <v>0</v>
          </cell>
          <cell r="AR19" t="str">
            <v>엠피온</v>
          </cell>
          <cell r="AS19">
            <v>0</v>
          </cell>
          <cell r="AT19" t="str">
            <v>루마 전면 없음/측후면 15%</v>
          </cell>
          <cell r="AU19" t="str">
            <v>0</v>
          </cell>
          <cell r="AV19">
            <v>522160</v>
          </cell>
          <cell r="AW19" t="str">
            <v>렌터카 공제</v>
          </cell>
          <cell r="AX19">
            <v>44494</v>
          </cell>
          <cell r="AY19">
            <v>1138590</v>
          </cell>
          <cell r="AZ19">
            <v>1034460</v>
          </cell>
          <cell r="BA19" t="str">
            <v>0</v>
          </cell>
          <cell r="BB19" t="str">
            <v>0</v>
          </cell>
          <cell r="BC19" t="str">
            <v>0</v>
          </cell>
          <cell r="BD19" t="str">
            <v>만26세</v>
          </cell>
          <cell r="BE19" t="str">
            <v>무한대</v>
          </cell>
          <cell r="BF19" t="str">
            <v>2억원</v>
          </cell>
          <cell r="BG19" t="str">
            <v>1억원/1500만</v>
          </cell>
          <cell r="BH19" t="str">
            <v>2억원/1인당</v>
          </cell>
          <cell r="BI19" t="str">
            <v>30만원</v>
          </cell>
          <cell r="BJ19" t="str">
            <v>임직원</v>
          </cell>
          <cell r="BK19" t="str">
            <v>5회/년</v>
          </cell>
          <cell r="BL19" t="str">
            <v>가입</v>
          </cell>
          <cell r="BM19" t="str">
            <v>미가입</v>
          </cell>
          <cell r="BN19" t="str">
            <v>브랜드보증 외 사용자 부담</v>
          </cell>
          <cell r="BO19" t="str">
            <v>브랜드보증 외 사용자 부담</v>
          </cell>
          <cell r="BP19" t="str">
            <v>HANKOOK 앞/뒤165 60R14 79H</v>
          </cell>
          <cell r="BQ19" t="str">
            <v>0</v>
          </cell>
          <cell r="BR19">
            <v>17964</v>
          </cell>
          <cell r="BS19" t="str">
            <v>현금</v>
          </cell>
          <cell r="BT19" t="str">
            <v>0</v>
          </cell>
          <cell r="BU19" t="str">
            <v>0</v>
          </cell>
          <cell r="BV19" t="str">
            <v>0</v>
          </cell>
          <cell r="BW19" t="str">
            <v>0</v>
          </cell>
          <cell r="BX19">
            <v>0</v>
          </cell>
          <cell r="BY19">
            <v>0</v>
          </cell>
          <cell r="BZ19">
            <v>0</v>
          </cell>
          <cell r="CA19" t="str">
            <v>0</v>
          </cell>
          <cell r="CB19" t="str">
            <v>5</v>
          </cell>
          <cell r="CC19" t="str">
            <v>5</v>
          </cell>
          <cell r="CD19">
            <v>342650</v>
          </cell>
          <cell r="CE19">
            <v>60</v>
          </cell>
          <cell r="CF19">
            <v>20559000</v>
          </cell>
          <cell r="CG19" t="str">
            <v>0</v>
          </cell>
          <cell r="CH19" t="str">
            <v>0</v>
          </cell>
          <cell r="CI19">
            <v>2506900</v>
          </cell>
          <cell r="CJ19">
            <v>0.04</v>
          </cell>
          <cell r="CK19">
            <v>0.04</v>
          </cell>
          <cell r="CL19" t="str">
            <v>jhlee@shtel.co.kr</v>
          </cell>
          <cell r="CM19" t="str">
            <v>0</v>
          </cell>
          <cell r="CN19" t="str">
            <v>0</v>
          </cell>
          <cell r="CO19">
            <v>0.03</v>
          </cell>
          <cell r="CP19" t="str">
            <v>0</v>
          </cell>
          <cell r="CQ19">
            <v>0</v>
          </cell>
          <cell r="CR19">
            <v>0</v>
          </cell>
          <cell r="CS19">
            <v>0</v>
          </cell>
          <cell r="CT19">
            <v>0</v>
          </cell>
          <cell r="CU19">
            <v>0</v>
          </cell>
          <cell r="CV19">
            <v>0</v>
          </cell>
          <cell r="CW19">
            <v>0</v>
          </cell>
          <cell r="CX19">
            <v>0</v>
          </cell>
          <cell r="CY19">
            <v>0</v>
          </cell>
          <cell r="CZ19">
            <v>0</v>
          </cell>
          <cell r="DA19">
            <v>0</v>
          </cell>
          <cell r="DB19" t="str">
            <v>기아</v>
          </cell>
          <cell r="DC19" t="str">
            <v>정수원 실장</v>
          </cell>
          <cell r="DD19" t="str">
            <v>렌트베네핏</v>
          </cell>
          <cell r="DE19" t="str">
            <v>0</v>
          </cell>
          <cell r="DF19" t="str">
            <v>0</v>
          </cell>
          <cell r="DG19" t="str">
            <v>0</v>
          </cell>
          <cell r="DH19" t="str">
            <v>206-85-09469</v>
          </cell>
          <cell r="DI19" t="str">
            <v>주소 없음</v>
          </cell>
          <cell r="DJ19">
            <v>0.3</v>
          </cell>
          <cell r="DK19">
            <v>0.2</v>
          </cell>
          <cell r="DL19" t="str">
            <v>0</v>
          </cell>
          <cell r="DM19" t="str">
            <v>0</v>
          </cell>
          <cell r="DN19" t="str">
            <v>0</v>
          </cell>
          <cell r="DO19" t="str">
            <v>0</v>
          </cell>
          <cell r="DP19" t="str">
            <v>0</v>
          </cell>
        </row>
        <row r="20">
          <cell r="C20" t="str">
            <v>Ray-017</v>
          </cell>
          <cell r="D20" t="str">
            <v>신흥정보통신㈜_17</v>
          </cell>
          <cell r="E20" t="str">
            <v>이종희 이사님</v>
          </cell>
          <cell r="F20" t="str">
            <v>010-3214-0636</v>
          </cell>
          <cell r="G20" t="str">
            <v>Ray Van</v>
          </cell>
          <cell r="H20" t="str">
            <v>스탠다드 A/T</v>
          </cell>
          <cell r="I20">
            <v>12750000</v>
          </cell>
          <cell r="J20">
            <v>2022</v>
          </cell>
          <cell r="K20" t="str">
            <v>White/Black</v>
          </cell>
          <cell r="L20" t="str">
            <v>가솔린</v>
          </cell>
          <cell r="M20" t="str">
            <v>KNACF911BNT283506</v>
          </cell>
          <cell r="N20" t="str">
            <v>101호2181</v>
          </cell>
          <cell r="O20" t="str">
            <v>-</v>
          </cell>
          <cell r="P20">
            <v>998</v>
          </cell>
          <cell r="Q20">
            <v>44494</v>
          </cell>
          <cell r="R20">
            <v>44497</v>
          </cell>
          <cell r="S20">
            <v>44497</v>
          </cell>
          <cell r="T20" t="str">
            <v>5</v>
          </cell>
          <cell r="U20">
            <v>46322</v>
          </cell>
          <cell r="V20">
            <v>2</v>
          </cell>
          <cell r="W20">
            <v>20000</v>
          </cell>
          <cell r="X20" t="str">
            <v>남진한</v>
          </cell>
          <cell r="Y20" t="str">
            <v>010-3479-8628</v>
          </cell>
          <cell r="Z20" t="str">
            <v>서대전</v>
          </cell>
          <cell r="AA20" t="str">
            <v>0</v>
          </cell>
          <cell r="AB20">
            <v>44505</v>
          </cell>
          <cell r="AC20">
            <v>1825</v>
          </cell>
          <cell r="AD20">
            <v>77</v>
          </cell>
          <cell r="AE20">
            <v>21100017</v>
          </cell>
          <cell r="AF20">
            <v>13234421</v>
          </cell>
          <cell r="AG20">
            <v>200000</v>
          </cell>
          <cell r="AH20">
            <v>12682000</v>
          </cell>
          <cell r="AI20">
            <v>0</v>
          </cell>
          <cell r="AJ20">
            <v>2000</v>
          </cell>
          <cell r="AK20">
            <v>461160</v>
          </cell>
          <cell r="AL20">
            <v>0</v>
          </cell>
          <cell r="AM20">
            <v>2000</v>
          </cell>
          <cell r="AN20">
            <v>27000</v>
          </cell>
          <cell r="AO20">
            <v>30000</v>
          </cell>
          <cell r="AP20">
            <v>430000</v>
          </cell>
          <cell r="AQ20">
            <v>0</v>
          </cell>
          <cell r="AR20" t="str">
            <v>엠피온</v>
          </cell>
          <cell r="AS20">
            <v>0</v>
          </cell>
          <cell r="AT20" t="str">
            <v>루마 전면 없음/측후면 15%</v>
          </cell>
          <cell r="AU20" t="str">
            <v>0</v>
          </cell>
          <cell r="AV20">
            <v>522160</v>
          </cell>
          <cell r="AW20" t="str">
            <v>렌터카 공제</v>
          </cell>
          <cell r="AX20">
            <v>44494</v>
          </cell>
          <cell r="AY20">
            <v>1138590</v>
          </cell>
          <cell r="AZ20">
            <v>1034460</v>
          </cell>
          <cell r="BA20" t="str">
            <v>0</v>
          </cell>
          <cell r="BB20" t="str">
            <v>0</v>
          </cell>
          <cell r="BC20" t="str">
            <v>0</v>
          </cell>
          <cell r="BD20" t="str">
            <v>만26세</v>
          </cell>
          <cell r="BE20" t="str">
            <v>무한대</v>
          </cell>
          <cell r="BF20" t="str">
            <v>2억원</v>
          </cell>
          <cell r="BG20" t="str">
            <v>1억원/1500만</v>
          </cell>
          <cell r="BH20" t="str">
            <v>2억원/1인당</v>
          </cell>
          <cell r="BI20" t="str">
            <v>30만원</v>
          </cell>
          <cell r="BJ20" t="str">
            <v>임직원</v>
          </cell>
          <cell r="BK20" t="str">
            <v>5회/년</v>
          </cell>
          <cell r="BL20" t="str">
            <v>가입</v>
          </cell>
          <cell r="BM20" t="str">
            <v>미가입</v>
          </cell>
          <cell r="BN20" t="str">
            <v>브랜드보증 외 사용자 부담</v>
          </cell>
          <cell r="BO20" t="str">
            <v>브랜드보증 외 사용자 부담</v>
          </cell>
          <cell r="BP20" t="str">
            <v>HANKOOK 앞/뒤165 60R14 79H</v>
          </cell>
          <cell r="BQ20" t="str">
            <v>0</v>
          </cell>
          <cell r="BR20">
            <v>17964</v>
          </cell>
          <cell r="BS20" t="str">
            <v>현금</v>
          </cell>
          <cell r="BT20" t="str">
            <v>0</v>
          </cell>
          <cell r="BU20" t="str">
            <v>0</v>
          </cell>
          <cell r="BV20" t="str">
            <v>0</v>
          </cell>
          <cell r="BW20" t="str">
            <v>0</v>
          </cell>
          <cell r="BX20">
            <v>0</v>
          </cell>
          <cell r="BY20">
            <v>0</v>
          </cell>
          <cell r="BZ20">
            <v>0</v>
          </cell>
          <cell r="CA20" t="str">
            <v>0</v>
          </cell>
          <cell r="CB20" t="str">
            <v>5</v>
          </cell>
          <cell r="CC20" t="str">
            <v>5</v>
          </cell>
          <cell r="CD20">
            <v>342650</v>
          </cell>
          <cell r="CE20">
            <v>60</v>
          </cell>
          <cell r="CF20">
            <v>20559000</v>
          </cell>
          <cell r="CG20" t="str">
            <v>0</v>
          </cell>
          <cell r="CH20" t="str">
            <v>0</v>
          </cell>
          <cell r="CI20">
            <v>2506900</v>
          </cell>
          <cell r="CJ20">
            <v>0.04</v>
          </cell>
          <cell r="CK20">
            <v>0.04</v>
          </cell>
          <cell r="CL20" t="str">
            <v>jhlee@shtel.co.kr</v>
          </cell>
          <cell r="CM20" t="str">
            <v>0</v>
          </cell>
          <cell r="CN20" t="str">
            <v>0</v>
          </cell>
          <cell r="CO20">
            <v>0.03</v>
          </cell>
          <cell r="CP20" t="str">
            <v>0</v>
          </cell>
          <cell r="CQ20">
            <v>0</v>
          </cell>
          <cell r="CR20">
            <v>0</v>
          </cell>
          <cell r="CS20">
            <v>0</v>
          </cell>
          <cell r="CT20">
            <v>0</v>
          </cell>
          <cell r="CU20">
            <v>0</v>
          </cell>
          <cell r="CV20">
            <v>0</v>
          </cell>
          <cell r="CW20">
            <v>0</v>
          </cell>
          <cell r="CX20">
            <v>0</v>
          </cell>
          <cell r="CY20">
            <v>0</v>
          </cell>
          <cell r="CZ20">
            <v>0</v>
          </cell>
          <cell r="DA20">
            <v>0</v>
          </cell>
          <cell r="DB20" t="str">
            <v>기아</v>
          </cell>
          <cell r="DC20" t="str">
            <v>정수원 실장</v>
          </cell>
          <cell r="DD20" t="str">
            <v>렌트베네핏</v>
          </cell>
          <cell r="DE20" t="str">
            <v>0</v>
          </cell>
          <cell r="DF20" t="str">
            <v>0</v>
          </cell>
          <cell r="DG20" t="str">
            <v>0</v>
          </cell>
          <cell r="DH20" t="str">
            <v>206-85-09469</v>
          </cell>
          <cell r="DI20" t="str">
            <v>주소 없음</v>
          </cell>
          <cell r="DJ20">
            <v>0.3</v>
          </cell>
          <cell r="DK20">
            <v>0.2</v>
          </cell>
          <cell r="DL20" t="str">
            <v>0</v>
          </cell>
          <cell r="DM20" t="str">
            <v>0</v>
          </cell>
          <cell r="DN20" t="str">
            <v>0</v>
          </cell>
          <cell r="DO20" t="str">
            <v>0</v>
          </cell>
          <cell r="DP20" t="str">
            <v>0</v>
          </cell>
        </row>
        <row r="21">
          <cell r="C21" t="str">
            <v>Ray-018</v>
          </cell>
          <cell r="D21" t="str">
            <v>신흥정보통신㈜_18</v>
          </cell>
          <cell r="E21" t="str">
            <v>이종희 이사님</v>
          </cell>
          <cell r="F21" t="str">
            <v>010-3214-0636</v>
          </cell>
          <cell r="G21" t="str">
            <v>Ray Van</v>
          </cell>
          <cell r="H21" t="str">
            <v>스탠다드 A/T</v>
          </cell>
          <cell r="I21">
            <v>12750000</v>
          </cell>
          <cell r="J21">
            <v>2022</v>
          </cell>
          <cell r="K21" t="str">
            <v>White/Black</v>
          </cell>
          <cell r="L21" t="str">
            <v>가솔린</v>
          </cell>
          <cell r="M21" t="str">
            <v>KNACF911BNT283604</v>
          </cell>
          <cell r="N21" t="str">
            <v>101호2170</v>
          </cell>
          <cell r="O21" t="str">
            <v>-</v>
          </cell>
          <cell r="P21">
            <v>998</v>
          </cell>
          <cell r="Q21">
            <v>44494</v>
          </cell>
          <cell r="R21">
            <v>44497</v>
          </cell>
          <cell r="S21">
            <v>44497</v>
          </cell>
          <cell r="T21" t="str">
            <v>5</v>
          </cell>
          <cell r="U21">
            <v>46322</v>
          </cell>
          <cell r="V21">
            <v>2</v>
          </cell>
          <cell r="W21">
            <v>20000</v>
          </cell>
          <cell r="X21" t="str">
            <v>심재화</v>
          </cell>
          <cell r="Y21" t="str">
            <v>010-3456-8940</v>
          </cell>
          <cell r="Z21" t="str">
            <v>괴산</v>
          </cell>
          <cell r="AA21" t="str">
            <v>충청북도 괴산군 괴산읍 읍내로6길 24 (괴산읍, KT괴산지점) 2층 신흥정보통신</v>
          </cell>
          <cell r="AB21">
            <v>44505</v>
          </cell>
          <cell r="AC21">
            <v>1825</v>
          </cell>
          <cell r="AD21">
            <v>77</v>
          </cell>
          <cell r="AE21">
            <v>21100018</v>
          </cell>
          <cell r="AF21">
            <v>13234421</v>
          </cell>
          <cell r="AG21">
            <v>200000</v>
          </cell>
          <cell r="AH21">
            <v>12703000</v>
          </cell>
          <cell r="AI21">
            <v>0</v>
          </cell>
          <cell r="AJ21">
            <v>2000</v>
          </cell>
          <cell r="AK21">
            <v>461920</v>
          </cell>
          <cell r="AL21">
            <v>0</v>
          </cell>
          <cell r="AM21">
            <v>2000</v>
          </cell>
          <cell r="AN21">
            <v>27000</v>
          </cell>
          <cell r="AO21">
            <v>30000</v>
          </cell>
          <cell r="AP21">
            <v>430000</v>
          </cell>
          <cell r="AQ21">
            <v>0</v>
          </cell>
          <cell r="AR21" t="str">
            <v>엠피온</v>
          </cell>
          <cell r="AS21">
            <v>0</v>
          </cell>
          <cell r="AT21" t="str">
            <v>루마 전면 없음/측후면 15%</v>
          </cell>
          <cell r="AU21" t="str">
            <v>0</v>
          </cell>
          <cell r="AV21">
            <v>522920</v>
          </cell>
          <cell r="AW21" t="str">
            <v>렌터카 공제</v>
          </cell>
          <cell r="AX21">
            <v>44494</v>
          </cell>
          <cell r="AY21">
            <v>1138590</v>
          </cell>
          <cell r="AZ21">
            <v>1034460</v>
          </cell>
          <cell r="BA21" t="str">
            <v>0</v>
          </cell>
          <cell r="BB21" t="str">
            <v>0</v>
          </cell>
          <cell r="BC21" t="str">
            <v>0</v>
          </cell>
          <cell r="BD21" t="str">
            <v>만26세</v>
          </cell>
          <cell r="BE21" t="str">
            <v>무한대</v>
          </cell>
          <cell r="BF21" t="str">
            <v>2억원</v>
          </cell>
          <cell r="BG21" t="str">
            <v>1억원/1500만</v>
          </cell>
          <cell r="BH21" t="str">
            <v>2억원/1인당</v>
          </cell>
          <cell r="BI21" t="str">
            <v>30만원</v>
          </cell>
          <cell r="BJ21" t="str">
            <v>임직원</v>
          </cell>
          <cell r="BK21" t="str">
            <v>5회/년</v>
          </cell>
          <cell r="BL21" t="str">
            <v>가입</v>
          </cell>
          <cell r="BM21" t="str">
            <v>미가입</v>
          </cell>
          <cell r="BN21" t="str">
            <v>브랜드보증 외 사용자 부담</v>
          </cell>
          <cell r="BO21" t="str">
            <v>브랜드보증 외 사용자 부담</v>
          </cell>
          <cell r="BP21" t="str">
            <v>HANKOOK 앞/뒤165 60R14 79H</v>
          </cell>
          <cell r="BQ21" t="str">
            <v>0</v>
          </cell>
          <cell r="BR21">
            <v>17964</v>
          </cell>
          <cell r="BS21" t="str">
            <v>현금</v>
          </cell>
          <cell r="BT21" t="str">
            <v>0</v>
          </cell>
          <cell r="BU21" t="str">
            <v>0</v>
          </cell>
          <cell r="BV21" t="str">
            <v>0</v>
          </cell>
          <cell r="BW21" t="str">
            <v>0</v>
          </cell>
          <cell r="BX21">
            <v>0</v>
          </cell>
          <cell r="BY21">
            <v>0</v>
          </cell>
          <cell r="BZ21">
            <v>0</v>
          </cell>
          <cell r="CA21" t="str">
            <v>0</v>
          </cell>
          <cell r="CB21" t="str">
            <v>5</v>
          </cell>
          <cell r="CC21" t="str">
            <v>5</v>
          </cell>
          <cell r="CD21">
            <v>342650</v>
          </cell>
          <cell r="CE21">
            <v>60</v>
          </cell>
          <cell r="CF21">
            <v>20559000</v>
          </cell>
          <cell r="CG21" t="str">
            <v>0</v>
          </cell>
          <cell r="CH21" t="str">
            <v>0</v>
          </cell>
          <cell r="CI21">
            <v>2506900</v>
          </cell>
          <cell r="CJ21">
            <v>0.04</v>
          </cell>
          <cell r="CK21">
            <v>0.04</v>
          </cell>
          <cell r="CL21" t="str">
            <v>jhlee@shtel.co.kr</v>
          </cell>
          <cell r="CM21" t="str">
            <v>0</v>
          </cell>
          <cell r="CN21" t="str">
            <v>0</v>
          </cell>
          <cell r="CO21">
            <v>0.03</v>
          </cell>
          <cell r="CP21" t="str">
            <v>0</v>
          </cell>
          <cell r="CQ21">
            <v>0</v>
          </cell>
          <cell r="CR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W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B21" t="str">
            <v>기아</v>
          </cell>
          <cell r="DC21" t="str">
            <v>정수원 실장</v>
          </cell>
          <cell r="DD21" t="str">
            <v>렌트베네핏</v>
          </cell>
          <cell r="DE21" t="str">
            <v>0</v>
          </cell>
          <cell r="DF21" t="str">
            <v>0</v>
          </cell>
          <cell r="DG21" t="str">
            <v>0</v>
          </cell>
          <cell r="DH21" t="str">
            <v>206-85-09469</v>
          </cell>
          <cell r="DI21" t="str">
            <v>주소 없음</v>
          </cell>
          <cell r="DJ21">
            <v>0.3</v>
          </cell>
          <cell r="DK21">
            <v>0.2</v>
          </cell>
          <cell r="DL21" t="str">
            <v>0</v>
          </cell>
          <cell r="DM21" t="str">
            <v>0</v>
          </cell>
          <cell r="DN21" t="str">
            <v>0</v>
          </cell>
          <cell r="DO21" t="str">
            <v>0</v>
          </cell>
          <cell r="DP21" t="str">
            <v>0</v>
          </cell>
        </row>
        <row r="22">
          <cell r="C22" t="str">
            <v>Ray-019</v>
          </cell>
          <cell r="D22" t="str">
            <v>신흥정보통신㈜_19</v>
          </cell>
          <cell r="E22" t="str">
            <v>이종희 이사님</v>
          </cell>
          <cell r="F22" t="str">
            <v>010-3214-0636</v>
          </cell>
          <cell r="G22" t="str">
            <v>Ray Van</v>
          </cell>
          <cell r="H22" t="str">
            <v>스탠다드 A/T</v>
          </cell>
          <cell r="I22">
            <v>12750000</v>
          </cell>
          <cell r="J22">
            <v>2022</v>
          </cell>
          <cell r="K22" t="str">
            <v>White/Black</v>
          </cell>
          <cell r="L22" t="str">
            <v>가솔린</v>
          </cell>
          <cell r="M22" t="str">
            <v>KNACF911BNT283689</v>
          </cell>
          <cell r="N22" t="str">
            <v>101호2179</v>
          </cell>
          <cell r="O22" t="str">
            <v>-</v>
          </cell>
          <cell r="P22">
            <v>998</v>
          </cell>
          <cell r="Q22">
            <v>44494</v>
          </cell>
          <cell r="R22">
            <v>44497</v>
          </cell>
          <cell r="S22">
            <v>44497</v>
          </cell>
          <cell r="T22" t="str">
            <v>5</v>
          </cell>
          <cell r="U22">
            <v>46322</v>
          </cell>
          <cell r="V22">
            <v>2</v>
          </cell>
          <cell r="W22">
            <v>20000</v>
          </cell>
          <cell r="X22" t="str">
            <v>김석기</v>
          </cell>
          <cell r="Y22" t="str">
            <v>010-9582-0977</v>
          </cell>
          <cell r="Z22" t="str">
            <v>청주</v>
          </cell>
          <cell r="AA22" t="str">
            <v>충청북도 청주시 서원구 1순환로1063번길 12 (분평동, KT)  KT남청주지점 1층 신흥정보통신</v>
          </cell>
          <cell r="AB22">
            <v>44505</v>
          </cell>
          <cell r="AC22">
            <v>1825</v>
          </cell>
          <cell r="AD22">
            <v>77</v>
          </cell>
          <cell r="AE22">
            <v>21100019</v>
          </cell>
          <cell r="AF22">
            <v>13234421</v>
          </cell>
          <cell r="AG22">
            <v>200000</v>
          </cell>
          <cell r="AH22">
            <v>12675000</v>
          </cell>
          <cell r="AI22">
            <v>0</v>
          </cell>
          <cell r="AJ22">
            <v>2000</v>
          </cell>
          <cell r="AK22">
            <v>460900</v>
          </cell>
          <cell r="AL22">
            <v>0</v>
          </cell>
          <cell r="AM22">
            <v>2000</v>
          </cell>
          <cell r="AN22">
            <v>27000</v>
          </cell>
          <cell r="AO22">
            <v>30000</v>
          </cell>
          <cell r="AP22">
            <v>430000</v>
          </cell>
          <cell r="AQ22">
            <v>0</v>
          </cell>
          <cell r="AR22" t="str">
            <v>엠피온</v>
          </cell>
          <cell r="AS22">
            <v>0</v>
          </cell>
          <cell r="AT22" t="str">
            <v>루마 전면 없음/측후면 15%</v>
          </cell>
          <cell r="AU22" t="str">
            <v>0</v>
          </cell>
          <cell r="AV22">
            <v>521900</v>
          </cell>
          <cell r="AW22" t="str">
            <v>렌터카 공제</v>
          </cell>
          <cell r="AX22">
            <v>44494</v>
          </cell>
          <cell r="AY22">
            <v>1138590</v>
          </cell>
          <cell r="AZ22">
            <v>1034460</v>
          </cell>
          <cell r="BA22" t="str">
            <v>0</v>
          </cell>
          <cell r="BB22" t="str">
            <v>0</v>
          </cell>
          <cell r="BC22" t="str">
            <v>0</v>
          </cell>
          <cell r="BD22" t="str">
            <v>만26세</v>
          </cell>
          <cell r="BE22" t="str">
            <v>무한대</v>
          </cell>
          <cell r="BF22" t="str">
            <v>2억원</v>
          </cell>
          <cell r="BG22" t="str">
            <v>1억원/1500만</v>
          </cell>
          <cell r="BH22" t="str">
            <v>2억원/1인당</v>
          </cell>
          <cell r="BI22" t="str">
            <v>30만원</v>
          </cell>
          <cell r="BJ22" t="str">
            <v>임직원</v>
          </cell>
          <cell r="BK22" t="str">
            <v>5회/년</v>
          </cell>
          <cell r="BL22" t="str">
            <v>가입</v>
          </cell>
          <cell r="BM22" t="str">
            <v>미가입</v>
          </cell>
          <cell r="BN22" t="str">
            <v>브랜드보증 외 사용자 부담</v>
          </cell>
          <cell r="BO22" t="str">
            <v>브랜드보증 외 사용자 부담</v>
          </cell>
          <cell r="BP22" t="str">
            <v>HANKOOK 앞/뒤165 60R14 79H</v>
          </cell>
          <cell r="BQ22" t="str">
            <v>0</v>
          </cell>
          <cell r="BR22">
            <v>17964</v>
          </cell>
          <cell r="BS22" t="str">
            <v>현금</v>
          </cell>
          <cell r="BT22" t="str">
            <v>0</v>
          </cell>
          <cell r="BU22" t="str">
            <v>0</v>
          </cell>
          <cell r="BV22" t="str">
            <v>0</v>
          </cell>
          <cell r="BW22" t="str">
            <v>0</v>
          </cell>
          <cell r="BX22">
            <v>0</v>
          </cell>
          <cell r="BY22">
            <v>0</v>
          </cell>
          <cell r="BZ22">
            <v>0</v>
          </cell>
          <cell r="CA22" t="str">
            <v>0</v>
          </cell>
          <cell r="CB22" t="str">
            <v>5</v>
          </cell>
          <cell r="CC22" t="str">
            <v>5</v>
          </cell>
          <cell r="CD22">
            <v>342650</v>
          </cell>
          <cell r="CE22">
            <v>60</v>
          </cell>
          <cell r="CF22">
            <v>20559000</v>
          </cell>
          <cell r="CG22" t="str">
            <v>0</v>
          </cell>
          <cell r="CH22" t="str">
            <v>0</v>
          </cell>
          <cell r="CI22">
            <v>2506900</v>
          </cell>
          <cell r="CJ22">
            <v>0.04</v>
          </cell>
          <cell r="CK22">
            <v>0.04</v>
          </cell>
          <cell r="CL22" t="str">
            <v>jhlee@shtel.co.kr</v>
          </cell>
          <cell r="CM22" t="str">
            <v>0</v>
          </cell>
          <cell r="CN22" t="str">
            <v>0</v>
          </cell>
          <cell r="CO22">
            <v>0.03</v>
          </cell>
          <cell r="CP22" t="str">
            <v>0</v>
          </cell>
          <cell r="CQ22">
            <v>0</v>
          </cell>
          <cell r="CR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W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B22" t="str">
            <v>기아</v>
          </cell>
          <cell r="DC22" t="str">
            <v>정수원 실장</v>
          </cell>
          <cell r="DD22" t="str">
            <v>렌트베네핏</v>
          </cell>
          <cell r="DE22" t="str">
            <v>0</v>
          </cell>
          <cell r="DF22" t="str">
            <v>0</v>
          </cell>
          <cell r="DG22" t="str">
            <v>0</v>
          </cell>
          <cell r="DH22" t="str">
            <v>206-85-09469</v>
          </cell>
          <cell r="DI22" t="str">
            <v>주소 없음</v>
          </cell>
          <cell r="DJ22">
            <v>0.3</v>
          </cell>
          <cell r="DK22">
            <v>0.2</v>
          </cell>
          <cell r="DL22" t="str">
            <v>0</v>
          </cell>
          <cell r="DM22" t="str">
            <v>0</v>
          </cell>
          <cell r="DN22" t="str">
            <v>0</v>
          </cell>
          <cell r="DO22" t="str">
            <v>0</v>
          </cell>
          <cell r="DP22" t="str">
            <v>0</v>
          </cell>
        </row>
        <row r="23">
          <cell r="C23" t="str">
            <v>Ray-020</v>
          </cell>
          <cell r="D23" t="str">
            <v>신흥정보통신㈜_20</v>
          </cell>
          <cell r="E23" t="str">
            <v>이종희 이사님</v>
          </cell>
          <cell r="F23" t="str">
            <v>010-3214-0636</v>
          </cell>
          <cell r="G23" t="str">
            <v>Ray Van</v>
          </cell>
          <cell r="H23" t="str">
            <v>스탠다드 A/T</v>
          </cell>
          <cell r="I23">
            <v>12750000</v>
          </cell>
          <cell r="J23">
            <v>2022</v>
          </cell>
          <cell r="K23" t="str">
            <v>White/Black</v>
          </cell>
          <cell r="L23" t="str">
            <v>가솔린</v>
          </cell>
          <cell r="M23" t="str">
            <v>KNACF911BNT283605</v>
          </cell>
          <cell r="N23" t="str">
            <v>101호2180</v>
          </cell>
          <cell r="O23" t="str">
            <v>-</v>
          </cell>
          <cell r="P23">
            <v>998</v>
          </cell>
          <cell r="Q23">
            <v>44494</v>
          </cell>
          <cell r="R23">
            <v>44497</v>
          </cell>
          <cell r="S23">
            <v>44497</v>
          </cell>
          <cell r="T23" t="str">
            <v>5</v>
          </cell>
          <cell r="U23">
            <v>46322</v>
          </cell>
          <cell r="V23">
            <v>2</v>
          </cell>
          <cell r="W23">
            <v>20000</v>
          </cell>
          <cell r="X23" t="str">
            <v>김석기</v>
          </cell>
          <cell r="Y23" t="str">
            <v>010-9582-0977</v>
          </cell>
          <cell r="Z23" t="str">
            <v>남청주</v>
          </cell>
          <cell r="AA23" t="str">
            <v>충청북도 청주시 서원구 1순환로1063번길 12 (분평동, KT)  KT남청주지점 1층 신흥정보통신</v>
          </cell>
          <cell r="AB23">
            <v>44505</v>
          </cell>
          <cell r="AC23">
            <v>1825</v>
          </cell>
          <cell r="AD23">
            <v>77</v>
          </cell>
          <cell r="AE23">
            <v>21100020</v>
          </cell>
          <cell r="AF23">
            <v>13234421</v>
          </cell>
          <cell r="AG23">
            <v>200000</v>
          </cell>
          <cell r="AH23">
            <v>12675000</v>
          </cell>
          <cell r="AI23">
            <v>0</v>
          </cell>
          <cell r="AJ23">
            <v>2000</v>
          </cell>
          <cell r="AK23">
            <v>460900</v>
          </cell>
          <cell r="AL23">
            <v>0</v>
          </cell>
          <cell r="AM23">
            <v>2000</v>
          </cell>
          <cell r="AN23">
            <v>27000</v>
          </cell>
          <cell r="AO23">
            <v>30000</v>
          </cell>
          <cell r="AP23">
            <v>430000</v>
          </cell>
          <cell r="AQ23">
            <v>0</v>
          </cell>
          <cell r="AR23" t="str">
            <v>엠피온</v>
          </cell>
          <cell r="AS23">
            <v>0</v>
          </cell>
          <cell r="AT23" t="str">
            <v>루마 전면 없음/측후면 15%</v>
          </cell>
          <cell r="AU23" t="str">
            <v>0</v>
          </cell>
          <cell r="AV23">
            <v>521900</v>
          </cell>
          <cell r="AW23" t="str">
            <v>렌터카 공제</v>
          </cell>
          <cell r="AX23">
            <v>44494</v>
          </cell>
          <cell r="AY23">
            <v>1138590</v>
          </cell>
          <cell r="AZ23">
            <v>1034460</v>
          </cell>
          <cell r="BA23" t="str">
            <v>0</v>
          </cell>
          <cell r="BB23" t="str">
            <v>0</v>
          </cell>
          <cell r="BC23" t="str">
            <v>0</v>
          </cell>
          <cell r="BD23" t="str">
            <v>만26세</v>
          </cell>
          <cell r="BE23" t="str">
            <v>무한대</v>
          </cell>
          <cell r="BF23" t="str">
            <v>2억원</v>
          </cell>
          <cell r="BG23" t="str">
            <v>1억원/1500만</v>
          </cell>
          <cell r="BH23" t="str">
            <v>2억원/1인당</v>
          </cell>
          <cell r="BI23" t="str">
            <v>30만원</v>
          </cell>
          <cell r="BJ23" t="str">
            <v>임직원</v>
          </cell>
          <cell r="BK23" t="str">
            <v>5회/년</v>
          </cell>
          <cell r="BL23" t="str">
            <v>가입</v>
          </cell>
          <cell r="BM23" t="str">
            <v>미가입</v>
          </cell>
          <cell r="BN23" t="str">
            <v>브랜드보증 외 사용자 부담</v>
          </cell>
          <cell r="BO23" t="str">
            <v>브랜드보증 외 사용자 부담</v>
          </cell>
          <cell r="BP23" t="str">
            <v>HANKOOK 앞/뒤165 60R14 79H</v>
          </cell>
          <cell r="BQ23" t="str">
            <v>0</v>
          </cell>
          <cell r="BR23">
            <v>17964</v>
          </cell>
          <cell r="BS23" t="str">
            <v>현금</v>
          </cell>
          <cell r="BT23" t="str">
            <v>0</v>
          </cell>
          <cell r="BU23" t="str">
            <v>0</v>
          </cell>
          <cell r="BV23" t="str">
            <v>0</v>
          </cell>
          <cell r="BW23" t="str">
            <v>0</v>
          </cell>
          <cell r="BX23">
            <v>0</v>
          </cell>
          <cell r="BY23">
            <v>0</v>
          </cell>
          <cell r="BZ23">
            <v>0</v>
          </cell>
          <cell r="CA23" t="str">
            <v>0</v>
          </cell>
          <cell r="CB23" t="str">
            <v>5</v>
          </cell>
          <cell r="CC23" t="str">
            <v>5</v>
          </cell>
          <cell r="CD23">
            <v>342650</v>
          </cell>
          <cell r="CE23">
            <v>60</v>
          </cell>
          <cell r="CF23">
            <v>20559000</v>
          </cell>
          <cell r="CG23" t="str">
            <v>0</v>
          </cell>
          <cell r="CH23" t="str">
            <v>0</v>
          </cell>
          <cell r="CI23">
            <v>2506900</v>
          </cell>
          <cell r="CJ23">
            <v>0.04</v>
          </cell>
          <cell r="CK23">
            <v>0.04</v>
          </cell>
          <cell r="CL23" t="str">
            <v>jhlee@shtel.co.kr</v>
          </cell>
          <cell r="CM23" t="str">
            <v>0</v>
          </cell>
          <cell r="CN23" t="str">
            <v>0</v>
          </cell>
          <cell r="CO23">
            <v>0.03</v>
          </cell>
          <cell r="CP23" t="str">
            <v>0</v>
          </cell>
          <cell r="CQ23">
            <v>0</v>
          </cell>
          <cell r="CR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W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B23" t="str">
            <v>기아</v>
          </cell>
          <cell r="DC23" t="str">
            <v>정수원 실장</v>
          </cell>
          <cell r="DD23" t="str">
            <v>렌트베네핏</v>
          </cell>
          <cell r="DE23" t="str">
            <v>0</v>
          </cell>
          <cell r="DF23" t="str">
            <v>0</v>
          </cell>
          <cell r="DG23" t="str">
            <v>0</v>
          </cell>
          <cell r="DH23" t="str">
            <v>206-85-09469</v>
          </cell>
          <cell r="DI23" t="str">
            <v>주소 없음</v>
          </cell>
          <cell r="DJ23">
            <v>0.3</v>
          </cell>
          <cell r="DK23">
            <v>0.2</v>
          </cell>
          <cell r="DL23" t="str">
            <v>0</v>
          </cell>
          <cell r="DM23" t="str">
            <v>0</v>
          </cell>
          <cell r="DN23" t="str">
            <v>0</v>
          </cell>
          <cell r="DO23" t="str">
            <v>0</v>
          </cell>
          <cell r="DP23" t="str">
            <v>0</v>
          </cell>
        </row>
        <row r="24">
          <cell r="C24" t="str">
            <v>Ray-034</v>
          </cell>
          <cell r="D24" t="str">
            <v>㈜한일티엔에스</v>
          </cell>
          <cell r="E24" t="str">
            <v>김동은 사장님</v>
          </cell>
          <cell r="F24" t="str">
            <v>010-6236-7466</v>
          </cell>
          <cell r="G24" t="str">
            <v>Ray Van</v>
          </cell>
          <cell r="H24" t="str">
            <v>스탠다드 A/T</v>
          </cell>
          <cell r="I24">
            <v>12750000</v>
          </cell>
          <cell r="J24">
            <v>2022</v>
          </cell>
          <cell r="K24" t="str">
            <v>White/Black</v>
          </cell>
          <cell r="L24" t="str">
            <v>가솔린</v>
          </cell>
          <cell r="M24" t="str">
            <v>KNACF911BNT284065</v>
          </cell>
          <cell r="N24" t="str">
            <v>101호2197</v>
          </cell>
          <cell r="O24" t="str">
            <v>-</v>
          </cell>
          <cell r="P24">
            <v>998</v>
          </cell>
          <cell r="Q24">
            <v>44503</v>
          </cell>
          <cell r="R24">
            <v>44510</v>
          </cell>
          <cell r="S24">
            <v>44510</v>
          </cell>
          <cell r="T24" t="str">
            <v>5</v>
          </cell>
          <cell r="U24">
            <v>46335</v>
          </cell>
          <cell r="V24">
            <v>2</v>
          </cell>
          <cell r="W24">
            <v>20000</v>
          </cell>
          <cell r="X24" t="str">
            <v>김광덕 대표님</v>
          </cell>
          <cell r="Y24" t="str">
            <v>010-6236-7466</v>
          </cell>
          <cell r="Z24" t="str">
            <v>0</v>
          </cell>
          <cell r="AA24" t="str">
            <v>서울시 동대문구 천호대로 75길 30-1, 1층(답시리동)</v>
          </cell>
          <cell r="AB24">
            <v>44525</v>
          </cell>
          <cell r="AC24">
            <v>1825</v>
          </cell>
          <cell r="AD24">
            <v>90</v>
          </cell>
          <cell r="AE24">
            <v>22090033</v>
          </cell>
          <cell r="AF24">
            <v>13209603</v>
          </cell>
          <cell r="AG24">
            <v>200000</v>
          </cell>
          <cell r="AH24">
            <v>12688000</v>
          </cell>
          <cell r="AI24">
            <v>0</v>
          </cell>
          <cell r="AJ24">
            <v>2000</v>
          </cell>
          <cell r="AK24">
            <v>461380</v>
          </cell>
          <cell r="AL24">
            <v>0</v>
          </cell>
          <cell r="AM24">
            <v>2000</v>
          </cell>
          <cell r="AN24">
            <v>27000</v>
          </cell>
          <cell r="AO24">
            <v>30000</v>
          </cell>
          <cell r="AP24">
            <v>430000</v>
          </cell>
          <cell r="AQ24">
            <v>0</v>
          </cell>
          <cell r="AR24" t="str">
            <v>엠피온</v>
          </cell>
          <cell r="AS24">
            <v>0</v>
          </cell>
          <cell r="AT24" t="str">
            <v>루마 전면 없음/측후면 15%</v>
          </cell>
          <cell r="AU24" t="str">
            <v>0</v>
          </cell>
          <cell r="AV24">
            <v>522380</v>
          </cell>
          <cell r="AW24" t="str">
            <v>렌터카 공제</v>
          </cell>
          <cell r="AX24">
            <v>44503</v>
          </cell>
          <cell r="AY24">
            <v>1153090</v>
          </cell>
          <cell r="AZ24">
            <v>1035460</v>
          </cell>
          <cell r="BA24" t="str">
            <v>0</v>
          </cell>
          <cell r="BB24" t="str">
            <v>0</v>
          </cell>
          <cell r="BC24" t="str">
            <v>0</v>
          </cell>
          <cell r="BD24" t="str">
            <v>만26세</v>
          </cell>
          <cell r="BE24" t="str">
            <v>무한대</v>
          </cell>
          <cell r="BF24" t="str">
            <v>2억원</v>
          </cell>
          <cell r="BG24" t="str">
            <v>1억원/1500만</v>
          </cell>
          <cell r="BH24" t="str">
            <v>2억원/1인당</v>
          </cell>
          <cell r="BI24" t="str">
            <v>30만원</v>
          </cell>
          <cell r="BJ24" t="str">
            <v>임직원</v>
          </cell>
          <cell r="BK24" t="str">
            <v>5회/년</v>
          </cell>
          <cell r="BL24" t="str">
            <v>가입</v>
          </cell>
          <cell r="BM24" t="str">
            <v>미가입</v>
          </cell>
          <cell r="BN24" t="str">
            <v>브랜드보증 외 사용자 부담</v>
          </cell>
          <cell r="BO24" t="str">
            <v>브랜드보증 외 사용자 부담</v>
          </cell>
          <cell r="BP24" t="str">
            <v>HANKOOK 앞/뒤165 60R14 79H</v>
          </cell>
          <cell r="BQ24" t="str">
            <v>0</v>
          </cell>
          <cell r="BR24">
            <v>17964</v>
          </cell>
          <cell r="BS24" t="str">
            <v>현금</v>
          </cell>
          <cell r="BT24" t="str">
            <v>0</v>
          </cell>
          <cell r="BU24" t="str">
            <v>0</v>
          </cell>
          <cell r="BV24" t="str">
            <v>0</v>
          </cell>
          <cell r="BW24" t="str">
            <v>0</v>
          </cell>
          <cell r="BX24">
            <v>0</v>
          </cell>
          <cell r="BY24">
            <v>0</v>
          </cell>
          <cell r="BZ24">
            <v>0</v>
          </cell>
          <cell r="CA24" t="str">
            <v>0</v>
          </cell>
          <cell r="CB24" t="str">
            <v>25</v>
          </cell>
          <cell r="CC24" t="str">
            <v>25</v>
          </cell>
          <cell r="CD24">
            <v>350000</v>
          </cell>
          <cell r="CE24">
            <v>60</v>
          </cell>
          <cell r="CF24">
            <v>21000000</v>
          </cell>
          <cell r="CG24" t="str">
            <v>0</v>
          </cell>
          <cell r="CH24" t="str">
            <v>0</v>
          </cell>
          <cell r="CI24">
            <v>2506900</v>
          </cell>
          <cell r="CJ24">
            <v>7.6999999999999999E-2</v>
          </cell>
          <cell r="CK24">
            <v>0.04</v>
          </cell>
          <cell r="CL24" t="str">
            <v>hanilled@hanmail.net</v>
          </cell>
          <cell r="CM24" t="str">
            <v>tnshanil@hometax.go.kr</v>
          </cell>
          <cell r="CN24" t="str">
            <v>0</v>
          </cell>
          <cell r="CO24">
            <v>0.03</v>
          </cell>
          <cell r="CP24" t="str">
            <v>0</v>
          </cell>
          <cell r="CQ24">
            <v>0</v>
          </cell>
          <cell r="CR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W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B24" t="str">
            <v>기아</v>
          </cell>
          <cell r="DC24" t="str">
            <v>정수원 실장</v>
          </cell>
          <cell r="DD24" t="str">
            <v>렌트베네핏</v>
          </cell>
          <cell r="DE24" t="str">
            <v>0</v>
          </cell>
          <cell r="DF24" t="str">
            <v>0</v>
          </cell>
          <cell r="DG24" t="str">
            <v>0</v>
          </cell>
          <cell r="DH24" t="str">
            <v>604-86-02503</v>
          </cell>
          <cell r="DI24" t="str">
            <v>서울시 동대문구 천호대로 75길 30-1, 1층(답시리동)</v>
          </cell>
          <cell r="DJ24">
            <v>0.3</v>
          </cell>
          <cell r="DK24">
            <v>0.2</v>
          </cell>
          <cell r="DL24" t="str">
            <v>0</v>
          </cell>
          <cell r="DM24" t="str">
            <v>0</v>
          </cell>
          <cell r="DN24" t="str">
            <v>0</v>
          </cell>
          <cell r="DO24" t="str">
            <v>0</v>
          </cell>
          <cell r="DP24" t="str">
            <v>0</v>
          </cell>
        </row>
        <row r="25">
          <cell r="C25" t="str">
            <v>Ray-021</v>
          </cell>
          <cell r="D25" t="str">
            <v>(주)대경인트라넷_1</v>
          </cell>
          <cell r="E25" t="str">
            <v>이강열 대표님</v>
          </cell>
          <cell r="F25" t="str">
            <v>010-9096-7767</v>
          </cell>
          <cell r="G25" t="str">
            <v>Ray</v>
          </cell>
          <cell r="H25" t="str">
            <v>스탠다드 A/T</v>
          </cell>
          <cell r="I25">
            <v>12750000</v>
          </cell>
          <cell r="J25">
            <v>2022</v>
          </cell>
          <cell r="K25" t="str">
            <v>White/Black</v>
          </cell>
          <cell r="L25" t="str">
            <v>가솔린</v>
          </cell>
          <cell r="M25" t="str">
            <v>KNACF911BNT283749</v>
          </cell>
          <cell r="N25" t="str">
            <v>101호2184</v>
          </cell>
          <cell r="O25" t="str">
            <v>-</v>
          </cell>
          <cell r="P25">
            <v>998</v>
          </cell>
          <cell r="Q25">
            <v>44503</v>
          </cell>
          <cell r="R25">
            <v>44517</v>
          </cell>
          <cell r="S25">
            <v>44517</v>
          </cell>
          <cell r="T25" t="str">
            <v>5</v>
          </cell>
          <cell r="U25">
            <v>46342</v>
          </cell>
          <cell r="V25">
            <v>3</v>
          </cell>
          <cell r="W25">
            <v>20000</v>
          </cell>
          <cell r="X25" t="str">
            <v>김미현 팀장님</v>
          </cell>
          <cell r="Y25" t="str">
            <v>010-9096-7767</v>
          </cell>
          <cell r="Z25" t="str">
            <v>0</v>
          </cell>
          <cell r="AA25" t="str">
            <v>경기도 시흥시 계수로 213(주식회사 대경인트라넷)</v>
          </cell>
          <cell r="AB25">
            <v>44545</v>
          </cell>
          <cell r="AC25">
            <v>1825</v>
          </cell>
          <cell r="AD25">
            <v>97</v>
          </cell>
          <cell r="AE25">
            <v>21110022</v>
          </cell>
          <cell r="AF25">
            <v>13209603</v>
          </cell>
          <cell r="AG25">
            <v>200000</v>
          </cell>
          <cell r="AH25">
            <v>12688000</v>
          </cell>
          <cell r="AI25">
            <v>0</v>
          </cell>
          <cell r="AJ25">
            <v>2000</v>
          </cell>
          <cell r="AK25">
            <v>461380</v>
          </cell>
          <cell r="AL25">
            <v>0</v>
          </cell>
          <cell r="AM25">
            <v>2000</v>
          </cell>
          <cell r="AN25">
            <v>27000</v>
          </cell>
          <cell r="AO25">
            <v>30000</v>
          </cell>
          <cell r="AP25">
            <v>430000</v>
          </cell>
          <cell r="AQ25">
            <v>0</v>
          </cell>
          <cell r="AR25" t="str">
            <v>엠피온</v>
          </cell>
          <cell r="AS25">
            <v>0</v>
          </cell>
          <cell r="AT25" t="str">
            <v>루마 전면 없음/측후면 15%</v>
          </cell>
          <cell r="AU25" t="str">
            <v>0</v>
          </cell>
          <cell r="AV25">
            <v>522380</v>
          </cell>
          <cell r="AW25" t="str">
            <v>렌터카 공제</v>
          </cell>
          <cell r="AX25">
            <v>44503</v>
          </cell>
          <cell r="AY25">
            <v>1153090</v>
          </cell>
          <cell r="AZ25">
            <v>1035460</v>
          </cell>
          <cell r="BA25" t="str">
            <v>0</v>
          </cell>
          <cell r="BB25" t="str">
            <v>0</v>
          </cell>
          <cell r="BC25" t="str">
            <v>0</v>
          </cell>
          <cell r="BD25" t="str">
            <v>만26세</v>
          </cell>
          <cell r="BE25" t="str">
            <v>무한대</v>
          </cell>
          <cell r="BF25" t="str">
            <v>2억원</v>
          </cell>
          <cell r="BG25" t="str">
            <v>1억원/1500만</v>
          </cell>
          <cell r="BH25" t="str">
            <v>2억원/1인당</v>
          </cell>
          <cell r="BI25" t="str">
            <v>30만원</v>
          </cell>
          <cell r="BJ25" t="str">
            <v>임직원</v>
          </cell>
          <cell r="BK25" t="str">
            <v>5회/년</v>
          </cell>
          <cell r="BL25" t="str">
            <v>가입</v>
          </cell>
          <cell r="BM25" t="str">
            <v>미가입</v>
          </cell>
          <cell r="BN25" t="str">
            <v>브랜드보증 외 사용자 부담</v>
          </cell>
          <cell r="BO25" t="str">
            <v>브랜드보증 외 사용자 부담</v>
          </cell>
          <cell r="BP25" t="str">
            <v>HANKOOK 앞/뒤165 60R14 79H</v>
          </cell>
          <cell r="BQ25" t="str">
            <v>0</v>
          </cell>
          <cell r="BR25">
            <v>17964</v>
          </cell>
          <cell r="BS25" t="str">
            <v>현금</v>
          </cell>
          <cell r="BT25" t="str">
            <v>0</v>
          </cell>
          <cell r="BU25" t="str">
            <v>0</v>
          </cell>
          <cell r="BV25" t="str">
            <v>0</v>
          </cell>
          <cell r="BW25" t="str">
            <v>0</v>
          </cell>
          <cell r="BX25">
            <v>0</v>
          </cell>
          <cell r="BY25">
            <v>0</v>
          </cell>
          <cell r="BZ25">
            <v>0</v>
          </cell>
          <cell r="CA25" t="str">
            <v>0</v>
          </cell>
          <cell r="CB25" t="str">
            <v>15</v>
          </cell>
          <cell r="CC25" t="str">
            <v>15</v>
          </cell>
          <cell r="CD25">
            <v>366700</v>
          </cell>
          <cell r="CE25">
            <v>60</v>
          </cell>
          <cell r="CF25">
            <v>22002000</v>
          </cell>
          <cell r="CG25" t="str">
            <v>0</v>
          </cell>
          <cell r="CH25" t="str">
            <v>0</v>
          </cell>
          <cell r="CI25">
            <v>2506900</v>
          </cell>
          <cell r="CJ25">
            <v>2.1000000000000001E-2</v>
          </cell>
          <cell r="CK25">
            <v>0.04</v>
          </cell>
          <cell r="CL25" t="str">
            <v>mhgood45@dkin.co.kr</v>
          </cell>
          <cell r="CM25" t="str">
            <v>0</v>
          </cell>
          <cell r="CN25" t="str">
            <v>0</v>
          </cell>
          <cell r="CO25">
            <v>0.03</v>
          </cell>
          <cell r="CP25" t="str">
            <v>0</v>
          </cell>
          <cell r="CQ25">
            <v>0</v>
          </cell>
          <cell r="CR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W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B25" t="str">
            <v>기아</v>
          </cell>
          <cell r="DC25" t="str">
            <v>정수원 실장</v>
          </cell>
          <cell r="DD25" t="str">
            <v>렌트베네핏</v>
          </cell>
          <cell r="DE25" t="str">
            <v>0</v>
          </cell>
          <cell r="DF25" t="str">
            <v>신한은행</v>
          </cell>
          <cell r="DG25" t="str">
            <v>140-011-847556</v>
          </cell>
          <cell r="DH25" t="str">
            <v>206-81-25404</v>
          </cell>
          <cell r="DI25" t="str">
            <v>서울특별시 구로구 오리로17길 70, 지층-2(궁동)</v>
          </cell>
          <cell r="DJ25">
            <v>0.3</v>
          </cell>
          <cell r="DK25">
            <v>0.2</v>
          </cell>
          <cell r="DL25" t="str">
            <v>0</v>
          </cell>
          <cell r="DM25" t="str">
            <v>0</v>
          </cell>
          <cell r="DN25" t="str">
            <v>0</v>
          </cell>
          <cell r="DO25" t="str">
            <v>0</v>
          </cell>
          <cell r="DP25" t="str">
            <v>0</v>
          </cell>
        </row>
        <row r="26">
          <cell r="C26" t="str">
            <v>Ray-028</v>
          </cell>
          <cell r="D26" t="str">
            <v>주식회사 동천에스씨</v>
          </cell>
          <cell r="E26" t="str">
            <v>양공식 대표님</v>
          </cell>
          <cell r="F26" t="str">
            <v>010-9096-7767</v>
          </cell>
          <cell r="G26" t="str">
            <v>Ray Van</v>
          </cell>
          <cell r="H26" t="str">
            <v>스탠다드 A/T</v>
          </cell>
          <cell r="I26">
            <v>12750000</v>
          </cell>
          <cell r="J26">
            <v>2022</v>
          </cell>
          <cell r="K26" t="str">
            <v>White/Black</v>
          </cell>
          <cell r="L26" t="str">
            <v>가솔린</v>
          </cell>
          <cell r="M26" t="str">
            <v>KNACF911BNT283783</v>
          </cell>
          <cell r="N26" t="str">
            <v>101호2191</v>
          </cell>
          <cell r="O26" t="str">
            <v>-</v>
          </cell>
          <cell r="P26">
            <v>998</v>
          </cell>
          <cell r="Q26">
            <v>44503</v>
          </cell>
          <cell r="R26">
            <v>44517</v>
          </cell>
          <cell r="S26">
            <v>44517</v>
          </cell>
          <cell r="T26" t="str">
            <v>5</v>
          </cell>
          <cell r="U26">
            <v>46342</v>
          </cell>
          <cell r="V26">
            <v>3</v>
          </cell>
          <cell r="W26">
            <v>20000</v>
          </cell>
          <cell r="X26" t="str">
            <v>이태문</v>
          </cell>
          <cell r="Y26" t="str">
            <v>010-7654-7376</v>
          </cell>
          <cell r="Z26" t="str">
            <v>0</v>
          </cell>
          <cell r="AA26" t="str">
            <v>경기도 시흥시 계수로 213(계수동)</v>
          </cell>
          <cell r="AB26">
            <v>45945</v>
          </cell>
          <cell r="AC26">
            <v>1825</v>
          </cell>
          <cell r="AD26">
            <v>97</v>
          </cell>
          <cell r="AE26">
            <v>21110022</v>
          </cell>
          <cell r="AF26">
            <v>13209603</v>
          </cell>
          <cell r="AG26">
            <v>200000</v>
          </cell>
          <cell r="AH26">
            <v>12688000</v>
          </cell>
          <cell r="AI26">
            <v>0</v>
          </cell>
          <cell r="AJ26">
            <v>2000</v>
          </cell>
          <cell r="AK26">
            <v>461380</v>
          </cell>
          <cell r="AL26">
            <v>0</v>
          </cell>
          <cell r="AM26">
            <v>2000</v>
          </cell>
          <cell r="AN26">
            <v>27000</v>
          </cell>
          <cell r="AO26">
            <v>30000</v>
          </cell>
          <cell r="AP26">
            <v>430000</v>
          </cell>
          <cell r="AQ26">
            <v>0</v>
          </cell>
          <cell r="AR26" t="str">
            <v>엠피온</v>
          </cell>
          <cell r="AS26">
            <v>0</v>
          </cell>
          <cell r="AT26" t="str">
            <v>루마 전면 없음/측후면 15%</v>
          </cell>
          <cell r="AU26" t="str">
            <v>0</v>
          </cell>
          <cell r="AV26">
            <v>522380</v>
          </cell>
          <cell r="AW26" t="str">
            <v>렌터카 공제</v>
          </cell>
          <cell r="AX26">
            <v>44503</v>
          </cell>
          <cell r="AY26">
            <v>1153090</v>
          </cell>
          <cell r="AZ26">
            <v>1035460</v>
          </cell>
          <cell r="BA26" t="str">
            <v>0</v>
          </cell>
          <cell r="BB26" t="str">
            <v>0</v>
          </cell>
          <cell r="BC26" t="str">
            <v>0</v>
          </cell>
          <cell r="BD26" t="str">
            <v>만26세</v>
          </cell>
          <cell r="BE26" t="str">
            <v>무한대</v>
          </cell>
          <cell r="BF26" t="str">
            <v>2억원</v>
          </cell>
          <cell r="BG26" t="str">
            <v>1억원/1500만</v>
          </cell>
          <cell r="BH26" t="str">
            <v>2억원/1인당</v>
          </cell>
          <cell r="BI26" t="str">
            <v>30만원</v>
          </cell>
          <cell r="BJ26" t="str">
            <v>임직원</v>
          </cell>
          <cell r="BK26" t="str">
            <v>5회/년</v>
          </cell>
          <cell r="BL26" t="str">
            <v>가입</v>
          </cell>
          <cell r="BM26" t="str">
            <v>미가입</v>
          </cell>
          <cell r="BN26" t="str">
            <v>브랜드보증 외 사용자 부담</v>
          </cell>
          <cell r="BO26" t="str">
            <v>브랜드보증 외 사용자 부담</v>
          </cell>
          <cell r="BP26" t="str">
            <v>HANKOOK 앞/뒤165 60R14 79H</v>
          </cell>
          <cell r="BQ26" t="str">
            <v>0</v>
          </cell>
          <cell r="BR26">
            <v>17964</v>
          </cell>
          <cell r="BS26" t="str">
            <v>현금</v>
          </cell>
          <cell r="BT26" t="str">
            <v>0</v>
          </cell>
          <cell r="BU26" t="str">
            <v>0</v>
          </cell>
          <cell r="BV26" t="str">
            <v>0</v>
          </cell>
          <cell r="BW26" t="str">
            <v>0</v>
          </cell>
          <cell r="BX26">
            <v>0</v>
          </cell>
          <cell r="BY26">
            <v>0</v>
          </cell>
          <cell r="BZ26">
            <v>0</v>
          </cell>
          <cell r="CA26" t="str">
            <v>0</v>
          </cell>
          <cell r="CB26" t="str">
            <v>15</v>
          </cell>
          <cell r="CC26" t="str">
            <v>15</v>
          </cell>
          <cell r="CD26">
            <v>477650</v>
          </cell>
          <cell r="CE26">
            <v>60</v>
          </cell>
          <cell r="CF26">
            <v>28659000</v>
          </cell>
          <cell r="CG26" t="str">
            <v>0</v>
          </cell>
          <cell r="CH26" t="str">
            <v>0</v>
          </cell>
          <cell r="CI26">
            <v>2506900</v>
          </cell>
          <cell r="CJ26">
            <v>0.09</v>
          </cell>
          <cell r="CK26">
            <v>0.04</v>
          </cell>
          <cell r="CL26" t="str">
            <v>mhgood45@dkin.co.kr</v>
          </cell>
          <cell r="CM26" t="str">
            <v>0</v>
          </cell>
          <cell r="CN26" t="str">
            <v>0</v>
          </cell>
          <cell r="CO26">
            <v>0.03</v>
          </cell>
          <cell r="CP26" t="str">
            <v>0</v>
          </cell>
          <cell r="CQ26">
            <v>0</v>
          </cell>
          <cell r="CR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W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B26" t="str">
            <v>기아</v>
          </cell>
          <cell r="DC26" t="str">
            <v>정수원 실장</v>
          </cell>
          <cell r="DD26" t="str">
            <v>렌트베네핏</v>
          </cell>
          <cell r="DE26" t="str">
            <v>0</v>
          </cell>
          <cell r="DF26" t="str">
            <v>신한은행</v>
          </cell>
          <cell r="DG26" t="str">
            <v>140-012-233131</v>
          </cell>
          <cell r="DH26" t="str">
            <v>453-87-00957</v>
          </cell>
          <cell r="DI26" t="str">
            <v>경기도 시흥시 계수로 213(계수동)</v>
          </cell>
          <cell r="DJ26">
            <v>0.3</v>
          </cell>
          <cell r="DK26">
            <v>0.2</v>
          </cell>
          <cell r="DL26" t="str">
            <v>0</v>
          </cell>
          <cell r="DM26" t="str">
            <v>0</v>
          </cell>
          <cell r="DN26" t="str">
            <v>0</v>
          </cell>
          <cell r="DO26" t="str">
            <v>0</v>
          </cell>
          <cell r="DP26" t="str">
            <v>0</v>
          </cell>
        </row>
        <row r="27">
          <cell r="C27" t="str">
            <v>Ray-030</v>
          </cell>
          <cell r="D27" t="str">
            <v>(주)대경인트라넷_3</v>
          </cell>
          <cell r="E27" t="str">
            <v>이강열 대표님</v>
          </cell>
          <cell r="F27" t="str">
            <v>010-9096-7767</v>
          </cell>
          <cell r="G27" t="str">
            <v>Ray Van</v>
          </cell>
          <cell r="H27" t="str">
            <v>스탠다드 A/T</v>
          </cell>
          <cell r="I27">
            <v>12750000</v>
          </cell>
          <cell r="J27">
            <v>2022</v>
          </cell>
          <cell r="K27" t="str">
            <v>White/Black</v>
          </cell>
          <cell r="L27" t="str">
            <v>가솔린</v>
          </cell>
          <cell r="M27" t="str">
            <v>KNACF911BNT283786</v>
          </cell>
          <cell r="N27" t="str">
            <v>101호2193</v>
          </cell>
          <cell r="O27" t="str">
            <v>-</v>
          </cell>
          <cell r="P27">
            <v>998</v>
          </cell>
          <cell r="Q27">
            <v>44503</v>
          </cell>
          <cell r="R27">
            <v>44517</v>
          </cell>
          <cell r="S27">
            <v>44517</v>
          </cell>
          <cell r="T27" t="str">
            <v>5</v>
          </cell>
          <cell r="U27">
            <v>46342</v>
          </cell>
          <cell r="V27">
            <v>3</v>
          </cell>
          <cell r="W27">
            <v>20000</v>
          </cell>
          <cell r="X27" t="str">
            <v>김미현 팀장님</v>
          </cell>
          <cell r="Y27" t="str">
            <v>010-9096-7767</v>
          </cell>
          <cell r="Z27" t="str">
            <v>0</v>
          </cell>
          <cell r="AA27" t="str">
            <v>경기도 시흥시 계수로 213(주식회사 대경인트라넷)</v>
          </cell>
          <cell r="AB27">
            <v>44545</v>
          </cell>
          <cell r="AC27">
            <v>1825</v>
          </cell>
          <cell r="AD27">
            <v>97</v>
          </cell>
          <cell r="AE27">
            <v>22030017</v>
          </cell>
          <cell r="AF27">
            <v>13209603</v>
          </cell>
          <cell r="AG27">
            <v>200000</v>
          </cell>
          <cell r="AH27">
            <v>12688000</v>
          </cell>
          <cell r="AI27">
            <v>0</v>
          </cell>
          <cell r="AJ27">
            <v>2000</v>
          </cell>
          <cell r="AK27">
            <v>461380</v>
          </cell>
          <cell r="AL27">
            <v>0</v>
          </cell>
          <cell r="AM27">
            <v>2000</v>
          </cell>
          <cell r="AN27">
            <v>27000</v>
          </cell>
          <cell r="AO27">
            <v>30000</v>
          </cell>
          <cell r="AP27">
            <v>430000</v>
          </cell>
          <cell r="AQ27">
            <v>0</v>
          </cell>
          <cell r="AR27" t="str">
            <v>엠피온</v>
          </cell>
          <cell r="AS27">
            <v>0</v>
          </cell>
          <cell r="AT27" t="str">
            <v>루마 전면 없음/측후면 15%</v>
          </cell>
          <cell r="AU27" t="str">
            <v>0</v>
          </cell>
          <cell r="AV27">
            <v>522380</v>
          </cell>
          <cell r="AW27" t="str">
            <v>렌터카 공제</v>
          </cell>
          <cell r="AX27">
            <v>44503</v>
          </cell>
          <cell r="AY27">
            <v>1153090</v>
          </cell>
          <cell r="AZ27">
            <v>1042640</v>
          </cell>
          <cell r="BA27" t="str">
            <v>0</v>
          </cell>
          <cell r="BB27" t="str">
            <v>0</v>
          </cell>
          <cell r="BC27" t="str">
            <v>0</v>
          </cell>
          <cell r="BD27" t="str">
            <v>만26세</v>
          </cell>
          <cell r="BE27" t="str">
            <v>무한대</v>
          </cell>
          <cell r="BF27" t="str">
            <v>2억원</v>
          </cell>
          <cell r="BG27" t="str">
            <v>1억원/1500만</v>
          </cell>
          <cell r="BH27" t="str">
            <v>2억원/1인당</v>
          </cell>
          <cell r="BI27" t="str">
            <v>30만원</v>
          </cell>
          <cell r="BJ27" t="str">
            <v>임직원</v>
          </cell>
          <cell r="BK27" t="str">
            <v>5회/년</v>
          </cell>
          <cell r="BL27" t="str">
            <v>가입</v>
          </cell>
          <cell r="BM27" t="str">
            <v>미가입</v>
          </cell>
          <cell r="BN27" t="str">
            <v>브랜드보증 외 사용자 부담</v>
          </cell>
          <cell r="BO27" t="str">
            <v>브랜드보증 외 사용자 부담</v>
          </cell>
          <cell r="BP27" t="str">
            <v>HANKOOK 앞/뒤165 60R14 79H</v>
          </cell>
          <cell r="BQ27" t="str">
            <v>0</v>
          </cell>
          <cell r="BR27">
            <v>17964</v>
          </cell>
          <cell r="BS27" t="str">
            <v>현금</v>
          </cell>
          <cell r="BT27" t="str">
            <v>0</v>
          </cell>
          <cell r="BU27" t="str">
            <v>0</v>
          </cell>
          <cell r="BV27" t="str">
            <v>0</v>
          </cell>
          <cell r="BW27" t="str">
            <v>0</v>
          </cell>
          <cell r="BX27">
            <v>0</v>
          </cell>
          <cell r="BY27">
            <v>0</v>
          </cell>
          <cell r="BZ27">
            <v>0</v>
          </cell>
          <cell r="CA27" t="str">
            <v>0</v>
          </cell>
          <cell r="CB27" t="str">
            <v>15</v>
          </cell>
          <cell r="CC27" t="str">
            <v>15</v>
          </cell>
          <cell r="CD27">
            <v>352650</v>
          </cell>
          <cell r="CE27">
            <v>60</v>
          </cell>
          <cell r="CF27">
            <v>21159000</v>
          </cell>
          <cell r="CG27" t="str">
            <v>0</v>
          </cell>
          <cell r="CH27" t="str">
            <v>0</v>
          </cell>
          <cell r="CI27">
            <v>2506900</v>
          </cell>
          <cell r="CJ27">
            <v>0.09</v>
          </cell>
          <cell r="CK27">
            <v>0.04</v>
          </cell>
          <cell r="CL27" t="str">
            <v>mhgood45@dkin.co.kr</v>
          </cell>
          <cell r="CM27" t="str">
            <v>0</v>
          </cell>
          <cell r="CN27" t="str">
            <v>0</v>
          </cell>
          <cell r="CO27">
            <v>0.03</v>
          </cell>
          <cell r="CP27" t="str">
            <v>0</v>
          </cell>
          <cell r="CQ27">
            <v>0</v>
          </cell>
          <cell r="CR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W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B27" t="str">
            <v>기아</v>
          </cell>
          <cell r="DC27" t="str">
            <v>정수원 실장</v>
          </cell>
          <cell r="DD27" t="str">
            <v>렌트베네핏</v>
          </cell>
          <cell r="DE27" t="str">
            <v>0</v>
          </cell>
          <cell r="DF27" t="str">
            <v>신한은행</v>
          </cell>
          <cell r="DG27" t="str">
            <v>140-011-847556</v>
          </cell>
          <cell r="DH27" t="str">
            <v>206-81-25404</v>
          </cell>
          <cell r="DI27" t="str">
            <v>서울특별시 구로구 오리로17길 70, 지층-2(궁동)</v>
          </cell>
          <cell r="DJ27">
            <v>0.3</v>
          </cell>
          <cell r="DK27">
            <v>0.2</v>
          </cell>
          <cell r="DL27" t="str">
            <v>0</v>
          </cell>
          <cell r="DM27" t="str">
            <v>0</v>
          </cell>
          <cell r="DN27" t="str">
            <v>0</v>
          </cell>
          <cell r="DO27" t="str">
            <v>0</v>
          </cell>
          <cell r="DP27" t="str">
            <v>0</v>
          </cell>
        </row>
        <row r="28">
          <cell r="C28" t="str">
            <v>Ray-035</v>
          </cell>
          <cell r="D28" t="str">
            <v>청담건설</v>
          </cell>
          <cell r="E28" t="str">
            <v>김의성 위원장님</v>
          </cell>
          <cell r="F28" t="str">
            <v>010-9730-8000</v>
          </cell>
          <cell r="G28" t="str">
            <v>Ray</v>
          </cell>
          <cell r="H28" t="str">
            <v>스탠다드 A/T</v>
          </cell>
          <cell r="I28">
            <v>12750000</v>
          </cell>
          <cell r="J28">
            <v>2022</v>
          </cell>
          <cell r="K28" t="str">
            <v>White/Black</v>
          </cell>
          <cell r="L28" t="str">
            <v>가솔린</v>
          </cell>
          <cell r="M28" t="str">
            <v>KNACF911BNT284066</v>
          </cell>
          <cell r="N28" t="str">
            <v>101호2198</v>
          </cell>
          <cell r="O28" t="str">
            <v>-</v>
          </cell>
          <cell r="P28">
            <v>998</v>
          </cell>
          <cell r="Q28">
            <v>44503</v>
          </cell>
          <cell r="R28">
            <v>44525</v>
          </cell>
          <cell r="S28">
            <v>45255</v>
          </cell>
          <cell r="T28" t="str">
            <v>3</v>
          </cell>
          <cell r="U28">
            <v>46350</v>
          </cell>
          <cell r="V28">
            <v>3</v>
          </cell>
          <cell r="W28">
            <v>20000</v>
          </cell>
          <cell r="X28" t="str">
            <v>윤병오 고객님</v>
          </cell>
          <cell r="Y28" t="str">
            <v>010-3695-4931</v>
          </cell>
          <cell r="Z28" t="str">
            <v>0</v>
          </cell>
          <cell r="AA28" t="str">
            <v>경기도 고양시 덕양구 향기로 112 DMC 하우스디NHF 203동 1104호</v>
          </cell>
          <cell r="AB28">
            <v>45285</v>
          </cell>
          <cell r="AC28">
            <v>1095</v>
          </cell>
          <cell r="AD28">
            <v>105</v>
          </cell>
          <cell r="AE28">
            <v>21110029</v>
          </cell>
          <cell r="AF28">
            <v>13209603</v>
          </cell>
          <cell r="AG28">
            <v>200000</v>
          </cell>
          <cell r="AH28">
            <v>12688000</v>
          </cell>
          <cell r="AI28">
            <v>0</v>
          </cell>
          <cell r="AJ28">
            <v>2000</v>
          </cell>
          <cell r="AK28">
            <v>461380</v>
          </cell>
          <cell r="AL28">
            <v>0</v>
          </cell>
          <cell r="AM28">
            <v>2000</v>
          </cell>
          <cell r="AN28">
            <v>27000</v>
          </cell>
          <cell r="AO28">
            <v>30000</v>
          </cell>
          <cell r="AP28">
            <v>430000</v>
          </cell>
          <cell r="AQ28">
            <v>0</v>
          </cell>
          <cell r="AR28" t="str">
            <v>엠피온</v>
          </cell>
          <cell r="AS28">
            <v>0</v>
          </cell>
          <cell r="AT28" t="str">
            <v>루마 전면 없음/측후면 15%</v>
          </cell>
          <cell r="AU28" t="str">
            <v>0</v>
          </cell>
          <cell r="AV28">
            <v>522380</v>
          </cell>
          <cell r="AW28" t="str">
            <v>렌터카 공제</v>
          </cell>
          <cell r="AX28">
            <v>44503</v>
          </cell>
          <cell r="AY28">
            <v>1153090</v>
          </cell>
          <cell r="AZ28">
            <v>1042640</v>
          </cell>
          <cell r="BA28" t="str">
            <v>0</v>
          </cell>
          <cell r="BB28" t="str">
            <v>0</v>
          </cell>
          <cell r="BC28" t="str">
            <v>0</v>
          </cell>
          <cell r="BD28" t="str">
            <v>만26세</v>
          </cell>
          <cell r="BE28" t="str">
            <v>무한대</v>
          </cell>
          <cell r="BF28" t="str">
            <v>2억원</v>
          </cell>
          <cell r="BG28" t="str">
            <v>1억원/1500만</v>
          </cell>
          <cell r="BH28" t="str">
            <v>2억원/1인당</v>
          </cell>
          <cell r="BI28" t="str">
            <v>30만원</v>
          </cell>
          <cell r="BJ28" t="str">
            <v>임직원</v>
          </cell>
          <cell r="BK28" t="str">
            <v>5회/년</v>
          </cell>
          <cell r="BL28" t="str">
            <v>가입</v>
          </cell>
          <cell r="BM28" t="str">
            <v>미가입</v>
          </cell>
          <cell r="BN28" t="str">
            <v>브랜드보증 외 사용자 부담</v>
          </cell>
          <cell r="BO28" t="str">
            <v>브랜드보증 외 사용자 부담</v>
          </cell>
          <cell r="BP28" t="str">
            <v>HANKOOK 앞/뒤165 60R14 79H</v>
          </cell>
          <cell r="BQ28" t="str">
            <v>0</v>
          </cell>
          <cell r="BR28">
            <v>17964</v>
          </cell>
          <cell r="BS28" t="str">
            <v>현금</v>
          </cell>
          <cell r="BT28" t="str">
            <v>0</v>
          </cell>
          <cell r="BU28" t="str">
            <v>0</v>
          </cell>
          <cell r="BV28" t="str">
            <v>0</v>
          </cell>
          <cell r="BW28" t="str">
            <v>0</v>
          </cell>
          <cell r="BX28">
            <v>0</v>
          </cell>
          <cell r="BY28">
            <v>0</v>
          </cell>
          <cell r="BZ28">
            <v>0</v>
          </cell>
          <cell r="CA28" t="str">
            <v>0</v>
          </cell>
          <cell r="CB28" t="str">
            <v>25</v>
          </cell>
          <cell r="CC28" t="str">
            <v>25</v>
          </cell>
          <cell r="CD28">
            <v>376700</v>
          </cell>
          <cell r="CE28">
            <v>36</v>
          </cell>
          <cell r="CF28">
            <v>13561200</v>
          </cell>
          <cell r="CG28" t="str">
            <v>0</v>
          </cell>
          <cell r="CH28" t="str">
            <v>0</v>
          </cell>
          <cell r="CI28">
            <v>2506900</v>
          </cell>
          <cell r="CJ28">
            <v>5.6000000000000001E-2</v>
          </cell>
          <cell r="CK28">
            <v>0.04</v>
          </cell>
          <cell r="CL28" t="str">
            <v>lotze77@naver.com</v>
          </cell>
          <cell r="CM28" t="str">
            <v>0</v>
          </cell>
          <cell r="CN28" t="str">
            <v>0</v>
          </cell>
          <cell r="CO28">
            <v>0.03</v>
          </cell>
          <cell r="CP28" t="str">
            <v>0</v>
          </cell>
          <cell r="CQ28">
            <v>0</v>
          </cell>
          <cell r="CR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W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B28" t="str">
            <v>기아</v>
          </cell>
          <cell r="DC28" t="str">
            <v>정수원 실장</v>
          </cell>
          <cell r="DD28" t="str">
            <v>렌트베네핏</v>
          </cell>
          <cell r="DE28" t="str">
            <v>0</v>
          </cell>
          <cell r="DF28" t="str">
            <v>기업은행</v>
          </cell>
          <cell r="DG28" t="str">
            <v>477-077449-04-010</v>
          </cell>
          <cell r="DH28" t="str">
            <v>412-87-01896</v>
          </cell>
          <cell r="DI28" t="str">
            <v>주소 없음</v>
          </cell>
          <cell r="DJ28">
            <v>0.3</v>
          </cell>
          <cell r="DK28">
            <v>0.2</v>
          </cell>
          <cell r="DL28" t="str">
            <v>0</v>
          </cell>
          <cell r="DM28" t="str">
            <v>0</v>
          </cell>
          <cell r="DN28" t="str">
            <v>0</v>
          </cell>
          <cell r="DO28" t="str">
            <v>0</v>
          </cell>
          <cell r="DP28" t="str">
            <v>0</v>
          </cell>
        </row>
        <row r="29">
          <cell r="C29" t="str">
            <v>Ray-036</v>
          </cell>
          <cell r="D29" t="str">
            <v>대일산업㈜</v>
          </cell>
          <cell r="E29" t="str">
            <v>김완신 대표이사님</v>
          </cell>
          <cell r="F29" t="str">
            <v>010-8769-1719</v>
          </cell>
          <cell r="G29" t="str">
            <v>Ray</v>
          </cell>
          <cell r="H29" t="str">
            <v>스탠다드 A/T</v>
          </cell>
          <cell r="I29">
            <v>12750000</v>
          </cell>
          <cell r="J29">
            <v>2022</v>
          </cell>
          <cell r="K29" t="str">
            <v>White/Black</v>
          </cell>
          <cell r="L29" t="str">
            <v>가솔린</v>
          </cell>
          <cell r="M29" t="str">
            <v>KNACF911BNT284067</v>
          </cell>
          <cell r="N29" t="str">
            <v>101호2199</v>
          </cell>
          <cell r="O29" t="str">
            <v>-</v>
          </cell>
          <cell r="P29">
            <v>998</v>
          </cell>
          <cell r="Q29">
            <v>44503</v>
          </cell>
          <cell r="R29">
            <v>44529</v>
          </cell>
          <cell r="S29">
            <v>44529</v>
          </cell>
          <cell r="T29" t="str">
            <v>5</v>
          </cell>
          <cell r="U29">
            <v>46354</v>
          </cell>
          <cell r="V29">
            <v>3</v>
          </cell>
          <cell r="W29">
            <v>20000</v>
          </cell>
          <cell r="X29" t="str">
            <v>송성순 차장님</v>
          </cell>
          <cell r="Y29" t="str">
            <v>010-8930-8227</v>
          </cell>
          <cell r="Z29" t="str">
            <v>0</v>
          </cell>
          <cell r="AA29" t="str">
            <v>서울시 중구 남대문로1가 18번지 대일빌딩 대일산업</v>
          </cell>
          <cell r="AB29">
            <v>44555</v>
          </cell>
          <cell r="AC29">
            <v>1825</v>
          </cell>
          <cell r="AD29">
            <v>109</v>
          </cell>
          <cell r="AE29">
            <v>21110030</v>
          </cell>
          <cell r="AF29">
            <v>13209603</v>
          </cell>
          <cell r="AG29">
            <v>200000</v>
          </cell>
          <cell r="AH29">
            <v>12688000</v>
          </cell>
          <cell r="AI29">
            <v>0</v>
          </cell>
          <cell r="AJ29">
            <v>2000</v>
          </cell>
          <cell r="AK29">
            <v>461380</v>
          </cell>
          <cell r="AL29">
            <v>0</v>
          </cell>
          <cell r="AM29">
            <v>2000</v>
          </cell>
          <cell r="AN29">
            <v>27000</v>
          </cell>
          <cell r="AO29">
            <v>30000</v>
          </cell>
          <cell r="AP29">
            <v>430000</v>
          </cell>
          <cell r="AQ29">
            <v>0</v>
          </cell>
          <cell r="AR29" t="str">
            <v>엠피온</v>
          </cell>
          <cell r="AS29">
            <v>0</v>
          </cell>
          <cell r="AT29" t="str">
            <v>루마 전면 없음/측후면 15%</v>
          </cell>
          <cell r="AU29" t="str">
            <v>0</v>
          </cell>
          <cell r="AV29">
            <v>522380</v>
          </cell>
          <cell r="AW29" t="str">
            <v>렌터카 공제</v>
          </cell>
          <cell r="AX29">
            <v>44503</v>
          </cell>
          <cell r="AY29">
            <v>1153090</v>
          </cell>
          <cell r="AZ29">
            <v>1035460</v>
          </cell>
          <cell r="BA29" t="str">
            <v>0</v>
          </cell>
          <cell r="BB29" t="str">
            <v>0</v>
          </cell>
          <cell r="BC29" t="str">
            <v>0</v>
          </cell>
          <cell r="BD29" t="str">
            <v>만26세</v>
          </cell>
          <cell r="BE29" t="str">
            <v>무한대</v>
          </cell>
          <cell r="BF29" t="str">
            <v>2억원</v>
          </cell>
          <cell r="BG29" t="str">
            <v>1억원/1500만</v>
          </cell>
          <cell r="BH29" t="str">
            <v>2억원/1인당</v>
          </cell>
          <cell r="BI29" t="str">
            <v>30만원</v>
          </cell>
          <cell r="BJ29" t="str">
            <v>임직원</v>
          </cell>
          <cell r="BK29" t="str">
            <v>5회/년</v>
          </cell>
          <cell r="BL29" t="str">
            <v>가입</v>
          </cell>
          <cell r="BM29" t="str">
            <v>미가입</v>
          </cell>
          <cell r="BN29" t="str">
            <v>브랜드보증 외 사용자 부담</v>
          </cell>
          <cell r="BO29" t="str">
            <v>브랜드보증 외 사용자 부담</v>
          </cell>
          <cell r="BP29" t="str">
            <v>HANKOOK 앞/뒤165 60R14 79H</v>
          </cell>
          <cell r="BQ29" t="str">
            <v>0</v>
          </cell>
          <cell r="BR29">
            <v>17964</v>
          </cell>
          <cell r="BS29" t="str">
            <v>현금</v>
          </cell>
          <cell r="BT29" t="str">
            <v>0</v>
          </cell>
          <cell r="BU29" t="str">
            <v>0</v>
          </cell>
          <cell r="BV29" t="str">
            <v>0</v>
          </cell>
          <cell r="BW29" t="str">
            <v>0</v>
          </cell>
          <cell r="BX29">
            <v>0</v>
          </cell>
          <cell r="BY29">
            <v>0</v>
          </cell>
          <cell r="BZ29">
            <v>0</v>
          </cell>
          <cell r="CA29" t="str">
            <v>0</v>
          </cell>
          <cell r="CB29" t="str">
            <v>25</v>
          </cell>
          <cell r="CC29" t="str">
            <v>25</v>
          </cell>
          <cell r="CD29">
            <v>376700</v>
          </cell>
          <cell r="CE29">
            <v>60</v>
          </cell>
          <cell r="CF29">
            <v>22602000</v>
          </cell>
          <cell r="CG29" t="str">
            <v>0</v>
          </cell>
          <cell r="CH29" t="str">
            <v>0</v>
          </cell>
          <cell r="CI29">
            <v>2506900</v>
          </cell>
          <cell r="CJ29">
            <v>5.6000000000000001E-2</v>
          </cell>
          <cell r="CK29">
            <v>0.04</v>
          </cell>
          <cell r="CL29" t="str">
            <v>miracle1937@naver.com</v>
          </cell>
          <cell r="CM29" t="str">
            <v>miracle1937@naver.com</v>
          </cell>
          <cell r="CN29" t="str">
            <v>0</v>
          </cell>
          <cell r="CO29">
            <v>0.03</v>
          </cell>
          <cell r="CP29" t="str">
            <v>0</v>
          </cell>
          <cell r="CQ29">
            <v>0</v>
          </cell>
          <cell r="CR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W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B29" t="str">
            <v>기아</v>
          </cell>
          <cell r="DC29" t="str">
            <v>정수원 실장</v>
          </cell>
          <cell r="DD29" t="str">
            <v>렌트베네핏</v>
          </cell>
          <cell r="DE29" t="str">
            <v>0</v>
          </cell>
          <cell r="DF29" t="str">
            <v>0</v>
          </cell>
          <cell r="DG29" t="str">
            <v>0</v>
          </cell>
          <cell r="DH29" t="str">
            <v>104-86-20995</v>
          </cell>
          <cell r="DI29" t="str">
            <v>주소 없음</v>
          </cell>
          <cell r="DJ29">
            <v>0.3</v>
          </cell>
          <cell r="DK29">
            <v>0.2</v>
          </cell>
          <cell r="DL29" t="str">
            <v>0</v>
          </cell>
          <cell r="DM29" t="str">
            <v>0</v>
          </cell>
          <cell r="DN29" t="str">
            <v>0</v>
          </cell>
          <cell r="DO29" t="str">
            <v>0</v>
          </cell>
          <cell r="DP29" t="str">
            <v>0</v>
          </cell>
        </row>
        <row r="30">
          <cell r="C30" t="str">
            <v>Casper-001</v>
          </cell>
          <cell r="D30" t="str">
            <v>서울검사㈜</v>
          </cell>
          <cell r="E30" t="str">
            <v>조병호 회장님</v>
          </cell>
          <cell r="F30" t="str">
            <v>010-3213-2845</v>
          </cell>
          <cell r="G30" t="str">
            <v>Casper</v>
          </cell>
          <cell r="H30" t="str">
            <v>모던</v>
          </cell>
          <cell r="I30">
            <v>15900000</v>
          </cell>
          <cell r="J30">
            <v>2022</v>
          </cell>
          <cell r="K30" t="str">
            <v>티탄 그레이 메탈릭/Bl</v>
          </cell>
          <cell r="L30" t="str">
            <v>가솔린</v>
          </cell>
          <cell r="M30" t="str">
            <v>KMHB3518BNW004418</v>
          </cell>
          <cell r="N30" t="str">
            <v>101하7027</v>
          </cell>
          <cell r="O30" t="str">
            <v>-</v>
          </cell>
          <cell r="P30">
            <v>998</v>
          </cell>
          <cell r="Q30">
            <v>44526</v>
          </cell>
          <cell r="R30">
            <v>44531</v>
          </cell>
          <cell r="S30">
            <v>44531</v>
          </cell>
          <cell r="T30" t="str">
            <v>5</v>
          </cell>
          <cell r="U30">
            <v>46356</v>
          </cell>
          <cell r="V30">
            <v>3</v>
          </cell>
          <cell r="W30">
            <v>20000</v>
          </cell>
          <cell r="X30" t="str">
            <v>정영근부장님</v>
          </cell>
          <cell r="Y30" t="str">
            <v>010-3213-2845</v>
          </cell>
          <cell r="Z30" t="str">
            <v>0</v>
          </cell>
          <cell r="AA30" t="str">
            <v>서울시 서초구 바우뫼로41길 54 서울검사(주)</v>
          </cell>
          <cell r="AB30">
            <v>44555</v>
          </cell>
          <cell r="AC30">
            <v>1825</v>
          </cell>
          <cell r="AD30">
            <v>111</v>
          </cell>
          <cell r="AE30">
            <v>21120031</v>
          </cell>
          <cell r="AF30">
            <v>16079000</v>
          </cell>
          <cell r="AG30">
            <v>0</v>
          </cell>
          <cell r="AH30">
            <v>16077000</v>
          </cell>
          <cell r="AI30">
            <v>0</v>
          </cell>
          <cell r="AJ30">
            <v>0</v>
          </cell>
          <cell r="AK30">
            <v>584610</v>
          </cell>
          <cell r="AL30">
            <v>0</v>
          </cell>
          <cell r="AM30">
            <v>0</v>
          </cell>
          <cell r="AN30">
            <v>6800</v>
          </cell>
          <cell r="AO30">
            <v>0</v>
          </cell>
          <cell r="AP30">
            <v>0</v>
          </cell>
          <cell r="AQ30">
            <v>132000</v>
          </cell>
          <cell r="AR30" t="str">
            <v>엠피온 S1000</v>
          </cell>
          <cell r="AS30">
            <v>66000</v>
          </cell>
          <cell r="AT30" t="str">
            <v>루마 전면 35%/측후면 15%</v>
          </cell>
          <cell r="AU30">
            <v>584610</v>
          </cell>
          <cell r="AV30">
            <v>789410</v>
          </cell>
          <cell r="AW30" t="str">
            <v>렌터카 공제</v>
          </cell>
          <cell r="AX30">
            <v>44526</v>
          </cell>
          <cell r="AY30">
            <v>1153090</v>
          </cell>
          <cell r="AZ30">
            <v>1035460</v>
          </cell>
          <cell r="BA30" t="str">
            <v>0</v>
          </cell>
          <cell r="BB30" t="str">
            <v>0</v>
          </cell>
          <cell r="BC30" t="str">
            <v>0</v>
          </cell>
          <cell r="BD30" t="str">
            <v>만26세</v>
          </cell>
          <cell r="BE30" t="str">
            <v>무한대</v>
          </cell>
          <cell r="BF30" t="str">
            <v>2억원</v>
          </cell>
          <cell r="BG30" t="str">
            <v>1억원/1500만</v>
          </cell>
          <cell r="BH30" t="str">
            <v>2억원/1인당</v>
          </cell>
          <cell r="BI30" t="str">
            <v>30만원</v>
          </cell>
          <cell r="BJ30" t="str">
            <v>임직원</v>
          </cell>
          <cell r="BK30" t="str">
            <v>5회/년</v>
          </cell>
          <cell r="BL30" t="str">
            <v>가입</v>
          </cell>
          <cell r="BM30" t="str">
            <v>미가입</v>
          </cell>
          <cell r="BN30" t="str">
            <v>브랜드보증 외 사용자 부담</v>
          </cell>
          <cell r="BO30" t="str">
            <v>브랜드보증 외 사용자 부담</v>
          </cell>
          <cell r="BP30" t="str">
            <v>KUMHO SOLUS TA31</v>
          </cell>
          <cell r="BQ30" t="str">
            <v>0</v>
          </cell>
          <cell r="BR30">
            <v>17964</v>
          </cell>
          <cell r="BS30" t="str">
            <v>메리츠캐피탈</v>
          </cell>
          <cell r="BT30">
            <v>44525</v>
          </cell>
          <cell r="BU30">
            <v>14310000</v>
          </cell>
          <cell r="BV30" t="str">
            <v>60</v>
          </cell>
          <cell r="BW30">
            <v>275000</v>
          </cell>
          <cell r="BX30">
            <v>16500000</v>
          </cell>
          <cell r="BY30">
            <v>2190000</v>
          </cell>
          <cell r="BZ30">
            <v>0</v>
          </cell>
          <cell r="CA30" t="str">
            <v>0</v>
          </cell>
          <cell r="CB30" t="str">
            <v>25</v>
          </cell>
          <cell r="CC30" t="str">
            <v>25</v>
          </cell>
          <cell r="CD30">
            <v>370000</v>
          </cell>
          <cell r="CE30">
            <v>60</v>
          </cell>
          <cell r="CF30">
            <v>22200000</v>
          </cell>
          <cell r="CG30">
            <v>0</v>
          </cell>
          <cell r="CH30">
            <v>0</v>
          </cell>
          <cell r="CI30">
            <v>5719000</v>
          </cell>
          <cell r="CJ30">
            <v>5.8999999999999997E-2</v>
          </cell>
          <cell r="CK30">
            <v>0.04</v>
          </cell>
          <cell r="CL30" t="str">
            <v>kth@sitcos.co.kr</v>
          </cell>
          <cell r="CM30" t="str">
            <v>jyk2845@sitcos.co.kr</v>
          </cell>
          <cell r="CN30" t="str">
            <v>0</v>
          </cell>
          <cell r="CO30">
            <v>0.03</v>
          </cell>
          <cell r="CP30" t="str">
            <v>0</v>
          </cell>
          <cell r="CQ30">
            <v>0</v>
          </cell>
          <cell r="CR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W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B30" t="b">
            <v>0</v>
          </cell>
          <cell r="DC30" t="str">
            <v>인터넷</v>
          </cell>
          <cell r="DD30" t="b">
            <v>0</v>
          </cell>
          <cell r="DE30" t="str">
            <v>0</v>
          </cell>
          <cell r="DF30" t="str">
            <v>0</v>
          </cell>
          <cell r="DG30" t="str">
            <v>0</v>
          </cell>
          <cell r="DH30" t="str">
            <v>213-81-79460</v>
          </cell>
          <cell r="DI30" t="str">
            <v>주소 없음</v>
          </cell>
          <cell r="DJ30">
            <v>0.3</v>
          </cell>
          <cell r="DK30">
            <v>0.2</v>
          </cell>
          <cell r="DL30" t="str">
            <v>0</v>
          </cell>
          <cell r="DM30" t="str">
            <v>0</v>
          </cell>
          <cell r="DN30" t="str">
            <v>0</v>
          </cell>
          <cell r="DO30" t="str">
            <v>0</v>
          </cell>
          <cell r="DP30" t="str">
            <v>0</v>
          </cell>
        </row>
        <row r="31">
          <cell r="C31" t="str">
            <v>Ray-048</v>
          </cell>
          <cell r="D31" t="str">
            <v>(주)올댓모델</v>
          </cell>
          <cell r="E31" t="str">
            <v>안선영 사장님</v>
          </cell>
          <cell r="F31" t="str">
            <v>010-9012-6014</v>
          </cell>
          <cell r="G31" t="str">
            <v>Ray</v>
          </cell>
          <cell r="H31" t="str">
            <v>스탠다드 A/T</v>
          </cell>
          <cell r="I31">
            <v>12750000</v>
          </cell>
          <cell r="J31">
            <v>2022</v>
          </cell>
          <cell r="K31" t="str">
            <v>White/Black</v>
          </cell>
          <cell r="L31" t="str">
            <v>가솔린</v>
          </cell>
          <cell r="M31" t="str">
            <v>KNACF911BNT284927</v>
          </cell>
          <cell r="N31" t="str">
            <v>125호3211</v>
          </cell>
          <cell r="O31" t="str">
            <v>-</v>
          </cell>
          <cell r="P31">
            <v>998</v>
          </cell>
          <cell r="Q31">
            <v>44503</v>
          </cell>
          <cell r="R31">
            <v>44540</v>
          </cell>
          <cell r="S31">
            <v>44540</v>
          </cell>
          <cell r="T31" t="str">
            <v>5</v>
          </cell>
          <cell r="U31">
            <v>46365</v>
          </cell>
          <cell r="V31">
            <v>3</v>
          </cell>
          <cell r="W31">
            <v>20000</v>
          </cell>
          <cell r="X31" t="str">
            <v>올댓모델 직원</v>
          </cell>
          <cell r="Y31" t="str">
            <v>010-2676-3101</v>
          </cell>
          <cell r="Z31" t="str">
            <v>0</v>
          </cell>
          <cell r="AA31" t="str">
            <v>서초구 효령로 33길 50 서리풀 이편한세상 102동</v>
          </cell>
          <cell r="AB31">
            <v>44555</v>
          </cell>
          <cell r="AC31">
            <v>1825</v>
          </cell>
          <cell r="AD31">
            <v>120</v>
          </cell>
          <cell r="AE31">
            <v>21120034</v>
          </cell>
          <cell r="AF31">
            <v>13209603</v>
          </cell>
          <cell r="AG31">
            <v>200000</v>
          </cell>
          <cell r="AH31">
            <v>12688000</v>
          </cell>
          <cell r="AI31">
            <v>0</v>
          </cell>
          <cell r="AJ31">
            <v>2000</v>
          </cell>
          <cell r="AK31">
            <v>461380</v>
          </cell>
          <cell r="AL31">
            <v>0</v>
          </cell>
          <cell r="AM31">
            <v>2000</v>
          </cell>
          <cell r="AN31">
            <v>27000</v>
          </cell>
          <cell r="AO31">
            <v>30000</v>
          </cell>
          <cell r="AP31">
            <v>430000</v>
          </cell>
          <cell r="AQ31">
            <v>0</v>
          </cell>
          <cell r="AR31" t="str">
            <v>엠피온</v>
          </cell>
          <cell r="AS31">
            <v>0</v>
          </cell>
          <cell r="AT31" t="str">
            <v>루마 전면 없음/측후면 15%</v>
          </cell>
          <cell r="AU31" t="str">
            <v>0</v>
          </cell>
          <cell r="AV31">
            <v>522380</v>
          </cell>
          <cell r="AW31" t="str">
            <v>렌터카 공제</v>
          </cell>
          <cell r="AX31">
            <v>44503</v>
          </cell>
          <cell r="AY31">
            <v>1153090</v>
          </cell>
          <cell r="AZ31">
            <v>1035460</v>
          </cell>
          <cell r="BA31" t="str">
            <v>0</v>
          </cell>
          <cell r="BB31" t="str">
            <v>0</v>
          </cell>
          <cell r="BC31" t="str">
            <v>0</v>
          </cell>
          <cell r="BD31" t="str">
            <v>만26세</v>
          </cell>
          <cell r="BE31" t="str">
            <v>무한대</v>
          </cell>
          <cell r="BF31" t="str">
            <v>2억원</v>
          </cell>
          <cell r="BG31" t="str">
            <v>1억원/1500만</v>
          </cell>
          <cell r="BH31" t="str">
            <v>2억원/1인당</v>
          </cell>
          <cell r="BI31" t="str">
            <v>30만원</v>
          </cell>
          <cell r="BJ31" t="str">
            <v>임직원</v>
          </cell>
          <cell r="BK31" t="str">
            <v>5회/년</v>
          </cell>
          <cell r="BL31" t="str">
            <v>가입</v>
          </cell>
          <cell r="BM31" t="str">
            <v>미가입</v>
          </cell>
          <cell r="BN31" t="str">
            <v>브랜드보증 외 사용자 부담</v>
          </cell>
          <cell r="BO31" t="str">
            <v>브랜드보증 외 사용자 부담</v>
          </cell>
          <cell r="BP31" t="str">
            <v>HANKOOK 앞/뒤165 60R14 79H</v>
          </cell>
          <cell r="BQ31" t="str">
            <v>0</v>
          </cell>
          <cell r="BR31">
            <v>17964</v>
          </cell>
          <cell r="BS31" t="str">
            <v>현금</v>
          </cell>
          <cell r="BT31" t="str">
            <v>0</v>
          </cell>
          <cell r="BU31" t="str">
            <v>0</v>
          </cell>
          <cell r="BV31" t="str">
            <v>0</v>
          </cell>
          <cell r="BW31" t="str">
            <v>0</v>
          </cell>
          <cell r="BX31">
            <v>0</v>
          </cell>
          <cell r="BY31">
            <v>0</v>
          </cell>
          <cell r="BZ31">
            <v>0</v>
          </cell>
          <cell r="CA31" t="str">
            <v>0</v>
          </cell>
          <cell r="CB31" t="str">
            <v>말</v>
          </cell>
          <cell r="CC31" t="str">
            <v>25</v>
          </cell>
          <cell r="CD31">
            <v>376700</v>
          </cell>
          <cell r="CE31">
            <v>60</v>
          </cell>
          <cell r="CF31">
            <v>22602000</v>
          </cell>
          <cell r="CG31" t="str">
            <v>0</v>
          </cell>
          <cell r="CH31" t="str">
            <v>0</v>
          </cell>
          <cell r="CI31">
            <v>2506900</v>
          </cell>
          <cell r="CJ31">
            <v>5.6000000000000001E-2</v>
          </cell>
          <cell r="CK31">
            <v>0.04</v>
          </cell>
          <cell r="CL31" t="str">
            <v>dysul@allthatmodel.co.kr</v>
          </cell>
          <cell r="CM31" t="str">
            <v>0</v>
          </cell>
          <cell r="CN31" t="str">
            <v>0</v>
          </cell>
          <cell r="CO31">
            <v>0.03</v>
          </cell>
          <cell r="CP31" t="str">
            <v>0</v>
          </cell>
          <cell r="CQ31">
            <v>0</v>
          </cell>
          <cell r="CR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W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B31" t="str">
            <v>기아</v>
          </cell>
          <cell r="DC31" t="str">
            <v>정수원 실장</v>
          </cell>
          <cell r="DD31" t="str">
            <v>렌트베네핏</v>
          </cell>
          <cell r="DE31" t="str">
            <v>0</v>
          </cell>
          <cell r="DF31" t="str">
            <v>0</v>
          </cell>
          <cell r="DG31" t="str">
            <v>0</v>
          </cell>
          <cell r="DH31" t="str">
            <v>651-86-00933</v>
          </cell>
          <cell r="DI31" t="str">
            <v>주소 없음</v>
          </cell>
          <cell r="DJ31">
            <v>0.3</v>
          </cell>
          <cell r="DK31">
            <v>0.2</v>
          </cell>
          <cell r="DL31" t="str">
            <v>0</v>
          </cell>
          <cell r="DM31" t="str">
            <v>0</v>
          </cell>
          <cell r="DN31" t="str">
            <v>0</v>
          </cell>
          <cell r="DO31" t="str">
            <v>0</v>
          </cell>
          <cell r="DP31" t="str">
            <v>0</v>
          </cell>
        </row>
        <row r="32">
          <cell r="C32" t="str">
            <v>K3-001</v>
          </cell>
          <cell r="D32" t="str">
            <v>트라이언소프트㈜</v>
          </cell>
          <cell r="E32" t="str">
            <v>한창실 대표님</v>
          </cell>
          <cell r="F32" t="str">
            <v>010-8547-2888</v>
          </cell>
          <cell r="G32" t="str">
            <v>K3</v>
          </cell>
          <cell r="H32" t="str">
            <v>프레스티지</v>
          </cell>
          <cell r="I32">
            <v>22130000</v>
          </cell>
          <cell r="J32">
            <v>2022</v>
          </cell>
          <cell r="K32" t="str">
            <v>White/Black</v>
          </cell>
          <cell r="L32" t="str">
            <v>가솔린</v>
          </cell>
          <cell r="M32" t="str">
            <v>KNAF241BENA135962</v>
          </cell>
          <cell r="N32" t="str">
            <v>101하7029</v>
          </cell>
          <cell r="O32" t="str">
            <v>-</v>
          </cell>
          <cell r="P32">
            <v>1598</v>
          </cell>
          <cell r="Q32">
            <v>44538</v>
          </cell>
          <cell r="R32">
            <v>44543</v>
          </cell>
          <cell r="S32">
            <v>44543</v>
          </cell>
          <cell r="T32" t="str">
            <v>5</v>
          </cell>
          <cell r="U32">
            <v>46368</v>
          </cell>
          <cell r="V32">
            <v>4</v>
          </cell>
          <cell r="W32">
            <v>30000</v>
          </cell>
          <cell r="X32" t="str">
            <v>부성만 상무님</v>
          </cell>
          <cell r="Y32" t="str">
            <v>010-7707-5367</v>
          </cell>
          <cell r="Z32" t="str">
            <v>0</v>
          </cell>
          <cell r="AA32" t="str">
            <v>서울특별시 강남구 논현로 706 아이캐슬빌딩 5층 트라이언소프트(주)</v>
          </cell>
          <cell r="AB32">
            <v>44561</v>
          </cell>
          <cell r="AC32">
            <v>1825</v>
          </cell>
          <cell r="AD32">
            <v>123</v>
          </cell>
          <cell r="AE32">
            <v>21120032</v>
          </cell>
          <cell r="AF32">
            <v>21247761</v>
          </cell>
          <cell r="AG32">
            <v>1373239</v>
          </cell>
          <cell r="AH32">
            <v>21145760</v>
          </cell>
          <cell r="AI32" t="str">
            <v>-</v>
          </cell>
          <cell r="AJ32">
            <v>0</v>
          </cell>
          <cell r="AK32">
            <v>768930</v>
          </cell>
          <cell r="AL32">
            <v>54068</v>
          </cell>
          <cell r="AM32">
            <v>0</v>
          </cell>
          <cell r="AN32">
            <v>33500</v>
          </cell>
          <cell r="AO32">
            <v>0</v>
          </cell>
          <cell r="AP32">
            <v>941000</v>
          </cell>
          <cell r="AQ32">
            <v>143000</v>
          </cell>
          <cell r="AR32" t="str">
            <v>엠피온 S1000</v>
          </cell>
          <cell r="AS32">
            <v>66000</v>
          </cell>
          <cell r="AT32" t="str">
            <v>루마 전면 35%/측후면 15%</v>
          </cell>
          <cell r="AU32">
            <v>769830</v>
          </cell>
          <cell r="AV32">
            <v>1065498</v>
          </cell>
          <cell r="AW32" t="str">
            <v>렌터카 공제</v>
          </cell>
          <cell r="AX32">
            <v>44538</v>
          </cell>
          <cell r="AY32">
            <v>1130870</v>
          </cell>
          <cell r="AZ32">
            <v>1016230</v>
          </cell>
          <cell r="BA32" t="str">
            <v>0</v>
          </cell>
          <cell r="BB32" t="str">
            <v>0</v>
          </cell>
          <cell r="BC32" t="str">
            <v>0</v>
          </cell>
          <cell r="BD32" t="str">
            <v>만26세</v>
          </cell>
          <cell r="BE32" t="str">
            <v>무한대</v>
          </cell>
          <cell r="BF32" t="str">
            <v>2억원</v>
          </cell>
          <cell r="BG32" t="str">
            <v>1억원/1500만</v>
          </cell>
          <cell r="BH32" t="str">
            <v>2억원/1인당</v>
          </cell>
          <cell r="BI32" t="str">
            <v>30만원</v>
          </cell>
          <cell r="BJ32" t="str">
            <v>임직원</v>
          </cell>
          <cell r="BK32" t="str">
            <v>5회/년</v>
          </cell>
          <cell r="BL32" t="str">
            <v>가입</v>
          </cell>
          <cell r="BM32" t="str">
            <v>가입</v>
          </cell>
          <cell r="BN32" t="str">
            <v>가입</v>
          </cell>
          <cell r="BO32" t="str">
            <v>가입</v>
          </cell>
          <cell r="BP32" t="str">
            <v>0</v>
          </cell>
          <cell r="BQ32" t="str">
            <v>0</v>
          </cell>
          <cell r="BR32">
            <v>28764</v>
          </cell>
          <cell r="BS32" t="str">
            <v>현금</v>
          </cell>
          <cell r="BT32" t="str">
            <v>0</v>
          </cell>
          <cell r="BU32" t="str">
            <v>0</v>
          </cell>
          <cell r="BV32" t="str">
            <v>0</v>
          </cell>
          <cell r="BW32" t="str">
            <v>0</v>
          </cell>
          <cell r="BX32" t="str">
            <v>0</v>
          </cell>
          <cell r="BY32" t="str">
            <v>0</v>
          </cell>
          <cell r="BZ32">
            <v>0</v>
          </cell>
          <cell r="CA32" t="str">
            <v>0</v>
          </cell>
          <cell r="CB32" t="str">
            <v>말</v>
          </cell>
          <cell r="CC32" t="str">
            <v>25</v>
          </cell>
          <cell r="CD32">
            <v>484000</v>
          </cell>
          <cell r="CE32">
            <v>60</v>
          </cell>
          <cell r="CF32">
            <v>29040000</v>
          </cell>
          <cell r="CG32">
            <v>0</v>
          </cell>
          <cell r="CH32">
            <v>0</v>
          </cell>
          <cell r="CI32">
            <v>8852000</v>
          </cell>
          <cell r="CJ32">
            <v>3.6200000000000003E-2</v>
          </cell>
          <cell r="CK32">
            <v>0.04</v>
          </cell>
          <cell r="CL32" t="str">
            <v>pius_x@trionsoft.com</v>
          </cell>
          <cell r="CM32" t="str">
            <v>helloboo@trionsoft.com</v>
          </cell>
          <cell r="CN32" t="str">
            <v>0</v>
          </cell>
          <cell r="CO32">
            <v>0.03</v>
          </cell>
          <cell r="CP32" t="str">
            <v>0</v>
          </cell>
          <cell r="CQ32">
            <v>0</v>
          </cell>
          <cell r="CR32">
            <v>0</v>
          </cell>
          <cell r="CS32">
            <v>0</v>
          </cell>
          <cell r="CT32">
            <v>0</v>
          </cell>
          <cell r="CU32">
            <v>0</v>
          </cell>
          <cell r="CV32">
            <v>0</v>
          </cell>
          <cell r="CW32">
            <v>0</v>
          </cell>
          <cell r="CX32">
            <v>0</v>
          </cell>
          <cell r="CY32">
            <v>0</v>
          </cell>
          <cell r="CZ32">
            <v>0</v>
          </cell>
          <cell r="DA32">
            <v>0</v>
          </cell>
          <cell r="DB32" t="str">
            <v>기아</v>
          </cell>
          <cell r="DC32" t="str">
            <v>정수원 실장</v>
          </cell>
          <cell r="DD32" t="str">
            <v>렌트베네핏</v>
          </cell>
          <cell r="DE32" t="str">
            <v>0</v>
          </cell>
          <cell r="DF32" t="str">
            <v>0</v>
          </cell>
          <cell r="DG32" t="str">
            <v>0</v>
          </cell>
          <cell r="DH32" t="str">
            <v>206-81-18204</v>
          </cell>
          <cell r="DI32" t="str">
            <v>주소 없음</v>
          </cell>
          <cell r="DJ32">
            <v>0.3</v>
          </cell>
          <cell r="DK32">
            <v>0.2</v>
          </cell>
          <cell r="DL32" t="str">
            <v>0</v>
          </cell>
          <cell r="DM32" t="str">
            <v>0</v>
          </cell>
          <cell r="DN32" t="str">
            <v>0</v>
          </cell>
          <cell r="DO32" t="str">
            <v>0</v>
          </cell>
          <cell r="DP32" t="str">
            <v>0</v>
          </cell>
        </row>
        <row r="33">
          <cell r="C33" t="str">
            <v>Ray-040</v>
          </cell>
          <cell r="D33" t="str">
            <v>㈜카멜월드와이드</v>
          </cell>
          <cell r="E33" t="str">
            <v>김상욱 대표님</v>
          </cell>
          <cell r="F33" t="str">
            <v>010-3236-9253</v>
          </cell>
          <cell r="G33" t="str">
            <v>Ray</v>
          </cell>
          <cell r="H33" t="str">
            <v>스탠다드 A/T</v>
          </cell>
          <cell r="I33">
            <v>12750000</v>
          </cell>
          <cell r="J33">
            <v>2022</v>
          </cell>
          <cell r="K33" t="str">
            <v>White/Black</v>
          </cell>
          <cell r="L33" t="str">
            <v>가솔린</v>
          </cell>
          <cell r="M33" t="str">
            <v>KNACF911BNT284071</v>
          </cell>
          <cell r="N33" t="str">
            <v>125호3203</v>
          </cell>
          <cell r="O33" t="str">
            <v>-</v>
          </cell>
          <cell r="P33">
            <v>998</v>
          </cell>
          <cell r="Q33">
            <v>44503</v>
          </cell>
          <cell r="R33">
            <v>44557</v>
          </cell>
          <cell r="S33">
            <v>44557</v>
          </cell>
          <cell r="T33" t="str">
            <v>5</v>
          </cell>
          <cell r="U33">
            <v>46382</v>
          </cell>
          <cell r="V33">
            <v>4</v>
          </cell>
          <cell r="W33">
            <v>20000</v>
          </cell>
          <cell r="X33" t="str">
            <v>김혜림 고객님</v>
          </cell>
          <cell r="Y33" t="str">
            <v>010-9902-9383</v>
          </cell>
          <cell r="Z33" t="str">
            <v>0</v>
          </cell>
          <cell r="AA33" t="str">
            <v>서울시 금천구 가산디지털1로 128, 510호 (주)카멜월드와이드</v>
          </cell>
          <cell r="AB33">
            <v>44586</v>
          </cell>
          <cell r="AC33">
            <v>1825</v>
          </cell>
          <cell r="AD33">
            <v>137</v>
          </cell>
          <cell r="AE33">
            <v>21120040</v>
          </cell>
          <cell r="AF33">
            <v>13209603</v>
          </cell>
          <cell r="AG33">
            <v>200000</v>
          </cell>
          <cell r="AH33">
            <v>12688000</v>
          </cell>
          <cell r="AI33">
            <v>0</v>
          </cell>
          <cell r="AJ33">
            <v>2000</v>
          </cell>
          <cell r="AK33">
            <v>461380</v>
          </cell>
          <cell r="AL33">
            <v>0</v>
          </cell>
          <cell r="AM33">
            <v>2000</v>
          </cell>
          <cell r="AN33">
            <v>27000</v>
          </cell>
          <cell r="AO33">
            <v>30000</v>
          </cell>
          <cell r="AP33">
            <v>430000</v>
          </cell>
          <cell r="AQ33">
            <v>0</v>
          </cell>
          <cell r="AR33" t="str">
            <v>엠피온</v>
          </cell>
          <cell r="AS33">
            <v>66000</v>
          </cell>
          <cell r="AT33" t="str">
            <v>루마 전면 35%/측후면 15%</v>
          </cell>
          <cell r="AU33" t="str">
            <v>0</v>
          </cell>
          <cell r="AV33">
            <v>588380</v>
          </cell>
          <cell r="AW33" t="str">
            <v>렌터카 공제</v>
          </cell>
          <cell r="AX33">
            <v>44503</v>
          </cell>
          <cell r="AY33">
            <v>1153090</v>
          </cell>
          <cell r="AZ33">
            <v>1035460</v>
          </cell>
          <cell r="BA33" t="str">
            <v>0</v>
          </cell>
          <cell r="BB33" t="str">
            <v>0</v>
          </cell>
          <cell r="BC33" t="str">
            <v>0</v>
          </cell>
          <cell r="BD33" t="str">
            <v>만26세</v>
          </cell>
          <cell r="BE33" t="str">
            <v>무한대</v>
          </cell>
          <cell r="BF33" t="str">
            <v>2억원</v>
          </cell>
          <cell r="BG33" t="str">
            <v>1억원/1500만</v>
          </cell>
          <cell r="BH33" t="str">
            <v>2억원/1인당</v>
          </cell>
          <cell r="BI33" t="str">
            <v>30만원</v>
          </cell>
          <cell r="BJ33" t="str">
            <v>임직원</v>
          </cell>
          <cell r="BK33" t="str">
            <v>5회/년</v>
          </cell>
          <cell r="BL33" t="str">
            <v>가입</v>
          </cell>
          <cell r="BM33" t="str">
            <v>미가입</v>
          </cell>
          <cell r="BN33" t="str">
            <v>브랜드보증 외 사용자 부담</v>
          </cell>
          <cell r="BO33" t="str">
            <v>브랜드보증 외 사용자 부담</v>
          </cell>
          <cell r="BP33" t="str">
            <v>HANKOOK 앞/뒤165 60R14 79H</v>
          </cell>
          <cell r="BQ33" t="str">
            <v>0</v>
          </cell>
          <cell r="BR33">
            <v>17964</v>
          </cell>
          <cell r="BS33" t="str">
            <v>현금</v>
          </cell>
          <cell r="BT33" t="str">
            <v>0</v>
          </cell>
          <cell r="BU33" t="str">
            <v>0</v>
          </cell>
          <cell r="BV33" t="str">
            <v>0</v>
          </cell>
          <cell r="BW33" t="str">
            <v>0</v>
          </cell>
          <cell r="BX33">
            <v>0</v>
          </cell>
          <cell r="BY33">
            <v>0</v>
          </cell>
          <cell r="BZ33">
            <v>0</v>
          </cell>
          <cell r="CA33" t="str">
            <v>0</v>
          </cell>
          <cell r="CB33" t="str">
            <v>25</v>
          </cell>
          <cell r="CC33" t="str">
            <v>25</v>
          </cell>
          <cell r="CD33">
            <v>376700</v>
          </cell>
          <cell r="CE33">
            <v>60</v>
          </cell>
          <cell r="CF33">
            <v>22602000</v>
          </cell>
          <cell r="CG33" t="str">
            <v>0</v>
          </cell>
          <cell r="CH33" t="str">
            <v>0</v>
          </cell>
          <cell r="CI33">
            <v>2506900</v>
          </cell>
          <cell r="CJ33">
            <v>5.6000000000000001E-2</v>
          </cell>
          <cell r="CK33">
            <v>0.04</v>
          </cell>
          <cell r="CL33" t="str">
            <v>sophia@camelww.com</v>
          </cell>
          <cell r="CM33" t="str">
            <v>0</v>
          </cell>
          <cell r="CN33" t="str">
            <v>010-9902-9383</v>
          </cell>
          <cell r="CO33">
            <v>0.03</v>
          </cell>
          <cell r="CP33" t="str">
            <v>0</v>
          </cell>
          <cell r="CQ33">
            <v>0</v>
          </cell>
          <cell r="CR33">
            <v>0</v>
          </cell>
          <cell r="CS33">
            <v>0</v>
          </cell>
          <cell r="CT33">
            <v>0</v>
          </cell>
          <cell r="CU33">
            <v>0</v>
          </cell>
          <cell r="CV33">
            <v>0</v>
          </cell>
          <cell r="CW33">
            <v>0</v>
          </cell>
          <cell r="CX33">
            <v>0</v>
          </cell>
          <cell r="CY33">
            <v>0</v>
          </cell>
          <cell r="CZ33">
            <v>0</v>
          </cell>
          <cell r="DA33">
            <v>0</v>
          </cell>
          <cell r="DB33" t="str">
            <v>기아</v>
          </cell>
          <cell r="DC33" t="str">
            <v>정수원 실장</v>
          </cell>
          <cell r="DD33" t="str">
            <v>렌트베네핏</v>
          </cell>
          <cell r="DE33" t="str">
            <v>0</v>
          </cell>
          <cell r="DF33" t="str">
            <v>0</v>
          </cell>
          <cell r="DG33" t="str">
            <v>0</v>
          </cell>
          <cell r="DH33" t="str">
            <v>264-81-04176</v>
          </cell>
          <cell r="DI33" t="str">
            <v>주소 없음</v>
          </cell>
          <cell r="DJ33">
            <v>0.3</v>
          </cell>
          <cell r="DK33">
            <v>0.2</v>
          </cell>
          <cell r="DL33" t="str">
            <v>0</v>
          </cell>
          <cell r="DM33" t="str">
            <v>0</v>
          </cell>
          <cell r="DN33" t="str">
            <v>0</v>
          </cell>
          <cell r="DO33" t="str">
            <v>0</v>
          </cell>
          <cell r="DP33" t="str">
            <v>0</v>
          </cell>
        </row>
        <row r="34">
          <cell r="C34" t="str">
            <v>Benz-006</v>
          </cell>
          <cell r="D34" t="str">
            <v>대아하이테크㈜</v>
          </cell>
          <cell r="E34" t="str">
            <v>최경태 회장님</v>
          </cell>
          <cell r="F34" t="str">
            <v>010-3812-2116</v>
          </cell>
          <cell r="G34" t="str">
            <v>G63</v>
          </cell>
          <cell r="H34" t="str">
            <v>Edition</v>
          </cell>
          <cell r="I34">
            <v>245600000</v>
          </cell>
          <cell r="J34">
            <v>2022</v>
          </cell>
          <cell r="K34" t="str">
            <v>Ob/Bl</v>
          </cell>
          <cell r="L34" t="str">
            <v>가솔린</v>
          </cell>
          <cell r="M34" t="str">
            <v>W1NYC7GJXMX414507</v>
          </cell>
          <cell r="N34" t="str">
            <v>125호2393</v>
          </cell>
          <cell r="O34" t="str">
            <v>-</v>
          </cell>
          <cell r="P34">
            <v>3982</v>
          </cell>
          <cell r="Q34">
            <v>44557</v>
          </cell>
          <cell r="R34">
            <v>44549</v>
          </cell>
          <cell r="S34">
            <v>44559</v>
          </cell>
          <cell r="T34" t="str">
            <v>5</v>
          </cell>
          <cell r="U34">
            <v>46384</v>
          </cell>
          <cell r="V34">
            <v>4</v>
          </cell>
          <cell r="W34">
            <v>20000</v>
          </cell>
          <cell r="X34" t="str">
            <v>최경태 회장님</v>
          </cell>
          <cell r="Y34" t="str">
            <v>010-3812-2116</v>
          </cell>
          <cell r="Z34" t="str">
            <v>0</v>
          </cell>
          <cell r="AA34" t="str">
            <v>대구광역시 달성군 구지면 국가산단 서로 71길 135</v>
          </cell>
          <cell r="AB34">
            <v>44586</v>
          </cell>
          <cell r="AC34">
            <v>1825</v>
          </cell>
          <cell r="AD34">
            <v>139</v>
          </cell>
          <cell r="AE34">
            <v>21120036</v>
          </cell>
          <cell r="AF34">
            <v>245600000</v>
          </cell>
          <cell r="AG34">
            <v>9824000</v>
          </cell>
          <cell r="AH34">
            <v>245600000</v>
          </cell>
          <cell r="AI34" t="str">
            <v>0</v>
          </cell>
          <cell r="AJ34">
            <v>0</v>
          </cell>
          <cell r="AK34">
            <v>8930900</v>
          </cell>
          <cell r="AL34">
            <v>411087</v>
          </cell>
          <cell r="AM34">
            <v>5000</v>
          </cell>
          <cell r="AN34">
            <v>21500</v>
          </cell>
          <cell r="AO34">
            <v>30000</v>
          </cell>
          <cell r="AP34">
            <v>0</v>
          </cell>
          <cell r="AQ34" t="str">
            <v>0</v>
          </cell>
          <cell r="AR34" t="str">
            <v>벤츠블랙박스</v>
          </cell>
          <cell r="AS34" t="str">
            <v>0</v>
          </cell>
          <cell r="AT34" t="str">
            <v>후푸옵틱 측후면 15% 전면 50%</v>
          </cell>
          <cell r="AU34">
            <v>9398987</v>
          </cell>
          <cell r="AV34">
            <v>9398487</v>
          </cell>
          <cell r="AW34" t="str">
            <v>삼성화재</v>
          </cell>
          <cell r="AX34">
            <v>44557</v>
          </cell>
          <cell r="AY34">
            <v>6927650</v>
          </cell>
          <cell r="AZ34">
            <v>1430070</v>
          </cell>
          <cell r="BA34" t="str">
            <v>0</v>
          </cell>
          <cell r="BB34" t="str">
            <v>0</v>
          </cell>
          <cell r="BC34" t="str">
            <v>0</v>
          </cell>
          <cell r="BD34" t="str">
            <v>만26세</v>
          </cell>
          <cell r="BE34" t="str">
            <v>무한대</v>
          </cell>
          <cell r="BF34" t="str">
            <v>5억</v>
          </cell>
          <cell r="BG34" t="str">
            <v>2억/3천만</v>
          </cell>
          <cell r="BH34" t="str">
            <v>2억원/1인당</v>
          </cell>
          <cell r="BI34" t="str">
            <v>50만원</v>
          </cell>
          <cell r="BJ34" t="str">
            <v>임직원</v>
          </cell>
          <cell r="BK34" t="str">
            <v>5회/년</v>
          </cell>
          <cell r="BL34" t="str">
            <v>가입</v>
          </cell>
          <cell r="BM34" t="str">
            <v>미가입</v>
          </cell>
          <cell r="BN34" t="str">
            <v>브랜드보증 외 사용자 부담</v>
          </cell>
          <cell r="BO34" t="str">
            <v>브랜드보증 외 사용자 부담</v>
          </cell>
          <cell r="BP34" t="str">
            <v>Pirelli  앞,뒤 295/40 R22</v>
          </cell>
          <cell r="BQ34" t="str">
            <v>0</v>
          </cell>
          <cell r="BR34">
            <v>95568</v>
          </cell>
          <cell r="BS34" t="str">
            <v>현금</v>
          </cell>
          <cell r="BT34" t="str">
            <v>0</v>
          </cell>
          <cell r="BU34" t="str">
            <v>0</v>
          </cell>
          <cell r="BV34" t="str">
            <v>0</v>
          </cell>
          <cell r="BW34" t="str">
            <v>0</v>
          </cell>
          <cell r="BX34" t="str">
            <v>0</v>
          </cell>
          <cell r="BY34" t="str">
            <v>0</v>
          </cell>
          <cell r="BZ34">
            <v>0</v>
          </cell>
          <cell r="CA34" t="str">
            <v>0</v>
          </cell>
          <cell r="CB34" t="str">
            <v>25</v>
          </cell>
          <cell r="CC34" t="str">
            <v>25</v>
          </cell>
          <cell r="CD34">
            <v>3892150</v>
          </cell>
          <cell r="CE34">
            <v>60</v>
          </cell>
          <cell r="CF34">
            <v>233529000</v>
          </cell>
          <cell r="CG34">
            <v>65285000</v>
          </cell>
          <cell r="CH34">
            <v>33525000</v>
          </cell>
          <cell r="CI34">
            <v>65285000</v>
          </cell>
          <cell r="CJ34">
            <v>0</v>
          </cell>
          <cell r="CK34">
            <v>0.06</v>
          </cell>
          <cell r="CL34" t="str">
            <v>daeahitech@nate.com</v>
          </cell>
          <cell r="CM34" t="str">
            <v>daeaind@chol.com</v>
          </cell>
          <cell r="CN34" t="str">
            <v>0</v>
          </cell>
          <cell r="CO34">
            <v>0.03</v>
          </cell>
          <cell r="CP34" t="str">
            <v>0</v>
          </cell>
          <cell r="CQ34">
            <v>0</v>
          </cell>
          <cell r="CR34">
            <v>0</v>
          </cell>
          <cell r="CS34">
            <v>0</v>
          </cell>
          <cell r="CT34">
            <v>0</v>
          </cell>
          <cell r="CU34">
            <v>0</v>
          </cell>
          <cell r="CV34">
            <v>0</v>
          </cell>
          <cell r="CW34">
            <v>0</v>
          </cell>
          <cell r="CX34">
            <v>0</v>
          </cell>
          <cell r="CY34">
            <v>0</v>
          </cell>
          <cell r="CZ34">
            <v>0</v>
          </cell>
          <cell r="DA34">
            <v>0</v>
          </cell>
          <cell r="DB34" t="b">
            <v>0</v>
          </cell>
          <cell r="DC34" t="str">
            <v>김정수 팀장</v>
          </cell>
          <cell r="DD34" t="b">
            <v>0</v>
          </cell>
          <cell r="DE34" t="str">
            <v>0</v>
          </cell>
          <cell r="DF34" t="str">
            <v>0</v>
          </cell>
          <cell r="DG34" t="str">
            <v>0</v>
          </cell>
          <cell r="DH34" t="str">
            <v>514-81-37607</v>
          </cell>
          <cell r="DI34" t="str">
            <v>대구광역시 달성군 현풍읍 삼강길 87</v>
          </cell>
          <cell r="DJ34">
            <v>0.3</v>
          </cell>
          <cell r="DK34">
            <v>0.2</v>
          </cell>
          <cell r="DL34" t="str">
            <v>0</v>
          </cell>
          <cell r="DM34" t="str">
            <v>0</v>
          </cell>
          <cell r="DN34" t="str">
            <v>0</v>
          </cell>
          <cell r="DO34" t="str">
            <v>0</v>
          </cell>
          <cell r="DP34" t="str">
            <v>0</v>
          </cell>
        </row>
        <row r="35">
          <cell r="C35" t="str">
            <v>Ray-041</v>
          </cell>
          <cell r="D35" t="str">
            <v>㈜와이케이개발</v>
          </cell>
          <cell r="E35" t="str">
            <v>김태균 대표님</v>
          </cell>
          <cell r="F35" t="str">
            <v>010-3707-1131</v>
          </cell>
          <cell r="G35" t="str">
            <v>Ray</v>
          </cell>
          <cell r="H35" t="str">
            <v>스탠다드 A/T</v>
          </cell>
          <cell r="I35">
            <v>12750000</v>
          </cell>
          <cell r="J35">
            <v>2022</v>
          </cell>
          <cell r="K35" t="str">
            <v>White/Black</v>
          </cell>
          <cell r="L35" t="str">
            <v>가솔린</v>
          </cell>
          <cell r="M35" t="str">
            <v>KNACF911BNT284072</v>
          </cell>
          <cell r="N35" t="str">
            <v>125호3204</v>
          </cell>
          <cell r="O35" t="str">
            <v>-</v>
          </cell>
          <cell r="P35">
            <v>998</v>
          </cell>
          <cell r="Q35">
            <v>44503</v>
          </cell>
          <cell r="R35">
            <v>44561</v>
          </cell>
          <cell r="S35">
            <v>44582</v>
          </cell>
          <cell r="T35" t="str">
            <v>4</v>
          </cell>
          <cell r="U35">
            <v>46042</v>
          </cell>
          <cell r="V35" t="str">
            <v>-</v>
          </cell>
          <cell r="W35">
            <v>20000</v>
          </cell>
          <cell r="X35" t="str">
            <v>백혜란 고객님</v>
          </cell>
          <cell r="Y35" t="str">
            <v>010-8688-6421</v>
          </cell>
          <cell r="Z35" t="str">
            <v>0</v>
          </cell>
          <cell r="AA35" t="str">
            <v>투썸플레이스 강남신사점</v>
          </cell>
          <cell r="AB35">
            <v>44592</v>
          </cell>
          <cell r="AC35">
            <v>1460</v>
          </cell>
          <cell r="AD35">
            <v>-203</v>
          </cell>
          <cell r="AE35">
            <v>21120041</v>
          </cell>
          <cell r="AF35">
            <v>13209603</v>
          </cell>
          <cell r="AG35">
            <v>200000</v>
          </cell>
          <cell r="AH35">
            <v>12688000</v>
          </cell>
          <cell r="AI35">
            <v>0</v>
          </cell>
          <cell r="AJ35">
            <v>2000</v>
          </cell>
          <cell r="AK35">
            <v>461380</v>
          </cell>
          <cell r="AL35">
            <v>0</v>
          </cell>
          <cell r="AM35">
            <v>2000</v>
          </cell>
          <cell r="AN35">
            <v>27000</v>
          </cell>
          <cell r="AO35">
            <v>30000</v>
          </cell>
          <cell r="AP35">
            <v>430000</v>
          </cell>
          <cell r="AQ35">
            <v>0</v>
          </cell>
          <cell r="AR35" t="str">
            <v>엠피온</v>
          </cell>
          <cell r="AS35">
            <v>0</v>
          </cell>
          <cell r="AT35" t="str">
            <v>루마 전면 없음/측후면 15%</v>
          </cell>
          <cell r="AU35" t="str">
            <v>0</v>
          </cell>
          <cell r="AV35">
            <v>522380</v>
          </cell>
          <cell r="AW35" t="str">
            <v>렌터카 공제</v>
          </cell>
          <cell r="AX35">
            <v>44503</v>
          </cell>
          <cell r="AY35">
            <v>1153090</v>
          </cell>
          <cell r="AZ35">
            <v>1035460</v>
          </cell>
          <cell r="BA35" t="str">
            <v>0</v>
          </cell>
          <cell r="BB35" t="str">
            <v>0</v>
          </cell>
          <cell r="BC35" t="str">
            <v>0</v>
          </cell>
          <cell r="BD35" t="str">
            <v>만26세</v>
          </cell>
          <cell r="BE35" t="str">
            <v>무한대</v>
          </cell>
          <cell r="BF35" t="str">
            <v>2억원</v>
          </cell>
          <cell r="BG35" t="str">
            <v>1억원/1500만</v>
          </cell>
          <cell r="BH35" t="str">
            <v>2억원/1인당</v>
          </cell>
          <cell r="BI35" t="str">
            <v>30만원</v>
          </cell>
          <cell r="BJ35" t="str">
            <v>임직원</v>
          </cell>
          <cell r="BK35" t="str">
            <v>5회/년</v>
          </cell>
          <cell r="BL35" t="str">
            <v>가입</v>
          </cell>
          <cell r="BM35" t="str">
            <v>미가입</v>
          </cell>
          <cell r="BN35" t="str">
            <v>브랜드보증 외 사용자 부담</v>
          </cell>
          <cell r="BO35" t="str">
            <v>브랜드보증 외 사용자 부담</v>
          </cell>
          <cell r="BP35" t="str">
            <v>HANKOOK 앞/뒤165 60R14 79H</v>
          </cell>
          <cell r="BQ35" t="str">
            <v>0</v>
          </cell>
          <cell r="BR35">
            <v>17964</v>
          </cell>
          <cell r="BS35" t="str">
            <v>현금</v>
          </cell>
          <cell r="BT35" t="str">
            <v>0</v>
          </cell>
          <cell r="BU35" t="str">
            <v>0</v>
          </cell>
          <cell r="BV35" t="str">
            <v>0</v>
          </cell>
          <cell r="BW35" t="str">
            <v>0</v>
          </cell>
          <cell r="BX35">
            <v>0</v>
          </cell>
          <cell r="BY35">
            <v>0</v>
          </cell>
          <cell r="BZ35">
            <v>0</v>
          </cell>
          <cell r="CA35" t="str">
            <v>0</v>
          </cell>
          <cell r="CB35" t="str">
            <v>말</v>
          </cell>
          <cell r="CC35" t="str">
            <v>25</v>
          </cell>
          <cell r="CD35">
            <v>418300</v>
          </cell>
          <cell r="CE35">
            <v>48</v>
          </cell>
          <cell r="CF35">
            <v>20078400</v>
          </cell>
          <cell r="CG35" t="str">
            <v>0</v>
          </cell>
          <cell r="CH35" t="str">
            <v>0</v>
          </cell>
          <cell r="CI35">
            <v>4065000</v>
          </cell>
          <cell r="CJ35">
            <v>2.5999999999999999E-2</v>
          </cell>
          <cell r="CK35">
            <v>0.06</v>
          </cell>
          <cell r="CL35" t="str">
            <v>r44333@naver.com</v>
          </cell>
          <cell r="CM35" t="str">
            <v>0</v>
          </cell>
          <cell r="CN35" t="str">
            <v>0</v>
          </cell>
          <cell r="CO35">
            <v>0.03</v>
          </cell>
          <cell r="CP35" t="str">
            <v>0</v>
          </cell>
          <cell r="CQ35">
            <v>0</v>
          </cell>
          <cell r="CR35">
            <v>0</v>
          </cell>
          <cell r="CS35">
            <v>0</v>
          </cell>
          <cell r="CT35">
            <v>0</v>
          </cell>
          <cell r="CU35">
            <v>0</v>
          </cell>
          <cell r="CV35">
            <v>0</v>
          </cell>
          <cell r="CW35">
            <v>0</v>
          </cell>
          <cell r="CX35">
            <v>0</v>
          </cell>
          <cell r="CY35">
            <v>0</v>
          </cell>
          <cell r="CZ35">
            <v>0</v>
          </cell>
          <cell r="DA35">
            <v>0</v>
          </cell>
          <cell r="DB35" t="str">
            <v>기아</v>
          </cell>
          <cell r="DC35" t="str">
            <v>정수원 실장</v>
          </cell>
          <cell r="DD35" t="str">
            <v>렌트베네핏</v>
          </cell>
          <cell r="DE35" t="str">
            <v>0</v>
          </cell>
          <cell r="DF35" t="str">
            <v>0</v>
          </cell>
          <cell r="DG35" t="str">
            <v>0</v>
          </cell>
          <cell r="DH35" t="str">
            <v>115-88-00902</v>
          </cell>
          <cell r="DI35" t="str">
            <v>주소 없음</v>
          </cell>
          <cell r="DJ35">
            <v>0.3</v>
          </cell>
          <cell r="DK35">
            <v>0.2</v>
          </cell>
          <cell r="DL35" t="str">
            <v>0</v>
          </cell>
          <cell r="DM35" t="str">
            <v>0</v>
          </cell>
          <cell r="DN35" t="str">
            <v>0</v>
          </cell>
          <cell r="DO35" t="str">
            <v>0</v>
          </cell>
          <cell r="DP35" t="str">
            <v>0</v>
          </cell>
        </row>
        <row r="36">
          <cell r="C36" t="str">
            <v>Benz-009</v>
          </cell>
          <cell r="D36" t="str">
            <v>㈜유니온</v>
          </cell>
          <cell r="E36" t="str">
            <v>이우선 부사장님</v>
          </cell>
          <cell r="F36" t="str">
            <v>010-5390-3036</v>
          </cell>
          <cell r="G36" t="str">
            <v>MAYBACH S580</v>
          </cell>
          <cell r="H36" t="str">
            <v>4Matic L</v>
          </cell>
          <cell r="I36">
            <v>281600000</v>
          </cell>
          <cell r="J36">
            <v>2022</v>
          </cell>
          <cell r="K36" t="str">
            <v>Ob/Bl</v>
          </cell>
          <cell r="L36" t="str">
            <v>가솔린</v>
          </cell>
          <cell r="M36" t="str">
            <v>W1K6X7GB8NA085814</v>
          </cell>
          <cell r="N36" t="str">
            <v>101하7218</v>
          </cell>
          <cell r="O36" t="str">
            <v>-</v>
          </cell>
          <cell r="P36">
            <v>3982</v>
          </cell>
          <cell r="Q36">
            <v>44561</v>
          </cell>
          <cell r="R36">
            <v>44554</v>
          </cell>
          <cell r="S36">
            <v>44565</v>
          </cell>
          <cell r="T36" t="str">
            <v>5</v>
          </cell>
          <cell r="U36">
            <v>46390</v>
          </cell>
          <cell r="V36">
            <v>4</v>
          </cell>
          <cell r="W36">
            <v>20000</v>
          </cell>
          <cell r="X36" t="str">
            <v>송헌제 팀장님</v>
          </cell>
          <cell r="Y36" t="str">
            <v>010-4870-5145</v>
          </cell>
          <cell r="Z36" t="str">
            <v>0</v>
          </cell>
          <cell r="AA36" t="str">
            <v>서울시 중구 소공로 94 OCI빌딩 13층 UNION</v>
          </cell>
          <cell r="AB36">
            <v>44586</v>
          </cell>
          <cell r="AC36">
            <v>1825</v>
          </cell>
          <cell r="AD36">
            <v>145</v>
          </cell>
          <cell r="AE36">
            <v>21120039</v>
          </cell>
          <cell r="AF36">
            <v>270336000</v>
          </cell>
          <cell r="AG36">
            <v>11264000</v>
          </cell>
          <cell r="AH36">
            <v>270336000</v>
          </cell>
          <cell r="AI36" t="str">
            <v>0</v>
          </cell>
          <cell r="AJ36">
            <v>0</v>
          </cell>
          <cell r="AK36">
            <v>9830400</v>
          </cell>
          <cell r="AL36">
            <v>693745</v>
          </cell>
          <cell r="AM36">
            <v>5000</v>
          </cell>
          <cell r="AN36">
            <v>21500</v>
          </cell>
          <cell r="AO36">
            <v>30000</v>
          </cell>
          <cell r="AP36">
            <v>0</v>
          </cell>
          <cell r="AQ36" t="str">
            <v>0</v>
          </cell>
          <cell r="AR36" t="str">
            <v>벤츠블랙박스</v>
          </cell>
          <cell r="AS36" t="str">
            <v>0</v>
          </cell>
          <cell r="AT36" t="str">
            <v>후푸옵틱 측후면 15% 전면 50%</v>
          </cell>
          <cell r="AU36">
            <v>10581145</v>
          </cell>
          <cell r="AV36">
            <v>10580645</v>
          </cell>
          <cell r="AW36" t="str">
            <v>삼성화재</v>
          </cell>
          <cell r="AX36">
            <v>44561</v>
          </cell>
          <cell r="AY36">
            <v>6455070</v>
          </cell>
          <cell r="AZ36">
            <v>1104500</v>
          </cell>
          <cell r="BA36" t="str">
            <v>0</v>
          </cell>
          <cell r="BB36" t="str">
            <v>0</v>
          </cell>
          <cell r="BC36" t="str">
            <v>0</v>
          </cell>
          <cell r="BD36" t="str">
            <v>만26세</v>
          </cell>
          <cell r="BE36" t="str">
            <v>무한대</v>
          </cell>
          <cell r="BF36" t="str">
            <v>5억</v>
          </cell>
          <cell r="BG36" t="str">
            <v>2억/3천만</v>
          </cell>
          <cell r="BH36" t="str">
            <v>2억원/1인당</v>
          </cell>
          <cell r="BI36" t="str">
            <v>50만원</v>
          </cell>
          <cell r="BJ36" t="str">
            <v>임직원</v>
          </cell>
          <cell r="BK36" t="str">
            <v>5회/년</v>
          </cell>
          <cell r="BL36" t="str">
            <v>가입</v>
          </cell>
          <cell r="BM36" t="str">
            <v>미가입</v>
          </cell>
          <cell r="BN36" t="str">
            <v>브랜드보증 외 사용자 부담</v>
          </cell>
          <cell r="BO36" t="str">
            <v>브랜드보증 외 사용자 부담</v>
          </cell>
          <cell r="BP36" t="str">
            <v>Pirelli 앞,뒤 255/40 R20</v>
          </cell>
          <cell r="BQ36" t="str">
            <v>0</v>
          </cell>
          <cell r="BR36">
            <v>95568</v>
          </cell>
          <cell r="BS36" t="str">
            <v>현금</v>
          </cell>
          <cell r="BT36" t="str">
            <v>0</v>
          </cell>
          <cell r="BU36" t="str">
            <v>0</v>
          </cell>
          <cell r="BV36" t="str">
            <v>0</v>
          </cell>
          <cell r="BW36" t="str">
            <v>0</v>
          </cell>
          <cell r="BX36" t="str">
            <v>0</v>
          </cell>
          <cell r="BY36" t="str">
            <v>0</v>
          </cell>
          <cell r="BZ36">
            <v>0</v>
          </cell>
          <cell r="CA36" t="str">
            <v>0</v>
          </cell>
          <cell r="CB36" t="str">
            <v>25</v>
          </cell>
          <cell r="CC36" t="str">
            <v>10</v>
          </cell>
          <cell r="CD36">
            <v>4379100</v>
          </cell>
          <cell r="CE36">
            <v>60</v>
          </cell>
          <cell r="CF36">
            <v>262746000</v>
          </cell>
          <cell r="CG36">
            <v>84480000</v>
          </cell>
          <cell r="CH36">
            <v>0</v>
          </cell>
          <cell r="CI36">
            <v>104192000</v>
          </cell>
          <cell r="CJ36">
            <v>0</v>
          </cell>
          <cell r="CK36">
            <v>0.06</v>
          </cell>
          <cell r="CL36" t="str">
            <v>hjsong@unioncement.com</v>
          </cell>
          <cell r="CM36" t="str">
            <v>yejeon@unioncement.com</v>
          </cell>
          <cell r="CN36" t="str">
            <v>0</v>
          </cell>
          <cell r="CO36">
            <v>0.03</v>
          </cell>
          <cell r="CP36" t="str">
            <v>0</v>
          </cell>
          <cell r="CQ36">
            <v>0</v>
          </cell>
          <cell r="CR36">
            <v>0</v>
          </cell>
          <cell r="CS36">
            <v>0</v>
          </cell>
          <cell r="CT36">
            <v>0</v>
          </cell>
          <cell r="CU36">
            <v>0</v>
          </cell>
          <cell r="CV36">
            <v>0</v>
          </cell>
          <cell r="CW36">
            <v>0</v>
          </cell>
          <cell r="CX36">
            <v>0</v>
          </cell>
          <cell r="CY36">
            <v>0</v>
          </cell>
          <cell r="CZ36">
            <v>0</v>
          </cell>
          <cell r="DA36">
            <v>0</v>
          </cell>
          <cell r="DB36" t="str">
            <v>한성</v>
          </cell>
          <cell r="DC36" t="str">
            <v>김성진 팀장</v>
          </cell>
          <cell r="DD36" t="str">
            <v>청담</v>
          </cell>
          <cell r="DE36" t="str">
            <v>0</v>
          </cell>
          <cell r="DF36" t="str">
            <v>0</v>
          </cell>
          <cell r="DG36" t="str">
            <v>0</v>
          </cell>
          <cell r="DH36" t="str">
            <v>104-81-24962</v>
          </cell>
          <cell r="DI36" t="str">
            <v>주소 없음</v>
          </cell>
          <cell r="DJ36">
            <v>0.3</v>
          </cell>
          <cell r="DK36">
            <v>0.2</v>
          </cell>
          <cell r="DL36" t="str">
            <v>0</v>
          </cell>
          <cell r="DM36" t="str">
            <v>0</v>
          </cell>
          <cell r="DN36" t="str">
            <v>0</v>
          </cell>
          <cell r="DO36" t="str">
            <v>0</v>
          </cell>
          <cell r="DP36" t="str">
            <v>0</v>
          </cell>
        </row>
        <row r="37">
          <cell r="C37" t="str">
            <v>Ray-042</v>
          </cell>
          <cell r="D37" t="str">
            <v>주식회사 삼지</v>
          </cell>
          <cell r="E37" t="str">
            <v>최진식 대표님</v>
          </cell>
          <cell r="F37" t="str">
            <v>010-2356-3866</v>
          </cell>
          <cell r="G37" t="str">
            <v>Ray</v>
          </cell>
          <cell r="H37" t="str">
            <v>스탠다드 A/T</v>
          </cell>
          <cell r="I37">
            <v>12750000</v>
          </cell>
          <cell r="J37">
            <v>2022</v>
          </cell>
          <cell r="K37" t="str">
            <v>White/Black</v>
          </cell>
          <cell r="L37" t="str">
            <v>가솔린</v>
          </cell>
          <cell r="M37" t="str">
            <v>KNACF911BNT284073</v>
          </cell>
          <cell r="N37" t="str">
            <v>125호3205</v>
          </cell>
          <cell r="O37" t="str">
            <v>-</v>
          </cell>
          <cell r="P37">
            <v>998</v>
          </cell>
          <cell r="Q37">
            <v>44503</v>
          </cell>
          <cell r="R37">
            <v>44566</v>
          </cell>
          <cell r="S37">
            <v>44566</v>
          </cell>
          <cell r="T37" t="str">
            <v>5</v>
          </cell>
          <cell r="U37">
            <v>46391</v>
          </cell>
          <cell r="V37">
            <v>4</v>
          </cell>
          <cell r="W37">
            <v>20000</v>
          </cell>
          <cell r="X37" t="str">
            <v>최서현 고객님</v>
          </cell>
          <cell r="Y37" t="str">
            <v>010-5646-7559</v>
          </cell>
          <cell r="Z37" t="str">
            <v>0</v>
          </cell>
          <cell r="AA37" t="str">
            <v>경기도 안성시 원곡면 지문로 120-39, 1, 2층</v>
          </cell>
          <cell r="AB37">
            <v>44592</v>
          </cell>
          <cell r="AC37">
            <v>1825</v>
          </cell>
          <cell r="AD37">
            <v>146</v>
          </cell>
          <cell r="AE37">
            <v>22010001</v>
          </cell>
          <cell r="AF37">
            <v>13209603</v>
          </cell>
          <cell r="AG37">
            <v>200000</v>
          </cell>
          <cell r="AH37">
            <v>12688000</v>
          </cell>
          <cell r="AI37">
            <v>0</v>
          </cell>
          <cell r="AJ37">
            <v>2000</v>
          </cell>
          <cell r="AK37">
            <v>461380</v>
          </cell>
          <cell r="AL37">
            <v>0</v>
          </cell>
          <cell r="AM37">
            <v>2000</v>
          </cell>
          <cell r="AN37">
            <v>27000</v>
          </cell>
          <cell r="AO37">
            <v>30000</v>
          </cell>
          <cell r="AP37">
            <v>430000</v>
          </cell>
          <cell r="AQ37">
            <v>0</v>
          </cell>
          <cell r="AR37" t="str">
            <v>엠피온</v>
          </cell>
          <cell r="AS37">
            <v>0</v>
          </cell>
          <cell r="AT37" t="str">
            <v>루마 전면 없음/측후면 15%</v>
          </cell>
          <cell r="AU37" t="str">
            <v>0</v>
          </cell>
          <cell r="AV37">
            <v>522380</v>
          </cell>
          <cell r="AW37" t="str">
            <v>렌터카 공제</v>
          </cell>
          <cell r="AX37">
            <v>44503</v>
          </cell>
          <cell r="AY37">
            <v>1153090</v>
          </cell>
          <cell r="AZ37">
            <v>1035460</v>
          </cell>
          <cell r="BA37" t="str">
            <v>0</v>
          </cell>
          <cell r="BB37" t="str">
            <v>0</v>
          </cell>
          <cell r="BC37" t="str">
            <v>0</v>
          </cell>
          <cell r="BD37" t="str">
            <v>만26세</v>
          </cell>
          <cell r="BE37" t="str">
            <v>무한대</v>
          </cell>
          <cell r="BF37" t="str">
            <v>2억원</v>
          </cell>
          <cell r="BG37" t="str">
            <v>1억원/1500만</v>
          </cell>
          <cell r="BH37" t="str">
            <v>2억원/1인당</v>
          </cell>
          <cell r="BI37" t="str">
            <v>30만원</v>
          </cell>
          <cell r="BJ37" t="str">
            <v>임직원</v>
          </cell>
          <cell r="BK37" t="str">
            <v>5회/년</v>
          </cell>
          <cell r="BL37" t="str">
            <v>가입</v>
          </cell>
          <cell r="BM37" t="str">
            <v>미가입</v>
          </cell>
          <cell r="BN37" t="str">
            <v>브랜드보증 외 사용자 부담</v>
          </cell>
          <cell r="BO37" t="str">
            <v>브랜드보증 외 사용자 부담</v>
          </cell>
          <cell r="BP37" t="str">
            <v xml:space="preserve"> HANKOOK 앞/뒤165 60R14 79H </v>
          </cell>
          <cell r="BQ37" t="str">
            <v>0</v>
          </cell>
          <cell r="BR37">
            <v>17964</v>
          </cell>
          <cell r="BS37" t="str">
            <v>현금</v>
          </cell>
          <cell r="BT37" t="str">
            <v>0</v>
          </cell>
          <cell r="BU37" t="str">
            <v>0</v>
          </cell>
          <cell r="BV37" t="str">
            <v>0</v>
          </cell>
          <cell r="BW37" t="str">
            <v>0</v>
          </cell>
          <cell r="BX37">
            <v>0</v>
          </cell>
          <cell r="BY37">
            <v>0</v>
          </cell>
          <cell r="BZ37">
            <v>0</v>
          </cell>
          <cell r="CA37" t="str">
            <v>0</v>
          </cell>
          <cell r="CB37" t="str">
            <v>말</v>
          </cell>
          <cell r="CC37" t="str">
            <v>말</v>
          </cell>
          <cell r="CD37">
            <v>365200</v>
          </cell>
          <cell r="CE37">
            <v>60</v>
          </cell>
          <cell r="CF37">
            <v>21912000</v>
          </cell>
          <cell r="CG37">
            <v>3387500</v>
          </cell>
          <cell r="CH37" t="str">
            <v>0</v>
          </cell>
          <cell r="CI37">
            <v>3387500</v>
          </cell>
          <cell r="CJ37">
            <v>8.0000000000000002E-3</v>
          </cell>
          <cell r="CK37">
            <v>0.06</v>
          </cell>
          <cell r="CL37" t="str">
            <v>samgeetech@3will.co.kr</v>
          </cell>
          <cell r="CM37" t="str">
            <v>0</v>
          </cell>
          <cell r="CN37" t="str">
            <v>010-5646-7559</v>
          </cell>
          <cell r="CO37">
            <v>0.03</v>
          </cell>
          <cell r="CP37" t="str">
            <v>0</v>
          </cell>
          <cell r="CQ37">
            <v>0</v>
          </cell>
          <cell r="CR37">
            <v>0</v>
          </cell>
          <cell r="CS37">
            <v>0</v>
          </cell>
          <cell r="CT37">
            <v>0</v>
          </cell>
          <cell r="CU37">
            <v>0</v>
          </cell>
          <cell r="CV37">
            <v>0</v>
          </cell>
          <cell r="CW37">
            <v>0</v>
          </cell>
          <cell r="CX37">
            <v>0</v>
          </cell>
          <cell r="CY37">
            <v>0</v>
          </cell>
          <cell r="CZ37">
            <v>0</v>
          </cell>
          <cell r="DA37">
            <v>0</v>
          </cell>
          <cell r="DB37" t="str">
            <v>기아</v>
          </cell>
          <cell r="DC37" t="str">
            <v>정수원 실장</v>
          </cell>
          <cell r="DD37" t="str">
            <v>렌트베네핏</v>
          </cell>
          <cell r="DE37" t="str">
            <v>0</v>
          </cell>
          <cell r="DF37" t="str">
            <v>0</v>
          </cell>
          <cell r="DG37" t="str">
            <v>0</v>
          </cell>
          <cell r="DH37" t="str">
            <v>554-05-00327</v>
          </cell>
          <cell r="DI37" t="str">
            <v>주소 없음</v>
          </cell>
          <cell r="DJ37">
            <v>0.3</v>
          </cell>
          <cell r="DK37">
            <v>0.2</v>
          </cell>
          <cell r="DL37" t="str">
            <v>0</v>
          </cell>
          <cell r="DM37" t="str">
            <v>0</v>
          </cell>
          <cell r="DN37" t="str">
            <v>0</v>
          </cell>
          <cell r="DO37" t="str">
            <v>0</v>
          </cell>
          <cell r="DP37" t="str">
            <v>0</v>
          </cell>
        </row>
        <row r="38">
          <cell r="C38" t="str">
            <v>Ray-045</v>
          </cell>
          <cell r="D38" t="str">
            <v>주식회사 삼지</v>
          </cell>
          <cell r="E38" t="str">
            <v>최진식 대표님</v>
          </cell>
          <cell r="F38" t="str">
            <v>010-2356-3866</v>
          </cell>
          <cell r="G38" t="str">
            <v>Ray</v>
          </cell>
          <cell r="H38" t="str">
            <v>스탠다드 A/T</v>
          </cell>
          <cell r="I38">
            <v>12750000</v>
          </cell>
          <cell r="J38">
            <v>2022</v>
          </cell>
          <cell r="K38" t="str">
            <v>White/Black</v>
          </cell>
          <cell r="L38" t="str">
            <v>가솔린</v>
          </cell>
          <cell r="M38" t="str">
            <v>KNACF911BNT284937</v>
          </cell>
          <cell r="N38" t="str">
            <v>125호3208</v>
          </cell>
          <cell r="O38" t="str">
            <v>-</v>
          </cell>
          <cell r="P38">
            <v>998</v>
          </cell>
          <cell r="Q38">
            <v>44503</v>
          </cell>
          <cell r="R38">
            <v>44566</v>
          </cell>
          <cell r="S38">
            <v>44566</v>
          </cell>
          <cell r="T38" t="str">
            <v>5</v>
          </cell>
          <cell r="U38">
            <v>46391</v>
          </cell>
          <cell r="V38">
            <v>4</v>
          </cell>
          <cell r="W38">
            <v>20000</v>
          </cell>
          <cell r="X38" t="str">
            <v>최서현 고객님</v>
          </cell>
          <cell r="Y38" t="str">
            <v>010-5646-7559</v>
          </cell>
          <cell r="Z38" t="str">
            <v>0</v>
          </cell>
          <cell r="AA38" t="str">
            <v>경기도 안성시 원곡면 지문로 120-39, 1, 2층</v>
          </cell>
          <cell r="AB38">
            <v>44592</v>
          </cell>
          <cell r="AC38">
            <v>1825</v>
          </cell>
          <cell r="AD38">
            <v>146</v>
          </cell>
          <cell r="AE38">
            <v>22010002</v>
          </cell>
          <cell r="AF38">
            <v>13209603</v>
          </cell>
          <cell r="AG38">
            <v>200000</v>
          </cell>
          <cell r="AH38">
            <v>12688000</v>
          </cell>
          <cell r="AI38">
            <v>0</v>
          </cell>
          <cell r="AJ38">
            <v>2000</v>
          </cell>
          <cell r="AK38">
            <v>461380</v>
          </cell>
          <cell r="AL38">
            <v>0</v>
          </cell>
          <cell r="AM38">
            <v>2000</v>
          </cell>
          <cell r="AN38">
            <v>27000</v>
          </cell>
          <cell r="AO38">
            <v>30000</v>
          </cell>
          <cell r="AP38">
            <v>430000</v>
          </cell>
          <cell r="AQ38">
            <v>0</v>
          </cell>
          <cell r="AR38" t="str">
            <v>엠피온</v>
          </cell>
          <cell r="AS38">
            <v>0</v>
          </cell>
          <cell r="AT38" t="str">
            <v>루마 전면 없음/측후면 15%</v>
          </cell>
          <cell r="AU38" t="str">
            <v>0</v>
          </cell>
          <cell r="AV38">
            <v>522380</v>
          </cell>
          <cell r="AW38" t="str">
            <v>렌터카 공제</v>
          </cell>
          <cell r="AX38">
            <v>44503</v>
          </cell>
          <cell r="AY38">
            <v>1153090</v>
          </cell>
          <cell r="AZ38">
            <v>1035460</v>
          </cell>
          <cell r="BA38" t="str">
            <v>0</v>
          </cell>
          <cell r="BB38" t="str">
            <v>0</v>
          </cell>
          <cell r="BC38" t="str">
            <v>0</v>
          </cell>
          <cell r="BD38" t="str">
            <v>만26세</v>
          </cell>
          <cell r="BE38" t="str">
            <v>무한대</v>
          </cell>
          <cell r="BF38" t="str">
            <v>2억원</v>
          </cell>
          <cell r="BG38" t="str">
            <v>1억원/1500만</v>
          </cell>
          <cell r="BH38" t="str">
            <v>2억원/1인당</v>
          </cell>
          <cell r="BI38" t="str">
            <v>30만원</v>
          </cell>
          <cell r="BJ38" t="str">
            <v>임직원</v>
          </cell>
          <cell r="BK38" t="str">
            <v>5회/년</v>
          </cell>
          <cell r="BL38" t="str">
            <v>가입</v>
          </cell>
          <cell r="BM38" t="str">
            <v>미가입</v>
          </cell>
          <cell r="BN38" t="str">
            <v>브랜드보증 외 사용자 부담</v>
          </cell>
          <cell r="BO38" t="str">
            <v>브랜드보증 외 사용자 부담</v>
          </cell>
          <cell r="BP38" t="str">
            <v xml:space="preserve"> HANKOOK 앞/뒤165 60R14 79H </v>
          </cell>
          <cell r="BQ38" t="str">
            <v>0</v>
          </cell>
          <cell r="BR38">
            <v>17964</v>
          </cell>
          <cell r="BS38" t="str">
            <v>현금</v>
          </cell>
          <cell r="BT38" t="str">
            <v>0</v>
          </cell>
          <cell r="BU38" t="str">
            <v>0</v>
          </cell>
          <cell r="BV38" t="str">
            <v>0</v>
          </cell>
          <cell r="BW38" t="str">
            <v>0</v>
          </cell>
          <cell r="BX38">
            <v>0</v>
          </cell>
          <cell r="BY38">
            <v>0</v>
          </cell>
          <cell r="BZ38">
            <v>0</v>
          </cell>
          <cell r="CA38" t="str">
            <v>0</v>
          </cell>
          <cell r="CB38" t="str">
            <v>말</v>
          </cell>
          <cell r="CC38" t="str">
            <v>말</v>
          </cell>
          <cell r="CD38">
            <v>365200</v>
          </cell>
          <cell r="CE38">
            <v>60</v>
          </cell>
          <cell r="CF38">
            <v>21912000</v>
          </cell>
          <cell r="CG38">
            <v>3387500</v>
          </cell>
          <cell r="CH38" t="str">
            <v>0</v>
          </cell>
          <cell r="CI38">
            <v>3387500</v>
          </cell>
          <cell r="CJ38">
            <v>8.0000000000000002E-3</v>
          </cell>
          <cell r="CK38">
            <v>0.06</v>
          </cell>
          <cell r="CL38" t="str">
            <v>samgeetech@3will.co.kr</v>
          </cell>
          <cell r="CM38" t="str">
            <v>0</v>
          </cell>
          <cell r="CN38" t="str">
            <v>0</v>
          </cell>
          <cell r="CO38">
            <v>0.03</v>
          </cell>
          <cell r="CP38" t="str">
            <v>0</v>
          </cell>
          <cell r="CQ38">
            <v>0</v>
          </cell>
          <cell r="CR38">
            <v>0</v>
          </cell>
          <cell r="CS38">
            <v>0</v>
          </cell>
          <cell r="CT38">
            <v>0</v>
          </cell>
          <cell r="CU38">
            <v>0</v>
          </cell>
          <cell r="CV38">
            <v>0</v>
          </cell>
          <cell r="CW38">
            <v>0</v>
          </cell>
          <cell r="CX38">
            <v>0</v>
          </cell>
          <cell r="CY38">
            <v>0</v>
          </cell>
          <cell r="CZ38">
            <v>0</v>
          </cell>
          <cell r="DA38">
            <v>0</v>
          </cell>
          <cell r="DB38" t="str">
            <v>기아</v>
          </cell>
          <cell r="DC38" t="str">
            <v>정수원 실장</v>
          </cell>
          <cell r="DD38" t="str">
            <v>렌트베네핏</v>
          </cell>
          <cell r="DE38" t="str">
            <v>0</v>
          </cell>
          <cell r="DF38" t="str">
            <v>0</v>
          </cell>
          <cell r="DG38" t="str">
            <v>0</v>
          </cell>
          <cell r="DH38" t="str">
            <v>554-05-00327</v>
          </cell>
          <cell r="DI38" t="str">
            <v>주소 없음</v>
          </cell>
          <cell r="DJ38">
            <v>0.3</v>
          </cell>
          <cell r="DK38">
            <v>0.2</v>
          </cell>
          <cell r="DL38" t="str">
            <v>0</v>
          </cell>
          <cell r="DM38" t="str">
            <v>0</v>
          </cell>
          <cell r="DN38" t="str">
            <v>0</v>
          </cell>
          <cell r="DO38" t="str">
            <v>0</v>
          </cell>
          <cell r="DP38" t="str">
            <v>0</v>
          </cell>
        </row>
        <row r="39">
          <cell r="C39" t="str">
            <v>Ray-037</v>
          </cell>
          <cell r="D39" t="str">
            <v>신흥정보통신㈜_26</v>
          </cell>
          <cell r="E39" t="str">
            <v>이종희 이사님</v>
          </cell>
          <cell r="F39" t="str">
            <v>010-3214-0636</v>
          </cell>
          <cell r="G39" t="str">
            <v>Ray Van</v>
          </cell>
          <cell r="H39" t="str">
            <v>스탠다드 A/T</v>
          </cell>
          <cell r="I39">
            <v>12750000</v>
          </cell>
          <cell r="J39">
            <v>2022</v>
          </cell>
          <cell r="K39" t="str">
            <v>White/Black</v>
          </cell>
          <cell r="L39" t="str">
            <v>가솔린</v>
          </cell>
          <cell r="M39" t="str">
            <v>KNACF911BNT284068</v>
          </cell>
          <cell r="N39" t="str">
            <v>125호3200</v>
          </cell>
          <cell r="O39" t="str">
            <v>-</v>
          </cell>
          <cell r="P39">
            <v>998</v>
          </cell>
          <cell r="Q39">
            <v>44503</v>
          </cell>
          <cell r="R39">
            <v>44596</v>
          </cell>
          <cell r="S39">
            <v>44596</v>
          </cell>
          <cell r="T39" t="str">
            <v>5</v>
          </cell>
          <cell r="U39">
            <v>46421</v>
          </cell>
          <cell r="V39">
            <v>5</v>
          </cell>
          <cell r="W39">
            <v>20000</v>
          </cell>
          <cell r="X39" t="str">
            <v>고윤석</v>
          </cell>
          <cell r="Y39" t="str">
            <v>010-5273-4464</v>
          </cell>
          <cell r="Z39" t="str">
            <v>수내</v>
          </cell>
          <cell r="AA39" t="str">
            <v>경기도 성남시 분당구 불정로 90 (정자동)  KT수내지점 1층 신흥정보통신</v>
          </cell>
          <cell r="AB39">
            <v>44625</v>
          </cell>
          <cell r="AC39">
            <v>1825</v>
          </cell>
          <cell r="AD39">
            <v>176</v>
          </cell>
          <cell r="AE39">
            <v>22020008</v>
          </cell>
          <cell r="AF39">
            <v>13209603</v>
          </cell>
          <cell r="AG39">
            <v>200000</v>
          </cell>
          <cell r="AH39">
            <v>12688000</v>
          </cell>
          <cell r="AI39">
            <v>0</v>
          </cell>
          <cell r="AJ39">
            <v>2000</v>
          </cell>
          <cell r="AK39">
            <v>461380</v>
          </cell>
          <cell r="AL39">
            <v>0</v>
          </cell>
          <cell r="AM39">
            <v>2000</v>
          </cell>
          <cell r="AN39">
            <v>27000</v>
          </cell>
          <cell r="AO39">
            <v>30000</v>
          </cell>
          <cell r="AP39">
            <v>430000</v>
          </cell>
          <cell r="AQ39">
            <v>0</v>
          </cell>
          <cell r="AR39" t="str">
            <v>엠피온</v>
          </cell>
          <cell r="AS39">
            <v>0</v>
          </cell>
          <cell r="AT39" t="str">
            <v>루마 전면 없음/측후면 15%</v>
          </cell>
          <cell r="AU39" t="str">
            <v>0</v>
          </cell>
          <cell r="AV39">
            <v>522380</v>
          </cell>
          <cell r="AW39" t="str">
            <v>렌터카 공제</v>
          </cell>
          <cell r="AX39">
            <v>44503</v>
          </cell>
          <cell r="AY39">
            <v>1153090</v>
          </cell>
          <cell r="AZ39">
            <v>1035460</v>
          </cell>
          <cell r="BA39" t="str">
            <v>0</v>
          </cell>
          <cell r="BB39" t="str">
            <v>0</v>
          </cell>
          <cell r="BC39" t="str">
            <v>0</v>
          </cell>
          <cell r="BD39" t="str">
            <v>만26세</v>
          </cell>
          <cell r="BE39" t="str">
            <v>무한대</v>
          </cell>
          <cell r="BF39" t="str">
            <v>2억원</v>
          </cell>
          <cell r="BG39" t="str">
            <v>1억원/1500만</v>
          </cell>
          <cell r="BH39" t="str">
            <v>2억원/1인당</v>
          </cell>
          <cell r="BI39" t="str">
            <v>30만원</v>
          </cell>
          <cell r="BJ39" t="str">
            <v>임직원</v>
          </cell>
          <cell r="BK39" t="str">
            <v>5회/년</v>
          </cell>
          <cell r="BL39" t="str">
            <v>가입</v>
          </cell>
          <cell r="BM39" t="str">
            <v>미가입</v>
          </cell>
          <cell r="BN39" t="str">
            <v>브랜드보증 외 사용자 부담</v>
          </cell>
          <cell r="BO39" t="str">
            <v>브랜드보증 외 사용자 부담</v>
          </cell>
          <cell r="BP39" t="str">
            <v xml:space="preserve"> HANKOOK 앞/뒤165 60R14 79H </v>
          </cell>
          <cell r="BQ39" t="str">
            <v>0</v>
          </cell>
          <cell r="BR39">
            <v>17964</v>
          </cell>
          <cell r="BS39" t="str">
            <v>현금</v>
          </cell>
          <cell r="BT39" t="str">
            <v>0</v>
          </cell>
          <cell r="BU39" t="str">
            <v>0</v>
          </cell>
          <cell r="BV39" t="str">
            <v>0</v>
          </cell>
          <cell r="BW39" t="str">
            <v>0</v>
          </cell>
          <cell r="BX39">
            <v>0</v>
          </cell>
          <cell r="BY39">
            <v>0</v>
          </cell>
          <cell r="BZ39">
            <v>0</v>
          </cell>
          <cell r="CA39" t="str">
            <v>0</v>
          </cell>
          <cell r="CB39" t="str">
            <v>5</v>
          </cell>
          <cell r="CC39" t="str">
            <v>5</v>
          </cell>
          <cell r="CD39">
            <v>330900</v>
          </cell>
          <cell r="CE39">
            <v>60</v>
          </cell>
          <cell r="CF39">
            <v>19854000</v>
          </cell>
          <cell r="CG39" t="str">
            <v>0</v>
          </cell>
          <cell r="CH39" t="str">
            <v>0</v>
          </cell>
          <cell r="CI39">
            <v>2506900</v>
          </cell>
          <cell r="CJ39">
            <v>-1.2E-2</v>
          </cell>
          <cell r="CK39">
            <v>0.04</v>
          </cell>
          <cell r="CL39" t="str">
            <v>jhlee@shtel.co.kr</v>
          </cell>
          <cell r="CM39" t="str">
            <v>0</v>
          </cell>
          <cell r="CN39" t="str">
            <v>0</v>
          </cell>
          <cell r="CO39">
            <v>0.03</v>
          </cell>
          <cell r="CP39" t="str">
            <v>0</v>
          </cell>
          <cell r="CQ39">
            <v>0</v>
          </cell>
          <cell r="CR39">
            <v>0</v>
          </cell>
          <cell r="CS39">
            <v>0</v>
          </cell>
          <cell r="CT39">
            <v>0</v>
          </cell>
          <cell r="CU39">
            <v>0</v>
          </cell>
          <cell r="CV39">
            <v>0</v>
          </cell>
          <cell r="CW39">
            <v>0</v>
          </cell>
          <cell r="CX39">
            <v>0</v>
          </cell>
          <cell r="CY39">
            <v>0</v>
          </cell>
          <cell r="CZ39">
            <v>0</v>
          </cell>
          <cell r="DA39">
            <v>0</v>
          </cell>
          <cell r="DB39" t="str">
            <v>기아</v>
          </cell>
          <cell r="DC39" t="str">
            <v>정수원 실장</v>
          </cell>
          <cell r="DD39" t="str">
            <v>렌트베네핏</v>
          </cell>
          <cell r="DE39" t="str">
            <v>0</v>
          </cell>
          <cell r="DF39" t="str">
            <v>0</v>
          </cell>
          <cell r="DG39" t="str">
            <v>0</v>
          </cell>
          <cell r="DH39" t="str">
            <v>206-85-09469</v>
          </cell>
          <cell r="DI39" t="str">
            <v>주소 없음</v>
          </cell>
          <cell r="DJ39">
            <v>0.3</v>
          </cell>
          <cell r="DK39">
            <v>0.2</v>
          </cell>
          <cell r="DL39" t="str">
            <v>0</v>
          </cell>
          <cell r="DM39" t="str">
            <v>0</v>
          </cell>
          <cell r="DN39" t="str">
            <v>0</v>
          </cell>
          <cell r="DO39" t="str">
            <v>0</v>
          </cell>
          <cell r="DP39" t="str">
            <v>0</v>
          </cell>
        </row>
        <row r="40">
          <cell r="C40" t="str">
            <v>Ray-043</v>
          </cell>
          <cell r="D40" t="str">
            <v>신흥정보통신㈜_28</v>
          </cell>
          <cell r="E40" t="str">
            <v>이종희 이사님</v>
          </cell>
          <cell r="F40" t="str">
            <v>010-3214-0636</v>
          </cell>
          <cell r="G40" t="str">
            <v>Ray Van</v>
          </cell>
          <cell r="H40" t="str">
            <v>스탠다드 A/T</v>
          </cell>
          <cell r="I40">
            <v>12750000</v>
          </cell>
          <cell r="J40">
            <v>2022</v>
          </cell>
          <cell r="K40" t="str">
            <v>White/Black</v>
          </cell>
          <cell r="L40" t="str">
            <v>가솔린</v>
          </cell>
          <cell r="M40" t="str">
            <v>KNACF911BNT284074</v>
          </cell>
          <cell r="N40" t="str">
            <v>125호3206</v>
          </cell>
          <cell r="O40" t="str">
            <v>-</v>
          </cell>
          <cell r="P40">
            <v>998</v>
          </cell>
          <cell r="Q40">
            <v>44503</v>
          </cell>
          <cell r="R40">
            <v>44596</v>
          </cell>
          <cell r="S40">
            <v>44596</v>
          </cell>
          <cell r="T40" t="str">
            <v>5</v>
          </cell>
          <cell r="U40">
            <v>46421</v>
          </cell>
          <cell r="V40">
            <v>5</v>
          </cell>
          <cell r="W40">
            <v>20000</v>
          </cell>
          <cell r="X40" t="str">
            <v>맹원식</v>
          </cell>
          <cell r="Y40" t="str">
            <v>010-3325-0037</v>
          </cell>
          <cell r="Z40" t="str">
            <v>영통</v>
          </cell>
          <cell r="AA40" t="str">
            <v>경기도 수원시 장안구 정조로 947 KT수원지사 별관 1층 신흥정보통신</v>
          </cell>
          <cell r="AB40">
            <v>44625</v>
          </cell>
          <cell r="AC40">
            <v>1825</v>
          </cell>
          <cell r="AD40">
            <v>176</v>
          </cell>
          <cell r="AE40">
            <v>22020010</v>
          </cell>
          <cell r="AF40">
            <v>13209603</v>
          </cell>
          <cell r="AG40">
            <v>200000</v>
          </cell>
          <cell r="AH40">
            <v>12688000</v>
          </cell>
          <cell r="AI40">
            <v>0</v>
          </cell>
          <cell r="AJ40">
            <v>2000</v>
          </cell>
          <cell r="AK40">
            <v>461380</v>
          </cell>
          <cell r="AL40">
            <v>0</v>
          </cell>
          <cell r="AM40">
            <v>2000</v>
          </cell>
          <cell r="AN40">
            <v>27000</v>
          </cell>
          <cell r="AO40">
            <v>30000</v>
          </cell>
          <cell r="AP40">
            <v>430000</v>
          </cell>
          <cell r="AQ40">
            <v>0</v>
          </cell>
          <cell r="AR40" t="str">
            <v>엠피온</v>
          </cell>
          <cell r="AS40">
            <v>0</v>
          </cell>
          <cell r="AT40" t="str">
            <v>루마 전면 없음/측후면 15%</v>
          </cell>
          <cell r="AU40" t="str">
            <v>0</v>
          </cell>
          <cell r="AV40">
            <v>522380</v>
          </cell>
          <cell r="AW40" t="str">
            <v>렌터카 공제</v>
          </cell>
          <cell r="AX40">
            <v>44503</v>
          </cell>
          <cell r="AY40">
            <v>1153090</v>
          </cell>
          <cell r="AZ40">
            <v>1035460</v>
          </cell>
          <cell r="BA40" t="str">
            <v>0</v>
          </cell>
          <cell r="BB40" t="str">
            <v>0</v>
          </cell>
          <cell r="BC40" t="str">
            <v>0</v>
          </cell>
          <cell r="BD40" t="str">
            <v>만26세</v>
          </cell>
          <cell r="BE40" t="str">
            <v>무한대</v>
          </cell>
          <cell r="BF40" t="str">
            <v>2억원</v>
          </cell>
          <cell r="BG40" t="str">
            <v>1억원/1500만</v>
          </cell>
          <cell r="BH40" t="str">
            <v>2억원/1인당</v>
          </cell>
          <cell r="BI40" t="str">
            <v>30만원</v>
          </cell>
          <cell r="BJ40" t="str">
            <v>임직원</v>
          </cell>
          <cell r="BK40" t="str">
            <v>5회/년</v>
          </cell>
          <cell r="BL40" t="str">
            <v>가입</v>
          </cell>
          <cell r="BM40" t="str">
            <v>미가입</v>
          </cell>
          <cell r="BN40" t="str">
            <v>브랜드보증 외 사용자 부담</v>
          </cell>
          <cell r="BO40" t="str">
            <v>브랜드보증 외 사용자 부담</v>
          </cell>
          <cell r="BP40" t="str">
            <v xml:space="preserve"> HANKOOK 앞/뒤165 60R14 79H </v>
          </cell>
          <cell r="BQ40" t="str">
            <v>0</v>
          </cell>
          <cell r="BR40">
            <v>17964</v>
          </cell>
          <cell r="BS40" t="str">
            <v>현금</v>
          </cell>
          <cell r="BT40" t="str">
            <v>0</v>
          </cell>
          <cell r="BU40" t="str">
            <v>0</v>
          </cell>
          <cell r="BV40" t="str">
            <v>0</v>
          </cell>
          <cell r="BW40" t="str">
            <v>0</v>
          </cell>
          <cell r="BX40">
            <v>0</v>
          </cell>
          <cell r="BY40">
            <v>0</v>
          </cell>
          <cell r="BZ40">
            <v>0</v>
          </cell>
          <cell r="CA40" t="str">
            <v>0</v>
          </cell>
          <cell r="CB40" t="str">
            <v>5</v>
          </cell>
          <cell r="CC40" t="str">
            <v>5</v>
          </cell>
          <cell r="CD40">
            <v>330900</v>
          </cell>
          <cell r="CE40">
            <v>60</v>
          </cell>
          <cell r="CF40">
            <v>19854000</v>
          </cell>
          <cell r="CG40" t="str">
            <v>0</v>
          </cell>
          <cell r="CH40" t="str">
            <v>0</v>
          </cell>
          <cell r="CI40">
            <v>2506900</v>
          </cell>
          <cell r="CJ40">
            <v>-1.2E-2</v>
          </cell>
          <cell r="CK40">
            <v>0.04</v>
          </cell>
          <cell r="CL40" t="str">
            <v>jhlee@shtel.co.kr</v>
          </cell>
          <cell r="CM40" t="str">
            <v>0</v>
          </cell>
          <cell r="CN40" t="str">
            <v>0</v>
          </cell>
          <cell r="CO40">
            <v>0.03</v>
          </cell>
          <cell r="CP40" t="str">
            <v>0</v>
          </cell>
          <cell r="CQ40">
            <v>0</v>
          </cell>
          <cell r="CR40">
            <v>0</v>
          </cell>
          <cell r="CS40">
            <v>0</v>
          </cell>
          <cell r="CT40">
            <v>0</v>
          </cell>
          <cell r="CU40">
            <v>0</v>
          </cell>
          <cell r="CV40">
            <v>0</v>
          </cell>
          <cell r="CW40">
            <v>0</v>
          </cell>
          <cell r="CX40">
            <v>0</v>
          </cell>
          <cell r="CY40">
            <v>0</v>
          </cell>
          <cell r="CZ40">
            <v>0</v>
          </cell>
          <cell r="DA40">
            <v>0</v>
          </cell>
          <cell r="DB40" t="str">
            <v>기아</v>
          </cell>
          <cell r="DC40" t="str">
            <v>정수원 실장</v>
          </cell>
          <cell r="DD40" t="str">
            <v>렌트베네핏</v>
          </cell>
          <cell r="DE40" t="str">
            <v>0</v>
          </cell>
          <cell r="DF40" t="str">
            <v>0</v>
          </cell>
          <cell r="DG40" t="str">
            <v>0</v>
          </cell>
          <cell r="DH40" t="str">
            <v>206-85-09469</v>
          </cell>
          <cell r="DI40" t="str">
            <v>주소 없음</v>
          </cell>
          <cell r="DJ40">
            <v>0.3</v>
          </cell>
          <cell r="DK40">
            <v>0.2</v>
          </cell>
          <cell r="DL40" t="str">
            <v>0</v>
          </cell>
          <cell r="DM40" t="str">
            <v>0</v>
          </cell>
          <cell r="DN40" t="str">
            <v>0</v>
          </cell>
          <cell r="DO40" t="str">
            <v>0</v>
          </cell>
          <cell r="DP40" t="str">
            <v>0</v>
          </cell>
        </row>
        <row r="41">
          <cell r="C41" t="str">
            <v>Ray-044</v>
          </cell>
          <cell r="D41" t="str">
            <v>신흥정보통신㈜_29</v>
          </cell>
          <cell r="E41" t="str">
            <v>이종희 이사님</v>
          </cell>
          <cell r="F41" t="str">
            <v>010-3214-0636</v>
          </cell>
          <cell r="G41" t="str">
            <v>Ray Van</v>
          </cell>
          <cell r="H41" t="str">
            <v>스탠다드 A/T</v>
          </cell>
          <cell r="I41">
            <v>12750000</v>
          </cell>
          <cell r="J41">
            <v>2022</v>
          </cell>
          <cell r="K41" t="str">
            <v>White/Black</v>
          </cell>
          <cell r="L41" t="str">
            <v>가솔린</v>
          </cell>
          <cell r="M41" t="str">
            <v>KNACF911BNT284904</v>
          </cell>
          <cell r="N41" t="str">
            <v>125호3207</v>
          </cell>
          <cell r="O41" t="str">
            <v>-</v>
          </cell>
          <cell r="P41">
            <v>998</v>
          </cell>
          <cell r="Q41">
            <v>44503</v>
          </cell>
          <cell r="R41">
            <v>44596</v>
          </cell>
          <cell r="S41">
            <v>44596</v>
          </cell>
          <cell r="T41" t="str">
            <v>5</v>
          </cell>
          <cell r="U41">
            <v>46421</v>
          </cell>
          <cell r="V41">
            <v>5</v>
          </cell>
          <cell r="W41">
            <v>20000</v>
          </cell>
          <cell r="X41" t="str">
            <v>맹원식</v>
          </cell>
          <cell r="Y41" t="str">
            <v>010-3325-0037</v>
          </cell>
          <cell r="Z41" t="str">
            <v>영통</v>
          </cell>
          <cell r="AA41" t="str">
            <v>경기도 수원시 장안구 정조로 947 KT수원지사 별관 1층 신흥정보통신</v>
          </cell>
          <cell r="AB41">
            <v>44625</v>
          </cell>
          <cell r="AC41">
            <v>1825</v>
          </cell>
          <cell r="AD41">
            <v>176</v>
          </cell>
          <cell r="AE41">
            <v>22020011</v>
          </cell>
          <cell r="AF41">
            <v>13209603</v>
          </cell>
          <cell r="AG41">
            <v>200000</v>
          </cell>
          <cell r="AH41">
            <v>12688000</v>
          </cell>
          <cell r="AI41">
            <v>0</v>
          </cell>
          <cell r="AJ41">
            <v>2000</v>
          </cell>
          <cell r="AK41">
            <v>461380</v>
          </cell>
          <cell r="AL41">
            <v>0</v>
          </cell>
          <cell r="AM41">
            <v>2000</v>
          </cell>
          <cell r="AN41">
            <v>27000</v>
          </cell>
          <cell r="AO41">
            <v>30000</v>
          </cell>
          <cell r="AP41">
            <v>430000</v>
          </cell>
          <cell r="AQ41">
            <v>0</v>
          </cell>
          <cell r="AR41" t="str">
            <v>엠피온</v>
          </cell>
          <cell r="AS41">
            <v>0</v>
          </cell>
          <cell r="AT41" t="str">
            <v>루마 전면 없음/측후면 15%</v>
          </cell>
          <cell r="AU41" t="str">
            <v>0</v>
          </cell>
          <cell r="AV41">
            <v>522380</v>
          </cell>
          <cell r="AW41" t="str">
            <v>렌터카 공제</v>
          </cell>
          <cell r="AX41">
            <v>44503</v>
          </cell>
          <cell r="AY41">
            <v>1153090</v>
          </cell>
          <cell r="AZ41">
            <v>1035460</v>
          </cell>
          <cell r="BA41" t="str">
            <v>0</v>
          </cell>
          <cell r="BB41" t="str">
            <v>0</v>
          </cell>
          <cell r="BC41" t="str">
            <v>0</v>
          </cell>
          <cell r="BD41" t="str">
            <v>만26세</v>
          </cell>
          <cell r="BE41" t="str">
            <v>무한대</v>
          </cell>
          <cell r="BF41" t="str">
            <v>2억원</v>
          </cell>
          <cell r="BG41" t="str">
            <v>1억원/1500만</v>
          </cell>
          <cell r="BH41" t="str">
            <v>2억원/1인당</v>
          </cell>
          <cell r="BI41" t="str">
            <v>30만원</v>
          </cell>
          <cell r="BJ41" t="str">
            <v>임직원</v>
          </cell>
          <cell r="BK41" t="str">
            <v>5회/년</v>
          </cell>
          <cell r="BL41" t="str">
            <v>가입</v>
          </cell>
          <cell r="BM41" t="str">
            <v>미가입</v>
          </cell>
          <cell r="BN41" t="str">
            <v>브랜드보증 외 사용자 부담</v>
          </cell>
          <cell r="BO41" t="str">
            <v>브랜드보증 외 사용자 부담</v>
          </cell>
          <cell r="BP41" t="str">
            <v xml:space="preserve"> HANKOOK 앞/뒤165 60R14 79H </v>
          </cell>
          <cell r="BQ41" t="str">
            <v>0</v>
          </cell>
          <cell r="BR41">
            <v>17964</v>
          </cell>
          <cell r="BS41" t="str">
            <v>현금</v>
          </cell>
          <cell r="BT41" t="str">
            <v>0</v>
          </cell>
          <cell r="BU41" t="str">
            <v>0</v>
          </cell>
          <cell r="BV41" t="str">
            <v>0</v>
          </cell>
          <cell r="BW41" t="str">
            <v>0</v>
          </cell>
          <cell r="BX41">
            <v>0</v>
          </cell>
          <cell r="BY41">
            <v>0</v>
          </cell>
          <cell r="BZ41">
            <v>0</v>
          </cell>
          <cell r="CA41" t="str">
            <v>0</v>
          </cell>
          <cell r="CB41" t="str">
            <v>5</v>
          </cell>
          <cell r="CC41" t="str">
            <v>5</v>
          </cell>
          <cell r="CD41">
            <v>330900</v>
          </cell>
          <cell r="CE41">
            <v>60</v>
          </cell>
          <cell r="CF41">
            <v>19854000</v>
          </cell>
          <cell r="CG41" t="str">
            <v>0</v>
          </cell>
          <cell r="CH41" t="str">
            <v>0</v>
          </cell>
          <cell r="CI41">
            <v>2506900</v>
          </cell>
          <cell r="CJ41">
            <v>-1.2E-2</v>
          </cell>
          <cell r="CK41">
            <v>0.04</v>
          </cell>
          <cell r="CL41" t="str">
            <v>jhlee@shtel.co.kr</v>
          </cell>
          <cell r="CM41" t="str">
            <v>0</v>
          </cell>
          <cell r="CN41" t="str">
            <v>0</v>
          </cell>
          <cell r="CO41">
            <v>0.03</v>
          </cell>
          <cell r="CP41" t="str">
            <v>0</v>
          </cell>
          <cell r="CQ41">
            <v>0</v>
          </cell>
          <cell r="CR41">
            <v>0</v>
          </cell>
          <cell r="CS41">
            <v>0</v>
          </cell>
          <cell r="CT41">
            <v>0</v>
          </cell>
          <cell r="CU41">
            <v>0</v>
          </cell>
          <cell r="CV41">
            <v>0</v>
          </cell>
          <cell r="CW41">
            <v>0</v>
          </cell>
          <cell r="CX41">
            <v>0</v>
          </cell>
          <cell r="CY41">
            <v>0</v>
          </cell>
          <cell r="CZ41">
            <v>0</v>
          </cell>
          <cell r="DA41">
            <v>0</v>
          </cell>
          <cell r="DB41" t="str">
            <v>기아</v>
          </cell>
          <cell r="DC41" t="str">
            <v>정수원 실장</v>
          </cell>
          <cell r="DD41" t="str">
            <v>렌트베네핏</v>
          </cell>
          <cell r="DE41" t="str">
            <v>0</v>
          </cell>
          <cell r="DF41" t="str">
            <v>0</v>
          </cell>
          <cell r="DG41" t="str">
            <v>0</v>
          </cell>
          <cell r="DH41" t="str">
            <v>206-85-09469</v>
          </cell>
          <cell r="DI41" t="str">
            <v>주소 없음</v>
          </cell>
          <cell r="DJ41">
            <v>0.3</v>
          </cell>
          <cell r="DK41">
            <v>0.2</v>
          </cell>
          <cell r="DL41" t="str">
            <v>0</v>
          </cell>
          <cell r="DM41" t="str">
            <v>0</v>
          </cell>
          <cell r="DN41" t="str">
            <v>0</v>
          </cell>
          <cell r="DO41" t="str">
            <v>0</v>
          </cell>
          <cell r="DP41" t="str">
            <v>0</v>
          </cell>
        </row>
        <row r="42">
          <cell r="C42" t="str">
            <v>Ray-046</v>
          </cell>
          <cell r="D42" t="str">
            <v>신흥정보통신㈜_30</v>
          </cell>
          <cell r="E42" t="str">
            <v>이종희 이사님</v>
          </cell>
          <cell r="F42" t="str">
            <v>010-3214-0636</v>
          </cell>
          <cell r="G42" t="str">
            <v>Ray Van</v>
          </cell>
          <cell r="H42" t="str">
            <v>스탠다드 A/T</v>
          </cell>
          <cell r="I42">
            <v>12750000</v>
          </cell>
          <cell r="J42">
            <v>2022</v>
          </cell>
          <cell r="K42" t="str">
            <v>White/Black</v>
          </cell>
          <cell r="L42" t="str">
            <v>가솔린</v>
          </cell>
          <cell r="M42" t="str">
            <v>KNACF911BNT284934</v>
          </cell>
          <cell r="N42" t="str">
            <v>125호3209</v>
          </cell>
          <cell r="O42" t="str">
            <v>-</v>
          </cell>
          <cell r="P42">
            <v>998</v>
          </cell>
          <cell r="Q42">
            <v>44503</v>
          </cell>
          <cell r="R42">
            <v>44596</v>
          </cell>
          <cell r="S42">
            <v>44596</v>
          </cell>
          <cell r="T42" t="str">
            <v>5</v>
          </cell>
          <cell r="U42">
            <v>46421</v>
          </cell>
          <cell r="V42">
            <v>5</v>
          </cell>
          <cell r="W42">
            <v>20000</v>
          </cell>
          <cell r="X42" t="str">
            <v>맹원식</v>
          </cell>
          <cell r="Y42" t="str">
            <v>010-3325-0037</v>
          </cell>
          <cell r="Z42" t="str">
            <v>영통</v>
          </cell>
          <cell r="AA42" t="str">
            <v>경기도 수원시 장안구 정조로 947 KT수원지사 별관 1층 신흥정보통신</v>
          </cell>
          <cell r="AB42">
            <v>44625</v>
          </cell>
          <cell r="AC42">
            <v>1825</v>
          </cell>
          <cell r="AD42">
            <v>176</v>
          </cell>
          <cell r="AE42">
            <v>22020012</v>
          </cell>
          <cell r="AF42">
            <v>13209603</v>
          </cell>
          <cell r="AG42">
            <v>200000</v>
          </cell>
          <cell r="AH42">
            <v>12688000</v>
          </cell>
          <cell r="AI42">
            <v>0</v>
          </cell>
          <cell r="AJ42">
            <v>2000</v>
          </cell>
          <cell r="AK42">
            <v>461380</v>
          </cell>
          <cell r="AL42">
            <v>0</v>
          </cell>
          <cell r="AM42">
            <v>2000</v>
          </cell>
          <cell r="AN42">
            <v>27000</v>
          </cell>
          <cell r="AO42">
            <v>30000</v>
          </cell>
          <cell r="AP42">
            <v>430000</v>
          </cell>
          <cell r="AQ42">
            <v>0</v>
          </cell>
          <cell r="AR42" t="str">
            <v>엠피온</v>
          </cell>
          <cell r="AS42">
            <v>0</v>
          </cell>
          <cell r="AT42" t="str">
            <v>루마 전면 없음/측후면 15%</v>
          </cell>
          <cell r="AU42" t="str">
            <v>0</v>
          </cell>
          <cell r="AV42">
            <v>522380</v>
          </cell>
          <cell r="AW42" t="str">
            <v>렌터카 공제</v>
          </cell>
          <cell r="AX42">
            <v>44503</v>
          </cell>
          <cell r="AY42">
            <v>1153090</v>
          </cell>
          <cell r="AZ42">
            <v>1035460</v>
          </cell>
          <cell r="BA42" t="str">
            <v>0</v>
          </cell>
          <cell r="BB42" t="str">
            <v>0</v>
          </cell>
          <cell r="BC42" t="str">
            <v>0</v>
          </cell>
          <cell r="BD42" t="str">
            <v>만26세</v>
          </cell>
          <cell r="BE42" t="str">
            <v>무한대</v>
          </cell>
          <cell r="BF42" t="str">
            <v>2억원</v>
          </cell>
          <cell r="BG42" t="str">
            <v>1억원/1500만</v>
          </cell>
          <cell r="BH42" t="str">
            <v>2억원/1인당</v>
          </cell>
          <cell r="BI42" t="str">
            <v>30만원</v>
          </cell>
          <cell r="BJ42" t="str">
            <v>임직원</v>
          </cell>
          <cell r="BK42" t="str">
            <v>5회/년</v>
          </cell>
          <cell r="BL42" t="str">
            <v>가입</v>
          </cell>
          <cell r="BM42" t="str">
            <v>미가입</v>
          </cell>
          <cell r="BN42" t="str">
            <v>브랜드보증 외 사용자 부담</v>
          </cell>
          <cell r="BO42" t="str">
            <v>브랜드보증 외 사용자 부담</v>
          </cell>
          <cell r="BP42" t="str">
            <v xml:space="preserve"> HANKOOK 앞/뒤165 60R14 79H </v>
          </cell>
          <cell r="BQ42" t="str">
            <v>0</v>
          </cell>
          <cell r="BR42">
            <v>17964</v>
          </cell>
          <cell r="BS42" t="str">
            <v>현금</v>
          </cell>
          <cell r="BT42" t="str">
            <v>0</v>
          </cell>
          <cell r="BU42" t="str">
            <v>0</v>
          </cell>
          <cell r="BV42" t="str">
            <v>0</v>
          </cell>
          <cell r="BW42" t="str">
            <v>0</v>
          </cell>
          <cell r="BX42">
            <v>0</v>
          </cell>
          <cell r="BY42">
            <v>0</v>
          </cell>
          <cell r="BZ42">
            <v>0</v>
          </cell>
          <cell r="CA42" t="str">
            <v>0</v>
          </cell>
          <cell r="CB42" t="str">
            <v>5</v>
          </cell>
          <cell r="CC42" t="str">
            <v>5</v>
          </cell>
          <cell r="CD42">
            <v>330900</v>
          </cell>
          <cell r="CE42">
            <v>60</v>
          </cell>
          <cell r="CF42">
            <v>19854000</v>
          </cell>
          <cell r="CG42" t="str">
            <v>0</v>
          </cell>
          <cell r="CH42" t="str">
            <v>0</v>
          </cell>
          <cell r="CI42">
            <v>2506900</v>
          </cell>
          <cell r="CJ42">
            <v>-1.2E-2</v>
          </cell>
          <cell r="CK42">
            <v>0.04</v>
          </cell>
          <cell r="CL42" t="str">
            <v>jhlee@shtel.co.kr</v>
          </cell>
          <cell r="CM42" t="str">
            <v>0</v>
          </cell>
          <cell r="CN42" t="str">
            <v>0</v>
          </cell>
          <cell r="CO42">
            <v>0.03</v>
          </cell>
          <cell r="CP42" t="str">
            <v>0</v>
          </cell>
          <cell r="CQ42">
            <v>0</v>
          </cell>
          <cell r="CR42">
            <v>0</v>
          </cell>
          <cell r="CS42">
            <v>0</v>
          </cell>
          <cell r="CT42">
            <v>0</v>
          </cell>
          <cell r="CU42">
            <v>0</v>
          </cell>
          <cell r="CV42">
            <v>0</v>
          </cell>
          <cell r="CW42">
            <v>0</v>
          </cell>
          <cell r="CX42">
            <v>0</v>
          </cell>
          <cell r="CY42">
            <v>0</v>
          </cell>
          <cell r="CZ42">
            <v>0</v>
          </cell>
          <cell r="DA42">
            <v>0</v>
          </cell>
          <cell r="DB42" t="str">
            <v>기아</v>
          </cell>
          <cell r="DC42" t="str">
            <v>정수원 실장</v>
          </cell>
          <cell r="DD42" t="str">
            <v>렌트베네핏</v>
          </cell>
          <cell r="DE42" t="str">
            <v>0</v>
          </cell>
          <cell r="DF42" t="str">
            <v>0</v>
          </cell>
          <cell r="DG42" t="str">
            <v>0</v>
          </cell>
          <cell r="DH42" t="str">
            <v>206-85-09469</v>
          </cell>
          <cell r="DI42" t="str">
            <v>주소 없음</v>
          </cell>
          <cell r="DJ42">
            <v>0.3</v>
          </cell>
          <cell r="DK42">
            <v>0.2</v>
          </cell>
          <cell r="DL42" t="str">
            <v>0</v>
          </cell>
          <cell r="DM42" t="str">
            <v>0</v>
          </cell>
          <cell r="DN42" t="str">
            <v>0</v>
          </cell>
          <cell r="DO42" t="str">
            <v>0</v>
          </cell>
          <cell r="DP42" t="str">
            <v>0</v>
          </cell>
        </row>
        <row r="43">
          <cell r="C43" t="str">
            <v>Ray-025</v>
          </cell>
          <cell r="D43" t="str">
            <v>신흥정보통신㈜_22</v>
          </cell>
          <cell r="E43" t="str">
            <v>이종희 이사님</v>
          </cell>
          <cell r="F43" t="str">
            <v>010-3214-0636</v>
          </cell>
          <cell r="G43" t="str">
            <v>Ray Van</v>
          </cell>
          <cell r="H43" t="str">
            <v>스탠다드 A/T</v>
          </cell>
          <cell r="I43">
            <v>12750000</v>
          </cell>
          <cell r="J43">
            <v>2022</v>
          </cell>
          <cell r="K43" t="str">
            <v>White/Black</v>
          </cell>
          <cell r="L43" t="str">
            <v>가솔린</v>
          </cell>
          <cell r="M43" t="str">
            <v>KNACF911BNT283764</v>
          </cell>
          <cell r="N43" t="str">
            <v>101호2188</v>
          </cell>
          <cell r="O43" t="str">
            <v>-</v>
          </cell>
          <cell r="P43">
            <v>998</v>
          </cell>
          <cell r="Q43">
            <v>44503</v>
          </cell>
          <cell r="R43">
            <v>44596</v>
          </cell>
          <cell r="S43">
            <v>44600</v>
          </cell>
          <cell r="T43" t="str">
            <v>5</v>
          </cell>
          <cell r="U43">
            <v>46425</v>
          </cell>
          <cell r="V43">
            <v>5</v>
          </cell>
          <cell r="W43">
            <v>20000</v>
          </cell>
          <cell r="X43" t="str">
            <v>맹원식</v>
          </cell>
          <cell r="Y43" t="str">
            <v>010-3325-0037</v>
          </cell>
          <cell r="Z43" t="str">
            <v>수원</v>
          </cell>
          <cell r="AA43" t="str">
            <v>경기도 수원시 장안구 정조로 947 KT수원지사 별관 1층 신흥정보통신</v>
          </cell>
          <cell r="AB43">
            <v>44625</v>
          </cell>
          <cell r="AC43">
            <v>1825</v>
          </cell>
          <cell r="AD43">
            <v>180</v>
          </cell>
          <cell r="AE43">
            <v>22020006</v>
          </cell>
          <cell r="AF43">
            <v>13209603</v>
          </cell>
          <cell r="AG43">
            <v>200000</v>
          </cell>
          <cell r="AH43">
            <v>12681000</v>
          </cell>
          <cell r="AI43">
            <v>0</v>
          </cell>
          <cell r="AJ43">
            <v>2000</v>
          </cell>
          <cell r="AK43">
            <v>461120</v>
          </cell>
          <cell r="AL43">
            <v>0</v>
          </cell>
          <cell r="AM43">
            <v>2000</v>
          </cell>
          <cell r="AN43">
            <v>27000</v>
          </cell>
          <cell r="AO43">
            <v>30000</v>
          </cell>
          <cell r="AP43">
            <v>430000</v>
          </cell>
          <cell r="AQ43">
            <v>0</v>
          </cell>
          <cell r="AR43" t="str">
            <v>엠피온</v>
          </cell>
          <cell r="AS43">
            <v>0</v>
          </cell>
          <cell r="AT43" t="str">
            <v>루마 전면 없음/측후면 15%</v>
          </cell>
          <cell r="AU43" t="str">
            <v>0</v>
          </cell>
          <cell r="AV43">
            <v>522120</v>
          </cell>
          <cell r="AW43" t="str">
            <v>렌터카 공제</v>
          </cell>
          <cell r="AX43">
            <v>44503</v>
          </cell>
          <cell r="AY43">
            <v>1153090</v>
          </cell>
          <cell r="AZ43">
            <v>1035460</v>
          </cell>
          <cell r="BA43" t="str">
            <v>0</v>
          </cell>
          <cell r="BB43" t="str">
            <v>0</v>
          </cell>
          <cell r="BC43" t="str">
            <v>0</v>
          </cell>
          <cell r="BD43" t="str">
            <v>만26세</v>
          </cell>
          <cell r="BE43" t="str">
            <v>무한대</v>
          </cell>
          <cell r="BF43" t="str">
            <v>2억원</v>
          </cell>
          <cell r="BG43" t="str">
            <v>1억원/1500만</v>
          </cell>
          <cell r="BH43" t="str">
            <v>2억원/1인당</v>
          </cell>
          <cell r="BI43" t="str">
            <v>30만원</v>
          </cell>
          <cell r="BJ43" t="str">
            <v>임직원</v>
          </cell>
          <cell r="BK43" t="str">
            <v>5회/년</v>
          </cell>
          <cell r="BL43" t="str">
            <v>가입</v>
          </cell>
          <cell r="BM43" t="str">
            <v>미가입</v>
          </cell>
          <cell r="BN43" t="str">
            <v>브랜드보증 외 사용자 부담</v>
          </cell>
          <cell r="BO43" t="str">
            <v>브랜드보증 외 사용자 부담</v>
          </cell>
          <cell r="BP43" t="str">
            <v xml:space="preserve"> HANKOOK 앞/뒤165 60R14 79H </v>
          </cell>
          <cell r="BQ43" t="str">
            <v>0</v>
          </cell>
          <cell r="BR43">
            <v>17964</v>
          </cell>
          <cell r="BS43" t="str">
            <v>현금</v>
          </cell>
          <cell r="BT43" t="str">
            <v>0</v>
          </cell>
          <cell r="BU43" t="str">
            <v>0</v>
          </cell>
          <cell r="BV43" t="str">
            <v>0</v>
          </cell>
          <cell r="BW43" t="str">
            <v>0</v>
          </cell>
          <cell r="BX43">
            <v>0</v>
          </cell>
          <cell r="BY43">
            <v>0</v>
          </cell>
          <cell r="BZ43">
            <v>0</v>
          </cell>
          <cell r="CA43" t="str">
            <v>0</v>
          </cell>
          <cell r="CB43" t="str">
            <v>5</v>
          </cell>
          <cell r="CC43" t="str">
            <v>5</v>
          </cell>
          <cell r="CD43">
            <v>330900</v>
          </cell>
          <cell r="CE43">
            <v>60</v>
          </cell>
          <cell r="CF43">
            <v>19854000</v>
          </cell>
          <cell r="CG43" t="str">
            <v>0</v>
          </cell>
          <cell r="CH43" t="str">
            <v>0</v>
          </cell>
          <cell r="CI43">
            <v>2506900</v>
          </cell>
          <cell r="CJ43">
            <v>-1.2E-2</v>
          </cell>
          <cell r="CK43">
            <v>0.04</v>
          </cell>
          <cell r="CL43" t="str">
            <v>jhlee@shtel.co.kr</v>
          </cell>
          <cell r="CM43" t="str">
            <v>0</v>
          </cell>
          <cell r="CN43" t="str">
            <v>0</v>
          </cell>
          <cell r="CO43">
            <v>0.03</v>
          </cell>
          <cell r="CP43" t="str">
            <v>0</v>
          </cell>
          <cell r="CQ43">
            <v>0</v>
          </cell>
          <cell r="CR43">
            <v>0</v>
          </cell>
          <cell r="CS43">
            <v>0</v>
          </cell>
          <cell r="CT43">
            <v>0</v>
          </cell>
          <cell r="CU43">
            <v>0</v>
          </cell>
          <cell r="CV43">
            <v>0</v>
          </cell>
          <cell r="CW43">
            <v>0</v>
          </cell>
          <cell r="CX43">
            <v>0</v>
          </cell>
          <cell r="CY43">
            <v>0</v>
          </cell>
          <cell r="CZ43">
            <v>0</v>
          </cell>
          <cell r="DA43">
            <v>0</v>
          </cell>
          <cell r="DB43" t="str">
            <v>기아</v>
          </cell>
          <cell r="DC43" t="str">
            <v>정수원 실장</v>
          </cell>
          <cell r="DD43" t="str">
            <v>렌트베네핏</v>
          </cell>
          <cell r="DE43" t="str">
            <v>0</v>
          </cell>
          <cell r="DF43" t="str">
            <v>0</v>
          </cell>
          <cell r="DG43" t="str">
            <v>0</v>
          </cell>
          <cell r="DH43" t="str">
            <v>206-85-09469</v>
          </cell>
          <cell r="DI43" t="str">
            <v>주소 없음</v>
          </cell>
          <cell r="DJ43">
            <v>0.3</v>
          </cell>
          <cell r="DK43">
            <v>0.2</v>
          </cell>
          <cell r="DL43" t="str">
            <v>0</v>
          </cell>
          <cell r="DM43" t="str">
            <v>0</v>
          </cell>
          <cell r="DN43" t="str">
            <v>0</v>
          </cell>
          <cell r="DO43" t="str">
            <v>0</v>
          </cell>
          <cell r="DP43" t="str">
            <v>0</v>
          </cell>
        </row>
        <row r="44">
          <cell r="C44" t="str">
            <v>Ray-024</v>
          </cell>
          <cell r="D44" t="str">
            <v>㈜굿모닝코퍼레이션</v>
          </cell>
          <cell r="E44" t="str">
            <v>나한빈 대표님</v>
          </cell>
          <cell r="F44" t="str">
            <v>010-3268-1266</v>
          </cell>
          <cell r="G44" t="str">
            <v>Ray Van</v>
          </cell>
          <cell r="H44" t="str">
            <v>스탠다드 A/T</v>
          </cell>
          <cell r="I44">
            <v>12750000</v>
          </cell>
          <cell r="J44">
            <v>2022</v>
          </cell>
          <cell r="K44" t="str">
            <v>White/Black</v>
          </cell>
          <cell r="L44" t="str">
            <v>가솔린</v>
          </cell>
          <cell r="M44" t="str">
            <v>KNACF911BNT283761</v>
          </cell>
          <cell r="N44" t="str">
            <v>142호4231</v>
          </cell>
          <cell r="O44" t="str">
            <v>-</v>
          </cell>
          <cell r="P44">
            <v>998</v>
          </cell>
          <cell r="Q44">
            <v>44503</v>
          </cell>
          <cell r="R44">
            <v>44602</v>
          </cell>
          <cell r="S44">
            <v>44602</v>
          </cell>
          <cell r="T44" t="str">
            <v>5</v>
          </cell>
          <cell r="U44">
            <v>46427</v>
          </cell>
          <cell r="V44">
            <v>5</v>
          </cell>
          <cell r="W44">
            <v>20000</v>
          </cell>
          <cell r="X44" t="str">
            <v>나한빈 대표님</v>
          </cell>
          <cell r="Y44" t="str">
            <v>010-9061-3000</v>
          </cell>
          <cell r="Z44" t="str">
            <v>0</v>
          </cell>
          <cell r="AA44" t="str">
            <v>서초구 동산로 13길 16 영재빌딩 주차장</v>
          </cell>
          <cell r="AB44">
            <v>44630</v>
          </cell>
          <cell r="AC44">
            <v>1825</v>
          </cell>
          <cell r="AD44">
            <v>182</v>
          </cell>
          <cell r="AE44">
            <v>22020013</v>
          </cell>
          <cell r="AF44">
            <v>13209603</v>
          </cell>
          <cell r="AG44">
            <v>200000</v>
          </cell>
          <cell r="AH44">
            <v>12681000</v>
          </cell>
          <cell r="AI44">
            <v>0</v>
          </cell>
          <cell r="AJ44">
            <v>2000</v>
          </cell>
          <cell r="AK44">
            <v>461120</v>
          </cell>
          <cell r="AL44">
            <v>0</v>
          </cell>
          <cell r="AM44">
            <v>2000</v>
          </cell>
          <cell r="AN44">
            <v>27000</v>
          </cell>
          <cell r="AO44">
            <v>30000</v>
          </cell>
          <cell r="AP44">
            <v>430000</v>
          </cell>
          <cell r="AQ44">
            <v>0</v>
          </cell>
          <cell r="AR44" t="str">
            <v>엠피온</v>
          </cell>
          <cell r="AS44">
            <v>0</v>
          </cell>
          <cell r="AT44" t="str">
            <v>루마 전면 없음/측후면 15%</v>
          </cell>
          <cell r="AU44" t="str">
            <v>0</v>
          </cell>
          <cell r="AV44">
            <v>522120</v>
          </cell>
          <cell r="AW44" t="str">
            <v>렌터카 공제</v>
          </cell>
          <cell r="AX44">
            <v>44503</v>
          </cell>
          <cell r="AY44">
            <v>1153090</v>
          </cell>
          <cell r="AZ44">
            <v>1042640</v>
          </cell>
          <cell r="BA44" t="str">
            <v>0</v>
          </cell>
          <cell r="BB44" t="str">
            <v>0</v>
          </cell>
          <cell r="BC44" t="str">
            <v>0</v>
          </cell>
          <cell r="BD44" t="str">
            <v>만26세</v>
          </cell>
          <cell r="BE44" t="str">
            <v>무한대</v>
          </cell>
          <cell r="BF44" t="str">
            <v>2억원</v>
          </cell>
          <cell r="BG44" t="str">
            <v>1억원/1500만</v>
          </cell>
          <cell r="BH44" t="str">
            <v>2억원/1인당</v>
          </cell>
          <cell r="BI44" t="str">
            <v>30만원</v>
          </cell>
          <cell r="BJ44" t="str">
            <v>임직원</v>
          </cell>
          <cell r="BK44" t="str">
            <v>5회/년</v>
          </cell>
          <cell r="BL44" t="str">
            <v>가입</v>
          </cell>
          <cell r="BM44" t="str">
            <v>미가입</v>
          </cell>
          <cell r="BN44" t="str">
            <v>브랜드보증 외 사용자 부담</v>
          </cell>
          <cell r="BO44" t="str">
            <v>브랜드보증 외 사용자 부담</v>
          </cell>
          <cell r="BP44" t="str">
            <v xml:space="preserve"> HANKOOK 앞/뒤165 60R14 79H </v>
          </cell>
          <cell r="BQ44" t="str">
            <v>0</v>
          </cell>
          <cell r="BR44">
            <v>17964</v>
          </cell>
          <cell r="BS44" t="str">
            <v>현금</v>
          </cell>
          <cell r="BT44" t="str">
            <v>0</v>
          </cell>
          <cell r="BU44" t="str">
            <v>0</v>
          </cell>
          <cell r="BV44" t="str">
            <v>0</v>
          </cell>
          <cell r="BW44" t="str">
            <v>0</v>
          </cell>
          <cell r="BX44">
            <v>0</v>
          </cell>
          <cell r="BY44">
            <v>0</v>
          </cell>
          <cell r="BZ44">
            <v>0</v>
          </cell>
          <cell r="CA44" t="str">
            <v>0</v>
          </cell>
          <cell r="CB44" t="str">
            <v>10</v>
          </cell>
          <cell r="CC44" t="str">
            <v>10</v>
          </cell>
          <cell r="CD44">
            <v>360000</v>
          </cell>
          <cell r="CE44">
            <v>60</v>
          </cell>
          <cell r="CF44">
            <v>21600000</v>
          </cell>
          <cell r="CG44" t="str">
            <v>0</v>
          </cell>
          <cell r="CH44" t="str">
            <v>0</v>
          </cell>
          <cell r="CI44">
            <v>2506900</v>
          </cell>
          <cell r="CJ44">
            <v>2.1000000000000001E-2</v>
          </cell>
          <cell r="CK44">
            <v>0.06</v>
          </cell>
          <cell r="CL44" t="str">
            <v>nahanbin@gmail.com</v>
          </cell>
          <cell r="CM44" t="str">
            <v>0</v>
          </cell>
          <cell r="CN44" t="str">
            <v>010-3268-1266</v>
          </cell>
          <cell r="CO44">
            <v>0.03</v>
          </cell>
          <cell r="CP44" t="str">
            <v>0</v>
          </cell>
          <cell r="CQ44">
            <v>0</v>
          </cell>
          <cell r="CR44">
            <v>0</v>
          </cell>
          <cell r="CS44">
            <v>0</v>
          </cell>
          <cell r="CT44">
            <v>0</v>
          </cell>
          <cell r="CU44">
            <v>0</v>
          </cell>
          <cell r="CV44">
            <v>0</v>
          </cell>
          <cell r="CW44">
            <v>0</v>
          </cell>
          <cell r="CX44">
            <v>0</v>
          </cell>
          <cell r="CY44">
            <v>0</v>
          </cell>
          <cell r="CZ44">
            <v>0</v>
          </cell>
          <cell r="DA44">
            <v>0</v>
          </cell>
          <cell r="DB44" t="str">
            <v>기아</v>
          </cell>
          <cell r="DC44" t="str">
            <v>정수원 실장</v>
          </cell>
          <cell r="DD44" t="str">
            <v>렌트베네핏</v>
          </cell>
          <cell r="DE44" t="str">
            <v>0</v>
          </cell>
          <cell r="DF44" t="str">
            <v>0</v>
          </cell>
          <cell r="DG44" t="str">
            <v>0</v>
          </cell>
          <cell r="DH44" t="str">
            <v>205-81-26415</v>
          </cell>
          <cell r="DI44" t="str">
            <v>주소 없음</v>
          </cell>
          <cell r="DJ44">
            <v>0.3</v>
          </cell>
          <cell r="DK44">
            <v>0.2</v>
          </cell>
          <cell r="DL44" t="str">
            <v>0</v>
          </cell>
          <cell r="DM44" t="str">
            <v>0</v>
          </cell>
          <cell r="DN44" t="str">
            <v>0</v>
          </cell>
          <cell r="DO44" t="str">
            <v>0</v>
          </cell>
          <cell r="DP44" t="str">
            <v>0</v>
          </cell>
        </row>
        <row r="45">
          <cell r="C45" t="str">
            <v>Ray-027</v>
          </cell>
          <cell r="D45" t="str">
            <v>신흥정보통신㈜_23</v>
          </cell>
          <cell r="E45" t="str">
            <v>이종희 이사님</v>
          </cell>
          <cell r="F45" t="str">
            <v>010-3214-0636</v>
          </cell>
          <cell r="G45" t="str">
            <v>Ray Van</v>
          </cell>
          <cell r="H45" t="str">
            <v>스탠다드 A/T</v>
          </cell>
          <cell r="I45">
            <v>12750000</v>
          </cell>
          <cell r="J45">
            <v>2022</v>
          </cell>
          <cell r="K45" t="str">
            <v>White/Black</v>
          </cell>
          <cell r="L45" t="str">
            <v>가솔린</v>
          </cell>
          <cell r="M45" t="str">
            <v>KNACF911BNT284872</v>
          </cell>
          <cell r="N45" t="str">
            <v>101호2190</v>
          </cell>
          <cell r="O45" t="str">
            <v>-</v>
          </cell>
          <cell r="P45">
            <v>998</v>
          </cell>
          <cell r="Q45">
            <v>44503</v>
          </cell>
          <cell r="R45">
            <v>44596</v>
          </cell>
          <cell r="S45">
            <v>44603</v>
          </cell>
          <cell r="T45" t="str">
            <v>5</v>
          </cell>
          <cell r="U45">
            <v>46428</v>
          </cell>
          <cell r="V45">
            <v>5</v>
          </cell>
          <cell r="W45">
            <v>20000</v>
          </cell>
          <cell r="X45" t="str">
            <v>김석기</v>
          </cell>
          <cell r="Y45" t="str">
            <v>010-9582-0977</v>
          </cell>
          <cell r="Z45" t="str">
            <v>청주</v>
          </cell>
          <cell r="AA45" t="str">
            <v>충청북도 청주시 서원구 1순환로1063번길 12 (분평동, KT)  KT남청주지점 1층 신흥정보통신</v>
          </cell>
          <cell r="AB45">
            <v>44625</v>
          </cell>
          <cell r="AC45">
            <v>1825</v>
          </cell>
          <cell r="AD45">
            <v>183</v>
          </cell>
          <cell r="AE45">
            <v>22020007</v>
          </cell>
          <cell r="AF45">
            <v>13209603</v>
          </cell>
          <cell r="AG45">
            <v>200000</v>
          </cell>
          <cell r="AH45">
            <v>12688000</v>
          </cell>
          <cell r="AI45">
            <v>0</v>
          </cell>
          <cell r="AJ45">
            <v>2000</v>
          </cell>
          <cell r="AK45">
            <v>461380</v>
          </cell>
          <cell r="AL45">
            <v>0</v>
          </cell>
          <cell r="AM45">
            <v>2000</v>
          </cell>
          <cell r="AN45">
            <v>27000</v>
          </cell>
          <cell r="AO45">
            <v>30000</v>
          </cell>
          <cell r="AP45">
            <v>430000</v>
          </cell>
          <cell r="AQ45">
            <v>0</v>
          </cell>
          <cell r="AR45" t="str">
            <v>엠피온</v>
          </cell>
          <cell r="AS45">
            <v>0</v>
          </cell>
          <cell r="AT45" t="str">
            <v>루마 전면 없음/측후면 15%</v>
          </cell>
          <cell r="AU45" t="str">
            <v>0</v>
          </cell>
          <cell r="AV45">
            <v>522380</v>
          </cell>
          <cell r="AW45" t="str">
            <v>렌터카 공제</v>
          </cell>
          <cell r="AX45">
            <v>44503</v>
          </cell>
          <cell r="AY45">
            <v>1153090</v>
          </cell>
          <cell r="AZ45">
            <v>1035460</v>
          </cell>
          <cell r="BA45" t="str">
            <v>0</v>
          </cell>
          <cell r="BB45" t="str">
            <v>0</v>
          </cell>
          <cell r="BC45" t="str">
            <v>0</v>
          </cell>
          <cell r="BD45" t="str">
            <v>만26세</v>
          </cell>
          <cell r="BE45" t="str">
            <v>무한대</v>
          </cell>
          <cell r="BF45" t="str">
            <v>2억원</v>
          </cell>
          <cell r="BG45" t="str">
            <v>1억원/1500만</v>
          </cell>
          <cell r="BH45" t="str">
            <v>2억원/1인당</v>
          </cell>
          <cell r="BI45" t="str">
            <v>30만원</v>
          </cell>
          <cell r="BJ45" t="str">
            <v>임직원</v>
          </cell>
          <cell r="BK45" t="str">
            <v>5회/년</v>
          </cell>
          <cell r="BL45" t="str">
            <v>가입</v>
          </cell>
          <cell r="BM45" t="str">
            <v>미가입</v>
          </cell>
          <cell r="BN45" t="str">
            <v>브랜드보증 외 사용자 부담</v>
          </cell>
          <cell r="BO45" t="str">
            <v>브랜드보증 외 사용자 부담</v>
          </cell>
          <cell r="BP45" t="str">
            <v xml:space="preserve"> HANKOOK 앞/뒤165 60R14 79H </v>
          </cell>
          <cell r="BQ45" t="str">
            <v>0</v>
          </cell>
          <cell r="BR45">
            <v>17964</v>
          </cell>
          <cell r="BS45" t="str">
            <v>현금</v>
          </cell>
          <cell r="BT45" t="str">
            <v>0</v>
          </cell>
          <cell r="BU45" t="str">
            <v>0</v>
          </cell>
          <cell r="BV45" t="str">
            <v>0</v>
          </cell>
          <cell r="BW45" t="str">
            <v>0</v>
          </cell>
          <cell r="BX45">
            <v>0</v>
          </cell>
          <cell r="BY45">
            <v>0</v>
          </cell>
          <cell r="BZ45">
            <v>0</v>
          </cell>
          <cell r="CA45" t="str">
            <v>0</v>
          </cell>
          <cell r="CB45" t="str">
            <v>5</v>
          </cell>
          <cell r="CC45" t="str">
            <v>5</v>
          </cell>
          <cell r="CD45">
            <v>330900</v>
          </cell>
          <cell r="CE45">
            <v>60</v>
          </cell>
          <cell r="CF45">
            <v>19854000</v>
          </cell>
          <cell r="CG45" t="str">
            <v>0</v>
          </cell>
          <cell r="CH45" t="str">
            <v>0</v>
          </cell>
          <cell r="CI45">
            <v>2506900</v>
          </cell>
          <cell r="CJ45">
            <v>-1.2E-2</v>
          </cell>
          <cell r="CK45">
            <v>0.04</v>
          </cell>
          <cell r="CL45" t="str">
            <v>jhlee@shtel.co.kr</v>
          </cell>
          <cell r="CM45" t="str">
            <v>0</v>
          </cell>
          <cell r="CN45" t="str">
            <v>0</v>
          </cell>
          <cell r="CO45">
            <v>0.03</v>
          </cell>
          <cell r="CP45" t="str">
            <v>0</v>
          </cell>
          <cell r="CQ45">
            <v>0</v>
          </cell>
          <cell r="CR45">
            <v>0</v>
          </cell>
          <cell r="CS45">
            <v>0</v>
          </cell>
          <cell r="CT45">
            <v>0</v>
          </cell>
          <cell r="CU45">
            <v>0</v>
          </cell>
          <cell r="CV45">
            <v>0</v>
          </cell>
          <cell r="CW45">
            <v>0</v>
          </cell>
          <cell r="CX45">
            <v>0</v>
          </cell>
          <cell r="CY45">
            <v>0</v>
          </cell>
          <cell r="CZ45">
            <v>0</v>
          </cell>
          <cell r="DA45">
            <v>0</v>
          </cell>
          <cell r="DB45" t="str">
            <v>기아</v>
          </cell>
          <cell r="DC45" t="str">
            <v>정수원 실장</v>
          </cell>
          <cell r="DD45" t="str">
            <v>렌트베네핏</v>
          </cell>
          <cell r="DE45" t="str">
            <v>0</v>
          </cell>
          <cell r="DF45" t="str">
            <v>0</v>
          </cell>
          <cell r="DG45" t="str">
            <v>0</v>
          </cell>
          <cell r="DH45" t="str">
            <v>206-85-09469</v>
          </cell>
          <cell r="DI45" t="str">
            <v>주소 없음</v>
          </cell>
          <cell r="DJ45">
            <v>0.3</v>
          </cell>
          <cell r="DK45">
            <v>0.2</v>
          </cell>
          <cell r="DL45" t="str">
            <v>0</v>
          </cell>
          <cell r="DM45" t="str">
            <v>0</v>
          </cell>
          <cell r="DN45" t="str">
            <v>0</v>
          </cell>
          <cell r="DO45" t="str">
            <v>0</v>
          </cell>
          <cell r="DP45" t="str">
            <v>0</v>
          </cell>
        </row>
        <row r="46">
          <cell r="C46" t="str">
            <v>Ray-038</v>
          </cell>
          <cell r="D46" t="str">
            <v>신흥정보통신㈜_27</v>
          </cell>
          <cell r="E46" t="str">
            <v>이종희 이사님</v>
          </cell>
          <cell r="F46" t="str">
            <v>010-3214-0636</v>
          </cell>
          <cell r="G46" t="str">
            <v>Ray Van</v>
          </cell>
          <cell r="H46" t="str">
            <v>스탠다드 A/T</v>
          </cell>
          <cell r="I46">
            <v>12750000</v>
          </cell>
          <cell r="J46">
            <v>2022</v>
          </cell>
          <cell r="K46" t="str">
            <v>White/Black</v>
          </cell>
          <cell r="L46" t="str">
            <v>가솔린</v>
          </cell>
          <cell r="M46" t="str">
            <v>KNACF911BNT284069</v>
          </cell>
          <cell r="N46" t="str">
            <v>125호3201</v>
          </cell>
          <cell r="O46" t="str">
            <v>-</v>
          </cell>
          <cell r="P46">
            <v>998</v>
          </cell>
          <cell r="Q46">
            <v>44503</v>
          </cell>
          <cell r="R46">
            <v>44596</v>
          </cell>
          <cell r="S46">
            <v>44622</v>
          </cell>
          <cell r="T46" t="str">
            <v>5</v>
          </cell>
          <cell r="U46">
            <v>46447</v>
          </cell>
          <cell r="V46">
            <v>6</v>
          </cell>
          <cell r="W46">
            <v>20000</v>
          </cell>
          <cell r="X46" t="str">
            <v>이성호</v>
          </cell>
          <cell r="Y46" t="str">
            <v>010-5647-3311</v>
          </cell>
          <cell r="Z46" t="str">
            <v>고덕</v>
          </cell>
          <cell r="AA46" t="str">
            <v>서울특별시 강동구 천중로 213 2층 신흥정보통신</v>
          </cell>
          <cell r="AB46">
            <v>44625</v>
          </cell>
          <cell r="AC46">
            <v>1825</v>
          </cell>
          <cell r="AD46">
            <v>202</v>
          </cell>
          <cell r="AE46">
            <v>22020009</v>
          </cell>
          <cell r="AF46">
            <v>13209603</v>
          </cell>
          <cell r="AG46">
            <v>200000</v>
          </cell>
          <cell r="AH46">
            <v>12688000</v>
          </cell>
          <cell r="AI46">
            <v>0</v>
          </cell>
          <cell r="AJ46">
            <v>2000</v>
          </cell>
          <cell r="AK46">
            <v>461380</v>
          </cell>
          <cell r="AL46">
            <v>0</v>
          </cell>
          <cell r="AM46">
            <v>2000</v>
          </cell>
          <cell r="AN46">
            <v>27000</v>
          </cell>
          <cell r="AO46">
            <v>30000</v>
          </cell>
          <cell r="AP46">
            <v>430000</v>
          </cell>
          <cell r="AQ46">
            <v>0</v>
          </cell>
          <cell r="AR46" t="str">
            <v>엠피온</v>
          </cell>
          <cell r="AS46">
            <v>0</v>
          </cell>
          <cell r="AT46" t="str">
            <v>루마 전면 없음/측후면 15%</v>
          </cell>
          <cell r="AU46" t="str">
            <v>0</v>
          </cell>
          <cell r="AV46">
            <v>522380</v>
          </cell>
          <cell r="AW46" t="str">
            <v>렌터카 공제</v>
          </cell>
          <cell r="AX46">
            <v>44503</v>
          </cell>
          <cell r="AY46">
            <v>1153090</v>
          </cell>
          <cell r="AZ46">
            <v>1035460</v>
          </cell>
          <cell r="BA46" t="str">
            <v>0</v>
          </cell>
          <cell r="BB46" t="str">
            <v>0</v>
          </cell>
          <cell r="BC46" t="str">
            <v>0</v>
          </cell>
          <cell r="BD46" t="str">
            <v>만26세</v>
          </cell>
          <cell r="BE46" t="str">
            <v>무한대</v>
          </cell>
          <cell r="BF46" t="str">
            <v>2억원</v>
          </cell>
          <cell r="BG46" t="str">
            <v>1억원/1500만</v>
          </cell>
          <cell r="BH46" t="str">
            <v>2억원/1인당</v>
          </cell>
          <cell r="BI46" t="str">
            <v>30만원</v>
          </cell>
          <cell r="BJ46" t="str">
            <v>임직원</v>
          </cell>
          <cell r="BK46" t="str">
            <v>5회/년</v>
          </cell>
          <cell r="BL46" t="str">
            <v>가입</v>
          </cell>
          <cell r="BM46" t="str">
            <v>미가입</v>
          </cell>
          <cell r="BN46" t="str">
            <v>브랜드보증 외 사용자 부담</v>
          </cell>
          <cell r="BO46" t="str">
            <v>브랜드보증 외 사용자 부담</v>
          </cell>
          <cell r="BP46" t="str">
            <v xml:space="preserve"> HANKOOK 앞/뒤165 60R14 79H </v>
          </cell>
          <cell r="BQ46" t="str">
            <v>0</v>
          </cell>
          <cell r="BR46">
            <v>17964</v>
          </cell>
          <cell r="BS46" t="str">
            <v>현금</v>
          </cell>
          <cell r="BT46" t="str">
            <v>0</v>
          </cell>
          <cell r="BU46" t="str">
            <v>0</v>
          </cell>
          <cell r="BV46" t="str">
            <v>0</v>
          </cell>
          <cell r="BW46" t="str">
            <v>0</v>
          </cell>
          <cell r="BX46">
            <v>0</v>
          </cell>
          <cell r="BY46">
            <v>0</v>
          </cell>
          <cell r="BZ46">
            <v>0</v>
          </cell>
          <cell r="CA46" t="str">
            <v>0</v>
          </cell>
          <cell r="CB46" t="str">
            <v>5</v>
          </cell>
          <cell r="CC46" t="str">
            <v>5</v>
          </cell>
          <cell r="CD46">
            <v>330900</v>
          </cell>
          <cell r="CE46">
            <v>60</v>
          </cell>
          <cell r="CF46">
            <v>19854000</v>
          </cell>
          <cell r="CG46" t="str">
            <v>0</v>
          </cell>
          <cell r="CH46" t="str">
            <v>0</v>
          </cell>
          <cell r="CI46">
            <v>2506900</v>
          </cell>
          <cell r="CJ46">
            <v>-1.2E-2</v>
          </cell>
          <cell r="CK46">
            <v>0.04</v>
          </cell>
          <cell r="CL46" t="str">
            <v>jhlee@shtel.co.kr</v>
          </cell>
          <cell r="CM46" t="str">
            <v>0</v>
          </cell>
          <cell r="CN46" t="str">
            <v>0</v>
          </cell>
          <cell r="CO46">
            <v>0.03</v>
          </cell>
          <cell r="CP46" t="str">
            <v>0</v>
          </cell>
          <cell r="CQ46">
            <v>0</v>
          </cell>
          <cell r="CR46">
            <v>0</v>
          </cell>
          <cell r="CS46">
            <v>0</v>
          </cell>
          <cell r="CT46">
            <v>0</v>
          </cell>
          <cell r="CU46">
            <v>0</v>
          </cell>
          <cell r="CV46">
            <v>0</v>
          </cell>
          <cell r="CW46">
            <v>0</v>
          </cell>
          <cell r="CX46">
            <v>0</v>
          </cell>
          <cell r="CY46">
            <v>0</v>
          </cell>
          <cell r="CZ46">
            <v>0</v>
          </cell>
          <cell r="DA46">
            <v>0</v>
          </cell>
          <cell r="DB46" t="str">
            <v>기아</v>
          </cell>
          <cell r="DC46" t="str">
            <v>정수원 실장</v>
          </cell>
          <cell r="DD46" t="str">
            <v>렌트베네핏</v>
          </cell>
          <cell r="DE46" t="str">
            <v>0</v>
          </cell>
          <cell r="DF46" t="str">
            <v>0</v>
          </cell>
          <cell r="DG46" t="str">
            <v>0</v>
          </cell>
          <cell r="DH46" t="str">
            <v>206-85-09469</v>
          </cell>
          <cell r="DI46" t="str">
            <v>주소 없음</v>
          </cell>
          <cell r="DJ46">
            <v>0.3</v>
          </cell>
          <cell r="DK46">
            <v>0.2</v>
          </cell>
          <cell r="DL46" t="str">
            <v>0</v>
          </cell>
          <cell r="DM46" t="str">
            <v>0</v>
          </cell>
          <cell r="DN46" t="str">
            <v>0</v>
          </cell>
          <cell r="DO46" t="str">
            <v>0</v>
          </cell>
          <cell r="DP46" t="str">
            <v>0</v>
          </cell>
        </row>
        <row r="47">
          <cell r="C47" t="str">
            <v>Ray-047</v>
          </cell>
          <cell r="D47" t="str">
            <v>신흥정보통신㈜_31</v>
          </cell>
          <cell r="E47" t="str">
            <v>이종희 이사님</v>
          </cell>
          <cell r="F47" t="str">
            <v>010-3214-0636</v>
          </cell>
          <cell r="G47" t="str">
            <v>Ray Van</v>
          </cell>
          <cell r="H47" t="str">
            <v>스탠다드 A/T</v>
          </cell>
          <cell r="I47">
            <v>12750000</v>
          </cell>
          <cell r="J47">
            <v>2022</v>
          </cell>
          <cell r="K47" t="str">
            <v>White/Black</v>
          </cell>
          <cell r="L47" t="str">
            <v>가솔린</v>
          </cell>
          <cell r="M47" t="str">
            <v>KNACF911BNT284925</v>
          </cell>
          <cell r="N47" t="str">
            <v>125호3210</v>
          </cell>
          <cell r="O47" t="str">
            <v>-</v>
          </cell>
          <cell r="P47">
            <v>998</v>
          </cell>
          <cell r="Q47">
            <v>44503</v>
          </cell>
          <cell r="R47">
            <v>44596</v>
          </cell>
          <cell r="S47">
            <v>44622</v>
          </cell>
          <cell r="T47" t="str">
            <v>5</v>
          </cell>
          <cell r="U47">
            <v>46447</v>
          </cell>
          <cell r="V47">
            <v>6</v>
          </cell>
          <cell r="W47">
            <v>20000</v>
          </cell>
          <cell r="X47" t="str">
            <v>임현숙
최진</v>
          </cell>
          <cell r="Y47" t="str">
            <v>010-6724-1052
010-4304-3003</v>
          </cell>
          <cell r="Z47" t="str">
            <v>강서</v>
          </cell>
          <cell r="AA47" t="str">
            <v>서울특별시 강서구 강서로5길 64 (화곡동) KT강서지사 3층 신흥정보통신</v>
          </cell>
          <cell r="AB47">
            <v>44625</v>
          </cell>
          <cell r="AC47">
            <v>1825</v>
          </cell>
          <cell r="AD47">
            <v>202</v>
          </cell>
          <cell r="AE47">
            <v>22020014</v>
          </cell>
          <cell r="AF47">
            <v>13209603</v>
          </cell>
          <cell r="AG47">
            <v>200000</v>
          </cell>
          <cell r="AH47">
            <v>12688000</v>
          </cell>
          <cell r="AI47">
            <v>0</v>
          </cell>
          <cell r="AJ47">
            <v>2000</v>
          </cell>
          <cell r="AK47">
            <v>461380</v>
          </cell>
          <cell r="AL47">
            <v>0</v>
          </cell>
          <cell r="AM47">
            <v>2000</v>
          </cell>
          <cell r="AN47">
            <v>27000</v>
          </cell>
          <cell r="AO47">
            <v>30000</v>
          </cell>
          <cell r="AP47">
            <v>430000</v>
          </cell>
          <cell r="AQ47">
            <v>0</v>
          </cell>
          <cell r="AR47" t="str">
            <v>엠피온</v>
          </cell>
          <cell r="AS47">
            <v>0</v>
          </cell>
          <cell r="AT47" t="str">
            <v>루마 전면 없음/측후면 15%</v>
          </cell>
          <cell r="AU47" t="str">
            <v>0</v>
          </cell>
          <cell r="AV47">
            <v>522380</v>
          </cell>
          <cell r="AW47" t="str">
            <v>렌터카 공제</v>
          </cell>
          <cell r="AX47">
            <v>44503</v>
          </cell>
          <cell r="AY47">
            <v>1153090</v>
          </cell>
          <cell r="AZ47">
            <v>1035460</v>
          </cell>
          <cell r="BA47" t="str">
            <v>0</v>
          </cell>
          <cell r="BB47" t="str">
            <v>0</v>
          </cell>
          <cell r="BC47" t="str">
            <v>0</v>
          </cell>
          <cell r="BD47" t="str">
            <v>만26세</v>
          </cell>
          <cell r="BE47" t="str">
            <v>무한대</v>
          </cell>
          <cell r="BF47" t="str">
            <v>2억원</v>
          </cell>
          <cell r="BG47" t="str">
            <v>1억원/1500만</v>
          </cell>
          <cell r="BH47" t="str">
            <v>2억원/1인당</v>
          </cell>
          <cell r="BI47" t="str">
            <v>30만원</v>
          </cell>
          <cell r="BJ47" t="str">
            <v>임직원</v>
          </cell>
          <cell r="BK47" t="str">
            <v>5회/년</v>
          </cell>
          <cell r="BL47" t="str">
            <v>가입</v>
          </cell>
          <cell r="BM47" t="str">
            <v>미가입</v>
          </cell>
          <cell r="BN47" t="str">
            <v>브랜드보증 외 사용자 부담</v>
          </cell>
          <cell r="BO47" t="str">
            <v>브랜드보증 외 사용자 부담</v>
          </cell>
          <cell r="BP47" t="str">
            <v xml:space="preserve"> HANKOOK 앞/뒤165 60R14 79H </v>
          </cell>
          <cell r="BQ47" t="str">
            <v>0</v>
          </cell>
          <cell r="BR47">
            <v>17964</v>
          </cell>
          <cell r="BS47" t="str">
            <v>현금</v>
          </cell>
          <cell r="BT47" t="str">
            <v>0</v>
          </cell>
          <cell r="BU47" t="str">
            <v>0</v>
          </cell>
          <cell r="BV47" t="str">
            <v>0</v>
          </cell>
          <cell r="BW47" t="str">
            <v>0</v>
          </cell>
          <cell r="BX47">
            <v>0</v>
          </cell>
          <cell r="BY47">
            <v>0</v>
          </cell>
          <cell r="BZ47">
            <v>0</v>
          </cell>
          <cell r="CA47" t="str">
            <v>0</v>
          </cell>
          <cell r="CB47" t="str">
            <v>5</v>
          </cell>
          <cell r="CC47" t="str">
            <v>5</v>
          </cell>
          <cell r="CD47">
            <v>330900</v>
          </cell>
          <cell r="CE47">
            <v>60</v>
          </cell>
          <cell r="CF47">
            <v>19854000</v>
          </cell>
          <cell r="CG47" t="str">
            <v>0</v>
          </cell>
          <cell r="CH47" t="str">
            <v>0</v>
          </cell>
          <cell r="CI47">
            <v>2506900</v>
          </cell>
          <cell r="CJ47">
            <v>-1.2E-2</v>
          </cell>
          <cell r="CK47">
            <v>0.04</v>
          </cell>
          <cell r="CL47" t="str">
            <v>jhlee@shtel.co.kr</v>
          </cell>
          <cell r="CM47" t="str">
            <v>0</v>
          </cell>
          <cell r="CN47" t="str">
            <v>0</v>
          </cell>
          <cell r="CO47">
            <v>0.03</v>
          </cell>
          <cell r="CP47" t="str">
            <v>0</v>
          </cell>
          <cell r="CQ47">
            <v>0</v>
          </cell>
          <cell r="CR47">
            <v>0</v>
          </cell>
          <cell r="CS47">
            <v>0</v>
          </cell>
          <cell r="CT47">
            <v>0</v>
          </cell>
          <cell r="CU47">
            <v>0</v>
          </cell>
          <cell r="CV47">
            <v>0</v>
          </cell>
          <cell r="CW47">
            <v>0</v>
          </cell>
          <cell r="CX47">
            <v>0</v>
          </cell>
          <cell r="CY47">
            <v>0</v>
          </cell>
          <cell r="CZ47">
            <v>0</v>
          </cell>
          <cell r="DA47">
            <v>0</v>
          </cell>
          <cell r="DB47" t="str">
            <v>기아</v>
          </cell>
          <cell r="DC47" t="str">
            <v>정수원 실장</v>
          </cell>
          <cell r="DD47" t="str">
            <v>렌트베네핏</v>
          </cell>
          <cell r="DE47" t="str">
            <v>0</v>
          </cell>
          <cell r="DF47" t="str">
            <v>0</v>
          </cell>
          <cell r="DG47" t="str">
            <v>0</v>
          </cell>
          <cell r="DH47" t="str">
            <v>206-85-09469</v>
          </cell>
          <cell r="DI47" t="str">
            <v>주소 없음</v>
          </cell>
          <cell r="DJ47">
            <v>0.3</v>
          </cell>
          <cell r="DK47">
            <v>0.2</v>
          </cell>
          <cell r="DL47" t="str">
            <v>0</v>
          </cell>
          <cell r="DM47" t="str">
            <v>0</v>
          </cell>
          <cell r="DN47" t="str">
            <v>0</v>
          </cell>
          <cell r="DO47" t="str">
            <v>0</v>
          </cell>
          <cell r="DP47" t="str">
            <v>0</v>
          </cell>
        </row>
        <row r="48">
          <cell r="C48" t="str">
            <v>Benz-010</v>
          </cell>
          <cell r="D48" t="str">
            <v>홍현창 고객님</v>
          </cell>
          <cell r="E48" t="str">
            <v>홍기표 고객님</v>
          </cell>
          <cell r="F48" t="str">
            <v>010-8986-8554</v>
          </cell>
          <cell r="G48" t="str">
            <v>S580</v>
          </cell>
          <cell r="H48" t="str">
            <v>4Matic L</v>
          </cell>
          <cell r="I48">
            <v>229320000</v>
          </cell>
          <cell r="J48">
            <v>2022</v>
          </cell>
          <cell r="K48" t="str">
            <v>Ob/Bl</v>
          </cell>
          <cell r="L48" t="str">
            <v>가솔린</v>
          </cell>
          <cell r="M48" t="str">
            <v>W1K6G7GB8NA111215</v>
          </cell>
          <cell r="N48" t="str">
            <v>101하7231</v>
          </cell>
          <cell r="O48" t="str">
            <v>-</v>
          </cell>
          <cell r="P48">
            <v>3982</v>
          </cell>
          <cell r="Q48">
            <v>44623</v>
          </cell>
          <cell r="R48">
            <v>44620</v>
          </cell>
          <cell r="S48">
            <v>44628</v>
          </cell>
          <cell r="T48" t="str">
            <v>5</v>
          </cell>
          <cell r="U48">
            <v>46453</v>
          </cell>
          <cell r="V48">
            <v>6</v>
          </cell>
          <cell r="W48">
            <v>20000</v>
          </cell>
          <cell r="X48" t="str">
            <v>홍기표 고객님</v>
          </cell>
          <cell r="Y48" t="str">
            <v>010-8986-8554</v>
          </cell>
          <cell r="Z48" t="str">
            <v>0</v>
          </cell>
          <cell r="AA48" t="str">
            <v>경기도 성남시 분당구 성남대로 449 로얄팰리스 D동 2801호</v>
          </cell>
          <cell r="AB48">
            <v>44645</v>
          </cell>
          <cell r="AC48">
            <v>1825</v>
          </cell>
          <cell r="AD48">
            <v>208</v>
          </cell>
          <cell r="AE48">
            <v>22020016</v>
          </cell>
          <cell r="AF48">
            <v>220147200</v>
          </cell>
          <cell r="AG48">
            <v>8805888</v>
          </cell>
          <cell r="AH48">
            <v>211341312</v>
          </cell>
          <cell r="AI48" t="str">
            <v>0</v>
          </cell>
          <cell r="AJ48" t="str">
            <v>0</v>
          </cell>
          <cell r="AK48">
            <v>8005350</v>
          </cell>
          <cell r="AL48">
            <v>716058</v>
          </cell>
          <cell r="AM48">
            <v>5000</v>
          </cell>
          <cell r="AN48">
            <v>21500</v>
          </cell>
          <cell r="AO48">
            <v>30000</v>
          </cell>
          <cell r="AP48">
            <v>0</v>
          </cell>
          <cell r="AQ48" t="str">
            <v>0</v>
          </cell>
          <cell r="AR48" t="str">
            <v>벤츠블랙박스</v>
          </cell>
          <cell r="AS48">
            <v>240000</v>
          </cell>
          <cell r="AT48" t="str">
            <v>후푸옵틱 측후면 15% 전면 50%</v>
          </cell>
          <cell r="AU48">
            <v>8777908</v>
          </cell>
          <cell r="AV48">
            <v>9017908</v>
          </cell>
          <cell r="AW48" t="str">
            <v>삼성화재</v>
          </cell>
          <cell r="AX48">
            <v>44628</v>
          </cell>
          <cell r="AY48">
            <v>7032700</v>
          </cell>
          <cell r="AZ48">
            <v>1160880</v>
          </cell>
          <cell r="BA48" t="str">
            <v>0</v>
          </cell>
          <cell r="BB48" t="str">
            <v>0</v>
          </cell>
          <cell r="BC48" t="str">
            <v>0</v>
          </cell>
          <cell r="BD48" t="str">
            <v>만26세</v>
          </cell>
          <cell r="BE48" t="str">
            <v>무한대</v>
          </cell>
          <cell r="BF48" t="str">
            <v>5억</v>
          </cell>
          <cell r="BG48" t="str">
            <v>2억/3천만</v>
          </cell>
          <cell r="BH48" t="str">
            <v>2억원/1인당</v>
          </cell>
          <cell r="BI48" t="str">
            <v>50만원</v>
          </cell>
          <cell r="BJ48" t="str">
            <v>임직원</v>
          </cell>
          <cell r="BK48" t="str">
            <v>5회/년</v>
          </cell>
          <cell r="BL48" t="str">
            <v>가입</v>
          </cell>
          <cell r="BM48" t="str">
            <v>미가입</v>
          </cell>
          <cell r="BN48" t="str">
            <v>브랜드보증 외 사용자 부담</v>
          </cell>
          <cell r="BO48" t="str">
            <v>브랜드보증 외 사용자 부담</v>
          </cell>
          <cell r="BP48" t="str">
            <v>0</v>
          </cell>
          <cell r="BQ48" t="str">
            <v>0</v>
          </cell>
          <cell r="BR48">
            <v>95568</v>
          </cell>
          <cell r="BS48" t="str">
            <v>현금</v>
          </cell>
          <cell r="BT48" t="str">
            <v>0</v>
          </cell>
          <cell r="BU48" t="str">
            <v>0</v>
          </cell>
          <cell r="BV48" t="str">
            <v>0</v>
          </cell>
          <cell r="BW48" t="str">
            <v>0</v>
          </cell>
          <cell r="BX48" t="str">
            <v>0</v>
          </cell>
          <cell r="BY48" t="str">
            <v>0</v>
          </cell>
          <cell r="BZ48">
            <v>0</v>
          </cell>
          <cell r="CA48" t="str">
            <v>0</v>
          </cell>
          <cell r="CB48" t="str">
            <v>25</v>
          </cell>
          <cell r="CC48" t="str">
            <v>25</v>
          </cell>
          <cell r="CD48">
            <v>1828200</v>
          </cell>
          <cell r="CE48">
            <v>60</v>
          </cell>
          <cell r="CF48">
            <v>109692000</v>
          </cell>
          <cell r="CG48">
            <v>84848400</v>
          </cell>
          <cell r="CH48">
            <v>98607600</v>
          </cell>
          <cell r="CI48">
            <v>84848400</v>
          </cell>
          <cell r="CJ48">
            <v>3.2000000000000001E-2</v>
          </cell>
          <cell r="CK48">
            <v>0.06</v>
          </cell>
          <cell r="CL48" t="str">
            <v>hongkp.88@hanmail.net</v>
          </cell>
          <cell r="CM48" t="str">
            <v>0</v>
          </cell>
          <cell r="CN48" t="str">
            <v>0</v>
          </cell>
          <cell r="CO48">
            <v>0.03</v>
          </cell>
          <cell r="CP48" t="str">
            <v>0</v>
          </cell>
          <cell r="CQ48">
            <v>0</v>
          </cell>
          <cell r="CR48">
            <v>0</v>
          </cell>
          <cell r="CS48">
            <v>0</v>
          </cell>
          <cell r="CT48">
            <v>0</v>
          </cell>
          <cell r="CU48">
            <v>0</v>
          </cell>
          <cell r="CV48">
            <v>0</v>
          </cell>
          <cell r="CW48">
            <v>0</v>
          </cell>
          <cell r="CX48">
            <v>0</v>
          </cell>
          <cell r="CY48">
            <v>0</v>
          </cell>
          <cell r="CZ48">
            <v>0</v>
          </cell>
          <cell r="DA48">
            <v>0</v>
          </cell>
          <cell r="DB48" t="str">
            <v>한성</v>
          </cell>
          <cell r="DC48" t="str">
            <v>김성진 팀장</v>
          </cell>
          <cell r="DD48" t="str">
            <v>청담</v>
          </cell>
          <cell r="DE48" t="str">
            <v>0</v>
          </cell>
          <cell r="DF48" t="str">
            <v>0</v>
          </cell>
          <cell r="DG48" t="str">
            <v>0</v>
          </cell>
          <cell r="DH48" t="str">
            <v>692-47-00065</v>
          </cell>
          <cell r="DI48" t="str">
            <v>경기도 성남시 분당구 성남대로 449 로얄팰리스 D동 2801호</v>
          </cell>
          <cell r="DJ48">
            <v>0.3</v>
          </cell>
          <cell r="DK48">
            <v>0.2</v>
          </cell>
          <cell r="DL48" t="str">
            <v>0</v>
          </cell>
          <cell r="DM48" t="str">
            <v>0</v>
          </cell>
          <cell r="DN48" t="str">
            <v>0</v>
          </cell>
          <cell r="DO48" t="str">
            <v>0</v>
          </cell>
          <cell r="DP48" t="str">
            <v>0</v>
          </cell>
        </row>
        <row r="49">
          <cell r="C49" t="str">
            <v>K8-001</v>
          </cell>
          <cell r="D49" t="str">
            <v>㈜엘리프</v>
          </cell>
          <cell r="E49" t="str">
            <v>김종천 회장님</v>
          </cell>
          <cell r="F49" t="str">
            <v>010-5275-9304</v>
          </cell>
          <cell r="G49" t="str">
            <v>K8</v>
          </cell>
          <cell r="H49" t="str">
            <v>노블레스 2.5</v>
          </cell>
          <cell r="I49">
            <v>38450000</v>
          </cell>
          <cell r="J49">
            <v>2022</v>
          </cell>
          <cell r="K49" t="str">
            <v>그래비티 블루/브라운</v>
          </cell>
          <cell r="L49" t="str">
            <v>가솔린</v>
          </cell>
          <cell r="M49" t="str">
            <v>KNAM241BBNA029201</v>
          </cell>
          <cell r="N49" t="str">
            <v>101하5038</v>
          </cell>
          <cell r="O49" t="str">
            <v>-</v>
          </cell>
          <cell r="P49">
            <v>2497</v>
          </cell>
          <cell r="Q49">
            <v>44642</v>
          </cell>
          <cell r="R49">
            <v>44575</v>
          </cell>
          <cell r="S49">
            <v>44645</v>
          </cell>
          <cell r="T49" t="str">
            <v>5</v>
          </cell>
          <cell r="U49">
            <v>46470</v>
          </cell>
          <cell r="V49">
            <v>7</v>
          </cell>
          <cell r="W49">
            <v>50000</v>
          </cell>
          <cell r="X49" t="str">
            <v>김미라 고객님</v>
          </cell>
          <cell r="Y49" t="str">
            <v>010-4669-0893</v>
          </cell>
          <cell r="Z49" t="str">
            <v>0</v>
          </cell>
          <cell r="AA49" t="str">
            <v>경기도 광주시 도척면 도처로 604 34</v>
          </cell>
          <cell r="AB49">
            <v>44666</v>
          </cell>
          <cell r="AC49">
            <v>1825</v>
          </cell>
          <cell r="AD49">
            <v>225</v>
          </cell>
          <cell r="AE49">
            <v>22010004</v>
          </cell>
          <cell r="AF49">
            <v>36037286</v>
          </cell>
          <cell r="AG49">
            <v>1538000</v>
          </cell>
          <cell r="AH49">
            <v>34499286</v>
          </cell>
          <cell r="AI49" t="str">
            <v>0</v>
          </cell>
          <cell r="AJ49" t="str">
            <v>0</v>
          </cell>
          <cell r="AK49">
            <v>1310370</v>
          </cell>
          <cell r="AL49">
            <v>123060</v>
          </cell>
          <cell r="AM49">
            <v>2000</v>
          </cell>
          <cell r="AN49">
            <v>4500</v>
          </cell>
          <cell r="AO49">
            <v>50000</v>
          </cell>
          <cell r="AP49">
            <v>1148000</v>
          </cell>
          <cell r="AQ49">
            <v>132000</v>
          </cell>
          <cell r="AR49" t="str">
            <v>엠피온 S1000</v>
          </cell>
          <cell r="AS49">
            <v>198000</v>
          </cell>
          <cell r="AT49" t="str">
            <v>버택스 전면 35% 측후면 15%</v>
          </cell>
          <cell r="AU49">
            <v>1530430</v>
          </cell>
          <cell r="AV49">
            <v>1819930</v>
          </cell>
          <cell r="AW49" t="str">
            <v>렌터카 공제</v>
          </cell>
          <cell r="AX49">
            <v>44642</v>
          </cell>
          <cell r="AY49">
            <v>1529740</v>
          </cell>
          <cell r="AZ49" t="str">
            <v>0</v>
          </cell>
          <cell r="BA49" t="str">
            <v>0</v>
          </cell>
          <cell r="BB49" t="str">
            <v>0</v>
          </cell>
          <cell r="BC49" t="str">
            <v>0</v>
          </cell>
          <cell r="BD49" t="str">
            <v>만26세</v>
          </cell>
          <cell r="BE49" t="str">
            <v>무한대</v>
          </cell>
          <cell r="BF49" t="str">
            <v>2억원</v>
          </cell>
          <cell r="BG49" t="str">
            <v>1억원/1500만</v>
          </cell>
          <cell r="BH49" t="str">
            <v>2억원/1인당</v>
          </cell>
          <cell r="BI49" t="str">
            <v>30만원</v>
          </cell>
          <cell r="BJ49" t="str">
            <v>임직원</v>
          </cell>
          <cell r="BK49" t="str">
            <v>5회/년</v>
          </cell>
          <cell r="BL49" t="str">
            <v>가입</v>
          </cell>
          <cell r="BM49" t="str">
            <v>가입</v>
          </cell>
          <cell r="BN49" t="str">
            <v>가입</v>
          </cell>
          <cell r="BO49" t="str">
            <v>매년 = 4본 교체</v>
          </cell>
          <cell r="BP49" t="str">
            <v>NEXEN 225/55R17</v>
          </cell>
          <cell r="BQ49" t="str">
            <v>0</v>
          </cell>
          <cell r="BR49">
            <v>47443</v>
          </cell>
          <cell r="BS49" t="str">
            <v>현금</v>
          </cell>
          <cell r="BT49" t="str">
            <v>0</v>
          </cell>
          <cell r="BU49" t="str">
            <v>0</v>
          </cell>
          <cell r="BV49" t="str">
            <v>0</v>
          </cell>
          <cell r="BW49" t="str">
            <v>0</v>
          </cell>
          <cell r="BX49" t="str">
            <v>0</v>
          </cell>
          <cell r="BY49" t="str">
            <v>0</v>
          </cell>
          <cell r="BZ49">
            <v>0</v>
          </cell>
          <cell r="CA49" t="str">
            <v>0</v>
          </cell>
          <cell r="CB49" t="str">
            <v>15</v>
          </cell>
          <cell r="CC49" t="str">
            <v>15</v>
          </cell>
          <cell r="CD49">
            <v>830000</v>
          </cell>
          <cell r="CE49">
            <v>60</v>
          </cell>
          <cell r="CF49">
            <v>49800000</v>
          </cell>
          <cell r="CG49">
            <v>7690000</v>
          </cell>
          <cell r="CH49">
            <v>0</v>
          </cell>
          <cell r="CI49">
            <v>10112350</v>
          </cell>
          <cell r="CJ49">
            <v>0</v>
          </cell>
          <cell r="CK49">
            <v>0.06</v>
          </cell>
          <cell r="CL49" t="str">
            <v>jc708@hanmail.net</v>
          </cell>
          <cell r="CM49" t="str">
            <v>0</v>
          </cell>
          <cell r="CN49" t="str">
            <v>0</v>
          </cell>
          <cell r="CO49">
            <v>0.03</v>
          </cell>
          <cell r="CP49" t="str">
            <v>0</v>
          </cell>
          <cell r="CQ49" t="str">
            <v>코일매트</v>
          </cell>
          <cell r="CR49">
            <v>34100</v>
          </cell>
          <cell r="CS49">
            <v>0</v>
          </cell>
          <cell r="CT49">
            <v>0</v>
          </cell>
          <cell r="CU49">
            <v>0</v>
          </cell>
          <cell r="CV49">
            <v>0</v>
          </cell>
          <cell r="CW49">
            <v>0</v>
          </cell>
          <cell r="CX49">
            <v>0</v>
          </cell>
          <cell r="CY49">
            <v>0</v>
          </cell>
          <cell r="CZ49">
            <v>0</v>
          </cell>
          <cell r="DA49">
            <v>214100</v>
          </cell>
          <cell r="DB49" t="str">
            <v>기아</v>
          </cell>
          <cell r="DC49" t="str">
            <v>정수원 실장</v>
          </cell>
          <cell r="DD49" t="str">
            <v>렌트베네핏</v>
          </cell>
          <cell r="DE49" t="str">
            <v>0</v>
          </cell>
          <cell r="DF49" t="str">
            <v>우리은행</v>
          </cell>
          <cell r="DG49" t="str">
            <v>1005-981-825825</v>
          </cell>
          <cell r="DH49" t="str">
            <v>126-86-59239</v>
          </cell>
          <cell r="DI49" t="str">
            <v>경기도 광주시 도척면 도척로 694-34</v>
          </cell>
          <cell r="DJ49">
            <v>0.3</v>
          </cell>
          <cell r="DK49">
            <v>0.2</v>
          </cell>
          <cell r="DL49" t="str">
            <v>0</v>
          </cell>
          <cell r="DM49" t="str">
            <v>0</v>
          </cell>
          <cell r="DN49" t="str">
            <v>0</v>
          </cell>
          <cell r="DO49" t="str">
            <v>0</v>
          </cell>
          <cell r="DP49" t="str">
            <v>0</v>
          </cell>
        </row>
        <row r="50">
          <cell r="C50" t="str">
            <v>Benz-013</v>
          </cell>
          <cell r="D50" t="str">
            <v>송혁진 대표님</v>
          </cell>
          <cell r="E50" t="str">
            <v>송혁진 대표님</v>
          </cell>
          <cell r="F50" t="str">
            <v>010-8717-4428</v>
          </cell>
          <cell r="G50" t="str">
            <v>G63</v>
          </cell>
          <cell r="H50" t="str">
            <v>Edition</v>
          </cell>
          <cell r="I50">
            <v>245600000</v>
          </cell>
          <cell r="J50">
            <v>2021</v>
          </cell>
          <cell r="K50" t="str">
            <v>PW/Bl</v>
          </cell>
          <cell r="L50" t="str">
            <v>가솔린</v>
          </cell>
          <cell r="M50" t="str">
            <v xml:space="preserve"> W1NYC7GJ8MX425781</v>
          </cell>
          <cell r="N50" t="str">
            <v>101하7236</v>
          </cell>
          <cell r="O50" t="str">
            <v>-</v>
          </cell>
          <cell r="P50">
            <v>3982</v>
          </cell>
          <cell r="Q50">
            <v>44655</v>
          </cell>
          <cell r="R50">
            <v>44655</v>
          </cell>
          <cell r="S50">
            <v>45751</v>
          </cell>
          <cell r="T50" t="str">
            <v>2</v>
          </cell>
          <cell r="U50">
            <v>46481</v>
          </cell>
          <cell r="V50">
            <v>7</v>
          </cell>
          <cell r="W50">
            <v>20000</v>
          </cell>
          <cell r="X50" t="str">
            <v>송혁진 대표님</v>
          </cell>
          <cell r="Y50" t="str">
            <v>010-8717-4428</v>
          </cell>
          <cell r="Z50" t="str">
            <v>0</v>
          </cell>
          <cell r="AA50" t="str">
            <v>서울특별시 성동구 독서당로 40길 37 어울림더리버아파트 102동 802호</v>
          </cell>
          <cell r="AB50">
            <v>45772</v>
          </cell>
          <cell r="AC50">
            <v>730</v>
          </cell>
          <cell r="AD50">
            <v>236</v>
          </cell>
          <cell r="AE50">
            <v>22040014</v>
          </cell>
          <cell r="AF50">
            <v>245600000</v>
          </cell>
          <cell r="AG50" t="str">
            <v>0</v>
          </cell>
          <cell r="AH50">
            <v>245600000</v>
          </cell>
          <cell r="AI50" t="str">
            <v>0</v>
          </cell>
          <cell r="AJ50">
            <v>2000</v>
          </cell>
          <cell r="AK50">
            <v>8930900</v>
          </cell>
          <cell r="AL50">
            <v>656053</v>
          </cell>
          <cell r="AM50">
            <v>5000</v>
          </cell>
          <cell r="AN50">
            <v>21500</v>
          </cell>
          <cell r="AO50">
            <v>30000</v>
          </cell>
          <cell r="AP50">
            <v>0</v>
          </cell>
          <cell r="AQ50" t="str">
            <v>0</v>
          </cell>
          <cell r="AR50" t="str">
            <v>벤츠블랙박스</v>
          </cell>
          <cell r="AS50" t="str">
            <v>0</v>
          </cell>
          <cell r="AT50" t="str">
            <v>후푸옵틱 측후면 15% 전면 50%</v>
          </cell>
          <cell r="AU50">
            <v>9643453</v>
          </cell>
          <cell r="AV50">
            <v>9645453</v>
          </cell>
          <cell r="AW50" t="str">
            <v>삼성화재</v>
          </cell>
          <cell r="AX50">
            <v>44655</v>
          </cell>
          <cell r="AY50">
            <v>3469440</v>
          </cell>
          <cell r="AZ50" t="str">
            <v>0</v>
          </cell>
          <cell r="BA50" t="str">
            <v>0</v>
          </cell>
          <cell r="BB50" t="str">
            <v>0</v>
          </cell>
          <cell r="BC50" t="str">
            <v>0</v>
          </cell>
          <cell r="BD50" t="str">
            <v>만26세</v>
          </cell>
          <cell r="BE50" t="str">
            <v>무한대</v>
          </cell>
          <cell r="BF50" t="str">
            <v>5억</v>
          </cell>
          <cell r="BG50" t="str">
            <v>2억/3천만</v>
          </cell>
          <cell r="BH50" t="str">
            <v>2억원/1인당</v>
          </cell>
          <cell r="BI50" t="str">
            <v>50만원</v>
          </cell>
          <cell r="BJ50" t="str">
            <v>누구나</v>
          </cell>
          <cell r="BK50" t="str">
            <v>5회/년</v>
          </cell>
          <cell r="BL50" t="str">
            <v>가입</v>
          </cell>
          <cell r="BM50" t="str">
            <v>미가입</v>
          </cell>
          <cell r="BN50" t="str">
            <v>브랜드보증 외 사용자 부담</v>
          </cell>
          <cell r="BO50" t="str">
            <v>브랜드보증 외 사용자 부담</v>
          </cell>
          <cell r="BP50" t="str">
            <v>Pirelli 앞,뒤 295/40 R22</v>
          </cell>
          <cell r="BQ50" t="str">
            <v>0</v>
          </cell>
          <cell r="BR50">
            <v>95568</v>
          </cell>
          <cell r="BS50" t="str">
            <v>현금</v>
          </cell>
          <cell r="BT50" t="str">
            <v>0</v>
          </cell>
          <cell r="BU50" t="str">
            <v>0</v>
          </cell>
          <cell r="BV50" t="str">
            <v>0</v>
          </cell>
          <cell r="BW50" t="str">
            <v>0</v>
          </cell>
          <cell r="BX50" t="str">
            <v>0</v>
          </cell>
          <cell r="BY50" t="str">
            <v>0</v>
          </cell>
          <cell r="BZ50">
            <v>0</v>
          </cell>
          <cell r="CA50" t="str">
            <v>0</v>
          </cell>
          <cell r="CB50" t="str">
            <v>25</v>
          </cell>
          <cell r="CC50" t="str">
            <v>25</v>
          </cell>
          <cell r="CD50">
            <v>469000</v>
          </cell>
          <cell r="CE50">
            <v>24</v>
          </cell>
          <cell r="CF50">
            <v>11256000</v>
          </cell>
          <cell r="CG50">
            <v>90872000</v>
          </cell>
          <cell r="CH50">
            <v>0</v>
          </cell>
          <cell r="CI50">
            <v>90872000</v>
          </cell>
          <cell r="CJ50">
            <v>2.5999999999999999E-2</v>
          </cell>
          <cell r="CK50">
            <v>0.06</v>
          </cell>
          <cell r="CL50" t="str">
            <v>hjsong@premierpartners.co.kr</v>
          </cell>
          <cell r="CM50" t="str">
            <v>0</v>
          </cell>
          <cell r="CN50" t="str">
            <v>0</v>
          </cell>
          <cell r="CO50">
            <v>0.03</v>
          </cell>
          <cell r="CP50" t="str">
            <v>0</v>
          </cell>
          <cell r="CQ50">
            <v>0</v>
          </cell>
          <cell r="CR50">
            <v>0</v>
          </cell>
          <cell r="CS50">
            <v>0</v>
          </cell>
          <cell r="CT50">
            <v>0</v>
          </cell>
          <cell r="CU50">
            <v>0</v>
          </cell>
          <cell r="CV50">
            <v>0</v>
          </cell>
          <cell r="CW50">
            <v>0</v>
          </cell>
          <cell r="CX50">
            <v>0</v>
          </cell>
          <cell r="CY50">
            <v>0</v>
          </cell>
          <cell r="CZ50">
            <v>0</v>
          </cell>
          <cell r="DA50">
            <v>0</v>
          </cell>
          <cell r="DB50" t="str">
            <v>한성</v>
          </cell>
          <cell r="DC50" t="str">
            <v>전석영 부장</v>
          </cell>
          <cell r="DD50" t="str">
            <v>방배</v>
          </cell>
          <cell r="DE50" t="str">
            <v>0</v>
          </cell>
          <cell r="DF50" t="str">
            <v>하나은행</v>
          </cell>
          <cell r="DG50" t="str">
            <v>326-890065-65607</v>
          </cell>
          <cell r="DH50" t="str">
            <v>680215-1470612</v>
          </cell>
          <cell r="DI50" t="str">
            <v>주소 없음</v>
          </cell>
          <cell r="DJ50">
            <v>0.3</v>
          </cell>
          <cell r="DK50">
            <v>0.2</v>
          </cell>
          <cell r="DL50" t="str">
            <v>0</v>
          </cell>
          <cell r="DM50" t="str">
            <v>0</v>
          </cell>
          <cell r="DN50" t="str">
            <v>0</v>
          </cell>
          <cell r="DO50" t="str">
            <v>0</v>
          </cell>
          <cell r="DP50" t="str">
            <v>0</v>
          </cell>
        </row>
        <row r="51">
          <cell r="C51" t="str">
            <v>Ray-023</v>
          </cell>
          <cell r="D51" t="str">
            <v>신흥정보통신㈜_21</v>
          </cell>
          <cell r="E51" t="str">
            <v>이종희 이사님</v>
          </cell>
          <cell r="F51" t="str">
            <v>010-3214-0636</v>
          </cell>
          <cell r="G51" t="str">
            <v>Ray Van</v>
          </cell>
          <cell r="H51" t="str">
            <v>스탠다드 A/T</v>
          </cell>
          <cell r="I51">
            <v>12750000</v>
          </cell>
          <cell r="J51">
            <v>2022</v>
          </cell>
          <cell r="K51" t="str">
            <v>White/Black</v>
          </cell>
          <cell r="L51" t="str">
            <v>가솔린</v>
          </cell>
          <cell r="M51" t="str">
            <v>KNACF911BNT283759</v>
          </cell>
          <cell r="N51" t="str">
            <v>101호2186</v>
          </cell>
          <cell r="O51" t="str">
            <v>-</v>
          </cell>
          <cell r="P51">
            <v>998</v>
          </cell>
          <cell r="Q51">
            <v>44503</v>
          </cell>
          <cell r="R51">
            <v>44666</v>
          </cell>
          <cell r="S51">
            <v>44669</v>
          </cell>
          <cell r="T51" t="str">
            <v>5</v>
          </cell>
          <cell r="U51">
            <v>46494</v>
          </cell>
          <cell r="V51">
            <v>8</v>
          </cell>
          <cell r="W51">
            <v>20000</v>
          </cell>
          <cell r="X51" t="str">
            <v>이성호</v>
          </cell>
          <cell r="Y51" t="str">
            <v>010-5647-3311</v>
          </cell>
          <cell r="Z51" t="str">
            <v>고덕</v>
          </cell>
          <cell r="AA51" t="str">
            <v>서울특별시 강동구 천중로 213 2층 신흥정보통신</v>
          </cell>
          <cell r="AB51">
            <v>44686</v>
          </cell>
          <cell r="AC51">
            <v>1825</v>
          </cell>
          <cell r="AD51">
            <v>249</v>
          </cell>
          <cell r="AE51">
            <v>22040015</v>
          </cell>
          <cell r="AF51">
            <v>13209603</v>
          </cell>
          <cell r="AG51">
            <v>200000</v>
          </cell>
          <cell r="AH51">
            <v>12681000</v>
          </cell>
          <cell r="AI51">
            <v>0</v>
          </cell>
          <cell r="AJ51">
            <v>2000</v>
          </cell>
          <cell r="AK51">
            <v>461120</v>
          </cell>
          <cell r="AL51">
            <v>0</v>
          </cell>
          <cell r="AM51">
            <v>2000</v>
          </cell>
          <cell r="AN51">
            <v>27000</v>
          </cell>
          <cell r="AO51">
            <v>30000</v>
          </cell>
          <cell r="AP51">
            <v>430000</v>
          </cell>
          <cell r="AQ51">
            <v>0</v>
          </cell>
          <cell r="AR51" t="str">
            <v>엠피온</v>
          </cell>
          <cell r="AS51">
            <v>0</v>
          </cell>
          <cell r="AT51" t="str">
            <v>루마 전면 없음/측후면 15%</v>
          </cell>
          <cell r="AU51" t="str">
            <v>0</v>
          </cell>
          <cell r="AV51">
            <v>522120</v>
          </cell>
          <cell r="AW51" t="str">
            <v>렌터카 공제</v>
          </cell>
          <cell r="AX51">
            <v>44503</v>
          </cell>
          <cell r="AY51">
            <v>1153090</v>
          </cell>
          <cell r="AZ51">
            <v>1035460</v>
          </cell>
          <cell r="BA51" t="str">
            <v>0</v>
          </cell>
          <cell r="BB51" t="str">
            <v>0</v>
          </cell>
          <cell r="BC51" t="str">
            <v>0</v>
          </cell>
          <cell r="BD51" t="str">
            <v>만26세</v>
          </cell>
          <cell r="BE51" t="str">
            <v>무한대</v>
          </cell>
          <cell r="BF51" t="str">
            <v>2억원</v>
          </cell>
          <cell r="BG51" t="str">
            <v>1억원/1500만</v>
          </cell>
          <cell r="BH51" t="str">
            <v>2억원/1인당</v>
          </cell>
          <cell r="BI51" t="str">
            <v>30만원</v>
          </cell>
          <cell r="BJ51" t="str">
            <v>임직원</v>
          </cell>
          <cell r="BK51" t="str">
            <v>5회/년</v>
          </cell>
          <cell r="BL51" t="str">
            <v>가입</v>
          </cell>
          <cell r="BM51" t="str">
            <v>미가입</v>
          </cell>
          <cell r="BN51" t="str">
            <v>브랜드보증 외 사용자 부담</v>
          </cell>
          <cell r="BO51" t="str">
            <v>브랜드보증 외 사용자 부담</v>
          </cell>
          <cell r="BP51" t="str">
            <v xml:space="preserve"> HANKOOK 앞/뒤165 60R14 79H </v>
          </cell>
          <cell r="BQ51" t="str">
            <v>0</v>
          </cell>
          <cell r="BR51">
            <v>17964</v>
          </cell>
          <cell r="BS51" t="str">
            <v>현금</v>
          </cell>
          <cell r="BT51" t="str">
            <v>0</v>
          </cell>
          <cell r="BU51" t="str">
            <v>0</v>
          </cell>
          <cell r="BV51" t="str">
            <v>0</v>
          </cell>
          <cell r="BW51" t="str">
            <v>0</v>
          </cell>
          <cell r="BX51">
            <v>0</v>
          </cell>
          <cell r="BY51">
            <v>0</v>
          </cell>
          <cell r="BZ51">
            <v>0</v>
          </cell>
          <cell r="CA51" t="str">
            <v>0</v>
          </cell>
          <cell r="CB51" t="str">
            <v>5</v>
          </cell>
          <cell r="CC51" t="str">
            <v>5</v>
          </cell>
          <cell r="CD51">
            <v>330900</v>
          </cell>
          <cell r="CE51">
            <v>60</v>
          </cell>
          <cell r="CF51">
            <v>19854000</v>
          </cell>
          <cell r="CG51" t="str">
            <v>0</v>
          </cell>
          <cell r="CH51" t="str">
            <v>0</v>
          </cell>
          <cell r="CI51">
            <v>2506900</v>
          </cell>
          <cell r="CJ51">
            <v>-1.2E-2</v>
          </cell>
          <cell r="CK51">
            <v>0.04</v>
          </cell>
          <cell r="CL51" t="str">
            <v>jhlee@shtel.co.kr</v>
          </cell>
          <cell r="CM51" t="str">
            <v>0</v>
          </cell>
          <cell r="CN51" t="str">
            <v>0</v>
          </cell>
          <cell r="CO51">
            <v>0.03</v>
          </cell>
          <cell r="CP51" t="str">
            <v>0</v>
          </cell>
          <cell r="CQ51">
            <v>0</v>
          </cell>
          <cell r="CR51">
            <v>0</v>
          </cell>
          <cell r="CS51">
            <v>0</v>
          </cell>
          <cell r="CT51">
            <v>0</v>
          </cell>
          <cell r="CU51">
            <v>0</v>
          </cell>
          <cell r="CV51">
            <v>0</v>
          </cell>
          <cell r="CW51">
            <v>0</v>
          </cell>
          <cell r="CX51">
            <v>0</v>
          </cell>
          <cell r="CY51">
            <v>0</v>
          </cell>
          <cell r="CZ51">
            <v>0</v>
          </cell>
          <cell r="DA51">
            <v>0</v>
          </cell>
          <cell r="DB51" t="str">
            <v>기아</v>
          </cell>
          <cell r="DC51" t="str">
            <v>정수원 실장</v>
          </cell>
          <cell r="DD51" t="str">
            <v>렌트베네핏</v>
          </cell>
          <cell r="DE51" t="str">
            <v>0</v>
          </cell>
          <cell r="DF51" t="str">
            <v>0</v>
          </cell>
          <cell r="DG51" t="str">
            <v>0</v>
          </cell>
          <cell r="DH51" t="str">
            <v>206-85-09469</v>
          </cell>
          <cell r="DI51" t="str">
            <v>주소 없음</v>
          </cell>
          <cell r="DJ51">
            <v>0.3</v>
          </cell>
          <cell r="DK51">
            <v>0.2</v>
          </cell>
          <cell r="DL51" t="str">
            <v>0</v>
          </cell>
          <cell r="DM51" t="str">
            <v>0</v>
          </cell>
          <cell r="DN51" t="str">
            <v>0</v>
          </cell>
          <cell r="DO51" t="str">
            <v>0</v>
          </cell>
          <cell r="DP51" t="str">
            <v>0</v>
          </cell>
        </row>
        <row r="52">
          <cell r="C52" t="str">
            <v>Ray-031</v>
          </cell>
          <cell r="D52" t="str">
            <v>신흥정보통신㈜_24</v>
          </cell>
          <cell r="E52" t="str">
            <v>이종희 이사님</v>
          </cell>
          <cell r="F52" t="str">
            <v>010-3214-0636</v>
          </cell>
          <cell r="G52" t="str">
            <v>Ray Van</v>
          </cell>
          <cell r="H52" t="str">
            <v>스탠다드 A/T</v>
          </cell>
          <cell r="I52">
            <v>12750000</v>
          </cell>
          <cell r="J52">
            <v>2022</v>
          </cell>
          <cell r="K52" t="str">
            <v>White/Black</v>
          </cell>
          <cell r="L52" t="str">
            <v>가솔린</v>
          </cell>
          <cell r="M52" t="str">
            <v>KNACF911BNT283787</v>
          </cell>
          <cell r="N52" t="str">
            <v>101호2194</v>
          </cell>
          <cell r="O52" t="str">
            <v>-</v>
          </cell>
          <cell r="P52">
            <v>998</v>
          </cell>
          <cell r="Q52">
            <v>44503</v>
          </cell>
          <cell r="R52">
            <v>44666</v>
          </cell>
          <cell r="S52">
            <v>44669</v>
          </cell>
          <cell r="T52" t="str">
            <v>5</v>
          </cell>
          <cell r="U52">
            <v>46494</v>
          </cell>
          <cell r="V52">
            <v>8</v>
          </cell>
          <cell r="W52">
            <v>20000</v>
          </cell>
          <cell r="X52" t="str">
            <v>이성호</v>
          </cell>
          <cell r="Y52" t="str">
            <v>010-5647-3311</v>
          </cell>
          <cell r="Z52" t="str">
            <v>고덕</v>
          </cell>
          <cell r="AA52" t="str">
            <v>서울특별시 강동구 천중로 213 2층 신흥정보통신</v>
          </cell>
          <cell r="AB52">
            <v>44686</v>
          </cell>
          <cell r="AC52">
            <v>1825</v>
          </cell>
          <cell r="AD52">
            <v>249</v>
          </cell>
          <cell r="AE52">
            <v>22040017</v>
          </cell>
          <cell r="AF52">
            <v>13209603</v>
          </cell>
          <cell r="AG52">
            <v>200000</v>
          </cell>
          <cell r="AH52">
            <v>12688000</v>
          </cell>
          <cell r="AI52">
            <v>0</v>
          </cell>
          <cell r="AJ52">
            <v>2000</v>
          </cell>
          <cell r="AK52">
            <v>461380</v>
          </cell>
          <cell r="AL52">
            <v>0</v>
          </cell>
          <cell r="AM52">
            <v>2000</v>
          </cell>
          <cell r="AN52">
            <v>27000</v>
          </cell>
          <cell r="AO52">
            <v>30000</v>
          </cell>
          <cell r="AP52">
            <v>430000</v>
          </cell>
          <cell r="AQ52">
            <v>0</v>
          </cell>
          <cell r="AR52" t="str">
            <v>엠피온</v>
          </cell>
          <cell r="AS52">
            <v>0</v>
          </cell>
          <cell r="AT52" t="str">
            <v>루마 전면 없음/측후면 15%</v>
          </cell>
          <cell r="AU52" t="str">
            <v>0</v>
          </cell>
          <cell r="AV52">
            <v>522380</v>
          </cell>
          <cell r="AW52" t="str">
            <v>렌터카 공제</v>
          </cell>
          <cell r="AX52">
            <v>44503</v>
          </cell>
          <cell r="AY52">
            <v>1153090</v>
          </cell>
          <cell r="AZ52">
            <v>1042640</v>
          </cell>
          <cell r="BA52" t="str">
            <v>0</v>
          </cell>
          <cell r="BB52" t="str">
            <v>0</v>
          </cell>
          <cell r="BC52" t="str">
            <v>0</v>
          </cell>
          <cell r="BD52" t="str">
            <v>만26세</v>
          </cell>
          <cell r="BE52" t="str">
            <v>무한대</v>
          </cell>
          <cell r="BF52" t="str">
            <v>2억원</v>
          </cell>
          <cell r="BG52" t="str">
            <v>1억원/1500만</v>
          </cell>
          <cell r="BH52" t="str">
            <v>2억원/1인당</v>
          </cell>
          <cell r="BI52" t="str">
            <v>30만원</v>
          </cell>
          <cell r="BJ52" t="str">
            <v>임직원</v>
          </cell>
          <cell r="BK52" t="str">
            <v>5회/년</v>
          </cell>
          <cell r="BL52" t="str">
            <v>가입</v>
          </cell>
          <cell r="BM52" t="str">
            <v>미가입</v>
          </cell>
          <cell r="BN52" t="str">
            <v>브랜드보증 외 사용자 부담</v>
          </cell>
          <cell r="BO52" t="str">
            <v>브랜드보증 외 사용자 부담</v>
          </cell>
          <cell r="BP52" t="str">
            <v xml:space="preserve"> HANKOOK 앞/뒤165 60R14 79H </v>
          </cell>
          <cell r="BQ52" t="str">
            <v>0</v>
          </cell>
          <cell r="BR52">
            <v>17964</v>
          </cell>
          <cell r="BS52" t="str">
            <v>현금</v>
          </cell>
          <cell r="BT52" t="str">
            <v>0</v>
          </cell>
          <cell r="BU52" t="str">
            <v>0</v>
          </cell>
          <cell r="BV52" t="str">
            <v>0</v>
          </cell>
          <cell r="BW52" t="str">
            <v>0</v>
          </cell>
          <cell r="BX52">
            <v>0</v>
          </cell>
          <cell r="BY52">
            <v>0</v>
          </cell>
          <cell r="BZ52">
            <v>0</v>
          </cell>
          <cell r="CA52" t="str">
            <v>0</v>
          </cell>
          <cell r="CB52" t="str">
            <v>5</v>
          </cell>
          <cell r="CC52" t="str">
            <v>5</v>
          </cell>
          <cell r="CD52">
            <v>330900</v>
          </cell>
          <cell r="CE52">
            <v>60</v>
          </cell>
          <cell r="CF52">
            <v>19854000</v>
          </cell>
          <cell r="CG52" t="str">
            <v>0</v>
          </cell>
          <cell r="CH52" t="str">
            <v>0</v>
          </cell>
          <cell r="CI52">
            <v>2056900</v>
          </cell>
          <cell r="CJ52">
            <v>-1.2E-2</v>
          </cell>
          <cell r="CK52">
            <v>0.04</v>
          </cell>
          <cell r="CL52" t="str">
            <v>jhlee@shtel.co.kr</v>
          </cell>
          <cell r="CM52" t="str">
            <v>0</v>
          </cell>
          <cell r="CN52" t="str">
            <v>0</v>
          </cell>
          <cell r="CO52">
            <v>0.03</v>
          </cell>
          <cell r="CP52" t="str">
            <v>0</v>
          </cell>
          <cell r="CQ52">
            <v>0</v>
          </cell>
          <cell r="CR52">
            <v>0</v>
          </cell>
          <cell r="CS52">
            <v>0</v>
          </cell>
          <cell r="CT52">
            <v>0</v>
          </cell>
          <cell r="CU52">
            <v>0</v>
          </cell>
          <cell r="CV52">
            <v>0</v>
          </cell>
          <cell r="CW52">
            <v>0</v>
          </cell>
          <cell r="CX52">
            <v>0</v>
          </cell>
          <cell r="CY52">
            <v>0</v>
          </cell>
          <cell r="CZ52">
            <v>0</v>
          </cell>
          <cell r="DA52">
            <v>0</v>
          </cell>
          <cell r="DB52" t="str">
            <v>기아</v>
          </cell>
          <cell r="DC52" t="str">
            <v>정수원 실장</v>
          </cell>
          <cell r="DD52" t="str">
            <v>렌트베네핏</v>
          </cell>
          <cell r="DE52" t="str">
            <v>0</v>
          </cell>
          <cell r="DF52" t="str">
            <v>0</v>
          </cell>
          <cell r="DG52" t="str">
            <v>0</v>
          </cell>
          <cell r="DH52" t="str">
            <v>206-85-09469</v>
          </cell>
          <cell r="DI52" t="str">
            <v>주소 없음</v>
          </cell>
          <cell r="DJ52">
            <v>0.3</v>
          </cell>
          <cell r="DK52">
            <v>0.2</v>
          </cell>
          <cell r="DL52" t="str">
            <v>0</v>
          </cell>
          <cell r="DM52" t="str">
            <v>0</v>
          </cell>
          <cell r="DN52" t="str">
            <v>0</v>
          </cell>
          <cell r="DO52" t="str">
            <v>0</v>
          </cell>
          <cell r="DP52" t="str">
            <v>0</v>
          </cell>
        </row>
        <row r="53">
          <cell r="C53" t="str">
            <v>Ray-032</v>
          </cell>
          <cell r="D53" t="str">
            <v>신흥정보통신㈜_25</v>
          </cell>
          <cell r="E53" t="str">
            <v>이종희 이사님</v>
          </cell>
          <cell r="F53" t="str">
            <v>010-3214-0636</v>
          </cell>
          <cell r="G53" t="str">
            <v>Ray Van</v>
          </cell>
          <cell r="H53" t="str">
            <v>스탠다드 A/T</v>
          </cell>
          <cell r="I53">
            <v>12750000</v>
          </cell>
          <cell r="J53">
            <v>2022</v>
          </cell>
          <cell r="K53" t="str">
            <v>White/Black</v>
          </cell>
          <cell r="L53" t="str">
            <v>가솔린</v>
          </cell>
          <cell r="M53" t="str">
            <v>KNACF911BNT283793</v>
          </cell>
          <cell r="N53" t="str">
            <v>101호2195</v>
          </cell>
          <cell r="O53" t="str">
            <v>-</v>
          </cell>
          <cell r="P53">
            <v>998</v>
          </cell>
          <cell r="Q53">
            <v>44503</v>
          </cell>
          <cell r="R53">
            <v>44666</v>
          </cell>
          <cell r="S53">
            <v>44669</v>
          </cell>
          <cell r="T53" t="str">
            <v>5</v>
          </cell>
          <cell r="U53">
            <v>46494</v>
          </cell>
          <cell r="V53">
            <v>8</v>
          </cell>
          <cell r="W53">
            <v>20000</v>
          </cell>
          <cell r="X53" t="str">
            <v>이성호</v>
          </cell>
          <cell r="Y53" t="str">
            <v>010-5647-3311</v>
          </cell>
          <cell r="Z53" t="str">
            <v>고덕</v>
          </cell>
          <cell r="AA53" t="str">
            <v>서울특별시 강동구 천중로 213 2층 신흥정보통신</v>
          </cell>
          <cell r="AB53">
            <v>44686</v>
          </cell>
          <cell r="AC53">
            <v>1825</v>
          </cell>
          <cell r="AD53">
            <v>249</v>
          </cell>
          <cell r="AE53">
            <v>22040016</v>
          </cell>
          <cell r="AF53">
            <v>13209603</v>
          </cell>
          <cell r="AG53">
            <v>200000</v>
          </cell>
          <cell r="AH53">
            <v>12688000</v>
          </cell>
          <cell r="AI53">
            <v>0</v>
          </cell>
          <cell r="AJ53">
            <v>2000</v>
          </cell>
          <cell r="AK53">
            <v>461380</v>
          </cell>
          <cell r="AL53">
            <v>0</v>
          </cell>
          <cell r="AM53">
            <v>2000</v>
          </cell>
          <cell r="AN53">
            <v>27000</v>
          </cell>
          <cell r="AO53">
            <v>30000</v>
          </cell>
          <cell r="AP53">
            <v>430000</v>
          </cell>
          <cell r="AQ53">
            <v>0</v>
          </cell>
          <cell r="AR53" t="str">
            <v>엠피온</v>
          </cell>
          <cell r="AS53">
            <v>0</v>
          </cell>
          <cell r="AT53" t="str">
            <v>루마 전면 없음/측후면 15%</v>
          </cell>
          <cell r="AU53" t="str">
            <v>0</v>
          </cell>
          <cell r="AV53">
            <v>522380</v>
          </cell>
          <cell r="AW53" t="str">
            <v>렌터카 공제</v>
          </cell>
          <cell r="AX53">
            <v>44503</v>
          </cell>
          <cell r="AY53">
            <v>1153090</v>
          </cell>
          <cell r="AZ53">
            <v>1035460</v>
          </cell>
          <cell r="BA53" t="str">
            <v>0</v>
          </cell>
          <cell r="BB53" t="str">
            <v>0</v>
          </cell>
          <cell r="BC53" t="str">
            <v>0</v>
          </cell>
          <cell r="BD53" t="str">
            <v>만26세</v>
          </cell>
          <cell r="BE53" t="str">
            <v>무한대</v>
          </cell>
          <cell r="BF53" t="str">
            <v>2억원</v>
          </cell>
          <cell r="BG53" t="str">
            <v>1억원/1500만</v>
          </cell>
          <cell r="BH53" t="str">
            <v>2억원/1인당</v>
          </cell>
          <cell r="BI53" t="str">
            <v>30만원</v>
          </cell>
          <cell r="BJ53" t="str">
            <v>임직원</v>
          </cell>
          <cell r="BK53" t="str">
            <v>5회/년</v>
          </cell>
          <cell r="BL53" t="str">
            <v>가입</v>
          </cell>
          <cell r="BM53" t="str">
            <v>미가입</v>
          </cell>
          <cell r="BN53" t="str">
            <v>브랜드보증 외 사용자 부담</v>
          </cell>
          <cell r="BO53" t="str">
            <v>브랜드보증 외 사용자 부담</v>
          </cell>
          <cell r="BP53" t="str">
            <v xml:space="preserve"> HANKOOK 앞/뒤165 60R14 79H </v>
          </cell>
          <cell r="BQ53" t="str">
            <v>0</v>
          </cell>
          <cell r="BR53">
            <v>17964</v>
          </cell>
          <cell r="BS53" t="str">
            <v>현금</v>
          </cell>
          <cell r="BT53" t="str">
            <v>0</v>
          </cell>
          <cell r="BU53" t="str">
            <v>0</v>
          </cell>
          <cell r="BV53" t="str">
            <v>0</v>
          </cell>
          <cell r="BW53" t="str">
            <v>0</v>
          </cell>
          <cell r="BX53">
            <v>0</v>
          </cell>
          <cell r="BY53">
            <v>0</v>
          </cell>
          <cell r="BZ53">
            <v>0</v>
          </cell>
          <cell r="CA53" t="str">
            <v>0</v>
          </cell>
          <cell r="CB53" t="str">
            <v>5</v>
          </cell>
          <cell r="CC53" t="str">
            <v>5</v>
          </cell>
          <cell r="CD53">
            <v>330900</v>
          </cell>
          <cell r="CE53">
            <v>60</v>
          </cell>
          <cell r="CF53">
            <v>19854000</v>
          </cell>
          <cell r="CG53" t="str">
            <v>0</v>
          </cell>
          <cell r="CH53" t="str">
            <v>0</v>
          </cell>
          <cell r="CI53">
            <v>2506900</v>
          </cell>
          <cell r="CJ53">
            <v>-1.2E-2</v>
          </cell>
          <cell r="CK53">
            <v>0.04</v>
          </cell>
          <cell r="CL53" t="str">
            <v>jhlee@shtel.co.kr</v>
          </cell>
          <cell r="CM53" t="str">
            <v>0</v>
          </cell>
          <cell r="CN53" t="str">
            <v>0</v>
          </cell>
          <cell r="CO53">
            <v>0.03</v>
          </cell>
          <cell r="CP53" t="str">
            <v>0</v>
          </cell>
          <cell r="CQ53">
            <v>0</v>
          </cell>
          <cell r="CR53">
            <v>0</v>
          </cell>
          <cell r="CS53">
            <v>0</v>
          </cell>
          <cell r="CT53">
            <v>0</v>
          </cell>
          <cell r="CU53">
            <v>0</v>
          </cell>
          <cell r="CV53">
            <v>0</v>
          </cell>
          <cell r="CW53">
            <v>0</v>
          </cell>
          <cell r="CX53">
            <v>0</v>
          </cell>
          <cell r="CY53">
            <v>0</v>
          </cell>
          <cell r="CZ53">
            <v>0</v>
          </cell>
          <cell r="DA53">
            <v>0</v>
          </cell>
          <cell r="DB53" t="str">
            <v>기아</v>
          </cell>
          <cell r="DC53" t="str">
            <v>정수원 실장</v>
          </cell>
          <cell r="DD53" t="str">
            <v>렌트베네핏</v>
          </cell>
          <cell r="DE53" t="str">
            <v>0</v>
          </cell>
          <cell r="DF53" t="str">
            <v>0</v>
          </cell>
          <cell r="DG53" t="str">
            <v>0</v>
          </cell>
          <cell r="DH53" t="str">
            <v>206-85-09469</v>
          </cell>
          <cell r="DI53" t="str">
            <v>주소 없음</v>
          </cell>
          <cell r="DJ53">
            <v>0.3</v>
          </cell>
          <cell r="DK53">
            <v>0.2</v>
          </cell>
          <cell r="DL53" t="str">
            <v>0</v>
          </cell>
          <cell r="DM53" t="str">
            <v>0</v>
          </cell>
          <cell r="DN53" t="str">
            <v>0</v>
          </cell>
          <cell r="DO53" t="str">
            <v>0</v>
          </cell>
          <cell r="DP53" t="str">
            <v>0</v>
          </cell>
        </row>
        <row r="54">
          <cell r="C54" t="str">
            <v>Benz-015</v>
          </cell>
          <cell r="D54" t="str">
            <v>정재용 고객님</v>
          </cell>
          <cell r="E54" t="str">
            <v>정재용 고객님</v>
          </cell>
          <cell r="F54" t="str">
            <v>010-7228-7777</v>
          </cell>
          <cell r="G54" t="str">
            <v>E350</v>
          </cell>
          <cell r="H54" t="str">
            <v>4Matic AV</v>
          </cell>
          <cell r="I54">
            <v>85220000</v>
          </cell>
          <cell r="J54">
            <v>2022</v>
          </cell>
          <cell r="K54" t="str">
            <v>P.W/Brown</v>
          </cell>
          <cell r="L54" t="str">
            <v>가솔린</v>
          </cell>
          <cell r="M54" t="str">
            <v>W1KZF8GB2NB047754</v>
          </cell>
          <cell r="N54" t="str">
            <v>125호4340</v>
          </cell>
          <cell r="O54" t="str">
            <v>-</v>
          </cell>
          <cell r="P54">
            <v>1991</v>
          </cell>
          <cell r="Q54">
            <v>44680</v>
          </cell>
          <cell r="R54">
            <v>44673</v>
          </cell>
          <cell r="S54">
            <v>44680</v>
          </cell>
          <cell r="T54" t="str">
            <v>5</v>
          </cell>
          <cell r="U54">
            <v>46505</v>
          </cell>
          <cell r="V54">
            <v>8</v>
          </cell>
          <cell r="W54">
            <v>20000</v>
          </cell>
          <cell r="X54" t="str">
            <v>정재용 고객님</v>
          </cell>
          <cell r="Y54" t="str">
            <v>010-7228-7777</v>
          </cell>
          <cell r="Z54" t="str">
            <v>0</v>
          </cell>
          <cell r="AA54" t="str">
            <v>서울시 노원구 마들로5길25 녹천역두산위브 106동 702호</v>
          </cell>
          <cell r="AB54">
            <v>44706</v>
          </cell>
          <cell r="AC54">
            <v>1825</v>
          </cell>
          <cell r="AD54">
            <v>260</v>
          </cell>
          <cell r="AE54">
            <v>22040023</v>
          </cell>
          <cell r="AF54">
            <v>81811700</v>
          </cell>
          <cell r="AG54" t="str">
            <v>0</v>
          </cell>
          <cell r="AH54">
            <v>81811700</v>
          </cell>
          <cell r="AI54" t="str">
            <v>0</v>
          </cell>
          <cell r="AJ54" t="str">
            <v>0</v>
          </cell>
          <cell r="AK54">
            <v>2974970.9090909087</v>
          </cell>
          <cell r="AL54">
            <v>210144</v>
          </cell>
          <cell r="AM54">
            <v>5000</v>
          </cell>
          <cell r="AN54">
            <v>21500</v>
          </cell>
          <cell r="AO54">
            <v>30000</v>
          </cell>
          <cell r="AP54">
            <v>0</v>
          </cell>
          <cell r="AQ54" t="str">
            <v>0</v>
          </cell>
          <cell r="AR54" t="str">
            <v>벤츠블랙박스</v>
          </cell>
          <cell r="AS54" t="str">
            <v>0</v>
          </cell>
          <cell r="AT54" t="str">
            <v>후푸옵틱 측후면 15% 전면 50%</v>
          </cell>
          <cell r="AU54">
            <v>3378080</v>
          </cell>
          <cell r="AV54">
            <v>3241614.9090909087</v>
          </cell>
          <cell r="AW54" t="str">
            <v>렌터카 공제</v>
          </cell>
          <cell r="AX54">
            <v>44680</v>
          </cell>
          <cell r="AY54">
            <v>1806710</v>
          </cell>
          <cell r="AZ54" t="str">
            <v>0</v>
          </cell>
          <cell r="BA54" t="str">
            <v>0</v>
          </cell>
          <cell r="BB54" t="str">
            <v>0</v>
          </cell>
          <cell r="BC54" t="str">
            <v>0</v>
          </cell>
          <cell r="BD54" t="str">
            <v>만26세</v>
          </cell>
          <cell r="BE54" t="str">
            <v>무한대</v>
          </cell>
          <cell r="BF54" t="str">
            <v>5억</v>
          </cell>
          <cell r="BG54" t="str">
            <v>2억/3천만</v>
          </cell>
          <cell r="BH54" t="str">
            <v>2억원/1인당</v>
          </cell>
          <cell r="BI54" t="str">
            <v>50만원</v>
          </cell>
          <cell r="BJ54" t="str">
            <v>가족한정/누구나</v>
          </cell>
          <cell r="BK54" t="str">
            <v>5회/년</v>
          </cell>
          <cell r="BL54" t="str">
            <v>가입</v>
          </cell>
          <cell r="BM54" t="str">
            <v>미가입</v>
          </cell>
          <cell r="BN54" t="str">
            <v>브랜드보증 외 사용자 부담</v>
          </cell>
          <cell r="BO54" t="str">
            <v>브랜드보증 외 사용자 부담</v>
          </cell>
          <cell r="BP54" t="str">
            <v>0</v>
          </cell>
          <cell r="BQ54" t="str">
            <v>0</v>
          </cell>
          <cell r="BR54">
            <v>37829</v>
          </cell>
          <cell r="BS54" t="str">
            <v>현금</v>
          </cell>
          <cell r="BT54" t="str">
            <v>0</v>
          </cell>
          <cell r="BU54" t="str">
            <v>0</v>
          </cell>
          <cell r="BV54" t="str">
            <v>0</v>
          </cell>
          <cell r="BW54" t="str">
            <v>0</v>
          </cell>
          <cell r="BX54" t="str">
            <v>0</v>
          </cell>
          <cell r="BY54" t="str">
            <v>0</v>
          </cell>
          <cell r="BZ54">
            <v>0</v>
          </cell>
          <cell r="CA54" t="str">
            <v>0</v>
          </cell>
          <cell r="CB54" t="str">
            <v>25</v>
          </cell>
          <cell r="CC54" t="str">
            <v>25</v>
          </cell>
          <cell r="CD54">
            <v>1404000</v>
          </cell>
          <cell r="CE54">
            <v>60</v>
          </cell>
          <cell r="CF54">
            <v>84240000</v>
          </cell>
          <cell r="CG54">
            <v>20000000</v>
          </cell>
          <cell r="CH54" t="str">
            <v>0</v>
          </cell>
          <cell r="CI54">
            <v>35616000</v>
          </cell>
          <cell r="CJ54">
            <v>4.4999999999999998E-2</v>
          </cell>
          <cell r="CK54">
            <v>0.06</v>
          </cell>
          <cell r="CL54" t="str">
            <v>j1027220@naver.com</v>
          </cell>
          <cell r="CM54" t="str">
            <v>michaeljung@kt.com</v>
          </cell>
          <cell r="CN54" t="str">
            <v>0</v>
          </cell>
          <cell r="CO54">
            <v>0.03</v>
          </cell>
          <cell r="CP54" t="str">
            <v>0</v>
          </cell>
          <cell r="CQ54">
            <v>0</v>
          </cell>
          <cell r="CR54">
            <v>0</v>
          </cell>
          <cell r="CS54">
            <v>0</v>
          </cell>
          <cell r="CT54">
            <v>0</v>
          </cell>
          <cell r="CU54">
            <v>0</v>
          </cell>
          <cell r="CV54">
            <v>0</v>
          </cell>
          <cell r="CW54">
            <v>0</v>
          </cell>
          <cell r="CX54">
            <v>0</v>
          </cell>
          <cell r="CY54">
            <v>0</v>
          </cell>
          <cell r="CZ54">
            <v>0</v>
          </cell>
          <cell r="DA54">
            <v>0</v>
          </cell>
          <cell r="DB54" t="str">
            <v>한성</v>
          </cell>
          <cell r="DC54" t="str">
            <v>전석영 부장</v>
          </cell>
          <cell r="DD54" t="str">
            <v>방배</v>
          </cell>
          <cell r="DE54" t="str">
            <v>0</v>
          </cell>
          <cell r="DF54" t="str">
            <v>0</v>
          </cell>
          <cell r="DG54" t="str">
            <v>0</v>
          </cell>
          <cell r="DH54" t="str">
            <v>650424-1024912</v>
          </cell>
          <cell r="DI54" t="str">
            <v>주소 없음</v>
          </cell>
          <cell r="DJ54">
            <v>0.3</v>
          </cell>
          <cell r="DK54">
            <v>0.2</v>
          </cell>
          <cell r="DL54" t="str">
            <v>0</v>
          </cell>
          <cell r="DM54" t="str">
            <v>0</v>
          </cell>
          <cell r="DN54" t="str">
            <v>0</v>
          </cell>
          <cell r="DO54" t="str">
            <v>0</v>
          </cell>
          <cell r="DP54" t="str">
            <v>0</v>
          </cell>
        </row>
        <row r="55">
          <cell r="C55" t="str">
            <v>Benz-016</v>
          </cell>
          <cell r="D55" t="str">
            <v>포어러너캐피탈파트너스㈜</v>
          </cell>
          <cell r="E55" t="str">
            <v>유영석 사장님</v>
          </cell>
          <cell r="F55" t="str">
            <v>010-9001-9630</v>
          </cell>
          <cell r="G55" t="str">
            <v>G63</v>
          </cell>
          <cell r="H55" t="str">
            <v>-</v>
          </cell>
          <cell r="I55">
            <v>217600000</v>
          </cell>
          <cell r="J55">
            <v>2021</v>
          </cell>
          <cell r="K55" t="str">
            <v>Ob/Bl</v>
          </cell>
          <cell r="L55" t="str">
            <v>가솔린</v>
          </cell>
          <cell r="M55" t="str">
            <v>W1NYC7GJ8MX427515</v>
          </cell>
          <cell r="N55" t="str">
            <v>125호4342</v>
          </cell>
          <cell r="O55" t="str">
            <v>-</v>
          </cell>
          <cell r="P55">
            <v>3982</v>
          </cell>
          <cell r="Q55">
            <v>44683</v>
          </cell>
          <cell r="R55">
            <v>45401</v>
          </cell>
          <cell r="S55">
            <v>45414</v>
          </cell>
          <cell r="T55" t="str">
            <v>3</v>
          </cell>
          <cell r="U55">
            <v>46509</v>
          </cell>
          <cell r="V55">
            <v>8</v>
          </cell>
          <cell r="W55">
            <v>20000</v>
          </cell>
          <cell r="X55" t="str">
            <v>최정신 이사님</v>
          </cell>
          <cell r="Y55" t="str">
            <v>010-2204-7868</v>
          </cell>
          <cell r="Z55" t="str">
            <v>0</v>
          </cell>
          <cell r="AA55" t="str">
            <v>청담전시장</v>
          </cell>
          <cell r="AB55">
            <v>45437</v>
          </cell>
          <cell r="AC55">
            <v>1095</v>
          </cell>
          <cell r="AD55">
            <v>264</v>
          </cell>
          <cell r="AE55">
            <v>22040024</v>
          </cell>
          <cell r="AF55">
            <v>217600000</v>
          </cell>
          <cell r="AG55" t="str">
            <v>0</v>
          </cell>
          <cell r="AH55">
            <v>217600000</v>
          </cell>
          <cell r="AI55" t="str">
            <v>0</v>
          </cell>
          <cell r="AJ55" t="str">
            <v>0</v>
          </cell>
          <cell r="AK55">
            <v>7912727.2727272725</v>
          </cell>
          <cell r="AL55">
            <v>411087</v>
          </cell>
          <cell r="AM55">
            <v>5000</v>
          </cell>
          <cell r="AN55">
            <v>21500</v>
          </cell>
          <cell r="AO55">
            <v>30000</v>
          </cell>
          <cell r="AP55">
            <v>0</v>
          </cell>
          <cell r="AQ55" t="str">
            <v>0</v>
          </cell>
          <cell r="AR55" t="str">
            <v>벤츠블랙박스</v>
          </cell>
          <cell r="AS55" t="str">
            <v>0</v>
          </cell>
          <cell r="AT55" t="str">
            <v>후푸옵틱 측후면 15% 전면 50%</v>
          </cell>
          <cell r="AU55">
            <v>7582918</v>
          </cell>
          <cell r="AV55">
            <v>8380314.2727272725</v>
          </cell>
          <cell r="AW55" t="str">
            <v>삼성화재</v>
          </cell>
          <cell r="AX55">
            <v>44683</v>
          </cell>
          <cell r="AY55">
            <v>2561460</v>
          </cell>
          <cell r="AZ55" t="str">
            <v>0</v>
          </cell>
          <cell r="BA55" t="str">
            <v>0</v>
          </cell>
          <cell r="BB55" t="str">
            <v>0</v>
          </cell>
          <cell r="BC55" t="str">
            <v>0</v>
          </cell>
          <cell r="BD55" t="str">
            <v>만26세</v>
          </cell>
          <cell r="BE55" t="str">
            <v>무한대</v>
          </cell>
          <cell r="BF55" t="str">
            <v>5억</v>
          </cell>
          <cell r="BG55" t="str">
            <v>2억/3천만</v>
          </cell>
          <cell r="BH55" t="str">
            <v>2억원/1인당</v>
          </cell>
          <cell r="BI55" t="str">
            <v>50만원</v>
          </cell>
          <cell r="BJ55" t="str">
            <v>임직원</v>
          </cell>
          <cell r="BK55" t="str">
            <v>5회/년</v>
          </cell>
          <cell r="BL55" t="str">
            <v>가입</v>
          </cell>
          <cell r="BM55" t="str">
            <v>미가입</v>
          </cell>
          <cell r="BN55" t="str">
            <v>브랜드보증 외 사용자 부담</v>
          </cell>
          <cell r="BO55" t="str">
            <v>브랜드보증 외 사용자 부담</v>
          </cell>
          <cell r="BP55" t="str">
            <v>0</v>
          </cell>
          <cell r="BQ55" t="str">
            <v>0</v>
          </cell>
          <cell r="BR55">
            <v>95568</v>
          </cell>
          <cell r="BS55" t="str">
            <v>현금</v>
          </cell>
          <cell r="BT55" t="str">
            <v>0</v>
          </cell>
          <cell r="BU55" t="str">
            <v>0</v>
          </cell>
          <cell r="BV55" t="str">
            <v>0</v>
          </cell>
          <cell r="BW55" t="str">
            <v>0</v>
          </cell>
          <cell r="BX55" t="str">
            <v>0</v>
          </cell>
          <cell r="BY55" t="str">
            <v>0</v>
          </cell>
          <cell r="BZ55">
            <v>0</v>
          </cell>
          <cell r="CA55" t="str">
            <v>0</v>
          </cell>
          <cell r="CB55" t="str">
            <v>25</v>
          </cell>
          <cell r="CC55" t="str">
            <v>25</v>
          </cell>
          <cell r="CD55">
            <v>3916000</v>
          </cell>
          <cell r="CE55">
            <v>36</v>
          </cell>
          <cell r="CF55">
            <v>140976000</v>
          </cell>
          <cell r="CG55">
            <v>65280000</v>
          </cell>
          <cell r="CH55">
            <v>0</v>
          </cell>
          <cell r="CI55">
            <v>65280000</v>
          </cell>
          <cell r="CJ55">
            <v>0.02</v>
          </cell>
          <cell r="CK55">
            <v>0.06</v>
          </cell>
          <cell r="CL55" t="str">
            <v>jungshin.choi@frcpartners.com</v>
          </cell>
          <cell r="CM55" t="str">
            <v>jschoi1219@nate.com</v>
          </cell>
          <cell r="CN55" t="str">
            <v>010-2204-7868</v>
          </cell>
          <cell r="CO55">
            <v>0.03</v>
          </cell>
          <cell r="CP55" t="str">
            <v>0</v>
          </cell>
          <cell r="CQ55">
            <v>0</v>
          </cell>
          <cell r="CR55">
            <v>0</v>
          </cell>
          <cell r="CS55">
            <v>0</v>
          </cell>
          <cell r="CT55">
            <v>0</v>
          </cell>
          <cell r="CU55">
            <v>0</v>
          </cell>
          <cell r="CV55">
            <v>0</v>
          </cell>
          <cell r="CW55">
            <v>0</v>
          </cell>
          <cell r="CX55">
            <v>0</v>
          </cell>
          <cell r="CY55">
            <v>0</v>
          </cell>
          <cell r="CZ55">
            <v>0</v>
          </cell>
          <cell r="DA55">
            <v>0</v>
          </cell>
          <cell r="DB55" t="str">
            <v>한성</v>
          </cell>
          <cell r="DC55" t="str">
            <v>김성진 팀장</v>
          </cell>
          <cell r="DD55" t="str">
            <v>청담</v>
          </cell>
          <cell r="DE55" t="str">
            <v>0</v>
          </cell>
          <cell r="DF55" t="str">
            <v>신한은행</v>
          </cell>
          <cell r="DG55" t="str">
            <v>100-023-114288</v>
          </cell>
          <cell r="DH55" t="str">
            <v>120-87-15448</v>
          </cell>
          <cell r="DI55" t="str">
            <v>서울특별시 강남구 테헤란로 521, 9층(삼성동, 파르나스타워)</v>
          </cell>
          <cell r="DJ55">
            <v>0.3</v>
          </cell>
          <cell r="DK55">
            <v>0.2</v>
          </cell>
          <cell r="DL55" t="str">
            <v>0</v>
          </cell>
          <cell r="DM55" t="str">
            <v>0</v>
          </cell>
          <cell r="DN55" t="str">
            <v>0</v>
          </cell>
          <cell r="DO55" t="str">
            <v>0</v>
          </cell>
          <cell r="DP55" t="str">
            <v>0</v>
          </cell>
        </row>
        <row r="56">
          <cell r="C56" t="str">
            <v>Benz-017</v>
          </cell>
          <cell r="D56" t="str">
            <v>덕신설비</v>
          </cell>
          <cell r="E56" t="str">
            <v>김영운 사장님</v>
          </cell>
          <cell r="F56" t="str">
            <v>010-9153-6571</v>
          </cell>
          <cell r="G56" t="str">
            <v>GLE350e</v>
          </cell>
          <cell r="H56" t="str">
            <v>4Matic</v>
          </cell>
          <cell r="I56">
            <v>116320000</v>
          </cell>
          <cell r="J56">
            <v>2022</v>
          </cell>
          <cell r="K56" t="str">
            <v>P.W/Brown</v>
          </cell>
          <cell r="L56" t="str">
            <v>가솔린</v>
          </cell>
          <cell r="M56" t="str">
            <v>W1NFB5EB1NA702527</v>
          </cell>
          <cell r="N56" t="str">
            <v>125호5907</v>
          </cell>
          <cell r="O56" t="str">
            <v>-</v>
          </cell>
          <cell r="P56">
            <v>1991</v>
          </cell>
          <cell r="Q56">
            <v>44700</v>
          </cell>
          <cell r="R56">
            <v>44693</v>
          </cell>
          <cell r="S56">
            <v>44701</v>
          </cell>
          <cell r="T56" t="str">
            <v>5</v>
          </cell>
          <cell r="U56">
            <v>46526</v>
          </cell>
          <cell r="V56">
            <v>9</v>
          </cell>
          <cell r="W56">
            <v>20000</v>
          </cell>
          <cell r="X56" t="str">
            <v>김영운 사장님</v>
          </cell>
          <cell r="Y56" t="str">
            <v>010-9153-6571</v>
          </cell>
          <cell r="Z56" t="str">
            <v>0</v>
          </cell>
          <cell r="AA56" t="str">
            <v>충청북도 청주시 서원구 청남로1887번길 9, 제E동 1층 2호</v>
          </cell>
          <cell r="AB56">
            <v>44706</v>
          </cell>
          <cell r="AC56">
            <v>1825</v>
          </cell>
          <cell r="AD56">
            <v>281</v>
          </cell>
          <cell r="AE56">
            <v>22050025</v>
          </cell>
          <cell r="AF56">
            <v>111667200</v>
          </cell>
          <cell r="AG56">
            <v>4466688</v>
          </cell>
          <cell r="AH56">
            <v>107200512</v>
          </cell>
          <cell r="AI56" t="str">
            <v>0</v>
          </cell>
          <cell r="AJ56" t="str">
            <v>0</v>
          </cell>
          <cell r="AK56">
            <v>4060620</v>
          </cell>
          <cell r="AL56">
            <v>330932</v>
          </cell>
          <cell r="AM56">
            <v>5000</v>
          </cell>
          <cell r="AN56">
            <v>21500</v>
          </cell>
          <cell r="AO56">
            <v>30000</v>
          </cell>
          <cell r="AP56">
            <v>0</v>
          </cell>
          <cell r="AQ56" t="str">
            <v>0</v>
          </cell>
          <cell r="AR56" t="str">
            <v>벤츠블랙박스</v>
          </cell>
          <cell r="AS56" t="str">
            <v>0</v>
          </cell>
          <cell r="AT56" t="str">
            <v>후푸옵틱 측후면 15% 전면 50%</v>
          </cell>
          <cell r="AU56">
            <v>4448052</v>
          </cell>
          <cell r="AV56">
            <v>4448052</v>
          </cell>
          <cell r="AW56" t="str">
            <v>렌터카 공제</v>
          </cell>
          <cell r="AX56">
            <v>44699</v>
          </cell>
          <cell r="AY56">
            <v>1920800</v>
          </cell>
          <cell r="AZ56" t="str">
            <v>0</v>
          </cell>
          <cell r="BA56" t="str">
            <v>0</v>
          </cell>
          <cell r="BB56" t="str">
            <v>0</v>
          </cell>
          <cell r="BC56" t="str">
            <v>0</v>
          </cell>
          <cell r="BD56" t="str">
            <v>만26세</v>
          </cell>
          <cell r="BE56" t="str">
            <v>무한대</v>
          </cell>
          <cell r="BF56" t="str">
            <v>5억</v>
          </cell>
          <cell r="BG56" t="str">
            <v>2억/3천만</v>
          </cell>
          <cell r="BH56" t="str">
            <v>2억원/1인당</v>
          </cell>
          <cell r="BI56" t="str">
            <v>50만원</v>
          </cell>
          <cell r="BJ56" t="str">
            <v>가족한정/누구나</v>
          </cell>
          <cell r="BK56" t="str">
            <v>5회/년</v>
          </cell>
          <cell r="BL56" t="str">
            <v>가입</v>
          </cell>
          <cell r="BM56" t="str">
            <v>미가입</v>
          </cell>
          <cell r="BN56" t="str">
            <v>브랜드보증 외 사용자 부담</v>
          </cell>
          <cell r="BO56" t="str">
            <v>브랜드보증 외 사용자 부담</v>
          </cell>
          <cell r="BP56" t="str">
            <v>0</v>
          </cell>
          <cell r="BQ56" t="str">
            <v>0</v>
          </cell>
          <cell r="BR56">
            <v>37829</v>
          </cell>
          <cell r="BS56" t="str">
            <v>현금</v>
          </cell>
          <cell r="BT56" t="str">
            <v>0</v>
          </cell>
          <cell r="BU56" t="str">
            <v>0</v>
          </cell>
          <cell r="BV56" t="str">
            <v>0</v>
          </cell>
          <cell r="BW56" t="str">
            <v>0</v>
          </cell>
          <cell r="BX56" t="str">
            <v>0</v>
          </cell>
          <cell r="BY56" t="str">
            <v>0</v>
          </cell>
          <cell r="BZ56">
            <v>0</v>
          </cell>
          <cell r="CA56" t="str">
            <v>0</v>
          </cell>
          <cell r="CB56" t="str">
            <v>25</v>
          </cell>
          <cell r="CC56" t="str">
            <v>25</v>
          </cell>
          <cell r="CD56">
            <v>1558000</v>
          </cell>
          <cell r="CE56">
            <v>60</v>
          </cell>
          <cell r="CF56">
            <v>93480000</v>
          </cell>
          <cell r="CG56">
            <v>32351000</v>
          </cell>
          <cell r="CH56">
            <v>25510000</v>
          </cell>
          <cell r="CI56">
            <v>32351000</v>
          </cell>
          <cell r="CJ56">
            <v>-2.1600000000000001E-2</v>
          </cell>
          <cell r="CK56">
            <v>0.06</v>
          </cell>
          <cell r="CL56" t="str">
            <v>kyw6571@naver.com</v>
          </cell>
          <cell r="CM56" t="str">
            <v>0</v>
          </cell>
          <cell r="CN56" t="str">
            <v>0</v>
          </cell>
          <cell r="CO56">
            <v>0.03</v>
          </cell>
          <cell r="CP56" t="str">
            <v>0</v>
          </cell>
          <cell r="CQ56">
            <v>0</v>
          </cell>
          <cell r="CR56">
            <v>0</v>
          </cell>
          <cell r="CS56">
            <v>0</v>
          </cell>
          <cell r="CT56">
            <v>0</v>
          </cell>
          <cell r="CU56">
            <v>0</v>
          </cell>
          <cell r="CV56">
            <v>0</v>
          </cell>
          <cell r="CW56">
            <v>0</v>
          </cell>
          <cell r="CX56">
            <v>0</v>
          </cell>
          <cell r="CY56">
            <v>0</v>
          </cell>
          <cell r="CZ56">
            <v>0</v>
          </cell>
          <cell r="DA56">
            <v>0</v>
          </cell>
          <cell r="DB56" t="str">
            <v>한성</v>
          </cell>
          <cell r="DC56" t="str">
            <v>전석영 부장</v>
          </cell>
          <cell r="DD56" t="str">
            <v>방배</v>
          </cell>
          <cell r="DE56" t="str">
            <v>0</v>
          </cell>
          <cell r="DF56" t="str">
            <v>0</v>
          </cell>
          <cell r="DG56" t="str">
            <v>0</v>
          </cell>
          <cell r="DH56" t="str">
            <v>311-30-11821</v>
          </cell>
          <cell r="DI56" t="str">
            <v>주소 없음</v>
          </cell>
          <cell r="DJ56">
            <v>0.3</v>
          </cell>
          <cell r="DK56">
            <v>0.2</v>
          </cell>
          <cell r="DL56" t="str">
            <v>0</v>
          </cell>
          <cell r="DM56" t="str">
            <v>0</v>
          </cell>
          <cell r="DN56" t="str">
            <v>0</v>
          </cell>
          <cell r="DO56" t="str">
            <v>0</v>
          </cell>
          <cell r="DP56" t="str">
            <v>0</v>
          </cell>
        </row>
        <row r="57">
          <cell r="C57" t="str">
            <v>G90-001_1</v>
          </cell>
          <cell r="D57" t="str">
            <v>미래테크</v>
          </cell>
          <cell r="E57" t="str">
            <v>박경희</v>
          </cell>
          <cell r="F57" t="str">
            <v>010-7371-2338</v>
          </cell>
          <cell r="G57" t="str">
            <v>G90</v>
          </cell>
          <cell r="H57" t="str">
            <v>3.5 AWD</v>
          </cell>
          <cell r="I57">
            <v>119200000</v>
          </cell>
          <cell r="J57">
            <v>2022</v>
          </cell>
          <cell r="K57" t="str">
            <v>비크블랙/옵시디언 블랙 모노톤</v>
          </cell>
          <cell r="L57" t="str">
            <v>가솔린</v>
          </cell>
          <cell r="M57" t="str">
            <v>KMTFA41DDNU010337</v>
          </cell>
          <cell r="N57" t="str">
            <v>101호1807</v>
          </cell>
          <cell r="O57" t="str">
            <v>-</v>
          </cell>
          <cell r="P57">
            <v>3470</v>
          </cell>
          <cell r="Q57">
            <v>44735</v>
          </cell>
          <cell r="R57">
            <v>45401</v>
          </cell>
          <cell r="S57">
            <v>45406</v>
          </cell>
          <cell r="T57" t="str">
            <v>2.166666</v>
          </cell>
          <cell r="U57">
            <v>46196.83309</v>
          </cell>
          <cell r="V57">
            <v>26</v>
          </cell>
          <cell r="W57">
            <v>30000</v>
          </cell>
          <cell r="X57" t="str">
            <v>김형철 대리님</v>
          </cell>
          <cell r="Y57" t="str">
            <v>010-7371-2338</v>
          </cell>
          <cell r="Z57" t="str">
            <v>0</v>
          </cell>
          <cell r="AA57" t="str">
            <v>경기 용인시 수지구 신봉2로 72 신봉마을자이2차아파트 211동 주차장 앞</v>
          </cell>
          <cell r="AB57">
            <v>45437</v>
          </cell>
          <cell r="AC57">
            <v>790.83309000000008</v>
          </cell>
          <cell r="AD57">
            <v>-48.166909999999916</v>
          </cell>
          <cell r="AE57" t="str">
            <v>0</v>
          </cell>
          <cell r="AF57">
            <v>112227883</v>
          </cell>
          <cell r="AG57">
            <v>4489115.32</v>
          </cell>
          <cell r="AH57">
            <v>107738767.68000001</v>
          </cell>
          <cell r="AI57">
            <v>303000</v>
          </cell>
          <cell r="AJ57">
            <v>2000</v>
          </cell>
          <cell r="AK57">
            <v>4081010</v>
          </cell>
          <cell r="AL57">
            <v>575914</v>
          </cell>
          <cell r="AM57">
            <v>5000</v>
          </cell>
          <cell r="AN57">
            <v>21500</v>
          </cell>
          <cell r="AO57">
            <v>100000</v>
          </cell>
          <cell r="AP57">
            <v>2315000</v>
          </cell>
          <cell r="AQ57">
            <v>330000</v>
          </cell>
          <cell r="AR57" t="str">
            <v>아이나비 QSD-7000</v>
          </cell>
          <cell r="AS57">
            <v>420000</v>
          </cell>
          <cell r="AT57" t="str">
            <v>레이노 S-9/유리막/PPF</v>
          </cell>
          <cell r="AU57">
            <v>4800000</v>
          </cell>
          <cell r="AV57">
            <v>5838424</v>
          </cell>
          <cell r="AW57" t="str">
            <v>렌터카 공제</v>
          </cell>
          <cell r="AX57">
            <v>44735</v>
          </cell>
          <cell r="AY57">
            <v>1351060</v>
          </cell>
          <cell r="AZ57" t="str">
            <v>0</v>
          </cell>
          <cell r="BA57" t="str">
            <v xml:space="preserve">                                                                                                                                                    </v>
          </cell>
          <cell r="BB57" t="str">
            <v>0</v>
          </cell>
          <cell r="BC57" t="str">
            <v>0</v>
          </cell>
          <cell r="BD57" t="str">
            <v>만26세</v>
          </cell>
          <cell r="BE57" t="str">
            <v>무한대</v>
          </cell>
          <cell r="BF57" t="str">
            <v>5억</v>
          </cell>
          <cell r="BG57" t="str">
            <v>2억/3천만</v>
          </cell>
          <cell r="BH57" t="str">
            <v>2억원/1인당</v>
          </cell>
          <cell r="BI57" t="str">
            <v>50만원</v>
          </cell>
          <cell r="BJ57" t="str">
            <v>임직원</v>
          </cell>
          <cell r="BK57" t="str">
            <v>5회/년</v>
          </cell>
          <cell r="BL57" t="str">
            <v>가입</v>
          </cell>
          <cell r="BM57" t="str">
            <v>가입</v>
          </cell>
          <cell r="BN57" t="str">
            <v>가입</v>
          </cell>
          <cell r="BO57" t="str">
            <v>브랜드보증 외 사용자 부담</v>
          </cell>
          <cell r="BP57" t="str">
            <v>MICHELIN 245/45 R 20</v>
          </cell>
          <cell r="BQ57" t="str">
            <v>0</v>
          </cell>
          <cell r="BR57">
            <v>83280</v>
          </cell>
          <cell r="BS57" t="str">
            <v>현금</v>
          </cell>
          <cell r="BT57" t="str">
            <v>0</v>
          </cell>
          <cell r="BU57" t="str">
            <v>0</v>
          </cell>
          <cell r="BV57" t="str">
            <v>0</v>
          </cell>
          <cell r="BW57" t="str">
            <v>0</v>
          </cell>
          <cell r="BX57" t="str">
            <v>0</v>
          </cell>
          <cell r="BY57" t="str">
            <v>0</v>
          </cell>
          <cell r="BZ57">
            <v>0</v>
          </cell>
          <cell r="CA57" t="str">
            <v>0</v>
          </cell>
          <cell r="CB57" t="str">
            <v>25</v>
          </cell>
          <cell r="CC57" t="str">
            <v>25</v>
          </cell>
          <cell r="CD57">
            <v>2170000</v>
          </cell>
          <cell r="CE57">
            <v>25.999992000000002</v>
          </cell>
          <cell r="CF57">
            <v>56419982.640000008</v>
          </cell>
          <cell r="CG57">
            <v>0</v>
          </cell>
          <cell r="CH57">
            <v>0</v>
          </cell>
          <cell r="CI57" t="str">
            <v>만기시 반납</v>
          </cell>
          <cell r="CJ57">
            <v>0</v>
          </cell>
          <cell r="CK57">
            <v>0.06</v>
          </cell>
          <cell r="CL57" t="str">
            <v>serim@serimbng.co.kr; miraetech6528@naver.com</v>
          </cell>
          <cell r="CM57" t="str">
            <v>0</v>
          </cell>
          <cell r="CN57" t="str">
            <v>0</v>
          </cell>
          <cell r="CO57">
            <v>0.03</v>
          </cell>
          <cell r="CP57" t="str">
            <v>0</v>
          </cell>
          <cell r="CQ57">
            <v>0</v>
          </cell>
          <cell r="CR57">
            <v>0</v>
          </cell>
          <cell r="CS57">
            <v>0</v>
          </cell>
          <cell r="CT57">
            <v>0</v>
          </cell>
          <cell r="CU57">
            <v>0</v>
          </cell>
          <cell r="CV57">
            <v>0</v>
          </cell>
          <cell r="CW57">
            <v>0</v>
          </cell>
          <cell r="CX57">
            <v>0</v>
          </cell>
          <cell r="CY57">
            <v>0</v>
          </cell>
          <cell r="CZ57">
            <v>0</v>
          </cell>
          <cell r="DA57">
            <v>0</v>
          </cell>
          <cell r="DB57" t="str">
            <v>현대</v>
          </cell>
          <cell r="DC57" t="str">
            <v>박현식 부장</v>
          </cell>
          <cell r="DD57" t="str">
            <v>렌트베네핏</v>
          </cell>
          <cell r="DE57" t="str">
            <v>0</v>
          </cell>
          <cell r="DF57" t="str">
            <v>국민은행</v>
          </cell>
          <cell r="DG57" t="str">
            <v>294501-04-14655</v>
          </cell>
          <cell r="DH57" t="str">
            <v>531-79-00252</v>
          </cell>
          <cell r="DI57" t="str">
            <v>경기도 평택시 오성면 오성북로 154-94</v>
          </cell>
          <cell r="DJ57">
            <v>0.3</v>
          </cell>
          <cell r="DK57">
            <v>0.2</v>
          </cell>
          <cell r="DL57" t="str">
            <v>0</v>
          </cell>
          <cell r="DM57" t="str">
            <v>0</v>
          </cell>
          <cell r="DN57" t="str">
            <v>0</v>
          </cell>
          <cell r="DO57" t="str">
            <v>0</v>
          </cell>
          <cell r="DP57" t="str">
            <v>0</v>
          </cell>
        </row>
        <row r="58">
          <cell r="C58" t="str">
            <v>Ray-050</v>
          </cell>
          <cell r="D58" t="str">
            <v>신흥정보통신㈜_34</v>
          </cell>
          <cell r="E58" t="str">
            <v>이종희 이사님</v>
          </cell>
          <cell r="F58" t="str">
            <v>010-3214-0636</v>
          </cell>
          <cell r="G58" t="str">
            <v>Ray Van</v>
          </cell>
          <cell r="H58" t="str">
            <v>프레스티지</v>
          </cell>
          <cell r="I58">
            <v>13150000</v>
          </cell>
          <cell r="J58">
            <v>2022</v>
          </cell>
          <cell r="K58" t="str">
            <v>White/Black</v>
          </cell>
          <cell r="L58" t="str">
            <v>가솔린</v>
          </cell>
          <cell r="M58" t="str">
            <v>KNACF911BNT311915</v>
          </cell>
          <cell r="N58" t="str">
            <v>125호3220</v>
          </cell>
          <cell r="O58" t="str">
            <v>-</v>
          </cell>
          <cell r="P58">
            <v>998</v>
          </cell>
          <cell r="Q58">
            <v>44735</v>
          </cell>
          <cell r="R58">
            <v>44666</v>
          </cell>
          <cell r="S58">
            <v>44740</v>
          </cell>
          <cell r="T58" t="str">
            <v>5</v>
          </cell>
          <cell r="U58">
            <v>46565</v>
          </cell>
          <cell r="V58">
            <v>10</v>
          </cell>
          <cell r="W58">
            <v>20000</v>
          </cell>
          <cell r="X58" t="str">
            <v>이진근</v>
          </cell>
          <cell r="Y58" t="str">
            <v>010-7234-1114</v>
          </cell>
          <cell r="Z58" t="str">
            <v>경기 동두천지점</v>
          </cell>
          <cell r="AA58" t="str">
            <v>경기도 동두천시 중앙로 260 (생연동) KT 동두천지점 2층 신흥정보통신</v>
          </cell>
          <cell r="AB58">
            <v>44747</v>
          </cell>
          <cell r="AC58">
            <v>1825</v>
          </cell>
          <cell r="AD58">
            <v>320</v>
          </cell>
          <cell r="AE58">
            <v>22040019</v>
          </cell>
          <cell r="AF58">
            <v>13118375</v>
          </cell>
          <cell r="AG58">
            <v>0</v>
          </cell>
          <cell r="AH58">
            <v>13118375</v>
          </cell>
          <cell r="AI58" t="str">
            <v>0</v>
          </cell>
          <cell r="AJ58">
            <v>2000</v>
          </cell>
          <cell r="AK58">
            <v>477031.81818181812</v>
          </cell>
          <cell r="AL58">
            <v>0</v>
          </cell>
          <cell r="AM58">
            <v>2000</v>
          </cell>
          <cell r="AN58">
            <v>27000</v>
          </cell>
          <cell r="AO58">
            <v>30000</v>
          </cell>
          <cell r="AP58">
            <v>430000</v>
          </cell>
          <cell r="AQ58">
            <v>0</v>
          </cell>
          <cell r="AR58" t="str">
            <v>엠피온</v>
          </cell>
          <cell r="AS58">
            <v>0</v>
          </cell>
          <cell r="AT58" t="str">
            <v>루마 전면 없음/측후면 15%</v>
          </cell>
          <cell r="AU58">
            <v>477028</v>
          </cell>
          <cell r="AV58">
            <v>538031.81818181812</v>
          </cell>
          <cell r="AW58" t="str">
            <v>렌터카 공제</v>
          </cell>
          <cell r="AX58">
            <v>44735</v>
          </cell>
          <cell r="AY58">
            <v>1182390</v>
          </cell>
          <cell r="AZ58" t="str">
            <v>0</v>
          </cell>
          <cell r="BA58" t="str">
            <v>0</v>
          </cell>
          <cell r="BB58" t="str">
            <v>0</v>
          </cell>
          <cell r="BC58" t="str">
            <v>0</v>
          </cell>
          <cell r="BD58" t="str">
            <v>만26세</v>
          </cell>
          <cell r="BE58" t="str">
            <v>무한대</v>
          </cell>
          <cell r="BF58" t="str">
            <v>2억원</v>
          </cell>
          <cell r="BG58" t="str">
            <v>1억원/1500만</v>
          </cell>
          <cell r="BH58" t="str">
            <v>2억원/1인당</v>
          </cell>
          <cell r="BI58" t="str">
            <v>30만원</v>
          </cell>
          <cell r="BJ58" t="str">
            <v>임직원</v>
          </cell>
          <cell r="BK58" t="str">
            <v>5회/년</v>
          </cell>
          <cell r="BL58" t="str">
            <v>가입</v>
          </cell>
          <cell r="BM58" t="str">
            <v>미가입</v>
          </cell>
          <cell r="BN58" t="str">
            <v>브랜드보증 외 사용자 부담</v>
          </cell>
          <cell r="BO58" t="str">
            <v>브랜드보증 외 사용자 부담</v>
          </cell>
          <cell r="BP58" t="str">
            <v xml:space="preserve"> HANKOOK 앞/뒤165 60R14 79H </v>
          </cell>
          <cell r="BQ58" t="str">
            <v>0</v>
          </cell>
          <cell r="BR58">
            <v>17964</v>
          </cell>
          <cell r="BS58" t="str">
            <v>현금</v>
          </cell>
          <cell r="BT58" t="str">
            <v>0</v>
          </cell>
          <cell r="BU58" t="str">
            <v>0</v>
          </cell>
          <cell r="BV58" t="str">
            <v>0</v>
          </cell>
          <cell r="BW58" t="str">
            <v>0</v>
          </cell>
          <cell r="BX58" t="str">
            <v>0</v>
          </cell>
          <cell r="BY58" t="str">
            <v>0</v>
          </cell>
          <cell r="BZ58">
            <v>0</v>
          </cell>
          <cell r="CA58" t="str">
            <v>0</v>
          </cell>
          <cell r="CB58" t="str">
            <v>5</v>
          </cell>
          <cell r="CC58" t="str">
            <v>5</v>
          </cell>
          <cell r="CD58">
            <v>340700</v>
          </cell>
          <cell r="CE58">
            <v>60</v>
          </cell>
          <cell r="CF58">
            <v>20442000</v>
          </cell>
          <cell r="CG58" t="str">
            <v>0</v>
          </cell>
          <cell r="CH58" t="str">
            <v>0</v>
          </cell>
          <cell r="CI58">
            <v>2506900</v>
          </cell>
          <cell r="CJ58">
            <v>0.01</v>
          </cell>
          <cell r="CK58">
            <v>0.04</v>
          </cell>
          <cell r="CL58" t="str">
            <v>jhlee@shtel.co.kr</v>
          </cell>
          <cell r="CM58" t="str">
            <v>0</v>
          </cell>
          <cell r="CN58" t="str">
            <v>0</v>
          </cell>
          <cell r="CO58">
            <v>0.03</v>
          </cell>
          <cell r="CP58" t="str">
            <v>0</v>
          </cell>
          <cell r="CQ58">
            <v>0</v>
          </cell>
          <cell r="CR58">
            <v>0</v>
          </cell>
          <cell r="CS58">
            <v>0</v>
          </cell>
          <cell r="CT58">
            <v>0</v>
          </cell>
          <cell r="CU58">
            <v>0</v>
          </cell>
          <cell r="CV58">
            <v>0</v>
          </cell>
          <cell r="CW58">
            <v>0</v>
          </cell>
          <cell r="CX58">
            <v>0</v>
          </cell>
          <cell r="CY58">
            <v>0</v>
          </cell>
          <cell r="CZ58">
            <v>0</v>
          </cell>
          <cell r="DA58">
            <v>0</v>
          </cell>
          <cell r="DB58" t="str">
            <v>기아</v>
          </cell>
          <cell r="DC58" t="str">
            <v>정수원 실장</v>
          </cell>
          <cell r="DD58" t="str">
            <v>렌트베네핏</v>
          </cell>
          <cell r="DE58" t="str">
            <v>0</v>
          </cell>
          <cell r="DF58" t="str">
            <v>0</v>
          </cell>
          <cell r="DG58" t="str">
            <v>0</v>
          </cell>
          <cell r="DH58" t="str">
            <v>206-85-09469</v>
          </cell>
          <cell r="DI58" t="str">
            <v>주소 없음</v>
          </cell>
          <cell r="DJ58">
            <v>0.3</v>
          </cell>
          <cell r="DK58">
            <v>0.2</v>
          </cell>
          <cell r="DL58" t="str">
            <v>0</v>
          </cell>
          <cell r="DM58" t="str">
            <v>0</v>
          </cell>
          <cell r="DN58" t="str">
            <v>0</v>
          </cell>
          <cell r="DO58" t="str">
            <v>0</v>
          </cell>
          <cell r="DP58" t="str">
            <v>0</v>
          </cell>
        </row>
        <row r="59">
          <cell r="C59" t="str">
            <v>Ray-051</v>
          </cell>
          <cell r="D59" t="str">
            <v>신흥정보통신㈜_35</v>
          </cell>
          <cell r="E59" t="str">
            <v>이종희 이사님</v>
          </cell>
          <cell r="F59" t="str">
            <v>010-3214-0636</v>
          </cell>
          <cell r="G59" t="str">
            <v>Ray Van</v>
          </cell>
          <cell r="H59" t="str">
            <v>프레스티지</v>
          </cell>
          <cell r="I59">
            <v>13150000</v>
          </cell>
          <cell r="J59">
            <v>2022</v>
          </cell>
          <cell r="K59" t="str">
            <v>White/Black</v>
          </cell>
          <cell r="L59" t="str">
            <v>가솔린</v>
          </cell>
          <cell r="M59" t="str">
            <v>KNACF911BNT311749</v>
          </cell>
          <cell r="N59" t="str">
            <v>125호3224</v>
          </cell>
          <cell r="O59" t="str">
            <v>-</v>
          </cell>
          <cell r="P59">
            <v>998</v>
          </cell>
          <cell r="Q59">
            <v>44735</v>
          </cell>
          <cell r="R59">
            <v>44666</v>
          </cell>
          <cell r="S59">
            <v>44740</v>
          </cell>
          <cell r="T59" t="str">
            <v>5</v>
          </cell>
          <cell r="U59">
            <v>46565</v>
          </cell>
          <cell r="V59">
            <v>10</v>
          </cell>
          <cell r="W59">
            <v>20000</v>
          </cell>
          <cell r="X59" t="str">
            <v>이성호</v>
          </cell>
          <cell r="Y59" t="str">
            <v>010-5647-3311</v>
          </cell>
          <cell r="Z59" t="str">
            <v>강동구 고덕점</v>
          </cell>
          <cell r="AA59" t="str">
            <v>서울특별시 강동구 천중로 213 2층 신흥정보통신</v>
          </cell>
          <cell r="AB59">
            <v>44747</v>
          </cell>
          <cell r="AC59">
            <v>1825</v>
          </cell>
          <cell r="AD59">
            <v>320</v>
          </cell>
          <cell r="AE59">
            <v>22040020</v>
          </cell>
          <cell r="AF59">
            <v>13118375</v>
          </cell>
          <cell r="AG59">
            <v>0</v>
          </cell>
          <cell r="AH59">
            <v>13118375</v>
          </cell>
          <cell r="AI59" t="str">
            <v>0</v>
          </cell>
          <cell r="AJ59">
            <v>2000</v>
          </cell>
          <cell r="AK59">
            <v>477031.81818181812</v>
          </cell>
          <cell r="AL59">
            <v>0</v>
          </cell>
          <cell r="AM59">
            <v>2000</v>
          </cell>
          <cell r="AN59">
            <v>27000</v>
          </cell>
          <cell r="AO59">
            <v>30000</v>
          </cell>
          <cell r="AP59">
            <v>430000</v>
          </cell>
          <cell r="AQ59">
            <v>0</v>
          </cell>
          <cell r="AR59" t="str">
            <v>엠피온</v>
          </cell>
          <cell r="AS59">
            <v>0</v>
          </cell>
          <cell r="AT59" t="str">
            <v>루마 전면 없음/측후면 15%</v>
          </cell>
          <cell r="AU59">
            <v>477028</v>
          </cell>
          <cell r="AV59">
            <v>538031.81818181812</v>
          </cell>
          <cell r="AW59" t="str">
            <v>렌터카 공제</v>
          </cell>
          <cell r="AX59">
            <v>44735</v>
          </cell>
          <cell r="AY59">
            <v>1182390</v>
          </cell>
          <cell r="AZ59" t="str">
            <v>0</v>
          </cell>
          <cell r="BA59" t="str">
            <v>0</v>
          </cell>
          <cell r="BB59" t="str">
            <v>0</v>
          </cell>
          <cell r="BC59" t="str">
            <v>0</v>
          </cell>
          <cell r="BD59" t="str">
            <v>만26세</v>
          </cell>
          <cell r="BE59" t="str">
            <v>무한대</v>
          </cell>
          <cell r="BF59" t="str">
            <v>2억원</v>
          </cell>
          <cell r="BG59" t="str">
            <v>1억원/1500만</v>
          </cell>
          <cell r="BH59" t="str">
            <v>2억원/1인당</v>
          </cell>
          <cell r="BI59" t="str">
            <v>30만원</v>
          </cell>
          <cell r="BJ59" t="str">
            <v>임직원</v>
          </cell>
          <cell r="BK59" t="str">
            <v>5회/년</v>
          </cell>
          <cell r="BL59" t="str">
            <v>가입</v>
          </cell>
          <cell r="BM59" t="str">
            <v>미가입</v>
          </cell>
          <cell r="BN59" t="str">
            <v>브랜드보증 외 사용자 부담</v>
          </cell>
          <cell r="BO59" t="str">
            <v>브랜드보증 외 사용자 부담</v>
          </cell>
          <cell r="BP59" t="str">
            <v xml:space="preserve"> HANKOOK 앞/뒤165 60R14 79H </v>
          </cell>
          <cell r="BQ59" t="str">
            <v>0</v>
          </cell>
          <cell r="BR59">
            <v>17964</v>
          </cell>
          <cell r="BS59" t="str">
            <v>현금</v>
          </cell>
          <cell r="BT59" t="str">
            <v>0</v>
          </cell>
          <cell r="BU59" t="str">
            <v>0</v>
          </cell>
          <cell r="BV59" t="str">
            <v>0</v>
          </cell>
          <cell r="BW59" t="str">
            <v>0</v>
          </cell>
          <cell r="BX59" t="str">
            <v>0</v>
          </cell>
          <cell r="BY59" t="str">
            <v>0</v>
          </cell>
          <cell r="BZ59">
            <v>0</v>
          </cell>
          <cell r="CA59" t="str">
            <v>0</v>
          </cell>
          <cell r="CB59" t="str">
            <v>5</v>
          </cell>
          <cell r="CC59" t="str">
            <v>5</v>
          </cell>
          <cell r="CD59">
            <v>340700</v>
          </cell>
          <cell r="CE59">
            <v>60</v>
          </cell>
          <cell r="CF59">
            <v>20442000</v>
          </cell>
          <cell r="CG59" t="str">
            <v>0</v>
          </cell>
          <cell r="CH59" t="str">
            <v>0</v>
          </cell>
          <cell r="CI59">
            <v>2506900</v>
          </cell>
          <cell r="CJ59">
            <v>0.01</v>
          </cell>
          <cell r="CK59">
            <v>0.04</v>
          </cell>
          <cell r="CL59" t="str">
            <v>jhlee@shtel.co.kr</v>
          </cell>
          <cell r="CM59" t="str">
            <v>0</v>
          </cell>
          <cell r="CN59" t="str">
            <v>0</v>
          </cell>
          <cell r="CO59">
            <v>0.03</v>
          </cell>
          <cell r="CP59" t="str">
            <v>0</v>
          </cell>
          <cell r="CQ59">
            <v>0</v>
          </cell>
          <cell r="CR59">
            <v>0</v>
          </cell>
          <cell r="CS59">
            <v>0</v>
          </cell>
          <cell r="CT59">
            <v>0</v>
          </cell>
          <cell r="CU59">
            <v>0</v>
          </cell>
          <cell r="CV59">
            <v>0</v>
          </cell>
          <cell r="CW59">
            <v>0</v>
          </cell>
          <cell r="CX59">
            <v>0</v>
          </cell>
          <cell r="CY59">
            <v>0</v>
          </cell>
          <cell r="CZ59">
            <v>0</v>
          </cell>
          <cell r="DA59">
            <v>0</v>
          </cell>
          <cell r="DB59" t="str">
            <v>기아</v>
          </cell>
          <cell r="DC59" t="str">
            <v>정수원 실장</v>
          </cell>
          <cell r="DD59" t="str">
            <v>렌트베네핏</v>
          </cell>
          <cell r="DE59" t="str">
            <v>0</v>
          </cell>
          <cell r="DF59" t="str">
            <v>0</v>
          </cell>
          <cell r="DG59" t="str">
            <v>0</v>
          </cell>
          <cell r="DH59" t="str">
            <v>206-85-09469</v>
          </cell>
          <cell r="DI59" t="str">
            <v>주소 없음</v>
          </cell>
          <cell r="DJ59">
            <v>0.3</v>
          </cell>
          <cell r="DK59">
            <v>0.2</v>
          </cell>
          <cell r="DL59" t="str">
            <v>0</v>
          </cell>
          <cell r="DM59" t="str">
            <v>0</v>
          </cell>
          <cell r="DN59" t="str">
            <v>0</v>
          </cell>
          <cell r="DO59" t="str">
            <v>0</v>
          </cell>
          <cell r="DP59" t="str">
            <v>0</v>
          </cell>
        </row>
        <row r="60">
          <cell r="C60" t="str">
            <v>Ray-052</v>
          </cell>
          <cell r="D60" t="str">
            <v>신흥정보통신㈜_36</v>
          </cell>
          <cell r="E60" t="str">
            <v>이종희 이사님</v>
          </cell>
          <cell r="F60" t="str">
            <v>010-3214-0636</v>
          </cell>
          <cell r="G60" t="str">
            <v>Ray Van</v>
          </cell>
          <cell r="H60" t="str">
            <v>프레스티지</v>
          </cell>
          <cell r="I60">
            <v>13150000</v>
          </cell>
          <cell r="J60">
            <v>2022</v>
          </cell>
          <cell r="K60" t="str">
            <v>White/Black</v>
          </cell>
          <cell r="L60" t="str">
            <v>가솔린</v>
          </cell>
          <cell r="M60" t="str">
            <v>KNACF911BNT311746</v>
          </cell>
          <cell r="N60" t="str">
            <v>125호3225</v>
          </cell>
          <cell r="O60" t="str">
            <v>-</v>
          </cell>
          <cell r="P60">
            <v>998</v>
          </cell>
          <cell r="Q60">
            <v>44735</v>
          </cell>
          <cell r="R60">
            <v>44666</v>
          </cell>
          <cell r="S60">
            <v>44740</v>
          </cell>
          <cell r="T60" t="str">
            <v>5</v>
          </cell>
          <cell r="U60">
            <v>46565</v>
          </cell>
          <cell r="V60">
            <v>10</v>
          </cell>
          <cell r="W60">
            <v>20000</v>
          </cell>
          <cell r="X60" t="str">
            <v>맹원식</v>
          </cell>
          <cell r="Y60" t="str">
            <v>010-3325-0037</v>
          </cell>
          <cell r="Z60" t="str">
            <v>경기 수원점</v>
          </cell>
          <cell r="AA60" t="str">
            <v>경기도 수원시 장안구 정조로 947 KT수원지사 본관 2층 신흥정보통신</v>
          </cell>
          <cell r="AB60">
            <v>44747</v>
          </cell>
          <cell r="AC60">
            <v>1825</v>
          </cell>
          <cell r="AD60">
            <v>320</v>
          </cell>
          <cell r="AE60">
            <v>22040021</v>
          </cell>
          <cell r="AF60">
            <v>13118375</v>
          </cell>
          <cell r="AG60">
            <v>0</v>
          </cell>
          <cell r="AH60">
            <v>13118375</v>
          </cell>
          <cell r="AI60" t="str">
            <v>0</v>
          </cell>
          <cell r="AJ60">
            <v>2000</v>
          </cell>
          <cell r="AK60">
            <v>477031.81818181812</v>
          </cell>
          <cell r="AL60">
            <v>0</v>
          </cell>
          <cell r="AM60">
            <v>2000</v>
          </cell>
          <cell r="AN60">
            <v>27000</v>
          </cell>
          <cell r="AO60">
            <v>30000</v>
          </cell>
          <cell r="AP60">
            <v>430000</v>
          </cell>
          <cell r="AQ60">
            <v>0</v>
          </cell>
          <cell r="AR60" t="str">
            <v>엠피온</v>
          </cell>
          <cell r="AS60">
            <v>0</v>
          </cell>
          <cell r="AT60" t="str">
            <v>루마 전면 없음/측후면 15%</v>
          </cell>
          <cell r="AU60">
            <v>477028</v>
          </cell>
          <cell r="AV60">
            <v>538031.81818181812</v>
          </cell>
          <cell r="AW60" t="str">
            <v>렌터카 공제</v>
          </cell>
          <cell r="AX60">
            <v>44735</v>
          </cell>
          <cell r="AY60">
            <v>1182390</v>
          </cell>
          <cell r="AZ60" t="str">
            <v>0</v>
          </cell>
          <cell r="BA60" t="str">
            <v>0</v>
          </cell>
          <cell r="BB60" t="str">
            <v>0</v>
          </cell>
          <cell r="BC60" t="str">
            <v>0</v>
          </cell>
          <cell r="BD60" t="str">
            <v>만26세</v>
          </cell>
          <cell r="BE60" t="str">
            <v>무한대</v>
          </cell>
          <cell r="BF60" t="str">
            <v>2억원</v>
          </cell>
          <cell r="BG60" t="str">
            <v>1억원/1500만</v>
          </cell>
          <cell r="BH60" t="str">
            <v>2억원/1인당</v>
          </cell>
          <cell r="BI60" t="str">
            <v>30만원</v>
          </cell>
          <cell r="BJ60" t="str">
            <v>임직원</v>
          </cell>
          <cell r="BK60" t="str">
            <v>5회/년</v>
          </cell>
          <cell r="BL60" t="str">
            <v>가입</v>
          </cell>
          <cell r="BM60" t="str">
            <v>미가입</v>
          </cell>
          <cell r="BN60" t="str">
            <v>브랜드보증 외 사용자 부담</v>
          </cell>
          <cell r="BO60" t="str">
            <v>브랜드보증 외 사용자 부담</v>
          </cell>
          <cell r="BP60" t="str">
            <v xml:space="preserve"> HANKOOK 앞/뒤165 60R14 79H </v>
          </cell>
          <cell r="BQ60" t="str">
            <v>0</v>
          </cell>
          <cell r="BR60">
            <v>17964</v>
          </cell>
          <cell r="BS60" t="str">
            <v>현금</v>
          </cell>
          <cell r="BT60" t="str">
            <v>0</v>
          </cell>
          <cell r="BU60" t="str">
            <v>0</v>
          </cell>
          <cell r="BV60" t="str">
            <v>0</v>
          </cell>
          <cell r="BW60" t="str">
            <v>0</v>
          </cell>
          <cell r="BX60" t="str">
            <v>0</v>
          </cell>
          <cell r="BY60" t="str">
            <v>0</v>
          </cell>
          <cell r="BZ60">
            <v>0</v>
          </cell>
          <cell r="CA60" t="str">
            <v>0</v>
          </cell>
          <cell r="CB60" t="str">
            <v>5</v>
          </cell>
          <cell r="CC60" t="str">
            <v>5</v>
          </cell>
          <cell r="CD60">
            <v>340700</v>
          </cell>
          <cell r="CE60">
            <v>60</v>
          </cell>
          <cell r="CF60">
            <v>20442000</v>
          </cell>
          <cell r="CG60" t="str">
            <v>0</v>
          </cell>
          <cell r="CH60" t="str">
            <v>0</v>
          </cell>
          <cell r="CI60">
            <v>2506900</v>
          </cell>
          <cell r="CJ60">
            <v>0.01</v>
          </cell>
          <cell r="CK60">
            <v>0.04</v>
          </cell>
          <cell r="CL60" t="str">
            <v>jhlee@shtel.co.kr</v>
          </cell>
          <cell r="CM60" t="str">
            <v>0</v>
          </cell>
          <cell r="CN60" t="str">
            <v>0</v>
          </cell>
          <cell r="CO60">
            <v>0.03</v>
          </cell>
          <cell r="CP60" t="str">
            <v>0</v>
          </cell>
          <cell r="CQ60">
            <v>0</v>
          </cell>
          <cell r="CR60">
            <v>0</v>
          </cell>
          <cell r="CS60">
            <v>0</v>
          </cell>
          <cell r="CT60">
            <v>0</v>
          </cell>
          <cell r="CU60">
            <v>0</v>
          </cell>
          <cell r="CV60">
            <v>0</v>
          </cell>
          <cell r="CW60">
            <v>0</v>
          </cell>
          <cell r="CX60">
            <v>0</v>
          </cell>
          <cell r="CY60">
            <v>0</v>
          </cell>
          <cell r="CZ60">
            <v>0</v>
          </cell>
          <cell r="DA60">
            <v>0</v>
          </cell>
          <cell r="DB60" t="str">
            <v>기아</v>
          </cell>
          <cell r="DC60" t="str">
            <v>정수원 실장</v>
          </cell>
          <cell r="DD60" t="str">
            <v>렌트베네핏</v>
          </cell>
          <cell r="DE60" t="str">
            <v>0</v>
          </cell>
          <cell r="DF60" t="str">
            <v>0</v>
          </cell>
          <cell r="DG60" t="str">
            <v>0</v>
          </cell>
          <cell r="DH60" t="str">
            <v>206-85-09469</v>
          </cell>
          <cell r="DI60" t="str">
            <v>주소 없음</v>
          </cell>
          <cell r="DJ60">
            <v>0.3</v>
          </cell>
          <cell r="DK60">
            <v>0.2</v>
          </cell>
          <cell r="DL60" t="str">
            <v>0</v>
          </cell>
          <cell r="DM60" t="str">
            <v>0</v>
          </cell>
          <cell r="DN60" t="str">
            <v>0</v>
          </cell>
          <cell r="DO60" t="str">
            <v>0</v>
          </cell>
          <cell r="DP60" t="str">
            <v>0</v>
          </cell>
        </row>
        <row r="61">
          <cell r="C61" t="str">
            <v>Ray-053</v>
          </cell>
          <cell r="D61" t="str">
            <v>신흥정보통신㈜_37</v>
          </cell>
          <cell r="E61" t="str">
            <v>이종희 이사님</v>
          </cell>
          <cell r="F61" t="str">
            <v>010-3214-0636</v>
          </cell>
          <cell r="G61" t="str">
            <v>Ray Van</v>
          </cell>
          <cell r="H61" t="str">
            <v>프레스티지</v>
          </cell>
          <cell r="I61">
            <v>13150000</v>
          </cell>
          <cell r="J61">
            <v>2022</v>
          </cell>
          <cell r="K61" t="str">
            <v>White/Black</v>
          </cell>
          <cell r="L61" t="str">
            <v>가솔린</v>
          </cell>
          <cell r="M61" t="str">
            <v>KNACF911BNT311912</v>
          </cell>
          <cell r="N61" t="str">
            <v>125호3226</v>
          </cell>
          <cell r="O61" t="str">
            <v>-</v>
          </cell>
          <cell r="P61">
            <v>998</v>
          </cell>
          <cell r="Q61">
            <v>44735</v>
          </cell>
          <cell r="R61">
            <v>44666</v>
          </cell>
          <cell r="S61">
            <v>44740</v>
          </cell>
          <cell r="T61" t="str">
            <v>5</v>
          </cell>
          <cell r="U61">
            <v>46565</v>
          </cell>
          <cell r="V61">
            <v>10</v>
          </cell>
          <cell r="W61">
            <v>20000</v>
          </cell>
          <cell r="X61" t="str">
            <v>권상현(소장)</v>
          </cell>
          <cell r="Y61" t="str">
            <v>010-2890-3124</v>
          </cell>
          <cell r="Z61" t="str">
            <v>부산 대연점</v>
          </cell>
          <cell r="AA61" t="str">
            <v>부산광역시 동구 자성공원로 23 (범일동, KT부산정보통신센터) 18층 신흥정보통신</v>
          </cell>
          <cell r="AB61">
            <v>44747</v>
          </cell>
          <cell r="AC61">
            <v>1825</v>
          </cell>
          <cell r="AD61">
            <v>320</v>
          </cell>
          <cell r="AE61">
            <v>22040022</v>
          </cell>
          <cell r="AF61">
            <v>13118375</v>
          </cell>
          <cell r="AG61">
            <v>0</v>
          </cell>
          <cell r="AH61">
            <v>13118375</v>
          </cell>
          <cell r="AI61" t="str">
            <v>0</v>
          </cell>
          <cell r="AJ61">
            <v>2000</v>
          </cell>
          <cell r="AK61">
            <v>477031.81818181812</v>
          </cell>
          <cell r="AL61">
            <v>0</v>
          </cell>
          <cell r="AM61">
            <v>2000</v>
          </cell>
          <cell r="AN61">
            <v>27000</v>
          </cell>
          <cell r="AO61">
            <v>30000</v>
          </cell>
          <cell r="AP61">
            <v>430000</v>
          </cell>
          <cell r="AQ61">
            <v>0</v>
          </cell>
          <cell r="AR61" t="str">
            <v>엠피온</v>
          </cell>
          <cell r="AS61">
            <v>0</v>
          </cell>
          <cell r="AT61" t="str">
            <v>루마 전면 없음/측후면 15%</v>
          </cell>
          <cell r="AU61">
            <v>477028</v>
          </cell>
          <cell r="AV61">
            <v>538031.81818181812</v>
          </cell>
          <cell r="AW61" t="str">
            <v>렌터카 공제</v>
          </cell>
          <cell r="AX61">
            <v>44735</v>
          </cell>
          <cell r="AY61">
            <v>1182390</v>
          </cell>
          <cell r="AZ61" t="str">
            <v>0</v>
          </cell>
          <cell r="BA61" t="str">
            <v>0</v>
          </cell>
          <cell r="BB61" t="str">
            <v>0</v>
          </cell>
          <cell r="BC61" t="str">
            <v>0</v>
          </cell>
          <cell r="BD61" t="str">
            <v>만26세</v>
          </cell>
          <cell r="BE61" t="str">
            <v>무한대</v>
          </cell>
          <cell r="BF61" t="str">
            <v>2억원</v>
          </cell>
          <cell r="BG61" t="str">
            <v>1억원/1500만</v>
          </cell>
          <cell r="BH61" t="str">
            <v>2억원/1인당</v>
          </cell>
          <cell r="BI61" t="str">
            <v>30만원</v>
          </cell>
          <cell r="BJ61" t="str">
            <v>임직원</v>
          </cell>
          <cell r="BK61" t="str">
            <v>5회/년</v>
          </cell>
          <cell r="BL61" t="str">
            <v>가입</v>
          </cell>
          <cell r="BM61" t="str">
            <v>미가입</v>
          </cell>
          <cell r="BN61" t="str">
            <v>브랜드보증 외 사용자 부담</v>
          </cell>
          <cell r="BO61" t="str">
            <v>브랜드보증 외 사용자 부담</v>
          </cell>
          <cell r="BP61" t="str">
            <v xml:space="preserve"> HANKOOK 앞/뒤165 60R14 79H </v>
          </cell>
          <cell r="BQ61" t="str">
            <v>0</v>
          </cell>
          <cell r="BR61">
            <v>17964</v>
          </cell>
          <cell r="BS61" t="str">
            <v>현금</v>
          </cell>
          <cell r="BT61" t="str">
            <v>0</v>
          </cell>
          <cell r="BU61" t="str">
            <v>0</v>
          </cell>
          <cell r="BV61" t="str">
            <v>0</v>
          </cell>
          <cell r="BW61" t="str">
            <v>0</v>
          </cell>
          <cell r="BX61" t="str">
            <v>0</v>
          </cell>
          <cell r="BY61" t="str">
            <v>0</v>
          </cell>
          <cell r="BZ61">
            <v>0</v>
          </cell>
          <cell r="CA61" t="str">
            <v>0</v>
          </cell>
          <cell r="CB61" t="str">
            <v>5</v>
          </cell>
          <cell r="CC61" t="str">
            <v>5</v>
          </cell>
          <cell r="CD61">
            <v>340700</v>
          </cell>
          <cell r="CE61">
            <v>60</v>
          </cell>
          <cell r="CF61">
            <v>20442000</v>
          </cell>
          <cell r="CG61" t="str">
            <v>0</v>
          </cell>
          <cell r="CH61" t="str">
            <v>0</v>
          </cell>
          <cell r="CI61">
            <v>2506900</v>
          </cell>
          <cell r="CJ61">
            <v>0.01</v>
          </cell>
          <cell r="CK61">
            <v>0.04</v>
          </cell>
          <cell r="CL61" t="str">
            <v>jhlee@shtel.co.kr</v>
          </cell>
          <cell r="CM61" t="str">
            <v>0</v>
          </cell>
          <cell r="CN61" t="str">
            <v>0</v>
          </cell>
          <cell r="CO61">
            <v>0.03</v>
          </cell>
          <cell r="CP61" t="str">
            <v>0</v>
          </cell>
          <cell r="CQ61">
            <v>0</v>
          </cell>
          <cell r="CR61">
            <v>0</v>
          </cell>
          <cell r="CS61">
            <v>0</v>
          </cell>
          <cell r="CT61">
            <v>0</v>
          </cell>
          <cell r="CU61">
            <v>0</v>
          </cell>
          <cell r="CV61">
            <v>0</v>
          </cell>
          <cell r="CW61">
            <v>0</v>
          </cell>
          <cell r="CX61">
            <v>0</v>
          </cell>
          <cell r="CY61">
            <v>0</v>
          </cell>
          <cell r="CZ61">
            <v>0</v>
          </cell>
          <cell r="DA61">
            <v>0</v>
          </cell>
          <cell r="DB61" t="str">
            <v>기아</v>
          </cell>
          <cell r="DC61" t="str">
            <v>정수원 실장</v>
          </cell>
          <cell r="DD61" t="str">
            <v>렌트베네핏</v>
          </cell>
          <cell r="DE61" t="str">
            <v>0</v>
          </cell>
          <cell r="DF61" t="str">
            <v>0</v>
          </cell>
          <cell r="DG61" t="str">
            <v>0</v>
          </cell>
          <cell r="DH61" t="str">
            <v>206-85-09469</v>
          </cell>
          <cell r="DI61" t="str">
            <v>주소 없음</v>
          </cell>
          <cell r="DJ61">
            <v>0.3</v>
          </cell>
          <cell r="DK61">
            <v>0.2</v>
          </cell>
          <cell r="DL61" t="str">
            <v>0</v>
          </cell>
          <cell r="DM61" t="str">
            <v>0</v>
          </cell>
          <cell r="DN61" t="str">
            <v>0</v>
          </cell>
          <cell r="DO61" t="str">
            <v>0</v>
          </cell>
          <cell r="DP61" t="str">
            <v>0</v>
          </cell>
        </row>
        <row r="62">
          <cell r="C62" t="str">
            <v>Ray-049</v>
          </cell>
          <cell r="D62" t="str">
            <v>신흥정보통신㈜_33</v>
          </cell>
          <cell r="E62" t="str">
            <v>이종희 이사님</v>
          </cell>
          <cell r="F62" t="str">
            <v>010-3214-0636</v>
          </cell>
          <cell r="G62" t="str">
            <v>Ray Van</v>
          </cell>
          <cell r="H62" t="str">
            <v>프레스티지</v>
          </cell>
          <cell r="I62">
            <v>13150000</v>
          </cell>
          <cell r="J62">
            <v>2022</v>
          </cell>
          <cell r="K62" t="str">
            <v>White/Black</v>
          </cell>
          <cell r="L62" t="str">
            <v>가솔린</v>
          </cell>
          <cell r="M62" t="str">
            <v>KNACF911BNT311908</v>
          </cell>
          <cell r="N62" t="str">
            <v>125호3219</v>
          </cell>
          <cell r="O62" t="str">
            <v>-</v>
          </cell>
          <cell r="P62">
            <v>998</v>
          </cell>
          <cell r="Q62">
            <v>44735</v>
          </cell>
          <cell r="R62">
            <v>44666</v>
          </cell>
          <cell r="S62">
            <v>44741</v>
          </cell>
          <cell r="T62" t="str">
            <v>5</v>
          </cell>
          <cell r="U62">
            <v>46566</v>
          </cell>
          <cell r="V62">
            <v>10</v>
          </cell>
          <cell r="W62">
            <v>20000</v>
          </cell>
          <cell r="X62" t="str">
            <v>이진근</v>
          </cell>
          <cell r="Y62" t="str">
            <v>010-7234-1114</v>
          </cell>
          <cell r="Z62" t="str">
            <v>경기 동두천지점</v>
          </cell>
          <cell r="AA62" t="str">
            <v>경기도 동두천시 중앙로 260 (생연동) KT 동두천지점 2층 신흥정보통신</v>
          </cell>
          <cell r="AB62">
            <v>44747</v>
          </cell>
          <cell r="AC62">
            <v>1825</v>
          </cell>
          <cell r="AD62">
            <v>321</v>
          </cell>
          <cell r="AE62">
            <v>22040018</v>
          </cell>
          <cell r="AF62">
            <v>13118375</v>
          </cell>
          <cell r="AG62">
            <v>0</v>
          </cell>
          <cell r="AH62">
            <v>13118375</v>
          </cell>
          <cell r="AI62" t="str">
            <v>0</v>
          </cell>
          <cell r="AJ62">
            <v>2000</v>
          </cell>
          <cell r="AK62">
            <v>477031.81818181812</v>
          </cell>
          <cell r="AL62">
            <v>0</v>
          </cell>
          <cell r="AM62">
            <v>2000</v>
          </cell>
          <cell r="AN62">
            <v>27000</v>
          </cell>
          <cell r="AO62">
            <v>30000</v>
          </cell>
          <cell r="AP62">
            <v>430000</v>
          </cell>
          <cell r="AQ62">
            <v>0</v>
          </cell>
          <cell r="AR62" t="str">
            <v>엠피온</v>
          </cell>
          <cell r="AS62">
            <v>0</v>
          </cell>
          <cell r="AT62" t="str">
            <v>루마 전면 없음/측후면 15%</v>
          </cell>
          <cell r="AU62">
            <v>477028</v>
          </cell>
          <cell r="AV62">
            <v>538031.81818181812</v>
          </cell>
          <cell r="AW62" t="str">
            <v>렌터카 공제</v>
          </cell>
          <cell r="AX62">
            <v>44735</v>
          </cell>
          <cell r="AY62">
            <v>1182390</v>
          </cell>
          <cell r="AZ62" t="str">
            <v>0</v>
          </cell>
          <cell r="BA62" t="str">
            <v>0</v>
          </cell>
          <cell r="BB62" t="str">
            <v>0</v>
          </cell>
          <cell r="BC62" t="str">
            <v>0</v>
          </cell>
          <cell r="BD62" t="str">
            <v>만26세</v>
          </cell>
          <cell r="BE62" t="str">
            <v>무한대</v>
          </cell>
          <cell r="BF62" t="str">
            <v>2억원</v>
          </cell>
          <cell r="BG62" t="str">
            <v>1억원/1500만</v>
          </cell>
          <cell r="BH62" t="str">
            <v>2억원/1인당</v>
          </cell>
          <cell r="BI62" t="str">
            <v>30만원</v>
          </cell>
          <cell r="BJ62" t="str">
            <v>임직원</v>
          </cell>
          <cell r="BK62" t="str">
            <v>5회/년</v>
          </cell>
          <cell r="BL62" t="str">
            <v>가입</v>
          </cell>
          <cell r="BM62" t="str">
            <v>미가입</v>
          </cell>
          <cell r="BN62" t="str">
            <v>브랜드보증 외 사용자 부담</v>
          </cell>
          <cell r="BO62" t="str">
            <v>브랜드보증 외 사용자 부담</v>
          </cell>
          <cell r="BP62" t="str">
            <v xml:space="preserve"> HANKOOK 앞/뒤165 60R14 79H </v>
          </cell>
          <cell r="BQ62" t="str">
            <v>0</v>
          </cell>
          <cell r="BR62">
            <v>17964</v>
          </cell>
          <cell r="BS62" t="str">
            <v>현금</v>
          </cell>
          <cell r="BT62" t="str">
            <v>0</v>
          </cell>
          <cell r="BU62" t="str">
            <v>0</v>
          </cell>
          <cell r="BV62" t="str">
            <v>0</v>
          </cell>
          <cell r="BW62" t="str">
            <v>0</v>
          </cell>
          <cell r="BX62" t="str">
            <v>0</v>
          </cell>
          <cell r="BY62" t="str">
            <v>0</v>
          </cell>
          <cell r="BZ62">
            <v>0</v>
          </cell>
          <cell r="CA62" t="str">
            <v>0</v>
          </cell>
          <cell r="CB62" t="str">
            <v>5</v>
          </cell>
          <cell r="CC62" t="str">
            <v>5</v>
          </cell>
          <cell r="CD62">
            <v>340700</v>
          </cell>
          <cell r="CE62">
            <v>60</v>
          </cell>
          <cell r="CF62">
            <v>20442000</v>
          </cell>
          <cell r="CG62" t="str">
            <v>0</v>
          </cell>
          <cell r="CH62" t="str">
            <v>0</v>
          </cell>
          <cell r="CI62">
            <v>2506900</v>
          </cell>
          <cell r="CJ62">
            <v>0.01</v>
          </cell>
          <cell r="CK62">
            <v>0.04</v>
          </cell>
          <cell r="CL62" t="str">
            <v>jhlee@shtel.co.kr</v>
          </cell>
          <cell r="CM62" t="str">
            <v>0</v>
          </cell>
          <cell r="CN62" t="str">
            <v>0</v>
          </cell>
          <cell r="CO62">
            <v>0.03</v>
          </cell>
          <cell r="CP62" t="str">
            <v>0</v>
          </cell>
          <cell r="CQ62">
            <v>0</v>
          </cell>
          <cell r="CR62">
            <v>0</v>
          </cell>
          <cell r="CS62">
            <v>0</v>
          </cell>
          <cell r="CT62">
            <v>0</v>
          </cell>
          <cell r="CU62">
            <v>0</v>
          </cell>
          <cell r="CV62">
            <v>0</v>
          </cell>
          <cell r="CW62">
            <v>0</v>
          </cell>
          <cell r="CX62">
            <v>0</v>
          </cell>
          <cell r="CY62">
            <v>0</v>
          </cell>
          <cell r="CZ62">
            <v>0</v>
          </cell>
          <cell r="DA62">
            <v>0</v>
          </cell>
          <cell r="DB62" t="str">
            <v>기아</v>
          </cell>
          <cell r="DC62" t="str">
            <v>정수원 실장</v>
          </cell>
          <cell r="DD62" t="str">
            <v>렌트베네핏</v>
          </cell>
          <cell r="DE62" t="str">
            <v>0</v>
          </cell>
          <cell r="DF62" t="str">
            <v>0</v>
          </cell>
          <cell r="DG62" t="str">
            <v>0</v>
          </cell>
          <cell r="DH62" t="str">
            <v>206-85-09469</v>
          </cell>
          <cell r="DI62" t="str">
            <v>주소 없음</v>
          </cell>
          <cell r="DJ62">
            <v>0.3</v>
          </cell>
          <cell r="DK62">
            <v>0.2</v>
          </cell>
          <cell r="DL62" t="str">
            <v>0</v>
          </cell>
          <cell r="DM62" t="str">
            <v>0</v>
          </cell>
          <cell r="DN62" t="str">
            <v>0</v>
          </cell>
          <cell r="DO62" t="str">
            <v>0</v>
          </cell>
          <cell r="DP62" t="str">
            <v>0</v>
          </cell>
        </row>
        <row r="63">
          <cell r="C63" t="str">
            <v>Avante-002</v>
          </cell>
          <cell r="D63" t="str">
            <v>천지세무법인-인천</v>
          </cell>
          <cell r="E63" t="str">
            <v>박점식 회장님</v>
          </cell>
          <cell r="F63" t="str">
            <v>010-3465-8117</v>
          </cell>
          <cell r="G63" t="str">
            <v>Avante</v>
          </cell>
          <cell r="H63" t="str">
            <v>모던</v>
          </cell>
          <cell r="I63">
            <v>22980000</v>
          </cell>
          <cell r="J63">
            <v>2022</v>
          </cell>
          <cell r="K63" t="str">
            <v>폴라 화이트/블랙모노톤</v>
          </cell>
          <cell r="L63" t="str">
            <v>가솔린</v>
          </cell>
          <cell r="M63" t="str">
            <v>KMHLM41EEPU454944</v>
          </cell>
          <cell r="N63" t="str">
            <v>125호5280</v>
          </cell>
          <cell r="O63" t="str">
            <v>-</v>
          </cell>
          <cell r="P63">
            <v>1597</v>
          </cell>
          <cell r="Q63">
            <v>44866</v>
          </cell>
          <cell r="R63">
            <v>44638</v>
          </cell>
          <cell r="S63">
            <v>44867</v>
          </cell>
          <cell r="T63" t="str">
            <v>4</v>
          </cell>
          <cell r="U63">
            <v>46327</v>
          </cell>
          <cell r="V63">
            <v>2</v>
          </cell>
          <cell r="W63">
            <v>20000</v>
          </cell>
          <cell r="X63" t="str">
            <v>심선미 이사님</v>
          </cell>
          <cell r="Y63" t="str">
            <v>010-5416-9005</v>
          </cell>
          <cell r="Z63" t="str">
            <v>인천지사</v>
          </cell>
          <cell r="AA63" t="str">
            <v>인천광역시 서구 염곡로 468, 504호(가정동, 드림타워)</v>
          </cell>
          <cell r="AB63">
            <v>44875</v>
          </cell>
          <cell r="AC63">
            <v>1460</v>
          </cell>
          <cell r="AD63">
            <v>82</v>
          </cell>
          <cell r="AE63">
            <v>22030012</v>
          </cell>
          <cell r="AF63">
            <v>21745464</v>
          </cell>
          <cell r="AG63">
            <v>1304727.8399999999</v>
          </cell>
          <cell r="AH63">
            <v>20440736.16</v>
          </cell>
          <cell r="AI63" t="str">
            <v>0</v>
          </cell>
          <cell r="AJ63" t="str">
            <v>0</v>
          </cell>
          <cell r="AK63">
            <v>743299.49672727275</v>
          </cell>
          <cell r="AL63">
            <v>100000</v>
          </cell>
          <cell r="AM63">
            <v>2000</v>
          </cell>
          <cell r="AN63">
            <v>47000</v>
          </cell>
          <cell r="AO63">
            <v>50000</v>
          </cell>
          <cell r="AP63" t="str">
            <v>0</v>
          </cell>
          <cell r="AQ63">
            <v>154000</v>
          </cell>
          <cell r="AR63" t="str">
            <v>s1000프로 FHD-FHD 32GB</v>
          </cell>
          <cell r="AS63">
            <v>66000</v>
          </cell>
          <cell r="AT63" t="str">
            <v>루마 기본 측후 15%</v>
          </cell>
          <cell r="AU63">
            <v>1033404</v>
          </cell>
          <cell r="AV63">
            <v>1162299.4967272729</v>
          </cell>
          <cell r="AW63" t="str">
            <v>렌터카 공제</v>
          </cell>
          <cell r="AX63" t="str">
            <v>0</v>
          </cell>
          <cell r="AY63">
            <v>1189980</v>
          </cell>
          <cell r="AZ63" t="str">
            <v>0</v>
          </cell>
          <cell r="BA63" t="str">
            <v>0</v>
          </cell>
          <cell r="BB63" t="str">
            <v>0</v>
          </cell>
          <cell r="BC63" t="str">
            <v>0</v>
          </cell>
          <cell r="BD63" t="str">
            <v>만26세</v>
          </cell>
          <cell r="BE63" t="str">
            <v>무한대</v>
          </cell>
          <cell r="BF63" t="str">
            <v>2억원</v>
          </cell>
          <cell r="BG63" t="str">
            <v>1억원/1500만</v>
          </cell>
          <cell r="BH63" t="str">
            <v>2억원/1인당</v>
          </cell>
          <cell r="BI63" t="str">
            <v>30만원</v>
          </cell>
          <cell r="BJ63" t="str">
            <v>임직원</v>
          </cell>
          <cell r="BK63" t="str">
            <v>5회/년</v>
          </cell>
          <cell r="BL63" t="str">
            <v>가입</v>
          </cell>
          <cell r="BM63" t="str">
            <v>미가입</v>
          </cell>
          <cell r="BN63" t="str">
            <v>브랜드보증 외 사용자 부담</v>
          </cell>
          <cell r="BO63" t="str">
            <v>브랜드보증 외 사용자 부담</v>
          </cell>
          <cell r="BP63" t="str">
            <v>0</v>
          </cell>
          <cell r="BQ63" t="str">
            <v>0</v>
          </cell>
          <cell r="BR63">
            <v>28746</v>
          </cell>
          <cell r="BS63" t="str">
            <v>현금</v>
          </cell>
          <cell r="BT63" t="str">
            <v>0</v>
          </cell>
          <cell r="BU63" t="str">
            <v>0</v>
          </cell>
          <cell r="BV63" t="str">
            <v>0</v>
          </cell>
          <cell r="BW63" t="str">
            <v>0</v>
          </cell>
          <cell r="BX63" t="str">
            <v>0</v>
          </cell>
          <cell r="BY63" t="str">
            <v>0</v>
          </cell>
          <cell r="BZ63">
            <v>0</v>
          </cell>
          <cell r="CA63" t="str">
            <v>0</v>
          </cell>
          <cell r="CB63" t="str">
            <v>10</v>
          </cell>
          <cell r="CC63" t="str">
            <v>10</v>
          </cell>
          <cell r="CD63">
            <v>400000</v>
          </cell>
          <cell r="CE63">
            <v>48</v>
          </cell>
          <cell r="CF63">
            <v>19200000</v>
          </cell>
          <cell r="CG63" t="str">
            <v>0</v>
          </cell>
          <cell r="CH63" t="str">
            <v>0</v>
          </cell>
          <cell r="CI63">
            <v>15600000</v>
          </cell>
          <cell r="CJ63">
            <v>0</v>
          </cell>
          <cell r="CK63">
            <v>0.06</v>
          </cell>
          <cell r="CL63" t="str">
            <v>cjtsgp@daum.net</v>
          </cell>
          <cell r="CM63" t="str">
            <v>sm8765@nate.com</v>
          </cell>
          <cell r="CN63" t="str">
            <v>010-5416-9005</v>
          </cell>
          <cell r="CO63">
            <v>0.03</v>
          </cell>
          <cell r="CP63" t="str">
            <v>0</v>
          </cell>
          <cell r="CQ63" t="str">
            <v>코일매트</v>
          </cell>
          <cell r="CR63">
            <v>47300</v>
          </cell>
          <cell r="CS63">
            <v>0</v>
          </cell>
          <cell r="CT63">
            <v>0</v>
          </cell>
          <cell r="CU63">
            <v>0</v>
          </cell>
          <cell r="CV63">
            <v>0</v>
          </cell>
          <cell r="CW63">
            <v>0</v>
          </cell>
          <cell r="CX63">
            <v>0</v>
          </cell>
          <cell r="CY63">
            <v>0</v>
          </cell>
          <cell r="CZ63">
            <v>0</v>
          </cell>
          <cell r="DA63">
            <v>0</v>
          </cell>
          <cell r="DB63" t="str">
            <v>현대</v>
          </cell>
          <cell r="DC63" t="str">
            <v>박현식 부장</v>
          </cell>
          <cell r="DD63" t="str">
            <v>렌트베네핏</v>
          </cell>
          <cell r="DE63" t="str">
            <v>0</v>
          </cell>
          <cell r="DF63" t="str">
            <v>국민은행</v>
          </cell>
          <cell r="DG63" t="str">
            <v>253-25-0012-545</v>
          </cell>
          <cell r="DH63" t="str">
            <v>137-85-05361</v>
          </cell>
          <cell r="DI63" t="str">
            <v>인천광역시 서구 염곡로 468, 504호(가정동, 드림타워)</v>
          </cell>
          <cell r="DJ63">
            <v>0.3</v>
          </cell>
          <cell r="DK63">
            <v>0.2</v>
          </cell>
          <cell r="DL63" t="str">
            <v>0</v>
          </cell>
          <cell r="DM63" t="str">
            <v>0</v>
          </cell>
          <cell r="DN63" t="str">
            <v>0</v>
          </cell>
          <cell r="DO63" t="str">
            <v>0</v>
          </cell>
          <cell r="DP63" t="str">
            <v>0</v>
          </cell>
        </row>
        <row r="64">
          <cell r="C64" t="str">
            <v>G90-003</v>
          </cell>
          <cell r="D64" t="str">
            <v>아이엠앤티㈜</v>
          </cell>
          <cell r="E64" t="str">
            <v>이동원 대표이사님</v>
          </cell>
          <cell r="F64" t="str">
            <v>010-2456-0653</v>
          </cell>
          <cell r="G64" t="str">
            <v>G90</v>
          </cell>
          <cell r="H64" t="str">
            <v>3.5 AWD</v>
          </cell>
          <cell r="I64">
            <v>119200000</v>
          </cell>
          <cell r="J64">
            <v>2022</v>
          </cell>
          <cell r="K64" t="str">
            <v>비크블랙/옵시디언 블랙 모노톤</v>
          </cell>
          <cell r="L64" t="str">
            <v>가솔린</v>
          </cell>
          <cell r="M64" t="str">
            <v>KMTFA41DDNU014854</v>
          </cell>
          <cell r="N64" t="str">
            <v>101호1811</v>
          </cell>
          <cell r="O64" t="str">
            <v>-</v>
          </cell>
          <cell r="P64">
            <v>3470</v>
          </cell>
          <cell r="Q64">
            <v>44788</v>
          </cell>
          <cell r="R64">
            <v>44782</v>
          </cell>
          <cell r="S64">
            <v>44789</v>
          </cell>
          <cell r="T64" t="str">
            <v>4</v>
          </cell>
          <cell r="U64">
            <v>46249</v>
          </cell>
          <cell r="V64">
            <v>0</v>
          </cell>
          <cell r="W64">
            <v>30000</v>
          </cell>
          <cell r="X64" t="str">
            <v>이동원 대표이사님</v>
          </cell>
          <cell r="Y64" t="str">
            <v>010-2456-0653</v>
          </cell>
          <cell r="Z64" t="str">
            <v>0</v>
          </cell>
          <cell r="AA64" t="str">
            <v>경기도 수원시 권선구 산업로 156번길 88-55</v>
          </cell>
          <cell r="AB64">
            <v>44798</v>
          </cell>
          <cell r="AC64">
            <v>1460</v>
          </cell>
          <cell r="AD64">
            <v>4</v>
          </cell>
          <cell r="AE64">
            <v>22080031</v>
          </cell>
          <cell r="AF64">
            <v>112256882</v>
          </cell>
          <cell r="AG64">
            <v>4490275.28</v>
          </cell>
          <cell r="AH64">
            <v>107766606.72</v>
          </cell>
          <cell r="AI64">
            <v>332000</v>
          </cell>
          <cell r="AJ64">
            <v>2000</v>
          </cell>
          <cell r="AK64">
            <v>4081010</v>
          </cell>
          <cell r="AL64">
            <v>575914</v>
          </cell>
          <cell r="AM64">
            <v>5000</v>
          </cell>
          <cell r="AN64">
            <v>21500</v>
          </cell>
          <cell r="AO64">
            <v>100000</v>
          </cell>
          <cell r="AP64">
            <v>2315000</v>
          </cell>
          <cell r="AQ64">
            <v>330000</v>
          </cell>
          <cell r="AR64" t="str">
            <v>아이나비 QSD-7000</v>
          </cell>
          <cell r="AS64">
            <v>420000</v>
          </cell>
          <cell r="AT64" t="str">
            <v>레이노 S-9/유리막/PPF</v>
          </cell>
          <cell r="AU64">
            <v>4681260</v>
          </cell>
          <cell r="AV64">
            <v>5867424</v>
          </cell>
          <cell r="AW64" t="str">
            <v>렌터카 공제</v>
          </cell>
          <cell r="AX64">
            <v>44789</v>
          </cell>
          <cell r="AY64">
            <v>1188980</v>
          </cell>
          <cell r="AZ64" t="str">
            <v>0</v>
          </cell>
          <cell r="BA64" t="str">
            <v>0</v>
          </cell>
          <cell r="BB64" t="str">
            <v>0</v>
          </cell>
          <cell r="BC64" t="str">
            <v>0</v>
          </cell>
          <cell r="BD64" t="str">
            <v>만26세</v>
          </cell>
          <cell r="BE64" t="str">
            <v>무한대</v>
          </cell>
          <cell r="BF64" t="str">
            <v>5억</v>
          </cell>
          <cell r="BG64" t="str">
            <v>2억/3천만</v>
          </cell>
          <cell r="BH64" t="str">
            <v>2억원/1인당</v>
          </cell>
          <cell r="BI64" t="str">
            <v>50만원</v>
          </cell>
          <cell r="BJ64" t="str">
            <v>임직원</v>
          </cell>
          <cell r="BK64" t="str">
            <v>5회/년</v>
          </cell>
          <cell r="BL64" t="str">
            <v>가입</v>
          </cell>
          <cell r="BM64" t="str">
            <v>가입</v>
          </cell>
          <cell r="BN64" t="str">
            <v>가입</v>
          </cell>
          <cell r="BO64" t="str">
            <v>렌트기간 4본</v>
          </cell>
          <cell r="BP64" t="str">
            <v>MICHELIN 245/45 R 20</v>
          </cell>
          <cell r="BQ64" t="str">
            <v>0</v>
          </cell>
          <cell r="BR64">
            <v>83280</v>
          </cell>
          <cell r="BS64" t="str">
            <v>현금</v>
          </cell>
          <cell r="BT64" t="str">
            <v>0</v>
          </cell>
          <cell r="BU64" t="str">
            <v>0</v>
          </cell>
          <cell r="BV64" t="str">
            <v>0</v>
          </cell>
          <cell r="BW64" t="str">
            <v>0</v>
          </cell>
          <cell r="BX64" t="str">
            <v>0</v>
          </cell>
          <cell r="BY64" t="str">
            <v>0</v>
          </cell>
          <cell r="BZ64">
            <v>0</v>
          </cell>
          <cell r="CA64" t="str">
            <v>0</v>
          </cell>
          <cell r="CB64" t="str">
            <v>25</v>
          </cell>
          <cell r="CC64" t="str">
            <v>25</v>
          </cell>
          <cell r="CD64">
            <v>2399000</v>
          </cell>
          <cell r="CE64">
            <v>48</v>
          </cell>
          <cell r="CF64">
            <v>115152000</v>
          </cell>
          <cell r="CG64">
            <v>35760000</v>
          </cell>
          <cell r="CH64">
            <v>14240000</v>
          </cell>
          <cell r="CI64">
            <v>35760000</v>
          </cell>
          <cell r="CJ64">
            <v>9.8799999999999999E-2</v>
          </cell>
          <cell r="CK64">
            <v>0.06</v>
          </cell>
          <cell r="CL64" t="str">
            <v>making702@nate.com</v>
          </cell>
          <cell r="CM64" t="str">
            <v>0</v>
          </cell>
          <cell r="CN64" t="str">
            <v>0</v>
          </cell>
          <cell r="CO64">
            <v>0.03</v>
          </cell>
          <cell r="CP64" t="str">
            <v>0</v>
          </cell>
          <cell r="CQ64">
            <v>0</v>
          </cell>
          <cell r="CR64">
            <v>0</v>
          </cell>
          <cell r="CS64">
            <v>0</v>
          </cell>
          <cell r="CT64">
            <v>0</v>
          </cell>
          <cell r="CU64">
            <v>0</v>
          </cell>
          <cell r="CV64">
            <v>0</v>
          </cell>
          <cell r="CW64">
            <v>0</v>
          </cell>
          <cell r="CX64">
            <v>0</v>
          </cell>
          <cell r="CY64">
            <v>0</v>
          </cell>
          <cell r="CZ64">
            <v>0</v>
          </cell>
          <cell r="DA64">
            <v>0</v>
          </cell>
          <cell r="DB64" t="str">
            <v>현대</v>
          </cell>
          <cell r="DC64" t="str">
            <v>박현식 부장</v>
          </cell>
          <cell r="DD64" t="str">
            <v>렌트베네핏</v>
          </cell>
          <cell r="DE64" t="str">
            <v>0</v>
          </cell>
          <cell r="DF64" t="str">
            <v>0</v>
          </cell>
          <cell r="DG64" t="str">
            <v>0</v>
          </cell>
          <cell r="DH64" t="str">
            <v>649-88-00900</v>
          </cell>
          <cell r="DI64" t="str">
            <v>경기도 수원시 권선구 산업로 156번길 88-55</v>
          </cell>
          <cell r="DJ64">
            <v>0.3</v>
          </cell>
          <cell r="DK64">
            <v>0.2</v>
          </cell>
          <cell r="DL64" t="str">
            <v>0</v>
          </cell>
          <cell r="DM64" t="str">
            <v>0</v>
          </cell>
          <cell r="DN64" t="str">
            <v>0</v>
          </cell>
          <cell r="DO64" t="str">
            <v>0</v>
          </cell>
          <cell r="DP64" t="str">
            <v>0</v>
          </cell>
        </row>
        <row r="65">
          <cell r="C65" t="str">
            <v>Benz-019</v>
          </cell>
          <cell r="D65" t="str">
            <v>이승섭 변호사님</v>
          </cell>
          <cell r="E65" t="str">
            <v>이승섭 변호사님</v>
          </cell>
          <cell r="F65" t="str">
            <v>010-9182-0031</v>
          </cell>
          <cell r="G65" t="str">
            <v>S450</v>
          </cell>
          <cell r="H65" t="str">
            <v>-</v>
          </cell>
          <cell r="I65">
            <v>163584000</v>
          </cell>
          <cell r="J65">
            <v>2022</v>
          </cell>
          <cell r="K65" t="str">
            <v>Obsidian Black/Black</v>
          </cell>
          <cell r="L65" t="str">
            <v>가솔린</v>
          </cell>
          <cell r="M65" t="str">
            <v>W1K6G6BB5NA157957</v>
          </cell>
          <cell r="N65" t="str">
            <v>125호6021</v>
          </cell>
          <cell r="O65" t="str">
            <v>-</v>
          </cell>
          <cell r="P65">
            <v>2925</v>
          </cell>
          <cell r="Q65">
            <v>44784</v>
          </cell>
          <cell r="R65">
            <v>44782</v>
          </cell>
          <cell r="S65">
            <v>44785</v>
          </cell>
          <cell r="T65" t="str">
            <v>5</v>
          </cell>
          <cell r="U65">
            <v>46610</v>
          </cell>
          <cell r="V65">
            <v>12</v>
          </cell>
          <cell r="W65">
            <v>30000</v>
          </cell>
          <cell r="X65" t="str">
            <v>이승섭 변호사님</v>
          </cell>
          <cell r="Y65" t="str">
            <v>010-9182-0031</v>
          </cell>
          <cell r="Z65" t="str">
            <v>0</v>
          </cell>
          <cell r="AA65" t="str">
            <v xml:space="preserve"> 서울시 강남구 압구정로 201, 73동 603호(압구정동, 현대아파트)</v>
          </cell>
          <cell r="AB65">
            <v>44798</v>
          </cell>
          <cell r="AC65">
            <v>1825</v>
          </cell>
          <cell r="AD65">
            <v>365</v>
          </cell>
          <cell r="AE65">
            <v>22080032</v>
          </cell>
          <cell r="AF65">
            <v>163584000</v>
          </cell>
          <cell r="AG65" t="str">
            <v>0</v>
          </cell>
          <cell r="AH65">
            <v>148712728</v>
          </cell>
          <cell r="AI65" t="str">
            <v>0</v>
          </cell>
          <cell r="AJ65" t="str">
            <v>0</v>
          </cell>
          <cell r="AK65">
            <v>5948500</v>
          </cell>
          <cell r="AL65">
            <v>709570</v>
          </cell>
          <cell r="AM65">
            <v>5000</v>
          </cell>
          <cell r="AN65">
            <v>21500</v>
          </cell>
          <cell r="AO65">
            <v>65000</v>
          </cell>
          <cell r="AP65" t="str">
            <v>0</v>
          </cell>
          <cell r="AQ65" t="str">
            <v>0</v>
          </cell>
          <cell r="AR65" t="str">
            <v>벤츠블랙박스</v>
          </cell>
          <cell r="AS65" t="str">
            <v>0</v>
          </cell>
          <cell r="AT65" t="str">
            <v>후퍼옵틱 전면35% 측후면 15%</v>
          </cell>
          <cell r="AU65">
            <v>6749590</v>
          </cell>
          <cell r="AV65">
            <v>6749570</v>
          </cell>
          <cell r="AW65" t="str">
            <v>삼성화재</v>
          </cell>
          <cell r="AX65">
            <v>44784</v>
          </cell>
          <cell r="AY65">
            <v>1307320</v>
          </cell>
          <cell r="AZ65" t="str">
            <v>0</v>
          </cell>
          <cell r="BA65" t="str">
            <v>0</v>
          </cell>
          <cell r="BB65" t="str">
            <v>0</v>
          </cell>
          <cell r="BC65" t="str">
            <v>0</v>
          </cell>
          <cell r="BD65" t="str">
            <v>만26세</v>
          </cell>
          <cell r="BE65" t="str">
            <v>무한대</v>
          </cell>
          <cell r="BF65" t="str">
            <v>5억</v>
          </cell>
          <cell r="BG65" t="str">
            <v>2억/3천만</v>
          </cell>
          <cell r="BH65" t="str">
            <v>2억원/1인당</v>
          </cell>
          <cell r="BI65" t="str">
            <v>50만원</v>
          </cell>
          <cell r="BJ65" t="str">
            <v>가족한정/누구나</v>
          </cell>
          <cell r="BK65" t="str">
            <v>5회/년</v>
          </cell>
          <cell r="BL65" t="str">
            <v>가입</v>
          </cell>
          <cell r="BM65" t="str">
            <v>미가입</v>
          </cell>
          <cell r="BN65" t="str">
            <v>브랜드보증 외 사용자 부담</v>
          </cell>
          <cell r="BO65" t="str">
            <v>브랜드보증 외 사용자 부담</v>
          </cell>
          <cell r="BP65" t="str">
            <v>0</v>
          </cell>
          <cell r="BQ65" t="str">
            <v>0</v>
          </cell>
          <cell r="BR65">
            <v>70200</v>
          </cell>
          <cell r="BS65" t="str">
            <v>현금</v>
          </cell>
          <cell r="BT65" t="str">
            <v>0</v>
          </cell>
          <cell r="BU65" t="str">
            <v>0</v>
          </cell>
          <cell r="BV65" t="str">
            <v>0</v>
          </cell>
          <cell r="BW65" t="str">
            <v>0</v>
          </cell>
          <cell r="BX65" t="str">
            <v>0</v>
          </cell>
          <cell r="BY65" t="str">
            <v>0</v>
          </cell>
          <cell r="BZ65">
            <v>0</v>
          </cell>
          <cell r="CA65" t="str">
            <v>0</v>
          </cell>
          <cell r="CB65" t="str">
            <v>25</v>
          </cell>
          <cell r="CC65" t="str">
            <v>25</v>
          </cell>
          <cell r="CD65">
            <v>2737000</v>
          </cell>
          <cell r="CE65">
            <v>60</v>
          </cell>
          <cell r="CF65">
            <v>164220000</v>
          </cell>
          <cell r="CG65">
            <v>51120000</v>
          </cell>
          <cell r="CH65">
            <v>0</v>
          </cell>
          <cell r="CI65">
            <v>63048000</v>
          </cell>
          <cell r="CJ65">
            <v>1.34E-2</v>
          </cell>
          <cell r="CK65">
            <v>0.06</v>
          </cell>
          <cell r="CL65" t="str">
            <v>lss@bkl.co.kr</v>
          </cell>
          <cell r="CM65" t="str">
            <v>0</v>
          </cell>
          <cell r="CN65" t="str">
            <v>0</v>
          </cell>
          <cell r="CO65">
            <v>0.03</v>
          </cell>
          <cell r="CP65" t="str">
            <v>0</v>
          </cell>
          <cell r="CQ65">
            <v>0</v>
          </cell>
          <cell r="CR65">
            <v>0</v>
          </cell>
          <cell r="CS65">
            <v>0</v>
          </cell>
          <cell r="CT65">
            <v>0</v>
          </cell>
          <cell r="CU65">
            <v>0</v>
          </cell>
          <cell r="CV65">
            <v>0</v>
          </cell>
          <cell r="CW65">
            <v>0</v>
          </cell>
          <cell r="CX65">
            <v>0</v>
          </cell>
          <cell r="CY65">
            <v>0</v>
          </cell>
          <cell r="CZ65">
            <v>0</v>
          </cell>
          <cell r="DA65">
            <v>0</v>
          </cell>
          <cell r="DB65" t="str">
            <v>효성</v>
          </cell>
          <cell r="DC65" t="str">
            <v>김정수 팀장</v>
          </cell>
          <cell r="DD65" t="str">
            <v>분당</v>
          </cell>
          <cell r="DE65" t="str">
            <v>0</v>
          </cell>
          <cell r="DF65" t="str">
            <v>0</v>
          </cell>
          <cell r="DG65" t="str">
            <v>0</v>
          </cell>
          <cell r="DH65" t="str">
            <v>620812-1006716</v>
          </cell>
          <cell r="DI65" t="str">
            <v>주소 없음</v>
          </cell>
          <cell r="DJ65">
            <v>0.3</v>
          </cell>
          <cell r="DK65">
            <v>0.2</v>
          </cell>
          <cell r="DL65" t="str">
            <v>0</v>
          </cell>
          <cell r="DM65" t="str">
            <v>0</v>
          </cell>
          <cell r="DN65" t="str">
            <v>0</v>
          </cell>
          <cell r="DO65" t="str">
            <v>0</v>
          </cell>
          <cell r="DP65" t="str">
            <v>0</v>
          </cell>
        </row>
        <row r="66">
          <cell r="C66" t="str">
            <v>Grander-02</v>
          </cell>
          <cell r="D66" t="str">
            <v>세이브인스(saveins)</v>
          </cell>
          <cell r="E66" t="str">
            <v>박진일 팀장님</v>
          </cell>
          <cell r="F66" t="str">
            <v>010-4940-0602</v>
          </cell>
          <cell r="G66" t="str">
            <v>Grander</v>
          </cell>
          <cell r="H66" t="str">
            <v>하이브리드 1.6T 익스클루시브</v>
          </cell>
          <cell r="I66">
            <v>50830000</v>
          </cell>
          <cell r="J66">
            <v>2023</v>
          </cell>
          <cell r="K66" t="str">
            <v>어비스블랙펄/브라운투톤</v>
          </cell>
          <cell r="L66" t="str">
            <v>가솔린</v>
          </cell>
          <cell r="M66" t="str">
            <v>KMHN2411BPA004622</v>
          </cell>
          <cell r="N66" t="str">
            <v>125호5365</v>
          </cell>
          <cell r="O66" t="str">
            <v>-</v>
          </cell>
          <cell r="P66">
            <v>1598</v>
          </cell>
          <cell r="Q66">
            <v>44963</v>
          </cell>
          <cell r="R66">
            <v>45217</v>
          </cell>
          <cell r="S66">
            <v>45217</v>
          </cell>
          <cell r="T66" t="str">
            <v>5</v>
          </cell>
          <cell r="U66">
            <v>47042</v>
          </cell>
          <cell r="V66">
            <v>26</v>
          </cell>
          <cell r="W66">
            <v>20000</v>
          </cell>
          <cell r="X66" t="str">
            <v>박일진 팀장님</v>
          </cell>
          <cell r="Y66" t="str">
            <v>010-4940-0602</v>
          </cell>
          <cell r="Z66" t="str">
            <v>0</v>
          </cell>
          <cell r="AA66" t="str">
            <v>서울특별시 은평구 가좌로 391 씨티아파트 102동</v>
          </cell>
          <cell r="AB66">
            <v>45255</v>
          </cell>
          <cell r="AC66">
            <v>1825</v>
          </cell>
          <cell r="AD66">
            <v>797</v>
          </cell>
          <cell r="AE66">
            <v>23010003</v>
          </cell>
          <cell r="AF66">
            <v>47779700</v>
          </cell>
          <cell r="AG66">
            <v>3102300</v>
          </cell>
          <cell r="AH66">
            <v>44677400</v>
          </cell>
          <cell r="AI66">
            <v>152000</v>
          </cell>
          <cell r="AJ66">
            <v>2000</v>
          </cell>
          <cell r="AK66" t="str">
            <v>0</v>
          </cell>
          <cell r="AL66" t="str">
            <v>0</v>
          </cell>
          <cell r="AM66" t="str">
            <v>0</v>
          </cell>
          <cell r="AN66" t="str">
            <v>0</v>
          </cell>
          <cell r="AO66" t="str">
            <v>0</v>
          </cell>
          <cell r="AP66">
            <v>1410000</v>
          </cell>
          <cell r="AQ66" t="str">
            <v>0</v>
          </cell>
          <cell r="AR66" t="str">
            <v>빌트인캠</v>
          </cell>
          <cell r="AS66" t="str">
            <v>0</v>
          </cell>
          <cell r="AT66" t="str">
            <v>버텍스(전면 35%, 측후면 15%)</v>
          </cell>
          <cell r="AU66">
            <v>1838070</v>
          </cell>
          <cell r="AV66" t="str">
            <v>0</v>
          </cell>
          <cell r="AW66" t="str">
            <v>렌터카 공제</v>
          </cell>
          <cell r="AX66" t="str">
            <v>0</v>
          </cell>
          <cell r="AY66">
            <v>1000360</v>
          </cell>
          <cell r="AZ66" t="str">
            <v>0</v>
          </cell>
          <cell r="BA66" t="str">
            <v>0</v>
          </cell>
          <cell r="BB66" t="str">
            <v>0</v>
          </cell>
          <cell r="BC66" t="str">
            <v>0</v>
          </cell>
          <cell r="BD66" t="str">
            <v>만26세</v>
          </cell>
          <cell r="BE66" t="str">
            <v>무한대</v>
          </cell>
          <cell r="BF66" t="str">
            <v>2억원</v>
          </cell>
          <cell r="BG66" t="str">
            <v>1억원/1500만</v>
          </cell>
          <cell r="BH66" t="str">
            <v>2억원/1인당</v>
          </cell>
          <cell r="BI66" t="str">
            <v>30만원</v>
          </cell>
          <cell r="BJ66" t="str">
            <v>임직원</v>
          </cell>
          <cell r="BK66" t="str">
            <v>5회/년</v>
          </cell>
          <cell r="BL66" t="str">
            <v>가입</v>
          </cell>
          <cell r="BM66" t="str">
            <v>미가입</v>
          </cell>
          <cell r="BN66" t="str">
            <v>브랜드보증 외 사용자 부담</v>
          </cell>
          <cell r="BO66" t="str">
            <v>브랜드보증 외 사용자 부담</v>
          </cell>
          <cell r="BP66" t="str">
            <v>0</v>
          </cell>
          <cell r="BQ66" t="str">
            <v>0</v>
          </cell>
          <cell r="BR66">
            <v>28764</v>
          </cell>
          <cell r="BS66" t="str">
            <v>현금</v>
          </cell>
          <cell r="BT66" t="str">
            <v>0</v>
          </cell>
          <cell r="BU66" t="str">
            <v>0</v>
          </cell>
          <cell r="BV66" t="str">
            <v>0</v>
          </cell>
          <cell r="BW66" t="str">
            <v>0</v>
          </cell>
          <cell r="BX66" t="str">
            <v>0</v>
          </cell>
          <cell r="BY66" t="str">
            <v>0</v>
          </cell>
          <cell r="BZ66">
            <v>0</v>
          </cell>
          <cell r="CA66" t="str">
            <v>0</v>
          </cell>
          <cell r="CB66" t="str">
            <v>25</v>
          </cell>
          <cell r="CC66" t="str">
            <v>25</v>
          </cell>
          <cell r="CD66">
            <v>897000</v>
          </cell>
          <cell r="CE66">
            <v>60</v>
          </cell>
          <cell r="CF66">
            <v>53820000</v>
          </cell>
          <cell r="CG66">
            <v>9984000</v>
          </cell>
          <cell r="CH66">
            <v>0</v>
          </cell>
          <cell r="CI66">
            <v>17472000</v>
          </cell>
          <cell r="CJ66">
            <v>0</v>
          </cell>
          <cell r="CK66">
            <v>0.06</v>
          </cell>
          <cell r="CL66" t="str">
            <v>saveinsu@nate.com</v>
          </cell>
          <cell r="CM66" t="str">
            <v>0</v>
          </cell>
          <cell r="CN66" t="str">
            <v>0</v>
          </cell>
          <cell r="CO66">
            <v>0.03</v>
          </cell>
          <cell r="CP66" t="str">
            <v>0</v>
          </cell>
          <cell r="CQ66" t="str">
            <v>썬팅</v>
          </cell>
          <cell r="CR66">
            <v>198000</v>
          </cell>
          <cell r="CS66" t="str">
            <v>코일매트</v>
          </cell>
          <cell r="CT66">
            <v>53300</v>
          </cell>
          <cell r="CU66" t="str">
            <v>유리막</v>
          </cell>
          <cell r="CV66">
            <v>132000</v>
          </cell>
          <cell r="CW66" t="str">
            <v>블랙박스</v>
          </cell>
          <cell r="CX66" t="str">
            <v>0</v>
          </cell>
          <cell r="CY66" t="str">
            <v>0</v>
          </cell>
          <cell r="CZ66" t="str">
            <v>0</v>
          </cell>
          <cell r="DA66" t="str">
            <v>0</v>
          </cell>
          <cell r="DB66" t="str">
            <v>현대</v>
          </cell>
          <cell r="DC66" t="str">
            <v>박현식 부장</v>
          </cell>
          <cell r="DD66" t="str">
            <v>렌트베네핏</v>
          </cell>
          <cell r="DE66" t="str">
            <v>0</v>
          </cell>
          <cell r="DF66" t="str">
            <v>국민은행</v>
          </cell>
          <cell r="DG66" t="str">
            <v>924501-01-349898</v>
          </cell>
          <cell r="DH66" t="str">
            <v>306-98-98414</v>
          </cell>
          <cell r="DI66" t="str">
            <v>서울특별시 강남구 학동로25길 11, 203호(논현동, 씨플레이스)</v>
          </cell>
          <cell r="DJ66">
            <v>0.35</v>
          </cell>
          <cell r="DK66">
            <v>0.2</v>
          </cell>
          <cell r="DL66" t="str">
            <v>0</v>
          </cell>
          <cell r="DM66" t="str">
            <v>0</v>
          </cell>
          <cell r="DN66" t="str">
            <v>0</v>
          </cell>
          <cell r="DO66" t="str">
            <v>0</v>
          </cell>
          <cell r="DP66" t="str">
            <v>0</v>
          </cell>
        </row>
        <row r="67">
          <cell r="C67" t="str">
            <v>Benz-020</v>
          </cell>
          <cell r="D67" t="str">
            <v>현대산업</v>
          </cell>
          <cell r="E67" t="str">
            <v>최용식 대표님</v>
          </cell>
          <cell r="F67" t="str">
            <v>010-7337-6072</v>
          </cell>
          <cell r="G67" t="str">
            <v>C300</v>
          </cell>
          <cell r="H67" t="str">
            <v>4M AV</v>
          </cell>
          <cell r="I67">
            <v>67460000</v>
          </cell>
          <cell r="J67">
            <v>2023</v>
          </cell>
          <cell r="K67" t="str">
            <v>P.W/Brown</v>
          </cell>
          <cell r="L67" t="str">
            <v>가솔린</v>
          </cell>
          <cell r="M67" t="str">
            <v>W1KAF4HB7PR113410</v>
          </cell>
          <cell r="N67" t="str">
            <v>101하3037</v>
          </cell>
          <cell r="O67" t="str">
            <v>-</v>
          </cell>
          <cell r="P67">
            <v>1999</v>
          </cell>
          <cell r="Q67">
            <v>45016</v>
          </cell>
          <cell r="R67">
            <v>45012</v>
          </cell>
          <cell r="S67">
            <v>45016</v>
          </cell>
          <cell r="T67" t="str">
            <v>5</v>
          </cell>
          <cell r="U67">
            <v>46841</v>
          </cell>
          <cell r="V67">
            <v>19</v>
          </cell>
          <cell r="W67">
            <v>20000</v>
          </cell>
          <cell r="X67" t="str">
            <v>최용식 대표님</v>
          </cell>
          <cell r="Y67" t="str">
            <v>010-7337-6072</v>
          </cell>
          <cell r="Z67" t="str">
            <v>0</v>
          </cell>
          <cell r="AA67" t="str">
            <v>경기도 화성시 상신하길로 35 언덕마을 18단지 1809동 앞 주차장</v>
          </cell>
          <cell r="AB67">
            <v>45041</v>
          </cell>
          <cell r="AC67">
            <v>1825</v>
          </cell>
          <cell r="AD67">
            <v>596</v>
          </cell>
          <cell r="AE67">
            <v>23030002</v>
          </cell>
          <cell r="AF67" t="str">
            <v>0</v>
          </cell>
          <cell r="AG67" t="str">
            <v>0</v>
          </cell>
          <cell r="AH67" t="str">
            <v>0</v>
          </cell>
          <cell r="AI67" t="str">
            <v>0</v>
          </cell>
          <cell r="AJ67" t="str">
            <v>0</v>
          </cell>
          <cell r="AK67" t="str">
            <v>0</v>
          </cell>
          <cell r="AL67" t="str">
            <v>0</v>
          </cell>
          <cell r="AM67" t="str">
            <v>0</v>
          </cell>
          <cell r="AN67" t="str">
            <v>0</v>
          </cell>
          <cell r="AO67" t="str">
            <v>0</v>
          </cell>
          <cell r="AP67" t="str">
            <v>0</v>
          </cell>
          <cell r="AQ67" t="str">
            <v>0</v>
          </cell>
          <cell r="AR67" t="str">
            <v>벤츠블랙박스</v>
          </cell>
          <cell r="AS67" t="str">
            <v>0</v>
          </cell>
          <cell r="AT67" t="str">
            <v>후퍼옵틱 GK, 측후면 15% 전면 50%</v>
          </cell>
          <cell r="AU67" t="str">
            <v>0</v>
          </cell>
          <cell r="AV67" t="str">
            <v>0</v>
          </cell>
          <cell r="AW67" t="str">
            <v>렌터카 공제</v>
          </cell>
          <cell r="AX67" t="str">
            <v>0</v>
          </cell>
          <cell r="AY67" t="str">
            <v>0</v>
          </cell>
          <cell r="AZ67" t="str">
            <v>0</v>
          </cell>
          <cell r="BA67" t="str">
            <v>0</v>
          </cell>
          <cell r="BB67" t="str">
            <v>0</v>
          </cell>
          <cell r="BC67" t="str">
            <v>0</v>
          </cell>
          <cell r="BD67" t="str">
            <v>만26세</v>
          </cell>
          <cell r="BE67" t="str">
            <v>무한대</v>
          </cell>
          <cell r="BF67" t="str">
            <v>5억</v>
          </cell>
          <cell r="BG67" t="str">
            <v>2억/3천만</v>
          </cell>
          <cell r="BH67" t="str">
            <v>2억원/1인당</v>
          </cell>
          <cell r="BI67" t="str">
            <v>50만원</v>
          </cell>
          <cell r="BJ67" t="str">
            <v>임직원</v>
          </cell>
          <cell r="BK67" t="str">
            <v>5회/년</v>
          </cell>
          <cell r="BL67" t="str">
            <v>가입</v>
          </cell>
          <cell r="BM67" t="str">
            <v>미가입</v>
          </cell>
          <cell r="BN67" t="str">
            <v>브랜드보증 외 사용자 부담</v>
          </cell>
          <cell r="BO67" t="str">
            <v>브랜드보증 외 사용자 부담</v>
          </cell>
          <cell r="BP67" t="str">
            <v>피럴리 p zero 225/40 전 255/35 후 R19</v>
          </cell>
          <cell r="BQ67" t="str">
            <v>0</v>
          </cell>
          <cell r="BR67">
            <v>37981</v>
          </cell>
          <cell r="BS67" t="str">
            <v>현금</v>
          </cell>
          <cell r="BT67" t="str">
            <v>0</v>
          </cell>
          <cell r="BU67" t="str">
            <v>0</v>
          </cell>
          <cell r="BV67" t="str">
            <v>0</v>
          </cell>
          <cell r="BW67" t="str">
            <v>0</v>
          </cell>
          <cell r="BX67" t="str">
            <v>0</v>
          </cell>
          <cell r="BY67" t="str">
            <v>0</v>
          </cell>
          <cell r="BZ67" t="str">
            <v>0</v>
          </cell>
          <cell r="CA67" t="str">
            <v>0</v>
          </cell>
          <cell r="CB67" t="str">
            <v>25</v>
          </cell>
          <cell r="CC67" t="str">
            <v>25</v>
          </cell>
          <cell r="CD67">
            <v>1398000</v>
          </cell>
          <cell r="CE67">
            <v>60</v>
          </cell>
          <cell r="CF67">
            <v>83880000</v>
          </cell>
          <cell r="CG67">
            <v>20238000</v>
          </cell>
          <cell r="CH67">
            <v>0</v>
          </cell>
          <cell r="CI67">
            <v>20238000</v>
          </cell>
          <cell r="CJ67">
            <v>0.11600000000000001</v>
          </cell>
          <cell r="CK67">
            <v>0.06</v>
          </cell>
          <cell r="CL67" t="str">
            <v>hdi201@naver.com</v>
          </cell>
          <cell r="CM67" t="str">
            <v>0</v>
          </cell>
          <cell r="CN67" t="str">
            <v>010-7337-6072</v>
          </cell>
          <cell r="CO67">
            <v>0.03</v>
          </cell>
          <cell r="CP67" t="str">
            <v>0</v>
          </cell>
          <cell r="CQ67" t="str">
            <v>골프백</v>
          </cell>
          <cell r="CR67" t="str">
            <v>0</v>
          </cell>
          <cell r="CS67" t="str">
            <v>우산</v>
          </cell>
          <cell r="CT67" t="str">
            <v>0</v>
          </cell>
          <cell r="CU67" t="str">
            <v>키케이스</v>
          </cell>
          <cell r="CV67" t="str">
            <v>0</v>
          </cell>
          <cell r="CW67" t="str">
            <v>무릎담요</v>
          </cell>
          <cell r="CX67" t="str">
            <v>0</v>
          </cell>
          <cell r="CY67" t="str">
            <v>목쿠션</v>
          </cell>
          <cell r="CZ67" t="str">
            <v>0</v>
          </cell>
          <cell r="DA67" t="str">
            <v>0</v>
          </cell>
          <cell r="DB67" t="str">
            <v>모터원</v>
          </cell>
          <cell r="DC67" t="str">
            <v>박봉호 부장</v>
          </cell>
          <cell r="DD67" t="str">
            <v>의정부</v>
          </cell>
          <cell r="DE67" t="str">
            <v>0</v>
          </cell>
          <cell r="DF67" t="str">
            <v>IBK기업은행</v>
          </cell>
          <cell r="DG67" t="str">
            <v>532-001522-01-025</v>
          </cell>
          <cell r="DH67" t="str">
            <v>680201-1046727</v>
          </cell>
          <cell r="DI67" t="str">
            <v>경기도 화성시 팔탄면 율암리 758-9 현대산업</v>
          </cell>
          <cell r="DJ67">
            <v>0.35</v>
          </cell>
          <cell r="DK67">
            <v>0.2</v>
          </cell>
          <cell r="DL67" t="str">
            <v>0</v>
          </cell>
          <cell r="DM67" t="str">
            <v>0</v>
          </cell>
          <cell r="DN67" t="str">
            <v>0</v>
          </cell>
          <cell r="DO67" t="str">
            <v>0</v>
          </cell>
          <cell r="DP67" t="str">
            <v>0</v>
          </cell>
        </row>
        <row r="68">
          <cell r="C68" t="str">
            <v>Carnival-002</v>
          </cell>
          <cell r="D68" t="str">
            <v>정영범 부장님</v>
          </cell>
          <cell r="E68" t="str">
            <v>정영범 부장님</v>
          </cell>
          <cell r="F68" t="str">
            <v>010-5217-0300</v>
          </cell>
          <cell r="G68" t="str">
            <v>Carnival</v>
          </cell>
          <cell r="H68" t="str">
            <v>3.5 가솔린 9인승 시그니처</v>
          </cell>
          <cell r="I68">
            <v>43335800</v>
          </cell>
          <cell r="J68">
            <v>2023</v>
          </cell>
          <cell r="K68" t="str">
            <v>스노우 화이트 펄/새들 브라운</v>
          </cell>
          <cell r="L68" t="str">
            <v>가솔린</v>
          </cell>
          <cell r="M68" t="str">
            <v>KNANE813BPS317093</v>
          </cell>
          <cell r="N68" t="str">
            <v>125호5386</v>
          </cell>
          <cell r="O68" t="str">
            <v>-</v>
          </cell>
          <cell r="P68">
            <v>3470</v>
          </cell>
          <cell r="Q68">
            <v>45037</v>
          </cell>
          <cell r="R68">
            <v>3470</v>
          </cell>
          <cell r="S68">
            <v>45271</v>
          </cell>
          <cell r="T68" t="str">
            <v>5</v>
          </cell>
          <cell r="U68">
            <v>47096</v>
          </cell>
          <cell r="V68">
            <v>27</v>
          </cell>
          <cell r="W68">
            <v>20000</v>
          </cell>
          <cell r="X68" t="str">
            <v>정영범 부장님</v>
          </cell>
          <cell r="Y68" t="str">
            <v>-</v>
          </cell>
          <cell r="Z68" t="str">
            <v>0</v>
          </cell>
          <cell r="AA68" t="str">
            <v>서울오토갤러리</v>
          </cell>
          <cell r="AB68">
            <v>45316</v>
          </cell>
          <cell r="AC68">
            <v>1825</v>
          </cell>
          <cell r="AD68">
            <v>851</v>
          </cell>
          <cell r="AE68">
            <v>23120011</v>
          </cell>
          <cell r="AF68">
            <v>43335800</v>
          </cell>
          <cell r="AG68" t="str">
            <v>0</v>
          </cell>
          <cell r="AH68" t="str">
            <v>0</v>
          </cell>
          <cell r="AI68">
            <v>103000</v>
          </cell>
          <cell r="AJ68">
            <v>2000</v>
          </cell>
          <cell r="AK68" t="str">
            <v>0</v>
          </cell>
          <cell r="AL68" t="str">
            <v>0</v>
          </cell>
          <cell r="AM68" t="str">
            <v>0</v>
          </cell>
          <cell r="AN68" t="str">
            <v>0</v>
          </cell>
          <cell r="AO68" t="str">
            <v>0</v>
          </cell>
          <cell r="AP68" t="str">
            <v>0</v>
          </cell>
          <cell r="AQ68" t="str">
            <v>0</v>
          </cell>
          <cell r="AR68" t="str">
            <v>빌트인캠</v>
          </cell>
          <cell r="AS68" t="str">
            <v>0</v>
          </cell>
          <cell r="AT68" t="str">
            <v>버텍스(전면 35%, 1열 15%, 2열후면 5%)</v>
          </cell>
          <cell r="AU68" t="str">
            <v>0</v>
          </cell>
          <cell r="AV68" t="str">
            <v>0</v>
          </cell>
          <cell r="AW68" t="str">
            <v>렌터카 공제</v>
          </cell>
          <cell r="AX68" t="str">
            <v>0</v>
          </cell>
          <cell r="AY68" t="str">
            <v>0</v>
          </cell>
          <cell r="AZ68" t="str">
            <v>0</v>
          </cell>
          <cell r="BA68" t="str">
            <v>0</v>
          </cell>
          <cell r="BB68" t="str">
            <v>0</v>
          </cell>
          <cell r="BC68" t="str">
            <v>0</v>
          </cell>
          <cell r="BD68" t="str">
            <v>만26세</v>
          </cell>
          <cell r="BE68" t="str">
            <v>무한대</v>
          </cell>
          <cell r="BF68" t="str">
            <v>2억원</v>
          </cell>
          <cell r="BG68" t="str">
            <v>1억원/1500만</v>
          </cell>
          <cell r="BH68" t="str">
            <v>2억원/1인당</v>
          </cell>
          <cell r="BI68" t="str">
            <v>30만원</v>
          </cell>
          <cell r="BJ68" t="str">
            <v>누구나</v>
          </cell>
          <cell r="BK68" t="str">
            <v>5회/년</v>
          </cell>
          <cell r="BL68" t="str">
            <v>가입</v>
          </cell>
          <cell r="BM68" t="str">
            <v>가입</v>
          </cell>
          <cell r="BN68" t="str">
            <v>브랜드보증 외 사용자 부담</v>
          </cell>
          <cell r="BO68" t="str">
            <v>브랜드보증 외 사용자 부담</v>
          </cell>
          <cell r="BP68" t="str">
            <v>0</v>
          </cell>
          <cell r="BQ68" t="str">
            <v>0</v>
          </cell>
          <cell r="BR68">
            <v>83280</v>
          </cell>
          <cell r="BS68" t="str">
            <v>현금</v>
          </cell>
          <cell r="BT68" t="str">
            <v>0</v>
          </cell>
          <cell r="BU68" t="str">
            <v>0</v>
          </cell>
          <cell r="BV68" t="str">
            <v>0</v>
          </cell>
          <cell r="BW68" t="str">
            <v>0</v>
          </cell>
          <cell r="BX68" t="str">
            <v>0</v>
          </cell>
          <cell r="BY68" t="str">
            <v>0</v>
          </cell>
          <cell r="BZ68" t="str">
            <v>0</v>
          </cell>
          <cell r="CA68" t="str">
            <v>0</v>
          </cell>
          <cell r="CB68" t="str">
            <v>25</v>
          </cell>
          <cell r="CC68" t="str">
            <v>25</v>
          </cell>
          <cell r="CD68">
            <v>539000</v>
          </cell>
          <cell r="CE68">
            <v>96</v>
          </cell>
          <cell r="CF68">
            <v>51744000</v>
          </cell>
          <cell r="CG68">
            <v>0</v>
          </cell>
          <cell r="CH68">
            <v>4000000</v>
          </cell>
          <cell r="CI68">
            <v>21666500</v>
          </cell>
          <cell r="CJ68">
            <v>0</v>
          </cell>
          <cell r="CK68">
            <v>0.06</v>
          </cell>
          <cell r="CL68" t="str">
            <v>0</v>
          </cell>
          <cell r="CM68" t="str">
            <v>0</v>
          </cell>
          <cell r="CN68" t="str">
            <v>0</v>
          </cell>
          <cell r="CO68">
            <v>0.03</v>
          </cell>
          <cell r="CP68" t="str">
            <v>0</v>
          </cell>
          <cell r="CQ68" t="str">
            <v>코일매트</v>
          </cell>
          <cell r="CR68">
            <v>147400</v>
          </cell>
          <cell r="CS68" t="str">
            <v>PPF</v>
          </cell>
          <cell r="CT68">
            <v>44000</v>
          </cell>
          <cell r="CU68" t="str">
            <v>0</v>
          </cell>
          <cell r="CV68" t="str">
            <v>0</v>
          </cell>
          <cell r="CW68" t="str">
            <v>0</v>
          </cell>
          <cell r="CX68" t="str">
            <v>0</v>
          </cell>
          <cell r="CY68" t="str">
            <v>0</v>
          </cell>
          <cell r="CZ68" t="str">
            <v>0</v>
          </cell>
          <cell r="DA68" t="str">
            <v>0</v>
          </cell>
          <cell r="DB68" t="str">
            <v>기아</v>
          </cell>
          <cell r="DC68" t="str">
            <v>정수원 실장</v>
          </cell>
          <cell r="DD68" t="str">
            <v>렌트베네핏</v>
          </cell>
          <cell r="DE68" t="str">
            <v>0</v>
          </cell>
          <cell r="DF68" t="str">
            <v>0</v>
          </cell>
          <cell r="DG68" t="str">
            <v>0</v>
          </cell>
          <cell r="DH68" t="str">
            <v>0</v>
          </cell>
          <cell r="DI68" t="str">
            <v>주소 없음</v>
          </cell>
          <cell r="DJ68">
            <v>0.35</v>
          </cell>
          <cell r="DK68">
            <v>0.2</v>
          </cell>
          <cell r="DL68" t="str">
            <v>0</v>
          </cell>
          <cell r="DM68" t="str">
            <v>0</v>
          </cell>
          <cell r="DN68" t="str">
            <v>0</v>
          </cell>
          <cell r="DO68" t="str">
            <v>0</v>
          </cell>
          <cell r="DP68" t="str">
            <v>0</v>
          </cell>
        </row>
        <row r="69">
          <cell r="C69" t="str">
            <v>Sportage-001</v>
          </cell>
          <cell r="D69" t="str">
            <v>신흥정보통신㈜</v>
          </cell>
          <cell r="E69" t="str">
            <v>장혜원 대표님</v>
          </cell>
          <cell r="F69" t="str">
            <v>010-8182-6737</v>
          </cell>
          <cell r="G69" t="str">
            <v>Sportage</v>
          </cell>
          <cell r="H69" t="str">
            <v>디 올 뉴 스포티지 HEV 4WD 프레스티지</v>
          </cell>
          <cell r="I69">
            <v>35790000</v>
          </cell>
          <cell r="J69">
            <v>2023</v>
          </cell>
          <cell r="K69" t="str">
            <v>스틸 그레이/블랙</v>
          </cell>
          <cell r="L69" t="str">
            <v>가솔린</v>
          </cell>
          <cell r="M69" t="str">
            <v>KNAPV81GDPK 096710</v>
          </cell>
          <cell r="N69" t="str">
            <v>125호8632</v>
          </cell>
          <cell r="O69" t="str">
            <v>-</v>
          </cell>
          <cell r="P69">
            <v>1598</v>
          </cell>
          <cell r="Q69">
            <v>45134</v>
          </cell>
          <cell r="R69">
            <v>45134</v>
          </cell>
          <cell r="S69">
            <v>45135</v>
          </cell>
          <cell r="T69" t="str">
            <v>4</v>
          </cell>
          <cell r="U69">
            <v>46595</v>
          </cell>
          <cell r="V69">
            <v>11</v>
          </cell>
          <cell r="W69">
            <v>20000</v>
          </cell>
          <cell r="X69" t="str">
            <v>이태우 이사님</v>
          </cell>
          <cell r="Y69" t="str">
            <v>010-8182-6737</v>
          </cell>
          <cell r="Z69" t="str">
            <v>-</v>
          </cell>
          <cell r="AA69" t="str">
            <v>송파구 법원로 11길 28 BK타워</v>
          </cell>
          <cell r="AB69">
            <v>45163</v>
          </cell>
          <cell r="AC69">
            <v>1460</v>
          </cell>
          <cell r="AD69">
            <v>350</v>
          </cell>
          <cell r="AE69">
            <v>23070004</v>
          </cell>
          <cell r="AF69">
            <v>35540000</v>
          </cell>
          <cell r="AG69">
            <v>1798426</v>
          </cell>
          <cell r="AH69">
            <v>33741574</v>
          </cell>
          <cell r="AI69">
            <v>254000</v>
          </cell>
          <cell r="AJ69">
            <v>2000</v>
          </cell>
          <cell r="AK69" t="str">
            <v>-</v>
          </cell>
          <cell r="AL69" t="str">
            <v>-</v>
          </cell>
          <cell r="AM69" t="str">
            <v>-</v>
          </cell>
          <cell r="AN69" t="str">
            <v>-</v>
          </cell>
          <cell r="AO69" t="str">
            <v>-</v>
          </cell>
          <cell r="AP69" t="str">
            <v>-</v>
          </cell>
          <cell r="AQ69">
            <v>154000</v>
          </cell>
          <cell r="AR69" t="str">
            <v>엠피온 s9000프로 FHD-FHD</v>
          </cell>
          <cell r="AS69">
            <v>198000.00000000003</v>
          </cell>
          <cell r="AT69" t="str">
            <v>버텍스300(전면 35%/1열 15%/2열, 후면 5%)</v>
          </cell>
          <cell r="AU69" t="str">
            <v>-</v>
          </cell>
          <cell r="AV69" t="str">
            <v>-</v>
          </cell>
          <cell r="AW69" t="str">
            <v>렌터카 공제</v>
          </cell>
          <cell r="AX69" t="str">
            <v>-</v>
          </cell>
          <cell r="AY69" t="str">
            <v>-</v>
          </cell>
          <cell r="AZ69" t="str">
            <v>-</v>
          </cell>
          <cell r="BA69" t="str">
            <v>-</v>
          </cell>
          <cell r="BB69" t="str">
            <v>-</v>
          </cell>
          <cell r="BC69" t="str">
            <v>0</v>
          </cell>
          <cell r="BD69" t="str">
            <v>만26세</v>
          </cell>
          <cell r="BE69" t="str">
            <v>무한대</v>
          </cell>
          <cell r="BF69" t="str">
            <v>2억원</v>
          </cell>
          <cell r="BG69" t="str">
            <v>1억원/1500만</v>
          </cell>
          <cell r="BH69" t="str">
            <v>2억원/1인당</v>
          </cell>
          <cell r="BI69" t="str">
            <v>30만원</v>
          </cell>
          <cell r="BJ69" t="str">
            <v>임직원</v>
          </cell>
          <cell r="BK69" t="str">
            <v>5회/년</v>
          </cell>
          <cell r="BL69" t="str">
            <v>가입</v>
          </cell>
          <cell r="BM69" t="str">
            <v>가입</v>
          </cell>
          <cell r="BN69" t="str">
            <v>가입</v>
          </cell>
          <cell r="BO69" t="str">
            <v>렌트기간 4본</v>
          </cell>
          <cell r="BP69" t="str">
            <v>넥센 앞/뒤 235/65R17</v>
          </cell>
          <cell r="BQ69" t="str">
            <v>0</v>
          </cell>
          <cell r="BR69">
            <v>28764</v>
          </cell>
          <cell r="BS69" t="str">
            <v>현금</v>
          </cell>
          <cell r="BT69" t="str">
            <v>-</v>
          </cell>
          <cell r="BU69" t="str">
            <v>-</v>
          </cell>
          <cell r="BV69" t="str">
            <v>-</v>
          </cell>
          <cell r="BW69" t="str">
            <v>-</v>
          </cell>
          <cell r="BX69" t="str">
            <v>-</v>
          </cell>
          <cell r="BY69" t="str">
            <v>-</v>
          </cell>
          <cell r="BZ69" t="str">
            <v>-</v>
          </cell>
          <cell r="CA69" t="str">
            <v>0</v>
          </cell>
          <cell r="CB69" t="str">
            <v>25</v>
          </cell>
          <cell r="CC69" t="str">
            <v>25</v>
          </cell>
          <cell r="CD69">
            <v>689000</v>
          </cell>
          <cell r="CE69">
            <v>48</v>
          </cell>
          <cell r="CF69">
            <v>33072000</v>
          </cell>
          <cell r="CG69">
            <v>10737000</v>
          </cell>
          <cell r="CH69">
            <v>0</v>
          </cell>
          <cell r="CI69">
            <v>17179200</v>
          </cell>
          <cell r="CJ69">
            <v>0</v>
          </cell>
          <cell r="CK69">
            <v>0.06</v>
          </cell>
          <cell r="CL69" t="str">
            <v>shtel124@shtel.co.kr</v>
          </cell>
          <cell r="CM69" t="str">
            <v>shtel124@shtel.co.kr</v>
          </cell>
          <cell r="CN69" t="str">
            <v>-</v>
          </cell>
          <cell r="CO69">
            <v>0.03</v>
          </cell>
          <cell r="CP69" t="str">
            <v>0</v>
          </cell>
          <cell r="CQ69" t="str">
            <v>코일매트</v>
          </cell>
          <cell r="CR69">
            <v>53300</v>
          </cell>
          <cell r="CS69" t="str">
            <v>PPF</v>
          </cell>
          <cell r="CT69">
            <v>44000</v>
          </cell>
          <cell r="CU69" t="str">
            <v>-</v>
          </cell>
          <cell r="CV69" t="str">
            <v>-</v>
          </cell>
          <cell r="CW69" t="str">
            <v>-</v>
          </cell>
          <cell r="CX69" t="str">
            <v>-</v>
          </cell>
          <cell r="CY69" t="str">
            <v>-</v>
          </cell>
          <cell r="CZ69" t="str">
            <v>-</v>
          </cell>
          <cell r="DA69" t="str">
            <v>-</v>
          </cell>
          <cell r="DB69" t="str">
            <v>기아</v>
          </cell>
          <cell r="DC69" t="str">
            <v>정수원 실장</v>
          </cell>
          <cell r="DD69" t="str">
            <v>렌트베네핏</v>
          </cell>
          <cell r="DE69" t="str">
            <v>0</v>
          </cell>
          <cell r="DF69" t="str">
            <v>국민은행</v>
          </cell>
          <cell r="DG69" t="str">
            <v>242-01-0050-101</v>
          </cell>
          <cell r="DH69" t="str">
            <v>124-81-20150</v>
          </cell>
          <cell r="DI69" t="str">
            <v>경기도 수원시 수성로 250번길 30(영화동)</v>
          </cell>
          <cell r="DJ69">
            <v>0.35</v>
          </cell>
          <cell r="DK69">
            <v>0.2</v>
          </cell>
          <cell r="DL69" t="str">
            <v>0</v>
          </cell>
          <cell r="DM69">
            <v>443035</v>
          </cell>
          <cell r="DN69" t="str">
            <v>0</v>
          </cell>
          <cell r="DO69" t="str">
            <v>0</v>
          </cell>
          <cell r="DP69" t="str">
            <v>0</v>
          </cell>
        </row>
        <row r="70">
          <cell r="C70" t="str">
            <v>K8-004</v>
          </cell>
          <cell r="D70" t="str">
            <v>(주)세이브인슈</v>
          </cell>
          <cell r="E70" t="str">
            <v>이진영 고객님</v>
          </cell>
          <cell r="F70" t="str">
            <v>010-9190-1947</v>
          </cell>
          <cell r="G70" t="str">
            <v>K8</v>
          </cell>
          <cell r="H70" t="str">
            <v>1.6 하이브리드 시그니처 투톤휠 A/T</v>
          </cell>
          <cell r="I70">
            <v>49030000</v>
          </cell>
          <cell r="J70">
            <v>2023</v>
          </cell>
          <cell r="K70" t="str">
            <v>인터스텔라 그레이/브라운 투톤</v>
          </cell>
          <cell r="L70" t="str">
            <v>가솔린</v>
          </cell>
          <cell r="M70" t="str">
            <v>KNAM6411BPA060895</v>
          </cell>
          <cell r="N70" t="str">
            <v>125호8637</v>
          </cell>
          <cell r="O70" t="str">
            <v>-</v>
          </cell>
          <cell r="P70">
            <v>1598</v>
          </cell>
          <cell r="Q70">
            <v>45156</v>
          </cell>
          <cell r="R70">
            <v>45149</v>
          </cell>
          <cell r="S70">
            <v>45156</v>
          </cell>
          <cell r="T70" t="str">
            <v>5</v>
          </cell>
          <cell r="U70">
            <v>46981</v>
          </cell>
          <cell r="V70">
            <v>24</v>
          </cell>
          <cell r="W70">
            <v>50000</v>
          </cell>
          <cell r="X70" t="str">
            <v>이진영 고객님</v>
          </cell>
          <cell r="Y70" t="str">
            <v>010-9190-1947</v>
          </cell>
          <cell r="Z70" t="str">
            <v>-</v>
          </cell>
          <cell r="AA70" t="str">
            <v>-</v>
          </cell>
          <cell r="AB70">
            <v>45163</v>
          </cell>
          <cell r="AC70">
            <v>1825</v>
          </cell>
          <cell r="AD70">
            <v>736</v>
          </cell>
          <cell r="AE70">
            <v>23070005</v>
          </cell>
          <cell r="AF70">
            <v>49030000</v>
          </cell>
          <cell r="AG70">
            <v>0</v>
          </cell>
          <cell r="AH70">
            <v>49030000</v>
          </cell>
          <cell r="AI70" t="str">
            <v>-</v>
          </cell>
          <cell r="AJ70">
            <v>2000</v>
          </cell>
          <cell r="AK70" t="str">
            <v>-</v>
          </cell>
          <cell r="AL70" t="str">
            <v>-</v>
          </cell>
          <cell r="AM70" t="str">
            <v>-</v>
          </cell>
          <cell r="AN70" t="str">
            <v>-</v>
          </cell>
          <cell r="AO70" t="str">
            <v>-</v>
          </cell>
          <cell r="AP70" t="str">
            <v>-</v>
          </cell>
          <cell r="AQ70" t="str">
            <v>-</v>
          </cell>
          <cell r="AR70" t="str">
            <v>빌트인캠</v>
          </cell>
          <cell r="AS70">
            <v>300000</v>
          </cell>
          <cell r="AT70" t="str">
            <v>Rainbow I90 (전번 35%/ 측후면 15%)</v>
          </cell>
          <cell r="AU70" t="str">
            <v>-</v>
          </cell>
          <cell r="AV70" t="str">
            <v>-</v>
          </cell>
          <cell r="AW70" t="str">
            <v>렌터카 공제</v>
          </cell>
          <cell r="AX70" t="str">
            <v>-</v>
          </cell>
          <cell r="AY70" t="str">
            <v>-</v>
          </cell>
          <cell r="AZ70" t="str">
            <v>-</v>
          </cell>
          <cell r="BA70" t="str">
            <v>-</v>
          </cell>
          <cell r="BB70" t="str">
            <v>-</v>
          </cell>
          <cell r="BC70" t="str">
            <v>0</v>
          </cell>
          <cell r="BD70" t="str">
            <v>만26세</v>
          </cell>
          <cell r="BE70" t="str">
            <v>무한대</v>
          </cell>
          <cell r="BF70" t="str">
            <v>2억원</v>
          </cell>
          <cell r="BG70" t="str">
            <v>1억원/1500만</v>
          </cell>
          <cell r="BH70" t="str">
            <v>2억원/1인당</v>
          </cell>
          <cell r="BI70" t="str">
            <v>30만원</v>
          </cell>
          <cell r="BJ70" t="str">
            <v>임직원</v>
          </cell>
          <cell r="BK70" t="str">
            <v>5회/년</v>
          </cell>
          <cell r="BL70" t="str">
            <v>가입</v>
          </cell>
          <cell r="BM70" t="str">
            <v>미가입</v>
          </cell>
          <cell r="BN70" t="str">
            <v>브랜드보증 외 사용자 부담</v>
          </cell>
          <cell r="BO70" t="str">
            <v>브랜드보증 외 사용자 부담</v>
          </cell>
          <cell r="BP70" t="str">
            <v>-</v>
          </cell>
          <cell r="BQ70" t="str">
            <v>0</v>
          </cell>
          <cell r="BR70">
            <v>28764</v>
          </cell>
          <cell r="BS70" t="str">
            <v>현금</v>
          </cell>
          <cell r="BT70" t="str">
            <v>-</v>
          </cell>
          <cell r="BU70" t="str">
            <v>-</v>
          </cell>
          <cell r="BV70" t="str">
            <v>-</v>
          </cell>
          <cell r="BW70" t="str">
            <v>-</v>
          </cell>
          <cell r="BX70" t="str">
            <v>-</v>
          </cell>
          <cell r="BY70" t="str">
            <v>-</v>
          </cell>
          <cell r="BZ70" t="str">
            <v>-</v>
          </cell>
          <cell r="CA70" t="str">
            <v>0</v>
          </cell>
          <cell r="CB70" t="str">
            <v>25</v>
          </cell>
          <cell r="CC70" t="str">
            <v>25</v>
          </cell>
          <cell r="CD70">
            <v>910000</v>
          </cell>
          <cell r="CE70">
            <v>60</v>
          </cell>
          <cell r="CF70">
            <v>54600000</v>
          </cell>
          <cell r="CG70">
            <v>9806000</v>
          </cell>
          <cell r="CH70">
            <v>0</v>
          </cell>
          <cell r="CI70">
            <v>18631400</v>
          </cell>
          <cell r="CJ70">
            <v>8.09E-2</v>
          </cell>
          <cell r="CK70">
            <v>0.06</v>
          </cell>
          <cell r="CL70" t="str">
            <v>saveinsu@nate.com</v>
          </cell>
          <cell r="CM70" t="str">
            <v>-</v>
          </cell>
          <cell r="CN70" t="str">
            <v>010-3186-5222</v>
          </cell>
          <cell r="CO70">
            <v>0.03</v>
          </cell>
          <cell r="CP70" t="str">
            <v>0</v>
          </cell>
          <cell r="CQ70" t="str">
            <v>코일매트</v>
          </cell>
          <cell r="CR70">
            <v>53300</v>
          </cell>
          <cell r="CS70" t="str">
            <v>PPF</v>
          </cell>
          <cell r="CT70">
            <v>44000</v>
          </cell>
          <cell r="CU70" t="str">
            <v>-</v>
          </cell>
          <cell r="CV70" t="str">
            <v>-</v>
          </cell>
          <cell r="CW70" t="str">
            <v>-</v>
          </cell>
          <cell r="CX70" t="str">
            <v>-</v>
          </cell>
          <cell r="CY70" t="str">
            <v>-</v>
          </cell>
          <cell r="CZ70" t="str">
            <v>-</v>
          </cell>
          <cell r="DA70" t="str">
            <v>-</v>
          </cell>
          <cell r="DB70" t="str">
            <v>기아</v>
          </cell>
          <cell r="DC70" t="str">
            <v>정수원 실장</v>
          </cell>
          <cell r="DD70" t="str">
            <v>렌트베네핏</v>
          </cell>
          <cell r="DE70" t="str">
            <v>0</v>
          </cell>
          <cell r="DF70" t="str">
            <v>국민은행</v>
          </cell>
          <cell r="DG70" t="str">
            <v>069101-04-125910</v>
          </cell>
          <cell r="DH70" t="str">
            <v>220-87-55319</v>
          </cell>
          <cell r="DI70" t="str">
            <v>서울특별시 강남구 학동로25길 11(논현동, 성연빌딩 202호)</v>
          </cell>
          <cell r="DJ70">
            <v>0.35</v>
          </cell>
          <cell r="DK70">
            <v>0.2</v>
          </cell>
          <cell r="DL70" t="str">
            <v>0</v>
          </cell>
          <cell r="DM70">
            <v>1225825</v>
          </cell>
          <cell r="DN70" t="str">
            <v>0</v>
          </cell>
          <cell r="DO70" t="str">
            <v>0</v>
          </cell>
          <cell r="DP70" t="str">
            <v>0</v>
          </cell>
        </row>
        <row r="71">
          <cell r="C71" t="str">
            <v>Grander-01</v>
          </cell>
          <cell r="D71" t="str">
            <v>추능오 고객님</v>
          </cell>
          <cell r="E71" t="str">
            <v>이춘식 이사님</v>
          </cell>
          <cell r="F71" t="str">
            <v>010-7137-1236</v>
          </cell>
          <cell r="G71" t="str">
            <v>Grander</v>
          </cell>
          <cell r="H71" t="str">
            <v>르블랑</v>
          </cell>
          <cell r="I71">
            <v>42280000</v>
          </cell>
          <cell r="J71">
            <v>2022</v>
          </cell>
          <cell r="K71" t="str">
            <v>녹턴 그레이 메탈릭/블랙모노톤</v>
          </cell>
          <cell r="L71" t="str">
            <v>가솔린</v>
          </cell>
          <cell r="M71" t="str">
            <v>KMHF1413BPA150229</v>
          </cell>
          <cell r="N71" t="str">
            <v>125호5230</v>
          </cell>
          <cell r="O71" t="str">
            <v>-</v>
          </cell>
          <cell r="P71">
            <v>2359</v>
          </cell>
          <cell r="Q71">
            <v>44748</v>
          </cell>
          <cell r="R71">
            <v>45209</v>
          </cell>
          <cell r="S71">
            <v>45209</v>
          </cell>
          <cell r="T71" t="str">
            <v>3</v>
          </cell>
          <cell r="U71">
            <v>46304</v>
          </cell>
          <cell r="V71">
            <v>1</v>
          </cell>
          <cell r="W71">
            <v>20000</v>
          </cell>
          <cell r="X71" t="str">
            <v>이춘식 이사님</v>
          </cell>
          <cell r="Y71" t="str">
            <v>010-7137-1236</v>
          </cell>
          <cell r="Z71" t="str">
            <v>0</v>
          </cell>
          <cell r="AA71" t="str">
            <v>서울오토갤러리</v>
          </cell>
          <cell r="AB71">
            <v>45224</v>
          </cell>
          <cell r="AC71">
            <v>1095</v>
          </cell>
          <cell r="AD71">
            <v>59</v>
          </cell>
          <cell r="AE71">
            <v>23120008</v>
          </cell>
          <cell r="AF71">
            <v>39738531</v>
          </cell>
          <cell r="AG71">
            <v>2580469</v>
          </cell>
          <cell r="AH71">
            <v>37158062</v>
          </cell>
          <cell r="AI71">
            <v>139000</v>
          </cell>
          <cell r="AJ71">
            <v>2000</v>
          </cell>
          <cell r="AK71">
            <v>1048670</v>
          </cell>
          <cell r="AL71">
            <v>0</v>
          </cell>
          <cell r="AM71">
            <v>2000</v>
          </cell>
          <cell r="AN71">
            <v>45000</v>
          </cell>
          <cell r="AO71">
            <v>50000</v>
          </cell>
          <cell r="AP71">
            <v>1173000</v>
          </cell>
          <cell r="AQ71">
            <v>154000</v>
          </cell>
          <cell r="AR71" t="str">
            <v>S1000PRO</v>
          </cell>
          <cell r="AS71">
            <v>198000</v>
          </cell>
          <cell r="AT71" t="str">
            <v>버택스 전면 35% 측후면 15%</v>
          </cell>
          <cell r="AU71">
            <v>1145670</v>
          </cell>
          <cell r="AV71">
            <v>1638670</v>
          </cell>
          <cell r="AW71" t="str">
            <v>렌터카 공제</v>
          </cell>
          <cell r="AX71">
            <v>44748</v>
          </cell>
          <cell r="AY71">
            <v>1182390</v>
          </cell>
          <cell r="AZ71" t="str">
            <v>0</v>
          </cell>
          <cell r="BA71" t="str">
            <v>0</v>
          </cell>
          <cell r="BB71" t="str">
            <v>0</v>
          </cell>
          <cell r="BC71" t="str">
            <v>0</v>
          </cell>
          <cell r="BD71" t="str">
            <v>만26세</v>
          </cell>
          <cell r="BE71" t="str">
            <v>무한대</v>
          </cell>
          <cell r="BF71" t="str">
            <v>2억원</v>
          </cell>
          <cell r="BG71" t="str">
            <v>1억원/1500만</v>
          </cell>
          <cell r="BH71" t="str">
            <v>2억원/1인당</v>
          </cell>
          <cell r="BI71" t="str">
            <v>30만원</v>
          </cell>
          <cell r="BJ71" t="str">
            <v>누구나</v>
          </cell>
          <cell r="BK71" t="str">
            <v>5회/년</v>
          </cell>
          <cell r="BL71" t="str">
            <v>가입</v>
          </cell>
          <cell r="BM71" t="str">
            <v>가입</v>
          </cell>
          <cell r="BN71" t="str">
            <v>브랜드보증 외 사용자 부담</v>
          </cell>
          <cell r="BO71" t="str">
            <v>브랜드보증 외 사용자 부담</v>
          </cell>
          <cell r="BP71" t="str">
            <v>0</v>
          </cell>
          <cell r="BQ71" t="str">
            <v>0</v>
          </cell>
          <cell r="BR71">
            <v>44821</v>
          </cell>
          <cell r="BS71" t="str">
            <v>현금</v>
          </cell>
          <cell r="BT71" t="str">
            <v>0</v>
          </cell>
          <cell r="BU71" t="str">
            <v>0</v>
          </cell>
          <cell r="BV71" t="str">
            <v>0</v>
          </cell>
          <cell r="BW71" t="str">
            <v>0</v>
          </cell>
          <cell r="BX71" t="str">
            <v>0</v>
          </cell>
          <cell r="BY71" t="str">
            <v>0</v>
          </cell>
          <cell r="BZ71">
            <v>0</v>
          </cell>
          <cell r="CA71" t="str">
            <v>0</v>
          </cell>
          <cell r="CB71" t="str">
            <v>25</v>
          </cell>
          <cell r="CC71" t="str">
            <v>25</v>
          </cell>
          <cell r="CD71">
            <v>0</v>
          </cell>
          <cell r="CE71">
            <v>24</v>
          </cell>
          <cell r="CF71">
            <v>0</v>
          </cell>
          <cell r="CG71">
            <v>0</v>
          </cell>
          <cell r="CH71">
            <v>23063000</v>
          </cell>
          <cell r="CI71" t="str">
            <v>만기시 반납</v>
          </cell>
          <cell r="CJ71">
            <v>0</v>
          </cell>
          <cell r="CK71">
            <v>0.06</v>
          </cell>
          <cell r="CL71" t="str">
            <v>cslee0598@naver.com</v>
          </cell>
          <cell r="CM71" t="str">
            <v>0</v>
          </cell>
          <cell r="CN71" t="str">
            <v>0</v>
          </cell>
          <cell r="CO71">
            <v>0.03</v>
          </cell>
          <cell r="CP71" t="str">
            <v>0</v>
          </cell>
          <cell r="CQ71">
            <v>0</v>
          </cell>
          <cell r="CR71">
            <v>0</v>
          </cell>
          <cell r="CS71">
            <v>0</v>
          </cell>
          <cell r="CT71">
            <v>0</v>
          </cell>
          <cell r="CU71">
            <v>0</v>
          </cell>
          <cell r="CV71">
            <v>0</v>
          </cell>
          <cell r="CW71">
            <v>0</v>
          </cell>
          <cell r="CX71">
            <v>0</v>
          </cell>
          <cell r="CY71">
            <v>0</v>
          </cell>
          <cell r="CZ71">
            <v>0</v>
          </cell>
          <cell r="DA71">
            <v>0</v>
          </cell>
          <cell r="DB71" t="str">
            <v>현대</v>
          </cell>
          <cell r="DC71" t="str">
            <v>박현식 부장</v>
          </cell>
          <cell r="DD71" t="str">
            <v>렌트베네핏</v>
          </cell>
          <cell r="DE71" t="str">
            <v>0</v>
          </cell>
          <cell r="DF71" t="str">
            <v>농협</v>
          </cell>
          <cell r="DG71" t="str">
            <v>356-1500-4320-23</v>
          </cell>
          <cell r="DH71" t="str">
            <v>701128-1221216</v>
          </cell>
          <cell r="DI71" t="str">
            <v>주소 없음</v>
          </cell>
          <cell r="DJ71">
            <v>0.3</v>
          </cell>
          <cell r="DK71">
            <v>0.2</v>
          </cell>
          <cell r="DL71" t="str">
            <v>0</v>
          </cell>
          <cell r="DM71" t="str">
            <v>0</v>
          </cell>
          <cell r="DN71" t="str">
            <v>0</v>
          </cell>
          <cell r="DO71" t="str">
            <v>0</v>
          </cell>
          <cell r="DP71" t="str">
            <v>0</v>
          </cell>
        </row>
        <row r="72">
          <cell r="C72" t="str">
            <v>Cona-01</v>
          </cell>
          <cell r="D72" t="str">
            <v>신흥정보통신㈜_코나</v>
          </cell>
          <cell r="E72" t="str">
            <v>장혜원 대표님</v>
          </cell>
          <cell r="F72" t="str">
            <v>010-8182-6737</v>
          </cell>
          <cell r="G72" t="str">
            <v>Cona</v>
          </cell>
          <cell r="H72" t="str">
            <v>SX2 런칭 전기모터 2WD 롱레인지 프리미엄 17인치</v>
          </cell>
          <cell r="I72">
            <v>50990000</v>
          </cell>
          <cell r="J72">
            <v>2023</v>
          </cell>
          <cell r="K72" t="str">
            <v>사이버 그레이 메탈릭 / 블랙모노톤</v>
          </cell>
          <cell r="L72" t="str">
            <v>전기모터</v>
          </cell>
          <cell r="M72" t="str">
            <v>KMHHC816FPU004639</v>
          </cell>
          <cell r="N72" t="str">
            <v>101호1841</v>
          </cell>
          <cell r="O72" t="str">
            <v>-</v>
          </cell>
          <cell r="P72">
            <v>180</v>
          </cell>
          <cell r="Q72">
            <v>45219</v>
          </cell>
          <cell r="R72">
            <v>45187</v>
          </cell>
          <cell r="S72">
            <v>45222</v>
          </cell>
          <cell r="T72" t="str">
            <v>4</v>
          </cell>
          <cell r="U72">
            <v>46682</v>
          </cell>
          <cell r="V72">
            <v>14</v>
          </cell>
          <cell r="W72">
            <v>20000</v>
          </cell>
          <cell r="X72" t="str">
            <v>모창률 과장님</v>
          </cell>
          <cell r="Y72" t="str">
            <v>010-5003-7338</v>
          </cell>
          <cell r="Z72" t="str">
            <v>-</v>
          </cell>
          <cell r="AA72" t="str">
            <v>송파구 법원로 11길 28 BK타워</v>
          </cell>
          <cell r="AB72">
            <v>45255</v>
          </cell>
          <cell r="AC72">
            <v>1460</v>
          </cell>
          <cell r="AD72">
            <v>437</v>
          </cell>
          <cell r="AE72">
            <v>23100006</v>
          </cell>
          <cell r="AF72">
            <v>50990000</v>
          </cell>
          <cell r="AG72">
            <v>11580240</v>
          </cell>
          <cell r="AH72">
            <v>39691760</v>
          </cell>
          <cell r="AI72">
            <v>282000</v>
          </cell>
          <cell r="AJ72">
            <v>2000</v>
          </cell>
          <cell r="AK72">
            <v>326970</v>
          </cell>
          <cell r="AL72">
            <v>0</v>
          </cell>
          <cell r="AM72">
            <v>2000</v>
          </cell>
          <cell r="AN72">
            <v>50000</v>
          </cell>
          <cell r="AO72">
            <v>33000</v>
          </cell>
          <cell r="AP72" t="str">
            <v>-</v>
          </cell>
          <cell r="AQ72" t="str">
            <v>-</v>
          </cell>
          <cell r="AR72" t="str">
            <v>빌트인캠</v>
          </cell>
          <cell r="AS72">
            <v>200000</v>
          </cell>
          <cell r="AT72" t="str">
            <v>Rayno S7(전면35%, 측후면 15%)</v>
          </cell>
          <cell r="AU72" t="str">
            <v>-</v>
          </cell>
          <cell r="AV72" t="str">
            <v>-</v>
          </cell>
          <cell r="AW72" t="str">
            <v>렌터카 공제</v>
          </cell>
          <cell r="AX72" t="str">
            <v>-</v>
          </cell>
          <cell r="AY72" t="str">
            <v>-</v>
          </cell>
          <cell r="AZ72" t="str">
            <v>-</v>
          </cell>
          <cell r="BA72" t="str">
            <v>-</v>
          </cell>
          <cell r="BB72" t="str">
            <v>-</v>
          </cell>
          <cell r="BC72" t="str">
            <v>0</v>
          </cell>
          <cell r="BD72" t="str">
            <v>만26세</v>
          </cell>
          <cell r="BE72" t="str">
            <v>무한대</v>
          </cell>
          <cell r="BF72" t="str">
            <v>2억원</v>
          </cell>
          <cell r="BG72" t="str">
            <v>1억원/1500만</v>
          </cell>
          <cell r="BH72" t="str">
            <v>2억원/1인당</v>
          </cell>
          <cell r="BI72" t="str">
            <v>30만원</v>
          </cell>
          <cell r="BJ72" t="str">
            <v>임직원</v>
          </cell>
          <cell r="BK72" t="str">
            <v>5회/년</v>
          </cell>
          <cell r="BL72" t="str">
            <v>가입</v>
          </cell>
          <cell r="BM72" t="str">
            <v>가입</v>
          </cell>
          <cell r="BN72" t="str">
            <v>가입</v>
          </cell>
          <cell r="BO72" t="str">
            <v>렌트기간 4본</v>
          </cell>
          <cell r="BP72" t="str">
            <v>-</v>
          </cell>
          <cell r="BQ72" t="str">
            <v>0</v>
          </cell>
          <cell r="BR72">
            <v>3240</v>
          </cell>
          <cell r="BS72" t="str">
            <v>현금</v>
          </cell>
          <cell r="BT72" t="str">
            <v>-</v>
          </cell>
          <cell r="BU72" t="str">
            <v>-</v>
          </cell>
          <cell r="BV72" t="str">
            <v>-</v>
          </cell>
          <cell r="BW72" t="str">
            <v>-</v>
          </cell>
          <cell r="BX72" t="str">
            <v>-</v>
          </cell>
          <cell r="BY72" t="str">
            <v>-</v>
          </cell>
          <cell r="BZ72" t="str">
            <v>-</v>
          </cell>
          <cell r="CA72" t="str">
            <v>0</v>
          </cell>
          <cell r="CB72" t="str">
            <v>25</v>
          </cell>
          <cell r="CC72" t="str">
            <v>25</v>
          </cell>
          <cell r="CD72">
            <v>670000</v>
          </cell>
          <cell r="CE72">
            <v>48</v>
          </cell>
          <cell r="CF72">
            <v>32160000</v>
          </cell>
          <cell r="CG72">
            <v>15297000</v>
          </cell>
          <cell r="CH72">
            <v>0</v>
          </cell>
          <cell r="CI72">
            <v>24985100</v>
          </cell>
          <cell r="CJ72">
            <v>2.8199999999999999E-2</v>
          </cell>
          <cell r="CK72">
            <v>0.06</v>
          </cell>
          <cell r="CL72" t="str">
            <v>shtel001@daum.net</v>
          </cell>
          <cell r="CM72" t="str">
            <v>-</v>
          </cell>
          <cell r="CN72" t="str">
            <v>-</v>
          </cell>
          <cell r="CO72">
            <v>0.03</v>
          </cell>
          <cell r="CP72" t="str">
            <v>0</v>
          </cell>
          <cell r="CQ72" t="str">
            <v>코일매트</v>
          </cell>
          <cell r="CR72">
            <v>53300</v>
          </cell>
          <cell r="CS72" t="str">
            <v>-</v>
          </cell>
          <cell r="CT72" t="str">
            <v>-</v>
          </cell>
          <cell r="CU72" t="str">
            <v>-</v>
          </cell>
          <cell r="CV72" t="str">
            <v>-</v>
          </cell>
          <cell r="CW72" t="str">
            <v>-</v>
          </cell>
          <cell r="CX72" t="str">
            <v>-</v>
          </cell>
          <cell r="CY72" t="str">
            <v>-</v>
          </cell>
          <cell r="CZ72" t="str">
            <v>-</v>
          </cell>
          <cell r="DA72" t="str">
            <v>-</v>
          </cell>
          <cell r="DB72" t="str">
            <v>현대</v>
          </cell>
          <cell r="DC72" t="str">
            <v>박현식 부장</v>
          </cell>
          <cell r="DD72" t="str">
            <v>렌트베네핏</v>
          </cell>
          <cell r="DE72" t="str">
            <v>0</v>
          </cell>
          <cell r="DF72" t="str">
            <v>국민은행</v>
          </cell>
          <cell r="DG72" t="str">
            <v>242-01-0050-101</v>
          </cell>
          <cell r="DH72" t="str">
            <v>124-81-20150</v>
          </cell>
          <cell r="DI72" t="str">
            <v>경기도 수원시 수성로 250번길 30(영화동)</v>
          </cell>
          <cell r="DJ72">
            <v>0.35</v>
          </cell>
          <cell r="DK72">
            <v>0.2</v>
          </cell>
          <cell r="DL72" t="str">
            <v>0</v>
          </cell>
          <cell r="DM72" t="str">
            <v>0</v>
          </cell>
          <cell r="DN72" t="str">
            <v>0</v>
          </cell>
          <cell r="DO72" t="str">
            <v>0</v>
          </cell>
          <cell r="DP72" t="str">
            <v>0</v>
          </cell>
        </row>
        <row r="73">
          <cell r="C73" t="str">
            <v>Benz-022</v>
          </cell>
          <cell r="D73" t="str">
            <v>㈜동춘푸드</v>
          </cell>
          <cell r="E73" t="str">
            <v>송정근 대표님</v>
          </cell>
          <cell r="F73" t="str">
            <v>010-5301-8388</v>
          </cell>
          <cell r="G73" t="str">
            <v>E250 EX</v>
          </cell>
          <cell r="H73" t="str">
            <v>0</v>
          </cell>
          <cell r="I73">
            <v>73900000</v>
          </cell>
          <cell r="J73">
            <v>2023</v>
          </cell>
          <cell r="K73" t="str">
            <v>S.grey/Black</v>
          </cell>
          <cell r="L73" t="str">
            <v>가솔린</v>
          </cell>
          <cell r="M73" t="str">
            <v>W1KZF4FB3PB184795</v>
          </cell>
          <cell r="N73" t="str">
            <v>125호8668</v>
          </cell>
          <cell r="O73" t="str">
            <v>-</v>
          </cell>
          <cell r="P73">
            <v>1999</v>
          </cell>
          <cell r="Q73">
            <v>45246</v>
          </cell>
          <cell r="R73">
            <v>45239</v>
          </cell>
          <cell r="S73">
            <v>45247</v>
          </cell>
          <cell r="T73" t="str">
            <v>5</v>
          </cell>
          <cell r="U73">
            <v>47072</v>
          </cell>
          <cell r="V73">
            <v>27</v>
          </cell>
          <cell r="W73">
            <v>20000</v>
          </cell>
          <cell r="X73" t="str">
            <v>손경범 회장님</v>
          </cell>
          <cell r="Y73" t="str">
            <v>010-5392-9991</v>
          </cell>
          <cell r="Z73" t="str">
            <v>0</v>
          </cell>
          <cell r="AA73" t="str">
            <v>서울 강서구 금낭화로 287-19,505동411호(방화동,방화5단지아파트)</v>
          </cell>
          <cell r="AB73">
            <v>45255</v>
          </cell>
          <cell r="AC73">
            <v>1825</v>
          </cell>
          <cell r="AD73">
            <v>827</v>
          </cell>
          <cell r="AE73">
            <v>22090033</v>
          </cell>
          <cell r="AF73">
            <v>73900000</v>
          </cell>
          <cell r="AG73">
            <v>7895000</v>
          </cell>
          <cell r="AH73">
            <v>66005000</v>
          </cell>
          <cell r="AI73">
            <v>0</v>
          </cell>
          <cell r="AJ73" t="str">
            <v>0</v>
          </cell>
          <cell r="AK73" t="str">
            <v>0</v>
          </cell>
          <cell r="AL73" t="str">
            <v>0</v>
          </cell>
          <cell r="AM73" t="str">
            <v>0</v>
          </cell>
          <cell r="AN73" t="str">
            <v>0</v>
          </cell>
          <cell r="AO73" t="str">
            <v>0</v>
          </cell>
          <cell r="AP73" t="str">
            <v>0</v>
          </cell>
          <cell r="AQ73" t="str">
            <v>-</v>
          </cell>
          <cell r="AR73" t="str">
            <v>벤츠블랙박스</v>
          </cell>
          <cell r="AS73" t="str">
            <v>0</v>
          </cell>
          <cell r="AT73" t="str">
            <v>후퍼옵틱(전면35%, 측후면 15%)</v>
          </cell>
          <cell r="AU73" t="str">
            <v>0</v>
          </cell>
          <cell r="AV73" t="str">
            <v>0</v>
          </cell>
          <cell r="AW73" t="str">
            <v>렌터카 공제</v>
          </cell>
          <cell r="AX73" t="str">
            <v>0</v>
          </cell>
          <cell r="AY73" t="str">
            <v>0</v>
          </cell>
          <cell r="AZ73" t="str">
            <v>0</v>
          </cell>
          <cell r="BA73" t="str">
            <v>0</v>
          </cell>
          <cell r="BB73" t="str">
            <v>0</v>
          </cell>
          <cell r="BC73" t="str">
            <v>0</v>
          </cell>
          <cell r="BD73" t="str">
            <v>만26세</v>
          </cell>
          <cell r="BE73" t="str">
            <v>무한대</v>
          </cell>
          <cell r="BF73" t="str">
            <v>5억</v>
          </cell>
          <cell r="BG73" t="str">
            <v>2억/3천만</v>
          </cell>
          <cell r="BH73" t="str">
            <v>2억원/1인당</v>
          </cell>
          <cell r="BI73" t="str">
            <v>50만원</v>
          </cell>
          <cell r="BJ73" t="str">
            <v>임직원</v>
          </cell>
          <cell r="BK73" t="str">
            <v>5회/년</v>
          </cell>
          <cell r="BL73" t="str">
            <v>가입</v>
          </cell>
          <cell r="BM73" t="str">
            <v>미가입</v>
          </cell>
          <cell r="BN73" t="str">
            <v>브랜드보증 외 사용자 부담</v>
          </cell>
          <cell r="BO73" t="str">
            <v>브랜드보증 외 사용자 부담</v>
          </cell>
          <cell r="BP73" t="str">
            <v>0</v>
          </cell>
          <cell r="BQ73" t="str">
            <v>0</v>
          </cell>
          <cell r="BR73">
            <v>37981</v>
          </cell>
          <cell r="BS73" t="str">
            <v>현금</v>
          </cell>
          <cell r="BT73" t="str">
            <v>0</v>
          </cell>
          <cell r="BU73" t="str">
            <v>0</v>
          </cell>
          <cell r="BV73" t="str">
            <v>0</v>
          </cell>
          <cell r="BW73" t="str">
            <v>0</v>
          </cell>
          <cell r="BX73" t="str">
            <v>0</v>
          </cell>
          <cell r="BY73" t="str">
            <v>0</v>
          </cell>
          <cell r="BZ73" t="str">
            <v>0</v>
          </cell>
          <cell r="CA73" t="str">
            <v>0</v>
          </cell>
          <cell r="CB73" t="str">
            <v>25</v>
          </cell>
          <cell r="CC73" t="str">
            <v>25</v>
          </cell>
          <cell r="CD73">
            <v>1367000</v>
          </cell>
          <cell r="CE73">
            <v>60</v>
          </cell>
          <cell r="CF73">
            <v>82020000</v>
          </cell>
          <cell r="CG73">
            <v>11085000</v>
          </cell>
          <cell r="CH73">
            <v>0</v>
          </cell>
          <cell r="CI73">
            <v>22170000</v>
          </cell>
          <cell r="CJ73">
            <v>8.4199999999999997E-2</v>
          </cell>
          <cell r="CK73">
            <v>0.06</v>
          </cell>
          <cell r="CL73" t="str">
            <v>dcfood777@naver.com</v>
          </cell>
          <cell r="CM73" t="str">
            <v>0</v>
          </cell>
          <cell r="CN73" t="str">
            <v>010-5301-8388</v>
          </cell>
          <cell r="CO73">
            <v>0.03</v>
          </cell>
          <cell r="CP73" t="str">
            <v>0</v>
          </cell>
          <cell r="CQ73" t="str">
            <v>유리막/PPF/블박/하이패스/우산/목쿠션/무릎담요/가죽키케이스</v>
          </cell>
          <cell r="CR73" t="str">
            <v>0</v>
          </cell>
          <cell r="CS73" t="str">
            <v>0</v>
          </cell>
          <cell r="CT73" t="str">
            <v>0</v>
          </cell>
          <cell r="CU73" t="str">
            <v>0</v>
          </cell>
          <cell r="CV73" t="str">
            <v>0</v>
          </cell>
          <cell r="CW73" t="str">
            <v>0</v>
          </cell>
          <cell r="CX73" t="str">
            <v>0</v>
          </cell>
          <cell r="CY73" t="str">
            <v>0</v>
          </cell>
          <cell r="CZ73" t="str">
            <v>0</v>
          </cell>
          <cell r="DA73" t="str">
            <v>0</v>
          </cell>
          <cell r="DB73" t="str">
            <v>KCC</v>
          </cell>
          <cell r="DC73" t="str">
            <v>이주원 차장</v>
          </cell>
          <cell r="DD73" t="str">
            <v>렌트베네핏</v>
          </cell>
          <cell r="DE73" t="str">
            <v>0</v>
          </cell>
          <cell r="DF73" t="str">
            <v>IBK기업은행</v>
          </cell>
          <cell r="DG73" t="str">
            <v>276-081940-01-014</v>
          </cell>
          <cell r="DH73" t="str">
            <v>276-81-01041</v>
          </cell>
          <cell r="DI73" t="str">
            <v>경기도 화성시 장안면 수정로 312-71</v>
          </cell>
          <cell r="DJ73">
            <v>0.35</v>
          </cell>
          <cell r="DK73">
            <v>0.2</v>
          </cell>
          <cell r="DL73" t="str">
            <v>0</v>
          </cell>
          <cell r="DM73" t="str">
            <v>0</v>
          </cell>
          <cell r="DN73" t="str">
            <v>0</v>
          </cell>
          <cell r="DO73" t="str">
            <v>0</v>
          </cell>
          <cell r="DP73" t="str">
            <v>0</v>
          </cell>
        </row>
        <row r="74">
          <cell r="C74" t="str">
            <v>Grander-03</v>
          </cell>
          <cell r="D74" t="str">
            <v>신흥정보통신㈜</v>
          </cell>
          <cell r="E74" t="str">
            <v>장혜원 대표님</v>
          </cell>
          <cell r="F74" t="str">
            <v>010-8182-6737</v>
          </cell>
          <cell r="G74" t="str">
            <v>Grander</v>
          </cell>
          <cell r="H74" t="str">
            <v>GN7 하이브리드 1.6T 2WD 프리미엄</v>
          </cell>
          <cell r="I74">
            <v>44090000</v>
          </cell>
          <cell r="J74">
            <v>2023</v>
          </cell>
          <cell r="K74" t="str">
            <v>녹턴 그레이 메탈릭/브라운투톤</v>
          </cell>
          <cell r="L74" t="str">
            <v>가솔린</v>
          </cell>
          <cell r="M74" t="str">
            <v>KMHN1411BPA059360</v>
          </cell>
          <cell r="N74" t="str">
            <v>101하5078</v>
          </cell>
          <cell r="O74" t="str">
            <v>-</v>
          </cell>
          <cell r="P74">
            <v>1598</v>
          </cell>
          <cell r="Q74">
            <v>45244</v>
          </cell>
          <cell r="R74">
            <v>45244</v>
          </cell>
          <cell r="S74">
            <v>45244</v>
          </cell>
          <cell r="T74" t="str">
            <v>4</v>
          </cell>
          <cell r="U74">
            <v>46704</v>
          </cell>
          <cell r="V74">
            <v>15</v>
          </cell>
          <cell r="W74">
            <v>20000</v>
          </cell>
          <cell r="X74" t="str">
            <v>이종희 이사님</v>
          </cell>
          <cell r="Y74" t="str">
            <v>010-3214-0636</v>
          </cell>
          <cell r="Z74" t="str">
            <v>0</v>
          </cell>
          <cell r="AA74" t="str">
            <v>송파구 법원로 11길 28 BK타워</v>
          </cell>
          <cell r="AB74">
            <v>45265</v>
          </cell>
          <cell r="AC74">
            <v>1460</v>
          </cell>
          <cell r="AD74">
            <v>459</v>
          </cell>
          <cell r="AE74">
            <v>23110007</v>
          </cell>
          <cell r="AF74">
            <v>44090000</v>
          </cell>
          <cell r="AG74">
            <v>2236141</v>
          </cell>
          <cell r="AH74">
            <v>42015859</v>
          </cell>
          <cell r="AI74">
            <v>162000</v>
          </cell>
          <cell r="AJ74">
            <v>2000</v>
          </cell>
          <cell r="AK74">
            <v>1128030</v>
          </cell>
          <cell r="AL74" t="str">
            <v>-</v>
          </cell>
          <cell r="AM74">
            <v>2000</v>
          </cell>
          <cell r="AN74">
            <v>45000</v>
          </cell>
          <cell r="AO74">
            <v>50000</v>
          </cell>
          <cell r="AP74" t="str">
            <v>-</v>
          </cell>
          <cell r="AQ74">
            <v>143000</v>
          </cell>
          <cell r="AR74" t="str">
            <v>S1000PRO</v>
          </cell>
          <cell r="AS74">
            <v>198000</v>
          </cell>
          <cell r="AT74" t="str">
            <v>버택스 전면 35% 측후면 15%</v>
          </cell>
          <cell r="AU74" t="str">
            <v>0</v>
          </cell>
          <cell r="AV74" t="str">
            <v>0</v>
          </cell>
          <cell r="AW74" t="str">
            <v>렌터카 공제</v>
          </cell>
          <cell r="AX74" t="str">
            <v>0</v>
          </cell>
          <cell r="AY74" t="str">
            <v>0</v>
          </cell>
          <cell r="AZ74" t="str">
            <v>0</v>
          </cell>
          <cell r="BA74" t="str">
            <v>0</v>
          </cell>
          <cell r="BB74" t="str">
            <v>0</v>
          </cell>
          <cell r="BC74" t="str">
            <v>0</v>
          </cell>
          <cell r="BD74" t="str">
            <v>만26세</v>
          </cell>
          <cell r="BE74" t="str">
            <v>무한대</v>
          </cell>
          <cell r="BF74" t="str">
            <v>2억원</v>
          </cell>
          <cell r="BG74" t="str">
            <v>1억원/1500만</v>
          </cell>
          <cell r="BH74" t="str">
            <v>2억원/1인당</v>
          </cell>
          <cell r="BI74" t="str">
            <v>30만원</v>
          </cell>
          <cell r="BJ74" t="str">
            <v>임직원</v>
          </cell>
          <cell r="BK74" t="str">
            <v>5회/년</v>
          </cell>
          <cell r="BL74" t="str">
            <v>가입</v>
          </cell>
          <cell r="BM74" t="str">
            <v>가입</v>
          </cell>
          <cell r="BN74" t="str">
            <v>가입</v>
          </cell>
          <cell r="BO74" t="str">
            <v>렌트기간 4본</v>
          </cell>
          <cell r="BP74" t="str">
            <v>0</v>
          </cell>
          <cell r="BQ74" t="str">
            <v>0</v>
          </cell>
          <cell r="BR74">
            <v>28764</v>
          </cell>
          <cell r="BS74" t="str">
            <v>현금</v>
          </cell>
          <cell r="BT74" t="str">
            <v>0</v>
          </cell>
          <cell r="BU74" t="str">
            <v>0</v>
          </cell>
          <cell r="BV74" t="str">
            <v>0</v>
          </cell>
          <cell r="BW74" t="str">
            <v>0</v>
          </cell>
          <cell r="BX74" t="str">
            <v>0</v>
          </cell>
          <cell r="BY74" t="str">
            <v>0</v>
          </cell>
          <cell r="BZ74" t="str">
            <v>0</v>
          </cell>
          <cell r="CA74" t="str">
            <v>0</v>
          </cell>
          <cell r="CB74" t="str">
            <v>5</v>
          </cell>
          <cell r="CC74" t="str">
            <v>5</v>
          </cell>
          <cell r="CD74">
            <v>732000</v>
          </cell>
          <cell r="CE74">
            <v>48</v>
          </cell>
          <cell r="CF74">
            <v>35136000</v>
          </cell>
          <cell r="CG74">
            <v>13227000</v>
          </cell>
          <cell r="CH74" t="str">
            <v>0</v>
          </cell>
          <cell r="CI74">
            <v>22045000</v>
          </cell>
          <cell r="CJ74">
            <v>-6.8000000000000005E-2</v>
          </cell>
          <cell r="CK74">
            <v>0.06</v>
          </cell>
          <cell r="CL74" t="str">
            <v>lareum@shtel.co.kr</v>
          </cell>
          <cell r="CM74" t="str">
            <v>0</v>
          </cell>
          <cell r="CN74" t="str">
            <v>0</v>
          </cell>
          <cell r="CO74">
            <v>0.03</v>
          </cell>
          <cell r="CP74" t="str">
            <v>0</v>
          </cell>
          <cell r="CQ74" t="str">
            <v>코일매트</v>
          </cell>
          <cell r="CR74">
            <v>53300</v>
          </cell>
          <cell r="CS74" t="str">
            <v>PPF</v>
          </cell>
          <cell r="CT74">
            <v>44000</v>
          </cell>
          <cell r="CU74" t="str">
            <v>0</v>
          </cell>
          <cell r="CV74" t="str">
            <v>0</v>
          </cell>
          <cell r="CW74" t="str">
            <v>0</v>
          </cell>
          <cell r="CX74" t="str">
            <v>0</v>
          </cell>
          <cell r="CY74" t="str">
            <v>0</v>
          </cell>
          <cell r="CZ74" t="str">
            <v>0</v>
          </cell>
          <cell r="DA74" t="str">
            <v>0</v>
          </cell>
          <cell r="DB74" t="str">
            <v>현대</v>
          </cell>
          <cell r="DC74" t="str">
            <v>박현식 부장</v>
          </cell>
          <cell r="DD74" t="str">
            <v>렌트베네핏</v>
          </cell>
          <cell r="DE74" t="str">
            <v>0</v>
          </cell>
          <cell r="DF74" t="str">
            <v>국민은행</v>
          </cell>
          <cell r="DG74" t="str">
            <v>064-01-0432-612</v>
          </cell>
          <cell r="DH74" t="str">
            <v>206-85-09469</v>
          </cell>
          <cell r="DI74" t="str">
            <v>서울특별시 송파구 법원로11길 28, 1, 9층(문정동, 비케이타워)</v>
          </cell>
          <cell r="DJ74">
            <v>0.35</v>
          </cell>
          <cell r="DK74">
            <v>0.2</v>
          </cell>
          <cell r="DL74" t="str">
            <v>0</v>
          </cell>
          <cell r="DM74">
            <v>922490</v>
          </cell>
          <cell r="DN74" t="str">
            <v>0</v>
          </cell>
          <cell r="DO74" t="str">
            <v>0</v>
          </cell>
          <cell r="DP74" t="str">
            <v>0</v>
          </cell>
        </row>
        <row r="75">
          <cell r="C75" t="str">
            <v>G90-005</v>
          </cell>
          <cell r="D75" t="str">
            <v>㈜씨엔아이티</v>
          </cell>
          <cell r="E75" t="str">
            <v>이종호 대표님</v>
          </cell>
          <cell r="F75" t="str">
            <v>010-4816-4916</v>
          </cell>
          <cell r="G75" t="str">
            <v>G90</v>
          </cell>
          <cell r="H75" t="str">
            <v>3.5 AWD</v>
          </cell>
          <cell r="I75">
            <v>127880000</v>
          </cell>
          <cell r="J75">
            <v>2023</v>
          </cell>
          <cell r="K75" t="str">
            <v>마우이 블랙/벨벳 버건디 듄 베이지 투톤</v>
          </cell>
          <cell r="L75" t="str">
            <v>가솔린</v>
          </cell>
          <cell r="M75" t="str">
            <v>KMTFA41DDRU039929</v>
          </cell>
          <cell r="N75" t="str">
            <v>125호8678</v>
          </cell>
          <cell r="O75" t="str">
            <v>-</v>
          </cell>
          <cell r="P75">
            <v>3470</v>
          </cell>
          <cell r="Q75">
            <v>45281</v>
          </cell>
          <cell r="R75">
            <v>45282</v>
          </cell>
          <cell r="S75">
            <v>45282</v>
          </cell>
          <cell r="T75" t="str">
            <v>4</v>
          </cell>
          <cell r="U75">
            <v>46742</v>
          </cell>
          <cell r="V75">
            <v>16</v>
          </cell>
          <cell r="W75">
            <v>40000</v>
          </cell>
          <cell r="X75" t="str">
            <v>이종호 대표님</v>
          </cell>
          <cell r="Y75" t="str">
            <v>010-4816-4916</v>
          </cell>
          <cell r="Z75" t="str">
            <v>0</v>
          </cell>
          <cell r="AA75" t="str">
            <v>경기도 성남시 중원구 사기막골로 52, 308호(상대원동, 선택시티2)</v>
          </cell>
          <cell r="AB75">
            <v>45306</v>
          </cell>
          <cell r="AC75">
            <v>1460</v>
          </cell>
          <cell r="AD75">
            <v>497</v>
          </cell>
          <cell r="AE75">
            <v>23120009</v>
          </cell>
          <cell r="AF75">
            <v>127880000</v>
          </cell>
          <cell r="AG75">
            <v>6471095</v>
          </cell>
          <cell r="AH75">
            <v>121740905</v>
          </cell>
          <cell r="AI75">
            <v>332000</v>
          </cell>
          <cell r="AJ75">
            <v>1900</v>
          </cell>
          <cell r="AK75">
            <v>4426940</v>
          </cell>
          <cell r="AL75">
            <v>311679</v>
          </cell>
          <cell r="AM75">
            <v>2000</v>
          </cell>
          <cell r="AN75">
            <v>45000</v>
          </cell>
          <cell r="AO75">
            <v>50000</v>
          </cell>
          <cell r="AP75" t="str">
            <v>0</v>
          </cell>
          <cell r="AQ75" t="str">
            <v>0</v>
          </cell>
          <cell r="AR75" t="str">
            <v>파인 LX7000</v>
          </cell>
          <cell r="AS75">
            <v>198000</v>
          </cell>
          <cell r="AT75" t="str">
            <v>버택스 전면 35% 측후면 15%</v>
          </cell>
          <cell r="AU75" t="str">
            <v>0</v>
          </cell>
          <cell r="AV75" t="str">
            <v>0</v>
          </cell>
          <cell r="AW75" t="str">
            <v>렌터카 공제</v>
          </cell>
          <cell r="AX75" t="str">
            <v>0</v>
          </cell>
          <cell r="AY75" t="str">
            <v>0</v>
          </cell>
          <cell r="AZ75" t="str">
            <v>0</v>
          </cell>
          <cell r="BA75" t="str">
            <v>0</v>
          </cell>
          <cell r="BB75" t="str">
            <v>0</v>
          </cell>
          <cell r="BC75" t="str">
            <v>0</v>
          </cell>
          <cell r="BD75" t="str">
            <v>만26세</v>
          </cell>
          <cell r="BE75" t="str">
            <v>무한대</v>
          </cell>
          <cell r="BF75" t="str">
            <v>5억</v>
          </cell>
          <cell r="BG75" t="str">
            <v>2억/3천만</v>
          </cell>
          <cell r="BH75" t="str">
            <v>2억원/1인당</v>
          </cell>
          <cell r="BI75" t="str">
            <v>50만원</v>
          </cell>
          <cell r="BJ75" t="str">
            <v>임직원</v>
          </cell>
          <cell r="BK75" t="str">
            <v>5회/년</v>
          </cell>
          <cell r="BL75" t="str">
            <v>가입</v>
          </cell>
          <cell r="BM75" t="str">
            <v>가입</v>
          </cell>
          <cell r="BN75" t="str">
            <v>가입</v>
          </cell>
          <cell r="BO75" t="str">
            <v>렌트기간 8본</v>
          </cell>
          <cell r="BP75" t="str">
            <v>MICHELIN 245/45 R 20</v>
          </cell>
          <cell r="BQ75" t="str">
            <v>0</v>
          </cell>
          <cell r="BR75">
            <v>83280</v>
          </cell>
          <cell r="BS75" t="str">
            <v>현금</v>
          </cell>
          <cell r="BT75" t="str">
            <v>0</v>
          </cell>
          <cell r="BU75" t="str">
            <v>0</v>
          </cell>
          <cell r="BV75" t="str">
            <v>0</v>
          </cell>
          <cell r="BW75" t="str">
            <v>0</v>
          </cell>
          <cell r="BX75" t="str">
            <v>0</v>
          </cell>
          <cell r="BY75" t="str">
            <v>0</v>
          </cell>
          <cell r="BZ75" t="str">
            <v>0</v>
          </cell>
          <cell r="CA75" t="str">
            <v>0</v>
          </cell>
          <cell r="CB75" t="str">
            <v>15</v>
          </cell>
          <cell r="CC75" t="str">
            <v>15</v>
          </cell>
          <cell r="CD75">
            <v>1765000</v>
          </cell>
          <cell r="CE75">
            <v>48</v>
          </cell>
          <cell r="CF75">
            <v>84720000</v>
          </cell>
          <cell r="CG75">
            <v>0</v>
          </cell>
          <cell r="CH75">
            <v>38364000</v>
          </cell>
          <cell r="CI75">
            <v>53709600</v>
          </cell>
          <cell r="CJ75">
            <v>3.2800000000000003E-2</v>
          </cell>
          <cell r="CK75">
            <v>0.06</v>
          </cell>
          <cell r="CL75" t="str">
            <v>jh_ahn@cnit.co.kr</v>
          </cell>
          <cell r="CM75" t="str">
            <v>0</v>
          </cell>
          <cell r="CN75" t="str">
            <v>0</v>
          </cell>
          <cell r="CO75">
            <v>0.03</v>
          </cell>
          <cell r="CP75" t="str">
            <v>0</v>
          </cell>
          <cell r="CQ75" t="str">
            <v>블랙박스</v>
          </cell>
          <cell r="CR75">
            <v>220000</v>
          </cell>
          <cell r="CS75" t="str">
            <v>유리막/PPF</v>
          </cell>
          <cell r="CT75">
            <v>132000</v>
          </cell>
          <cell r="CU75" t="str">
            <v>코일매트</v>
          </cell>
          <cell r="CV75">
            <v>53300</v>
          </cell>
          <cell r="CW75" t="str">
            <v>0</v>
          </cell>
          <cell r="CX75" t="str">
            <v>0</v>
          </cell>
          <cell r="CY75" t="str">
            <v>0</v>
          </cell>
          <cell r="CZ75" t="str">
            <v>0</v>
          </cell>
          <cell r="DA75" t="str">
            <v>0</v>
          </cell>
          <cell r="DB75" t="str">
            <v>현대</v>
          </cell>
          <cell r="DC75" t="str">
            <v>박현식 부장</v>
          </cell>
          <cell r="DD75" t="str">
            <v>렌트베네핏</v>
          </cell>
          <cell r="DE75" t="str">
            <v>0</v>
          </cell>
          <cell r="DF75" t="str">
            <v>IBK기업은행</v>
          </cell>
          <cell r="DG75" t="str">
            <v>613-033621-01-016</v>
          </cell>
          <cell r="DH75" t="str">
            <v>892-81-01561</v>
          </cell>
          <cell r="DI75" t="str">
            <v>경기도 성남시 중원구 사기막골로 52, 308호(상대원동, 선택시티2)</v>
          </cell>
          <cell r="DJ75">
            <v>0.35</v>
          </cell>
          <cell r="DK75">
            <v>0.2</v>
          </cell>
          <cell r="DL75" t="str">
            <v>0</v>
          </cell>
          <cell r="DM75">
            <v>7392980</v>
          </cell>
          <cell r="DN75" t="str">
            <v>0</v>
          </cell>
          <cell r="DO75" t="str">
            <v>0</v>
          </cell>
          <cell r="DP75" t="str">
            <v>0</v>
          </cell>
        </row>
        <row r="76">
          <cell r="C76" t="str">
            <v>GV80-002</v>
          </cell>
          <cell r="D76" t="str">
            <v>㈜씨엔아이티</v>
          </cell>
          <cell r="E76" t="str">
            <v>강성훈 대표님</v>
          </cell>
          <cell r="F76" t="str">
            <v>010-8786-2912</v>
          </cell>
          <cell r="G76" t="str">
            <v>GV80 Coupe</v>
          </cell>
          <cell r="H76" t="str">
            <v>3.5 AWD</v>
          </cell>
          <cell r="I76">
            <v>107700000</v>
          </cell>
          <cell r="J76">
            <v>2024</v>
          </cell>
          <cell r="K76" t="str">
            <v>우유니 화이트/블랙모노톤/오랜지스티치</v>
          </cell>
          <cell r="L76" t="str">
            <v>가솔린</v>
          </cell>
          <cell r="M76" t="str">
            <v>KMTHF61CDRU211681</v>
          </cell>
          <cell r="N76" t="str">
            <v>125호8712</v>
          </cell>
          <cell r="O76" t="str">
            <v>-</v>
          </cell>
          <cell r="P76">
            <v>3470</v>
          </cell>
          <cell r="Q76">
            <v>45373</v>
          </cell>
          <cell r="R76">
            <v>45282</v>
          </cell>
          <cell r="S76">
            <v>45282</v>
          </cell>
          <cell r="T76" t="str">
            <v>4.25</v>
          </cell>
          <cell r="U76">
            <v>46833.25</v>
          </cell>
          <cell r="V76">
            <v>19</v>
          </cell>
          <cell r="W76">
            <v>40000</v>
          </cell>
          <cell r="X76" t="str">
            <v>강성훈 대표님</v>
          </cell>
          <cell r="Y76" t="str">
            <v>010-4816-4916</v>
          </cell>
          <cell r="Z76" t="str">
            <v>0</v>
          </cell>
          <cell r="AA76" t="str">
            <v>경기도 성남시 중원구 사기막골로 52, 308호(상대원동, 선택시티2)</v>
          </cell>
          <cell r="AB76">
            <v>45306</v>
          </cell>
          <cell r="AC76">
            <v>1551.25</v>
          </cell>
          <cell r="AD76">
            <v>588.25</v>
          </cell>
          <cell r="AE76">
            <v>23120010</v>
          </cell>
          <cell r="AF76">
            <v>107700000</v>
          </cell>
          <cell r="AG76">
            <v>5449929</v>
          </cell>
          <cell r="AH76">
            <v>102610071</v>
          </cell>
          <cell r="AI76">
            <v>360000</v>
          </cell>
          <cell r="AJ76">
            <v>1900</v>
          </cell>
          <cell r="AK76">
            <v>3731270</v>
          </cell>
          <cell r="AL76">
            <v>178550</v>
          </cell>
          <cell r="AM76">
            <v>2000</v>
          </cell>
          <cell r="AN76">
            <v>45000</v>
          </cell>
          <cell r="AO76">
            <v>50000</v>
          </cell>
          <cell r="AP76" t="str">
            <v>0</v>
          </cell>
          <cell r="AQ76" t="str">
            <v>0</v>
          </cell>
          <cell r="AR76" t="str">
            <v>빌트인캠</v>
          </cell>
          <cell r="AS76">
            <v>198000</v>
          </cell>
          <cell r="AT76" t="str">
            <v>버택스 전면 35% 측후면 15%</v>
          </cell>
          <cell r="AU76" t="str">
            <v>0</v>
          </cell>
          <cell r="AV76" t="str">
            <v>0</v>
          </cell>
          <cell r="AW76" t="str">
            <v>렌터카 공제</v>
          </cell>
          <cell r="AX76">
            <v>45373</v>
          </cell>
          <cell r="AY76">
            <v>950000</v>
          </cell>
          <cell r="AZ76">
            <v>1370727</v>
          </cell>
          <cell r="BA76">
            <v>1200000</v>
          </cell>
          <cell r="BB76">
            <v>2400000</v>
          </cell>
          <cell r="BC76" t="str">
            <v>0</v>
          </cell>
          <cell r="BD76" t="str">
            <v>만26세</v>
          </cell>
          <cell r="BE76" t="str">
            <v>무한대</v>
          </cell>
          <cell r="BF76" t="str">
            <v>5억</v>
          </cell>
          <cell r="BG76" t="str">
            <v>2억/3천만</v>
          </cell>
          <cell r="BH76" t="str">
            <v>2억원/1인당</v>
          </cell>
          <cell r="BI76" t="str">
            <v>50만원</v>
          </cell>
          <cell r="BJ76" t="str">
            <v>임직원</v>
          </cell>
          <cell r="BK76" t="str">
            <v>5회/년</v>
          </cell>
          <cell r="BL76" t="str">
            <v>가입</v>
          </cell>
          <cell r="BM76" t="str">
            <v>가입</v>
          </cell>
          <cell r="BN76" t="str">
            <v>가입</v>
          </cell>
          <cell r="BO76" t="str">
            <v>렌트기간 8본</v>
          </cell>
          <cell r="BP76" t="str">
            <v>MICHELIN 앞뒤 265/40 R 22</v>
          </cell>
          <cell r="BQ76" t="str">
            <v>0</v>
          </cell>
          <cell r="BR76">
            <v>83280</v>
          </cell>
          <cell r="BS76" t="str">
            <v>현금</v>
          </cell>
          <cell r="BT76" t="str">
            <v>0</v>
          </cell>
          <cell r="BU76" t="str">
            <v>0</v>
          </cell>
          <cell r="BV76" t="str">
            <v>0</v>
          </cell>
          <cell r="BW76" t="str">
            <v>0</v>
          </cell>
          <cell r="BX76" t="str">
            <v>0</v>
          </cell>
          <cell r="BY76" t="str">
            <v>0</v>
          </cell>
          <cell r="BZ76" t="str">
            <v>0</v>
          </cell>
          <cell r="CA76" t="str">
            <v>0</v>
          </cell>
          <cell r="CB76" t="str">
            <v>15</v>
          </cell>
          <cell r="CC76" t="str">
            <v>15</v>
          </cell>
          <cell r="CD76">
            <v>1347360</v>
          </cell>
          <cell r="CE76">
            <v>51</v>
          </cell>
          <cell r="CF76">
            <v>68715360</v>
          </cell>
          <cell r="CG76">
            <v>0</v>
          </cell>
          <cell r="CH76">
            <v>29280000</v>
          </cell>
          <cell r="CI76">
            <v>48312000</v>
          </cell>
          <cell r="CJ76">
            <v>0.03</v>
          </cell>
          <cell r="CK76">
            <v>0.06</v>
          </cell>
          <cell r="CL76" t="str">
            <v>jh_ahn@cnit.co.kr</v>
          </cell>
          <cell r="CM76" t="str">
            <v>0</v>
          </cell>
          <cell r="CN76" t="str">
            <v>0</v>
          </cell>
          <cell r="CO76">
            <v>0.03</v>
          </cell>
          <cell r="CP76" t="str">
            <v>0</v>
          </cell>
          <cell r="CQ76" t="str">
            <v>0</v>
          </cell>
          <cell r="CR76" t="str">
            <v>0</v>
          </cell>
          <cell r="CS76" t="str">
            <v>유리막/PPF</v>
          </cell>
          <cell r="CT76">
            <v>132000</v>
          </cell>
          <cell r="CU76" t="str">
            <v>코일매트</v>
          </cell>
          <cell r="CV76">
            <v>53300</v>
          </cell>
          <cell r="CW76" t="str">
            <v>0</v>
          </cell>
          <cell r="CX76" t="str">
            <v>0</v>
          </cell>
          <cell r="CY76" t="str">
            <v>0</v>
          </cell>
          <cell r="CZ76" t="str">
            <v>0</v>
          </cell>
          <cell r="DA76" t="str">
            <v>0</v>
          </cell>
          <cell r="DB76" t="str">
            <v>현대</v>
          </cell>
          <cell r="DC76" t="str">
            <v>박현식 부장</v>
          </cell>
          <cell r="DD76" t="str">
            <v>렌트베네핏</v>
          </cell>
          <cell r="DE76" t="str">
            <v>0</v>
          </cell>
          <cell r="DF76" t="str">
            <v>IBK기업은행</v>
          </cell>
          <cell r="DG76" t="str">
            <v>613-033621-01-016</v>
          </cell>
          <cell r="DH76" t="str">
            <v>892-81-01561</v>
          </cell>
          <cell r="DI76" t="str">
            <v>경기도 성남시 중원구 사기막골로 52, 308호(상대원동, 선택시티2)</v>
          </cell>
          <cell r="DJ76">
            <v>0.35</v>
          </cell>
          <cell r="DK76">
            <v>0.2</v>
          </cell>
          <cell r="DL76" t="str">
            <v>0</v>
          </cell>
          <cell r="DM76">
            <v>6129505</v>
          </cell>
          <cell r="DN76" t="str">
            <v>0</v>
          </cell>
          <cell r="DO76" t="str">
            <v>0</v>
          </cell>
          <cell r="DP76" t="str">
            <v>0</v>
          </cell>
        </row>
        <row r="77">
          <cell r="C77" t="str">
            <v>G80-004</v>
          </cell>
          <cell r="D77" t="str">
            <v>신흥정보통신㈜_38</v>
          </cell>
          <cell r="E77" t="str">
            <v>장혜원 대표님</v>
          </cell>
          <cell r="F77" t="str">
            <v>010-8182-6737</v>
          </cell>
          <cell r="G77" t="str">
            <v>G80</v>
          </cell>
          <cell r="H77" t="str">
            <v>2.5T AWD</v>
          </cell>
          <cell r="I77">
            <v>83690000</v>
          </cell>
          <cell r="J77">
            <v>2024</v>
          </cell>
          <cell r="K77" t="str">
            <v>비크블랙/에크루 카멜 모노톤</v>
          </cell>
          <cell r="L77" t="str">
            <v>가솔린</v>
          </cell>
          <cell r="M77" t="str">
            <v>KMTGB41CDSU234521</v>
          </cell>
          <cell r="N77" t="str">
            <v>101하5094</v>
          </cell>
          <cell r="O77" t="str">
            <v>-</v>
          </cell>
          <cell r="P77">
            <v>2497</v>
          </cell>
          <cell r="Q77">
            <v>45359</v>
          </cell>
          <cell r="R77">
            <v>45366</v>
          </cell>
          <cell r="S77">
            <v>45366</v>
          </cell>
          <cell r="T77" t="str">
            <v>4</v>
          </cell>
          <cell r="U77">
            <v>46826</v>
          </cell>
          <cell r="V77">
            <v>19</v>
          </cell>
          <cell r="W77">
            <v>20000</v>
          </cell>
          <cell r="X77" t="str">
            <v>이태우 이사님</v>
          </cell>
          <cell r="Y77" t="str">
            <v>010-8182-6737</v>
          </cell>
          <cell r="Z77" t="str">
            <v>0</v>
          </cell>
          <cell r="AA77" t="str">
            <v>서울 강남구 도곡동 개포 우성 4차 3동</v>
          </cell>
          <cell r="AB77">
            <v>45376</v>
          </cell>
          <cell r="AC77">
            <v>1460</v>
          </cell>
          <cell r="AD77">
            <v>581</v>
          </cell>
          <cell r="AE77" t="str">
            <v>24030098</v>
          </cell>
          <cell r="AF77">
            <v>83690000</v>
          </cell>
          <cell r="AG77">
            <v>4234954</v>
          </cell>
          <cell r="AH77">
            <v>79812046</v>
          </cell>
          <cell r="AI77">
            <v>357000</v>
          </cell>
          <cell r="AJ77">
            <v>1900</v>
          </cell>
          <cell r="AK77">
            <v>2902250</v>
          </cell>
          <cell r="AL77">
            <v>208307</v>
          </cell>
          <cell r="AM77">
            <v>2000</v>
          </cell>
          <cell r="AN77">
            <v>45000</v>
          </cell>
          <cell r="AO77">
            <v>50000</v>
          </cell>
          <cell r="AP77">
            <v>2034000</v>
          </cell>
          <cell r="AQ77">
            <v>0</v>
          </cell>
          <cell r="AR77" t="str">
            <v>빌트인캠</v>
          </cell>
          <cell r="AS77">
            <v>198000</v>
          </cell>
          <cell r="AT77" t="str">
            <v>버택스 전면 50% 측후면 15%</v>
          </cell>
          <cell r="AU77" t="str">
            <v>0</v>
          </cell>
          <cell r="AV77" t="str">
            <v>0</v>
          </cell>
          <cell r="AW77" t="str">
            <v>렌터카 공제</v>
          </cell>
          <cell r="AX77">
            <v>45359</v>
          </cell>
          <cell r="AY77">
            <v>950000</v>
          </cell>
          <cell r="AZ77">
            <v>1171600</v>
          </cell>
          <cell r="BA77">
            <v>2000000</v>
          </cell>
          <cell r="BB77">
            <v>2400000</v>
          </cell>
          <cell r="BC77" t="str">
            <v>0</v>
          </cell>
          <cell r="BD77" t="str">
            <v>만26세</v>
          </cell>
          <cell r="BE77" t="str">
            <v>무한대</v>
          </cell>
          <cell r="BF77" t="str">
            <v>5억</v>
          </cell>
          <cell r="BG77" t="str">
            <v>2억/3천만</v>
          </cell>
          <cell r="BH77" t="str">
            <v>2억원/1인당</v>
          </cell>
          <cell r="BI77" t="str">
            <v>50만원</v>
          </cell>
          <cell r="BJ77" t="str">
            <v>임직원</v>
          </cell>
          <cell r="BK77" t="str">
            <v>5회/년</v>
          </cell>
          <cell r="BL77" t="str">
            <v>가입</v>
          </cell>
          <cell r="BM77" t="str">
            <v>가입</v>
          </cell>
          <cell r="BN77" t="str">
            <v>가입</v>
          </cell>
          <cell r="BO77" t="str">
            <v>렌트기간 4본</v>
          </cell>
          <cell r="BP77" t="str">
            <v>피렐리 타이어 앞 245/40R 20, 뒤 275/35 R20</v>
          </cell>
          <cell r="BQ77" t="str">
            <v>0</v>
          </cell>
          <cell r="BR77">
            <v>47443</v>
          </cell>
          <cell r="BS77" t="str">
            <v>현금</v>
          </cell>
          <cell r="BT77" t="str">
            <v>0</v>
          </cell>
          <cell r="BU77" t="str">
            <v>0</v>
          </cell>
          <cell r="BV77" t="str">
            <v>0</v>
          </cell>
          <cell r="BW77" t="str">
            <v>0</v>
          </cell>
          <cell r="BX77" t="str">
            <v>0</v>
          </cell>
          <cell r="BY77" t="str">
            <v>0</v>
          </cell>
          <cell r="BZ77" t="str">
            <v>0</v>
          </cell>
          <cell r="CA77" t="str">
            <v>0</v>
          </cell>
          <cell r="CB77" t="str">
            <v>25</v>
          </cell>
          <cell r="CC77" t="str">
            <v>25</v>
          </cell>
          <cell r="CD77">
            <v>1961000</v>
          </cell>
          <cell r="CE77">
            <v>48</v>
          </cell>
          <cell r="CF77">
            <v>94128000</v>
          </cell>
          <cell r="CG77">
            <v>26361000</v>
          </cell>
          <cell r="CH77" t="str">
            <v>0</v>
          </cell>
          <cell r="CI77">
            <v>26361000</v>
          </cell>
          <cell r="CJ77">
            <v>0.03</v>
          </cell>
          <cell r="CK77">
            <v>0.06</v>
          </cell>
          <cell r="CL77" t="str">
            <v>shtel124@shtel.co.kr</v>
          </cell>
          <cell r="CM77" t="str">
            <v>0</v>
          </cell>
          <cell r="CN77" t="str">
            <v>0</v>
          </cell>
          <cell r="CO77">
            <v>0.03</v>
          </cell>
          <cell r="CP77" t="str">
            <v>0</v>
          </cell>
          <cell r="CQ77" t="str">
            <v>0</v>
          </cell>
          <cell r="CR77" t="str">
            <v>0</v>
          </cell>
          <cell r="CS77" t="str">
            <v>PPF</v>
          </cell>
          <cell r="CT77">
            <v>44000</v>
          </cell>
          <cell r="CU77" t="str">
            <v>코일매트</v>
          </cell>
          <cell r="CV77">
            <v>53300</v>
          </cell>
          <cell r="CW77" t="str">
            <v>0</v>
          </cell>
          <cell r="CX77" t="str">
            <v>0</v>
          </cell>
          <cell r="CY77" t="str">
            <v>0</v>
          </cell>
          <cell r="CZ77" t="str">
            <v>0</v>
          </cell>
          <cell r="DA77" t="str">
            <v>0</v>
          </cell>
          <cell r="DB77" t="str">
            <v>현대</v>
          </cell>
          <cell r="DC77" t="str">
            <v>박현식 부장</v>
          </cell>
          <cell r="DD77" t="str">
            <v>렌트베네핏</v>
          </cell>
          <cell r="DE77" t="str">
            <v>0</v>
          </cell>
          <cell r="DF77" t="str">
            <v>국민은행</v>
          </cell>
          <cell r="DG77" t="str">
            <v>242-01-0050-101</v>
          </cell>
          <cell r="DH77" t="str">
            <v>124-81-20150</v>
          </cell>
          <cell r="DI77" t="str">
            <v>경기도 수원시 수성로 250번길 30(영화동)</v>
          </cell>
          <cell r="DJ77">
            <v>0.35</v>
          </cell>
          <cell r="DK77">
            <v>0.25</v>
          </cell>
          <cell r="DL77" t="str">
            <v>0</v>
          </cell>
          <cell r="DM77" t="str">
            <v>0</v>
          </cell>
          <cell r="DN77" t="str">
            <v>0</v>
          </cell>
          <cell r="DO77" t="str">
            <v>0</v>
          </cell>
          <cell r="DP77" t="str">
            <v>0</v>
          </cell>
        </row>
        <row r="78">
          <cell r="C78" t="str">
            <v>Mojave-001</v>
          </cell>
          <cell r="D78" t="str">
            <v>엘메스코리아</v>
          </cell>
          <cell r="E78" t="str">
            <v>윤상구 대표님</v>
          </cell>
          <cell r="F78" t="str">
            <v>010-3892-6630</v>
          </cell>
          <cell r="G78" t="str">
            <v>Mojave</v>
          </cell>
          <cell r="H78" t="str">
            <v>더 마스터 디젤 4WD 마스터즈 6인승 3.0</v>
          </cell>
          <cell r="I78">
            <v>58610000</v>
          </cell>
          <cell r="J78">
            <v>2024</v>
          </cell>
          <cell r="K78" t="str">
            <v>오로라 블랙 펄/테라코타 브라운</v>
          </cell>
          <cell r="L78" t="str">
            <v>디젤</v>
          </cell>
          <cell r="M78" t="str">
            <v>KNAKN814DRA252058</v>
          </cell>
          <cell r="N78" t="str">
            <v>101하5095</v>
          </cell>
          <cell r="O78" t="str">
            <v>-</v>
          </cell>
          <cell r="P78">
            <v>2959</v>
          </cell>
          <cell r="Q78">
            <v>45362</v>
          </cell>
          <cell r="R78">
            <v>45358</v>
          </cell>
          <cell r="S78">
            <v>45362</v>
          </cell>
          <cell r="T78" t="str">
            <v>5</v>
          </cell>
          <cell r="U78">
            <v>47187</v>
          </cell>
          <cell r="V78">
            <v>30</v>
          </cell>
          <cell r="W78">
            <v>40000</v>
          </cell>
          <cell r="X78" t="str">
            <v>이종태 전무님</v>
          </cell>
          <cell r="Y78" t="str">
            <v>010-4557-9533</v>
          </cell>
          <cell r="Z78" t="str">
            <v>-</v>
          </cell>
          <cell r="AA78" t="str">
            <v>경기도 성남시 수정구 위례광장로 19 아이페리온 601호 (주)엘메스코리아</v>
          </cell>
          <cell r="AB78">
            <v>45376</v>
          </cell>
          <cell r="AC78">
            <v>1825</v>
          </cell>
          <cell r="AD78">
            <v>942</v>
          </cell>
          <cell r="AE78" t="str">
            <v>24030097</v>
          </cell>
          <cell r="AF78">
            <v>58610000</v>
          </cell>
          <cell r="AG78">
            <v>5965834</v>
          </cell>
          <cell r="AH78">
            <v>52810166</v>
          </cell>
          <cell r="AI78">
            <v>166000</v>
          </cell>
          <cell r="AJ78">
            <v>1900</v>
          </cell>
          <cell r="AK78">
            <v>1920360</v>
          </cell>
          <cell r="AL78">
            <v>88415</v>
          </cell>
          <cell r="AM78">
            <v>2000</v>
          </cell>
          <cell r="AN78">
            <v>45000</v>
          </cell>
          <cell r="AO78">
            <v>50000</v>
          </cell>
          <cell r="AP78" t="str">
            <v>0</v>
          </cell>
          <cell r="AQ78">
            <v>220000</v>
          </cell>
          <cell r="AR78" t="str">
            <v>파인 LX7000</v>
          </cell>
          <cell r="AS78">
            <v>198000</v>
          </cell>
          <cell r="AT78" t="str">
            <v>버택스 전면 30% 측후면 15%</v>
          </cell>
          <cell r="AU78" t="str">
            <v>0</v>
          </cell>
          <cell r="AV78" t="str">
            <v>0</v>
          </cell>
          <cell r="AW78" t="str">
            <v>렌터카 공제</v>
          </cell>
          <cell r="AX78">
            <v>45362</v>
          </cell>
          <cell r="AY78">
            <v>950000</v>
          </cell>
          <cell r="AZ78">
            <v>879150</v>
          </cell>
          <cell r="BA78">
            <v>1200000</v>
          </cell>
          <cell r="BB78">
            <v>3000000</v>
          </cell>
          <cell r="BC78" t="str">
            <v>0</v>
          </cell>
          <cell r="BD78" t="str">
            <v>만26세</v>
          </cell>
          <cell r="BE78" t="str">
            <v>무한대</v>
          </cell>
          <cell r="BF78" t="str">
            <v>3억</v>
          </cell>
          <cell r="BG78" t="str">
            <v>1억원/1500만</v>
          </cell>
          <cell r="BH78" t="str">
            <v>2억원/1인당</v>
          </cell>
          <cell r="BI78" t="str">
            <v>30만원</v>
          </cell>
          <cell r="BJ78" t="str">
            <v>임직원</v>
          </cell>
          <cell r="BK78" t="str">
            <v>5회/년</v>
          </cell>
          <cell r="BL78" t="str">
            <v>가입</v>
          </cell>
          <cell r="BM78" t="str">
            <v>가입</v>
          </cell>
          <cell r="BN78" t="str">
            <v>가입</v>
          </cell>
          <cell r="BO78" t="str">
            <v>렌트기간 8본</v>
          </cell>
          <cell r="BP78" t="str">
            <v>265/50 R20</v>
          </cell>
          <cell r="BQ78" t="str">
            <v>0</v>
          </cell>
          <cell r="BR78">
            <v>71016</v>
          </cell>
          <cell r="BS78" t="str">
            <v>현금</v>
          </cell>
          <cell r="BT78" t="str">
            <v>0</v>
          </cell>
          <cell r="BU78" t="str">
            <v>0</v>
          </cell>
          <cell r="BV78" t="str">
            <v>0</v>
          </cell>
          <cell r="BW78" t="str">
            <v>0</v>
          </cell>
          <cell r="BX78" t="str">
            <v>0</v>
          </cell>
          <cell r="BY78" t="str">
            <v>0</v>
          </cell>
          <cell r="BZ78" t="str">
            <v>0</v>
          </cell>
          <cell r="CA78" t="str">
            <v>0</v>
          </cell>
          <cell r="CB78" t="str">
            <v>25</v>
          </cell>
          <cell r="CC78" t="str">
            <v>25</v>
          </cell>
          <cell r="CD78">
            <v>1040000</v>
          </cell>
          <cell r="CE78">
            <v>60</v>
          </cell>
          <cell r="CF78">
            <v>62400000</v>
          </cell>
          <cell r="CG78">
            <v>11722000</v>
          </cell>
          <cell r="CH78">
            <v>0</v>
          </cell>
          <cell r="CI78" t="str">
            <v>만기시 반납</v>
          </cell>
          <cell r="CJ78">
            <v>-2.6200000000000001E-2</v>
          </cell>
          <cell r="CK78">
            <v>0.06</v>
          </cell>
          <cell r="CL78" t="str">
            <v>ykimki@elmes.co.kr</v>
          </cell>
          <cell r="CM78" t="str">
            <v>0</v>
          </cell>
          <cell r="CN78" t="str">
            <v>0</v>
          </cell>
          <cell r="CO78">
            <v>0.03</v>
          </cell>
          <cell r="CP78" t="str">
            <v>0</v>
          </cell>
          <cell r="CQ78" t="str">
            <v>블랙박스</v>
          </cell>
          <cell r="CR78">
            <v>220000</v>
          </cell>
          <cell r="CS78" t="str">
            <v>PPF</v>
          </cell>
          <cell r="CT78">
            <v>44000</v>
          </cell>
          <cell r="CU78" t="str">
            <v>코일매트</v>
          </cell>
          <cell r="CV78">
            <v>53300</v>
          </cell>
          <cell r="CW78" t="str">
            <v>0</v>
          </cell>
          <cell r="CX78" t="str">
            <v>0</v>
          </cell>
          <cell r="CY78" t="str">
            <v>0</v>
          </cell>
          <cell r="CZ78" t="str">
            <v>0</v>
          </cell>
          <cell r="DA78" t="str">
            <v>0</v>
          </cell>
          <cell r="DB78" t="str">
            <v>기아</v>
          </cell>
          <cell r="DC78" t="str">
            <v>정수원 실장</v>
          </cell>
          <cell r="DD78" t="str">
            <v>렌트베네핏</v>
          </cell>
          <cell r="DE78" t="str">
            <v>0</v>
          </cell>
          <cell r="DF78" t="str">
            <v>우리은행</v>
          </cell>
          <cell r="DG78" t="str">
            <v>1005-601-530275</v>
          </cell>
          <cell r="DH78" t="str">
            <v>120-86-77199</v>
          </cell>
          <cell r="DI78" t="str">
            <v>경기도 성남시 수정구 위례광장로 19, 601, 602호</v>
          </cell>
          <cell r="DJ78">
            <v>0.35</v>
          </cell>
          <cell r="DK78">
            <v>0.25</v>
          </cell>
          <cell r="DL78" t="str">
            <v>0</v>
          </cell>
          <cell r="DM78">
            <v>3154615</v>
          </cell>
          <cell r="DN78" t="str">
            <v>0</v>
          </cell>
          <cell r="DO78" t="str">
            <v>0</v>
          </cell>
          <cell r="DP78" t="str">
            <v>0</v>
          </cell>
        </row>
        <row r="79">
          <cell r="C79" t="str">
            <v>G80-005</v>
          </cell>
          <cell r="D79" t="str">
            <v>주식회사 삼지</v>
          </cell>
          <cell r="E79" t="str">
            <v>최진식 대표님</v>
          </cell>
          <cell r="F79" t="str">
            <v>010-2356-3866</v>
          </cell>
          <cell r="G79" t="str">
            <v>G80</v>
          </cell>
          <cell r="H79" t="str">
            <v>2.5T AWD 19인치</v>
          </cell>
          <cell r="I79">
            <v>77300000</v>
          </cell>
          <cell r="J79">
            <v>2024</v>
          </cell>
          <cell r="K79" t="str">
            <v>마칼루 그레이/바닐라 베이지 투톤</v>
          </cell>
          <cell r="L79" t="str">
            <v>가솔린</v>
          </cell>
          <cell r="M79" t="str">
            <v>KMTGB41CDSU243586</v>
          </cell>
          <cell r="N79" t="str">
            <v>125호8722</v>
          </cell>
          <cell r="O79" t="str">
            <v>-</v>
          </cell>
          <cell r="P79">
            <v>2497</v>
          </cell>
          <cell r="Q79">
            <v>45407</v>
          </cell>
          <cell r="R79">
            <v>45372</v>
          </cell>
          <cell r="S79">
            <v>45408</v>
          </cell>
          <cell r="T79" t="str">
            <v>4</v>
          </cell>
          <cell r="U79">
            <v>46868</v>
          </cell>
          <cell r="V79">
            <v>20</v>
          </cell>
          <cell r="W79">
            <v>20000</v>
          </cell>
          <cell r="X79" t="str">
            <v>최서현 고객님</v>
          </cell>
          <cell r="Y79" t="str">
            <v>010-5646-7559</v>
          </cell>
          <cell r="Z79" t="str">
            <v>0</v>
          </cell>
          <cell r="AA79" t="str">
            <v>경기도 안성시 원곡면 지문로 120-39, 1, 2층</v>
          </cell>
          <cell r="AB79">
            <v>45412</v>
          </cell>
          <cell r="AC79">
            <v>1460</v>
          </cell>
          <cell r="AD79">
            <v>623</v>
          </cell>
          <cell r="AE79" t="str">
            <v>24030099</v>
          </cell>
          <cell r="AF79">
            <v>77300000</v>
          </cell>
          <cell r="AG79">
            <v>3911602</v>
          </cell>
          <cell r="AH79">
            <v>73737398</v>
          </cell>
          <cell r="AI79">
            <v>349000</v>
          </cell>
          <cell r="AJ79">
            <v>1900</v>
          </cell>
          <cell r="AK79">
            <v>2681350</v>
          </cell>
          <cell r="AL79">
            <v>215775</v>
          </cell>
          <cell r="AM79">
            <v>2000</v>
          </cell>
          <cell r="AN79">
            <v>45000</v>
          </cell>
          <cell r="AO79">
            <v>50000</v>
          </cell>
          <cell r="AP79">
            <v>1878644</v>
          </cell>
          <cell r="AQ79">
            <v>0</v>
          </cell>
          <cell r="AR79" t="str">
            <v>빌트인캠</v>
          </cell>
          <cell r="AS79">
            <v>198000</v>
          </cell>
          <cell r="AT79" t="str">
            <v>버택스 전면 30% 측후면 15%</v>
          </cell>
          <cell r="AU79" t="str">
            <v>0</v>
          </cell>
          <cell r="AV79" t="str">
            <v>0</v>
          </cell>
          <cell r="AW79" t="str">
            <v>렌터카 공제</v>
          </cell>
          <cell r="AX79">
            <v>45407</v>
          </cell>
          <cell r="AY79">
            <v>950000</v>
          </cell>
          <cell r="AZ79">
            <v>1062875</v>
          </cell>
          <cell r="BA79">
            <v>2000000</v>
          </cell>
          <cell r="BB79">
            <v>2400000</v>
          </cell>
          <cell r="BC79" t="str">
            <v>0</v>
          </cell>
          <cell r="BD79" t="str">
            <v>만26세</v>
          </cell>
          <cell r="BE79" t="str">
            <v>무한대</v>
          </cell>
          <cell r="BF79" t="str">
            <v>5억</v>
          </cell>
          <cell r="BG79" t="str">
            <v>2억/3천만</v>
          </cell>
          <cell r="BH79" t="str">
            <v>2억원/1인당</v>
          </cell>
          <cell r="BI79" t="str">
            <v>50만원</v>
          </cell>
          <cell r="BJ79" t="str">
            <v>임직원</v>
          </cell>
          <cell r="BK79" t="str">
            <v>5회/년</v>
          </cell>
          <cell r="BL79" t="str">
            <v>가입</v>
          </cell>
          <cell r="BM79" t="str">
            <v>가입</v>
          </cell>
          <cell r="BN79" t="str">
            <v>가입</v>
          </cell>
          <cell r="BO79" t="str">
            <v>렌트기간 8본</v>
          </cell>
          <cell r="BP79" t="str">
            <v>콘티넨탈 앞245/45R19, 뒤275/40R19</v>
          </cell>
          <cell r="BQ79" t="str">
            <v>0</v>
          </cell>
          <cell r="BR79">
            <v>47443</v>
          </cell>
          <cell r="BS79" t="str">
            <v>현금</v>
          </cell>
          <cell r="BT79" t="str">
            <v>0</v>
          </cell>
          <cell r="BU79" t="str">
            <v>0</v>
          </cell>
          <cell r="BV79" t="str">
            <v>0</v>
          </cell>
          <cell r="BW79" t="str">
            <v>0</v>
          </cell>
          <cell r="BX79" t="str">
            <v>0</v>
          </cell>
          <cell r="BY79" t="str">
            <v>0</v>
          </cell>
          <cell r="BZ79" t="str">
            <v>0</v>
          </cell>
          <cell r="CA79" t="str">
            <v>0</v>
          </cell>
          <cell r="CB79" t="str">
            <v>말</v>
          </cell>
          <cell r="CC79" t="str">
            <v>말</v>
          </cell>
          <cell r="CD79">
            <v>1577000</v>
          </cell>
          <cell r="CE79">
            <v>48</v>
          </cell>
          <cell r="CF79">
            <v>75696000</v>
          </cell>
          <cell r="CG79">
            <v>15220000</v>
          </cell>
          <cell r="CH79">
            <v>0</v>
          </cell>
          <cell r="CI79">
            <v>30440000</v>
          </cell>
          <cell r="CJ79">
            <v>0.03</v>
          </cell>
          <cell r="CK79">
            <v>0.06</v>
          </cell>
          <cell r="CL79" t="str">
            <v>samgeetech@3will.co.kr</v>
          </cell>
          <cell r="CM79" t="str">
            <v>0</v>
          </cell>
          <cell r="CN79" t="str">
            <v>0</v>
          </cell>
          <cell r="CO79">
            <v>0.03</v>
          </cell>
          <cell r="CP79" t="str">
            <v>0</v>
          </cell>
          <cell r="CQ79" t="str">
            <v>코일매트</v>
          </cell>
          <cell r="CR79">
            <v>53300</v>
          </cell>
          <cell r="CS79" t="str">
            <v>유리막/PPF</v>
          </cell>
          <cell r="CT79">
            <v>132000</v>
          </cell>
          <cell r="CU79" t="str">
            <v>시트 코팅</v>
          </cell>
          <cell r="CV79">
            <v>165000</v>
          </cell>
          <cell r="CW79" t="str">
            <v>0</v>
          </cell>
          <cell r="CX79" t="str">
            <v>0</v>
          </cell>
          <cell r="CY79" t="str">
            <v>0</v>
          </cell>
          <cell r="CZ79" t="str">
            <v>0</v>
          </cell>
          <cell r="DA79" t="str">
            <v>0</v>
          </cell>
          <cell r="DB79" t="str">
            <v>현대</v>
          </cell>
          <cell r="DC79" t="str">
            <v>박현식 부장</v>
          </cell>
          <cell r="DD79" t="str">
            <v>렌트베네핏</v>
          </cell>
          <cell r="DE79" t="str">
            <v>0</v>
          </cell>
          <cell r="DF79" t="str">
            <v>IBK기업은행</v>
          </cell>
          <cell r="DG79" t="str">
            <v>422-103562-04-019</v>
          </cell>
          <cell r="DH79" t="str">
            <v>554-05-00327</v>
          </cell>
          <cell r="DI79" t="str">
            <v>경기도 안성시 원곡면 지문로 120-39, 1, 2층</v>
          </cell>
          <cell r="DJ79">
            <v>0.3</v>
          </cell>
          <cell r="DK79">
            <v>0.25</v>
          </cell>
          <cell r="DL79" t="str">
            <v>0</v>
          </cell>
          <cell r="DM79">
            <v>4333185</v>
          </cell>
          <cell r="DN79" t="str">
            <v>0</v>
          </cell>
          <cell r="DO79" t="str">
            <v>0</v>
          </cell>
          <cell r="DP79" t="str">
            <v>0</v>
          </cell>
        </row>
        <row r="80">
          <cell r="C80" t="str">
            <v>K8-005</v>
          </cell>
          <cell r="D80" t="str">
            <v>㈜네오위드넷</v>
          </cell>
          <cell r="E80" t="str">
            <v>탁지훈 대표이사님</v>
          </cell>
          <cell r="F80" t="str">
            <v>010-9760-5515</v>
          </cell>
          <cell r="G80" t="str">
            <v>K8</v>
          </cell>
          <cell r="H80" t="str">
            <v>1.6T 하이브리드 노블레스</v>
          </cell>
          <cell r="I80">
            <v>45310000</v>
          </cell>
          <cell r="J80">
            <v>2024</v>
          </cell>
          <cell r="K80" t="str">
            <v>스노우 화이트 펄/브라운 투톤</v>
          </cell>
          <cell r="L80" t="str">
            <v>가솔린</v>
          </cell>
          <cell r="M80" t="str">
            <v>KNAM2411BRA074485</v>
          </cell>
          <cell r="N80" t="str">
            <v>125호8738</v>
          </cell>
          <cell r="O80" t="str">
            <v>파노라마 선루프, HUD팩+스마트커넥트</v>
          </cell>
          <cell r="P80">
            <v>1598</v>
          </cell>
          <cell r="Q80">
            <v>45432</v>
          </cell>
          <cell r="R80">
            <v>45401</v>
          </cell>
          <cell r="S80">
            <v>45433</v>
          </cell>
          <cell r="T80" t="str">
            <v>5</v>
          </cell>
          <cell r="U80">
            <v>47258</v>
          </cell>
          <cell r="V80">
            <v>33</v>
          </cell>
          <cell r="W80">
            <v>25000</v>
          </cell>
          <cell r="X80" t="str">
            <v>양하은 주임님</v>
          </cell>
          <cell r="Y80" t="str">
            <v>010-3698-5478</v>
          </cell>
          <cell r="Z80" t="str">
            <v>0</v>
          </cell>
          <cell r="AA80" t="str">
            <v>경기도 성남시 수정구 창업로 17, 에프동 3층 313호</v>
          </cell>
          <cell r="AB80">
            <v>45458</v>
          </cell>
          <cell r="AC80">
            <v>1825</v>
          </cell>
          <cell r="AD80">
            <v>1013</v>
          </cell>
          <cell r="AE80" t="str">
            <v>24040100</v>
          </cell>
          <cell r="AF80">
            <v>45310000</v>
          </cell>
          <cell r="AG80">
            <v>2392816</v>
          </cell>
          <cell r="AH80">
            <v>43071184</v>
          </cell>
          <cell r="AI80">
            <v>154000</v>
          </cell>
          <cell r="AJ80">
            <v>1900</v>
          </cell>
          <cell r="AK80">
            <v>1566220</v>
          </cell>
          <cell r="AL80">
            <v>113028</v>
          </cell>
          <cell r="AM80">
            <v>2000</v>
          </cell>
          <cell r="AN80">
            <v>45000</v>
          </cell>
          <cell r="AO80">
            <v>50000</v>
          </cell>
          <cell r="AP80" t="str">
            <v>0</v>
          </cell>
          <cell r="AQ80">
            <v>0</v>
          </cell>
          <cell r="AR80" t="str">
            <v>빌트인캠</v>
          </cell>
          <cell r="AS80">
            <v>198000</v>
          </cell>
          <cell r="AT80" t="str">
            <v>버택스 전면 30% 측후면 15%</v>
          </cell>
          <cell r="AU80" t="str">
            <v>0</v>
          </cell>
          <cell r="AV80" t="str">
            <v>0</v>
          </cell>
          <cell r="AW80" t="str">
            <v>렌터카 공제</v>
          </cell>
          <cell r="AX80">
            <v>45432</v>
          </cell>
          <cell r="AY80">
            <v>950000</v>
          </cell>
          <cell r="AZ80" t="str">
            <v>0</v>
          </cell>
          <cell r="BA80" t="str">
            <v>0</v>
          </cell>
          <cell r="BB80" t="str">
            <v>0</v>
          </cell>
          <cell r="BC80" t="str">
            <v>0</v>
          </cell>
          <cell r="BD80" t="str">
            <v>만26세</v>
          </cell>
          <cell r="BE80" t="str">
            <v>무대한</v>
          </cell>
          <cell r="BF80" t="str">
            <v>2억</v>
          </cell>
          <cell r="BG80" t="str">
            <v>1억/1500만</v>
          </cell>
          <cell r="BH80" t="str">
            <v>2억원/1인당</v>
          </cell>
          <cell r="BI80" t="str">
            <v>30만원</v>
          </cell>
          <cell r="BJ80" t="str">
            <v>임직원</v>
          </cell>
          <cell r="BK80" t="str">
            <v>5회/년</v>
          </cell>
          <cell r="BL80" t="str">
            <v>가입</v>
          </cell>
          <cell r="BM80" t="str">
            <v>미가입</v>
          </cell>
          <cell r="BN80" t="str">
            <v>미가입</v>
          </cell>
          <cell r="BO80" t="str">
            <v>미사입</v>
          </cell>
          <cell r="BP80" t="str">
            <v>넥센 앞,뒤 225/55R17</v>
          </cell>
          <cell r="BQ80" t="str">
            <v>0</v>
          </cell>
          <cell r="BR80">
            <v>28764</v>
          </cell>
          <cell r="BS80" t="str">
            <v>현금</v>
          </cell>
          <cell r="BT80" t="str">
            <v>0</v>
          </cell>
          <cell r="BU80" t="str">
            <v>0</v>
          </cell>
          <cell r="BV80" t="str">
            <v>0</v>
          </cell>
          <cell r="BW80" t="str">
            <v>0</v>
          </cell>
          <cell r="BX80" t="str">
            <v>0</v>
          </cell>
          <cell r="BY80" t="str">
            <v>0</v>
          </cell>
          <cell r="BZ80" t="str">
            <v>0</v>
          </cell>
          <cell r="CA80" t="str">
            <v>0</v>
          </cell>
          <cell r="CB80" t="str">
            <v>15</v>
          </cell>
          <cell r="CC80" t="str">
            <v>15</v>
          </cell>
          <cell r="CD80">
            <v>747000</v>
          </cell>
          <cell r="CE80">
            <v>60</v>
          </cell>
          <cell r="CF80">
            <v>44820000</v>
          </cell>
          <cell r="CG80">
            <v>4388000</v>
          </cell>
          <cell r="CH80">
            <v>0</v>
          </cell>
          <cell r="CI80">
            <v>19622000</v>
          </cell>
          <cell r="CJ80">
            <v>-0.03</v>
          </cell>
          <cell r="CK80">
            <v>0.06</v>
          </cell>
          <cell r="CL80" t="str">
            <v>tax@neowithnet.com</v>
          </cell>
          <cell r="CM80" t="str">
            <v>0</v>
          </cell>
          <cell r="CN80" t="str">
            <v>0</v>
          </cell>
          <cell r="CO80">
            <v>0.03</v>
          </cell>
          <cell r="CP80" t="str">
            <v>0</v>
          </cell>
          <cell r="CQ80" t="str">
            <v>코일매트</v>
          </cell>
          <cell r="CR80">
            <v>53300</v>
          </cell>
          <cell r="CS80" t="str">
            <v>PPF</v>
          </cell>
          <cell r="CT80">
            <v>44000</v>
          </cell>
          <cell r="CU80" t="str">
            <v>0</v>
          </cell>
          <cell r="CV80" t="str">
            <v>0</v>
          </cell>
          <cell r="CW80" t="str">
            <v>0</v>
          </cell>
          <cell r="CX80" t="str">
            <v>0</v>
          </cell>
          <cell r="CY80" t="str">
            <v>0</v>
          </cell>
          <cell r="CZ80" t="str">
            <v>0</v>
          </cell>
          <cell r="DA80" t="str">
            <v>0</v>
          </cell>
          <cell r="DB80" t="str">
            <v>기아</v>
          </cell>
          <cell r="DC80" t="str">
            <v>정수원 실장</v>
          </cell>
          <cell r="DD80" t="str">
            <v>렌트베네핏</v>
          </cell>
          <cell r="DE80" t="str">
            <v>0</v>
          </cell>
          <cell r="DF80" t="str">
            <v>기업은행</v>
          </cell>
          <cell r="DG80" t="str">
            <v>065-101471-01-016</v>
          </cell>
          <cell r="DH80" t="str">
            <v>220-87-68806</v>
          </cell>
          <cell r="DI80" t="str">
            <v>경기도 성남시 수정구 창업로 17, 에프동 3층 313호</v>
          </cell>
          <cell r="DJ80">
            <v>0.35</v>
          </cell>
          <cell r="DK80">
            <v>0.25</v>
          </cell>
          <cell r="DL80" t="str">
            <v>0</v>
          </cell>
          <cell r="DM80">
            <v>954415</v>
          </cell>
          <cell r="DN80" t="str">
            <v>0</v>
          </cell>
          <cell r="DO80" t="str">
            <v>0</v>
          </cell>
          <cell r="DP80" t="str">
            <v>0</v>
          </cell>
        </row>
        <row r="81">
          <cell r="C81" t="str">
            <v>K8-006</v>
          </cell>
          <cell r="D81" t="str">
            <v>㈜네오위드넷</v>
          </cell>
          <cell r="E81" t="str">
            <v>탁지훈 대표이사님</v>
          </cell>
          <cell r="F81" t="str">
            <v>010-9760-5515</v>
          </cell>
          <cell r="G81" t="str">
            <v>K8</v>
          </cell>
          <cell r="H81" t="str">
            <v>1.6T 하이브리드 노블레스</v>
          </cell>
          <cell r="I81">
            <v>45310000</v>
          </cell>
          <cell r="J81">
            <v>2024</v>
          </cell>
          <cell r="K81" t="str">
            <v>스노우 화이트 펄/브라운 투톤</v>
          </cell>
          <cell r="L81" t="str">
            <v>가솔린</v>
          </cell>
          <cell r="M81" t="str">
            <v>KNAM2411BRA074484</v>
          </cell>
          <cell r="N81" t="str">
            <v>125호8742</v>
          </cell>
          <cell r="O81" t="str">
            <v>파노라마 선루프, HUD팩+스마트커넥트</v>
          </cell>
          <cell r="P81">
            <v>1598</v>
          </cell>
          <cell r="Q81">
            <v>45442</v>
          </cell>
          <cell r="R81">
            <v>45401</v>
          </cell>
          <cell r="S81">
            <v>45443</v>
          </cell>
          <cell r="T81" t="str">
            <v>5</v>
          </cell>
          <cell r="U81">
            <v>47268</v>
          </cell>
          <cell r="V81">
            <v>33</v>
          </cell>
          <cell r="W81">
            <v>20000</v>
          </cell>
          <cell r="X81" t="str">
            <v>양하은 주임님</v>
          </cell>
          <cell r="Y81" t="str">
            <v>010-3698-5478</v>
          </cell>
          <cell r="Z81" t="str">
            <v>0</v>
          </cell>
          <cell r="AA81" t="str">
            <v>경기도 성남시 수정구 창업로 17, 에프동 3층 313호</v>
          </cell>
          <cell r="AB81">
            <v>45458</v>
          </cell>
          <cell r="AC81">
            <v>1825</v>
          </cell>
          <cell r="AD81">
            <v>1023</v>
          </cell>
          <cell r="AE81" t="str">
            <v>24040101</v>
          </cell>
          <cell r="AF81">
            <v>45310000</v>
          </cell>
          <cell r="AG81">
            <v>2392816</v>
          </cell>
          <cell r="AH81">
            <v>43071184</v>
          </cell>
          <cell r="AI81">
            <v>154000</v>
          </cell>
          <cell r="AJ81">
            <v>1900</v>
          </cell>
          <cell r="AK81">
            <v>1166220</v>
          </cell>
          <cell r="AL81">
            <v>0</v>
          </cell>
          <cell r="AM81">
            <v>2000</v>
          </cell>
          <cell r="AN81">
            <v>45000</v>
          </cell>
          <cell r="AO81">
            <v>50000</v>
          </cell>
          <cell r="AP81" t="str">
            <v>0</v>
          </cell>
          <cell r="AQ81">
            <v>0</v>
          </cell>
          <cell r="AR81" t="str">
            <v>빌트인캠</v>
          </cell>
          <cell r="AS81">
            <v>198000</v>
          </cell>
          <cell r="AT81" t="str">
            <v>버택스 전면 30% 측후면 15%</v>
          </cell>
          <cell r="AU81" t="str">
            <v>0</v>
          </cell>
          <cell r="AV81" t="str">
            <v>0</v>
          </cell>
          <cell r="AW81" t="str">
            <v>렌터카 공제</v>
          </cell>
          <cell r="AX81">
            <v>45442</v>
          </cell>
          <cell r="AY81">
            <v>950000</v>
          </cell>
          <cell r="AZ81" t="str">
            <v>0</v>
          </cell>
          <cell r="BA81" t="str">
            <v>0</v>
          </cell>
          <cell r="BB81" t="str">
            <v>0</v>
          </cell>
          <cell r="BC81" t="str">
            <v>0</v>
          </cell>
          <cell r="BD81" t="str">
            <v>만26세</v>
          </cell>
          <cell r="BE81" t="str">
            <v>무대한</v>
          </cell>
          <cell r="BF81" t="str">
            <v>2억</v>
          </cell>
          <cell r="BG81" t="str">
            <v>1억/1500만</v>
          </cell>
          <cell r="BH81" t="str">
            <v>2억원/1인당</v>
          </cell>
          <cell r="BI81" t="str">
            <v>30만원</v>
          </cell>
          <cell r="BJ81" t="str">
            <v>임직원</v>
          </cell>
          <cell r="BK81" t="str">
            <v>5회/년</v>
          </cell>
          <cell r="BL81" t="str">
            <v>가입</v>
          </cell>
          <cell r="BM81" t="str">
            <v>미가입</v>
          </cell>
          <cell r="BN81" t="str">
            <v>미가입</v>
          </cell>
          <cell r="BO81" t="str">
            <v>미사입</v>
          </cell>
          <cell r="BP81" t="str">
            <v>넥센 앞,뒤 225/55R17</v>
          </cell>
          <cell r="BQ81" t="str">
            <v>0</v>
          </cell>
          <cell r="BR81">
            <v>28764</v>
          </cell>
          <cell r="BS81" t="str">
            <v>현금</v>
          </cell>
          <cell r="BT81" t="str">
            <v>0</v>
          </cell>
          <cell r="BU81" t="str">
            <v>0</v>
          </cell>
          <cell r="BV81" t="str">
            <v>0</v>
          </cell>
          <cell r="BW81" t="str">
            <v>0</v>
          </cell>
          <cell r="BX81" t="str">
            <v>0</v>
          </cell>
          <cell r="BY81" t="str">
            <v>0</v>
          </cell>
          <cell r="BZ81" t="str">
            <v>0</v>
          </cell>
          <cell r="CA81" t="str">
            <v>0</v>
          </cell>
          <cell r="CB81" t="str">
            <v>15</v>
          </cell>
          <cell r="CC81" t="str">
            <v>15</v>
          </cell>
          <cell r="CD81">
            <v>718000</v>
          </cell>
          <cell r="CE81">
            <v>60</v>
          </cell>
          <cell r="CF81">
            <v>43080000</v>
          </cell>
          <cell r="CG81">
            <v>4388000</v>
          </cell>
          <cell r="CH81">
            <v>0</v>
          </cell>
          <cell r="CI81">
            <v>21374000</v>
          </cell>
          <cell r="CJ81">
            <v>-0.03</v>
          </cell>
          <cell r="CK81">
            <v>0.06</v>
          </cell>
          <cell r="CL81" t="str">
            <v>tax@neowithnet.com</v>
          </cell>
          <cell r="CM81" t="str">
            <v>0</v>
          </cell>
          <cell r="CN81" t="str">
            <v>0</v>
          </cell>
          <cell r="CO81">
            <v>0.03</v>
          </cell>
          <cell r="CP81" t="str">
            <v>0</v>
          </cell>
          <cell r="CQ81" t="str">
            <v>코일매트</v>
          </cell>
          <cell r="CR81">
            <v>53300</v>
          </cell>
          <cell r="CS81" t="str">
            <v>PPF</v>
          </cell>
          <cell r="CT81">
            <v>44000</v>
          </cell>
          <cell r="CU81" t="str">
            <v>0</v>
          </cell>
          <cell r="CV81" t="str">
            <v>0</v>
          </cell>
          <cell r="CW81" t="str">
            <v>0</v>
          </cell>
          <cell r="CX81" t="str">
            <v>0</v>
          </cell>
          <cell r="CY81" t="str">
            <v>0</v>
          </cell>
          <cell r="CZ81" t="str">
            <v>0</v>
          </cell>
          <cell r="DA81" t="str">
            <v>0</v>
          </cell>
          <cell r="DB81" t="str">
            <v>기아</v>
          </cell>
          <cell r="DC81" t="str">
            <v>정수원 실장</v>
          </cell>
          <cell r="DD81" t="str">
            <v>렌트베네핏</v>
          </cell>
          <cell r="DE81" t="str">
            <v>0</v>
          </cell>
          <cell r="DF81" t="str">
            <v>기업은행</v>
          </cell>
          <cell r="DG81" t="str">
            <v>065-101471-01-016</v>
          </cell>
          <cell r="DH81" t="str">
            <v>220-87-68806</v>
          </cell>
          <cell r="DI81" t="str">
            <v>경기도 성남시 수정구 창업로 17, 에프동 3층 313호</v>
          </cell>
          <cell r="DJ81">
            <v>0.35</v>
          </cell>
          <cell r="DK81">
            <v>0.25</v>
          </cell>
          <cell r="DL81" t="str">
            <v>0</v>
          </cell>
          <cell r="DM81">
            <v>954415</v>
          </cell>
          <cell r="DN81" t="str">
            <v>0</v>
          </cell>
          <cell r="DO81" t="str">
            <v>0</v>
          </cell>
          <cell r="DP81" t="str">
            <v>0</v>
          </cell>
        </row>
        <row r="82">
          <cell r="C82" t="str">
            <v>G80-006</v>
          </cell>
          <cell r="D82" t="str">
            <v>신흥정보통신㈜_38</v>
          </cell>
          <cell r="E82" t="str">
            <v>이태우 이사님</v>
          </cell>
          <cell r="F82" t="str">
            <v>010-8182-6737</v>
          </cell>
          <cell r="G82" t="str">
            <v>G80</v>
          </cell>
          <cell r="H82" t="str">
            <v>3.5T AWD 20인치</v>
          </cell>
          <cell r="I82">
            <v>86140000</v>
          </cell>
          <cell r="J82">
            <v>2024</v>
          </cell>
          <cell r="K82" t="str">
            <v>우유니 화이트/에크루 카멜 모노톤</v>
          </cell>
          <cell r="L82" t="str">
            <v>가솔린</v>
          </cell>
          <cell r="M82" t="str">
            <v>KMTGC41DDSU258512</v>
          </cell>
          <cell r="N82" t="str">
            <v>101하5151</v>
          </cell>
          <cell r="O82" t="str">
            <v>-</v>
          </cell>
          <cell r="P82">
            <v>3470</v>
          </cell>
          <cell r="Q82">
            <v>45545</v>
          </cell>
          <cell r="R82">
            <v>45501</v>
          </cell>
          <cell r="S82">
            <v>45545</v>
          </cell>
          <cell r="T82" t="str">
            <v>5</v>
          </cell>
          <cell r="U82">
            <v>47370</v>
          </cell>
          <cell r="V82">
            <v>36</v>
          </cell>
          <cell r="W82">
            <v>20000</v>
          </cell>
          <cell r="X82" t="str">
            <v>이태우 이사님</v>
          </cell>
          <cell r="Y82" t="str">
            <v>010-8182-6737</v>
          </cell>
          <cell r="Z82" t="str">
            <v>-</v>
          </cell>
          <cell r="AA82" t="str">
            <v>송파구 법원로 11길 28 BK타워</v>
          </cell>
          <cell r="AB82">
            <v>45560</v>
          </cell>
          <cell r="AC82">
            <v>1825</v>
          </cell>
          <cell r="AD82">
            <v>1125</v>
          </cell>
          <cell r="AE82" t="str">
            <v>24070102</v>
          </cell>
          <cell r="AF82">
            <v>86140000</v>
          </cell>
          <cell r="AG82">
            <v>4358931</v>
          </cell>
          <cell r="AH82">
            <v>82138069</v>
          </cell>
          <cell r="AI82">
            <v>357000</v>
          </cell>
          <cell r="AJ82">
            <v>1900</v>
          </cell>
          <cell r="AK82">
            <v>2986830</v>
          </cell>
          <cell r="AL82">
            <v>154784</v>
          </cell>
          <cell r="AM82">
            <v>2000</v>
          </cell>
          <cell r="AN82">
            <v>45000</v>
          </cell>
          <cell r="AO82">
            <v>50000</v>
          </cell>
          <cell r="AP82" t="str">
            <v>0</v>
          </cell>
          <cell r="AQ82" t="str">
            <v>0</v>
          </cell>
          <cell r="AR82" t="str">
            <v>빌트인캠</v>
          </cell>
          <cell r="AS82">
            <v>308000</v>
          </cell>
          <cell r="AT82" t="str">
            <v>버택스500 전면 35% 측후면 5%</v>
          </cell>
          <cell r="AU82" t="str">
            <v>0</v>
          </cell>
          <cell r="AV82" t="str">
            <v>0</v>
          </cell>
          <cell r="AW82" t="str">
            <v>렌터카 공제</v>
          </cell>
          <cell r="AX82">
            <v>45545</v>
          </cell>
          <cell r="AY82">
            <v>950000</v>
          </cell>
          <cell r="AZ82" t="str">
            <v>0</v>
          </cell>
          <cell r="BA82" t="str">
            <v>0</v>
          </cell>
          <cell r="BB82" t="str">
            <v>0</v>
          </cell>
          <cell r="BC82" t="str">
            <v>0</v>
          </cell>
          <cell r="BD82" t="str">
            <v>만26세</v>
          </cell>
          <cell r="BE82" t="str">
            <v>무대한</v>
          </cell>
          <cell r="BF82" t="str">
            <v>5억</v>
          </cell>
          <cell r="BG82" t="str">
            <v>2억/3천만</v>
          </cell>
          <cell r="BH82" t="str">
            <v>2억원/1인당</v>
          </cell>
          <cell r="BI82" t="str">
            <v>50만원</v>
          </cell>
          <cell r="BJ82" t="str">
            <v>임직원</v>
          </cell>
          <cell r="BK82" t="str">
            <v>5회/년</v>
          </cell>
          <cell r="BL82" t="str">
            <v>가입</v>
          </cell>
          <cell r="BM82" t="str">
            <v>가입</v>
          </cell>
          <cell r="BN82" t="str">
            <v>가입</v>
          </cell>
          <cell r="BO82" t="str">
            <v>렌트기간 4본</v>
          </cell>
          <cell r="BP82" t="str">
            <v>피렐리 타이어 앞 245/40R 20, 뒤 275/35 R20</v>
          </cell>
          <cell r="BQ82" t="str">
            <v>0</v>
          </cell>
          <cell r="BR82">
            <v>28764</v>
          </cell>
          <cell r="BS82" t="str">
            <v>현금</v>
          </cell>
          <cell r="BT82" t="str">
            <v>0</v>
          </cell>
          <cell r="BU82" t="str">
            <v>0</v>
          </cell>
          <cell r="BV82" t="str">
            <v>0</v>
          </cell>
          <cell r="BW82" t="str">
            <v>0</v>
          </cell>
          <cell r="BX82" t="str">
            <v>0</v>
          </cell>
          <cell r="BY82" t="str">
            <v>0</v>
          </cell>
          <cell r="BZ82" t="str">
            <v>0</v>
          </cell>
          <cell r="CA82" t="str">
            <v>0</v>
          </cell>
          <cell r="CB82" t="str">
            <v>25</v>
          </cell>
          <cell r="CC82" t="str">
            <v>25</v>
          </cell>
          <cell r="CD82">
            <v>1499000</v>
          </cell>
          <cell r="CE82">
            <v>60</v>
          </cell>
          <cell r="CF82">
            <v>89940000</v>
          </cell>
          <cell r="CG82">
            <v>25842000</v>
          </cell>
          <cell r="CH82">
            <v>0</v>
          </cell>
          <cell r="CI82">
            <v>30149000</v>
          </cell>
          <cell r="CJ82">
            <v>0.03</v>
          </cell>
          <cell r="CK82">
            <v>0.06</v>
          </cell>
          <cell r="CL82" t="str">
            <v>shtel124@shtel.co.kr</v>
          </cell>
          <cell r="CM82" t="str">
            <v>0</v>
          </cell>
          <cell r="CN82" t="str">
            <v>0</v>
          </cell>
          <cell r="CO82">
            <v>0.03</v>
          </cell>
          <cell r="CP82" t="str">
            <v>0</v>
          </cell>
          <cell r="CQ82" t="str">
            <v>코일매트</v>
          </cell>
          <cell r="CR82">
            <v>53300</v>
          </cell>
          <cell r="CS82" t="str">
            <v>유리막/PPF</v>
          </cell>
          <cell r="CT82">
            <v>165000</v>
          </cell>
          <cell r="CU82" t="str">
            <v>0</v>
          </cell>
          <cell r="CV82" t="str">
            <v>0</v>
          </cell>
          <cell r="CW82" t="str">
            <v>0</v>
          </cell>
          <cell r="CX82" t="str">
            <v>0</v>
          </cell>
          <cell r="CY82" t="str">
            <v>0</v>
          </cell>
          <cell r="CZ82" t="str">
            <v>0</v>
          </cell>
          <cell r="DA82" t="str">
            <v>0</v>
          </cell>
          <cell r="DB82" t="str">
            <v>현대</v>
          </cell>
          <cell r="DC82" t="str">
            <v>박현식 부장</v>
          </cell>
          <cell r="DD82" t="str">
            <v>렌트베네핏</v>
          </cell>
          <cell r="DE82" t="str">
            <v>0</v>
          </cell>
          <cell r="DF82" t="str">
            <v>국민은행</v>
          </cell>
          <cell r="DG82" t="str">
            <v>242-01-0050-101</v>
          </cell>
          <cell r="DH82" t="str">
            <v>124-81-20150</v>
          </cell>
          <cell r="DI82" t="str">
            <v>경기도 수원시 수성로 250번길 30(영화동)</v>
          </cell>
          <cell r="DJ82">
            <v>0.35</v>
          </cell>
          <cell r="DK82">
            <v>0.25</v>
          </cell>
          <cell r="DL82" t="str">
            <v>0</v>
          </cell>
          <cell r="DM82" t="str">
            <v>0</v>
          </cell>
          <cell r="DN82" t="str">
            <v>0</v>
          </cell>
          <cell r="DO82" t="str">
            <v>0</v>
          </cell>
          <cell r="DP82" t="str">
            <v>0</v>
          </cell>
        </row>
        <row r="83">
          <cell r="C83" t="str">
            <v>Niro-001</v>
          </cell>
          <cell r="D83" t="str">
            <v>㈜케이씨에프인터내셔널</v>
          </cell>
          <cell r="E83" t="str">
            <v>김상현 대표님</v>
          </cell>
          <cell r="F83" t="str">
            <v>010-8701-7670</v>
          </cell>
          <cell r="G83" t="str">
            <v>니로</v>
          </cell>
          <cell r="H83" t="str">
            <v>HEV 프레스티지</v>
          </cell>
          <cell r="I83">
            <v>34820000</v>
          </cell>
          <cell r="J83">
            <v>2025</v>
          </cell>
          <cell r="K83" t="str">
            <v>시티스케이프 그린(CGE)/차콜</v>
          </cell>
          <cell r="L83" t="str">
            <v>가솔린</v>
          </cell>
          <cell r="M83" t="str">
            <v>KNACR81EGSA264227</v>
          </cell>
          <cell r="N83" t="str">
            <v>142호4266</v>
          </cell>
          <cell r="O83" t="str">
            <v>드라이브 와이즈, 스마트 커넥트, 내비게이션</v>
          </cell>
          <cell r="P83">
            <v>1580</v>
          </cell>
          <cell r="Q83">
            <v>45672</v>
          </cell>
          <cell r="R83">
            <v>45644</v>
          </cell>
          <cell r="S83">
            <v>45672</v>
          </cell>
          <cell r="T83" t="str">
            <v>5</v>
          </cell>
          <cell r="U83">
            <v>47497</v>
          </cell>
          <cell r="V83">
            <v>41</v>
          </cell>
          <cell r="W83">
            <v>20000</v>
          </cell>
          <cell r="X83" t="str">
            <v>전효진 부장님</v>
          </cell>
          <cell r="Y83" t="str">
            <v>010-4619-4808</v>
          </cell>
          <cell r="Z83" t="str">
            <v>0</v>
          </cell>
          <cell r="AA83" t="str">
            <v>경기도 과천시 과천대로 7길 33 디테크타워 A동 809호</v>
          </cell>
          <cell r="AB83">
            <v>45682</v>
          </cell>
          <cell r="AC83">
            <v>1825</v>
          </cell>
          <cell r="AD83">
            <v>1252</v>
          </cell>
          <cell r="AE83" t="str">
            <v>24120104</v>
          </cell>
          <cell r="AF83">
            <v>34820000</v>
          </cell>
          <cell r="AG83">
            <v>1761992</v>
          </cell>
          <cell r="AH83">
            <v>33208008</v>
          </cell>
          <cell r="AI83">
            <v>150000</v>
          </cell>
          <cell r="AJ83">
            <v>1900</v>
          </cell>
          <cell r="AK83">
            <v>1207650</v>
          </cell>
          <cell r="AL83">
            <v>0</v>
          </cell>
          <cell r="AM83">
            <v>2000</v>
          </cell>
          <cell r="AN83">
            <v>45000</v>
          </cell>
          <cell r="AO83">
            <v>50000</v>
          </cell>
          <cell r="AP83" t="str">
            <v>0</v>
          </cell>
          <cell r="AQ83" t="str">
            <v>0</v>
          </cell>
          <cell r="AR83" t="str">
            <v>빌트인캠</v>
          </cell>
          <cell r="AS83">
            <v>198000</v>
          </cell>
          <cell r="AT83" t="str">
            <v>버택스 전면 30% 측후면 15%</v>
          </cell>
          <cell r="AU83" t="str">
            <v>0</v>
          </cell>
          <cell r="AV83" t="str">
            <v>0</v>
          </cell>
          <cell r="AW83" t="str">
            <v>렌터카 공제</v>
          </cell>
          <cell r="AX83">
            <v>45672</v>
          </cell>
          <cell r="AY83">
            <v>900000</v>
          </cell>
          <cell r="AZ83">
            <v>580333</v>
          </cell>
          <cell r="BA83">
            <v>400000</v>
          </cell>
          <cell r="BB83">
            <v>1800000</v>
          </cell>
          <cell r="BC83" t="str">
            <v>0</v>
          </cell>
          <cell r="BD83" t="str">
            <v>만26세</v>
          </cell>
          <cell r="BE83" t="str">
            <v>무한대</v>
          </cell>
          <cell r="BF83" t="str">
            <v>5억</v>
          </cell>
          <cell r="BG83" t="str">
            <v>2억/3천만</v>
          </cell>
          <cell r="BH83" t="str">
            <v>2억원/1인당</v>
          </cell>
          <cell r="BI83" t="str">
            <v>30만원</v>
          </cell>
          <cell r="BJ83" t="str">
            <v>임직원</v>
          </cell>
          <cell r="BK83" t="str">
            <v>5회/년</v>
          </cell>
          <cell r="BL83" t="str">
            <v>가입</v>
          </cell>
          <cell r="BM83" t="str">
            <v>가입</v>
          </cell>
          <cell r="BN83" t="str">
            <v>가입</v>
          </cell>
          <cell r="BO83" t="str">
            <v>렌트기간 4본</v>
          </cell>
          <cell r="BP83" t="str">
            <v>금호 앞뒤 205/60 R16</v>
          </cell>
          <cell r="BQ83" t="str">
            <v>0</v>
          </cell>
          <cell r="BR83">
            <v>28440</v>
          </cell>
          <cell r="BS83" t="str">
            <v>현금</v>
          </cell>
          <cell r="BT83" t="str">
            <v>0</v>
          </cell>
          <cell r="BU83" t="str">
            <v>0</v>
          </cell>
          <cell r="BV83" t="str">
            <v>0</v>
          </cell>
          <cell r="BW83" t="str">
            <v>0</v>
          </cell>
          <cell r="BX83" t="str">
            <v>0</v>
          </cell>
          <cell r="BY83" t="str">
            <v>0</v>
          </cell>
          <cell r="BZ83" t="str">
            <v>0</v>
          </cell>
          <cell r="CA83" t="str">
            <v>0</v>
          </cell>
          <cell r="CB83" t="str">
            <v>25</v>
          </cell>
          <cell r="CC83" t="str">
            <v>25</v>
          </cell>
          <cell r="CD83">
            <v>638000</v>
          </cell>
          <cell r="CE83">
            <v>60</v>
          </cell>
          <cell r="CF83">
            <v>38280000</v>
          </cell>
          <cell r="CG83">
            <v>16017200</v>
          </cell>
          <cell r="CH83">
            <v>0</v>
          </cell>
          <cell r="CI83">
            <v>16017200</v>
          </cell>
          <cell r="CJ83">
            <v>0.03</v>
          </cell>
          <cell r="CK83">
            <v>0.06</v>
          </cell>
          <cell r="CL83" t="str">
            <v>admin@zyxel.kr</v>
          </cell>
          <cell r="CM83" t="str">
            <v>0</v>
          </cell>
          <cell r="CN83" t="str">
            <v>0</v>
          </cell>
          <cell r="CO83">
            <v>0.03</v>
          </cell>
          <cell r="CP83" t="str">
            <v>0</v>
          </cell>
          <cell r="CQ83" t="str">
            <v>헤라매트</v>
          </cell>
          <cell r="CR83">
            <v>58500</v>
          </cell>
          <cell r="CS83" t="str">
            <v>유리막/PPF</v>
          </cell>
          <cell r="CT83">
            <v>165000</v>
          </cell>
          <cell r="CU83" t="str">
            <v>0</v>
          </cell>
          <cell r="CV83" t="str">
            <v>0</v>
          </cell>
          <cell r="CW83" t="str">
            <v>0</v>
          </cell>
          <cell r="CX83" t="str">
            <v>0</v>
          </cell>
          <cell r="CY83" t="str">
            <v>0</v>
          </cell>
          <cell r="CZ83" t="str">
            <v>0</v>
          </cell>
          <cell r="DA83" t="str">
            <v>0</v>
          </cell>
          <cell r="DB83" t="str">
            <v>기아</v>
          </cell>
          <cell r="DC83" t="str">
            <v>정수원 실장</v>
          </cell>
          <cell r="DD83" t="str">
            <v>렌트베네핏</v>
          </cell>
          <cell r="DE83" t="str">
            <v>0</v>
          </cell>
          <cell r="DF83" t="str">
            <v>우리은행</v>
          </cell>
          <cell r="DG83" t="str">
            <v>1550-680-715383</v>
          </cell>
          <cell r="DH83" t="str">
            <v>214-87-15383</v>
          </cell>
          <cell r="DI83" t="str">
            <v>경기도 과천시 과천대로 7길 33, A동 809호</v>
          </cell>
          <cell r="DJ83">
            <v>0.35</v>
          </cell>
          <cell r="DK83">
            <v>0.25</v>
          </cell>
          <cell r="DL83" t="str">
            <v>0</v>
          </cell>
          <cell r="DM83">
            <v>216352</v>
          </cell>
          <cell r="DN83" t="str">
            <v>0</v>
          </cell>
          <cell r="DO83" t="str">
            <v>0</v>
          </cell>
          <cell r="DP83" t="str">
            <v>0</v>
          </cell>
        </row>
        <row r="84">
          <cell r="C84" t="str">
            <v>Palisade_001</v>
          </cell>
          <cell r="D84" t="str">
            <v>타바론코리아㈜</v>
          </cell>
          <cell r="E84" t="str">
            <v>박영준 대표님</v>
          </cell>
          <cell r="F84" t="str">
            <v>010-3763-0910</v>
          </cell>
          <cell r="G84" t="str">
            <v>Palisade</v>
          </cell>
          <cell r="H84" t="str">
            <v>2.5T 7인승 4WD 캘리</v>
          </cell>
          <cell r="I84">
            <v>61640000</v>
          </cell>
          <cell r="J84">
            <v>2025</v>
          </cell>
          <cell r="K84" t="str">
            <v>어비스블랙펄 / 브라운 원톤</v>
          </cell>
          <cell r="L84" t="str">
            <v>가솔린</v>
          </cell>
          <cell r="M84" t="str">
            <v>KMHRK811DSU005387</v>
          </cell>
          <cell r="N84" t="str">
            <v>142호4276</v>
          </cell>
          <cell r="O84" t="str">
            <v>빌트인 캠, 프리뷰 전자제어 서스펜션</v>
          </cell>
          <cell r="P84">
            <v>2497</v>
          </cell>
          <cell r="Q84">
            <v>45706</v>
          </cell>
          <cell r="R84">
            <v>45706</v>
          </cell>
          <cell r="S84">
            <v>45706</v>
          </cell>
          <cell r="T84" t="str">
            <v>5</v>
          </cell>
          <cell r="U84">
            <v>47531</v>
          </cell>
          <cell r="V84">
            <v>42</v>
          </cell>
          <cell r="W84">
            <v>20000</v>
          </cell>
          <cell r="X84" t="str">
            <v>최시영 과장님</v>
          </cell>
          <cell r="Y84" t="str">
            <v>010-6312-3438</v>
          </cell>
          <cell r="Z84" t="str">
            <v>0</v>
          </cell>
          <cell r="AA84" t="str">
            <v>서울특별시 강남구 학동로 56길 47 (삼성동, 3층)</v>
          </cell>
          <cell r="AB84">
            <v>45741</v>
          </cell>
          <cell r="AC84">
            <v>1825</v>
          </cell>
          <cell r="AD84">
            <v>1286</v>
          </cell>
          <cell r="AE84" t="str">
            <v>25020106</v>
          </cell>
          <cell r="AF84">
            <v>60340000</v>
          </cell>
          <cell r="AG84">
            <v>3154582</v>
          </cell>
          <cell r="AH84">
            <v>57517418</v>
          </cell>
          <cell r="AI84">
            <v>332000</v>
          </cell>
          <cell r="AJ84">
            <v>2500</v>
          </cell>
          <cell r="AK84">
            <v>2164260</v>
          </cell>
          <cell r="AL84">
            <v>9100</v>
          </cell>
          <cell r="AM84">
            <v>2000</v>
          </cell>
          <cell r="AN84">
            <v>40000</v>
          </cell>
          <cell r="AO84">
            <v>33000</v>
          </cell>
          <cell r="AP84" t="str">
            <v>0</v>
          </cell>
          <cell r="AQ84" t="str">
            <v>0</v>
          </cell>
          <cell r="AR84" t="str">
            <v>빌트인캠</v>
          </cell>
          <cell r="AS84">
            <v>900000</v>
          </cell>
          <cell r="AT84" t="str">
            <v>전면 35%(버택스 1100) / 1열측면 15%(버택스 900) /2열, 후면 5%(버택스 900)</v>
          </cell>
          <cell r="AU84" t="str">
            <v>0</v>
          </cell>
          <cell r="AV84" t="str">
            <v>0</v>
          </cell>
          <cell r="AW84" t="str">
            <v>렌터카 공제</v>
          </cell>
          <cell r="AX84">
            <v>45706</v>
          </cell>
          <cell r="AY84" t="str">
            <v>0</v>
          </cell>
          <cell r="AZ84" t="str">
            <v>0</v>
          </cell>
          <cell r="BA84" t="str">
            <v>0</v>
          </cell>
          <cell r="BB84" t="str">
            <v>0</v>
          </cell>
          <cell r="BC84" t="str">
            <v>0</v>
          </cell>
          <cell r="BD84" t="str">
            <v>만26세</v>
          </cell>
          <cell r="BE84" t="str">
            <v>무한대</v>
          </cell>
          <cell r="BF84" t="str">
            <v>2억원</v>
          </cell>
          <cell r="BG84" t="str">
            <v>1억원/1500만</v>
          </cell>
          <cell r="BH84" t="str">
            <v>2억원/1인당</v>
          </cell>
          <cell r="BI84" t="str">
            <v>30만원</v>
          </cell>
          <cell r="BJ84" t="str">
            <v>임직원</v>
          </cell>
          <cell r="BK84" t="str">
            <v>5회/년</v>
          </cell>
          <cell r="BL84" t="str">
            <v>가입</v>
          </cell>
          <cell r="BM84" t="str">
            <v>미가입</v>
          </cell>
          <cell r="BN84" t="str">
            <v>브랜드보증 외 사용자 부담</v>
          </cell>
          <cell r="BO84" t="str">
            <v>브랜드보증 외 사용자 부담</v>
          </cell>
          <cell r="BP84" t="str">
            <v>피렐리 타이어 앞뒤 265/45R21</v>
          </cell>
          <cell r="BQ84" t="str">
            <v>0</v>
          </cell>
          <cell r="BR84">
            <v>47443</v>
          </cell>
          <cell r="BS84" t="str">
            <v>현금</v>
          </cell>
          <cell r="BT84" t="str">
            <v>0</v>
          </cell>
          <cell r="BU84" t="str">
            <v>0</v>
          </cell>
          <cell r="BV84" t="str">
            <v>0</v>
          </cell>
          <cell r="BW84" t="str">
            <v>0</v>
          </cell>
          <cell r="BX84" t="str">
            <v>0</v>
          </cell>
          <cell r="BY84" t="str">
            <v>0</v>
          </cell>
          <cell r="BZ84" t="str">
            <v>0</v>
          </cell>
          <cell r="CA84" t="str">
            <v>0</v>
          </cell>
          <cell r="CB84" t="str">
            <v>25</v>
          </cell>
          <cell r="CC84" t="str">
            <v>25</v>
          </cell>
          <cell r="CD84">
            <v>1054000</v>
          </cell>
          <cell r="CE84">
            <v>60</v>
          </cell>
          <cell r="CF84">
            <v>63240000</v>
          </cell>
          <cell r="CG84">
            <v>18492000</v>
          </cell>
          <cell r="CH84">
            <v>0</v>
          </cell>
          <cell r="CI84">
            <v>20957600</v>
          </cell>
          <cell r="CJ84" t="str">
            <v>0</v>
          </cell>
          <cell r="CK84" t="str">
            <v>0</v>
          </cell>
          <cell r="CL84" t="str">
            <v>tax@tavalon.co.kr</v>
          </cell>
          <cell r="CM84" t="str">
            <v>0</v>
          </cell>
          <cell r="CN84" t="str">
            <v>0</v>
          </cell>
          <cell r="CO84">
            <v>0.03</v>
          </cell>
          <cell r="CP84" t="str">
            <v>0</v>
          </cell>
          <cell r="CQ84" t="str">
            <v>빌트인캠</v>
          </cell>
          <cell r="CR84">
            <v>700000</v>
          </cell>
          <cell r="CS84" t="str">
            <v>유리막 코팅</v>
          </cell>
          <cell r="CT84">
            <v>100000</v>
          </cell>
          <cell r="CU84" t="str">
            <v>PPF(도어 엣지, 도어컵, 주유구, 필러(4군데), 헤드라이트, 트렁크리드)</v>
          </cell>
          <cell r="CV84">
            <v>100000</v>
          </cell>
          <cell r="CW84" t="str">
            <v>시트가죽 코팅</v>
          </cell>
          <cell r="CX84">
            <v>100000</v>
          </cell>
          <cell r="CY84" t="str">
            <v>트렁크커버</v>
          </cell>
          <cell r="CZ84">
            <v>120000</v>
          </cell>
          <cell r="DA84" t="str">
            <v>0</v>
          </cell>
          <cell r="DB84" t="str">
            <v>현대</v>
          </cell>
          <cell r="DC84" t="str">
            <v>박현식 부장</v>
          </cell>
          <cell r="DD84" t="str">
            <v>렌트베네핏</v>
          </cell>
          <cell r="DE84" t="str">
            <v>0</v>
          </cell>
          <cell r="DF84" t="str">
            <v>IBK기업은행</v>
          </cell>
          <cell r="DG84" t="str">
            <v>061-063962-04-013</v>
          </cell>
          <cell r="DH84" t="str">
            <v>105-87-23065</v>
          </cell>
          <cell r="DI84" t="str">
            <v>서울시 강남구 삼성동 10-7 삼성빌리지 3층</v>
          </cell>
          <cell r="DJ84">
            <v>0.35</v>
          </cell>
          <cell r="DK84">
            <v>0.25</v>
          </cell>
          <cell r="DL84" t="str">
            <v>0</v>
          </cell>
          <cell r="DM84">
            <v>2018698</v>
          </cell>
          <cell r="DN84" t="str">
            <v>0</v>
          </cell>
          <cell r="DO84" t="str">
            <v>0</v>
          </cell>
          <cell r="DP84" t="str">
            <v>0</v>
          </cell>
        </row>
        <row r="85">
          <cell r="C85" t="str">
            <v>Grander-04</v>
          </cell>
          <cell r="D85" t="str">
            <v>㈜에이치와이파트너즈</v>
          </cell>
          <cell r="E85" t="str">
            <v>주영숙 대표님</v>
          </cell>
          <cell r="F85" t="str">
            <v>010-8989-9186</v>
          </cell>
          <cell r="G85" t="str">
            <v>그랜저(H)</v>
          </cell>
          <cell r="H85" t="str">
            <v xml:space="preserve"> 1.6T 하이브리드 프리미엄 2WD</v>
          </cell>
          <cell r="I85">
            <v>47760000</v>
          </cell>
          <cell r="J85">
            <v>2025</v>
          </cell>
          <cell r="K85" t="str">
            <v>어비스 블랙펄 / 인디고/브라운투톤</v>
          </cell>
          <cell r="L85" t="str">
            <v>가솔린</v>
          </cell>
          <cell r="M85" t="str">
            <v>KMHN1411BSA113112</v>
          </cell>
          <cell r="N85" t="str">
            <v>142호4318</v>
          </cell>
          <cell r="O85" t="str">
            <v>프리미엄초이스(129만), 플래티넘(129만원), 현대스마트센스(84만원)</v>
          </cell>
          <cell r="P85">
            <v>1598</v>
          </cell>
          <cell r="Q85">
            <v>45750</v>
          </cell>
          <cell r="R85">
            <v>45740</v>
          </cell>
          <cell r="S85">
            <v>45740</v>
          </cell>
          <cell r="T85" t="str">
            <v>4</v>
          </cell>
          <cell r="U85">
            <v>47200</v>
          </cell>
          <cell r="V85">
            <v>31</v>
          </cell>
          <cell r="W85">
            <v>20000</v>
          </cell>
          <cell r="X85" t="str">
            <v>류종현 상무님</v>
          </cell>
          <cell r="Y85" t="str">
            <v>010-2309-9621</v>
          </cell>
          <cell r="Z85" t="str">
            <v>0</v>
          </cell>
          <cell r="AA85" t="str">
            <v>서울시 동작구 동작대로 149, 5층(사당동, 대흥빌딩)</v>
          </cell>
          <cell r="AB85">
            <v>45747</v>
          </cell>
          <cell r="AC85">
            <v>1460</v>
          </cell>
          <cell r="AD85">
            <v>955</v>
          </cell>
          <cell r="AE85" t="str">
            <v>25030108</v>
          </cell>
          <cell r="AF85">
            <v>44340000</v>
          </cell>
          <cell r="AG85">
            <v>2416793</v>
          </cell>
          <cell r="AH85">
            <v>42099207</v>
          </cell>
          <cell r="AI85">
            <v>176000</v>
          </cell>
          <cell r="AJ85">
            <v>1900</v>
          </cell>
          <cell r="AK85">
            <v>1655240</v>
          </cell>
          <cell r="AL85">
            <v>0</v>
          </cell>
          <cell r="AM85">
            <v>2000</v>
          </cell>
          <cell r="AN85">
            <v>45000</v>
          </cell>
          <cell r="AO85">
            <v>50000</v>
          </cell>
          <cell r="AP85" t="str">
            <v>0</v>
          </cell>
          <cell r="AQ85" t="str">
            <v>0</v>
          </cell>
          <cell r="AR85" t="str">
            <v>빌트인캠</v>
          </cell>
          <cell r="AS85" t="str">
            <v>0</v>
          </cell>
          <cell r="AT85" t="str">
            <v>버택스 300 전면 35%, 측면1열 15%, 측면2열 및 후면 5%</v>
          </cell>
          <cell r="AU85" t="str">
            <v>0</v>
          </cell>
          <cell r="AV85" t="str">
            <v>0</v>
          </cell>
          <cell r="AW85" t="str">
            <v>렌터카 공제</v>
          </cell>
          <cell r="AX85" t="str">
            <v>0</v>
          </cell>
          <cell r="AY85" t="str">
            <v>0</v>
          </cell>
          <cell r="AZ85" t="str">
            <v>0</v>
          </cell>
          <cell r="BA85" t="str">
            <v>0</v>
          </cell>
          <cell r="BB85" t="str">
            <v>0</v>
          </cell>
          <cell r="BC85" t="str">
            <v>0</v>
          </cell>
          <cell r="BD85" t="str">
            <v>만26세</v>
          </cell>
          <cell r="BE85" t="str">
            <v>무한대</v>
          </cell>
          <cell r="BF85" t="str">
            <v>2억원</v>
          </cell>
          <cell r="BG85" t="str">
            <v>1억원/1500만</v>
          </cell>
          <cell r="BH85" t="str">
            <v>2억원/1인당</v>
          </cell>
          <cell r="BI85" t="str">
            <v>30만원</v>
          </cell>
          <cell r="BJ85" t="str">
            <v>임직원/누구나</v>
          </cell>
          <cell r="BK85" t="str">
            <v>5회/년</v>
          </cell>
          <cell r="BL85" t="str">
            <v>가입</v>
          </cell>
          <cell r="BM85" t="str">
            <v>가입</v>
          </cell>
          <cell r="BN85" t="str">
            <v>가입</v>
          </cell>
          <cell r="BO85" t="str">
            <v>렌트기간 4본</v>
          </cell>
          <cell r="BP85" t="str">
            <v>금호 앞뒤 245/45 R19</v>
          </cell>
          <cell r="BQ85" t="str">
            <v>0</v>
          </cell>
          <cell r="BR85">
            <v>28764</v>
          </cell>
          <cell r="BS85" t="str">
            <v>현금</v>
          </cell>
          <cell r="BT85" t="str">
            <v>0</v>
          </cell>
          <cell r="BU85" t="str">
            <v>0</v>
          </cell>
          <cell r="BV85" t="str">
            <v>0</v>
          </cell>
          <cell r="BW85" t="str">
            <v>0</v>
          </cell>
          <cell r="BX85" t="str">
            <v>0</v>
          </cell>
          <cell r="BY85" t="str">
            <v>0</v>
          </cell>
          <cell r="BZ85" t="str">
            <v>0</v>
          </cell>
          <cell r="CA85" t="str">
            <v>0</v>
          </cell>
          <cell r="CB85" t="str">
            <v>말</v>
          </cell>
          <cell r="CC85" t="str">
            <v>말</v>
          </cell>
          <cell r="CD85">
            <v>846000</v>
          </cell>
          <cell r="CE85">
            <v>48</v>
          </cell>
          <cell r="CF85">
            <v>40608000</v>
          </cell>
          <cell r="CG85">
            <v>10000000</v>
          </cell>
          <cell r="CH85">
            <v>0</v>
          </cell>
          <cell r="CI85">
            <v>23880000</v>
          </cell>
          <cell r="CJ85">
            <v>8.7999999999999995E-2</v>
          </cell>
          <cell r="CK85">
            <v>0.06</v>
          </cell>
          <cell r="CL85" t="str">
            <v>hm.lim@hypartner.co.kr</v>
          </cell>
          <cell r="CM85" t="str">
            <v>0</v>
          </cell>
          <cell r="CN85" t="str">
            <v>0</v>
          </cell>
          <cell r="CO85">
            <v>0.03</v>
          </cell>
          <cell r="CP85" t="str">
            <v>0</v>
          </cell>
          <cell r="CQ85" t="str">
            <v>빌트인캠</v>
          </cell>
          <cell r="CR85" t="str">
            <v>0</v>
          </cell>
          <cell r="CS85" t="str">
            <v>PPF</v>
          </cell>
          <cell r="CT85">
            <v>50000</v>
          </cell>
          <cell r="CU85" t="str">
            <v>0</v>
          </cell>
          <cell r="CV85" t="str">
            <v>0</v>
          </cell>
          <cell r="CW85" t="str">
            <v>0</v>
          </cell>
          <cell r="CX85" t="str">
            <v>0</v>
          </cell>
          <cell r="CY85" t="str">
            <v>0</v>
          </cell>
          <cell r="CZ85" t="str">
            <v>0</v>
          </cell>
          <cell r="DA85" t="str">
            <v>0</v>
          </cell>
          <cell r="DB85" t="str">
            <v>현대</v>
          </cell>
          <cell r="DC85" t="str">
            <v>박현식 부장</v>
          </cell>
          <cell r="DD85" t="str">
            <v>렌트베네핏</v>
          </cell>
          <cell r="DE85" t="str">
            <v>0</v>
          </cell>
          <cell r="DF85" t="str">
            <v>신한은행</v>
          </cell>
          <cell r="DG85" t="str">
            <v>100-036-524752</v>
          </cell>
          <cell r="DH85" t="str">
            <v>478-86-02938</v>
          </cell>
          <cell r="DI85" t="str">
            <v>서울시 동작구 동작대로 149, 5층(사당동, 대흥빌딩)</v>
          </cell>
          <cell r="DJ85">
            <v>0.35</v>
          </cell>
          <cell r="DK85">
            <v>0.25</v>
          </cell>
          <cell r="DL85" t="str">
            <v>0</v>
          </cell>
          <cell r="DM85" t="str">
            <v>0</v>
          </cell>
          <cell r="DN85" t="str">
            <v>0</v>
          </cell>
          <cell r="DO85" t="str">
            <v>0</v>
          </cell>
          <cell r="DP85" t="str">
            <v>0</v>
          </cell>
        </row>
        <row r="86">
          <cell r="C86" t="str">
            <v>GV70-001</v>
          </cell>
          <cell r="D86" t="str">
            <v>㈜비지글로벌</v>
          </cell>
          <cell r="E86" t="str">
            <v>김창도 회장님</v>
          </cell>
          <cell r="F86" t="str">
            <v>010-3746-5060</v>
          </cell>
          <cell r="G86" t="str">
            <v>GV70</v>
          </cell>
          <cell r="H86" t="str">
            <v>2.5T AWD 18인치</v>
          </cell>
          <cell r="I86">
            <v>56530000</v>
          </cell>
          <cell r="J86">
            <v>2025</v>
          </cell>
          <cell r="K86" t="str">
            <v>우유니 화이트/바닐라 베이지 투톤</v>
          </cell>
          <cell r="L86" t="str">
            <v>가솔린</v>
          </cell>
          <cell r="M86" t="str">
            <v>KMTMA81BBSU226680</v>
          </cell>
          <cell r="N86" t="str">
            <v>142호4321</v>
          </cell>
          <cell r="O86" t="str">
            <v>파퓰로패키지(360만)</v>
          </cell>
          <cell r="P86">
            <v>2497</v>
          </cell>
          <cell r="Q86">
            <v>45756</v>
          </cell>
          <cell r="R86">
            <v>45756</v>
          </cell>
          <cell r="S86">
            <v>45756</v>
          </cell>
          <cell r="T86" t="str">
            <v>5</v>
          </cell>
          <cell r="U86">
            <v>47581</v>
          </cell>
          <cell r="V86">
            <v>43</v>
          </cell>
          <cell r="W86">
            <v>20000</v>
          </cell>
          <cell r="X86" t="str">
            <v>황민영 이사님</v>
          </cell>
          <cell r="Y86" t="str">
            <v>010-9377-1490</v>
          </cell>
          <cell r="Z86" t="str">
            <v>0</v>
          </cell>
          <cell r="AA86" t="str">
            <v>서울시 마포구 방울내로11길 37, 2층 2272호(망원동, 프리마빌딩)</v>
          </cell>
          <cell r="AB86">
            <v>45772</v>
          </cell>
          <cell r="AC86">
            <v>1825</v>
          </cell>
          <cell r="AD86">
            <v>1336</v>
          </cell>
          <cell r="AE86" t="str">
            <v>25040109</v>
          </cell>
          <cell r="AF86">
            <v>56530000</v>
          </cell>
          <cell r="AG86">
            <v>3994511</v>
          </cell>
          <cell r="AH86">
            <v>52880489</v>
          </cell>
          <cell r="AI86">
            <v>345000</v>
          </cell>
          <cell r="AJ86">
            <v>1900</v>
          </cell>
          <cell r="AK86">
            <v>1954560</v>
          </cell>
          <cell r="AL86">
            <v>45051</v>
          </cell>
          <cell r="AM86">
            <v>2000</v>
          </cell>
          <cell r="AN86">
            <v>45000</v>
          </cell>
          <cell r="AO86">
            <v>50000</v>
          </cell>
          <cell r="AP86" t="str">
            <v>0</v>
          </cell>
          <cell r="AQ86">
            <v>209000.00000000003</v>
          </cell>
          <cell r="AR86" t="str">
            <v>아이나비 Z7000</v>
          </cell>
          <cell r="AS86" t="str">
            <v>0</v>
          </cell>
          <cell r="AT86" t="str">
            <v>버택스500 전면 30% 측후면 15%</v>
          </cell>
          <cell r="AU86" t="str">
            <v>0</v>
          </cell>
          <cell r="AV86" t="str">
            <v>0</v>
          </cell>
          <cell r="AW86" t="str">
            <v>렌터카 공제</v>
          </cell>
          <cell r="AX86" t="str">
            <v>0</v>
          </cell>
          <cell r="AY86" t="str">
            <v>0</v>
          </cell>
          <cell r="AZ86" t="str">
            <v>0</v>
          </cell>
          <cell r="BA86" t="str">
            <v>0</v>
          </cell>
          <cell r="BB86" t="str">
            <v>0</v>
          </cell>
          <cell r="BC86" t="str">
            <v>0</v>
          </cell>
          <cell r="BD86" t="str">
            <v>만26세</v>
          </cell>
          <cell r="BE86" t="str">
            <v>무한대</v>
          </cell>
          <cell r="BF86" t="str">
            <v>2억원</v>
          </cell>
          <cell r="BG86" t="str">
            <v>1억원/1500만</v>
          </cell>
          <cell r="BH86" t="str">
            <v>2억원/1인당</v>
          </cell>
          <cell r="BI86" t="str">
            <v>30만원</v>
          </cell>
          <cell r="BJ86" t="str">
            <v>임직원</v>
          </cell>
          <cell r="BK86" t="str">
            <v>5회/년</v>
          </cell>
          <cell r="BL86" t="str">
            <v>가입</v>
          </cell>
          <cell r="BM86" t="str">
            <v>가입</v>
          </cell>
          <cell r="BN86" t="str">
            <v>가입</v>
          </cell>
          <cell r="BO86" t="str">
            <v>렌트기간 4본</v>
          </cell>
          <cell r="BP86" t="str">
            <v>브릿지 스톤 앞뒤 235/60 R18</v>
          </cell>
          <cell r="BQ86" t="str">
            <v>0</v>
          </cell>
          <cell r="BR86">
            <v>47443</v>
          </cell>
          <cell r="BS86" t="str">
            <v>현금</v>
          </cell>
          <cell r="BT86" t="str">
            <v>0</v>
          </cell>
          <cell r="BU86" t="str">
            <v>0</v>
          </cell>
          <cell r="BV86" t="str">
            <v>0</v>
          </cell>
          <cell r="BW86" t="str">
            <v>0</v>
          </cell>
          <cell r="BX86" t="str">
            <v>0</v>
          </cell>
          <cell r="BY86" t="str">
            <v>0</v>
          </cell>
          <cell r="BZ86" t="str">
            <v>0</v>
          </cell>
          <cell r="CA86" t="str">
            <v>0</v>
          </cell>
          <cell r="CB86" t="str">
            <v>25</v>
          </cell>
          <cell r="CC86" t="str">
            <v>25</v>
          </cell>
          <cell r="CD86">
            <v>873000</v>
          </cell>
          <cell r="CE86">
            <v>60</v>
          </cell>
          <cell r="CF86">
            <v>52380000</v>
          </cell>
          <cell r="CG86">
            <v>16959000</v>
          </cell>
          <cell r="CH86">
            <v>0</v>
          </cell>
          <cell r="CI86">
            <v>28265000</v>
          </cell>
          <cell r="CJ86" t="str">
            <v>0</v>
          </cell>
          <cell r="CK86" t="str">
            <v>0</v>
          </cell>
          <cell r="CL86" t="str">
            <v>hmy188@gmail.com</v>
          </cell>
          <cell r="CM86" t="str">
            <v>0</v>
          </cell>
          <cell r="CN86" t="str">
            <v>0</v>
          </cell>
          <cell r="CO86">
            <v>0.03</v>
          </cell>
          <cell r="CP86" t="str">
            <v>0</v>
          </cell>
          <cell r="CQ86" t="str">
            <v>아이나비 Z7000</v>
          </cell>
          <cell r="CR86">
            <v>209000.00000000003</v>
          </cell>
          <cell r="CS86" t="str">
            <v>유리막/PPF</v>
          </cell>
          <cell r="CT86">
            <v>165000</v>
          </cell>
          <cell r="CU86" t="str">
            <v>PPF(도어 엣지, 도어컵, 주유구, 필러(4군데), 헤드라이트, 트렁크리드)</v>
          </cell>
          <cell r="CV86" t="str">
            <v>0</v>
          </cell>
          <cell r="CW86" t="str">
            <v>0</v>
          </cell>
          <cell r="CX86" t="str">
            <v>0</v>
          </cell>
          <cell r="CY86" t="str">
            <v>0</v>
          </cell>
          <cell r="CZ86" t="str">
            <v>0</v>
          </cell>
          <cell r="DA86" t="str">
            <v>0</v>
          </cell>
          <cell r="DB86" t="str">
            <v>현대</v>
          </cell>
          <cell r="DC86" t="str">
            <v>박현식 부장</v>
          </cell>
          <cell r="DD86" t="str">
            <v>렌트베네핏</v>
          </cell>
          <cell r="DE86" t="str">
            <v>0</v>
          </cell>
          <cell r="DF86" t="str">
            <v>우리은행</v>
          </cell>
          <cell r="DG86" t="str">
            <v>1005-904-742656</v>
          </cell>
          <cell r="DH86" t="str">
            <v>498-87-03340</v>
          </cell>
          <cell r="DI86" t="str">
            <v>서울시 마포구 방울내로11길 37, 2층 2272호(망원동, 프리마빌딩)</v>
          </cell>
          <cell r="DJ86">
            <v>0.35</v>
          </cell>
          <cell r="DK86">
            <v>0.25</v>
          </cell>
          <cell r="DL86" t="str">
            <v>0</v>
          </cell>
          <cell r="DM86" t="str">
            <v>0</v>
          </cell>
          <cell r="DN86" t="str">
            <v>0</v>
          </cell>
          <cell r="DO86" t="str">
            <v>0</v>
          </cell>
          <cell r="DP86" t="str">
            <v>0</v>
          </cell>
        </row>
        <row r="87">
          <cell r="C87" t="str">
            <v>G80-007</v>
          </cell>
          <cell r="D87" t="str">
            <v>주식회사 레이</v>
          </cell>
          <cell r="E87" t="str">
            <v>이상철 대표님</v>
          </cell>
          <cell r="F87" t="str">
            <v>010-6251-4137</v>
          </cell>
          <cell r="G87" t="str">
            <v>G80</v>
          </cell>
          <cell r="H87" t="str">
            <v>2.5 가솔린 터보 AWD</v>
          </cell>
          <cell r="I87">
            <v>67250000</v>
          </cell>
          <cell r="J87">
            <v>2025</v>
          </cell>
          <cell r="K87" t="str">
            <v>마칼루 그레이/에크루 카멜 모노톤</v>
          </cell>
          <cell r="L87" t="str">
            <v>가솔린</v>
          </cell>
          <cell r="M87" t="str">
            <v>KMTGB41CDTU295495</v>
          </cell>
          <cell r="N87" t="str">
            <v>142호4335</v>
          </cell>
          <cell r="O87" t="str">
            <v>파퓰러 패키지1 + 드라이빙 어시스턴트 패키지2</v>
          </cell>
          <cell r="P87">
            <v>2497</v>
          </cell>
          <cell r="Q87">
            <v>45790</v>
          </cell>
          <cell r="R87">
            <v>45791</v>
          </cell>
          <cell r="S87">
            <v>45791</v>
          </cell>
          <cell r="T87" t="str">
            <v>4</v>
          </cell>
          <cell r="U87">
            <v>47251</v>
          </cell>
          <cell r="V87">
            <v>33</v>
          </cell>
          <cell r="W87">
            <v>30000</v>
          </cell>
          <cell r="X87" t="str">
            <v>김호영 책임님</v>
          </cell>
          <cell r="Y87" t="str">
            <v>010-2425-6857</v>
          </cell>
          <cell r="Z87" t="str">
            <v>0</v>
          </cell>
          <cell r="AA87" t="str">
            <v>경기도 성남시 분당구 판교역로 221, 12층(삼평동)</v>
          </cell>
          <cell r="AB87">
            <v>45802</v>
          </cell>
          <cell r="AC87">
            <v>1460</v>
          </cell>
          <cell r="AD87">
            <v>1006</v>
          </cell>
          <cell r="AE87" t="str">
            <v>25050107</v>
          </cell>
          <cell r="AF87">
            <v>67250000</v>
          </cell>
          <cell r="AG87">
            <v>5403043</v>
          </cell>
          <cell r="AH87">
            <v>62195957</v>
          </cell>
          <cell r="AI87">
            <v>349000</v>
          </cell>
          <cell r="AJ87">
            <v>1900</v>
          </cell>
          <cell r="AK87">
            <v>2261790</v>
          </cell>
          <cell r="AL87">
            <v>69569</v>
          </cell>
          <cell r="AM87">
            <v>2000</v>
          </cell>
          <cell r="AN87">
            <v>45000</v>
          </cell>
          <cell r="AO87">
            <v>50000</v>
          </cell>
          <cell r="AP87" t="str">
            <v>0</v>
          </cell>
          <cell r="AQ87" t="str">
            <v>0</v>
          </cell>
          <cell r="AR87" t="str">
            <v>빌트인캠</v>
          </cell>
          <cell r="AS87">
            <v>198000</v>
          </cell>
          <cell r="AT87" t="str">
            <v>버택스 300 전면 35%, 측면1열 15%, 측면2열 및 후면 5%</v>
          </cell>
          <cell r="AU87" t="str">
            <v>0</v>
          </cell>
          <cell r="AV87" t="str">
            <v>0</v>
          </cell>
          <cell r="AW87" t="str">
            <v>렌터카 공제</v>
          </cell>
          <cell r="AX87" t="str">
            <v>0</v>
          </cell>
          <cell r="AY87" t="str">
            <v>0</v>
          </cell>
          <cell r="AZ87" t="str">
            <v>0</v>
          </cell>
          <cell r="BA87" t="str">
            <v>0</v>
          </cell>
          <cell r="BB87" t="str">
            <v>0</v>
          </cell>
          <cell r="BC87" t="str">
            <v>0</v>
          </cell>
          <cell r="BD87" t="str">
            <v>만26세</v>
          </cell>
          <cell r="BE87" t="str">
            <v>무한대</v>
          </cell>
          <cell r="BF87" t="str">
            <v>5억</v>
          </cell>
          <cell r="BG87" t="str">
            <v>2억/3천만</v>
          </cell>
          <cell r="BH87" t="str">
            <v>2억원/1인당</v>
          </cell>
          <cell r="BI87" t="str">
            <v>50만원</v>
          </cell>
          <cell r="BJ87" t="str">
            <v>임직원</v>
          </cell>
          <cell r="BK87" t="str">
            <v>5회/년</v>
          </cell>
          <cell r="BL87" t="str">
            <v>가입</v>
          </cell>
          <cell r="BM87" t="str">
            <v>가입</v>
          </cell>
          <cell r="BN87" t="str">
            <v>가입</v>
          </cell>
          <cell r="BO87" t="str">
            <v>렌트기간 4본</v>
          </cell>
          <cell r="BP87" t="str">
            <v>피렐리 앞/뒤 245/50 R18</v>
          </cell>
          <cell r="BQ87" t="str">
            <v>0</v>
          </cell>
          <cell r="BR87">
            <v>47443</v>
          </cell>
          <cell r="BS87" t="str">
            <v>현금</v>
          </cell>
          <cell r="BT87" t="str">
            <v>0</v>
          </cell>
          <cell r="BU87" t="str">
            <v>0</v>
          </cell>
          <cell r="BV87" t="str">
            <v>0</v>
          </cell>
          <cell r="BW87" t="str">
            <v>0</v>
          </cell>
          <cell r="BX87" t="str">
            <v>0</v>
          </cell>
          <cell r="BY87" t="str">
            <v>0</v>
          </cell>
          <cell r="BZ87" t="str">
            <v>0</v>
          </cell>
          <cell r="CA87" t="str">
            <v>0</v>
          </cell>
          <cell r="CB87" t="str">
            <v>25</v>
          </cell>
          <cell r="CC87" t="str">
            <v>25</v>
          </cell>
          <cell r="CD87">
            <v>1150500</v>
          </cell>
          <cell r="CE87">
            <v>48</v>
          </cell>
          <cell r="CF87">
            <v>55224000</v>
          </cell>
          <cell r="CG87">
            <v>20175000</v>
          </cell>
          <cell r="CH87">
            <v>0</v>
          </cell>
          <cell r="CI87">
            <v>31607500</v>
          </cell>
          <cell r="CJ87">
            <v>0.03</v>
          </cell>
          <cell r="CK87">
            <v>0.06</v>
          </cell>
          <cell r="CL87" t="str">
            <v>hoyoung.kim@raymedical.com</v>
          </cell>
          <cell r="CM87" t="str">
            <v>0</v>
          </cell>
          <cell r="CN87" t="str">
            <v>0</v>
          </cell>
          <cell r="CO87">
            <v>0.03</v>
          </cell>
          <cell r="CP87" t="str">
            <v>0</v>
          </cell>
          <cell r="CQ87" t="str">
            <v>코일매트</v>
          </cell>
          <cell r="CR87">
            <v>53300</v>
          </cell>
          <cell r="CS87" t="str">
            <v>유리막/PPF</v>
          </cell>
          <cell r="CT87">
            <v>165000</v>
          </cell>
          <cell r="CU87" t="str">
            <v>0</v>
          </cell>
          <cell r="CV87" t="str">
            <v>0</v>
          </cell>
          <cell r="CW87" t="str">
            <v>0</v>
          </cell>
          <cell r="CX87" t="str">
            <v>0</v>
          </cell>
          <cell r="CY87" t="str">
            <v>0</v>
          </cell>
          <cell r="CZ87" t="str">
            <v>0</v>
          </cell>
          <cell r="DA87" t="str">
            <v>0</v>
          </cell>
          <cell r="DB87" t="str">
            <v>현대</v>
          </cell>
          <cell r="DC87" t="str">
            <v>박현식 부장</v>
          </cell>
          <cell r="DD87" t="str">
            <v>렌트베네핏</v>
          </cell>
          <cell r="DE87" t="str">
            <v>0</v>
          </cell>
          <cell r="DF87" t="str">
            <v>우리은행</v>
          </cell>
          <cell r="DG87" t="str">
            <v>1005-401-254754</v>
          </cell>
          <cell r="DH87" t="str">
            <v xml:space="preserve">135-81-73282 </v>
          </cell>
          <cell r="DI87" t="str">
            <v>경기도 성남시 분당구 판교역로 221, 12층(삼평동)</v>
          </cell>
          <cell r="DJ87">
            <v>0.35</v>
          </cell>
          <cell r="DK87">
            <v>0.25</v>
          </cell>
          <cell r="DL87" t="str">
            <v>134511-0084018</v>
          </cell>
          <cell r="DM87" t="str">
            <v>0</v>
          </cell>
          <cell r="DN87" t="str">
            <v>0</v>
          </cell>
          <cell r="DO87" t="str">
            <v>0</v>
          </cell>
          <cell r="DP87" t="str">
            <v>0</v>
          </cell>
        </row>
        <row r="88">
          <cell r="C88" t="str">
            <v>RX350h-001</v>
          </cell>
          <cell r="D88" t="str">
            <v>㈜린드만</v>
          </cell>
          <cell r="E88" t="str">
            <v>이상훈 대표님</v>
          </cell>
          <cell r="F88" t="str">
            <v>010-9255-7080</v>
          </cell>
          <cell r="G88" t="str">
            <v>RX 350h Luxury</v>
          </cell>
          <cell r="H88" t="str">
            <v>-</v>
          </cell>
          <cell r="I88">
            <v>97430000</v>
          </cell>
          <cell r="J88">
            <v>2025</v>
          </cell>
          <cell r="K88" t="str">
            <v>Sonic Quartz (화이트)/Dark sepia (브라운)</v>
          </cell>
          <cell r="L88" t="str">
            <v>가솔린</v>
          </cell>
          <cell r="M88" t="str">
            <v>JTJCJAJA7S2052673</v>
          </cell>
          <cell r="N88" t="str">
            <v>142호5654</v>
          </cell>
          <cell r="O88" t="str">
            <v>-</v>
          </cell>
          <cell r="P88">
            <v>2487</v>
          </cell>
          <cell r="Q88">
            <v>45796</v>
          </cell>
          <cell r="R88">
            <v>45796</v>
          </cell>
          <cell r="S88">
            <v>45796</v>
          </cell>
          <cell r="T88" t="str">
            <v>5</v>
          </cell>
          <cell r="U88">
            <v>47621</v>
          </cell>
          <cell r="V88">
            <v>45</v>
          </cell>
          <cell r="W88">
            <v>20000</v>
          </cell>
          <cell r="X88" t="str">
            <v>이상훈 대표님</v>
          </cell>
          <cell r="Y88" t="str">
            <v>010-9255-7080</v>
          </cell>
          <cell r="Z88" t="str">
            <v>0</v>
          </cell>
          <cell r="AA88" t="str">
            <v>서울시 광진구 아차산로 78길 72, 701호(광장동, 학산코스모스텔)</v>
          </cell>
          <cell r="AB88">
            <v>45823</v>
          </cell>
          <cell r="AC88">
            <v>1825</v>
          </cell>
          <cell r="AD88">
            <v>1376</v>
          </cell>
          <cell r="AE88" t="str">
            <v>25050111</v>
          </cell>
          <cell r="AF88">
            <v>97430000</v>
          </cell>
          <cell r="AG88">
            <v>4330000</v>
          </cell>
          <cell r="AH88">
            <v>93100000</v>
          </cell>
          <cell r="AI88">
            <v>0</v>
          </cell>
          <cell r="AJ88" t="str">
            <v>0</v>
          </cell>
          <cell r="AK88">
            <v>3400000</v>
          </cell>
          <cell r="AL88">
            <v>12254</v>
          </cell>
          <cell r="AM88">
            <v>2000</v>
          </cell>
          <cell r="AN88">
            <v>45000</v>
          </cell>
          <cell r="AO88">
            <v>35000</v>
          </cell>
          <cell r="AP88" t="str">
            <v>0</v>
          </cell>
          <cell r="AQ88" t="str">
            <v>0</v>
          </cell>
          <cell r="AR88" t="str">
            <v>렉세스 전용 블랙박스</v>
          </cell>
          <cell r="AS88">
            <v>0</v>
          </cell>
          <cell r="AT88" t="str">
            <v>스미스클럽 어센틱L 전면 35%, 측후면 15%</v>
          </cell>
          <cell r="AU88" t="str">
            <v>0</v>
          </cell>
          <cell r="AV88" t="str">
            <v>0</v>
          </cell>
          <cell r="AW88" t="str">
            <v>렌터카 공제</v>
          </cell>
          <cell r="AX88" t="str">
            <v>0</v>
          </cell>
          <cell r="AY88" t="str">
            <v>0</v>
          </cell>
          <cell r="AZ88" t="str">
            <v>0</v>
          </cell>
          <cell r="BA88" t="str">
            <v>0</v>
          </cell>
          <cell r="BB88" t="str">
            <v>0</v>
          </cell>
          <cell r="BC88" t="str">
            <v>0</v>
          </cell>
          <cell r="BD88" t="str">
            <v>만26세</v>
          </cell>
          <cell r="BE88" t="str">
            <v>무한대</v>
          </cell>
          <cell r="BF88" t="str">
            <v>5억</v>
          </cell>
          <cell r="BG88" t="str">
            <v>2억/3천만</v>
          </cell>
          <cell r="BH88" t="str">
            <v>2억원/1인당</v>
          </cell>
          <cell r="BI88" t="str">
            <v>50만원</v>
          </cell>
          <cell r="BJ88" t="str">
            <v>임직원</v>
          </cell>
          <cell r="BK88" t="str">
            <v>5회/년</v>
          </cell>
          <cell r="BL88" t="str">
            <v>가입</v>
          </cell>
          <cell r="BM88" t="str">
            <v>미가입</v>
          </cell>
          <cell r="BN88" t="str">
            <v>미가입</v>
          </cell>
          <cell r="BO88" t="str">
            <v>브랜드보증 외 사용자 부담</v>
          </cell>
          <cell r="BP88" t="str">
            <v>브릿지 스톤 앞뒤 / 235 50 R21</v>
          </cell>
          <cell r="BQ88" t="str">
            <v>0</v>
          </cell>
          <cell r="BR88">
            <v>47253</v>
          </cell>
          <cell r="BS88" t="str">
            <v>현금</v>
          </cell>
          <cell r="BT88" t="str">
            <v>0</v>
          </cell>
          <cell r="BU88" t="str">
            <v>0</v>
          </cell>
          <cell r="BV88" t="str">
            <v>0</v>
          </cell>
          <cell r="BW88" t="str">
            <v>0</v>
          </cell>
          <cell r="BX88" t="str">
            <v>0</v>
          </cell>
          <cell r="BY88" t="str">
            <v>0</v>
          </cell>
          <cell r="BZ88" t="str">
            <v>0</v>
          </cell>
          <cell r="CA88" t="str">
            <v>0</v>
          </cell>
          <cell r="CB88" t="str">
            <v>15</v>
          </cell>
          <cell r="CC88" t="str">
            <v>15</v>
          </cell>
          <cell r="CD88">
            <v>1646000</v>
          </cell>
          <cell r="CE88">
            <v>60</v>
          </cell>
          <cell r="CF88">
            <v>98760000</v>
          </cell>
          <cell r="CG88">
            <v>0</v>
          </cell>
          <cell r="CH88">
            <v>0</v>
          </cell>
          <cell r="CI88">
            <v>33050500</v>
          </cell>
          <cell r="CJ88">
            <v>0.03</v>
          </cell>
          <cell r="CK88">
            <v>0.06</v>
          </cell>
          <cell r="CL88" t="str">
            <v>sanghoon.lee@Lyndman.com</v>
          </cell>
          <cell r="CM88" t="str">
            <v>0</v>
          </cell>
          <cell r="CN88" t="str">
            <v>0</v>
          </cell>
          <cell r="CO88">
            <v>0.03</v>
          </cell>
          <cell r="CP88" t="str">
            <v>0</v>
          </cell>
          <cell r="CQ88" t="str">
            <v>0</v>
          </cell>
          <cell r="CR88" t="str">
            <v>0</v>
          </cell>
          <cell r="CS88" t="str">
            <v>유리막/PPF</v>
          </cell>
          <cell r="CT88" t="str">
            <v>0</v>
          </cell>
          <cell r="CU88" t="str">
            <v>0</v>
          </cell>
          <cell r="CV88" t="str">
            <v>0</v>
          </cell>
          <cell r="CW88" t="str">
            <v>0</v>
          </cell>
          <cell r="CX88" t="str">
            <v>0</v>
          </cell>
          <cell r="CY88" t="str">
            <v>0</v>
          </cell>
          <cell r="CZ88" t="str">
            <v>0</v>
          </cell>
          <cell r="DA88" t="str">
            <v>0</v>
          </cell>
          <cell r="DB88" t="str">
            <v>렉서스</v>
          </cell>
          <cell r="DC88" t="str">
            <v>주민성 팀장</v>
          </cell>
          <cell r="DD88" t="str">
            <v>렌트베네핏</v>
          </cell>
          <cell r="DE88" t="str">
            <v>0</v>
          </cell>
          <cell r="DF88" t="str">
            <v>우리은행</v>
          </cell>
          <cell r="DG88" t="str">
            <v>282-910022-70004</v>
          </cell>
          <cell r="DH88" t="str">
            <v>793-81-01696</v>
          </cell>
          <cell r="DI88" t="str">
            <v>서울시 광진구 아차산로 78길 72, 701호(광장동, 학산코스모스텔)</v>
          </cell>
          <cell r="DJ88">
            <v>0.35</v>
          </cell>
          <cell r="DK88">
            <v>0.25</v>
          </cell>
          <cell r="DL88" t="str">
            <v>0</v>
          </cell>
          <cell r="DM88" t="str">
            <v>0</v>
          </cell>
          <cell r="DN88" t="str">
            <v>0</v>
          </cell>
          <cell r="DO88" t="str">
            <v>0</v>
          </cell>
          <cell r="DP88" t="str">
            <v>0</v>
          </cell>
        </row>
        <row r="89">
          <cell r="C89" t="str">
            <v>ALPHARD-001</v>
          </cell>
          <cell r="D89" t="str">
            <v>주식회사 레이</v>
          </cell>
          <cell r="E89" t="str">
            <v>이상철 대표님</v>
          </cell>
          <cell r="F89" t="str">
            <v>010-6251-4137</v>
          </cell>
          <cell r="G89" t="str">
            <v xml:space="preserve"> ALPHARD-HEV SFX</v>
          </cell>
          <cell r="H89" t="str">
            <v>-</v>
          </cell>
          <cell r="I89">
            <v>100490000</v>
          </cell>
          <cell r="J89">
            <v>2025</v>
          </cell>
          <cell r="K89" t="str">
            <v>BLACK/BLACK</v>
          </cell>
          <cell r="L89" t="str">
            <v>가솔린</v>
          </cell>
          <cell r="M89" t="str">
            <v>JTNAEACH0S8040494</v>
          </cell>
          <cell r="N89" t="str">
            <v>142호4341</v>
          </cell>
          <cell r="O89" t="str">
            <v>-</v>
          </cell>
          <cell r="P89">
            <v>2487</v>
          </cell>
          <cell r="Q89">
            <v>45806</v>
          </cell>
          <cell r="R89">
            <v>45806</v>
          </cell>
          <cell r="S89">
            <v>45806</v>
          </cell>
          <cell r="T89" t="str">
            <v>3</v>
          </cell>
          <cell r="U89">
            <v>46901</v>
          </cell>
          <cell r="V89">
            <v>21</v>
          </cell>
          <cell r="W89">
            <v>30000</v>
          </cell>
          <cell r="X89" t="str">
            <v>김호영 책임님</v>
          </cell>
          <cell r="Y89" t="str">
            <v>010-2425-6857</v>
          </cell>
          <cell r="Z89" t="str">
            <v>0</v>
          </cell>
          <cell r="AA89" t="str">
            <v>경기도 성남시 분당구 판교역로 221, 12층(삼평동)</v>
          </cell>
          <cell r="AB89">
            <v>45833</v>
          </cell>
          <cell r="AC89">
            <v>1095</v>
          </cell>
          <cell r="AD89">
            <v>656</v>
          </cell>
          <cell r="AE89" t="str">
            <v>25050112</v>
          </cell>
          <cell r="AF89">
            <v>100490000</v>
          </cell>
          <cell r="AG89">
            <v>3215680</v>
          </cell>
          <cell r="AH89">
            <v>97274320</v>
          </cell>
          <cell r="AI89">
            <v>0</v>
          </cell>
          <cell r="AJ89">
            <v>0</v>
          </cell>
          <cell r="AK89">
            <v>3543270</v>
          </cell>
          <cell r="AL89">
            <v>5569</v>
          </cell>
          <cell r="AM89">
            <v>5000</v>
          </cell>
          <cell r="AN89">
            <v>40000</v>
          </cell>
          <cell r="AO89">
            <v>50000</v>
          </cell>
          <cell r="AP89" t="str">
            <v>0</v>
          </cell>
          <cell r="AQ89" t="str">
            <v>0</v>
          </cell>
          <cell r="AR89" t="str">
            <v>토요타 전용 블랙박스</v>
          </cell>
          <cell r="AS89">
            <v>0</v>
          </cell>
          <cell r="AT89" t="str">
            <v>스미스클럽 어센틱T 전면 35%, 측후면 15%</v>
          </cell>
          <cell r="AU89" t="str">
            <v>0</v>
          </cell>
          <cell r="AV89" t="str">
            <v>0</v>
          </cell>
          <cell r="AW89" t="str">
            <v>렌터카 공제</v>
          </cell>
          <cell r="AX89" t="str">
            <v>0</v>
          </cell>
          <cell r="AY89" t="str">
            <v>0</v>
          </cell>
          <cell r="AZ89" t="str">
            <v>0</v>
          </cell>
          <cell r="BA89" t="str">
            <v>0</v>
          </cell>
          <cell r="BB89" t="str">
            <v>0</v>
          </cell>
          <cell r="BC89" t="str">
            <v>0</v>
          </cell>
          <cell r="BD89" t="str">
            <v>만26세</v>
          </cell>
          <cell r="BE89" t="str">
            <v>무한대</v>
          </cell>
          <cell r="BF89" t="str">
            <v>5억</v>
          </cell>
          <cell r="BG89" t="str">
            <v>2억/3천만</v>
          </cell>
          <cell r="BH89" t="str">
            <v>2억원/1인당</v>
          </cell>
          <cell r="BI89" t="str">
            <v>50만원</v>
          </cell>
          <cell r="BJ89" t="str">
            <v>임직원</v>
          </cell>
          <cell r="BK89" t="str">
            <v>5회/년</v>
          </cell>
          <cell r="BL89" t="str">
            <v>가입</v>
          </cell>
          <cell r="BM89" t="str">
            <v>미가입</v>
          </cell>
          <cell r="BN89" t="str">
            <v>미가입</v>
          </cell>
          <cell r="BO89" t="str">
            <v>브랜드보증 외 사용자 부담</v>
          </cell>
          <cell r="BP89" t="str">
            <v>MICHELIN 앞뒤 225/55 R19</v>
          </cell>
          <cell r="BQ89" t="str">
            <v>0</v>
          </cell>
          <cell r="BR89">
            <v>47253</v>
          </cell>
          <cell r="BS89" t="str">
            <v>현금</v>
          </cell>
          <cell r="BT89" t="str">
            <v>0</v>
          </cell>
          <cell r="BU89" t="str">
            <v>0</v>
          </cell>
          <cell r="BV89" t="str">
            <v>0</v>
          </cell>
          <cell r="BW89" t="str">
            <v>0</v>
          </cell>
          <cell r="BX89" t="str">
            <v>0</v>
          </cell>
          <cell r="BY89" t="str">
            <v>0</v>
          </cell>
          <cell r="BZ89" t="str">
            <v>0</v>
          </cell>
          <cell r="CA89" t="str">
            <v>0</v>
          </cell>
          <cell r="CB89" t="str">
            <v>25</v>
          </cell>
          <cell r="CC89" t="str">
            <v>25</v>
          </cell>
          <cell r="CD89">
            <v>1735000</v>
          </cell>
          <cell r="CE89">
            <v>36</v>
          </cell>
          <cell r="CF89">
            <v>62460000</v>
          </cell>
          <cell r="CG89">
            <v>30147000</v>
          </cell>
          <cell r="CH89">
            <v>0</v>
          </cell>
          <cell r="CI89">
            <v>60294000</v>
          </cell>
          <cell r="CJ89">
            <v>0.03</v>
          </cell>
          <cell r="CK89">
            <v>0.06</v>
          </cell>
          <cell r="CL89" t="str">
            <v>hoyoung.kim@raymedical.com</v>
          </cell>
          <cell r="CM89" t="str">
            <v>0</v>
          </cell>
          <cell r="CN89" t="str">
            <v>0</v>
          </cell>
          <cell r="CO89">
            <v>0.03</v>
          </cell>
          <cell r="CP89" t="str">
            <v>0</v>
          </cell>
          <cell r="CQ89" t="str">
            <v>0</v>
          </cell>
          <cell r="CR89" t="str">
            <v>0</v>
          </cell>
          <cell r="CS89" t="str">
            <v>유리막/PPF</v>
          </cell>
          <cell r="CT89" t="str">
            <v>0</v>
          </cell>
          <cell r="CU89" t="str">
            <v>0</v>
          </cell>
          <cell r="CV89" t="str">
            <v>0</v>
          </cell>
          <cell r="CW89" t="str">
            <v>0</v>
          </cell>
          <cell r="CX89" t="str">
            <v>0</v>
          </cell>
          <cell r="CY89" t="str">
            <v>0</v>
          </cell>
          <cell r="CZ89" t="str">
            <v>0</v>
          </cell>
          <cell r="DA89" t="str">
            <v>0</v>
          </cell>
          <cell r="DB89" t="str">
            <v>토요타</v>
          </cell>
          <cell r="DC89" t="str">
            <v>이재명 팀장</v>
          </cell>
          <cell r="DD89" t="str">
            <v>렌트베네핏</v>
          </cell>
          <cell r="DE89" t="str">
            <v>㈜레이</v>
          </cell>
          <cell r="DF89" t="str">
            <v>우리은행</v>
          </cell>
          <cell r="DG89" t="str">
            <v>1005-401-254754</v>
          </cell>
          <cell r="DH89" t="str">
            <v xml:space="preserve">135-81-73282 </v>
          </cell>
          <cell r="DI89" t="str">
            <v>경기도 성남시 분당구 판교역로 221, 12층(삼평동)</v>
          </cell>
          <cell r="DJ89">
            <v>0.35</v>
          </cell>
          <cell r="DK89">
            <v>0.25</v>
          </cell>
          <cell r="DL89" t="str">
            <v>134511-0084018</v>
          </cell>
          <cell r="DM89" t="str">
            <v>0</v>
          </cell>
          <cell r="DN89" t="str">
            <v>0</v>
          </cell>
          <cell r="DO89" t="str">
            <v>0</v>
          </cell>
          <cell r="DP89" t="str">
            <v>0</v>
          </cell>
        </row>
        <row r="90">
          <cell r="C90" t="str">
            <v>Koleos-001</v>
          </cell>
          <cell r="D90" t="str">
            <v>정재현 이사님</v>
          </cell>
          <cell r="E90" t="str">
            <v>정재현 이사님</v>
          </cell>
          <cell r="F90" t="str">
            <v>010-2085-3703</v>
          </cell>
          <cell r="G90" t="str">
            <v>Grand Koleos E-Tech</v>
          </cell>
          <cell r="H90" t="str">
            <v>iconic 25MY</v>
          </cell>
          <cell r="I90">
            <v>46658000</v>
          </cell>
          <cell r="J90">
            <v>2025</v>
          </cell>
          <cell r="K90" t="str">
            <v>클라우드 펄/퀼팅 라이트 브라운 나파 인조가죽</v>
          </cell>
          <cell r="L90" t="str">
            <v>가솔린</v>
          </cell>
          <cell r="M90" t="str">
            <v>KNMP5B2U5SP033937</v>
          </cell>
          <cell r="N90" t="str">
            <v>142호4346</v>
          </cell>
          <cell r="O90" t="str">
            <v>20인치 투톤 하이랜드 알로이 휠 &amp; 245/45 R20 저소음 폼 타이어(40만), 증강현실 헤드업 디스플레이(AR-HUD)+차음 윈드 실드 글라스(115만), BOSE 서라운드 시스템(10 스피커) + 액티브 노이즈 캔슬레이션(130만)</v>
          </cell>
          <cell r="P90">
            <v>1499</v>
          </cell>
          <cell r="Q90">
            <v>45812</v>
          </cell>
          <cell r="R90">
            <v>45812</v>
          </cell>
          <cell r="S90">
            <v>45812</v>
          </cell>
          <cell r="T90" t="str">
            <v>4</v>
          </cell>
          <cell r="U90">
            <v>47272</v>
          </cell>
          <cell r="V90">
            <v>33</v>
          </cell>
          <cell r="W90">
            <v>15000</v>
          </cell>
          <cell r="X90" t="str">
            <v>정재현 이사님</v>
          </cell>
          <cell r="Y90" t="str">
            <v>010-2085-3703</v>
          </cell>
          <cell r="Z90" t="str">
            <v>0</v>
          </cell>
          <cell r="AA90" t="str">
            <v>0</v>
          </cell>
          <cell r="AB90">
            <v>45833</v>
          </cell>
          <cell r="AC90">
            <v>1460</v>
          </cell>
          <cell r="AD90">
            <v>1027</v>
          </cell>
          <cell r="AE90" t="str">
            <v>25060113</v>
          </cell>
          <cell r="AF90">
            <v>43200000</v>
          </cell>
          <cell r="AG90">
            <v>2656827</v>
          </cell>
          <cell r="AH90">
            <v>3375000</v>
          </cell>
          <cell r="AI90">
            <v>383000</v>
          </cell>
          <cell r="AJ90">
            <v>1900</v>
          </cell>
          <cell r="AK90">
            <v>1610950</v>
          </cell>
          <cell r="AL90">
            <v>0</v>
          </cell>
          <cell r="AM90">
            <v>2000</v>
          </cell>
          <cell r="AN90">
            <v>45000</v>
          </cell>
          <cell r="AO90">
            <v>50000</v>
          </cell>
          <cell r="AP90" t="str">
            <v>0</v>
          </cell>
          <cell r="AQ90" t="str">
            <v>0</v>
          </cell>
          <cell r="AR90" t="str">
            <v>아이나비 ZQ7000</v>
          </cell>
          <cell r="AS90">
            <v>219000</v>
          </cell>
          <cell r="AT90" t="str">
            <v>버택스 300 전면 35%, 측면1열 15%, 측면2열 및 후면 5%</v>
          </cell>
          <cell r="AU90" t="str">
            <v>0</v>
          </cell>
          <cell r="AV90" t="str">
            <v>0</v>
          </cell>
          <cell r="AW90" t="str">
            <v>렌터카 공제</v>
          </cell>
          <cell r="AX90" t="str">
            <v>0</v>
          </cell>
          <cell r="AY90" t="str">
            <v>0</v>
          </cell>
          <cell r="AZ90" t="str">
            <v>0</v>
          </cell>
          <cell r="BA90" t="str">
            <v>0</v>
          </cell>
          <cell r="BB90" t="str">
            <v>0</v>
          </cell>
          <cell r="BC90" t="str">
            <v>0</v>
          </cell>
          <cell r="BD90" t="str">
            <v>만26세</v>
          </cell>
          <cell r="BE90" t="str">
            <v>무한대</v>
          </cell>
          <cell r="BF90" t="str">
            <v>2억원</v>
          </cell>
          <cell r="BG90" t="str">
            <v>1억원/1500만</v>
          </cell>
          <cell r="BH90" t="str">
            <v>2억원/1인당</v>
          </cell>
          <cell r="BI90" t="str">
            <v>30만원</v>
          </cell>
          <cell r="BJ90" t="str">
            <v>임직원</v>
          </cell>
          <cell r="BK90" t="str">
            <v>5회/년</v>
          </cell>
          <cell r="BL90" t="str">
            <v>가입</v>
          </cell>
          <cell r="BM90" t="str">
            <v>미가입</v>
          </cell>
          <cell r="BN90" t="str">
            <v>브랜드보증 외 사용자 부담</v>
          </cell>
          <cell r="BO90" t="str">
            <v>브랜드보증 외 사용자 부담</v>
          </cell>
          <cell r="BP90" t="str">
            <v>0</v>
          </cell>
          <cell r="BQ90" t="str">
            <v>0</v>
          </cell>
          <cell r="BR90">
            <v>26982</v>
          </cell>
          <cell r="BS90" t="str">
            <v>현금</v>
          </cell>
          <cell r="BT90" t="str">
            <v>0</v>
          </cell>
          <cell r="BU90" t="str">
            <v>0</v>
          </cell>
          <cell r="BV90" t="str">
            <v>0</v>
          </cell>
          <cell r="BW90" t="str">
            <v>0</v>
          </cell>
          <cell r="BX90" t="str">
            <v>0</v>
          </cell>
          <cell r="BY90" t="str">
            <v>0</v>
          </cell>
          <cell r="BZ90" t="str">
            <v>0</v>
          </cell>
          <cell r="CA90" t="str">
            <v>0</v>
          </cell>
          <cell r="CB90" t="str">
            <v>25</v>
          </cell>
          <cell r="CC90" t="str">
            <v>25</v>
          </cell>
          <cell r="CD90">
            <v>500000</v>
          </cell>
          <cell r="CE90">
            <v>48</v>
          </cell>
          <cell r="CF90">
            <v>24000000</v>
          </cell>
          <cell r="CG90">
            <v>0</v>
          </cell>
          <cell r="CH90">
            <v>5000000</v>
          </cell>
          <cell r="CI90">
            <v>26538200</v>
          </cell>
          <cell r="CJ90">
            <v>0</v>
          </cell>
          <cell r="CK90">
            <v>0</v>
          </cell>
          <cell r="CL90" t="str">
            <v>0</v>
          </cell>
          <cell r="CM90" t="str">
            <v>0</v>
          </cell>
          <cell r="CN90" t="str">
            <v>0</v>
          </cell>
          <cell r="CO90">
            <v>0</v>
          </cell>
          <cell r="CP90" t="str">
            <v>0</v>
          </cell>
          <cell r="CQ90" t="str">
            <v>0</v>
          </cell>
          <cell r="CR90" t="str">
            <v>0</v>
          </cell>
          <cell r="CS90" t="str">
            <v>0</v>
          </cell>
          <cell r="CT90" t="str">
            <v>0</v>
          </cell>
          <cell r="CU90" t="str">
            <v>0</v>
          </cell>
          <cell r="CV90" t="str">
            <v>0</v>
          </cell>
          <cell r="CW90" t="str">
            <v>0</v>
          </cell>
          <cell r="CX90" t="str">
            <v>0</v>
          </cell>
          <cell r="CY90" t="str">
            <v>0</v>
          </cell>
          <cell r="CZ90" t="str">
            <v>0</v>
          </cell>
          <cell r="DA90" t="str">
            <v>0</v>
          </cell>
          <cell r="DB90" t="str">
            <v>르노삼성</v>
          </cell>
          <cell r="DC90" t="str">
            <v>이강준 팀장</v>
          </cell>
          <cell r="DD90" t="str">
            <v>렌트베네핏</v>
          </cell>
          <cell r="DE90" t="str">
            <v>정재현</v>
          </cell>
          <cell r="DF90" t="str">
            <v>0</v>
          </cell>
          <cell r="DG90" t="str">
            <v>0</v>
          </cell>
          <cell r="DH90" t="str">
            <v>0</v>
          </cell>
          <cell r="DI90" t="str">
            <v>주소 없음</v>
          </cell>
          <cell r="DJ90">
            <v>0.35</v>
          </cell>
          <cell r="DK90">
            <v>0.25</v>
          </cell>
          <cell r="DL90" t="str">
            <v>0</v>
          </cell>
          <cell r="DM90" t="str">
            <v>0</v>
          </cell>
          <cell r="DN90" t="str">
            <v>0</v>
          </cell>
          <cell r="DO90" t="str">
            <v>0</v>
          </cell>
          <cell r="DP90" t="str">
            <v>0</v>
          </cell>
        </row>
        <row r="91">
          <cell r="C91" t="str">
            <v>Grander-005</v>
          </cell>
          <cell r="D91" t="str">
            <v>주식회사 레이</v>
          </cell>
          <cell r="E91" t="str">
            <v>이상철 대표님</v>
          </cell>
          <cell r="F91" t="str">
            <v>010-6251-4137</v>
          </cell>
          <cell r="G91" t="str">
            <v>그랜저</v>
          </cell>
          <cell r="H91" t="str">
            <v>2.5T 프리미엄 2WD</v>
          </cell>
          <cell r="I91">
            <v>39410000</v>
          </cell>
          <cell r="J91">
            <v>2026</v>
          </cell>
          <cell r="K91" t="str">
            <v>녹턴 그레이 메탈릭/블랙/브라운 투톤 천연가족</v>
          </cell>
          <cell r="L91" t="str">
            <v>가솔린</v>
          </cell>
          <cell r="M91" t="str">
            <v>KMHN141DBTA118755</v>
          </cell>
          <cell r="N91" t="str">
            <v>142호4397</v>
          </cell>
          <cell r="O91" t="str">
            <v>현대 스마트센트1</v>
          </cell>
          <cell r="P91">
            <v>2487</v>
          </cell>
          <cell r="Q91">
            <v>45842</v>
          </cell>
          <cell r="R91">
            <v>45852</v>
          </cell>
          <cell r="S91">
            <v>45852</v>
          </cell>
          <cell r="T91" t="str">
            <v>4</v>
          </cell>
          <cell r="U91">
            <v>47312</v>
          </cell>
          <cell r="V91">
            <v>35</v>
          </cell>
          <cell r="W91">
            <v>30000</v>
          </cell>
          <cell r="X91" t="str">
            <v>김호영 책임님</v>
          </cell>
          <cell r="Y91" t="str">
            <v>010-2425-6857</v>
          </cell>
          <cell r="Z91" t="str">
            <v>0</v>
          </cell>
          <cell r="AA91" t="str">
            <v>경기도 성남시 분당구 판교역로 221, 12층(삼평동)</v>
          </cell>
          <cell r="AB91">
            <v>45863</v>
          </cell>
          <cell r="AC91">
            <v>1460</v>
          </cell>
          <cell r="AD91">
            <v>1067</v>
          </cell>
          <cell r="AE91" t="str">
            <v>25070114</v>
          </cell>
          <cell r="AF91">
            <v>39410000</v>
          </cell>
          <cell r="AG91">
            <v>1994259</v>
          </cell>
          <cell r="AH91">
            <v>37591741</v>
          </cell>
          <cell r="AI91">
            <v>176000</v>
          </cell>
          <cell r="AJ91">
            <v>1900</v>
          </cell>
          <cell r="AK91" t="str">
            <v>0</v>
          </cell>
          <cell r="AL91" t="str">
            <v>0</v>
          </cell>
          <cell r="AM91" t="str">
            <v>0</v>
          </cell>
          <cell r="AN91" t="str">
            <v>0</v>
          </cell>
          <cell r="AO91" t="str">
            <v>0</v>
          </cell>
          <cell r="AP91" t="str">
            <v>0</v>
          </cell>
          <cell r="AQ91" t="str">
            <v>0</v>
          </cell>
          <cell r="AR91" t="str">
            <v>아이나비 ZQ7000</v>
          </cell>
          <cell r="AS91">
            <v>219000</v>
          </cell>
          <cell r="AT91" t="str">
            <v>버택스 300 전면 35%, 측면1열 15%, 측면2열 및 후면 5%</v>
          </cell>
          <cell r="AU91" t="str">
            <v>0</v>
          </cell>
          <cell r="AV91" t="str">
            <v>0</v>
          </cell>
          <cell r="AW91" t="str">
            <v>렌터카 공제</v>
          </cell>
          <cell r="AX91" t="str">
            <v>0</v>
          </cell>
          <cell r="AY91" t="str">
            <v>0</v>
          </cell>
          <cell r="AZ91" t="str">
            <v>0</v>
          </cell>
          <cell r="BA91" t="str">
            <v>0</v>
          </cell>
          <cell r="BB91" t="str">
            <v>0</v>
          </cell>
          <cell r="BC91" t="str">
            <v>0</v>
          </cell>
          <cell r="BD91" t="str">
            <v>만26세</v>
          </cell>
          <cell r="BE91" t="str">
            <v>무한대</v>
          </cell>
          <cell r="BF91" t="str">
            <v>2억</v>
          </cell>
          <cell r="BG91" t="str">
            <v>1억/1500만</v>
          </cell>
          <cell r="BH91" t="str">
            <v>2억원/1인당</v>
          </cell>
          <cell r="BI91" t="str">
            <v>30만원</v>
          </cell>
          <cell r="BJ91" t="str">
            <v>임직원</v>
          </cell>
          <cell r="BK91" t="str">
            <v>5회/년</v>
          </cell>
          <cell r="BL91" t="str">
            <v>가입</v>
          </cell>
          <cell r="BM91" t="str">
            <v>가입</v>
          </cell>
          <cell r="BN91" t="str">
            <v>가입</v>
          </cell>
          <cell r="BO91" t="str">
            <v>렌트기간 4본</v>
          </cell>
          <cell r="BP91" t="str">
            <v>넥센 앞,뒤 225/55R18</v>
          </cell>
          <cell r="BQ91" t="str">
            <v>0</v>
          </cell>
          <cell r="BR91">
            <v>47253</v>
          </cell>
          <cell r="BS91" t="str">
            <v>현금</v>
          </cell>
          <cell r="BT91" t="str">
            <v>0</v>
          </cell>
          <cell r="BU91" t="str">
            <v>0</v>
          </cell>
          <cell r="BV91" t="str">
            <v>0</v>
          </cell>
          <cell r="BW91" t="str">
            <v>0</v>
          </cell>
          <cell r="BX91" t="str">
            <v>0</v>
          </cell>
          <cell r="BY91" t="str">
            <v>0</v>
          </cell>
          <cell r="BZ91" t="str">
            <v>0</v>
          </cell>
          <cell r="CA91" t="str">
            <v>0</v>
          </cell>
          <cell r="CB91" t="str">
            <v>25</v>
          </cell>
          <cell r="CC91" t="str">
            <v>25</v>
          </cell>
          <cell r="CD91">
            <v>700000</v>
          </cell>
          <cell r="CE91">
            <v>48</v>
          </cell>
          <cell r="CF91">
            <v>33600000</v>
          </cell>
          <cell r="CG91">
            <v>11823000</v>
          </cell>
          <cell r="CH91">
            <v>0</v>
          </cell>
          <cell r="CI91">
            <v>20493200</v>
          </cell>
          <cell r="CJ91">
            <v>0.03</v>
          </cell>
          <cell r="CK91">
            <v>0.06</v>
          </cell>
          <cell r="CL91" t="str">
            <v>hoyoung.kim@raymedical.com</v>
          </cell>
          <cell r="CM91" t="str">
            <v>0</v>
          </cell>
          <cell r="CN91" t="str">
            <v>0</v>
          </cell>
          <cell r="CO91">
            <v>0.03</v>
          </cell>
          <cell r="CP91" t="str">
            <v>0</v>
          </cell>
          <cell r="CQ91" t="str">
            <v>0</v>
          </cell>
          <cell r="CR91" t="str">
            <v>0</v>
          </cell>
          <cell r="CS91" t="str">
            <v>유리막/PPF</v>
          </cell>
          <cell r="CT91" t="str">
            <v>0</v>
          </cell>
          <cell r="CU91" t="str">
            <v>0</v>
          </cell>
          <cell r="CV91" t="str">
            <v>0</v>
          </cell>
          <cell r="CW91" t="str">
            <v>0</v>
          </cell>
          <cell r="CX91" t="str">
            <v>0</v>
          </cell>
          <cell r="CY91" t="str">
            <v>0</v>
          </cell>
          <cell r="CZ91" t="str">
            <v>0</v>
          </cell>
          <cell r="DA91" t="str">
            <v>0</v>
          </cell>
          <cell r="DB91" t="str">
            <v>현대</v>
          </cell>
          <cell r="DC91" t="str">
            <v>박현식 부장</v>
          </cell>
          <cell r="DD91" t="str">
            <v>렌트베네핏</v>
          </cell>
          <cell r="DE91" t="str">
            <v>㈜레이</v>
          </cell>
          <cell r="DF91" t="str">
            <v>우리은행</v>
          </cell>
          <cell r="DG91" t="str">
            <v>1005-401-254754</v>
          </cell>
          <cell r="DH91" t="str">
            <v xml:space="preserve">135-81-73282 </v>
          </cell>
          <cell r="DI91" t="str">
            <v>경기도 성남시 분당구 판교역로 221, 12층(삼평동)</v>
          </cell>
          <cell r="DJ91">
            <v>0.35</v>
          </cell>
          <cell r="DK91">
            <v>0.25</v>
          </cell>
          <cell r="DL91" t="str">
            <v>134511-0084018</v>
          </cell>
          <cell r="DM91" t="str">
            <v>0</v>
          </cell>
          <cell r="DN91" t="str">
            <v>0</v>
          </cell>
          <cell r="DO91" t="str">
            <v>0</v>
          </cell>
          <cell r="DP91" t="str">
            <v>0</v>
          </cell>
        </row>
        <row r="92">
          <cell r="C92" t="str">
            <v>Carnival-006</v>
          </cell>
          <cell r="D92" t="str">
            <v>더데이랩스 주식회사</v>
          </cell>
          <cell r="E92" t="str">
            <v>이종진 원장님</v>
          </cell>
          <cell r="F92" t="str">
            <v>010-2767-1215</v>
          </cell>
          <cell r="G92" t="str">
            <v>카니발</v>
          </cell>
          <cell r="H92" t="str">
            <v>3.5 가솔린 9인승 프레스티지</v>
          </cell>
          <cell r="I92">
            <v>39420000</v>
          </cell>
          <cell r="J92">
            <v>2025</v>
          </cell>
          <cell r="K92" t="str">
            <v>오로라 블랙 펄/토프</v>
          </cell>
          <cell r="L92" t="str">
            <v>가솔린</v>
          </cell>
          <cell r="M92" t="str">
            <v>KNANB813BSS578943</v>
          </cell>
          <cell r="N92" t="str">
            <v>142호9100</v>
          </cell>
          <cell r="O92" t="str">
            <v>12.3인치클러스터(+60만원), 컨비니언스 (+110만원), 모니터링 팩 (+90만원), 드라이브와이즈(+120만원)</v>
          </cell>
          <cell r="P92">
            <v>3470</v>
          </cell>
          <cell r="Q92">
            <v>45848</v>
          </cell>
          <cell r="R92">
            <v>45846</v>
          </cell>
          <cell r="S92">
            <v>45853</v>
          </cell>
          <cell r="T92" t="str">
            <v>4</v>
          </cell>
          <cell r="U92">
            <v>47313</v>
          </cell>
          <cell r="V92">
            <v>35</v>
          </cell>
          <cell r="W92">
            <v>30000</v>
          </cell>
          <cell r="X92" t="str">
            <v>심지호 이사님</v>
          </cell>
          <cell r="Y92" t="str">
            <v>010-2767-1215</v>
          </cell>
          <cell r="Z92" t="str">
            <v>0</v>
          </cell>
          <cell r="AA92" t="str">
            <v>테헤란로13길 30</v>
          </cell>
          <cell r="AB92">
            <v>45869</v>
          </cell>
          <cell r="AC92">
            <v>1460</v>
          </cell>
          <cell r="AD92">
            <v>1068</v>
          </cell>
          <cell r="AE92" t="str">
            <v>25070115</v>
          </cell>
          <cell r="AF92">
            <v>39420000</v>
          </cell>
          <cell r="AG92" t="str">
            <v>0</v>
          </cell>
          <cell r="AH92" t="str">
            <v>0</v>
          </cell>
          <cell r="AI92" t="str">
            <v>0</v>
          </cell>
          <cell r="AJ92" t="str">
            <v>0</v>
          </cell>
          <cell r="AK92" t="str">
            <v>0</v>
          </cell>
          <cell r="AL92" t="str">
            <v>0</v>
          </cell>
          <cell r="AM92" t="str">
            <v>0</v>
          </cell>
          <cell r="AN92" t="str">
            <v>0</v>
          </cell>
          <cell r="AO92" t="str">
            <v>0</v>
          </cell>
          <cell r="AP92" t="str">
            <v>0</v>
          </cell>
          <cell r="AQ92" t="str">
            <v>0</v>
          </cell>
          <cell r="AR92" t="str">
            <v>아이나비 ZQ7000</v>
          </cell>
          <cell r="AS92">
            <v>209000.00000000003</v>
          </cell>
          <cell r="AT92" t="str">
            <v>버텍스(전면15%, 측후면 5%)</v>
          </cell>
          <cell r="AU92" t="str">
            <v>0</v>
          </cell>
          <cell r="AV92" t="str">
            <v>0</v>
          </cell>
          <cell r="AW92" t="str">
            <v>렌터카 공제</v>
          </cell>
          <cell r="AX92" t="str">
            <v>0</v>
          </cell>
          <cell r="AY92" t="str">
            <v>0</v>
          </cell>
          <cell r="AZ92" t="str">
            <v>0</v>
          </cell>
          <cell r="BA92" t="str">
            <v>0</v>
          </cell>
          <cell r="BB92" t="str">
            <v>0</v>
          </cell>
          <cell r="BC92" t="str">
            <v>0</v>
          </cell>
          <cell r="BD92" t="str">
            <v>만26세</v>
          </cell>
          <cell r="BE92" t="str">
            <v>무한대</v>
          </cell>
          <cell r="BF92" t="str">
            <v>2억</v>
          </cell>
          <cell r="BG92" t="str">
            <v>1억/1500만</v>
          </cell>
          <cell r="BH92" t="str">
            <v>2억원/1인당</v>
          </cell>
          <cell r="BI92" t="str">
            <v>30만원</v>
          </cell>
          <cell r="BJ92" t="str">
            <v>임직원</v>
          </cell>
          <cell r="BK92" t="str">
            <v>5회/년</v>
          </cell>
          <cell r="BL92" t="str">
            <v>가입</v>
          </cell>
          <cell r="BM92" t="str">
            <v>가입</v>
          </cell>
          <cell r="BN92" t="str">
            <v>가입</v>
          </cell>
          <cell r="BO92" t="str">
            <v>렌트기간 4본</v>
          </cell>
          <cell r="BP92" t="str">
            <v>0</v>
          </cell>
          <cell r="BQ92" t="str">
            <v>0</v>
          </cell>
          <cell r="BR92">
            <v>83280</v>
          </cell>
          <cell r="BS92" t="str">
            <v>현금</v>
          </cell>
          <cell r="BT92" t="str">
            <v>0</v>
          </cell>
          <cell r="BU92" t="str">
            <v>0</v>
          </cell>
          <cell r="BV92" t="str">
            <v>0</v>
          </cell>
          <cell r="BW92" t="str">
            <v>0</v>
          </cell>
          <cell r="BX92" t="str">
            <v>0</v>
          </cell>
          <cell r="BY92" t="str">
            <v>0</v>
          </cell>
          <cell r="BZ92" t="str">
            <v>0</v>
          </cell>
          <cell r="CA92" t="str">
            <v>0</v>
          </cell>
          <cell r="CB92" t="str">
            <v>말일</v>
          </cell>
          <cell r="CC92" t="str">
            <v>말일</v>
          </cell>
          <cell r="CD92">
            <v>643000</v>
          </cell>
          <cell r="CE92">
            <v>48</v>
          </cell>
          <cell r="CF92">
            <v>30864000</v>
          </cell>
          <cell r="CG92">
            <v>0</v>
          </cell>
          <cell r="CH92">
            <v>7884000</v>
          </cell>
          <cell r="CI92">
            <v>17739000</v>
          </cell>
          <cell r="CJ92">
            <v>0.03</v>
          </cell>
          <cell r="CK92">
            <v>0.06</v>
          </cell>
          <cell r="CL92" t="str">
            <v>kyungeun@thedaylabs.com</v>
          </cell>
          <cell r="CM92" t="str">
            <v>dr.jinlee@kakao.com</v>
          </cell>
          <cell r="CN92" t="str">
            <v>0</v>
          </cell>
          <cell r="CO92">
            <v>0.03</v>
          </cell>
          <cell r="CP92" t="str">
            <v>0</v>
          </cell>
          <cell r="CQ92" t="str">
            <v>유리막/PPF</v>
          </cell>
          <cell r="CR92">
            <v>132000</v>
          </cell>
          <cell r="CS92" t="str">
            <v>0</v>
          </cell>
          <cell r="CT92" t="str">
            <v>0</v>
          </cell>
          <cell r="CU92" t="str">
            <v>0</v>
          </cell>
          <cell r="CV92" t="str">
            <v>0</v>
          </cell>
          <cell r="CW92" t="str">
            <v>0</v>
          </cell>
          <cell r="CX92" t="str">
            <v>0</v>
          </cell>
          <cell r="CY92" t="str">
            <v>0</v>
          </cell>
          <cell r="CZ92" t="str">
            <v>0</v>
          </cell>
          <cell r="DA92" t="str">
            <v>0</v>
          </cell>
          <cell r="DB92" t="str">
            <v>기아</v>
          </cell>
          <cell r="DC92" t="str">
            <v>정수원 실장</v>
          </cell>
          <cell r="DD92" t="str">
            <v>렌트베네핏</v>
          </cell>
          <cell r="DE92" t="str">
            <v>더데이랩스 주식회사</v>
          </cell>
          <cell r="DF92" t="str">
            <v>KB 국민은행</v>
          </cell>
          <cell r="DG92" t="str">
            <v>081101-04-235255</v>
          </cell>
          <cell r="DH92" t="str">
            <v>435-86-03022</v>
          </cell>
          <cell r="DI92" t="str">
            <v>서울시 강남구 논현로 97길 73 지하 1층 101, 102호(역삼동, 좋은사람 좋은집)</v>
          </cell>
          <cell r="DJ92">
            <v>0.35</v>
          </cell>
          <cell r="DK92">
            <v>0.25</v>
          </cell>
          <cell r="DL92" t="str">
            <v>124411-0377962</v>
          </cell>
          <cell r="DM92" t="str">
            <v>0</v>
          </cell>
          <cell r="DN92" t="str">
            <v>0</v>
          </cell>
          <cell r="DO92" t="str">
            <v>0</v>
          </cell>
          <cell r="DP92" t="str">
            <v>0</v>
          </cell>
        </row>
        <row r="93">
          <cell r="C93" t="str">
            <v>Sonata-001</v>
          </cell>
          <cell r="D93" t="str">
            <v>유현승 교수님</v>
          </cell>
          <cell r="E93" t="str">
            <v>유현승 교수님</v>
          </cell>
          <cell r="F93" t="str">
            <v>010-4129-1918</v>
          </cell>
          <cell r="G93" t="str">
            <v>쏘나타</v>
          </cell>
          <cell r="H93" t="str">
            <v>DN8 25MY Lpi 2.0 프리미엄</v>
          </cell>
          <cell r="I93">
            <v>30300000</v>
          </cell>
          <cell r="J93">
            <v>2025</v>
          </cell>
          <cell r="K93" t="str">
            <v>세레니티 화이트 펄/블랙원톤</v>
          </cell>
          <cell r="L93" t="str">
            <v>Lpi</v>
          </cell>
          <cell r="M93" t="str">
            <v>KMHL341DBSA527770</v>
          </cell>
          <cell r="N93" t="str">
            <v>142호9106</v>
          </cell>
          <cell r="O93" t="str">
            <v>하이패스+ECM룸미러(25만), 현대스마트센스(77만(</v>
          </cell>
          <cell r="P93">
            <v>1999</v>
          </cell>
          <cell r="Q93">
            <v>45856</v>
          </cell>
          <cell r="R93">
            <v>45859</v>
          </cell>
          <cell r="S93">
            <v>45859</v>
          </cell>
          <cell r="T93" t="str">
            <v>4</v>
          </cell>
          <cell r="U93">
            <v>47319</v>
          </cell>
          <cell r="V93">
            <v>35</v>
          </cell>
          <cell r="W93">
            <v>20000</v>
          </cell>
          <cell r="X93" t="str">
            <v>유현승 교수님</v>
          </cell>
          <cell r="Y93" t="str">
            <v>010-4129-1918</v>
          </cell>
          <cell r="Z93" t="str">
            <v>0</v>
          </cell>
          <cell r="AA93" t="str">
            <v>충청북도 증평군 증평읍 송산로 105 송산 대광로제비앙 101동 504호</v>
          </cell>
          <cell r="AB93">
            <v>45863</v>
          </cell>
          <cell r="AC93">
            <v>1460</v>
          </cell>
          <cell r="AD93">
            <v>1074</v>
          </cell>
          <cell r="AE93" t="str">
            <v>25070117</v>
          </cell>
          <cell r="AF93">
            <v>30300000</v>
          </cell>
          <cell r="AG93" t="str">
            <v>0</v>
          </cell>
          <cell r="AH93" t="str">
            <v>0</v>
          </cell>
          <cell r="AI93" t="str">
            <v>0</v>
          </cell>
          <cell r="AJ93" t="str">
            <v>0</v>
          </cell>
          <cell r="AK93">
            <v>1052130</v>
          </cell>
          <cell r="AL93">
            <v>40157</v>
          </cell>
          <cell r="AM93">
            <v>2000</v>
          </cell>
          <cell r="AN93">
            <v>45000</v>
          </cell>
          <cell r="AO93">
            <v>50000</v>
          </cell>
          <cell r="AP93" t="str">
            <v>0</v>
          </cell>
          <cell r="AQ93" t="str">
            <v>0</v>
          </cell>
          <cell r="AR93" t="str">
            <v>아이나비 ZQ7000</v>
          </cell>
          <cell r="AS93">
            <v>198000</v>
          </cell>
          <cell r="AT93" t="str">
            <v>버텍스(전면 35%, 측후면 15%)</v>
          </cell>
          <cell r="AU93" t="str">
            <v>0</v>
          </cell>
          <cell r="AV93" t="str">
            <v>0</v>
          </cell>
          <cell r="AW93" t="str">
            <v>렌터카 공제</v>
          </cell>
          <cell r="AX93" t="str">
            <v>0</v>
          </cell>
          <cell r="AY93" t="str">
            <v>0</v>
          </cell>
          <cell r="AZ93" t="str">
            <v>0</v>
          </cell>
          <cell r="BA93" t="str">
            <v>0</v>
          </cell>
          <cell r="BB93" t="str">
            <v>0</v>
          </cell>
          <cell r="BC93" t="str">
            <v>0</v>
          </cell>
          <cell r="BD93" t="str">
            <v>만26세</v>
          </cell>
          <cell r="BE93" t="str">
            <v>무한대</v>
          </cell>
          <cell r="BF93" t="str">
            <v>2억</v>
          </cell>
          <cell r="BG93" t="str">
            <v>1억/1500만</v>
          </cell>
          <cell r="BH93" t="str">
            <v>2억원/1인당</v>
          </cell>
          <cell r="BI93" t="str">
            <v>30만원</v>
          </cell>
          <cell r="BJ93" t="str">
            <v>임직원</v>
          </cell>
          <cell r="BK93" t="str">
            <v>5회/년</v>
          </cell>
          <cell r="BL93" t="str">
            <v>가입</v>
          </cell>
          <cell r="BM93" t="str">
            <v>가입</v>
          </cell>
          <cell r="BN93" t="str">
            <v>가입</v>
          </cell>
          <cell r="BO93" t="str">
            <v>렌트기간 4본</v>
          </cell>
          <cell r="BP93" t="str">
            <v>금호 앞,뒤 215/55/17</v>
          </cell>
          <cell r="BQ93" t="str">
            <v>0</v>
          </cell>
          <cell r="BR93">
            <v>37981</v>
          </cell>
          <cell r="BS93" t="str">
            <v>현금</v>
          </cell>
          <cell r="BT93" t="str">
            <v>0</v>
          </cell>
          <cell r="BU93" t="str">
            <v>0</v>
          </cell>
          <cell r="BV93" t="str">
            <v>0</v>
          </cell>
          <cell r="BW93" t="str">
            <v>0</v>
          </cell>
          <cell r="BX93" t="str">
            <v>0</v>
          </cell>
          <cell r="BY93" t="str">
            <v>0</v>
          </cell>
          <cell r="BZ93" t="str">
            <v>0</v>
          </cell>
          <cell r="CA93" t="str">
            <v>0</v>
          </cell>
          <cell r="CB93" t="str">
            <v>25</v>
          </cell>
          <cell r="CC93" t="str">
            <v>25</v>
          </cell>
          <cell r="CD93">
            <v>554000</v>
          </cell>
          <cell r="CE93">
            <v>48</v>
          </cell>
          <cell r="CF93">
            <v>26592000</v>
          </cell>
          <cell r="CG93">
            <v>9024000</v>
          </cell>
          <cell r="CH93">
            <v>0</v>
          </cell>
          <cell r="CI93">
            <v>15641600</v>
          </cell>
          <cell r="CJ93">
            <v>0.03</v>
          </cell>
          <cell r="CK93">
            <v>0.06</v>
          </cell>
          <cell r="CL93" t="str">
            <v>rhyuhs@naver.com</v>
          </cell>
          <cell r="CM93" t="str">
            <v>0</v>
          </cell>
          <cell r="CN93" t="str">
            <v>0</v>
          </cell>
          <cell r="CO93">
            <v>0.03</v>
          </cell>
          <cell r="CP93" t="str">
            <v>0</v>
          </cell>
          <cell r="CQ93" t="str">
            <v>PPF</v>
          </cell>
          <cell r="CR93">
            <v>40000</v>
          </cell>
          <cell r="CS93" t="str">
            <v>0</v>
          </cell>
          <cell r="CT93" t="str">
            <v>0</v>
          </cell>
          <cell r="CU93" t="str">
            <v>0</v>
          </cell>
          <cell r="CV93" t="str">
            <v>0</v>
          </cell>
          <cell r="CW93" t="str">
            <v>0</v>
          </cell>
          <cell r="CX93" t="str">
            <v>0</v>
          </cell>
          <cell r="CY93" t="str">
            <v>0</v>
          </cell>
          <cell r="CZ93" t="str">
            <v>0</v>
          </cell>
          <cell r="DA93" t="str">
            <v>0</v>
          </cell>
          <cell r="DB93" t="str">
            <v>현대</v>
          </cell>
          <cell r="DC93" t="str">
            <v>박현식 부장</v>
          </cell>
          <cell r="DD93" t="str">
            <v>렌트베네핏</v>
          </cell>
          <cell r="DE93" t="str">
            <v>유현승</v>
          </cell>
          <cell r="DF93" t="str">
            <v>하나은행</v>
          </cell>
          <cell r="DG93" t="str">
            <v>762-910024-52307</v>
          </cell>
          <cell r="DH93" t="str">
            <v>690315-*******</v>
          </cell>
          <cell r="DI93" t="str">
            <v>충청북도 증평군 증평읍 송산로 105 송산 대광로제비앙 101동 504호</v>
          </cell>
          <cell r="DJ93">
            <v>0.35</v>
          </cell>
          <cell r="DK93">
            <v>0.25</v>
          </cell>
          <cell r="DL93" t="str">
            <v>0</v>
          </cell>
          <cell r="DM93" t="str">
            <v>0</v>
          </cell>
          <cell r="DN93" t="str">
            <v>0</v>
          </cell>
          <cell r="DO93" t="str">
            <v>0</v>
          </cell>
          <cell r="DP93" t="str">
            <v>0</v>
          </cell>
        </row>
        <row r="94">
          <cell r="C94" t="str">
            <v>Benz-024</v>
          </cell>
          <cell r="D94" t="str">
            <v>명품 을지 순대국</v>
          </cell>
          <cell r="E94" t="str">
            <v>이영석 대표님</v>
          </cell>
          <cell r="F94" t="str">
            <v>010-5000-8721</v>
          </cell>
          <cell r="G94" t="str">
            <v>CLE 200</v>
          </cell>
          <cell r="H94" t="str">
            <v>Carbriolet</v>
          </cell>
          <cell r="I94">
            <v>80500000</v>
          </cell>
          <cell r="J94">
            <v>2025</v>
          </cell>
          <cell r="K94" t="str">
            <v>폴라 화이트/브라운</v>
          </cell>
          <cell r="L94" t="str">
            <v>가솔린</v>
          </cell>
          <cell r="M94" t="str">
            <v>W1KMK5AB8SF079562</v>
          </cell>
          <cell r="N94" t="str">
            <v>142호9102</v>
          </cell>
          <cell r="O94" t="str">
            <v>-</v>
          </cell>
          <cell r="P94">
            <v>1999</v>
          </cell>
          <cell r="Q94">
            <v>45852</v>
          </cell>
          <cell r="R94">
            <v>45845</v>
          </cell>
          <cell r="S94">
            <v>45862</v>
          </cell>
          <cell r="T94" t="str">
            <v>5</v>
          </cell>
          <cell r="U94">
            <v>47687</v>
          </cell>
          <cell r="V94">
            <v>47</v>
          </cell>
          <cell r="W94">
            <v>20000</v>
          </cell>
          <cell r="X94" t="str">
            <v>이영석 대표님</v>
          </cell>
          <cell r="Y94" t="str">
            <v>010-5000-8721</v>
          </cell>
          <cell r="Z94" t="str">
            <v>0</v>
          </cell>
          <cell r="AA94" t="str">
            <v>서울특별시 중구 충무로5길 3, 1층 10호, 11호(초동)</v>
          </cell>
          <cell r="AB94">
            <v>45884</v>
          </cell>
          <cell r="AC94">
            <v>1825</v>
          </cell>
          <cell r="AD94">
            <v>1442</v>
          </cell>
          <cell r="AE94" t="str">
            <v>25070116</v>
          </cell>
          <cell r="AF94">
            <v>80500000</v>
          </cell>
          <cell r="AG94" t="str">
            <v>0</v>
          </cell>
          <cell r="AH94" t="str">
            <v>0</v>
          </cell>
          <cell r="AI94" t="str">
            <v>0</v>
          </cell>
          <cell r="AJ94" t="str">
            <v>0</v>
          </cell>
          <cell r="AK94" t="str">
            <v>0</v>
          </cell>
          <cell r="AL94" t="str">
            <v>0</v>
          </cell>
          <cell r="AM94" t="str">
            <v>0</v>
          </cell>
          <cell r="AN94" t="str">
            <v>0</v>
          </cell>
          <cell r="AO94" t="str">
            <v>0</v>
          </cell>
          <cell r="AP94" t="str">
            <v>0</v>
          </cell>
          <cell r="AQ94" t="str">
            <v>0</v>
          </cell>
          <cell r="AR94" t="str">
            <v>0</v>
          </cell>
          <cell r="AS94" t="str">
            <v>0</v>
          </cell>
          <cell r="AT94" t="str">
            <v>후퍼gk 측후15 전면 35</v>
          </cell>
          <cell r="AU94" t="str">
            <v>0</v>
          </cell>
          <cell r="AV94" t="str">
            <v>0</v>
          </cell>
          <cell r="AW94" t="str">
            <v>렌터카 공제</v>
          </cell>
          <cell r="AX94" t="str">
            <v>0</v>
          </cell>
          <cell r="AY94" t="str">
            <v>0</v>
          </cell>
          <cell r="AZ94" t="str">
            <v>0</v>
          </cell>
          <cell r="BA94" t="str">
            <v>0</v>
          </cell>
          <cell r="BB94" t="str">
            <v>0</v>
          </cell>
          <cell r="BC94" t="str">
            <v>0</v>
          </cell>
          <cell r="BD94" t="str">
            <v>만26세</v>
          </cell>
          <cell r="BE94" t="str">
            <v>무한대</v>
          </cell>
          <cell r="BF94" t="str">
            <v>5억</v>
          </cell>
          <cell r="BG94" t="str">
            <v>2억/3천만</v>
          </cell>
          <cell r="BH94" t="str">
            <v>2억원/1인당</v>
          </cell>
          <cell r="BI94" t="str">
            <v>50만원</v>
          </cell>
          <cell r="BJ94" t="str">
            <v>가족한정/임직원</v>
          </cell>
          <cell r="BK94" t="str">
            <v>5회/년</v>
          </cell>
          <cell r="BL94" t="str">
            <v>가입</v>
          </cell>
          <cell r="BM94" t="str">
            <v>미가입</v>
          </cell>
          <cell r="BN94" t="str">
            <v>미가입</v>
          </cell>
          <cell r="BO94" t="str">
            <v>브랜드보증 외 사용자 부담</v>
          </cell>
          <cell r="BP94" t="str">
            <v>0</v>
          </cell>
          <cell r="BQ94" t="str">
            <v>0</v>
          </cell>
          <cell r="BR94">
            <v>37981</v>
          </cell>
          <cell r="BS94" t="str">
            <v>현금</v>
          </cell>
          <cell r="BT94" t="str">
            <v>0</v>
          </cell>
          <cell r="BU94" t="str">
            <v>0</v>
          </cell>
          <cell r="BV94" t="str">
            <v>0</v>
          </cell>
          <cell r="BW94" t="str">
            <v>0</v>
          </cell>
          <cell r="BX94" t="str">
            <v>0</v>
          </cell>
          <cell r="BY94" t="str">
            <v>0</v>
          </cell>
          <cell r="BZ94" t="str">
            <v>0</v>
          </cell>
          <cell r="CA94" t="str">
            <v>0</v>
          </cell>
          <cell r="CB94" t="str">
            <v>15</v>
          </cell>
          <cell r="CC94" t="str">
            <v>15</v>
          </cell>
          <cell r="CD94">
            <v>1416000</v>
          </cell>
          <cell r="CE94">
            <v>60</v>
          </cell>
          <cell r="CF94">
            <v>84960000</v>
          </cell>
          <cell r="CG94">
            <v>8050000</v>
          </cell>
          <cell r="CH94">
            <v>0</v>
          </cell>
          <cell r="CI94">
            <v>24150000</v>
          </cell>
          <cell r="CJ94">
            <v>0.02</v>
          </cell>
          <cell r="CK94">
            <v>0.06</v>
          </cell>
          <cell r="CL94" t="str">
            <v>06790@naver.com</v>
          </cell>
          <cell r="CM94" t="str">
            <v>0</v>
          </cell>
          <cell r="CN94" t="str">
            <v>0</v>
          </cell>
          <cell r="CO94">
            <v>0.03</v>
          </cell>
          <cell r="CP94" t="str">
            <v>0</v>
          </cell>
          <cell r="CQ94" t="str">
            <v>0</v>
          </cell>
          <cell r="CR94" t="str">
            <v>0</v>
          </cell>
          <cell r="CS94" t="str">
            <v>0</v>
          </cell>
          <cell r="CT94" t="str">
            <v>0</v>
          </cell>
          <cell r="CU94" t="str">
            <v>0</v>
          </cell>
          <cell r="CV94" t="str">
            <v>0</v>
          </cell>
          <cell r="CW94" t="str">
            <v>0</v>
          </cell>
          <cell r="CX94" t="str">
            <v>0</v>
          </cell>
          <cell r="CY94" t="str">
            <v>0</v>
          </cell>
          <cell r="CZ94" t="str">
            <v>0</v>
          </cell>
          <cell r="DA94" t="str">
            <v>0</v>
          </cell>
          <cell r="DB94" t="str">
            <v>모터원</v>
          </cell>
          <cell r="DC94" t="str">
            <v>차민재 팀장</v>
          </cell>
          <cell r="DD94" t="str">
            <v>렌트베네핏</v>
          </cell>
          <cell r="DE94" t="str">
            <v>이영석</v>
          </cell>
          <cell r="DF94" t="str">
            <v>하나은행</v>
          </cell>
          <cell r="DG94" t="str">
            <v>170-91002-685704</v>
          </cell>
          <cell r="DH94" t="str">
            <v>293-42-01130</v>
          </cell>
          <cell r="DI94" t="str">
            <v>서울특별시 중구 충무로5길 3, 1층, 10호, 11호(초동)</v>
          </cell>
          <cell r="DJ94">
            <v>0.35</v>
          </cell>
          <cell r="DK94">
            <v>0.25</v>
          </cell>
          <cell r="DL94" t="str">
            <v>-</v>
          </cell>
          <cell r="DM94" t="str">
            <v>0</v>
          </cell>
          <cell r="DN94" t="str">
            <v>0</v>
          </cell>
          <cell r="DO94" t="str">
            <v>0</v>
          </cell>
          <cell r="DP94" t="str">
            <v>0</v>
          </cell>
        </row>
        <row r="95">
          <cell r="C95" t="str">
            <v>G90-007</v>
          </cell>
          <cell r="D95" t="str">
            <v>(주)에이이엠테크</v>
          </cell>
          <cell r="E95" t="str">
            <v>이희웅 대표님</v>
          </cell>
          <cell r="F95" t="str">
            <v>010-4328-8158</v>
          </cell>
          <cell r="G95" t="str">
            <v>G90</v>
          </cell>
          <cell r="H95" t="str">
            <v>3.5T AWD 20in 다이아몬드 SDS</v>
          </cell>
          <cell r="I95">
            <v>126100000</v>
          </cell>
          <cell r="J95">
            <v>2025</v>
          </cell>
          <cell r="K95" t="str">
            <v>비크블랙 / 옵시디언블랙/보르도 브라운 투톤</v>
          </cell>
          <cell r="L95" t="str">
            <v>가솔린</v>
          </cell>
          <cell r="M95" t="str">
            <v>KMTFA41DDTU056883</v>
          </cell>
          <cell r="N95" t="str">
            <v>142호9145</v>
          </cell>
          <cell r="O95" t="str">
            <v>뱅앤올룹슨 사운드 패키지(390만), 빌트인 캠 패키지(80만), 파노라마 선루프(200만), 프리미엄 컬랙션(1160만)플로팅 휠캡+메탈 페탈(20만)</v>
          </cell>
          <cell r="P95">
            <v>3470</v>
          </cell>
          <cell r="Q95">
            <v>45894</v>
          </cell>
          <cell r="R95">
            <v>45888</v>
          </cell>
          <cell r="S95">
            <v>45895</v>
          </cell>
          <cell r="T95" t="str">
            <v>4</v>
          </cell>
          <cell r="U95">
            <v>47355</v>
          </cell>
          <cell r="V95">
            <v>36</v>
          </cell>
          <cell r="W95">
            <v>20000</v>
          </cell>
          <cell r="X95" t="str">
            <v>김진희 과장님</v>
          </cell>
          <cell r="Y95" t="str">
            <v>010-7120-7470</v>
          </cell>
          <cell r="Z95" t="str">
            <v>0</v>
          </cell>
          <cell r="AA95" t="str">
            <v xml:space="preserve">수원시 권선구 산업로 156번길 88-55 </v>
          </cell>
          <cell r="AB95">
            <v>45930</v>
          </cell>
          <cell r="AC95">
            <v>1460</v>
          </cell>
          <cell r="AD95">
            <v>1110</v>
          </cell>
          <cell r="AE95" t="str">
            <v>25080120</v>
          </cell>
          <cell r="AF95">
            <v>126100000</v>
          </cell>
          <cell r="AG95">
            <v>6381021</v>
          </cell>
          <cell r="AH95">
            <v>120083979</v>
          </cell>
          <cell r="AI95">
            <v>365000</v>
          </cell>
          <cell r="AJ95">
            <v>1900</v>
          </cell>
          <cell r="AK95">
            <v>4366690</v>
          </cell>
          <cell r="AL95">
            <v>155353</v>
          </cell>
          <cell r="AM95">
            <v>2000</v>
          </cell>
          <cell r="AN95">
            <v>45000</v>
          </cell>
          <cell r="AO95">
            <v>50000</v>
          </cell>
          <cell r="AP95" t="str">
            <v>0</v>
          </cell>
          <cell r="AQ95" t="str">
            <v>0</v>
          </cell>
          <cell r="AR95" t="str">
            <v>0</v>
          </cell>
          <cell r="AS95">
            <v>198000</v>
          </cell>
          <cell r="AT95" t="str">
            <v>버택스300 전면 35% 측후면 15%</v>
          </cell>
          <cell r="AU95" t="str">
            <v>0</v>
          </cell>
          <cell r="AV95" t="str">
            <v>0</v>
          </cell>
          <cell r="AW95" t="str">
            <v>렌터카 공제</v>
          </cell>
          <cell r="AX95" t="str">
            <v>0</v>
          </cell>
          <cell r="AY95" t="str">
            <v>0</v>
          </cell>
          <cell r="AZ95" t="str">
            <v>0</v>
          </cell>
          <cell r="BA95" t="str">
            <v>0</v>
          </cell>
          <cell r="BB95" t="str">
            <v>0</v>
          </cell>
          <cell r="BC95" t="str">
            <v>0</v>
          </cell>
          <cell r="BD95" t="str">
            <v>만26세</v>
          </cell>
          <cell r="BE95" t="str">
            <v>무한대</v>
          </cell>
          <cell r="BF95" t="str">
            <v>5억</v>
          </cell>
          <cell r="BG95" t="str">
            <v>2억/3천만</v>
          </cell>
          <cell r="BH95" t="str">
            <v>2억원/1인당</v>
          </cell>
          <cell r="BI95" t="str">
            <v>50만원</v>
          </cell>
          <cell r="BJ95" t="str">
            <v>임직원</v>
          </cell>
          <cell r="BK95" t="str">
            <v>5회/년</v>
          </cell>
          <cell r="BL95" t="str">
            <v>가입</v>
          </cell>
          <cell r="BM95" t="str">
            <v>가입</v>
          </cell>
          <cell r="BN95" t="str">
            <v>가입</v>
          </cell>
          <cell r="BO95" t="str">
            <v>렌트기간 4본</v>
          </cell>
          <cell r="BP95" t="str">
            <v>0</v>
          </cell>
          <cell r="BQ95" t="str">
            <v>0</v>
          </cell>
          <cell r="BR95">
            <v>83280</v>
          </cell>
          <cell r="BS95" t="str">
            <v>0</v>
          </cell>
          <cell r="BT95" t="str">
            <v>0</v>
          </cell>
          <cell r="BU95" t="str">
            <v>0</v>
          </cell>
          <cell r="BV95" t="str">
            <v>0</v>
          </cell>
          <cell r="BW95" t="str">
            <v>0</v>
          </cell>
          <cell r="BX95" t="str">
            <v>0</v>
          </cell>
          <cell r="BY95" t="str">
            <v>0</v>
          </cell>
          <cell r="BZ95" t="str">
            <v>0</v>
          </cell>
          <cell r="CA95" t="str">
            <v>0</v>
          </cell>
          <cell r="CB95" t="str">
            <v>말일</v>
          </cell>
          <cell r="CC95" t="str">
            <v>말일</v>
          </cell>
          <cell r="CD95">
            <v>2160000</v>
          </cell>
          <cell r="CE95">
            <v>48</v>
          </cell>
          <cell r="CF95">
            <v>103680000</v>
          </cell>
          <cell r="CG95">
            <v>37830000</v>
          </cell>
          <cell r="CH95">
            <v>0</v>
          </cell>
          <cell r="CI95">
            <v>54223000</v>
          </cell>
          <cell r="CJ95">
            <v>0.03</v>
          </cell>
          <cell r="CK95">
            <v>0.06</v>
          </cell>
          <cell r="CL95" t="str">
            <v>gwjung@aemtech.kr</v>
          </cell>
          <cell r="CM95" t="str">
            <v>gwjung@aemtech.kr</v>
          </cell>
          <cell r="CN95" t="str">
            <v>0</v>
          </cell>
          <cell r="CO95">
            <v>0.03</v>
          </cell>
          <cell r="CP95" t="str">
            <v>0</v>
          </cell>
          <cell r="CQ95" t="str">
            <v>유리막/PPF</v>
          </cell>
          <cell r="CR95">
            <v>132000</v>
          </cell>
          <cell r="CS95" t="str">
            <v>0</v>
          </cell>
          <cell r="CT95" t="str">
            <v>0</v>
          </cell>
          <cell r="CU95" t="str">
            <v>0</v>
          </cell>
          <cell r="CV95" t="str">
            <v>0</v>
          </cell>
          <cell r="CW95" t="str">
            <v>0</v>
          </cell>
          <cell r="CX95" t="str">
            <v>0</v>
          </cell>
          <cell r="CY95" t="str">
            <v>0</v>
          </cell>
          <cell r="CZ95" t="str">
            <v>0</v>
          </cell>
          <cell r="DA95" t="str">
            <v>0</v>
          </cell>
          <cell r="DB95" t="str">
            <v>현대</v>
          </cell>
          <cell r="DC95" t="str">
            <v>박현식 부장</v>
          </cell>
          <cell r="DD95" t="str">
            <v>렌트베네핏</v>
          </cell>
          <cell r="DE95" t="str">
            <v>㈜에이이엠테크</v>
          </cell>
          <cell r="DF95" t="str">
            <v>신한은행</v>
          </cell>
          <cell r="DG95" t="str">
            <v>100-018-174908</v>
          </cell>
          <cell r="DH95" t="str">
            <v>131-81-72578</v>
          </cell>
          <cell r="DI95" t="str">
            <v>경기도 수원시 권선구 산업로156번길 88-55(고색동)</v>
          </cell>
          <cell r="DJ95">
            <v>0.35</v>
          </cell>
          <cell r="DK95">
            <v>0.25</v>
          </cell>
          <cell r="DL95" t="str">
            <v>124611-0289303</v>
          </cell>
          <cell r="DM95" t="str">
            <v>0</v>
          </cell>
          <cell r="DN95" t="str">
            <v>0</v>
          </cell>
          <cell r="DO95" t="str">
            <v>0</v>
          </cell>
          <cell r="DP95" t="str">
            <v>0</v>
          </cell>
        </row>
        <row r="96">
          <cell r="C96" t="str">
            <v>G90-008</v>
          </cell>
          <cell r="D96" t="str">
            <v>(주)에이이엠테크</v>
          </cell>
          <cell r="E96" t="str">
            <v>이희웅 대표님</v>
          </cell>
          <cell r="F96" t="str">
            <v>010-4328-8158</v>
          </cell>
          <cell r="G96" t="str">
            <v>G90</v>
          </cell>
          <cell r="H96" t="str">
            <v>3.5T AWD 19in 다이아몬드</v>
          </cell>
          <cell r="I96">
            <v>104400000</v>
          </cell>
          <cell r="J96">
            <v>2025</v>
          </cell>
          <cell r="K96" t="str">
            <v>비크블랙 / 옵시디언블랙/보르도 브라운 투톤</v>
          </cell>
          <cell r="L96" t="str">
            <v>가솔린</v>
          </cell>
          <cell r="M96" t="str">
            <v>KMTFA41DDTU057232</v>
          </cell>
          <cell r="N96" t="str">
            <v>142호9405</v>
          </cell>
          <cell r="O96" t="str">
            <v>빌트인캠(80만), 앞좌석 컴포트 캐피지(250만)</v>
          </cell>
          <cell r="P96">
            <v>3470</v>
          </cell>
          <cell r="Q96">
            <v>45903</v>
          </cell>
          <cell r="R96">
            <v>45888</v>
          </cell>
          <cell r="S96">
            <v>45904</v>
          </cell>
          <cell r="T96" t="str">
            <v>4</v>
          </cell>
          <cell r="U96">
            <v>47364</v>
          </cell>
          <cell r="V96">
            <v>36</v>
          </cell>
          <cell r="W96">
            <v>20000</v>
          </cell>
          <cell r="X96" t="str">
            <v>김진희 과장님</v>
          </cell>
          <cell r="Y96" t="str">
            <v>010-7120-7470</v>
          </cell>
          <cell r="Z96" t="str">
            <v>0</v>
          </cell>
          <cell r="AA96" t="str">
            <v xml:space="preserve">수원시 권선구 산업로 156번길 88-55 </v>
          </cell>
          <cell r="AB96">
            <v>45930</v>
          </cell>
          <cell r="AC96">
            <v>1460</v>
          </cell>
          <cell r="AD96">
            <v>1119</v>
          </cell>
          <cell r="AE96" t="str">
            <v>25080121</v>
          </cell>
          <cell r="AF96">
            <v>104400000</v>
          </cell>
          <cell r="AG96">
            <v>5282939</v>
          </cell>
          <cell r="AH96">
            <v>99504061</v>
          </cell>
          <cell r="AI96">
            <v>387000</v>
          </cell>
          <cell r="AJ96">
            <v>1900</v>
          </cell>
          <cell r="AK96">
            <v>3617380</v>
          </cell>
          <cell r="AL96">
            <v>127848</v>
          </cell>
          <cell r="AM96" t="str">
            <v>0</v>
          </cell>
          <cell r="AN96" t="str">
            <v>0</v>
          </cell>
          <cell r="AO96">
            <v>80000</v>
          </cell>
          <cell r="AP96" t="str">
            <v>0</v>
          </cell>
          <cell r="AQ96" t="str">
            <v>0</v>
          </cell>
          <cell r="AR96" t="str">
            <v>0</v>
          </cell>
          <cell r="AS96">
            <v>198000</v>
          </cell>
          <cell r="AT96" t="str">
            <v>버택스300 전면 35% 측후면 15%</v>
          </cell>
          <cell r="AU96" t="str">
            <v>0</v>
          </cell>
          <cell r="AV96" t="str">
            <v>0</v>
          </cell>
          <cell r="AW96" t="str">
            <v>렌터카 공제</v>
          </cell>
          <cell r="AX96" t="str">
            <v>0</v>
          </cell>
          <cell r="AY96" t="str">
            <v>0</v>
          </cell>
          <cell r="AZ96" t="str">
            <v>0</v>
          </cell>
          <cell r="BA96" t="str">
            <v>0</v>
          </cell>
          <cell r="BB96" t="str">
            <v>0</v>
          </cell>
          <cell r="BC96" t="str">
            <v>0</v>
          </cell>
          <cell r="BD96" t="str">
            <v>만26세</v>
          </cell>
          <cell r="BE96" t="str">
            <v>무한대</v>
          </cell>
          <cell r="BF96" t="str">
            <v>5억</v>
          </cell>
          <cell r="BG96" t="str">
            <v>2억/3천만</v>
          </cell>
          <cell r="BH96" t="str">
            <v>2억원/1인당</v>
          </cell>
          <cell r="BI96" t="str">
            <v>50만원</v>
          </cell>
          <cell r="BJ96" t="str">
            <v>임직원</v>
          </cell>
          <cell r="BK96" t="str">
            <v>5회/년</v>
          </cell>
          <cell r="BL96" t="str">
            <v>가입</v>
          </cell>
          <cell r="BM96" t="str">
            <v>가입</v>
          </cell>
          <cell r="BN96" t="str">
            <v>가입</v>
          </cell>
          <cell r="BO96" t="str">
            <v>렌트기간 4본</v>
          </cell>
          <cell r="BP96" t="str">
            <v>0</v>
          </cell>
          <cell r="BQ96" t="str">
            <v>0</v>
          </cell>
          <cell r="BR96">
            <v>83280</v>
          </cell>
          <cell r="BS96" t="str">
            <v>0</v>
          </cell>
          <cell r="BT96" t="str">
            <v>0</v>
          </cell>
          <cell r="BU96" t="str">
            <v>0</v>
          </cell>
          <cell r="BV96" t="str">
            <v>0</v>
          </cell>
          <cell r="BW96" t="str">
            <v>0</v>
          </cell>
          <cell r="BX96" t="str">
            <v>0</v>
          </cell>
          <cell r="BY96" t="str">
            <v>0</v>
          </cell>
          <cell r="BZ96" t="str">
            <v>0</v>
          </cell>
          <cell r="CA96" t="str">
            <v>0</v>
          </cell>
          <cell r="CB96" t="str">
            <v>말일</v>
          </cell>
          <cell r="CC96" t="str">
            <v>말일</v>
          </cell>
          <cell r="CD96">
            <v>1818000</v>
          </cell>
          <cell r="CE96">
            <v>48</v>
          </cell>
          <cell r="CF96">
            <v>87264000</v>
          </cell>
          <cell r="CG96">
            <v>31320000</v>
          </cell>
          <cell r="CH96">
            <v>0</v>
          </cell>
          <cell r="CI96">
            <v>46657000</v>
          </cell>
          <cell r="CJ96">
            <v>0.03</v>
          </cell>
          <cell r="CK96">
            <v>0.06</v>
          </cell>
          <cell r="CL96" t="str">
            <v>gwjung@aemtech.kr</v>
          </cell>
          <cell r="CM96" t="str">
            <v>gwjung@aemtech.kr</v>
          </cell>
          <cell r="CN96" t="str">
            <v>0</v>
          </cell>
          <cell r="CO96">
            <v>0.03</v>
          </cell>
          <cell r="CP96" t="str">
            <v>0</v>
          </cell>
          <cell r="CQ96" t="str">
            <v>유리막/PPF</v>
          </cell>
          <cell r="CR96">
            <v>132000</v>
          </cell>
          <cell r="CS96" t="str">
            <v>0</v>
          </cell>
          <cell r="CT96" t="str">
            <v>0</v>
          </cell>
          <cell r="CU96" t="str">
            <v>0</v>
          </cell>
          <cell r="CV96" t="str">
            <v>0</v>
          </cell>
          <cell r="CW96" t="str">
            <v>0</v>
          </cell>
          <cell r="CX96" t="str">
            <v>0</v>
          </cell>
          <cell r="CY96" t="str">
            <v>0</v>
          </cell>
          <cell r="CZ96" t="str">
            <v>0</v>
          </cell>
          <cell r="DA96" t="str">
            <v>0</v>
          </cell>
          <cell r="DB96" t="str">
            <v>현대</v>
          </cell>
          <cell r="DC96" t="str">
            <v>박현식 부장</v>
          </cell>
          <cell r="DD96" t="str">
            <v>렌트베네핏</v>
          </cell>
          <cell r="DE96" t="str">
            <v>㈜에이이엠테크</v>
          </cell>
          <cell r="DF96" t="str">
            <v>신한은행</v>
          </cell>
          <cell r="DG96" t="str">
            <v>100-018-174908</v>
          </cell>
          <cell r="DH96" t="str">
            <v>131-81-72578</v>
          </cell>
          <cell r="DI96" t="str">
            <v>경기도 수원시 권선구 산업로156번길 88-55(고색동)</v>
          </cell>
          <cell r="DJ96">
            <v>0.35</v>
          </cell>
          <cell r="DK96">
            <v>0.25</v>
          </cell>
          <cell r="DL96" t="str">
            <v>124611-0289303</v>
          </cell>
          <cell r="DM96" t="str">
            <v>0</v>
          </cell>
          <cell r="DN96" t="str">
            <v>0</v>
          </cell>
          <cell r="DO96" t="str">
            <v>0</v>
          </cell>
          <cell r="DP96" t="str">
            <v>0</v>
          </cell>
        </row>
        <row r="97">
          <cell r="C97" t="str">
            <v>GV80-004</v>
          </cell>
          <cell r="D97" t="str">
            <v>더데이랩스 주식회사</v>
          </cell>
          <cell r="E97" t="str">
            <v>이종진 원장님</v>
          </cell>
          <cell r="F97" t="str">
            <v>010-2767-1215</v>
          </cell>
          <cell r="G97" t="str">
            <v>GV80</v>
          </cell>
          <cell r="H97" t="str">
            <v>5인승 2.5T AWD 20in</v>
          </cell>
          <cell r="I97">
            <v>76700000</v>
          </cell>
          <cell r="J97">
            <v>2025</v>
          </cell>
          <cell r="K97" t="str">
            <v>마칼루그레이(무광)/스모키그린(어스브라운 시트)</v>
          </cell>
          <cell r="L97" t="str">
            <v>가솔린</v>
          </cell>
          <cell r="M97" t="str">
            <v>KMTHA81BDSU307166</v>
          </cell>
          <cell r="N97" t="str">
            <v>142호9141</v>
          </cell>
          <cell r="O97" t="str">
            <v>빌트인캠패키지(85만), 파노라마썬루프(140만)</v>
          </cell>
          <cell r="P97">
            <v>2487</v>
          </cell>
          <cell r="Q97">
            <v>45890</v>
          </cell>
          <cell r="R97">
            <v>45887</v>
          </cell>
          <cell r="S97">
            <v>45891</v>
          </cell>
          <cell r="T97" t="str">
            <v>4</v>
          </cell>
          <cell r="U97">
            <v>47351</v>
          </cell>
          <cell r="V97">
            <v>36</v>
          </cell>
          <cell r="W97">
            <v>30000</v>
          </cell>
          <cell r="X97" t="str">
            <v>함재훈 이사님</v>
          </cell>
          <cell r="Y97" t="str">
            <v>010-2767-1215</v>
          </cell>
          <cell r="Z97" t="str">
            <v>0</v>
          </cell>
          <cell r="AA97" t="str">
            <v>테헤란로13길 30</v>
          </cell>
          <cell r="AB97">
            <v>45900</v>
          </cell>
          <cell r="AC97">
            <v>1460</v>
          </cell>
          <cell r="AD97">
            <v>1106</v>
          </cell>
          <cell r="AE97" t="str">
            <v>25080122</v>
          </cell>
          <cell r="AF97">
            <v>76700000</v>
          </cell>
          <cell r="AG97">
            <v>3881240</v>
          </cell>
          <cell r="AH97">
            <v>73178760</v>
          </cell>
          <cell r="AI97">
            <v>360000</v>
          </cell>
          <cell r="AJ97">
            <v>1900</v>
          </cell>
          <cell r="AK97">
            <v>2595970</v>
          </cell>
          <cell r="AL97">
            <v>60530</v>
          </cell>
          <cell r="AM97">
            <v>2000</v>
          </cell>
          <cell r="AN97">
            <v>45000</v>
          </cell>
          <cell r="AO97">
            <v>50000</v>
          </cell>
          <cell r="AP97" t="str">
            <v>0</v>
          </cell>
          <cell r="AQ97" t="str">
            <v>0</v>
          </cell>
          <cell r="AR97" t="str">
            <v>0</v>
          </cell>
          <cell r="AS97">
            <v>451000</v>
          </cell>
          <cell r="AT97" t="str">
            <v>레인보우 VS100 전면 35% 측면 15% 후면 5%, 선루프 일반 5%</v>
          </cell>
          <cell r="AU97" t="str">
            <v>0</v>
          </cell>
          <cell r="AV97" t="str">
            <v>0</v>
          </cell>
          <cell r="AW97" t="str">
            <v>렌터카 공제</v>
          </cell>
          <cell r="AX97">
            <v>45889</v>
          </cell>
          <cell r="AY97">
            <v>840060</v>
          </cell>
          <cell r="AZ97" t="str">
            <v>0</v>
          </cell>
          <cell r="BA97" t="str">
            <v>0</v>
          </cell>
          <cell r="BB97" t="str">
            <v>0</v>
          </cell>
          <cell r="BC97" t="str">
            <v>0</v>
          </cell>
          <cell r="BD97" t="str">
            <v>만26세</v>
          </cell>
          <cell r="BE97" t="str">
            <v>무한대</v>
          </cell>
          <cell r="BF97" t="str">
            <v>5억</v>
          </cell>
          <cell r="BG97" t="str">
            <v>2억/3천만</v>
          </cell>
          <cell r="BH97" t="str">
            <v>2억원/1인당</v>
          </cell>
          <cell r="BI97" t="str">
            <v>50만원</v>
          </cell>
          <cell r="BJ97" t="str">
            <v>임직원</v>
          </cell>
          <cell r="BK97" t="str">
            <v>5회/년</v>
          </cell>
          <cell r="BL97" t="str">
            <v>가입</v>
          </cell>
          <cell r="BM97" t="str">
            <v>가입</v>
          </cell>
          <cell r="BN97" t="str">
            <v>가입</v>
          </cell>
          <cell r="BO97" t="str">
            <v>렌트기간 4본</v>
          </cell>
          <cell r="BP97" t="str">
            <v>0</v>
          </cell>
          <cell r="BQ97" t="str">
            <v>0</v>
          </cell>
          <cell r="BR97">
            <v>47253</v>
          </cell>
          <cell r="BS97" t="str">
            <v>0</v>
          </cell>
          <cell r="BT97" t="str">
            <v>0</v>
          </cell>
          <cell r="BU97" t="str">
            <v>0</v>
          </cell>
          <cell r="BV97" t="str">
            <v>0</v>
          </cell>
          <cell r="BW97" t="str">
            <v>0</v>
          </cell>
          <cell r="BX97" t="str">
            <v>0</v>
          </cell>
          <cell r="BY97" t="str">
            <v>0</v>
          </cell>
          <cell r="BZ97" t="str">
            <v>0</v>
          </cell>
          <cell r="CA97" t="str">
            <v>0</v>
          </cell>
          <cell r="CB97" t="str">
            <v>말일</v>
          </cell>
          <cell r="CC97" t="str">
            <v>말일</v>
          </cell>
          <cell r="CD97">
            <v>1071000</v>
          </cell>
          <cell r="CE97">
            <v>48</v>
          </cell>
          <cell r="CF97">
            <v>51408000</v>
          </cell>
          <cell r="CG97">
            <v>0</v>
          </cell>
          <cell r="CH97">
            <v>15340000</v>
          </cell>
          <cell r="CI97">
            <v>41418000</v>
          </cell>
          <cell r="CJ97">
            <v>0.03</v>
          </cell>
          <cell r="CK97">
            <v>0.06</v>
          </cell>
          <cell r="CL97" t="str">
            <v>kyungeun@thedaylabs.com</v>
          </cell>
          <cell r="CM97" t="str">
            <v>dr.jinlee@kakao.com</v>
          </cell>
          <cell r="CN97" t="str">
            <v>0</v>
          </cell>
          <cell r="CO97">
            <v>0.03</v>
          </cell>
          <cell r="CP97" t="str">
            <v>0</v>
          </cell>
          <cell r="CQ97" t="str">
            <v>유리막/PPF</v>
          </cell>
          <cell r="CR97">
            <v>110000.00000000001</v>
          </cell>
          <cell r="CS97" t="str">
            <v>0</v>
          </cell>
          <cell r="CT97" t="str">
            <v>0</v>
          </cell>
          <cell r="CU97" t="str">
            <v>0</v>
          </cell>
          <cell r="CV97" t="str">
            <v>0</v>
          </cell>
          <cell r="CW97" t="str">
            <v>0</v>
          </cell>
          <cell r="CX97" t="str">
            <v>0</v>
          </cell>
          <cell r="CY97" t="str">
            <v>0</v>
          </cell>
          <cell r="CZ97" t="str">
            <v>0</v>
          </cell>
          <cell r="DA97" t="str">
            <v>0</v>
          </cell>
          <cell r="DB97" t="str">
            <v>현대</v>
          </cell>
          <cell r="DC97" t="str">
            <v>박현식 부장</v>
          </cell>
          <cell r="DD97" t="str">
            <v>렌트베네핏</v>
          </cell>
          <cell r="DE97" t="str">
            <v>더데이랩스 주식회사</v>
          </cell>
          <cell r="DF97" t="str">
            <v>KB 국민은행</v>
          </cell>
          <cell r="DG97" t="str">
            <v>081101-04-235255</v>
          </cell>
          <cell r="DH97" t="str">
            <v>435-86-03022</v>
          </cell>
          <cell r="DI97" t="str">
            <v>서울시 강남구 논현로 97길 73 지하 1층 101, 102호(역삼동, 좋은사람 좋은집)</v>
          </cell>
          <cell r="DJ97">
            <v>0.35</v>
          </cell>
          <cell r="DK97">
            <v>0.25</v>
          </cell>
          <cell r="DL97" t="str">
            <v>124411-0377962</v>
          </cell>
          <cell r="DM97" t="str">
            <v>0</v>
          </cell>
          <cell r="DN97" t="str">
            <v>0</v>
          </cell>
          <cell r="DO97" t="str">
            <v>0</v>
          </cell>
          <cell r="DP97" t="str">
            <v>0</v>
          </cell>
        </row>
        <row r="98">
          <cell r="C98" t="str">
            <v>G90-009</v>
          </cell>
          <cell r="D98" t="str">
            <v>정주호 회장님</v>
          </cell>
          <cell r="E98" t="str">
            <v>정주호 회장님</v>
          </cell>
          <cell r="F98" t="str">
            <v>010-3757-4086</v>
          </cell>
          <cell r="G98" t="str">
            <v>G90</v>
          </cell>
          <cell r="H98" t="str">
            <v>3.5T AWD e-S/C 20in 다이아몬드 SDS</v>
          </cell>
          <cell r="I98">
            <v>127000000</v>
          </cell>
          <cell r="J98">
            <v>2025</v>
          </cell>
          <cell r="K98" t="str">
            <v>비크블랙/옵시디언블랙모노톤(뉴스페이퍼 스트라이프)</v>
          </cell>
          <cell r="L98" t="str">
            <v>가솔린</v>
          </cell>
          <cell r="M98" t="str">
            <v>KMTFB41DDTU056880</v>
          </cell>
          <cell r="N98" t="str">
            <v>125하4677</v>
          </cell>
          <cell r="O98" t="str">
            <v>빌트인 캠 패키지(80만), 파노라마 선루프(200만), 프리미엄 컬랙션(1160만)</v>
          </cell>
          <cell r="P98">
            <v>3470</v>
          </cell>
          <cell r="Q98">
            <v>45896</v>
          </cell>
          <cell r="R98">
            <v>45865</v>
          </cell>
          <cell r="S98">
            <v>45898</v>
          </cell>
          <cell r="T98" t="str">
            <v>5</v>
          </cell>
          <cell r="U98">
            <v>47723</v>
          </cell>
          <cell r="V98">
            <v>48</v>
          </cell>
          <cell r="W98">
            <v>20000</v>
          </cell>
          <cell r="X98" t="str">
            <v>정주호 회장님</v>
          </cell>
          <cell r="Y98" t="str">
            <v>010-3757-4086</v>
          </cell>
          <cell r="Z98" t="str">
            <v>0</v>
          </cell>
          <cell r="AA98" t="str">
            <v>서울시 용산구 이촌로64길 15 엘지한강자이아파트 109동 702호</v>
          </cell>
          <cell r="AB98">
            <v>45930</v>
          </cell>
          <cell r="AC98">
            <v>1825</v>
          </cell>
          <cell r="AD98">
            <v>1478</v>
          </cell>
          <cell r="AE98" t="str">
            <v>25070119</v>
          </cell>
          <cell r="AF98">
            <v>127000000</v>
          </cell>
          <cell r="AG98">
            <v>6426565</v>
          </cell>
          <cell r="AH98">
            <v>120934435</v>
          </cell>
          <cell r="AI98">
            <v>361000</v>
          </cell>
          <cell r="AJ98">
            <v>1900</v>
          </cell>
          <cell r="AK98">
            <v>4397610</v>
          </cell>
          <cell r="AL98">
            <v>151416</v>
          </cell>
          <cell r="AM98" t="str">
            <v>0</v>
          </cell>
          <cell r="AN98" t="str">
            <v>0</v>
          </cell>
          <cell r="AO98">
            <v>67000</v>
          </cell>
          <cell r="AP98" t="str">
            <v>0</v>
          </cell>
          <cell r="AQ98" t="str">
            <v>0</v>
          </cell>
          <cell r="AR98" t="str">
            <v>0</v>
          </cell>
          <cell r="AS98">
            <v>198000</v>
          </cell>
          <cell r="AT98" t="str">
            <v>버택스300 전면 35% 측후면 15%</v>
          </cell>
          <cell r="AU98">
            <v>4616026</v>
          </cell>
          <cell r="AV98" t="str">
            <v>0</v>
          </cell>
          <cell r="AW98" t="str">
            <v>렌터카 공제</v>
          </cell>
          <cell r="AX98">
            <v>45890</v>
          </cell>
          <cell r="AY98">
            <v>845850</v>
          </cell>
          <cell r="AZ98" t="str">
            <v>0</v>
          </cell>
          <cell r="BA98" t="str">
            <v>0</v>
          </cell>
          <cell r="BB98" t="str">
            <v>0</v>
          </cell>
          <cell r="BC98" t="str">
            <v>0</v>
          </cell>
          <cell r="BD98" t="str">
            <v>만26세</v>
          </cell>
          <cell r="BE98" t="str">
            <v>무한대</v>
          </cell>
          <cell r="BF98" t="str">
            <v>5억</v>
          </cell>
          <cell r="BG98" t="str">
            <v>2억/3천만</v>
          </cell>
          <cell r="BH98" t="str">
            <v>2억원/1인당</v>
          </cell>
          <cell r="BI98" t="str">
            <v>50만원</v>
          </cell>
          <cell r="BJ98" t="str">
            <v>임직원</v>
          </cell>
          <cell r="BK98" t="str">
            <v>5회/년</v>
          </cell>
          <cell r="BL98" t="str">
            <v>가입</v>
          </cell>
          <cell r="BM98" t="str">
            <v>가입</v>
          </cell>
          <cell r="BN98" t="str">
            <v>가입</v>
          </cell>
          <cell r="BO98" t="str">
            <v>렌트기간 4본</v>
          </cell>
          <cell r="BP98" t="str">
            <v>0</v>
          </cell>
          <cell r="BQ98" t="str">
            <v>0</v>
          </cell>
          <cell r="BR98">
            <v>83280</v>
          </cell>
          <cell r="BS98" t="str">
            <v>0</v>
          </cell>
          <cell r="BT98" t="str">
            <v>0</v>
          </cell>
          <cell r="BU98" t="str">
            <v>0</v>
          </cell>
          <cell r="BV98" t="str">
            <v>0</v>
          </cell>
          <cell r="BW98" t="str">
            <v>0</v>
          </cell>
          <cell r="BX98" t="str">
            <v>0</v>
          </cell>
          <cell r="BY98" t="str">
            <v>0</v>
          </cell>
          <cell r="BZ98" t="str">
            <v>0</v>
          </cell>
          <cell r="CA98" t="str">
            <v>0</v>
          </cell>
          <cell r="CB98" t="str">
            <v>말일</v>
          </cell>
          <cell r="CC98" t="str">
            <v>말일</v>
          </cell>
          <cell r="CD98">
            <v>1473000</v>
          </cell>
          <cell r="CE98">
            <v>60</v>
          </cell>
          <cell r="CF98">
            <v>88380000</v>
          </cell>
          <cell r="CG98">
            <v>38100000</v>
          </cell>
          <cell r="CH98">
            <v>38100000</v>
          </cell>
          <cell r="CI98">
            <v>38100000</v>
          </cell>
          <cell r="CJ98">
            <v>0.03</v>
          </cell>
          <cell r="CK98">
            <v>0.06</v>
          </cell>
          <cell r="CL98" t="str">
            <v>0</v>
          </cell>
          <cell r="CM98" t="str">
            <v>0</v>
          </cell>
          <cell r="CN98" t="str">
            <v>0</v>
          </cell>
          <cell r="CO98">
            <v>0.03</v>
          </cell>
          <cell r="CP98" t="str">
            <v>0</v>
          </cell>
          <cell r="CQ98" t="str">
            <v>유리막/PPF</v>
          </cell>
          <cell r="CR98">
            <v>132000</v>
          </cell>
          <cell r="CS98" t="str">
            <v>0</v>
          </cell>
          <cell r="CT98" t="str">
            <v>0</v>
          </cell>
          <cell r="CU98" t="str">
            <v>0</v>
          </cell>
          <cell r="CV98" t="str">
            <v>0</v>
          </cell>
          <cell r="CW98" t="str">
            <v>0</v>
          </cell>
          <cell r="CX98" t="str">
            <v>0</v>
          </cell>
          <cell r="CY98" t="str">
            <v>0</v>
          </cell>
          <cell r="CZ98" t="str">
            <v>0</v>
          </cell>
          <cell r="DA98" t="str">
            <v>0</v>
          </cell>
          <cell r="DB98" t="str">
            <v>현대</v>
          </cell>
          <cell r="DC98" t="str">
            <v>박현식 부장</v>
          </cell>
          <cell r="DD98" t="str">
            <v>렌트베네핏</v>
          </cell>
          <cell r="DE98" t="str">
            <v>0</v>
          </cell>
          <cell r="DF98" t="str">
            <v>0</v>
          </cell>
          <cell r="DG98" t="str">
            <v>0</v>
          </cell>
          <cell r="DH98" t="str">
            <v>460128-1041713</v>
          </cell>
          <cell r="DI98" t="str">
            <v>서울시 용산구 이촌로64길 15, 109동 702호</v>
          </cell>
          <cell r="DJ98">
            <v>0.35</v>
          </cell>
          <cell r="DK98">
            <v>0.25</v>
          </cell>
          <cell r="DL98" t="str">
            <v>0</v>
          </cell>
          <cell r="DM98" t="str">
            <v>0</v>
          </cell>
          <cell r="DN98" t="str">
            <v>0</v>
          </cell>
          <cell r="DO98" t="str">
            <v>0</v>
          </cell>
          <cell r="DP98" t="str">
            <v>0</v>
          </cell>
        </row>
        <row r="99">
          <cell r="C99" t="str">
            <v>Cona-02</v>
          </cell>
          <cell r="D99" t="str">
            <v>다홍치마앤컴퍼니</v>
          </cell>
          <cell r="E99" t="str">
            <v>박기종 대표님</v>
          </cell>
          <cell r="F99" t="str">
            <v>010-8955-3578</v>
          </cell>
          <cell r="G99" t="str">
            <v>코나</v>
          </cell>
          <cell r="H99" t="str">
            <v>하이브리드 2WD H-Pick</v>
          </cell>
          <cell r="I99">
            <v>34770000</v>
          </cell>
          <cell r="J99">
            <v>2025</v>
          </cell>
          <cell r="K99" t="str">
            <v>사이버 그레이 메탈릭 / 그레이</v>
          </cell>
          <cell r="L99" t="str">
            <v>가솔린</v>
          </cell>
          <cell r="M99" t="str">
            <v>KMHHB811GTU179355</v>
          </cell>
          <cell r="N99" t="str">
            <v>142호9404</v>
          </cell>
          <cell r="O99" t="str">
            <v>베스트셀렉션2 (79만), 빌트인 캠2, 증강현실 내비게이션 (45만), 컨비니언스 (40만), 파킹어시스트 (99만), 하이패스 (20만)</v>
          </cell>
          <cell r="P99">
            <v>1580</v>
          </cell>
          <cell r="Q99">
            <v>45902</v>
          </cell>
          <cell r="R99">
            <v>45879</v>
          </cell>
          <cell r="S99">
            <v>45902</v>
          </cell>
          <cell r="T99" t="str">
            <v>5</v>
          </cell>
          <cell r="U99">
            <v>47727</v>
          </cell>
          <cell r="V99">
            <v>48</v>
          </cell>
          <cell r="W99">
            <v>20000</v>
          </cell>
          <cell r="X99" t="str">
            <v>박기종 대표님</v>
          </cell>
          <cell r="Y99" t="str">
            <v>010-8955-3578</v>
          </cell>
          <cell r="Z99" t="str">
            <v>0</v>
          </cell>
          <cell r="AA99" t="str">
            <v>경기도 남양주시 순화궁로 272 동광 비즈타워(별내동)</v>
          </cell>
          <cell r="AB99">
            <v>45925</v>
          </cell>
          <cell r="AC99">
            <v>1825</v>
          </cell>
          <cell r="AD99">
            <v>1482</v>
          </cell>
          <cell r="AE99" t="str">
            <v>25080123</v>
          </cell>
          <cell r="AF99">
            <v>30680000</v>
          </cell>
          <cell r="AG99">
            <v>465750</v>
          </cell>
          <cell r="AH99">
            <v>30680000</v>
          </cell>
          <cell r="AI99">
            <v>465750</v>
          </cell>
          <cell r="AJ99">
            <v>1900</v>
          </cell>
          <cell r="AK99">
            <v>1212780</v>
          </cell>
          <cell r="AL99" t="str">
            <v>0</v>
          </cell>
          <cell r="AM99" t="str">
            <v>0</v>
          </cell>
          <cell r="AN99" t="str">
            <v>0</v>
          </cell>
          <cell r="AO99">
            <v>80000</v>
          </cell>
          <cell r="AP99" t="str">
            <v>0</v>
          </cell>
          <cell r="AQ99" t="str">
            <v>0</v>
          </cell>
          <cell r="AR99" t="str">
            <v>0</v>
          </cell>
          <cell r="AS99">
            <v>198000</v>
          </cell>
          <cell r="AT99" t="str">
            <v>버택스300 전면 35% 측후면 15%</v>
          </cell>
          <cell r="AU99" t="str">
            <v>0</v>
          </cell>
          <cell r="AV99" t="str">
            <v>0</v>
          </cell>
          <cell r="AW99" t="str">
            <v>렌터카 공제</v>
          </cell>
          <cell r="AX99" t="str">
            <v>0</v>
          </cell>
          <cell r="AY99" t="str">
            <v>0</v>
          </cell>
          <cell r="AZ99" t="str">
            <v>0</v>
          </cell>
          <cell r="BA99" t="str">
            <v>0</v>
          </cell>
          <cell r="BB99" t="str">
            <v>0</v>
          </cell>
          <cell r="BC99" t="str">
            <v>0</v>
          </cell>
          <cell r="BD99" t="str">
            <v>만26세</v>
          </cell>
          <cell r="BE99" t="str">
            <v>무한대</v>
          </cell>
          <cell r="BF99" t="str">
            <v>2억</v>
          </cell>
          <cell r="BG99" t="str">
            <v>1억/1500만</v>
          </cell>
          <cell r="BH99" t="str">
            <v>2억원/1인당</v>
          </cell>
          <cell r="BI99" t="str">
            <v>30만원</v>
          </cell>
          <cell r="BJ99" t="str">
            <v>임직원</v>
          </cell>
          <cell r="BK99" t="str">
            <v>5회/년</v>
          </cell>
          <cell r="BL99" t="str">
            <v>가입</v>
          </cell>
          <cell r="BM99" t="str">
            <v>가입</v>
          </cell>
          <cell r="BN99" t="str">
            <v>가입</v>
          </cell>
          <cell r="BO99" t="str">
            <v>렌트기간 4본</v>
          </cell>
          <cell r="BP99" t="str">
            <v>0</v>
          </cell>
          <cell r="BQ99" t="str">
            <v>0</v>
          </cell>
          <cell r="BR99">
            <v>28440</v>
          </cell>
          <cell r="BS99" t="str">
            <v>0</v>
          </cell>
          <cell r="BT99" t="str">
            <v>0</v>
          </cell>
          <cell r="BU99" t="str">
            <v>0</v>
          </cell>
          <cell r="BV99" t="str">
            <v>0</v>
          </cell>
          <cell r="BW99" t="str">
            <v>0</v>
          </cell>
          <cell r="BX99" t="str">
            <v>0</v>
          </cell>
          <cell r="BY99" t="str">
            <v>0</v>
          </cell>
          <cell r="BZ99" t="str">
            <v>0</v>
          </cell>
          <cell r="CA99" t="str">
            <v>0</v>
          </cell>
          <cell r="CB99" t="str">
            <v>25일</v>
          </cell>
          <cell r="CC99" t="str">
            <v>25일</v>
          </cell>
          <cell r="CD99">
            <v>622000</v>
          </cell>
          <cell r="CE99">
            <v>60</v>
          </cell>
          <cell r="CF99">
            <v>37320000</v>
          </cell>
          <cell r="CG99">
            <v>0</v>
          </cell>
          <cell r="CH99">
            <v>0</v>
          </cell>
          <cell r="CI99">
            <v>18428100</v>
          </cell>
          <cell r="CJ99">
            <v>0.03</v>
          </cell>
          <cell r="CK99">
            <v>0.06</v>
          </cell>
          <cell r="CL99" t="str">
            <v>goodzong@gmail.com</v>
          </cell>
          <cell r="CM99" t="str">
            <v>0</v>
          </cell>
          <cell r="CN99" t="str">
            <v>0</v>
          </cell>
          <cell r="CO99">
            <v>0.03</v>
          </cell>
          <cell r="CP99" t="str">
            <v>0</v>
          </cell>
          <cell r="CQ99" t="str">
            <v>0</v>
          </cell>
          <cell r="CR99" t="str">
            <v>0</v>
          </cell>
          <cell r="CS99" t="str">
            <v>0</v>
          </cell>
          <cell r="CT99" t="str">
            <v>0</v>
          </cell>
          <cell r="CU99" t="str">
            <v>0</v>
          </cell>
          <cell r="CV99" t="str">
            <v>0</v>
          </cell>
          <cell r="CW99" t="str">
            <v>0</v>
          </cell>
          <cell r="CX99" t="str">
            <v>0</v>
          </cell>
          <cell r="CY99" t="str">
            <v>0</v>
          </cell>
          <cell r="CZ99" t="str">
            <v>0</v>
          </cell>
          <cell r="DA99" t="str">
            <v>0</v>
          </cell>
          <cell r="DB99" t="str">
            <v>현대</v>
          </cell>
          <cell r="DC99" t="str">
            <v>박현식 부장</v>
          </cell>
          <cell r="DD99" t="str">
            <v>렌트베네핏</v>
          </cell>
          <cell r="DE99" t="str">
            <v>박기종(다홍치마앤컴퍼니)</v>
          </cell>
          <cell r="DF99" t="str">
            <v>신한은행</v>
          </cell>
          <cell r="DG99" t="str">
            <v>110-325-393350</v>
          </cell>
          <cell r="DH99" t="str">
            <v>105-17-85694</v>
          </cell>
          <cell r="DI99" t="str">
            <v>서울특별시 중구 삼일대로 663, 810호(장교동, 장교빌딩)</v>
          </cell>
          <cell r="DJ99">
            <v>0.35</v>
          </cell>
          <cell r="DK99">
            <v>0.25</v>
          </cell>
          <cell r="DL99" t="str">
            <v>-</v>
          </cell>
          <cell r="DM99" t="str">
            <v>0</v>
          </cell>
          <cell r="DN99" t="str">
            <v>0</v>
          </cell>
          <cell r="DO99" t="str">
            <v>0</v>
          </cell>
          <cell r="DP99" t="str">
            <v>0</v>
          </cell>
        </row>
        <row r="100">
          <cell r="C100" t="str">
            <v>Grander-006</v>
          </cell>
          <cell r="D100" t="str">
            <v>주식회사 레이</v>
          </cell>
          <cell r="E100" t="str">
            <v>이상철 대표님</v>
          </cell>
          <cell r="F100" t="str">
            <v>010-6251-4137</v>
          </cell>
          <cell r="G100" t="str">
            <v>그랜저</v>
          </cell>
          <cell r="H100" t="str">
            <v>2.5T 프리미엄 2WD</v>
          </cell>
          <cell r="I100">
            <v>39410000</v>
          </cell>
          <cell r="J100">
            <v>2026</v>
          </cell>
          <cell r="K100" t="str">
            <v>바이오플릭블루펄/인디고/브라운투톤</v>
          </cell>
          <cell r="L100" t="str">
            <v>가솔린</v>
          </cell>
          <cell r="M100" t="str">
            <v>KMHN141DBTA123415</v>
          </cell>
          <cell r="N100" t="str">
            <v>142호8391</v>
          </cell>
          <cell r="O100" t="str">
            <v>현대스마트센스1(84만)</v>
          </cell>
          <cell r="P100">
            <v>2487</v>
          </cell>
          <cell r="Q100">
            <v>45898</v>
          </cell>
          <cell r="R100">
            <v>45879</v>
          </cell>
          <cell r="S100">
            <v>45916</v>
          </cell>
          <cell r="T100" t="str">
            <v>4</v>
          </cell>
          <cell r="U100">
            <v>47376</v>
          </cell>
          <cell r="V100">
            <v>37</v>
          </cell>
          <cell r="W100">
            <v>30000</v>
          </cell>
          <cell r="X100" t="str">
            <v>김호영 책임님</v>
          </cell>
          <cell r="Y100" t="str">
            <v>010-2425-6857</v>
          </cell>
          <cell r="Z100" t="str">
            <v>0</v>
          </cell>
          <cell r="AA100" t="str">
            <v>경기도 성남시 분당구 판교역로 221, 12층(삼평동)</v>
          </cell>
          <cell r="AB100">
            <v>45925</v>
          </cell>
          <cell r="AC100">
            <v>1460</v>
          </cell>
          <cell r="AD100">
            <v>1131</v>
          </cell>
          <cell r="AE100" t="str">
            <v>25080124</v>
          </cell>
          <cell r="AF100">
            <v>39410000</v>
          </cell>
          <cell r="AG100">
            <v>1994259</v>
          </cell>
          <cell r="AH100">
            <v>37591741</v>
          </cell>
          <cell r="AI100">
            <v>176000</v>
          </cell>
          <cell r="AJ100">
            <v>1900</v>
          </cell>
          <cell r="AK100">
            <v>1366970</v>
          </cell>
          <cell r="AL100">
            <v>45368</v>
          </cell>
          <cell r="AM100" t="str">
            <v>0</v>
          </cell>
          <cell r="AN100" t="str">
            <v>0</v>
          </cell>
          <cell r="AO100">
            <v>80000</v>
          </cell>
          <cell r="AP100" t="str">
            <v>0</v>
          </cell>
          <cell r="AQ100">
            <v>220000</v>
          </cell>
          <cell r="AR100" t="str">
            <v>아이나비 Z9900</v>
          </cell>
          <cell r="AS100">
            <v>198000</v>
          </cell>
          <cell r="AT100" t="str">
            <v>버택스 300 전면 35%, 측면1열 15%, 측면2열 및 후면 5%</v>
          </cell>
          <cell r="AU100" t="str">
            <v>0</v>
          </cell>
          <cell r="AV100" t="str">
            <v>0</v>
          </cell>
          <cell r="AW100" t="str">
            <v>렌터카 공제</v>
          </cell>
          <cell r="AX100" t="str">
            <v>0</v>
          </cell>
          <cell r="AY100" t="str">
            <v>0</v>
          </cell>
          <cell r="AZ100" t="str">
            <v>0</v>
          </cell>
          <cell r="BA100" t="str">
            <v>0</v>
          </cell>
          <cell r="BB100" t="str">
            <v>0</v>
          </cell>
          <cell r="BC100" t="str">
            <v>0</v>
          </cell>
          <cell r="BD100" t="str">
            <v>만26세</v>
          </cell>
          <cell r="BE100" t="str">
            <v>무한대</v>
          </cell>
          <cell r="BF100" t="str">
            <v>2억</v>
          </cell>
          <cell r="BG100" t="str">
            <v>1억/1500만</v>
          </cell>
          <cell r="BH100" t="str">
            <v>2억원/1인당</v>
          </cell>
          <cell r="BI100" t="str">
            <v>30만원</v>
          </cell>
          <cell r="BJ100" t="str">
            <v>임직원</v>
          </cell>
          <cell r="BK100" t="str">
            <v>5회/년</v>
          </cell>
          <cell r="BL100" t="str">
            <v>가입</v>
          </cell>
          <cell r="BM100" t="str">
            <v>가입</v>
          </cell>
          <cell r="BN100" t="str">
            <v>가입</v>
          </cell>
          <cell r="BO100" t="str">
            <v>렌트기간 4본</v>
          </cell>
          <cell r="BP100" t="str">
            <v>넥센 앞,뒤 225/55R18</v>
          </cell>
          <cell r="BQ100" t="str">
            <v>0</v>
          </cell>
          <cell r="BR100">
            <v>47253</v>
          </cell>
          <cell r="BS100" t="str">
            <v>현금</v>
          </cell>
          <cell r="BT100" t="str">
            <v>0</v>
          </cell>
          <cell r="BU100" t="str">
            <v>0</v>
          </cell>
          <cell r="BV100" t="str">
            <v>0</v>
          </cell>
          <cell r="BW100" t="str">
            <v>0</v>
          </cell>
          <cell r="BX100" t="str">
            <v>0</v>
          </cell>
          <cell r="BY100" t="str">
            <v>0</v>
          </cell>
          <cell r="BZ100" t="str">
            <v>0</v>
          </cell>
          <cell r="CA100" t="str">
            <v>0</v>
          </cell>
          <cell r="CB100" t="str">
            <v>25</v>
          </cell>
          <cell r="CC100" t="str">
            <v>25</v>
          </cell>
          <cell r="CD100">
            <v>700000</v>
          </cell>
          <cell r="CE100">
            <v>48</v>
          </cell>
          <cell r="CF100">
            <v>33600000</v>
          </cell>
          <cell r="CG100">
            <v>11823000</v>
          </cell>
          <cell r="CH100">
            <v>0</v>
          </cell>
          <cell r="CI100">
            <v>20493200</v>
          </cell>
          <cell r="CJ100">
            <v>0.03</v>
          </cell>
          <cell r="CK100">
            <v>0.06</v>
          </cell>
          <cell r="CL100" t="str">
            <v>hoyoung.kim@raymedical.com</v>
          </cell>
          <cell r="CM100" t="str">
            <v>0</v>
          </cell>
          <cell r="CN100" t="str">
            <v>0</v>
          </cell>
          <cell r="CO100">
            <v>0.03</v>
          </cell>
          <cell r="CP100" t="str">
            <v>0</v>
          </cell>
          <cell r="CQ100" t="str">
            <v>0</v>
          </cell>
          <cell r="CR100" t="str">
            <v>0</v>
          </cell>
          <cell r="CS100" t="str">
            <v>유리막/PPF</v>
          </cell>
          <cell r="CT100" t="str">
            <v>0</v>
          </cell>
          <cell r="CU100" t="str">
            <v>0</v>
          </cell>
          <cell r="CV100" t="str">
            <v>0</v>
          </cell>
          <cell r="CW100" t="str">
            <v>0</v>
          </cell>
          <cell r="CX100" t="str">
            <v>0</v>
          </cell>
          <cell r="CY100" t="str">
            <v>0</v>
          </cell>
          <cell r="CZ100" t="str">
            <v>0</v>
          </cell>
          <cell r="DA100" t="str">
            <v>0</v>
          </cell>
          <cell r="DB100" t="str">
            <v>현대</v>
          </cell>
          <cell r="DC100" t="str">
            <v>박현식 부장</v>
          </cell>
          <cell r="DD100" t="str">
            <v>렌트베네핏</v>
          </cell>
          <cell r="DE100" t="str">
            <v>㈜레이</v>
          </cell>
          <cell r="DF100" t="str">
            <v>우리은행</v>
          </cell>
          <cell r="DG100" t="str">
            <v>1005-401-254754</v>
          </cell>
          <cell r="DH100" t="str">
            <v xml:space="preserve">135-81-73282 </v>
          </cell>
          <cell r="DI100" t="str">
            <v>경기도 성남시 분당구 판교역로 221, 12층(삼평동)</v>
          </cell>
          <cell r="DJ100">
            <v>0.35</v>
          </cell>
          <cell r="DK100">
            <v>0.25</v>
          </cell>
          <cell r="DL100" t="str">
            <v>134511-0084018</v>
          </cell>
          <cell r="DM100" t="str">
            <v>0</v>
          </cell>
          <cell r="DN100" t="str">
            <v>0</v>
          </cell>
          <cell r="DO100" t="str">
            <v>0</v>
          </cell>
          <cell r="DP100" t="str">
            <v>0</v>
          </cell>
        </row>
        <row r="101">
          <cell r="C101" t="str">
            <v>Benz-025</v>
          </cell>
          <cell r="D101" t="str">
            <v>중앙인더스피아제3공장</v>
          </cell>
          <cell r="E101" t="str">
            <v>안광선 회장님</v>
          </cell>
          <cell r="F101" t="str">
            <v>010-5241-4431</v>
          </cell>
          <cell r="G101" t="str">
            <v>S500</v>
          </cell>
          <cell r="H101" t="str">
            <v>4M</v>
          </cell>
          <cell r="I101">
            <v>209100000</v>
          </cell>
          <cell r="J101">
            <v>2025</v>
          </cell>
          <cell r="K101" t="str">
            <v>옵시디언 블랙 / 블랙</v>
          </cell>
          <cell r="L101" t="str">
            <v>가솔린</v>
          </cell>
          <cell r="M101" t="str">
            <v>W1K6G6DB4SA339335</v>
          </cell>
          <cell r="N101" t="str">
            <v>142호9153</v>
          </cell>
          <cell r="O101" t="str">
            <v>-</v>
          </cell>
          <cell r="P101">
            <v>2999</v>
          </cell>
          <cell r="Q101">
            <v>45903</v>
          </cell>
          <cell r="R101">
            <v>45898</v>
          </cell>
          <cell r="S101">
            <v>45908</v>
          </cell>
          <cell r="T101" t="str">
            <v>5</v>
          </cell>
          <cell r="U101">
            <v>47733</v>
          </cell>
          <cell r="V101">
            <v>48</v>
          </cell>
          <cell r="W101">
            <v>20000</v>
          </cell>
          <cell r="X101" t="str">
            <v>안광선 회장님</v>
          </cell>
          <cell r="Y101" t="str">
            <v>010-5241-4431</v>
          </cell>
          <cell r="Z101" t="str">
            <v>0</v>
          </cell>
          <cell r="AA101" t="str">
            <v>강남대로 전시장</v>
          </cell>
          <cell r="AB101">
            <v>45930</v>
          </cell>
          <cell r="AC101">
            <v>1825</v>
          </cell>
          <cell r="AD101">
            <v>1488</v>
          </cell>
          <cell r="AE101" t="str">
            <v>25080125</v>
          </cell>
          <cell r="AF101">
            <v>209100000</v>
          </cell>
          <cell r="AG101">
            <v>25092000</v>
          </cell>
          <cell r="AH101">
            <v>184008000</v>
          </cell>
          <cell r="AI101">
            <v>0</v>
          </cell>
          <cell r="AJ101">
            <v>0</v>
          </cell>
          <cell r="AK101">
            <v>6691200</v>
          </cell>
          <cell r="AL101">
            <v>237801</v>
          </cell>
          <cell r="AM101">
            <v>5000</v>
          </cell>
          <cell r="AN101">
            <v>40000</v>
          </cell>
          <cell r="AO101">
            <v>50000</v>
          </cell>
          <cell r="AP101" t="str">
            <v>0</v>
          </cell>
          <cell r="AQ101" t="str">
            <v>0</v>
          </cell>
          <cell r="AR101" t="str">
            <v>0</v>
          </cell>
          <cell r="AS101">
            <v>200000</v>
          </cell>
          <cell r="AT101" t="str">
            <v>후퍼gk 측후15 전면 35</v>
          </cell>
          <cell r="AU101" t="str">
            <v>0</v>
          </cell>
          <cell r="AV101" t="str">
            <v>0</v>
          </cell>
          <cell r="AW101" t="str">
            <v>렌터카 공제</v>
          </cell>
          <cell r="AX101" t="str">
            <v>0</v>
          </cell>
          <cell r="AY101" t="str">
            <v>0</v>
          </cell>
          <cell r="AZ101" t="str">
            <v>0</v>
          </cell>
          <cell r="BA101" t="str">
            <v>0</v>
          </cell>
          <cell r="BB101" t="str">
            <v>0</v>
          </cell>
          <cell r="BC101" t="str">
            <v>0</v>
          </cell>
          <cell r="BD101" t="str">
            <v>만26세</v>
          </cell>
          <cell r="BE101" t="str">
            <v>무한대</v>
          </cell>
          <cell r="BF101" t="str">
            <v>5억</v>
          </cell>
          <cell r="BG101" t="str">
            <v>2억/3천만</v>
          </cell>
          <cell r="BH101" t="str">
            <v>2억원/1인당</v>
          </cell>
          <cell r="BI101" t="str">
            <v>50만원</v>
          </cell>
          <cell r="BJ101" t="str">
            <v>가족한정/임직원</v>
          </cell>
          <cell r="BK101" t="str">
            <v>5회/년</v>
          </cell>
          <cell r="BL101" t="str">
            <v>가입</v>
          </cell>
          <cell r="BM101" t="str">
            <v>미가입</v>
          </cell>
          <cell r="BN101" t="str">
            <v>미가입</v>
          </cell>
          <cell r="BO101" t="str">
            <v>브랜드보증 외 사용자 부담</v>
          </cell>
          <cell r="BP101" t="str">
            <v>0</v>
          </cell>
          <cell r="BQ101" t="str">
            <v>0</v>
          </cell>
          <cell r="BR101">
            <v>71976</v>
          </cell>
          <cell r="BS101" t="str">
            <v>0</v>
          </cell>
          <cell r="BT101" t="str">
            <v>0</v>
          </cell>
          <cell r="BU101" t="str">
            <v>0</v>
          </cell>
          <cell r="BV101" t="str">
            <v>0</v>
          </cell>
          <cell r="BW101" t="str">
            <v>0</v>
          </cell>
          <cell r="BX101" t="str">
            <v>0</v>
          </cell>
          <cell r="BY101" t="str">
            <v>0</v>
          </cell>
          <cell r="BZ101" t="str">
            <v>0</v>
          </cell>
          <cell r="CA101" t="str">
            <v>0</v>
          </cell>
          <cell r="CB101" t="str">
            <v>말일</v>
          </cell>
          <cell r="CC101" t="str">
            <v>말일</v>
          </cell>
          <cell r="CD101">
            <v>3014000</v>
          </cell>
          <cell r="CE101">
            <v>60</v>
          </cell>
          <cell r="CF101">
            <v>180840000</v>
          </cell>
          <cell r="CG101">
            <v>62730000</v>
          </cell>
          <cell r="CH101" t="str">
            <v>0</v>
          </cell>
          <cell r="CI101">
            <v>62730000</v>
          </cell>
          <cell r="CJ101">
            <v>0.03</v>
          </cell>
          <cell r="CK101">
            <v>0.06</v>
          </cell>
          <cell r="CL101" t="str">
            <v>induspia3@naver.com</v>
          </cell>
          <cell r="CM101" t="str">
            <v>0</v>
          </cell>
          <cell r="CN101" t="str">
            <v>0</v>
          </cell>
          <cell r="CO101">
            <v>0.03</v>
          </cell>
          <cell r="CP101" t="str">
            <v>0</v>
          </cell>
          <cell r="CQ101" t="str">
            <v>유리막/PPF</v>
          </cell>
          <cell r="CR101">
            <v>100000</v>
          </cell>
          <cell r="CS101" t="str">
            <v>골프백</v>
          </cell>
          <cell r="CT101">
            <v>300000</v>
          </cell>
          <cell r="CU101" t="str">
            <v>0</v>
          </cell>
          <cell r="CV101" t="str">
            <v>0</v>
          </cell>
          <cell r="CW101" t="str">
            <v>0</v>
          </cell>
          <cell r="CX101" t="str">
            <v>0</v>
          </cell>
          <cell r="CY101" t="str">
            <v>0</v>
          </cell>
          <cell r="CZ101" t="str">
            <v>0</v>
          </cell>
          <cell r="DA101" t="str">
            <v>0</v>
          </cell>
          <cell r="DB101" t="str">
            <v>효성</v>
          </cell>
          <cell r="DC101" t="str">
            <v>정선보 팀장</v>
          </cell>
          <cell r="DD101" t="str">
            <v>렌트베네핏</v>
          </cell>
          <cell r="DE101" t="str">
            <v>안광선(중앙인더스피아제3공장)</v>
          </cell>
          <cell r="DF101" t="str">
            <v>우리은행</v>
          </cell>
          <cell r="DG101" t="str">
            <v>1002-951-249199</v>
          </cell>
          <cell r="DH101" t="str">
            <v>129-01-08732</v>
          </cell>
          <cell r="DI101" t="str">
            <v>경기도 성남시 중원구 사기막골로105번길 27(상대원동)</v>
          </cell>
          <cell r="DJ101">
            <v>0.35</v>
          </cell>
          <cell r="DK101">
            <v>0.25</v>
          </cell>
          <cell r="DL101" t="str">
            <v>-</v>
          </cell>
          <cell r="DM101" t="str">
            <v>0</v>
          </cell>
          <cell r="DN101" t="str">
            <v>0</v>
          </cell>
          <cell r="DO101" t="str">
            <v>0</v>
          </cell>
          <cell r="DP101" t="str">
            <v>0</v>
          </cell>
        </row>
        <row r="102">
          <cell r="C102" t="str">
            <v>Ionic6-001</v>
          </cell>
          <cell r="D102" t="str">
            <v>(주)에이이엠테크</v>
          </cell>
          <cell r="E102" t="str">
            <v>이희웅 대표님</v>
          </cell>
          <cell r="F102" t="str">
            <v>010-4328-8158</v>
          </cell>
          <cell r="G102" t="str">
            <v>아이오닉6</v>
          </cell>
          <cell r="H102" t="str">
            <v>2WD 스탠다드 18인치 E-VALUE+</v>
          </cell>
          <cell r="I102">
            <v>51150000</v>
          </cell>
          <cell r="J102">
            <v>2026</v>
          </cell>
          <cell r="K102" t="str">
            <v>세레니티 화이트 펄/블랙원톤</v>
          </cell>
          <cell r="L102" t="str">
            <v>전기모터</v>
          </cell>
          <cell r="M102" t="str">
            <v>KMHM141BFTA114035</v>
          </cell>
          <cell r="N102" t="str">
            <v>01호8407</v>
          </cell>
          <cell r="O102" t="str">
            <v>-</v>
          </cell>
          <cell r="P102" t="str">
            <v>0</v>
          </cell>
          <cell r="Q102">
            <v>45931</v>
          </cell>
          <cell r="R102">
            <v>45915</v>
          </cell>
          <cell r="S102">
            <v>45945</v>
          </cell>
          <cell r="T102" t="str">
            <v>4</v>
          </cell>
          <cell r="U102">
            <v>47405</v>
          </cell>
          <cell r="V102">
            <v>38</v>
          </cell>
          <cell r="W102">
            <v>20000</v>
          </cell>
          <cell r="X102" t="str">
            <v>최진희 사원님</v>
          </cell>
          <cell r="Y102" t="str">
            <v>010-4406-3573</v>
          </cell>
          <cell r="Z102" t="str">
            <v>0</v>
          </cell>
          <cell r="AA102" t="str">
            <v>경기도 평택시 송탄로 421 송탄농협중앙지점</v>
          </cell>
          <cell r="AB102">
            <v>45961</v>
          </cell>
          <cell r="AC102">
            <v>1460</v>
          </cell>
          <cell r="AD102">
            <v>1160</v>
          </cell>
          <cell r="AE102" t="str">
            <v>25090126</v>
          </cell>
          <cell r="AF102">
            <v>51230000</v>
          </cell>
          <cell r="AG102">
            <v>2592385</v>
          </cell>
          <cell r="AH102">
            <v>48824615</v>
          </cell>
          <cell r="AI102">
            <v>187000</v>
          </cell>
          <cell r="AJ102">
            <v>1900</v>
          </cell>
          <cell r="AK102" t="str">
            <v>0</v>
          </cell>
          <cell r="AL102" t="str">
            <v>0</v>
          </cell>
          <cell r="AM102" t="str">
            <v>0</v>
          </cell>
          <cell r="AN102" t="str">
            <v>0</v>
          </cell>
          <cell r="AO102" t="str">
            <v>0</v>
          </cell>
          <cell r="AP102" t="str">
            <v>0</v>
          </cell>
          <cell r="AQ102">
            <v>220000</v>
          </cell>
          <cell r="AR102" t="str">
            <v>아이나비 Z9900</v>
          </cell>
          <cell r="AS102">
            <v>198000</v>
          </cell>
          <cell r="AT102" t="str">
            <v>버택스300 전면 35% 측후면 15%</v>
          </cell>
          <cell r="AU102" t="str">
            <v>0</v>
          </cell>
          <cell r="AV102" t="str">
            <v>0</v>
          </cell>
          <cell r="AW102" t="str">
            <v>렌터카 공제</v>
          </cell>
          <cell r="AX102" t="str">
            <v>0</v>
          </cell>
          <cell r="AY102" t="str">
            <v>0</v>
          </cell>
          <cell r="AZ102" t="str">
            <v>0</v>
          </cell>
          <cell r="BA102" t="str">
            <v>0</v>
          </cell>
          <cell r="BB102" t="str">
            <v>0</v>
          </cell>
          <cell r="BC102" t="str">
            <v>0</v>
          </cell>
          <cell r="BD102" t="str">
            <v>만26세</v>
          </cell>
          <cell r="BE102" t="str">
            <v>무한대</v>
          </cell>
          <cell r="BF102" t="str">
            <v>2억</v>
          </cell>
          <cell r="BG102" t="str">
            <v>1억/1500만</v>
          </cell>
          <cell r="BH102" t="str">
            <v>2억원/1인당</v>
          </cell>
          <cell r="BI102" t="str">
            <v>30만원</v>
          </cell>
          <cell r="BJ102" t="str">
            <v>임직원</v>
          </cell>
          <cell r="BK102" t="str">
            <v>5회/년</v>
          </cell>
          <cell r="BL102" t="str">
            <v>가입</v>
          </cell>
          <cell r="BM102" t="str">
            <v>가입</v>
          </cell>
          <cell r="BN102" t="str">
            <v>가입</v>
          </cell>
          <cell r="BO102" t="str">
            <v>렌트기간 4본</v>
          </cell>
          <cell r="BP102" t="str">
            <v>0</v>
          </cell>
          <cell r="BQ102" t="str">
            <v>0</v>
          </cell>
          <cell r="BR102">
            <v>0</v>
          </cell>
          <cell r="BS102" t="str">
            <v>0</v>
          </cell>
          <cell r="BT102" t="str">
            <v>0</v>
          </cell>
          <cell r="BU102" t="str">
            <v>0</v>
          </cell>
          <cell r="BV102" t="str">
            <v>0</v>
          </cell>
          <cell r="BW102" t="str">
            <v>0</v>
          </cell>
          <cell r="BX102" t="str">
            <v>0</v>
          </cell>
          <cell r="BY102" t="str">
            <v>0</v>
          </cell>
          <cell r="BZ102" t="str">
            <v>0</v>
          </cell>
          <cell r="CA102" t="str">
            <v>0</v>
          </cell>
          <cell r="CB102" t="str">
            <v>말일</v>
          </cell>
          <cell r="CC102" t="str">
            <v>말일</v>
          </cell>
          <cell r="CD102">
            <v>785000</v>
          </cell>
          <cell r="CE102">
            <v>48</v>
          </cell>
          <cell r="CF102">
            <v>37680000</v>
          </cell>
          <cell r="CG102">
            <v>15369000</v>
          </cell>
          <cell r="CH102" t="str">
            <v>0</v>
          </cell>
          <cell r="CI102">
            <v>20492000</v>
          </cell>
          <cell r="CJ102">
            <v>0.04</v>
          </cell>
          <cell r="CK102">
            <v>0.06</v>
          </cell>
          <cell r="CL102" t="str">
            <v>gwjung@aemtech.kr</v>
          </cell>
          <cell r="CM102" t="str">
            <v>0</v>
          </cell>
          <cell r="CN102" t="str">
            <v>0</v>
          </cell>
          <cell r="CO102">
            <v>0.03</v>
          </cell>
          <cell r="CP102" t="str">
            <v>0</v>
          </cell>
          <cell r="CQ102" t="str">
            <v>0</v>
          </cell>
          <cell r="CR102" t="str">
            <v>0</v>
          </cell>
          <cell r="CS102" t="str">
            <v>0</v>
          </cell>
          <cell r="CT102" t="str">
            <v>0</v>
          </cell>
          <cell r="CU102" t="str">
            <v>0</v>
          </cell>
          <cell r="CV102" t="str">
            <v>0</v>
          </cell>
          <cell r="CW102" t="str">
            <v>0</v>
          </cell>
          <cell r="CX102" t="str">
            <v>0</v>
          </cell>
          <cell r="CY102" t="str">
            <v>0</v>
          </cell>
          <cell r="CZ102" t="str">
            <v>0</v>
          </cell>
          <cell r="DA102" t="str">
            <v>0</v>
          </cell>
          <cell r="DB102" t="str">
            <v>현대</v>
          </cell>
          <cell r="DC102" t="str">
            <v>박현식 부장</v>
          </cell>
          <cell r="DD102" t="str">
            <v>렌트베네핏</v>
          </cell>
          <cell r="DE102" t="str">
            <v>㈜에이이엠테크</v>
          </cell>
          <cell r="DF102" t="str">
            <v>신한은행</v>
          </cell>
          <cell r="DG102" t="str">
            <v>100-018-174908</v>
          </cell>
          <cell r="DH102" t="str">
            <v>131-81-72578</v>
          </cell>
          <cell r="DI102" t="str">
            <v>경기도 수원시 권선구 산업로156번길 88-55(고색동)</v>
          </cell>
          <cell r="DJ102">
            <v>0.35</v>
          </cell>
          <cell r="DK102">
            <v>0.25</v>
          </cell>
          <cell r="DL102" t="str">
            <v>124611-0289303</v>
          </cell>
          <cell r="DM102" t="str">
            <v>0</v>
          </cell>
          <cell r="DN102" t="str">
            <v>0</v>
          </cell>
          <cell r="DO102" t="str">
            <v>0</v>
          </cell>
          <cell r="DP102" t="str">
            <v>0</v>
          </cell>
        </row>
        <row r="103">
          <cell r="C103" t="str">
            <v>Ionic6-002</v>
          </cell>
          <cell r="D103" t="str">
            <v>(주)에이이엠테크</v>
          </cell>
          <cell r="E103" t="str">
            <v>이희웅 대표님</v>
          </cell>
          <cell r="F103" t="str">
            <v>010-4328-8158</v>
          </cell>
          <cell r="G103" t="str">
            <v>아이오닉6</v>
          </cell>
          <cell r="H103" t="str">
            <v>2WD 스탠다드 18인치 E-VALUE+</v>
          </cell>
          <cell r="I103">
            <v>51150000</v>
          </cell>
          <cell r="J103">
            <v>2026</v>
          </cell>
          <cell r="K103" t="str">
            <v>세레니티 화이트 펄/블랙원톤</v>
          </cell>
          <cell r="L103" t="str">
            <v>전기모터</v>
          </cell>
          <cell r="M103" t="str">
            <v>KMHM141BFTA114031</v>
          </cell>
          <cell r="N103" t="str">
            <v>01호8406</v>
          </cell>
          <cell r="O103" t="str">
            <v>-</v>
          </cell>
          <cell r="P103" t="str">
            <v>0</v>
          </cell>
          <cell r="Q103">
            <v>45931</v>
          </cell>
          <cell r="R103">
            <v>45915</v>
          </cell>
          <cell r="S103">
            <v>45931</v>
          </cell>
          <cell r="T103" t="str">
            <v>4</v>
          </cell>
          <cell r="U103">
            <v>47391</v>
          </cell>
          <cell r="V103">
            <v>37</v>
          </cell>
          <cell r="W103">
            <v>20000</v>
          </cell>
          <cell r="X103" t="str">
            <v>최진희 사원님</v>
          </cell>
          <cell r="Y103" t="str">
            <v>010-4406-3573</v>
          </cell>
          <cell r="Z103" t="str">
            <v>0</v>
          </cell>
          <cell r="AA103" t="str">
            <v>경기도 용인시 기흥구 덕영대로1967번길 38-13</v>
          </cell>
          <cell r="AB103">
            <v>45961</v>
          </cell>
          <cell r="AC103">
            <v>1460</v>
          </cell>
          <cell r="AD103">
            <v>1146</v>
          </cell>
          <cell r="AE103" t="str">
            <v>25090127</v>
          </cell>
          <cell r="AF103">
            <v>51230000</v>
          </cell>
          <cell r="AG103">
            <v>2592385</v>
          </cell>
          <cell r="AH103">
            <v>48824615</v>
          </cell>
          <cell r="AI103">
            <v>187000</v>
          </cell>
          <cell r="AJ103">
            <v>1900</v>
          </cell>
          <cell r="AK103" t="str">
            <v>0</v>
          </cell>
          <cell r="AL103" t="str">
            <v>0</v>
          </cell>
          <cell r="AM103" t="str">
            <v>0</v>
          </cell>
          <cell r="AN103" t="str">
            <v>0</v>
          </cell>
          <cell r="AO103" t="str">
            <v>0</v>
          </cell>
          <cell r="AP103" t="str">
            <v>0</v>
          </cell>
          <cell r="AQ103">
            <v>220000</v>
          </cell>
          <cell r="AR103" t="str">
            <v>아이나비 Z9900</v>
          </cell>
          <cell r="AS103">
            <v>198000</v>
          </cell>
          <cell r="AT103" t="str">
            <v>버택스300 전면 35% 측후면 15%</v>
          </cell>
          <cell r="AU103" t="str">
            <v>0</v>
          </cell>
          <cell r="AV103" t="str">
            <v>0</v>
          </cell>
          <cell r="AW103" t="str">
            <v>렌터카 공제</v>
          </cell>
          <cell r="AX103" t="str">
            <v>0</v>
          </cell>
          <cell r="AY103" t="str">
            <v>0</v>
          </cell>
          <cell r="AZ103" t="str">
            <v>0</v>
          </cell>
          <cell r="BA103" t="str">
            <v>0</v>
          </cell>
          <cell r="BB103" t="str">
            <v>0</v>
          </cell>
          <cell r="BC103" t="str">
            <v>0</v>
          </cell>
          <cell r="BD103" t="str">
            <v>만26세</v>
          </cell>
          <cell r="BE103" t="str">
            <v>무한대</v>
          </cell>
          <cell r="BF103" t="str">
            <v>2억</v>
          </cell>
          <cell r="BG103" t="str">
            <v>1억/1500만</v>
          </cell>
          <cell r="BH103" t="str">
            <v>2억원/1인당</v>
          </cell>
          <cell r="BI103" t="str">
            <v>30만원</v>
          </cell>
          <cell r="BJ103" t="str">
            <v>임직원</v>
          </cell>
          <cell r="BK103" t="str">
            <v>5회/년</v>
          </cell>
          <cell r="BL103" t="str">
            <v>가입</v>
          </cell>
          <cell r="BM103" t="str">
            <v>가입</v>
          </cell>
          <cell r="BN103" t="str">
            <v>가입</v>
          </cell>
          <cell r="BO103" t="str">
            <v>렌트기간 4본</v>
          </cell>
          <cell r="BP103" t="str">
            <v>0</v>
          </cell>
          <cell r="BQ103" t="str">
            <v>0</v>
          </cell>
          <cell r="BR103">
            <v>0</v>
          </cell>
          <cell r="BS103" t="str">
            <v>0</v>
          </cell>
          <cell r="BT103" t="str">
            <v>0</v>
          </cell>
          <cell r="BU103" t="str">
            <v>0</v>
          </cell>
          <cell r="BV103" t="str">
            <v>0</v>
          </cell>
          <cell r="BW103" t="str">
            <v>0</v>
          </cell>
          <cell r="BX103" t="str">
            <v>0</v>
          </cell>
          <cell r="BY103" t="str">
            <v>0</v>
          </cell>
          <cell r="BZ103" t="str">
            <v>0</v>
          </cell>
          <cell r="CA103" t="str">
            <v>0</v>
          </cell>
          <cell r="CB103" t="str">
            <v>말일</v>
          </cell>
          <cell r="CC103" t="str">
            <v>말일</v>
          </cell>
          <cell r="CD103">
            <v>785000</v>
          </cell>
          <cell r="CE103">
            <v>48</v>
          </cell>
          <cell r="CF103">
            <v>37680000</v>
          </cell>
          <cell r="CG103">
            <v>15369000</v>
          </cell>
          <cell r="CH103" t="str">
            <v>0</v>
          </cell>
          <cell r="CI103">
            <v>20492000</v>
          </cell>
          <cell r="CJ103">
            <v>0.04</v>
          </cell>
          <cell r="CK103">
            <v>0.06</v>
          </cell>
          <cell r="CL103" t="str">
            <v>gwjung@aemtech.kr</v>
          </cell>
          <cell r="CM103" t="str">
            <v>0</v>
          </cell>
          <cell r="CN103" t="str">
            <v>0</v>
          </cell>
          <cell r="CO103">
            <v>0.03</v>
          </cell>
          <cell r="CP103" t="str">
            <v>0</v>
          </cell>
          <cell r="CQ103" t="str">
            <v>0</v>
          </cell>
          <cell r="CR103" t="str">
            <v>0</v>
          </cell>
          <cell r="CS103" t="str">
            <v>0</v>
          </cell>
          <cell r="CT103" t="str">
            <v>0</v>
          </cell>
          <cell r="CU103" t="str">
            <v>0</v>
          </cell>
          <cell r="CV103" t="str">
            <v>0</v>
          </cell>
          <cell r="CW103" t="str">
            <v>0</v>
          </cell>
          <cell r="CX103" t="str">
            <v>0</v>
          </cell>
          <cell r="CY103" t="str">
            <v>0</v>
          </cell>
          <cell r="CZ103" t="str">
            <v>0</v>
          </cell>
          <cell r="DA103" t="str">
            <v>0</v>
          </cell>
          <cell r="DB103" t="str">
            <v>현대</v>
          </cell>
          <cell r="DC103" t="str">
            <v>박현식 부장</v>
          </cell>
          <cell r="DD103" t="str">
            <v>렌트베네핏</v>
          </cell>
          <cell r="DE103" t="str">
            <v>㈜에이이엠테크</v>
          </cell>
          <cell r="DF103" t="str">
            <v>신한은행</v>
          </cell>
          <cell r="DG103" t="str">
            <v>100-018-174908</v>
          </cell>
          <cell r="DH103" t="str">
            <v>131-81-72578</v>
          </cell>
          <cell r="DI103" t="str">
            <v>경기도 수원시 권선구 산업로156번길 88-55(고색동)</v>
          </cell>
          <cell r="DJ103">
            <v>0.35</v>
          </cell>
          <cell r="DK103">
            <v>0.25</v>
          </cell>
          <cell r="DL103" t="str">
            <v>124611-0289303</v>
          </cell>
          <cell r="DM103" t="str">
            <v>0</v>
          </cell>
          <cell r="DN103" t="str">
            <v>0</v>
          </cell>
          <cell r="DO103" t="str">
            <v>0</v>
          </cell>
          <cell r="DP103" t="str">
            <v>0</v>
          </cell>
        </row>
        <row r="104">
          <cell r="C104" t="str">
            <v>Benz-003</v>
          </cell>
          <cell r="D104" t="str">
            <v>법무법인(유)화우</v>
          </cell>
          <cell r="E104" t="str">
            <v>이명수 대표님</v>
          </cell>
          <cell r="F104" t="str">
            <v>-</v>
          </cell>
          <cell r="G104" t="str">
            <v>GLE450</v>
          </cell>
          <cell r="H104" t="str">
            <v>4M</v>
          </cell>
          <cell r="I104">
            <v>31579800</v>
          </cell>
          <cell r="J104">
            <v>2021</v>
          </cell>
          <cell r="K104" t="str">
            <v xml:space="preserve">Obsidian Black/Leather black </v>
          </cell>
          <cell r="L104" t="str">
            <v>가솔린</v>
          </cell>
          <cell r="M104" t="str">
            <v>W1NFB5KB2MA564614</v>
          </cell>
          <cell r="N104" t="str">
            <v>125호2333</v>
          </cell>
          <cell r="O104" t="str">
            <v>-</v>
          </cell>
          <cell r="P104">
            <v>2999</v>
          </cell>
          <cell r="Q104">
            <v>44512</v>
          </cell>
          <cell r="R104">
            <v>45966</v>
          </cell>
          <cell r="S104">
            <v>45974</v>
          </cell>
          <cell r="T104" t="str">
            <v>1</v>
          </cell>
          <cell r="U104">
            <v>46339</v>
          </cell>
          <cell r="V104">
            <v>3</v>
          </cell>
          <cell r="W104">
            <v>20000</v>
          </cell>
          <cell r="X104" t="str">
            <v>김기조 대리님</v>
          </cell>
          <cell r="Y104" t="str">
            <v>010-5591-5374</v>
          </cell>
          <cell r="Z104" t="str">
            <v>0</v>
          </cell>
          <cell r="AA104" t="str">
            <v>청담전시장</v>
          </cell>
          <cell r="AB104">
            <v>46016</v>
          </cell>
          <cell r="AC104">
            <v>365</v>
          </cell>
          <cell r="AD104">
            <v>94</v>
          </cell>
          <cell r="AE104">
            <v>24110003</v>
          </cell>
          <cell r="AF104">
            <v>113856000</v>
          </cell>
          <cell r="AG104">
            <v>0</v>
          </cell>
          <cell r="AH104">
            <v>113856000</v>
          </cell>
          <cell r="AI104">
            <v>0</v>
          </cell>
          <cell r="AJ104">
            <v>0</v>
          </cell>
          <cell r="AK104">
            <v>4140210</v>
          </cell>
          <cell r="AL104">
            <v>201254</v>
          </cell>
          <cell r="AM104">
            <v>5000</v>
          </cell>
          <cell r="AN104">
            <v>21500</v>
          </cell>
          <cell r="AO104">
            <v>30000</v>
          </cell>
          <cell r="AP104">
            <v>0</v>
          </cell>
          <cell r="AQ104">
            <v>0</v>
          </cell>
          <cell r="AR104" t="str">
            <v>벤츠블랙박스</v>
          </cell>
          <cell r="AS104">
            <v>0</v>
          </cell>
          <cell r="AT104" t="str">
            <v>후푸옵틱 측후면 15% 전면 50%</v>
          </cell>
          <cell r="AU104">
            <v>4397964</v>
          </cell>
          <cell r="AV104">
            <v>4397964</v>
          </cell>
          <cell r="AW104" t="str">
            <v>렌터카 공제</v>
          </cell>
          <cell r="AX104">
            <v>44512</v>
          </cell>
          <cell r="AY104">
            <v>4074800</v>
          </cell>
          <cell r="AZ104">
            <v>1134440</v>
          </cell>
          <cell r="BA104" t="str">
            <v>0</v>
          </cell>
          <cell r="BB104" t="str">
            <v>0</v>
          </cell>
          <cell r="BC104" t="str">
            <v>0</v>
          </cell>
          <cell r="BD104" t="str">
            <v>만26세</v>
          </cell>
          <cell r="BE104" t="str">
            <v>무한대</v>
          </cell>
          <cell r="BF104" t="str">
            <v>5억</v>
          </cell>
          <cell r="BG104" t="str">
            <v>2억/3천만</v>
          </cell>
          <cell r="BH104" t="str">
            <v>2억원/1인당</v>
          </cell>
          <cell r="BI104" t="str">
            <v>50만원</v>
          </cell>
          <cell r="BJ104" t="str">
            <v>임직원</v>
          </cell>
          <cell r="BK104" t="str">
            <v>5회/년</v>
          </cell>
          <cell r="BL104" t="str">
            <v>가입</v>
          </cell>
          <cell r="BM104" t="str">
            <v>미가입</v>
          </cell>
          <cell r="BN104" t="str">
            <v>브랜드보증 외 사용자 부담</v>
          </cell>
          <cell r="BO104" t="str">
            <v>브랜드보증 외 사용자 부담</v>
          </cell>
          <cell r="BP104" t="str">
            <v>Bridge stone 앞,뒤 275 50R / 20</v>
          </cell>
          <cell r="BQ104" t="str">
            <v>0</v>
          </cell>
          <cell r="BR104">
            <v>71976</v>
          </cell>
          <cell r="BS104" t="str">
            <v>메리츠캐피탈</v>
          </cell>
          <cell r="BT104">
            <v>44511</v>
          </cell>
          <cell r="BU104">
            <v>101571000</v>
          </cell>
          <cell r="BV104" t="str">
            <v>36</v>
          </cell>
          <cell r="BW104">
            <v>3067700</v>
          </cell>
          <cell r="BX104">
            <v>111382117</v>
          </cell>
          <cell r="BY104">
            <v>9811117</v>
          </cell>
          <cell r="BZ104">
            <v>3.0599999999999999E-2</v>
          </cell>
          <cell r="CA104" t="str">
            <v>0</v>
          </cell>
          <cell r="CB104" t="str">
            <v>25</v>
          </cell>
          <cell r="CC104" t="str">
            <v>25</v>
          </cell>
          <cell r="CD104">
            <v>1357000</v>
          </cell>
          <cell r="CE104">
            <v>12</v>
          </cell>
          <cell r="CF104">
            <v>16284000</v>
          </cell>
          <cell r="CG104">
            <v>12360000</v>
          </cell>
          <cell r="CH104">
            <v>0</v>
          </cell>
          <cell r="CI104">
            <v>22105860</v>
          </cell>
          <cell r="CJ104">
            <v>0</v>
          </cell>
          <cell r="CK104">
            <v>0</v>
          </cell>
          <cell r="CL104" t="str">
            <v>bdlee@hwawoo.com</v>
          </cell>
          <cell r="CM104" t="str">
            <v>sjk@hwawoo.com</v>
          </cell>
          <cell r="CN104" t="str">
            <v>0</v>
          </cell>
          <cell r="CO104">
            <v>0.03</v>
          </cell>
          <cell r="CP104" t="str">
            <v>0</v>
          </cell>
          <cell r="CQ104">
            <v>0</v>
          </cell>
          <cell r="CR104">
            <v>0</v>
          </cell>
          <cell r="CS104">
            <v>0</v>
          </cell>
          <cell r="CT104">
            <v>0</v>
          </cell>
          <cell r="CU104">
            <v>0</v>
          </cell>
          <cell r="CV104">
            <v>0</v>
          </cell>
          <cell r="CW104">
            <v>0</v>
          </cell>
          <cell r="CX104">
            <v>0</v>
          </cell>
          <cell r="CY104">
            <v>0</v>
          </cell>
          <cell r="CZ104">
            <v>0</v>
          </cell>
          <cell r="DA104">
            <v>0</v>
          </cell>
          <cell r="DB104" t="str">
            <v>한성</v>
          </cell>
          <cell r="DC104" t="str">
            <v>정원철 부장</v>
          </cell>
          <cell r="DD104" t="str">
            <v>청담</v>
          </cell>
          <cell r="DE104" t="str">
            <v>법무법인(유)화우</v>
          </cell>
          <cell r="DF104" t="str">
            <v>하나은행</v>
          </cell>
          <cell r="DG104" t="str">
            <v>249-890108-34305</v>
          </cell>
          <cell r="DH104" t="str">
            <v>120-86-47851</v>
          </cell>
          <cell r="DI104" t="str">
            <v>서울시 강남구 영동대로 517(삼성동, 아셈타워 18,19,22,23,34층)</v>
          </cell>
          <cell r="DJ104">
            <v>0.35</v>
          </cell>
          <cell r="DK104">
            <v>0.25</v>
          </cell>
          <cell r="DL104" t="str">
            <v>114646-0038056</v>
          </cell>
          <cell r="DM104" t="str">
            <v>0</v>
          </cell>
          <cell r="DN104" t="str">
            <v>0</v>
          </cell>
          <cell r="DO104" t="str">
            <v>0</v>
          </cell>
          <cell r="DP104" t="str">
            <v>0</v>
          </cell>
        </row>
        <row r="105">
          <cell r="C105" t="str">
            <v>G80-008</v>
          </cell>
          <cell r="D105" t="str">
            <v>㈜지엔</v>
          </cell>
          <cell r="E105" t="str">
            <v>이명용 대표님</v>
          </cell>
          <cell r="F105" t="str">
            <v>010-5246-6806</v>
          </cell>
          <cell r="G105" t="str">
            <v>G80</v>
          </cell>
          <cell r="H105" t="str">
            <v>2.5T AWD</v>
          </cell>
          <cell r="I105">
            <v>65250000</v>
          </cell>
          <cell r="J105">
            <v>2025</v>
          </cell>
          <cell r="K105" t="str">
            <v>테즈먼 블루/옵시디언 블랙 모노톤</v>
          </cell>
          <cell r="L105" t="str">
            <v>가솔린</v>
          </cell>
          <cell r="M105" t="str">
            <v>KMTGB41CDTU322678</v>
          </cell>
          <cell r="N105" t="str">
            <v>142호9486</v>
          </cell>
          <cell r="O105" t="str">
            <v>파퓰어 패키지(225만)</v>
          </cell>
          <cell r="P105">
            <v>2497</v>
          </cell>
          <cell r="Q105">
            <v>45985</v>
          </cell>
          <cell r="R105">
            <v>45979</v>
          </cell>
          <cell r="S105">
            <v>45987</v>
          </cell>
          <cell r="T105" t="str">
            <v>4</v>
          </cell>
          <cell r="U105">
            <v>47447</v>
          </cell>
          <cell r="V105">
            <v>39</v>
          </cell>
          <cell r="W105">
            <v>20000</v>
          </cell>
          <cell r="X105" t="str">
            <v>이현중 팀장님</v>
          </cell>
          <cell r="Y105" t="str">
            <v>010-4611-9239</v>
          </cell>
          <cell r="Z105" t="str">
            <v>0</v>
          </cell>
          <cell r="AA105" t="str">
            <v>경기도 의왕시 뒷골길 24 (손내동)</v>
          </cell>
          <cell r="AB105">
            <v>46016</v>
          </cell>
          <cell r="AC105">
            <v>1460</v>
          </cell>
          <cell r="AD105">
            <v>1202</v>
          </cell>
          <cell r="AE105" t="str">
            <v>25110129</v>
          </cell>
          <cell r="AF105">
            <v>59925897</v>
          </cell>
          <cell r="AG105">
            <v>3906103</v>
          </cell>
          <cell r="AH105">
            <v>56019794</v>
          </cell>
          <cell r="AI105">
            <v>332000</v>
          </cell>
          <cell r="AJ105">
            <v>2000</v>
          </cell>
          <cell r="AK105">
            <v>2197300</v>
          </cell>
          <cell r="AL105">
            <v>348768</v>
          </cell>
          <cell r="AM105">
            <v>2000</v>
          </cell>
          <cell r="AN105">
            <v>45000</v>
          </cell>
          <cell r="AO105">
            <v>50000</v>
          </cell>
          <cell r="AP105" t="str">
            <v>0</v>
          </cell>
          <cell r="AQ105" t="str">
            <v>0</v>
          </cell>
          <cell r="AR105" t="str">
            <v>0</v>
          </cell>
          <cell r="AS105">
            <v>198000</v>
          </cell>
          <cell r="AT105" t="str">
            <v>버텍스(전면 35%, 1열 15%, 2열후면 5%)</v>
          </cell>
          <cell r="AU105" t="str">
            <v>0</v>
          </cell>
          <cell r="AV105" t="str">
            <v>0</v>
          </cell>
          <cell r="AW105" t="str">
            <v>렌터카 공제</v>
          </cell>
          <cell r="AX105" t="str">
            <v>0</v>
          </cell>
          <cell r="AY105" t="str">
            <v>0</v>
          </cell>
          <cell r="AZ105" t="str">
            <v>0</v>
          </cell>
          <cell r="BA105" t="str">
            <v>0</v>
          </cell>
          <cell r="BB105" t="str">
            <v>0</v>
          </cell>
          <cell r="BC105" t="str">
            <v>0</v>
          </cell>
          <cell r="BD105" t="str">
            <v>만26세</v>
          </cell>
          <cell r="BE105" t="str">
            <v>무한대</v>
          </cell>
          <cell r="BF105" t="str">
            <v>5억</v>
          </cell>
          <cell r="BG105" t="str">
            <v>2억/3천만</v>
          </cell>
          <cell r="BH105" t="str">
            <v>2억원/1인당</v>
          </cell>
          <cell r="BI105" t="str">
            <v>50만원</v>
          </cell>
          <cell r="BJ105" t="str">
            <v>임직원</v>
          </cell>
          <cell r="BK105" t="str">
            <v>5회/년</v>
          </cell>
          <cell r="BL105" t="str">
            <v>가입</v>
          </cell>
          <cell r="BM105" t="str">
            <v>가입</v>
          </cell>
          <cell r="BN105" t="str">
            <v>브랜드보증 외 사용자 부담</v>
          </cell>
          <cell r="BO105" t="str">
            <v>브랜드보증 외 사용자 부담</v>
          </cell>
          <cell r="BP105" t="str">
            <v>0</v>
          </cell>
          <cell r="BQ105" t="str">
            <v>0</v>
          </cell>
          <cell r="BR105">
            <v>47443</v>
          </cell>
          <cell r="BS105" t="str">
            <v>현금</v>
          </cell>
          <cell r="BT105" t="str">
            <v>0</v>
          </cell>
          <cell r="BU105" t="str">
            <v>0</v>
          </cell>
          <cell r="BV105" t="str">
            <v>0</v>
          </cell>
          <cell r="BW105" t="str">
            <v>0</v>
          </cell>
          <cell r="BX105" t="str">
            <v>0</v>
          </cell>
          <cell r="BY105" t="str">
            <v>0</v>
          </cell>
          <cell r="BZ105">
            <v>0</v>
          </cell>
          <cell r="CA105" t="str">
            <v>0</v>
          </cell>
          <cell r="CB105" t="str">
            <v>25</v>
          </cell>
          <cell r="CC105" t="str">
            <v>25</v>
          </cell>
          <cell r="CD105">
            <v>1135000</v>
          </cell>
          <cell r="CE105">
            <v>48</v>
          </cell>
          <cell r="CF105">
            <v>54480000</v>
          </cell>
          <cell r="CG105">
            <v>19575000</v>
          </cell>
          <cell r="CH105">
            <v>0</v>
          </cell>
          <cell r="CI105">
            <v>36540000</v>
          </cell>
          <cell r="CJ105">
            <v>0.03</v>
          </cell>
          <cell r="CK105">
            <v>0.06</v>
          </cell>
          <cell r="CL105" t="str">
            <v>gn6893348@naver.com</v>
          </cell>
          <cell r="CM105" t="str">
            <v>0</v>
          </cell>
          <cell r="CN105" t="str">
            <v>010-2079-8864</v>
          </cell>
          <cell r="CO105">
            <v>0.03</v>
          </cell>
          <cell r="CP105" t="str">
            <v>0</v>
          </cell>
          <cell r="CQ105" t="str">
            <v>코일매트</v>
          </cell>
          <cell r="CR105">
            <v>52800</v>
          </cell>
          <cell r="CS105" t="str">
            <v>PPF</v>
          </cell>
          <cell r="CT105">
            <v>40000</v>
          </cell>
          <cell r="CU105">
            <v>0</v>
          </cell>
          <cell r="CV105">
            <v>0</v>
          </cell>
          <cell r="CW105">
            <v>0</v>
          </cell>
          <cell r="CX105">
            <v>0</v>
          </cell>
          <cell r="CY105">
            <v>0</v>
          </cell>
          <cell r="CZ105">
            <v>0</v>
          </cell>
          <cell r="DA105">
            <v>0</v>
          </cell>
          <cell r="DB105" t="str">
            <v>현대</v>
          </cell>
          <cell r="DC105" t="str">
            <v>박현식 부장</v>
          </cell>
          <cell r="DD105" t="str">
            <v>렌트베네핏</v>
          </cell>
          <cell r="DE105" t="str">
            <v>주식회사 지엔</v>
          </cell>
          <cell r="DF105" t="str">
            <v>IBK기업은행</v>
          </cell>
          <cell r="DG105" t="str">
            <v>241-10556004-013</v>
          </cell>
          <cell r="DH105" t="str">
            <v>314-88-00246</v>
          </cell>
          <cell r="DI105" t="str">
            <v>경기도 의왕시 뒷골길 24, 1층(내손동)</v>
          </cell>
          <cell r="DJ105">
            <v>0.35</v>
          </cell>
          <cell r="DK105">
            <v>0.25</v>
          </cell>
          <cell r="DL105" t="str">
            <v>134111-0423454</v>
          </cell>
          <cell r="DM105">
            <v>3301837</v>
          </cell>
          <cell r="DN105" t="str">
            <v>0</v>
          </cell>
          <cell r="DO105" t="str">
            <v>0</v>
          </cell>
          <cell r="DP105" t="str">
            <v>0</v>
          </cell>
        </row>
        <row r="106">
          <cell r="C106" t="str">
            <v>Benz-001</v>
          </cell>
          <cell r="D106" t="str">
            <v>㈜한촌</v>
          </cell>
          <cell r="E106" t="str">
            <v>정보연 대표님</v>
          </cell>
          <cell r="F106" t="str">
            <v>010-5473-5572</v>
          </cell>
          <cell r="G106" t="str">
            <v>S500</v>
          </cell>
          <cell r="H106" t="str">
            <v>4M L</v>
          </cell>
          <cell r="I106">
            <v>193600000</v>
          </cell>
          <cell r="J106">
            <v>2021</v>
          </cell>
          <cell r="K106" t="str">
            <v>High-tech Silver/bl</v>
          </cell>
          <cell r="L106" t="str">
            <v>가솔린</v>
          </cell>
          <cell r="M106" t="str">
            <v>W1K6G6DB5NA071724</v>
          </cell>
          <cell r="N106" t="str">
            <v>101하7215</v>
          </cell>
          <cell r="O106" t="str">
            <v>-</v>
          </cell>
          <cell r="P106">
            <v>2999</v>
          </cell>
          <cell r="Q106">
            <v>44503</v>
          </cell>
          <cell r="R106">
            <v>44607</v>
          </cell>
          <cell r="S106">
            <v>44610</v>
          </cell>
          <cell r="T106" t="str">
            <v>5</v>
          </cell>
          <cell r="U106">
            <v>46435</v>
          </cell>
          <cell r="V106">
            <v>6</v>
          </cell>
          <cell r="W106">
            <v>20000</v>
          </cell>
          <cell r="X106" t="str">
            <v>김경민 팀장님</v>
          </cell>
          <cell r="Y106" t="str">
            <v>010-3582-6929</v>
          </cell>
          <cell r="Z106" t="str">
            <v>0</v>
          </cell>
          <cell r="AA106" t="str">
            <v xml:space="preserve"> 한촌설렁탕 부천점 경기 부천시 경인로 92</v>
          </cell>
          <cell r="AB106">
            <v>44617</v>
          </cell>
          <cell r="AC106">
            <v>1825</v>
          </cell>
          <cell r="AD106">
            <v>190</v>
          </cell>
          <cell r="AE106">
            <v>22020015</v>
          </cell>
          <cell r="AF106">
            <v>186816000</v>
          </cell>
          <cell r="AG106">
            <v>0</v>
          </cell>
          <cell r="AH106">
            <v>186816000</v>
          </cell>
          <cell r="AI106">
            <v>0</v>
          </cell>
          <cell r="AJ106">
            <v>0</v>
          </cell>
          <cell r="AK106">
            <v>6793300</v>
          </cell>
          <cell r="AL106">
            <v>548437</v>
          </cell>
          <cell r="AM106">
            <v>5000</v>
          </cell>
          <cell r="AN106">
            <v>21500</v>
          </cell>
          <cell r="AO106">
            <v>30000</v>
          </cell>
          <cell r="AP106">
            <v>0</v>
          </cell>
          <cell r="AQ106">
            <v>0</v>
          </cell>
          <cell r="AR106" t="str">
            <v>벤츠블랙박스</v>
          </cell>
          <cell r="AS106">
            <v>240000</v>
          </cell>
          <cell r="AT106" t="str">
            <v>후푸옵틱 측후면 15% 전면 50%</v>
          </cell>
          <cell r="AU106">
            <v>7398237</v>
          </cell>
          <cell r="AV106">
            <v>7638237</v>
          </cell>
          <cell r="AW106" t="str">
            <v>렌터카 공제</v>
          </cell>
          <cell r="AX106">
            <v>44503</v>
          </cell>
          <cell r="AY106">
            <v>5738330</v>
          </cell>
          <cell r="AZ106">
            <v>1142540</v>
          </cell>
          <cell r="BA106" t="str">
            <v>0</v>
          </cell>
          <cell r="BB106" t="str">
            <v>0</v>
          </cell>
          <cell r="BC106" t="str">
            <v>0</v>
          </cell>
          <cell r="BD106" t="str">
            <v>만26세</v>
          </cell>
          <cell r="BE106" t="str">
            <v>무한대</v>
          </cell>
          <cell r="BF106" t="str">
            <v>5억</v>
          </cell>
          <cell r="BG106" t="str">
            <v>2억/3천만</v>
          </cell>
          <cell r="BH106" t="str">
            <v>2억원/1인당</v>
          </cell>
          <cell r="BI106" t="str">
            <v>50만원</v>
          </cell>
          <cell r="BJ106" t="str">
            <v>임직원</v>
          </cell>
          <cell r="BK106" t="str">
            <v>5회/년</v>
          </cell>
          <cell r="BL106" t="str">
            <v>가입</v>
          </cell>
          <cell r="BM106" t="str">
            <v>미가입</v>
          </cell>
          <cell r="BN106" t="str">
            <v>브랜드보증 외 사용자 부담</v>
          </cell>
          <cell r="BO106" t="str">
            <v>브랜드보증 외 사용자 부담</v>
          </cell>
          <cell r="BP106" t="str">
            <v>0</v>
          </cell>
          <cell r="BQ106" t="str">
            <v>0</v>
          </cell>
          <cell r="BR106">
            <v>71976</v>
          </cell>
          <cell r="BS106" t="str">
            <v>현금</v>
          </cell>
          <cell r="BT106" t="str">
            <v>0</v>
          </cell>
          <cell r="BU106" t="str">
            <v>0</v>
          </cell>
          <cell r="BV106" t="str">
            <v>0</v>
          </cell>
          <cell r="BW106" t="str">
            <v>0</v>
          </cell>
          <cell r="BX106" t="str">
            <v>0</v>
          </cell>
          <cell r="BY106" t="str">
            <v>0</v>
          </cell>
          <cell r="BZ106">
            <v>0</v>
          </cell>
          <cell r="CA106" t="str">
            <v>0</v>
          </cell>
          <cell r="CB106" t="str">
            <v>25</v>
          </cell>
          <cell r="CC106" t="str">
            <v>25</v>
          </cell>
          <cell r="CD106">
            <v>3383160</v>
          </cell>
          <cell r="CE106">
            <v>60</v>
          </cell>
          <cell r="CF106">
            <v>202989600</v>
          </cell>
          <cell r="CG106">
            <v>54494000</v>
          </cell>
          <cell r="CH106" t="str">
            <v>0</v>
          </cell>
          <cell r="CI106">
            <v>54494000</v>
          </cell>
          <cell r="CJ106">
            <v>3.0000000000000001E-3</v>
          </cell>
          <cell r="CK106">
            <v>0.06</v>
          </cell>
          <cell r="CL106" t="str">
            <v>kkm0410@hanchon.kr</v>
          </cell>
          <cell r="CM106" t="str">
            <v>0</v>
          </cell>
          <cell r="CN106" t="str">
            <v>0</v>
          </cell>
          <cell r="CO106">
            <v>0.03</v>
          </cell>
          <cell r="CP106" t="str">
            <v>0</v>
          </cell>
          <cell r="CQ106">
            <v>0</v>
          </cell>
          <cell r="CR106">
            <v>0</v>
          </cell>
          <cell r="CS106">
            <v>0</v>
          </cell>
          <cell r="CT106">
            <v>0</v>
          </cell>
          <cell r="CU106">
            <v>0</v>
          </cell>
          <cell r="CV106">
            <v>0</v>
          </cell>
          <cell r="CW106">
            <v>0</v>
          </cell>
          <cell r="CX106">
            <v>0</v>
          </cell>
          <cell r="CY106">
            <v>0</v>
          </cell>
          <cell r="CZ106">
            <v>0</v>
          </cell>
          <cell r="DA106">
            <v>0</v>
          </cell>
          <cell r="DB106" t="str">
            <v>한성</v>
          </cell>
          <cell r="DC106" t="str">
            <v>김성진 팀장</v>
          </cell>
          <cell r="DD106" t="str">
            <v>청담</v>
          </cell>
          <cell r="DE106" t="str">
            <v>0</v>
          </cell>
          <cell r="DF106" t="str">
            <v>0</v>
          </cell>
          <cell r="DG106" t="str">
            <v>0</v>
          </cell>
          <cell r="DH106" t="str">
            <v>130-18-56421</v>
          </cell>
          <cell r="DI106" t="str">
            <v>주소 없음</v>
          </cell>
          <cell r="DJ106">
            <v>0.3</v>
          </cell>
          <cell r="DK106">
            <v>0.2</v>
          </cell>
          <cell r="DL106" t="str">
            <v>0</v>
          </cell>
          <cell r="DM106" t="str">
            <v>0</v>
          </cell>
          <cell r="DN106" t="str">
            <v>0</v>
          </cell>
          <cell r="DO106" t="str">
            <v>0</v>
          </cell>
          <cell r="DP106" t="str">
            <v>0</v>
          </cell>
        </row>
        <row r="107">
          <cell r="C107" t="str">
            <v>G80-001</v>
          </cell>
          <cell r="D107" t="str">
            <v>이상빈</v>
          </cell>
          <cell r="E107" t="str">
            <v>이상빈 고객님</v>
          </cell>
          <cell r="F107" t="str">
            <v>010-8321-0684</v>
          </cell>
          <cell r="G107" t="str">
            <v>G80</v>
          </cell>
          <cell r="H107" t="str">
            <v>2.5T</v>
          </cell>
          <cell r="I107">
            <v>62000000</v>
          </cell>
          <cell r="J107">
            <v>2022</v>
          </cell>
          <cell r="K107" t="str">
            <v>마칼루 그레이/옵시디언 블랙 모노톤</v>
          </cell>
          <cell r="L107" t="str">
            <v>가솔린</v>
          </cell>
          <cell r="M107" t="str">
            <v>KMTGB41CDNU154297</v>
          </cell>
          <cell r="N107" t="str">
            <v>125호5247</v>
          </cell>
          <cell r="O107" t="str">
            <v>-</v>
          </cell>
          <cell r="P107">
            <v>2497</v>
          </cell>
          <cell r="Q107">
            <v>44777</v>
          </cell>
          <cell r="R107">
            <v>44767</v>
          </cell>
          <cell r="S107">
            <v>45965</v>
          </cell>
          <cell r="T107">
            <v>0.75</v>
          </cell>
          <cell r="U107">
            <v>46238.75</v>
          </cell>
          <cell r="V107" t="str">
            <v>-</v>
          </cell>
          <cell r="W107">
            <v>20000</v>
          </cell>
          <cell r="X107" t="str">
            <v>이상빈 고객님</v>
          </cell>
          <cell r="Y107" t="str">
            <v>010-8321-0684</v>
          </cell>
          <cell r="Z107" t="str">
            <v>0</v>
          </cell>
          <cell r="AA107" t="str">
            <v>서울시 서초구 양재천로 117-18</v>
          </cell>
          <cell r="AB107">
            <v>46016</v>
          </cell>
          <cell r="AC107">
            <v>273.75</v>
          </cell>
          <cell r="AD107">
            <v>-6.25</v>
          </cell>
          <cell r="AE107">
            <v>22070030</v>
          </cell>
          <cell r="AF107">
            <v>58547962</v>
          </cell>
          <cell r="AG107">
            <v>3784038</v>
          </cell>
          <cell r="AH107">
            <v>55095924</v>
          </cell>
          <cell r="AI107">
            <v>332000</v>
          </cell>
          <cell r="AJ107">
            <v>2000</v>
          </cell>
          <cell r="AK107">
            <v>2129010</v>
          </cell>
          <cell r="AL107">
            <v>250318</v>
          </cell>
          <cell r="AM107">
            <v>2000</v>
          </cell>
          <cell r="AN107">
            <v>45000</v>
          </cell>
          <cell r="AO107">
            <v>50000</v>
          </cell>
          <cell r="AP107" t="str">
            <v>0</v>
          </cell>
          <cell r="AQ107">
            <v>154000</v>
          </cell>
          <cell r="AR107" t="str">
            <v>아이트로닉스 X2 FHD-FHD 64GB</v>
          </cell>
          <cell r="AS107">
            <v>198000</v>
          </cell>
          <cell r="AT107" t="str">
            <v>버택스 전면 50% 측후면 35%</v>
          </cell>
          <cell r="AU107">
            <v>2479328</v>
          </cell>
          <cell r="AV107">
            <v>3162328</v>
          </cell>
          <cell r="AW107" t="str">
            <v>렌터카 공제</v>
          </cell>
          <cell r="AX107">
            <v>44777</v>
          </cell>
          <cell r="AY107">
            <v>1299680</v>
          </cell>
          <cell r="AZ107" t="str">
            <v>0</v>
          </cell>
          <cell r="BA107" t="str">
            <v>0</v>
          </cell>
          <cell r="BB107" t="str">
            <v>0</v>
          </cell>
          <cell r="BC107" t="str">
            <v>0</v>
          </cell>
          <cell r="BD107" t="str">
            <v>만26세</v>
          </cell>
          <cell r="BE107" t="str">
            <v>무한대</v>
          </cell>
          <cell r="BF107" t="str">
            <v>5억</v>
          </cell>
          <cell r="BG107" t="str">
            <v>2억/3천만</v>
          </cell>
          <cell r="BH107" t="str">
            <v>2억원/1인당</v>
          </cell>
          <cell r="BI107" t="str">
            <v>50만원</v>
          </cell>
          <cell r="BJ107" t="str">
            <v>임직원</v>
          </cell>
          <cell r="BK107" t="str">
            <v>5회/년</v>
          </cell>
          <cell r="BL107" t="str">
            <v>가입</v>
          </cell>
          <cell r="BM107" t="str">
            <v>미가입</v>
          </cell>
          <cell r="BN107" t="str">
            <v>브랜드보증 외 사용자 부담</v>
          </cell>
          <cell r="BO107" t="str">
            <v>브랜드보증 외 사용자 부담</v>
          </cell>
          <cell r="BP107" t="str">
            <v>0</v>
          </cell>
          <cell r="BQ107" t="str">
            <v>0</v>
          </cell>
          <cell r="BR107">
            <v>47443</v>
          </cell>
          <cell r="BS107" t="str">
            <v>현금</v>
          </cell>
          <cell r="BT107" t="str">
            <v>0</v>
          </cell>
          <cell r="BU107" t="str">
            <v>0</v>
          </cell>
          <cell r="BV107" t="str">
            <v>0</v>
          </cell>
          <cell r="BW107" t="str">
            <v>0</v>
          </cell>
          <cell r="BX107" t="str">
            <v>0</v>
          </cell>
          <cell r="BY107" t="str">
            <v>0</v>
          </cell>
          <cell r="BZ107">
            <v>0</v>
          </cell>
          <cell r="CA107" t="str">
            <v>0</v>
          </cell>
          <cell r="CB107" t="str">
            <v>25</v>
          </cell>
          <cell r="CC107" t="str">
            <v>25</v>
          </cell>
          <cell r="CD107">
            <v>1285000</v>
          </cell>
          <cell r="CE107">
            <v>9</v>
          </cell>
          <cell r="CF107">
            <v>11565000</v>
          </cell>
          <cell r="CG107">
            <v>18600000</v>
          </cell>
          <cell r="CH107">
            <v>0</v>
          </cell>
          <cell r="CI107">
            <v>18600000</v>
          </cell>
          <cell r="CJ107">
            <v>0</v>
          </cell>
          <cell r="CK107">
            <v>0.06</v>
          </cell>
          <cell r="CL107" t="str">
            <v>hellena0212@hanmail.net</v>
          </cell>
          <cell r="CM107" t="str">
            <v>0</v>
          </cell>
          <cell r="CN107" t="str">
            <v>0</v>
          </cell>
          <cell r="CO107">
            <v>0.03</v>
          </cell>
          <cell r="CP107" t="str">
            <v>0</v>
          </cell>
          <cell r="CQ107" t="str">
            <v>코일매트</v>
          </cell>
          <cell r="CR107">
            <v>52800</v>
          </cell>
          <cell r="CS107" t="str">
            <v>우산</v>
          </cell>
          <cell r="CT107">
            <v>15000</v>
          </cell>
          <cell r="CU107">
            <v>0</v>
          </cell>
          <cell r="CV107">
            <v>0</v>
          </cell>
          <cell r="CW107">
            <v>0</v>
          </cell>
          <cell r="CX107">
            <v>0</v>
          </cell>
          <cell r="CY107">
            <v>0</v>
          </cell>
          <cell r="CZ107">
            <v>0</v>
          </cell>
          <cell r="DA107">
            <v>0</v>
          </cell>
          <cell r="DB107" t="str">
            <v>현대</v>
          </cell>
          <cell r="DC107" t="str">
            <v>박현식 부장</v>
          </cell>
          <cell r="DD107" t="str">
            <v>렌트베네핏</v>
          </cell>
          <cell r="DE107" t="str">
            <v>이상빈</v>
          </cell>
          <cell r="DF107" t="str">
            <v>신한은행</v>
          </cell>
          <cell r="DG107" t="str">
            <v>110-021-307642</v>
          </cell>
          <cell r="DH107" t="str">
            <v>510817-1023729</v>
          </cell>
          <cell r="DI107" t="str">
            <v>서울시 서초구 양재천로 117-18</v>
          </cell>
          <cell r="DJ107">
            <v>0.3</v>
          </cell>
          <cell r="DK107">
            <v>0.2</v>
          </cell>
          <cell r="DL107" t="str">
            <v>0</v>
          </cell>
          <cell r="DM107" t="str">
            <v>0</v>
          </cell>
          <cell r="DN107" t="str">
            <v>0</v>
          </cell>
          <cell r="DO107" t="str">
            <v>0</v>
          </cell>
          <cell r="DP107" t="str">
            <v>0</v>
          </cell>
        </row>
        <row r="108">
          <cell r="C108" t="str">
            <v>Ray-054</v>
          </cell>
          <cell r="D108" t="str">
            <v>정상태</v>
          </cell>
          <cell r="E108" t="str">
            <v>정상태 고객님</v>
          </cell>
          <cell r="F108" t="str">
            <v>010-3322-1600</v>
          </cell>
          <cell r="G108" t="str">
            <v>더 뉴 레이</v>
          </cell>
          <cell r="H108" t="str">
            <v xml:space="preserve"> 가솔린 시그니처(A/T 2026MY)</v>
          </cell>
          <cell r="I108">
            <v>20030000</v>
          </cell>
          <cell r="J108">
            <v>2026</v>
          </cell>
          <cell r="K108" t="str">
            <v>클리어 확이트/라이트 그레이</v>
          </cell>
          <cell r="L108" t="str">
            <v>가솔린</v>
          </cell>
          <cell r="M108" t="str">
            <v>KNACH811BTT460300</v>
          </cell>
          <cell r="N108" t="str">
            <v>142호9555</v>
          </cell>
          <cell r="O108" t="str">
            <v>스타일(50만), 8인치 내비게이션(50만)</v>
          </cell>
          <cell r="P108">
            <v>998</v>
          </cell>
          <cell r="Q108">
            <v>46020</v>
          </cell>
          <cell r="R108">
            <v>45991</v>
          </cell>
          <cell r="S108">
            <v>46021</v>
          </cell>
          <cell r="T108" t="str">
            <v>1</v>
          </cell>
          <cell r="U108">
            <v>46386</v>
          </cell>
          <cell r="V108">
            <v>4</v>
          </cell>
          <cell r="W108">
            <v>20000</v>
          </cell>
          <cell r="X108" t="str">
            <v>정상태 고객님</v>
          </cell>
          <cell r="Y108" t="str">
            <v>010-3322-1600</v>
          </cell>
          <cell r="Z108" t="str">
            <v>0</v>
          </cell>
          <cell r="AA108" t="str">
            <v>경기도 하남시 위례대로 6길 20, 7103동1402호</v>
          </cell>
          <cell r="AB108">
            <v>46047</v>
          </cell>
          <cell r="AC108">
            <v>365</v>
          </cell>
          <cell r="AD108">
            <v>141</v>
          </cell>
          <cell r="AE108" t="str">
            <v>25110133</v>
          </cell>
          <cell r="AF108">
            <v>20030000</v>
          </cell>
          <cell r="AG108">
            <v>0</v>
          </cell>
          <cell r="AH108">
            <v>20030000</v>
          </cell>
          <cell r="AI108" t="str">
            <v>0</v>
          </cell>
          <cell r="AJ108" t="str">
            <v>0</v>
          </cell>
          <cell r="AK108" t="str">
            <v>0</v>
          </cell>
          <cell r="AL108" t="str">
            <v>0</v>
          </cell>
          <cell r="AM108" t="str">
            <v>0</v>
          </cell>
          <cell r="AN108" t="str">
            <v>0</v>
          </cell>
          <cell r="AO108" t="str">
            <v>0</v>
          </cell>
          <cell r="AP108" t="str">
            <v>0</v>
          </cell>
          <cell r="AQ108" t="str">
            <v>0</v>
          </cell>
          <cell r="AR108" t="str">
            <v>아이나비 Z7000</v>
          </cell>
          <cell r="AS108">
            <v>198000</v>
          </cell>
          <cell r="AT108" t="str">
            <v>버텍스(전면 35%, 1열 15%, 2열후면 5%)</v>
          </cell>
          <cell r="AU108" t="str">
            <v>0</v>
          </cell>
          <cell r="AV108" t="str">
            <v>0</v>
          </cell>
          <cell r="AW108" t="str">
            <v>렌터카 공제</v>
          </cell>
          <cell r="AX108" t="str">
            <v>0</v>
          </cell>
          <cell r="AY108" t="str">
            <v>0</v>
          </cell>
          <cell r="AZ108" t="str">
            <v>0</v>
          </cell>
          <cell r="BA108" t="str">
            <v>0</v>
          </cell>
          <cell r="BB108" t="str">
            <v>0</v>
          </cell>
          <cell r="BC108" t="str">
            <v>0</v>
          </cell>
          <cell r="BD108" t="str">
            <v>만26세</v>
          </cell>
          <cell r="BE108" t="str">
            <v>무한대</v>
          </cell>
          <cell r="BF108" t="str">
            <v>2억</v>
          </cell>
          <cell r="BG108" t="str">
            <v>1억/1500만</v>
          </cell>
          <cell r="BH108" t="str">
            <v>2억원/1인당</v>
          </cell>
          <cell r="BI108" t="str">
            <v>30만원</v>
          </cell>
          <cell r="BJ108" t="str">
            <v>임직원</v>
          </cell>
          <cell r="BK108" t="str">
            <v>5회/년</v>
          </cell>
          <cell r="BL108" t="str">
            <v>미가입</v>
          </cell>
          <cell r="BM108" t="str">
            <v>미가입</v>
          </cell>
          <cell r="BN108" t="str">
            <v>미가입</v>
          </cell>
          <cell r="BO108" t="str">
            <v>브랜드보증 외 사용자 부담</v>
          </cell>
          <cell r="BP108" t="str">
            <v>0</v>
          </cell>
          <cell r="BQ108" t="str">
            <v>0</v>
          </cell>
          <cell r="BR108">
            <v>17964</v>
          </cell>
          <cell r="BS108" t="str">
            <v>0</v>
          </cell>
          <cell r="BT108" t="str">
            <v>0</v>
          </cell>
          <cell r="BU108" t="str">
            <v>0</v>
          </cell>
          <cell r="BV108" t="str">
            <v>0</v>
          </cell>
          <cell r="BW108" t="str">
            <v>0</v>
          </cell>
          <cell r="BX108" t="str">
            <v>0</v>
          </cell>
          <cell r="BY108" t="str">
            <v>0</v>
          </cell>
          <cell r="BZ108" t="str">
            <v>0</v>
          </cell>
          <cell r="CA108" t="str">
            <v>0</v>
          </cell>
          <cell r="CB108" t="str">
            <v>25</v>
          </cell>
          <cell r="CC108" t="str">
            <v>25</v>
          </cell>
          <cell r="CD108">
            <v>509000</v>
          </cell>
          <cell r="CE108">
            <v>12</v>
          </cell>
          <cell r="CF108">
            <v>6108000</v>
          </cell>
          <cell r="CG108">
            <v>8000000</v>
          </cell>
          <cell r="CH108">
            <v>2000000</v>
          </cell>
          <cell r="CI108">
            <v>16024000</v>
          </cell>
          <cell r="CJ108">
            <v>0.03</v>
          </cell>
          <cell r="CK108">
            <v>0.06</v>
          </cell>
          <cell r="CL108" t="str">
            <v>1bdoffice@naver.com</v>
          </cell>
          <cell r="CM108" t="str">
            <v>0</v>
          </cell>
          <cell r="CN108" t="str">
            <v>0</v>
          </cell>
          <cell r="CO108">
            <v>0.03</v>
          </cell>
          <cell r="CP108" t="str">
            <v>0</v>
          </cell>
          <cell r="CQ108" t="str">
            <v>블박 아이나비 Z7000</v>
          </cell>
          <cell r="CR108">
            <v>209000</v>
          </cell>
          <cell r="CS108" t="str">
            <v>코일매트</v>
          </cell>
          <cell r="CT108">
            <v>52800</v>
          </cell>
          <cell r="CU108" t="str">
            <v>우산</v>
          </cell>
          <cell r="CV108">
            <v>15000</v>
          </cell>
          <cell r="CW108" t="str">
            <v>0</v>
          </cell>
          <cell r="CX108" t="str">
            <v>0</v>
          </cell>
          <cell r="CY108" t="str">
            <v>0</v>
          </cell>
          <cell r="CZ108" t="str">
            <v>0</v>
          </cell>
          <cell r="DA108" t="str">
            <v>0</v>
          </cell>
          <cell r="DB108" t="str">
            <v>기아</v>
          </cell>
          <cell r="DC108" t="str">
            <v>정수원 실장</v>
          </cell>
          <cell r="DD108" t="str">
            <v>렌트베네핏</v>
          </cell>
          <cell r="DE108" t="str">
            <v>정상태</v>
          </cell>
          <cell r="DF108" t="str">
            <v>신한은행</v>
          </cell>
          <cell r="DG108" t="str">
            <v>100-023-689051</v>
          </cell>
          <cell r="DH108" t="str">
            <v>120-06-60643</v>
          </cell>
          <cell r="DI108" t="str">
            <v>서울특별시 강남구 도곡로 444(대치동)</v>
          </cell>
          <cell r="DJ108">
            <v>0.35</v>
          </cell>
          <cell r="DK108">
            <v>0.25</v>
          </cell>
          <cell r="DL108" t="str">
            <v>0</v>
          </cell>
          <cell r="DM108" t="str">
            <v>0</v>
          </cell>
          <cell r="DN108" t="str">
            <v>0</v>
          </cell>
          <cell r="DO108" t="str">
            <v>0</v>
          </cell>
          <cell r="DP108" t="str">
            <v>0</v>
          </cell>
        </row>
        <row r="109">
          <cell r="C109" t="str">
            <v>G80-002</v>
          </cell>
          <cell r="D109" t="str">
            <v>㈜다성테크</v>
          </cell>
          <cell r="E109" t="str">
            <v>이명용 대표님</v>
          </cell>
          <cell r="F109" t="str">
            <v>010-5246-6806</v>
          </cell>
          <cell r="G109" t="str">
            <v>G80</v>
          </cell>
          <cell r="H109" t="str">
            <v>2.5T AWD</v>
          </cell>
          <cell r="I109">
            <v>64000000</v>
          </cell>
          <cell r="J109">
            <v>2023</v>
          </cell>
          <cell r="K109" t="str">
            <v>비크블랙/옵시디언 블랙 모노톤</v>
          </cell>
          <cell r="L109" t="str">
            <v>가솔린</v>
          </cell>
          <cell r="M109" t="str">
            <v>KMTGB41CDPU165638</v>
          </cell>
          <cell r="N109" t="str">
            <v>125호5288</v>
          </cell>
          <cell r="O109" t="str">
            <v>-</v>
          </cell>
          <cell r="P109">
            <v>2497</v>
          </cell>
          <cell r="Q109">
            <v>44881</v>
          </cell>
          <cell r="R109">
            <v>46024</v>
          </cell>
          <cell r="S109">
            <v>46023</v>
          </cell>
          <cell r="T109">
            <v>0.91666666666666663</v>
          </cell>
          <cell r="U109">
            <v>46357.583333333336</v>
          </cell>
          <cell r="V109">
            <v>3</v>
          </cell>
          <cell r="W109">
            <v>30000</v>
          </cell>
          <cell r="X109" t="str">
            <v>정성조 주임님</v>
          </cell>
          <cell r="Y109" t="str">
            <v>010-2790-9069</v>
          </cell>
          <cell r="Z109" t="str">
            <v>0</v>
          </cell>
          <cell r="AA109" t="str">
            <v>경기도 이천시 마장면 서이천로 195</v>
          </cell>
          <cell r="AB109">
            <v>46047</v>
          </cell>
          <cell r="AC109">
            <v>334.58333333333331</v>
          </cell>
          <cell r="AD109">
            <v>112.58333333333576</v>
          </cell>
          <cell r="AE109">
            <v>22100034</v>
          </cell>
          <cell r="AF109">
            <v>59925897</v>
          </cell>
          <cell r="AG109">
            <v>3906103</v>
          </cell>
          <cell r="AH109">
            <v>56019794</v>
          </cell>
          <cell r="AI109">
            <v>332000</v>
          </cell>
          <cell r="AJ109">
            <v>2000</v>
          </cell>
          <cell r="AK109">
            <v>2197300</v>
          </cell>
          <cell r="AL109">
            <v>348768</v>
          </cell>
          <cell r="AM109">
            <v>2000</v>
          </cell>
          <cell r="AN109">
            <v>45000</v>
          </cell>
          <cell r="AO109">
            <v>50000</v>
          </cell>
          <cell r="AP109" t="str">
            <v>0</v>
          </cell>
          <cell r="AQ109">
            <v>154000</v>
          </cell>
          <cell r="AR109" t="str">
            <v>엠피온 s1000프로 FHD-FHD 32GB</v>
          </cell>
          <cell r="AS109">
            <v>198000</v>
          </cell>
          <cell r="AT109" t="str">
            <v>버텍스(전면 35%, 1열 15%, 2열후면 5%)</v>
          </cell>
          <cell r="AU109">
            <v>2633068</v>
          </cell>
          <cell r="AV109">
            <v>3329068</v>
          </cell>
          <cell r="AW109" t="str">
            <v>렌터카 공제</v>
          </cell>
          <cell r="AX109">
            <v>44881</v>
          </cell>
          <cell r="AY109">
            <v>1053080</v>
          </cell>
          <cell r="AZ109" t="str">
            <v>0</v>
          </cell>
          <cell r="BA109" t="str">
            <v>0</v>
          </cell>
          <cell r="BB109" t="str">
            <v>0</v>
          </cell>
          <cell r="BC109" t="str">
            <v>0</v>
          </cell>
          <cell r="BD109" t="str">
            <v>만26세</v>
          </cell>
          <cell r="BE109" t="str">
            <v>무한대</v>
          </cell>
          <cell r="BF109" t="str">
            <v>5억</v>
          </cell>
          <cell r="BG109" t="str">
            <v>2억/3천만</v>
          </cell>
          <cell r="BH109" t="str">
            <v>2억원/1인당</v>
          </cell>
          <cell r="BI109" t="str">
            <v>50만원</v>
          </cell>
          <cell r="BJ109" t="str">
            <v>임직원</v>
          </cell>
          <cell r="BK109" t="str">
            <v>5회/년</v>
          </cell>
          <cell r="BL109" t="str">
            <v>가입</v>
          </cell>
          <cell r="BM109" t="str">
            <v>미가입</v>
          </cell>
          <cell r="BN109" t="str">
            <v>브랜드보증 외 사용자 부담</v>
          </cell>
          <cell r="BO109" t="str">
            <v>브랜드보증 외 사용자 부담</v>
          </cell>
          <cell r="BP109" t="str">
            <v>0</v>
          </cell>
          <cell r="BQ109" t="str">
            <v>0</v>
          </cell>
          <cell r="BR109">
            <v>47443</v>
          </cell>
          <cell r="BS109" t="str">
            <v>현금</v>
          </cell>
          <cell r="BT109" t="str">
            <v>0</v>
          </cell>
          <cell r="BU109" t="str">
            <v>0</v>
          </cell>
          <cell r="BV109" t="str">
            <v>0</v>
          </cell>
          <cell r="BW109" t="str">
            <v>0</v>
          </cell>
          <cell r="BX109" t="str">
            <v>0</v>
          </cell>
          <cell r="BY109" t="str">
            <v>0</v>
          </cell>
          <cell r="BZ109">
            <v>0</v>
          </cell>
          <cell r="CA109" t="str">
            <v>0</v>
          </cell>
          <cell r="CB109" t="str">
            <v>25</v>
          </cell>
          <cell r="CC109" t="str">
            <v>25</v>
          </cell>
          <cell r="CD109">
            <v>1208000</v>
          </cell>
          <cell r="CE109">
            <v>11</v>
          </cell>
          <cell r="CF109">
            <v>13288000</v>
          </cell>
          <cell r="CG109">
            <v>27389000</v>
          </cell>
          <cell r="CH109">
            <v>0</v>
          </cell>
          <cell r="CI109">
            <v>27389000</v>
          </cell>
          <cell r="CJ109">
            <v>7.6999999999999999E-2</v>
          </cell>
          <cell r="CK109">
            <v>0.06</v>
          </cell>
          <cell r="CL109" t="str">
            <v>spjoint@bill36524.com</v>
          </cell>
          <cell r="CM109" t="str">
            <v>0</v>
          </cell>
          <cell r="CN109" t="str">
            <v>010-2790-9069</v>
          </cell>
          <cell r="CO109">
            <v>0.03</v>
          </cell>
          <cell r="CP109" t="str">
            <v>0</v>
          </cell>
          <cell r="CQ109" t="str">
            <v>코일매트</v>
          </cell>
          <cell r="CR109">
            <v>52800</v>
          </cell>
          <cell r="CS109" t="str">
            <v>PPF</v>
          </cell>
          <cell r="CT109">
            <v>40000</v>
          </cell>
          <cell r="CU109">
            <v>0</v>
          </cell>
          <cell r="CV109">
            <v>0</v>
          </cell>
          <cell r="CW109">
            <v>0</v>
          </cell>
          <cell r="CX109">
            <v>0</v>
          </cell>
          <cell r="CY109">
            <v>0</v>
          </cell>
          <cell r="CZ109">
            <v>0</v>
          </cell>
          <cell r="DA109">
            <v>0</v>
          </cell>
          <cell r="DB109" t="str">
            <v>현대</v>
          </cell>
          <cell r="DC109" t="str">
            <v>박현식 부장</v>
          </cell>
          <cell r="DD109" t="str">
            <v>렌트베네핏</v>
          </cell>
          <cell r="DE109" t="str">
            <v>㈜다성테크</v>
          </cell>
          <cell r="DF109" t="str">
            <v>IBK기업은행</v>
          </cell>
          <cell r="DG109" t="str">
            <v>241-053678-01-019</v>
          </cell>
          <cell r="DH109" t="str">
            <v>126-81-94866</v>
          </cell>
          <cell r="DI109" t="str">
            <v>경기도 이천시 마장면 서이천로 195</v>
          </cell>
          <cell r="DJ109">
            <v>0.35</v>
          </cell>
          <cell r="DK109">
            <v>0.2</v>
          </cell>
          <cell r="DL109" t="str">
            <v>134411-0031764</v>
          </cell>
          <cell r="DM109" t="str">
            <v>0</v>
          </cell>
          <cell r="DN109" t="str">
            <v>0</v>
          </cell>
          <cell r="DO109" t="str">
            <v>0</v>
          </cell>
          <cell r="DP109" t="str">
            <v>0</v>
          </cell>
        </row>
        <row r="110">
          <cell r="C110" t="str">
            <v>Avante-004</v>
          </cell>
          <cell r="D110" t="str">
            <v>타바론코리아㈜</v>
          </cell>
          <cell r="E110" t="str">
            <v>박영준 대표님</v>
          </cell>
          <cell r="F110" t="str">
            <v>010-3763-0910</v>
          </cell>
          <cell r="G110" t="str">
            <v xml:space="preserve">아반떼 </v>
          </cell>
          <cell r="H110" t="str">
            <v>1.6 Modern A/T</v>
          </cell>
          <cell r="I110">
            <v>25980000</v>
          </cell>
          <cell r="J110">
            <v>2026</v>
          </cell>
          <cell r="K110" t="str">
            <v>아틀라스 화이트 / 블랙 원톤</v>
          </cell>
          <cell r="L110" t="str">
            <v>가솔린</v>
          </cell>
          <cell r="M110" t="str">
            <v>KMHLN41EETU168536</v>
          </cell>
          <cell r="N110" t="str">
            <v>151호1309</v>
          </cell>
          <cell r="O110" t="str">
            <v>현대 스마트센스(129만), 파킹 어시스트 플러스(69만)</v>
          </cell>
          <cell r="P110">
            <v>1580</v>
          </cell>
          <cell r="Q110">
            <v>46035</v>
          </cell>
          <cell r="R110">
            <v>46031</v>
          </cell>
          <cell r="S110">
            <v>46036</v>
          </cell>
          <cell r="T110" t="str">
            <v>4</v>
          </cell>
          <cell r="U110">
            <v>47496</v>
          </cell>
          <cell r="V110">
            <v>41</v>
          </cell>
          <cell r="W110">
            <v>20000</v>
          </cell>
          <cell r="X110" t="str">
            <v>최시영 과장님</v>
          </cell>
          <cell r="Y110" t="str">
            <v>010-6312-3438</v>
          </cell>
          <cell r="Z110" t="str">
            <v>0</v>
          </cell>
          <cell r="AA110" t="str">
            <v>서울특별시 강남구 학동로 56길 47 (삼성동, 3층)</v>
          </cell>
          <cell r="AB110">
            <v>46058</v>
          </cell>
          <cell r="AC110">
            <v>1460</v>
          </cell>
          <cell r="AD110">
            <v>1251</v>
          </cell>
          <cell r="AE110" t="str">
            <v>26010135</v>
          </cell>
          <cell r="AF110">
            <v>25890000</v>
          </cell>
          <cell r="AG110">
            <v>0</v>
          </cell>
          <cell r="AH110">
            <v>25890000</v>
          </cell>
          <cell r="AI110">
            <v>300000</v>
          </cell>
          <cell r="AJ110">
            <v>2000</v>
          </cell>
          <cell r="AK110" t="str">
            <v>0</v>
          </cell>
          <cell r="AL110" t="str">
            <v>0</v>
          </cell>
          <cell r="AM110" t="str">
            <v>0</v>
          </cell>
          <cell r="AN110" t="str">
            <v>0</v>
          </cell>
          <cell r="AO110" t="str">
            <v>0</v>
          </cell>
          <cell r="AP110" t="str">
            <v>0</v>
          </cell>
          <cell r="AQ110" t="str">
            <v>0</v>
          </cell>
          <cell r="AR110" t="str">
            <v>0</v>
          </cell>
          <cell r="AS110" t="str">
            <v>0</v>
          </cell>
          <cell r="AT110" t="str">
            <v>버텍스(전면 35%, 1열 15%, 2열후면 5%)</v>
          </cell>
          <cell r="AU110" t="str">
            <v>0</v>
          </cell>
          <cell r="AV110" t="str">
            <v>0</v>
          </cell>
          <cell r="AW110" t="str">
            <v>렌터카 공제</v>
          </cell>
          <cell r="AX110" t="str">
            <v>0</v>
          </cell>
          <cell r="AY110" t="str">
            <v>0</v>
          </cell>
          <cell r="AZ110" t="str">
            <v>0</v>
          </cell>
          <cell r="BA110" t="str">
            <v>0</v>
          </cell>
          <cell r="BB110" t="str">
            <v>0</v>
          </cell>
          <cell r="BC110" t="str">
            <v>0</v>
          </cell>
          <cell r="BD110" t="str">
            <v>만26세</v>
          </cell>
          <cell r="BE110" t="str">
            <v>무한대</v>
          </cell>
          <cell r="BF110" t="str">
            <v>2억</v>
          </cell>
          <cell r="BG110" t="str">
            <v>1억/1500만</v>
          </cell>
          <cell r="BH110" t="str">
            <v>2억원/1인당</v>
          </cell>
          <cell r="BI110" t="str">
            <v>30만원</v>
          </cell>
          <cell r="BJ110" t="str">
            <v>임직원</v>
          </cell>
          <cell r="BK110" t="str">
            <v>5회/년</v>
          </cell>
          <cell r="BL110" t="str">
            <v>미가입</v>
          </cell>
          <cell r="BM110" t="str">
            <v>미가입</v>
          </cell>
          <cell r="BN110" t="str">
            <v>연1회 총 4회 제공</v>
          </cell>
          <cell r="BO110" t="str">
            <v>브랜드보증 외 사용자 부담</v>
          </cell>
          <cell r="BP110" t="str">
            <v>0</v>
          </cell>
          <cell r="BQ110" t="str">
            <v>0</v>
          </cell>
          <cell r="BR110">
            <v>28440</v>
          </cell>
          <cell r="BS110" t="str">
            <v>현금</v>
          </cell>
          <cell r="BT110" t="str">
            <v>0</v>
          </cell>
          <cell r="BU110" t="str">
            <v>0</v>
          </cell>
          <cell r="BV110" t="str">
            <v>0</v>
          </cell>
          <cell r="BW110" t="str">
            <v>0</v>
          </cell>
          <cell r="BX110" t="str">
            <v>0</v>
          </cell>
          <cell r="BY110" t="str">
            <v>0</v>
          </cell>
          <cell r="BZ110" t="str">
            <v>0</v>
          </cell>
          <cell r="CA110" t="str">
            <v>0</v>
          </cell>
          <cell r="CB110" t="str">
            <v>5</v>
          </cell>
          <cell r="CC110" t="str">
            <v>5</v>
          </cell>
          <cell r="CD110">
            <v>317400</v>
          </cell>
          <cell r="CE110">
            <v>48</v>
          </cell>
          <cell r="CF110">
            <v>15235200</v>
          </cell>
          <cell r="CG110">
            <v>0</v>
          </cell>
          <cell r="CH110">
            <v>7767000</v>
          </cell>
          <cell r="CI110">
            <v>15471000</v>
          </cell>
          <cell r="CJ110">
            <v>0.03</v>
          </cell>
          <cell r="CK110">
            <v>0.06</v>
          </cell>
          <cell r="CL110" t="str">
            <v>tax@tavalon.co.kr</v>
          </cell>
          <cell r="CM110" t="str">
            <v>0</v>
          </cell>
          <cell r="CN110" t="str">
            <v>0</v>
          </cell>
          <cell r="CO110">
            <v>0.03</v>
          </cell>
          <cell r="CP110" t="str">
            <v>0</v>
          </cell>
          <cell r="CQ110" t="str">
            <v>코일매트</v>
          </cell>
          <cell r="CR110">
            <v>52800</v>
          </cell>
          <cell r="CS110" t="str">
            <v>PPF</v>
          </cell>
          <cell r="CT110">
            <v>40000</v>
          </cell>
          <cell r="CU110" t="str">
            <v>0</v>
          </cell>
          <cell r="CV110" t="str">
            <v>0</v>
          </cell>
          <cell r="CW110" t="str">
            <v>0</v>
          </cell>
          <cell r="CX110" t="str">
            <v>0</v>
          </cell>
          <cell r="CY110" t="str">
            <v>0</v>
          </cell>
          <cell r="CZ110" t="str">
            <v>0</v>
          </cell>
          <cell r="DA110" t="str">
            <v>0</v>
          </cell>
          <cell r="DB110" t="str">
            <v>현대</v>
          </cell>
          <cell r="DC110" t="str">
            <v>박현식 부장</v>
          </cell>
          <cell r="DD110" t="str">
            <v>렌트베네핏</v>
          </cell>
          <cell r="DE110" t="str">
            <v>타바론코리아주식회사</v>
          </cell>
          <cell r="DF110" t="str">
            <v>IBK기업은행</v>
          </cell>
          <cell r="DG110" t="str">
            <v>061-063962-04-013</v>
          </cell>
          <cell r="DH110" t="str">
            <v>105-87-23065</v>
          </cell>
          <cell r="DI110" t="str">
            <v>서울시 강남구 삼성동 10-7 삼성빌리지 3층</v>
          </cell>
          <cell r="DJ110">
            <v>0.35</v>
          </cell>
          <cell r="DK110">
            <v>0.25</v>
          </cell>
          <cell r="DL110" t="str">
            <v>110111-3952127</v>
          </cell>
          <cell r="DM110">
            <v>1310108</v>
          </cell>
          <cell r="DN110" t="str">
            <v>0</v>
          </cell>
          <cell r="DO110" t="str">
            <v>0</v>
          </cell>
          <cell r="DP110" t="str">
            <v>0</v>
          </cell>
        </row>
        <row r="111">
          <cell r="C111" t="str">
            <v>Avante-001</v>
          </cell>
          <cell r="D111" t="str">
            <v>김수연 원장님</v>
          </cell>
          <cell r="E111" t="str">
            <v>김수연 원장님</v>
          </cell>
          <cell r="F111" t="str">
            <v>010-2678-8856</v>
          </cell>
          <cell r="G111" t="str">
            <v>Avante</v>
          </cell>
          <cell r="H111" t="str">
            <v>모던</v>
          </cell>
          <cell r="I111">
            <v>22980000</v>
          </cell>
          <cell r="J111">
            <v>2022</v>
          </cell>
          <cell r="K111" t="str">
            <v>폴라 화이트/블랙모노톤</v>
          </cell>
          <cell r="L111" t="str">
            <v>가솔린</v>
          </cell>
          <cell r="M111" t="str">
            <v>KMHLM41EEPU454892</v>
          </cell>
          <cell r="N111" t="str">
            <v>125호5281</v>
          </cell>
          <cell r="O111" t="str">
            <v>-</v>
          </cell>
          <cell r="P111">
            <v>1597</v>
          </cell>
          <cell r="Q111">
            <v>44866</v>
          </cell>
          <cell r="R111">
            <v>45992</v>
          </cell>
          <cell r="S111">
            <v>45994</v>
          </cell>
          <cell r="T111" t="str">
            <v>3</v>
          </cell>
          <cell r="U111">
            <v>47089</v>
          </cell>
          <cell r="V111">
            <v>27</v>
          </cell>
          <cell r="W111">
            <v>20000</v>
          </cell>
          <cell r="X111" t="str">
            <v>김수연 원장님</v>
          </cell>
          <cell r="Y111" t="str">
            <v>010-2678-8856</v>
          </cell>
          <cell r="Z111" t="str">
            <v>0</v>
          </cell>
          <cell r="AA111" t="str">
            <v>0</v>
          </cell>
          <cell r="AB111">
            <v>46016</v>
          </cell>
          <cell r="AC111">
            <v>1095</v>
          </cell>
          <cell r="AD111">
            <v>844</v>
          </cell>
          <cell r="AE111">
            <v>22030011</v>
          </cell>
          <cell r="AF111" t="str">
            <v>0</v>
          </cell>
          <cell r="AG111" t="str">
            <v>0</v>
          </cell>
          <cell r="AH111" t="str">
            <v>0</v>
          </cell>
          <cell r="AI111" t="str">
            <v>0</v>
          </cell>
          <cell r="AJ111" t="str">
            <v>0</v>
          </cell>
          <cell r="AK111" t="str">
            <v>0</v>
          </cell>
          <cell r="AL111" t="str">
            <v>0</v>
          </cell>
          <cell r="AM111" t="str">
            <v>0</v>
          </cell>
          <cell r="AN111" t="str">
            <v>0</v>
          </cell>
          <cell r="AO111" t="str">
            <v>0</v>
          </cell>
          <cell r="AP111" t="str">
            <v>0</v>
          </cell>
          <cell r="AQ111">
            <v>154000</v>
          </cell>
          <cell r="AR111" t="str">
            <v>s1000프로 FHD-FHD 32GB</v>
          </cell>
          <cell r="AS111">
            <v>66000</v>
          </cell>
          <cell r="AT111" t="str">
            <v>루마 기본 측후 15%</v>
          </cell>
          <cell r="AU111">
            <v>1033404</v>
          </cell>
          <cell r="AV111" t="str">
            <v>0</v>
          </cell>
          <cell r="AW111" t="str">
            <v>렌터카 공제</v>
          </cell>
          <cell r="AX111" t="str">
            <v>0</v>
          </cell>
          <cell r="AY111">
            <v>1189980</v>
          </cell>
          <cell r="AZ111" t="str">
            <v>0</v>
          </cell>
          <cell r="BA111" t="str">
            <v>0</v>
          </cell>
          <cell r="BB111" t="str">
            <v>0</v>
          </cell>
          <cell r="BC111" t="str">
            <v>0</v>
          </cell>
          <cell r="BD111" t="str">
            <v>만26세</v>
          </cell>
          <cell r="BE111" t="str">
            <v>무한대</v>
          </cell>
          <cell r="BF111" t="str">
            <v>2억원</v>
          </cell>
          <cell r="BG111" t="str">
            <v>1억원/1500만</v>
          </cell>
          <cell r="BH111" t="str">
            <v>2억원/1인당</v>
          </cell>
          <cell r="BI111" t="str">
            <v>30만원</v>
          </cell>
          <cell r="BJ111" t="str">
            <v>누구나</v>
          </cell>
          <cell r="BK111" t="str">
            <v>5회/년</v>
          </cell>
          <cell r="BL111" t="str">
            <v>가입</v>
          </cell>
          <cell r="BM111" t="str">
            <v>가입</v>
          </cell>
          <cell r="BN111" t="str">
            <v>브랜드보증 외 사용자 부담</v>
          </cell>
          <cell r="BO111" t="str">
            <v>브랜드보증 외 사용자 부담</v>
          </cell>
          <cell r="BP111" t="str">
            <v>0</v>
          </cell>
          <cell r="BQ111" t="str">
            <v>0</v>
          </cell>
          <cell r="BR111">
            <v>28746</v>
          </cell>
          <cell r="BS111" t="str">
            <v>현금</v>
          </cell>
          <cell r="BT111" t="str">
            <v>0</v>
          </cell>
          <cell r="BU111" t="str">
            <v>0</v>
          </cell>
          <cell r="BV111" t="str">
            <v>0</v>
          </cell>
          <cell r="BW111" t="str">
            <v>0</v>
          </cell>
          <cell r="BX111" t="str">
            <v>0</v>
          </cell>
          <cell r="BY111" t="str">
            <v>0</v>
          </cell>
          <cell r="BZ111">
            <v>0</v>
          </cell>
          <cell r="CA111" t="str">
            <v>0</v>
          </cell>
          <cell r="CB111" t="str">
            <v>25</v>
          </cell>
          <cell r="CC111" t="str">
            <v>25</v>
          </cell>
          <cell r="CD111">
            <v>270000</v>
          </cell>
          <cell r="CE111">
            <v>36</v>
          </cell>
          <cell r="CF111">
            <v>9720000</v>
          </cell>
          <cell r="CG111">
            <v>0</v>
          </cell>
          <cell r="CH111">
            <v>6960000</v>
          </cell>
          <cell r="CI111">
            <v>9570000</v>
          </cell>
          <cell r="CJ111">
            <v>0.03</v>
          </cell>
          <cell r="CK111">
            <v>0.06</v>
          </cell>
          <cell r="CL111" t="str">
            <v>ksykja@naver.com</v>
          </cell>
          <cell r="CM111" t="str">
            <v>0</v>
          </cell>
          <cell r="CN111" t="str">
            <v>0</v>
          </cell>
          <cell r="CO111">
            <v>0.03</v>
          </cell>
          <cell r="CP111" t="str">
            <v>0</v>
          </cell>
          <cell r="CQ111" t="str">
            <v>코일매트</v>
          </cell>
          <cell r="CR111">
            <v>47300</v>
          </cell>
          <cell r="CS111">
            <v>0</v>
          </cell>
          <cell r="CT111">
            <v>0</v>
          </cell>
          <cell r="CU111">
            <v>0</v>
          </cell>
          <cell r="CV111">
            <v>0</v>
          </cell>
          <cell r="CW111">
            <v>0</v>
          </cell>
          <cell r="CX111">
            <v>0</v>
          </cell>
          <cell r="CY111">
            <v>0</v>
          </cell>
          <cell r="CZ111">
            <v>0</v>
          </cell>
          <cell r="DA111">
            <v>0</v>
          </cell>
          <cell r="DB111" t="str">
            <v>현대</v>
          </cell>
          <cell r="DC111" t="str">
            <v>박현식 부장</v>
          </cell>
          <cell r="DD111" t="str">
            <v>렌트베네핏</v>
          </cell>
          <cell r="DE111" t="str">
            <v>김수연</v>
          </cell>
          <cell r="DF111" t="str">
            <v>하나은행</v>
          </cell>
          <cell r="DG111" t="str">
            <v>876-032006-91407</v>
          </cell>
          <cell r="DH111" t="str">
            <v>750816-2925111</v>
          </cell>
          <cell r="DI111" t="str">
            <v>경기도 하남시 위례광장로 285, 6208동 402호</v>
          </cell>
          <cell r="DJ111">
            <v>0.35</v>
          </cell>
          <cell r="DK111">
            <v>0.26</v>
          </cell>
          <cell r="DL111" t="str">
            <v>0</v>
          </cell>
          <cell r="DM111" t="str">
            <v>0</v>
          </cell>
          <cell r="DN111" t="str">
            <v>0</v>
          </cell>
          <cell r="DO111" t="str">
            <v>0</v>
          </cell>
          <cell r="DP111" t="str">
            <v>0</v>
          </cell>
        </row>
        <row r="112">
          <cell r="C112" t="str">
            <v>Ray-055</v>
          </cell>
          <cell r="D112" t="str">
            <v>주식회사 삼지</v>
          </cell>
          <cell r="E112" t="str">
            <v>최진식 대표님</v>
          </cell>
          <cell r="F112" t="str">
            <v>010-9352-1984</v>
          </cell>
          <cell r="G112" t="str">
            <v>Ray</v>
          </cell>
          <cell r="H112" t="str">
            <v>스탠다드 A/T</v>
          </cell>
          <cell r="I112">
            <v>16650000</v>
          </cell>
          <cell r="J112">
            <v>2026</v>
          </cell>
          <cell r="K112" t="str">
            <v>White/Black</v>
          </cell>
          <cell r="L112" t="str">
            <v>가솔린</v>
          </cell>
          <cell r="M112" t="str">
            <v>KNACF811BTT465119</v>
          </cell>
          <cell r="N112" t="str">
            <v>151호1348</v>
          </cell>
          <cell r="O112" t="str">
            <v>버튼시동 스마트키(30만), 8인치 내비게이션(140만)</v>
          </cell>
          <cell r="P112">
            <v>998</v>
          </cell>
          <cell r="Q112">
            <v>46055</v>
          </cell>
          <cell r="R112">
            <v>46052</v>
          </cell>
          <cell r="S112">
            <v>46056</v>
          </cell>
          <cell r="T112" t="str">
            <v>5</v>
          </cell>
          <cell r="U112">
            <v>47881</v>
          </cell>
          <cell r="V112">
            <v>53</v>
          </cell>
          <cell r="W112">
            <v>20000</v>
          </cell>
          <cell r="X112" t="str">
            <v>김인숙 주임님</v>
          </cell>
          <cell r="Y112" t="str">
            <v>010-9352-1984</v>
          </cell>
          <cell r="Z112" t="str">
            <v>0</v>
          </cell>
          <cell r="AA112" t="str">
            <v>경기도 안성시 원곡면 지문로 120-39, 1, 2층</v>
          </cell>
          <cell r="AB112">
            <v>46081</v>
          </cell>
          <cell r="AC112">
            <v>1825</v>
          </cell>
          <cell r="AD112">
            <v>1636</v>
          </cell>
          <cell r="AE112" t="str">
            <v>26010136</v>
          </cell>
          <cell r="AF112">
            <v>16650000</v>
          </cell>
          <cell r="AG112">
            <v>0</v>
          </cell>
          <cell r="AH112">
            <v>16650000</v>
          </cell>
          <cell r="AI112">
            <v>197000</v>
          </cell>
          <cell r="AJ112">
            <v>2000</v>
          </cell>
          <cell r="AK112">
            <v>612610</v>
          </cell>
          <cell r="AL112">
            <v>0</v>
          </cell>
          <cell r="AM112">
            <v>2000</v>
          </cell>
          <cell r="AN112">
            <v>28000</v>
          </cell>
          <cell r="AO112">
            <v>35000</v>
          </cell>
          <cell r="AP112">
            <v>430000</v>
          </cell>
          <cell r="AQ112">
            <v>0</v>
          </cell>
          <cell r="AR112" t="str">
            <v>엠피온</v>
          </cell>
          <cell r="AS112">
            <v>200000</v>
          </cell>
          <cell r="AT112" t="str">
            <v>버텍스 전면 35%/1열 15%, 2열, 후면 5%</v>
          </cell>
          <cell r="AU112" t="str">
            <v>0</v>
          </cell>
          <cell r="AV112">
            <v>1076610</v>
          </cell>
          <cell r="AW112" t="str">
            <v>렌터카 공제</v>
          </cell>
          <cell r="AX112" t="str">
            <v>0</v>
          </cell>
          <cell r="AY112" t="str">
            <v>0</v>
          </cell>
          <cell r="AZ112" t="str">
            <v>0</v>
          </cell>
          <cell r="BA112" t="str">
            <v>0</v>
          </cell>
          <cell r="BB112" t="str">
            <v>0</v>
          </cell>
          <cell r="BC112" t="str">
            <v>0</v>
          </cell>
          <cell r="BD112" t="str">
            <v>만26세</v>
          </cell>
          <cell r="BE112" t="str">
            <v>무한대</v>
          </cell>
          <cell r="BF112" t="str">
            <v>2억원</v>
          </cell>
          <cell r="BG112" t="str">
            <v>1억원/1500만</v>
          </cell>
          <cell r="BH112" t="str">
            <v>2억원/1인당</v>
          </cell>
          <cell r="BI112" t="str">
            <v>30만원</v>
          </cell>
          <cell r="BJ112" t="str">
            <v>임직원</v>
          </cell>
          <cell r="BK112" t="str">
            <v>5회/년</v>
          </cell>
          <cell r="BL112" t="str">
            <v>가입</v>
          </cell>
          <cell r="BM112" t="str">
            <v>가입</v>
          </cell>
          <cell r="BN112" t="str">
            <v>가입</v>
          </cell>
          <cell r="BO112" t="str">
            <v>렌트기간 4본</v>
          </cell>
          <cell r="BP112" t="str">
            <v xml:space="preserve"> HANKOOK 앞/뒤165 60R14 79H </v>
          </cell>
          <cell r="BQ112" t="str">
            <v>0</v>
          </cell>
          <cell r="BR112">
            <v>17964</v>
          </cell>
          <cell r="BS112" t="str">
            <v>현금</v>
          </cell>
          <cell r="BT112" t="str">
            <v>0</v>
          </cell>
          <cell r="BU112" t="str">
            <v>0</v>
          </cell>
          <cell r="BV112" t="str">
            <v>0</v>
          </cell>
          <cell r="BW112" t="str">
            <v>0</v>
          </cell>
          <cell r="BX112">
            <v>0</v>
          </cell>
          <cell r="BY112">
            <v>0</v>
          </cell>
          <cell r="BZ112">
            <v>0</v>
          </cell>
          <cell r="CA112" t="str">
            <v>0</v>
          </cell>
          <cell r="CB112" t="str">
            <v>말</v>
          </cell>
          <cell r="CC112" t="str">
            <v>말</v>
          </cell>
          <cell r="CD112">
            <v>375200</v>
          </cell>
          <cell r="CE112">
            <v>60</v>
          </cell>
          <cell r="CF112">
            <v>22512000</v>
          </cell>
          <cell r="CG112">
            <v>4995000</v>
          </cell>
          <cell r="CH112">
            <v>0</v>
          </cell>
          <cell r="CI112">
            <v>6993000</v>
          </cell>
          <cell r="CJ112">
            <v>0.03</v>
          </cell>
          <cell r="CK112">
            <v>0.06</v>
          </cell>
          <cell r="CL112" t="str">
            <v>samgeetech@3will.co.kr</v>
          </cell>
          <cell r="CM112" t="str">
            <v>0</v>
          </cell>
          <cell r="CN112" t="str">
            <v>010-9352-1984</v>
          </cell>
          <cell r="CO112">
            <v>0.03</v>
          </cell>
          <cell r="CP112" t="str">
            <v>0</v>
          </cell>
          <cell r="CQ112">
            <v>0</v>
          </cell>
          <cell r="CR112">
            <v>0</v>
          </cell>
          <cell r="CS112" t="str">
            <v>PPF</v>
          </cell>
          <cell r="CT112">
            <v>40000</v>
          </cell>
          <cell r="CU112">
            <v>0</v>
          </cell>
          <cell r="CV112">
            <v>0</v>
          </cell>
          <cell r="CW112">
            <v>0</v>
          </cell>
          <cell r="CX112">
            <v>0</v>
          </cell>
          <cell r="CY112">
            <v>0</v>
          </cell>
          <cell r="CZ112">
            <v>0</v>
          </cell>
          <cell r="DA112">
            <v>0</v>
          </cell>
          <cell r="DB112" t="str">
            <v>기아</v>
          </cell>
          <cell r="DC112" t="str">
            <v>정수원 실장</v>
          </cell>
          <cell r="DD112" t="str">
            <v>렌트베네핏</v>
          </cell>
          <cell r="DE112" t="str">
            <v>㈜삼지</v>
          </cell>
          <cell r="DF112" t="str">
            <v>IBK기업은행</v>
          </cell>
          <cell r="DG112" t="str">
            <v>587-072563-04-011</v>
          </cell>
          <cell r="DH112" t="str">
            <v>856-87-03167</v>
          </cell>
          <cell r="DI112" t="str">
            <v>경기도 안성시 원곡면 지문로 120-39, 1, 2층</v>
          </cell>
          <cell r="DJ112">
            <v>0.35</v>
          </cell>
          <cell r="DK112">
            <v>0.25</v>
          </cell>
          <cell r="DL112" t="str">
            <v>134611-0141189</v>
          </cell>
          <cell r="DM112">
            <v>0</v>
          </cell>
          <cell r="DN112" t="str">
            <v>0</v>
          </cell>
          <cell r="DO112" t="str">
            <v>0</v>
          </cell>
          <cell r="DP112" t="str">
            <v>0</v>
          </cell>
        </row>
        <row r="113">
          <cell r="C113" t="str">
            <v>Grander-008</v>
          </cell>
          <cell r="D113" t="str">
            <v>(주)유엔에스</v>
          </cell>
          <cell r="E113" t="str">
            <v>권영희 고객님</v>
          </cell>
          <cell r="F113" t="str">
            <v>010-6310-8117</v>
          </cell>
          <cell r="G113" t="str">
            <v>그랜저(H)</v>
          </cell>
          <cell r="H113" t="str">
            <v>1.6T 하이브리드 프리미엄</v>
          </cell>
          <cell r="I113">
            <v>47600000</v>
          </cell>
          <cell r="J113">
            <v>2026</v>
          </cell>
          <cell r="K113" t="str">
            <v>세레니티 화이트 펄/인디고/브라운투톤</v>
          </cell>
          <cell r="L113" t="str">
            <v>가솔린</v>
          </cell>
          <cell r="M113" t="str">
            <v>KMHN1411BTA146899</v>
          </cell>
          <cell r="N113" t="str">
            <v>142호9269</v>
          </cell>
          <cell r="O113" t="str">
            <v>파킹어시스트(143만), 현대스마트센트1(84만)</v>
          </cell>
          <cell r="P113">
            <v>1597</v>
          </cell>
          <cell r="Q113">
            <v>46073</v>
          </cell>
          <cell r="R113">
            <v>46056</v>
          </cell>
          <cell r="S113">
            <v>46078</v>
          </cell>
          <cell r="T113" t="str">
            <v>5</v>
          </cell>
          <cell r="U113">
            <v>47903</v>
          </cell>
          <cell r="V113">
            <v>54</v>
          </cell>
          <cell r="W113">
            <v>20000</v>
          </cell>
          <cell r="X113" t="str">
            <v>권영희 고객님</v>
          </cell>
          <cell r="Y113" t="str">
            <v>010-6310-8117</v>
          </cell>
          <cell r="Z113" t="str">
            <v>0</v>
          </cell>
          <cell r="AA113" t="str">
            <v>0</v>
          </cell>
          <cell r="AB113">
            <v>46106</v>
          </cell>
          <cell r="AC113">
            <v>1825</v>
          </cell>
          <cell r="AD113">
            <v>1658</v>
          </cell>
          <cell r="AE113" t="str">
            <v>26020137</v>
          </cell>
          <cell r="AF113">
            <v>47600000</v>
          </cell>
          <cell r="AG113">
            <v>1000000</v>
          </cell>
          <cell r="AH113">
            <v>46600000</v>
          </cell>
          <cell r="AI113">
            <v>192000</v>
          </cell>
          <cell r="AJ113">
            <v>1900</v>
          </cell>
          <cell r="AK113">
            <v>1613930</v>
          </cell>
          <cell r="AL113">
            <v>0</v>
          </cell>
          <cell r="AM113">
            <v>2000</v>
          </cell>
          <cell r="AN113">
            <v>40000</v>
          </cell>
          <cell r="AO113">
            <v>33000</v>
          </cell>
          <cell r="AP113" t="str">
            <v>0</v>
          </cell>
          <cell r="AQ113" t="str">
            <v>0</v>
          </cell>
          <cell r="AR113" t="str">
            <v>아이나비 Z7000</v>
          </cell>
          <cell r="AS113">
            <v>190000</v>
          </cell>
          <cell r="AT113" t="str">
            <v>버텍스 전면 35%/측후면 15%</v>
          </cell>
          <cell r="AU113" t="str">
            <v>0</v>
          </cell>
          <cell r="AV113" t="str">
            <v>0</v>
          </cell>
          <cell r="AW113" t="str">
            <v>렌터카 공제</v>
          </cell>
          <cell r="AX113" t="str">
            <v>0</v>
          </cell>
          <cell r="AY113" t="str">
            <v>0</v>
          </cell>
          <cell r="AZ113" t="str">
            <v>0</v>
          </cell>
          <cell r="BA113" t="str">
            <v>0</v>
          </cell>
          <cell r="BB113" t="str">
            <v>0</v>
          </cell>
          <cell r="BC113" t="str">
            <v>0</v>
          </cell>
          <cell r="BD113" t="str">
            <v>만26세</v>
          </cell>
          <cell r="BE113" t="str">
            <v>무한대</v>
          </cell>
          <cell r="BF113" t="str">
            <v>2억원</v>
          </cell>
          <cell r="BG113" t="str">
            <v>1억원/1500만</v>
          </cell>
          <cell r="BH113" t="str">
            <v>2억원/1인당</v>
          </cell>
          <cell r="BI113" t="str">
            <v>30만원</v>
          </cell>
          <cell r="BJ113" t="str">
            <v>임직원</v>
          </cell>
          <cell r="BK113" t="str">
            <v>5회/년</v>
          </cell>
          <cell r="BL113" t="str">
            <v>가입</v>
          </cell>
          <cell r="BM113" t="str">
            <v>가입</v>
          </cell>
          <cell r="BN113" t="str">
            <v>가입</v>
          </cell>
          <cell r="BO113" t="str">
            <v>렌트기간 4본</v>
          </cell>
          <cell r="BP113" t="str">
            <v>0</v>
          </cell>
          <cell r="BQ113" t="str">
            <v>0</v>
          </cell>
          <cell r="BR113">
            <v>28746</v>
          </cell>
          <cell r="BS113" t="str">
            <v>현금</v>
          </cell>
          <cell r="BT113" t="str">
            <v>0</v>
          </cell>
          <cell r="BU113" t="str">
            <v>0</v>
          </cell>
          <cell r="BV113" t="str">
            <v>0</v>
          </cell>
          <cell r="BW113" t="str">
            <v>0</v>
          </cell>
          <cell r="BX113" t="str">
            <v>0</v>
          </cell>
          <cell r="BY113" t="str">
            <v>0</v>
          </cell>
          <cell r="BZ113" t="str">
            <v>0</v>
          </cell>
          <cell r="CA113" t="str">
            <v>0</v>
          </cell>
          <cell r="CB113" t="str">
            <v>25</v>
          </cell>
          <cell r="CC113" t="str">
            <v>25</v>
          </cell>
          <cell r="CD113">
            <v>640000</v>
          </cell>
          <cell r="CE113">
            <v>60</v>
          </cell>
          <cell r="CF113">
            <v>38400000</v>
          </cell>
          <cell r="CG113">
            <v>7140000</v>
          </cell>
          <cell r="CH113">
            <v>7140000</v>
          </cell>
          <cell r="CI113">
            <v>22848000</v>
          </cell>
          <cell r="CJ113">
            <v>0.03</v>
          </cell>
          <cell r="CK113">
            <v>0.06</v>
          </cell>
          <cell r="CL113" t="str">
            <v>applehee0@naver.com</v>
          </cell>
          <cell r="CM113" t="str">
            <v>0</v>
          </cell>
          <cell r="CN113" t="str">
            <v>0</v>
          </cell>
          <cell r="CO113">
            <v>0.03</v>
          </cell>
          <cell r="CP113" t="str">
            <v>0</v>
          </cell>
          <cell r="CQ113" t="str">
            <v>우산 2개</v>
          </cell>
          <cell r="CR113" t="str">
            <v>0</v>
          </cell>
          <cell r="CS113" t="str">
            <v>PPF+유리막</v>
          </cell>
          <cell r="CT113">
            <v>150000</v>
          </cell>
          <cell r="CU113" t="str">
            <v>0</v>
          </cell>
          <cell r="CV113" t="str">
            <v>0</v>
          </cell>
          <cell r="CW113" t="str">
            <v>0</v>
          </cell>
          <cell r="CX113" t="str">
            <v>0</v>
          </cell>
          <cell r="CY113" t="str">
            <v>0</v>
          </cell>
          <cell r="CZ113" t="str">
            <v>0</v>
          </cell>
          <cell r="DA113" t="str">
            <v>0</v>
          </cell>
          <cell r="DB113" t="str">
            <v>현대</v>
          </cell>
          <cell r="DC113" t="str">
            <v>박현식 부장</v>
          </cell>
          <cell r="DD113" t="str">
            <v>렌트베네핏</v>
          </cell>
          <cell r="DE113" t="str">
            <v>㈜유엔에스</v>
          </cell>
          <cell r="DF113" t="str">
            <v>우리은행</v>
          </cell>
          <cell r="DG113" t="str">
            <v>1005-304-199994</v>
          </cell>
          <cell r="DH113" t="str">
            <v>557-81-02181</v>
          </cell>
          <cell r="DI113" t="str">
            <v>경기도 화성시 효행구 봉담읍 샘마을길 4-16, 1동 601호(봉담코아루카
보드줌시티)</v>
          </cell>
          <cell r="DJ113">
            <v>0.35</v>
          </cell>
          <cell r="DK113">
            <v>0.25</v>
          </cell>
          <cell r="DL113" t="str">
            <v>134811-0625329</v>
          </cell>
          <cell r="DM113">
            <v>2408697</v>
          </cell>
          <cell r="DN113" t="str">
            <v>0</v>
          </cell>
          <cell r="DO113" t="str">
            <v>0</v>
          </cell>
          <cell r="DP113" t="str">
            <v>0</v>
          </cell>
        </row>
        <row r="114">
          <cell r="C114" t="str">
            <v>Grander-009</v>
          </cell>
          <cell r="D114" t="str">
            <v>김대환</v>
          </cell>
          <cell r="E114" t="str">
            <v>김대환 회장님</v>
          </cell>
          <cell r="F114" t="str">
            <v>010-5240-4361</v>
          </cell>
          <cell r="G114" t="str">
            <v>그랜저(H)</v>
          </cell>
          <cell r="H114" t="str">
            <v>1.6T 하이브리드 프리미엄</v>
          </cell>
          <cell r="I114">
            <v>48890000</v>
          </cell>
          <cell r="J114">
            <v>2026</v>
          </cell>
          <cell r="K114" t="str">
            <v>세레니티 화이트 펄/인디고/브라운투톤</v>
          </cell>
          <cell r="L114" t="str">
            <v>가솔린</v>
          </cell>
          <cell r="M114" t="str">
            <v>KMHN1411BTA146773</v>
          </cell>
          <cell r="N114" t="str">
            <v>151호1370</v>
          </cell>
          <cell r="O114" t="str">
            <v>파킹어시스트(143만), 현대스마트센트1(84만), 플래티넘(129만)</v>
          </cell>
          <cell r="P114">
            <v>1597</v>
          </cell>
          <cell r="Q114">
            <v>46084</v>
          </cell>
          <cell r="R114">
            <v>46056</v>
          </cell>
          <cell r="S114">
            <v>46084</v>
          </cell>
          <cell r="T114" t="str">
            <v>5</v>
          </cell>
          <cell r="U114">
            <v>47909</v>
          </cell>
          <cell r="V114">
            <v>54</v>
          </cell>
          <cell r="W114">
            <v>20000</v>
          </cell>
          <cell r="X114" t="str">
            <v>김건우 회장님</v>
          </cell>
          <cell r="Y114" t="str">
            <v>010-5240-4361</v>
          </cell>
          <cell r="Z114" t="str">
            <v>0</v>
          </cell>
          <cell r="AA114" t="str">
            <v>경기도 화성시 만세구 향남읍 상신하길로 65,1703동 902호</v>
          </cell>
          <cell r="AB114">
            <v>46112</v>
          </cell>
          <cell r="AC114">
            <v>1825</v>
          </cell>
          <cell r="AD114">
            <v>1664</v>
          </cell>
          <cell r="AE114" t="str">
            <v>26020138</v>
          </cell>
          <cell r="AF114">
            <v>48890000</v>
          </cell>
          <cell r="AG114">
            <v>1000000</v>
          </cell>
          <cell r="AH114">
            <v>47890000</v>
          </cell>
          <cell r="AI114">
            <v>192000</v>
          </cell>
          <cell r="AJ114">
            <v>1900</v>
          </cell>
          <cell r="AK114" t="str">
            <v>0</v>
          </cell>
          <cell r="AL114">
            <v>0</v>
          </cell>
          <cell r="AM114">
            <v>2000</v>
          </cell>
          <cell r="AN114">
            <v>40000</v>
          </cell>
          <cell r="AO114">
            <v>33000</v>
          </cell>
          <cell r="AP114" t="str">
            <v>0</v>
          </cell>
          <cell r="AQ114" t="str">
            <v>0</v>
          </cell>
          <cell r="AR114" t="str">
            <v>빌트인캠</v>
          </cell>
          <cell r="AS114">
            <v>190000</v>
          </cell>
          <cell r="AT114" t="str">
            <v>버텍스 전면 35%/측후면 15%</v>
          </cell>
          <cell r="AU114" t="str">
            <v>0</v>
          </cell>
          <cell r="AV114" t="str">
            <v>0</v>
          </cell>
          <cell r="AW114" t="str">
            <v>렌터카 공제</v>
          </cell>
          <cell r="AX114" t="str">
            <v>0</v>
          </cell>
          <cell r="AY114" t="str">
            <v>0</v>
          </cell>
          <cell r="AZ114" t="str">
            <v>0</v>
          </cell>
          <cell r="BA114" t="str">
            <v>0</v>
          </cell>
          <cell r="BB114" t="str">
            <v>0</v>
          </cell>
          <cell r="BC114" t="str">
            <v>0</v>
          </cell>
          <cell r="BD114" t="str">
            <v>만26세</v>
          </cell>
          <cell r="BE114" t="str">
            <v>무한대</v>
          </cell>
          <cell r="BF114" t="str">
            <v>2억원</v>
          </cell>
          <cell r="BG114" t="str">
            <v>1억원/1500만</v>
          </cell>
          <cell r="BH114" t="str">
            <v>2억원/1인당</v>
          </cell>
          <cell r="BI114" t="str">
            <v>30만원</v>
          </cell>
          <cell r="BJ114" t="str">
            <v>임직원</v>
          </cell>
          <cell r="BK114" t="str">
            <v>5회/년</v>
          </cell>
          <cell r="BL114" t="str">
            <v>가입</v>
          </cell>
          <cell r="BM114" t="str">
            <v>가입</v>
          </cell>
          <cell r="BN114" t="str">
            <v>가입</v>
          </cell>
          <cell r="BO114" t="str">
            <v>렌트기간 4본</v>
          </cell>
          <cell r="BP114" t="str">
            <v>0</v>
          </cell>
          <cell r="BQ114" t="str">
            <v>0</v>
          </cell>
          <cell r="BR114">
            <v>28746</v>
          </cell>
          <cell r="BS114" t="str">
            <v>현금</v>
          </cell>
          <cell r="BT114" t="str">
            <v>0</v>
          </cell>
          <cell r="BU114" t="str">
            <v>0</v>
          </cell>
          <cell r="BV114" t="str">
            <v>0</v>
          </cell>
          <cell r="BW114" t="str">
            <v>0</v>
          </cell>
          <cell r="BX114" t="str">
            <v>0</v>
          </cell>
          <cell r="BY114" t="str">
            <v>0</v>
          </cell>
          <cell r="BZ114" t="str">
            <v>0</v>
          </cell>
          <cell r="CA114" t="str">
            <v>0</v>
          </cell>
          <cell r="CB114" t="str">
            <v>말</v>
          </cell>
          <cell r="CC114" t="str">
            <v>말</v>
          </cell>
          <cell r="CD114">
            <v>953000</v>
          </cell>
          <cell r="CE114">
            <v>60</v>
          </cell>
          <cell r="CF114">
            <v>57180000</v>
          </cell>
          <cell r="CG114">
            <v>14667000</v>
          </cell>
          <cell r="CH114">
            <v>0</v>
          </cell>
          <cell r="CI114">
            <v>14667000</v>
          </cell>
          <cell r="CJ114">
            <v>0.03</v>
          </cell>
          <cell r="CK114">
            <v>0.06</v>
          </cell>
          <cell r="CL114" t="str">
            <v>kdh5250@naver.com</v>
          </cell>
          <cell r="CM114" t="str">
            <v>0</v>
          </cell>
          <cell r="CN114" t="str">
            <v>0</v>
          </cell>
          <cell r="CO114">
            <v>0.03</v>
          </cell>
          <cell r="CP114" t="str">
            <v>0</v>
          </cell>
          <cell r="CQ114" t="str">
            <v>0</v>
          </cell>
          <cell r="CR114" t="str">
            <v>0</v>
          </cell>
          <cell r="CS114" t="str">
            <v>PPF+유리막</v>
          </cell>
          <cell r="CT114">
            <v>150000</v>
          </cell>
          <cell r="CU114" t="str">
            <v>0</v>
          </cell>
          <cell r="CV114" t="str">
            <v>0</v>
          </cell>
          <cell r="CW114" t="str">
            <v>0</v>
          </cell>
          <cell r="CX114" t="str">
            <v>0</v>
          </cell>
          <cell r="CY114" t="str">
            <v>0</v>
          </cell>
          <cell r="CZ114" t="str">
            <v>0</v>
          </cell>
          <cell r="DA114" t="str">
            <v>0</v>
          </cell>
          <cell r="DB114" t="str">
            <v>현대</v>
          </cell>
          <cell r="DC114" t="str">
            <v>박현식 부장</v>
          </cell>
          <cell r="DD114" t="str">
            <v>렌트베네핏</v>
          </cell>
          <cell r="DE114" t="str">
            <v>김대환</v>
          </cell>
          <cell r="DF114" t="str">
            <v>KB 국민은행</v>
          </cell>
          <cell r="DG114" t="str">
            <v>853802-04-220628</v>
          </cell>
          <cell r="DH114" t="str">
            <v>660908-1029438</v>
          </cell>
          <cell r="DI114" t="str">
            <v>경기도 화성시 만세구 향남읍 상신하길로 65, 1703동 902호</v>
          </cell>
          <cell r="DJ114">
            <v>0.35</v>
          </cell>
          <cell r="DK114">
            <v>0.25</v>
          </cell>
          <cell r="DL114" t="str">
            <v>-</v>
          </cell>
          <cell r="DM114">
            <v>2473974</v>
          </cell>
          <cell r="DN114" t="str">
            <v>0</v>
          </cell>
          <cell r="DO114" t="str">
            <v>0</v>
          </cell>
          <cell r="DP114" t="str">
            <v>0</v>
          </cell>
        </row>
        <row r="115">
          <cell r="C115" t="str">
            <v>Grander-010</v>
          </cell>
          <cell r="D115" t="str">
            <v>지앤텍벤처투자㈜</v>
          </cell>
          <cell r="E115" t="str">
            <v>홍충희 대표님</v>
          </cell>
          <cell r="F115" t="str">
            <v>010-6648-4029</v>
          </cell>
          <cell r="G115" t="str">
            <v>그랜저</v>
          </cell>
          <cell r="H115" t="str">
            <v>3.5 아너스 2WD</v>
          </cell>
          <cell r="I115">
            <v>50870000</v>
          </cell>
          <cell r="J115">
            <v>2026</v>
          </cell>
          <cell r="K115" t="str">
            <v>어비스블랙펄/블랙/브라운투톤</v>
          </cell>
          <cell r="L115" t="str">
            <v>가솔린</v>
          </cell>
          <cell r="M115" t="str">
            <v>KMHN241EBTA144151</v>
          </cell>
          <cell r="N115" t="str">
            <v>151호1371</v>
          </cell>
          <cell r="O115" t="str">
            <v>2열컴포트 패키지(99만), 헤드업 디스플레이(99만), 빌트인 공기청정기2.0(59만)</v>
          </cell>
          <cell r="P115">
            <v>3470</v>
          </cell>
          <cell r="Q115">
            <v>46086</v>
          </cell>
          <cell r="R115">
            <v>46073</v>
          </cell>
          <cell r="S115">
            <v>46087</v>
          </cell>
          <cell r="T115" t="str">
            <v>5</v>
          </cell>
          <cell r="U115">
            <v>47912</v>
          </cell>
          <cell r="V115">
            <v>54</v>
          </cell>
          <cell r="W115">
            <v>30000</v>
          </cell>
          <cell r="X115" t="str">
            <v>최정인 과장님</v>
          </cell>
          <cell r="Y115" t="str">
            <v>010-6648-4029</v>
          </cell>
          <cell r="Z115" t="str">
            <v>0</v>
          </cell>
          <cell r="AA115" t="str">
            <v>서울특별시 강남구 테헤란로 516, 9층(대치동, 정헌빌딩)</v>
          </cell>
          <cell r="AB115">
            <v>46106</v>
          </cell>
          <cell r="AC115">
            <v>1825</v>
          </cell>
          <cell r="AD115">
            <v>1667</v>
          </cell>
          <cell r="AE115" t="str">
            <v>26020139</v>
          </cell>
          <cell r="AF115">
            <v>50870000</v>
          </cell>
          <cell r="AG115" t="str">
            <v>0</v>
          </cell>
          <cell r="AH115" t="str">
            <v>0</v>
          </cell>
          <cell r="AI115" t="str">
            <v>0</v>
          </cell>
          <cell r="AJ115" t="str">
            <v>0</v>
          </cell>
          <cell r="AK115" t="str">
            <v>0</v>
          </cell>
          <cell r="AL115" t="str">
            <v>0</v>
          </cell>
          <cell r="AM115" t="str">
            <v>0</v>
          </cell>
          <cell r="AN115" t="str">
            <v>0</v>
          </cell>
          <cell r="AO115" t="str">
            <v>0</v>
          </cell>
          <cell r="AP115" t="str">
            <v>0</v>
          </cell>
          <cell r="AQ115" t="str">
            <v>0</v>
          </cell>
          <cell r="AR115" t="str">
            <v>0</v>
          </cell>
          <cell r="AS115" t="str">
            <v>0</v>
          </cell>
          <cell r="AT115" t="str">
            <v>버텍스 전면 35%/측후면 15%</v>
          </cell>
          <cell r="AU115" t="str">
            <v>0</v>
          </cell>
          <cell r="AV115" t="str">
            <v>0</v>
          </cell>
          <cell r="AW115" t="str">
            <v>렌터카 공제</v>
          </cell>
          <cell r="AX115" t="str">
            <v>0</v>
          </cell>
          <cell r="AY115" t="str">
            <v>0</v>
          </cell>
          <cell r="AZ115" t="str">
            <v>0</v>
          </cell>
          <cell r="BA115" t="str">
            <v>0</v>
          </cell>
          <cell r="BB115" t="str">
            <v>0</v>
          </cell>
          <cell r="BC115" t="str">
            <v>0</v>
          </cell>
          <cell r="BD115" t="str">
            <v>만26세</v>
          </cell>
          <cell r="BE115" t="str">
            <v>무한대</v>
          </cell>
          <cell r="BF115" t="str">
            <v>2억원</v>
          </cell>
          <cell r="BG115" t="str">
            <v>1억원/1500만</v>
          </cell>
          <cell r="BH115" t="str">
            <v>2억원/1인당</v>
          </cell>
          <cell r="BI115" t="str">
            <v>30만원</v>
          </cell>
          <cell r="BJ115" t="str">
            <v>임직원</v>
          </cell>
          <cell r="BK115" t="str">
            <v>5회/년</v>
          </cell>
          <cell r="BL115" t="str">
            <v>미가입</v>
          </cell>
          <cell r="BM115" t="str">
            <v>미가입</v>
          </cell>
          <cell r="BN115" t="str">
            <v>미가입</v>
          </cell>
          <cell r="BO115" t="str">
            <v>브랜드보증 외 사용자 부담</v>
          </cell>
          <cell r="BP115" t="str">
            <v>0</v>
          </cell>
          <cell r="BQ115" t="str">
            <v>0</v>
          </cell>
          <cell r="BR115">
            <v>83280</v>
          </cell>
          <cell r="BS115" t="str">
            <v>현금</v>
          </cell>
          <cell r="BT115" t="str">
            <v>0</v>
          </cell>
          <cell r="BU115" t="str">
            <v>0</v>
          </cell>
          <cell r="BV115" t="str">
            <v>0</v>
          </cell>
          <cell r="BW115" t="str">
            <v>0</v>
          </cell>
          <cell r="BX115" t="str">
            <v>0</v>
          </cell>
          <cell r="BY115" t="str">
            <v>0</v>
          </cell>
          <cell r="BZ115" t="str">
            <v>0</v>
          </cell>
          <cell r="CA115" t="str">
            <v>0</v>
          </cell>
          <cell r="CB115" t="str">
            <v>25</v>
          </cell>
          <cell r="CC115" t="str">
            <v>25</v>
          </cell>
          <cell r="CD115">
            <v>942000</v>
          </cell>
          <cell r="CE115">
            <v>36</v>
          </cell>
          <cell r="CF115">
            <v>33912000</v>
          </cell>
          <cell r="CG115">
            <v>20348000</v>
          </cell>
          <cell r="CH115">
            <v>0</v>
          </cell>
          <cell r="CI115">
            <v>29504600</v>
          </cell>
          <cell r="CJ115">
            <v>0.03</v>
          </cell>
          <cell r="CK115">
            <v>0.06</v>
          </cell>
          <cell r="CL115" t="str">
            <v>jichoe@gntechvc.co.kr</v>
          </cell>
          <cell r="CM115" t="str">
            <v>0</v>
          </cell>
          <cell r="CN115" t="str">
            <v>010-6648-4029</v>
          </cell>
          <cell r="CO115">
            <v>0.03</v>
          </cell>
          <cell r="CP115" t="str">
            <v>0</v>
          </cell>
          <cell r="CQ115" t="str">
            <v>0</v>
          </cell>
          <cell r="CR115" t="str">
            <v>0</v>
          </cell>
          <cell r="CS115" t="str">
            <v>0</v>
          </cell>
          <cell r="CT115" t="str">
            <v>0</v>
          </cell>
          <cell r="CU115" t="str">
            <v>0</v>
          </cell>
          <cell r="CV115" t="str">
            <v>0</v>
          </cell>
          <cell r="CW115" t="str">
            <v>0</v>
          </cell>
          <cell r="CX115" t="str">
            <v>0</v>
          </cell>
          <cell r="CY115" t="str">
            <v>0</v>
          </cell>
          <cell r="CZ115" t="str">
            <v>0</v>
          </cell>
          <cell r="DA115" t="str">
            <v>0</v>
          </cell>
          <cell r="DB115" t="str">
            <v>현대</v>
          </cell>
          <cell r="DC115" t="str">
            <v>박현식 부장</v>
          </cell>
          <cell r="DD115" t="str">
            <v>렌트베네핏</v>
          </cell>
          <cell r="DE115" t="str">
            <v>지앤텍벤처투자㈜</v>
          </cell>
          <cell r="DF115" t="str">
            <v>신한은행</v>
          </cell>
          <cell r="DG115" t="str">
            <v>140-010-200466</v>
          </cell>
          <cell r="DH115" t="str">
            <v>211-86-94062</v>
          </cell>
          <cell r="DI115" t="str">
            <v>서울특별시 강남구 테헤란로 516, 9층(대치동, 정헌빌딩)</v>
          </cell>
          <cell r="DJ115">
            <v>0.35</v>
          </cell>
          <cell r="DK115">
            <v>0.25</v>
          </cell>
          <cell r="DL115" t="str">
            <v>110111-1920887</v>
          </cell>
          <cell r="DM115">
            <v>2574168</v>
          </cell>
          <cell r="DN115" t="str">
            <v>0</v>
          </cell>
          <cell r="DO115" t="str">
            <v>0</v>
          </cell>
          <cell r="DP115" t="str">
            <v>0</v>
          </cell>
        </row>
        <row r="116">
          <cell r="C116" t="str">
            <v>G80-009</v>
          </cell>
          <cell r="D116" t="str">
            <v>(주)모니터랩</v>
          </cell>
          <cell r="E116" t="str">
            <v>이광후 대표님</v>
          </cell>
          <cell r="F116" t="str">
            <v>010-5878-5544</v>
          </cell>
          <cell r="G116" t="str">
            <v>G80</v>
          </cell>
          <cell r="H116" t="str">
            <v>2.5T AWD 18인치 25MY</v>
          </cell>
          <cell r="I116">
            <v>65250000</v>
          </cell>
          <cell r="J116">
            <v>2025</v>
          </cell>
          <cell r="K116" t="str">
            <v>비크블랙 / 에크루 카멜 모노톤</v>
          </cell>
          <cell r="L116" t="str">
            <v>가솔린</v>
          </cell>
          <cell r="M116" t="str">
            <v>KMTGB41CDTU328051</v>
          </cell>
          <cell r="N116" t="str">
            <v>142호9264</v>
          </cell>
          <cell r="O116" t="str">
            <v>파퓰러 패키지(255만)</v>
          </cell>
          <cell r="P116">
            <v>2489</v>
          </cell>
          <cell r="Q116">
            <v>46063</v>
          </cell>
          <cell r="R116">
            <v>46056</v>
          </cell>
          <cell r="S116">
            <v>46064</v>
          </cell>
          <cell r="T116" t="str">
            <v>5</v>
          </cell>
          <cell r="U116">
            <v>47889</v>
          </cell>
          <cell r="V116">
            <v>53</v>
          </cell>
          <cell r="W116">
            <v>20000</v>
          </cell>
          <cell r="X116" t="str">
            <v>김준성 부장님</v>
          </cell>
          <cell r="Y116" t="str">
            <v>010-5878-5544</v>
          </cell>
          <cell r="Z116" t="str">
            <v>0</v>
          </cell>
          <cell r="AA116" t="str">
            <v>서울시 구로구 디지털로 306 대륭포스트타워 2차 1008호 (주)모니터랩</v>
          </cell>
          <cell r="AB116">
            <v>46078</v>
          </cell>
          <cell r="AC116">
            <v>1825</v>
          </cell>
          <cell r="AD116">
            <v>1644</v>
          </cell>
          <cell r="AE116" t="str">
            <v>26020140</v>
          </cell>
          <cell r="AF116">
            <v>65250000</v>
          </cell>
          <cell r="AG116">
            <v>2610000</v>
          </cell>
          <cell r="AH116">
            <v>62640000</v>
          </cell>
          <cell r="AI116">
            <v>380000</v>
          </cell>
          <cell r="AJ116">
            <v>1900</v>
          </cell>
          <cell r="AK116">
            <v>2171560</v>
          </cell>
          <cell r="AL116">
            <v>211900</v>
          </cell>
          <cell r="AM116">
            <v>2000</v>
          </cell>
          <cell r="AN116">
            <v>40000</v>
          </cell>
          <cell r="AO116">
            <v>33000</v>
          </cell>
          <cell r="AP116" t="str">
            <v>0</v>
          </cell>
          <cell r="AQ116">
            <v>0</v>
          </cell>
          <cell r="AR116" t="str">
            <v>빌트인 캠</v>
          </cell>
          <cell r="AS116">
            <v>200000</v>
          </cell>
          <cell r="AT116" t="str">
            <v>버텍스 전면 35%/1열 15%, 2열, 후면 5%</v>
          </cell>
          <cell r="AU116" t="str">
            <v>0</v>
          </cell>
          <cell r="AV116" t="str">
            <v>0</v>
          </cell>
          <cell r="AW116" t="str">
            <v>렌터카 공제</v>
          </cell>
          <cell r="AX116" t="str">
            <v>0</v>
          </cell>
          <cell r="AY116" t="str">
            <v>0</v>
          </cell>
          <cell r="AZ116" t="str">
            <v>0</v>
          </cell>
          <cell r="BA116" t="str">
            <v>0</v>
          </cell>
          <cell r="BB116" t="str">
            <v>0</v>
          </cell>
          <cell r="BC116" t="str">
            <v>0</v>
          </cell>
          <cell r="BD116" t="str">
            <v>만26세</v>
          </cell>
          <cell r="BE116" t="str">
            <v>무한대</v>
          </cell>
          <cell r="BF116" t="str">
            <v>5억</v>
          </cell>
          <cell r="BG116" t="str">
            <v>2억/3천만</v>
          </cell>
          <cell r="BH116" t="str">
            <v>2억원/1인당</v>
          </cell>
          <cell r="BI116" t="str">
            <v>50만원</v>
          </cell>
          <cell r="BJ116" t="str">
            <v>임직원</v>
          </cell>
          <cell r="BK116" t="str">
            <v>5회/년</v>
          </cell>
          <cell r="BL116" t="str">
            <v>미가입</v>
          </cell>
          <cell r="BM116" t="str">
            <v>미가입</v>
          </cell>
          <cell r="BN116" t="str">
            <v>미가입</v>
          </cell>
          <cell r="BO116" t="str">
            <v>브랜드보증 외 사용자 부담</v>
          </cell>
          <cell r="BP116" t="str">
            <v>0</v>
          </cell>
          <cell r="BQ116" t="str">
            <v>0</v>
          </cell>
          <cell r="BR116">
            <v>47291</v>
          </cell>
          <cell r="BS116" t="str">
            <v>현금</v>
          </cell>
          <cell r="BT116" t="str">
            <v>0</v>
          </cell>
          <cell r="BU116" t="str">
            <v>0</v>
          </cell>
          <cell r="BV116" t="str">
            <v>0</v>
          </cell>
          <cell r="BW116" t="str">
            <v>0</v>
          </cell>
          <cell r="BX116" t="str">
            <v>0</v>
          </cell>
          <cell r="BY116" t="str">
            <v>0</v>
          </cell>
          <cell r="BZ116" t="str">
            <v>0</v>
          </cell>
          <cell r="CA116" t="str">
            <v>0</v>
          </cell>
          <cell r="CB116" t="str">
            <v>25</v>
          </cell>
          <cell r="CC116" t="str">
            <v>25</v>
          </cell>
          <cell r="CD116">
            <v>979000</v>
          </cell>
          <cell r="CE116">
            <v>60</v>
          </cell>
          <cell r="CF116">
            <v>58740000</v>
          </cell>
          <cell r="CG116">
            <v>19575000</v>
          </cell>
          <cell r="CH116">
            <v>0</v>
          </cell>
          <cell r="CI116">
            <v>31581000</v>
          </cell>
          <cell r="CJ116">
            <v>0.03</v>
          </cell>
          <cell r="CK116">
            <v>0.06</v>
          </cell>
          <cell r="CL116" t="str">
            <v>juneskim@monitorapp.com</v>
          </cell>
          <cell r="CM116" t="str">
            <v>0</v>
          </cell>
          <cell r="CN116" t="str">
            <v>0</v>
          </cell>
          <cell r="CO116">
            <v>0.03</v>
          </cell>
          <cell r="CP116" t="str">
            <v>0</v>
          </cell>
          <cell r="CQ116" t="str">
            <v>우산 2개</v>
          </cell>
          <cell r="CR116" t="str">
            <v>0</v>
          </cell>
          <cell r="CS116" t="str">
            <v>0</v>
          </cell>
          <cell r="CT116" t="str">
            <v>0</v>
          </cell>
          <cell r="CU116" t="str">
            <v>0</v>
          </cell>
          <cell r="CV116" t="str">
            <v>0</v>
          </cell>
          <cell r="CW116" t="str">
            <v>0</v>
          </cell>
          <cell r="CX116" t="str">
            <v>0</v>
          </cell>
          <cell r="CY116" t="str">
            <v>0</v>
          </cell>
          <cell r="CZ116" t="str">
            <v>0</v>
          </cell>
          <cell r="DA116" t="str">
            <v>0</v>
          </cell>
          <cell r="DB116" t="str">
            <v>현대</v>
          </cell>
          <cell r="DC116" t="str">
            <v>박현식 부장</v>
          </cell>
          <cell r="DD116" t="str">
            <v>렌트베네핏</v>
          </cell>
          <cell r="DE116" t="str">
            <v>㈜모니터랩</v>
          </cell>
          <cell r="DF116" t="str">
            <v>IBK기업은행</v>
          </cell>
          <cell r="DG116" t="str">
            <v>215-058130-04-018</v>
          </cell>
          <cell r="DH116" t="str">
            <v>214-87-66413</v>
          </cell>
          <cell r="DI116" t="str">
            <v>서울특별시 구로구 디지털로 306, 1008호(구로동, 대륭포스트타워2차)</v>
          </cell>
          <cell r="DJ116">
            <v>0.35</v>
          </cell>
          <cell r="DK116">
            <v>0.25</v>
          </cell>
          <cell r="DL116" t="str">
            <v>110111-3173351</v>
          </cell>
          <cell r="DM116">
            <v>3301837</v>
          </cell>
          <cell r="DN116" t="str">
            <v>0</v>
          </cell>
          <cell r="DO116" t="str">
            <v>0</v>
          </cell>
          <cell r="DP116" t="str">
            <v>0</v>
          </cell>
        </row>
        <row r="117">
          <cell r="C117" t="str">
            <v>Tucson-001</v>
          </cell>
          <cell r="D117" t="str">
            <v>㈜대경인트라넷</v>
          </cell>
          <cell r="E117" t="str">
            <v>이강열 대표님</v>
          </cell>
          <cell r="F117" t="str">
            <v>-</v>
          </cell>
          <cell r="G117" t="str">
            <v>투싼</v>
          </cell>
          <cell r="H117" t="str">
            <v xml:space="preserve"> 1.6T Inspiration 2WD DCT</v>
          </cell>
          <cell r="I117">
            <v>37410000</v>
          </cell>
          <cell r="J117">
            <v>2026</v>
          </cell>
          <cell r="K117" t="str">
            <v>크리미화이트펄 / 블랙/그레이 투톤(퀄팅천연가죽 시트)</v>
          </cell>
          <cell r="L117" t="str">
            <v>가솔린</v>
          </cell>
          <cell r="M117" t="str">
            <v>KMHJE81BGTU475155</v>
          </cell>
          <cell r="N117" t="str">
            <v>151호1372</v>
          </cell>
          <cell r="O117" t="str">
            <v>빌트인 캠 2, 증강현실 내비게이션 (45만), 베스트 셀렉션Ⅲ 122만, H Genuine Accessories 빌트인 공기청정기 (40만), 프로텍션 매트 패키지 1(23만), 러기지 패키지 (12만), 블랙 사이드스텝 (39만)</v>
          </cell>
          <cell r="P117">
            <v>1580</v>
          </cell>
          <cell r="Q117">
            <v>46090</v>
          </cell>
          <cell r="R117">
            <v>46072</v>
          </cell>
          <cell r="S117">
            <v>46091</v>
          </cell>
          <cell r="T117" t="str">
            <v>5</v>
          </cell>
          <cell r="U117">
            <v>47916</v>
          </cell>
          <cell r="V117">
            <v>54</v>
          </cell>
          <cell r="W117">
            <v>20000</v>
          </cell>
          <cell r="X117" t="str">
            <v>김미현 팀장님</v>
          </cell>
          <cell r="Y117" t="str">
            <v>010-9096-7767</v>
          </cell>
          <cell r="Z117" t="str">
            <v>0</v>
          </cell>
          <cell r="AA117" t="str">
            <v>경기도 시흥시 계수로 213 대경인트라넷</v>
          </cell>
          <cell r="AB117">
            <v>46127</v>
          </cell>
          <cell r="AC117">
            <v>1825</v>
          </cell>
          <cell r="AD117">
            <v>1671</v>
          </cell>
          <cell r="AE117" t="str">
            <v>0</v>
          </cell>
          <cell r="AF117">
            <v>37410000</v>
          </cell>
          <cell r="AG117">
            <v>0</v>
          </cell>
          <cell r="AH117">
            <v>37410000</v>
          </cell>
          <cell r="AI117">
            <v>380000</v>
          </cell>
          <cell r="AJ117">
            <v>1900</v>
          </cell>
          <cell r="AK117" t="str">
            <v>0</v>
          </cell>
          <cell r="AL117" t="str">
            <v>0</v>
          </cell>
          <cell r="AM117" t="str">
            <v>0</v>
          </cell>
          <cell r="AN117" t="str">
            <v>0</v>
          </cell>
          <cell r="AO117" t="str">
            <v>0</v>
          </cell>
          <cell r="AP117" t="str">
            <v>0</v>
          </cell>
          <cell r="AQ117" t="str">
            <v>0</v>
          </cell>
          <cell r="AR117" t="str">
            <v>빌트인 캠</v>
          </cell>
          <cell r="AS117">
            <v>200000</v>
          </cell>
          <cell r="AT117" t="str">
            <v>버텍스 전면 35%/측후면 15%</v>
          </cell>
          <cell r="AU117" t="str">
            <v>0</v>
          </cell>
          <cell r="AV117" t="str">
            <v>0</v>
          </cell>
          <cell r="AW117" t="str">
            <v>렌터카 공제</v>
          </cell>
          <cell r="AX117" t="str">
            <v>0</v>
          </cell>
          <cell r="AY117" t="str">
            <v>0</v>
          </cell>
          <cell r="AZ117" t="str">
            <v>0</v>
          </cell>
          <cell r="BA117" t="str">
            <v>0</v>
          </cell>
          <cell r="BB117" t="str">
            <v>0</v>
          </cell>
          <cell r="BC117" t="str">
            <v>0</v>
          </cell>
          <cell r="BD117" t="str">
            <v>만26세</v>
          </cell>
          <cell r="BE117" t="str">
            <v>무한대</v>
          </cell>
          <cell r="BF117" t="str">
            <v>2억원</v>
          </cell>
          <cell r="BG117" t="str">
            <v>1억원/1500만</v>
          </cell>
          <cell r="BH117" t="str">
            <v>2억원/1인당</v>
          </cell>
          <cell r="BI117" t="str">
            <v>30만원</v>
          </cell>
          <cell r="BJ117" t="str">
            <v>임직원</v>
          </cell>
          <cell r="BK117" t="str">
            <v>5회/년</v>
          </cell>
          <cell r="BL117" t="str">
            <v>미가입</v>
          </cell>
          <cell r="BM117" t="str">
            <v>미가입</v>
          </cell>
          <cell r="BN117" t="str">
            <v>미가입</v>
          </cell>
          <cell r="BO117" t="str">
            <v>브랜드보증 외 사용자 부담</v>
          </cell>
          <cell r="BP117" t="str">
            <v>0</v>
          </cell>
          <cell r="BQ117" t="str">
            <v>0</v>
          </cell>
          <cell r="BR117">
            <v>28440</v>
          </cell>
          <cell r="BS117" t="str">
            <v>현금</v>
          </cell>
          <cell r="BT117" t="str">
            <v>0</v>
          </cell>
          <cell r="BU117" t="str">
            <v>0</v>
          </cell>
          <cell r="BV117" t="str">
            <v>0</v>
          </cell>
          <cell r="BW117" t="str">
            <v>0</v>
          </cell>
          <cell r="BX117" t="str">
            <v>0</v>
          </cell>
          <cell r="BY117" t="str">
            <v>0</v>
          </cell>
          <cell r="BZ117" t="str">
            <v>0</v>
          </cell>
          <cell r="CA117" t="str">
            <v>0</v>
          </cell>
          <cell r="CB117" t="str">
            <v>15</v>
          </cell>
          <cell r="CC117" t="str">
            <v>15</v>
          </cell>
          <cell r="CD117">
            <v>640000</v>
          </cell>
          <cell r="CE117">
            <v>60</v>
          </cell>
          <cell r="CF117">
            <v>38400000</v>
          </cell>
          <cell r="CG117">
            <v>11223000</v>
          </cell>
          <cell r="CH117">
            <v>0</v>
          </cell>
          <cell r="CI117">
            <v>16834500</v>
          </cell>
          <cell r="CJ117">
            <v>0.03</v>
          </cell>
          <cell r="CK117">
            <v>0.06</v>
          </cell>
          <cell r="CL117" t="str">
            <v>mhgood45@dkin.co.kr</v>
          </cell>
          <cell r="CM117" t="str">
            <v>0</v>
          </cell>
          <cell r="CN117" t="str">
            <v>0</v>
          </cell>
          <cell r="CO117">
            <v>0.03</v>
          </cell>
          <cell r="CP117" t="str">
            <v>0</v>
          </cell>
          <cell r="CQ117" t="str">
            <v>0</v>
          </cell>
          <cell r="CR117" t="str">
            <v>0</v>
          </cell>
          <cell r="CS117" t="str">
            <v>0</v>
          </cell>
          <cell r="CT117" t="str">
            <v>0</v>
          </cell>
          <cell r="CU117" t="str">
            <v>0</v>
          </cell>
          <cell r="CV117" t="str">
            <v>0</v>
          </cell>
          <cell r="CW117" t="str">
            <v>0</v>
          </cell>
          <cell r="CX117" t="str">
            <v>0</v>
          </cell>
          <cell r="CY117" t="str">
            <v>0</v>
          </cell>
          <cell r="CZ117" t="str">
            <v>0</v>
          </cell>
          <cell r="DA117" t="str">
            <v>0</v>
          </cell>
          <cell r="DB117" t="str">
            <v>현대</v>
          </cell>
          <cell r="DC117" t="str">
            <v>박현식 부장</v>
          </cell>
          <cell r="DD117" t="str">
            <v>렌트베네핏</v>
          </cell>
          <cell r="DE117" t="str">
            <v>㈜대경인트라넷 이강열</v>
          </cell>
          <cell r="DF117" t="str">
            <v>신한은행</v>
          </cell>
          <cell r="DG117" t="str">
            <v>140-011-847556</v>
          </cell>
          <cell r="DH117" t="str">
            <v>206-81-25404</v>
          </cell>
          <cell r="DI117" t="str">
            <v>서울특별시 구로구 오리로 17길 70, 지층-2(궁동)</v>
          </cell>
          <cell r="DJ117">
            <v>0.35</v>
          </cell>
          <cell r="DK117">
            <v>0.25</v>
          </cell>
          <cell r="DL117" t="str">
            <v>110111-1963407</v>
          </cell>
          <cell r="DM117">
            <v>1893054</v>
          </cell>
          <cell r="DN117" t="str">
            <v>0</v>
          </cell>
          <cell r="DO117" t="str">
            <v>0</v>
          </cell>
          <cell r="DP117" t="str">
            <v>0</v>
          </cell>
        </row>
        <row r="118">
          <cell r="C118" t="str">
            <v>Tesla-001</v>
          </cell>
          <cell r="D118" t="str">
            <v>동성정공㈜</v>
          </cell>
          <cell r="E118" t="str">
            <v>한현수 대표님</v>
          </cell>
          <cell r="F118" t="str">
            <v>010-2203-8126</v>
          </cell>
          <cell r="G118" t="str">
            <v>Model S Plaid</v>
          </cell>
          <cell r="H118" t="str">
            <v>21인치 벨라리움 휠</v>
          </cell>
          <cell r="I118">
            <v>145215000</v>
          </cell>
          <cell r="J118">
            <v>2026</v>
          </cell>
          <cell r="K118" t="str">
            <v>Ultra Red / Cream 인테리어와 카본 파이버 데코 및 스포츠 시트</v>
          </cell>
          <cell r="L118" t="str">
            <v>전기모터</v>
          </cell>
          <cell r="M118" t="str">
            <v>5YJSA1E6XTF564107</v>
          </cell>
          <cell r="N118" t="str">
            <v>34호3318</v>
          </cell>
          <cell r="O118" t="str">
            <v>Ultra Red(4,310,000), Cream 인테리어와 카본 파이버 데코 및 스포츠 시트(2,874,000), 요크 스티어링 휠(1,461,000), 오토파일럿(Included)</v>
          </cell>
          <cell r="P118" t="str">
            <v>0</v>
          </cell>
          <cell r="Q118">
            <v>46181</v>
          </cell>
          <cell r="R118">
            <v>46174</v>
          </cell>
          <cell r="S118">
            <v>46202</v>
          </cell>
          <cell r="T118" t="str">
            <v>5</v>
          </cell>
          <cell r="U118">
            <v>48027</v>
          </cell>
          <cell r="V118">
            <v>58</v>
          </cell>
          <cell r="W118">
            <v>20000</v>
          </cell>
          <cell r="X118" t="str">
            <v>한현수 대표님</v>
          </cell>
          <cell r="Y118" t="str">
            <v>010-2203-8126</v>
          </cell>
          <cell r="Z118" t="str">
            <v>0</v>
          </cell>
          <cell r="AA118" t="str">
            <v>경기도 안산시 단원구 성곡로 78, 607동 25호(성곡동, 반원공단)</v>
          </cell>
          <cell r="AB118">
            <v>46213</v>
          </cell>
          <cell r="AC118">
            <v>1825</v>
          </cell>
          <cell r="AD118">
            <v>1782</v>
          </cell>
          <cell r="AE118" t="str">
            <v>0</v>
          </cell>
          <cell r="AF118">
            <v>145215000</v>
          </cell>
          <cell r="AG118">
            <v>0</v>
          </cell>
          <cell r="AH118">
            <v>145215000</v>
          </cell>
          <cell r="AI118">
            <v>0</v>
          </cell>
          <cell r="AJ118" t="str">
            <v>0</v>
          </cell>
          <cell r="AK118" t="str">
            <v>0</v>
          </cell>
          <cell r="AL118" t="str">
            <v>0</v>
          </cell>
          <cell r="AM118" t="str">
            <v>0</v>
          </cell>
          <cell r="AN118" t="str">
            <v>0</v>
          </cell>
          <cell r="AO118" t="str">
            <v>0</v>
          </cell>
          <cell r="AP118" t="str">
            <v>0</v>
          </cell>
          <cell r="AQ118" t="str">
            <v>0</v>
          </cell>
          <cell r="AR118" t="str">
            <v>순정 내장형 대시캠, 센트리 모드 탑제</v>
          </cell>
          <cell r="AS118">
            <v>700000</v>
          </cell>
          <cell r="AT118" t="str">
            <v>버택스 500 전면 35%, 측면1열 15%, 측면2열 및 후면 5%, 썬루프 35%</v>
          </cell>
          <cell r="AU118" t="str">
            <v>0</v>
          </cell>
          <cell r="AV118" t="str">
            <v>0</v>
          </cell>
          <cell r="AW118" t="str">
            <v>렌터카 공제</v>
          </cell>
          <cell r="AX118" t="str">
            <v>0</v>
          </cell>
          <cell r="AY118" t="str">
            <v>0</v>
          </cell>
          <cell r="AZ118" t="str">
            <v>0</v>
          </cell>
          <cell r="BA118" t="str">
            <v>0</v>
          </cell>
          <cell r="BB118" t="str">
            <v>0</v>
          </cell>
          <cell r="BC118" t="str">
            <v>0</v>
          </cell>
          <cell r="BD118" t="str">
            <v>만26세</v>
          </cell>
          <cell r="BE118" t="str">
            <v>무한대</v>
          </cell>
          <cell r="BF118" t="str">
            <v>5억</v>
          </cell>
          <cell r="BG118" t="str">
            <v>2억/3천만</v>
          </cell>
          <cell r="BH118" t="str">
            <v>2억원/1인당</v>
          </cell>
          <cell r="BI118" t="str">
            <v>50만원</v>
          </cell>
          <cell r="BJ118" t="str">
            <v>임직원</v>
          </cell>
          <cell r="BK118" t="str">
            <v>5회/년</v>
          </cell>
          <cell r="BL118" t="str">
            <v>미가입</v>
          </cell>
          <cell r="BM118" t="str">
            <v>미가입</v>
          </cell>
          <cell r="BN118" t="str">
            <v>미가입</v>
          </cell>
          <cell r="BO118" t="str">
            <v>브랜드보증 외 사용자 부담</v>
          </cell>
          <cell r="BP118" t="str">
            <v>0</v>
          </cell>
          <cell r="BQ118" t="str">
            <v>0</v>
          </cell>
          <cell r="BR118">
            <v>0</v>
          </cell>
          <cell r="BS118" t="str">
            <v>현금</v>
          </cell>
          <cell r="BT118" t="str">
            <v>0</v>
          </cell>
          <cell r="BU118" t="str">
            <v>0</v>
          </cell>
          <cell r="BV118" t="str">
            <v>0</v>
          </cell>
          <cell r="BW118" t="str">
            <v>0</v>
          </cell>
          <cell r="BX118" t="str">
            <v>0</v>
          </cell>
          <cell r="BY118" t="str">
            <v>0</v>
          </cell>
          <cell r="BZ118" t="str">
            <v>0</v>
          </cell>
          <cell r="CA118" t="str">
            <v>0</v>
          </cell>
          <cell r="CB118" t="str">
            <v>10</v>
          </cell>
          <cell r="CC118" t="str">
            <v>10</v>
          </cell>
          <cell r="CD118">
            <v>2265000</v>
          </cell>
          <cell r="CE118">
            <v>60</v>
          </cell>
          <cell r="CF118">
            <v>135900000</v>
          </cell>
          <cell r="CG118">
            <v>43993500</v>
          </cell>
          <cell r="CH118">
            <v>0</v>
          </cell>
          <cell r="CI118">
            <v>58658000</v>
          </cell>
          <cell r="CJ118">
            <v>0.03</v>
          </cell>
          <cell r="CK118">
            <v>0.06</v>
          </cell>
          <cell r="CL118" t="str">
            <v>dsmold1@bill36524.com</v>
          </cell>
          <cell r="CM118" t="str">
            <v>0</v>
          </cell>
          <cell r="CN118" t="str">
            <v>0</v>
          </cell>
          <cell r="CO118">
            <v>0.03</v>
          </cell>
          <cell r="CP118" t="str">
            <v>0</v>
          </cell>
          <cell r="CQ118" t="str">
            <v>우산 2개</v>
          </cell>
          <cell r="CR118" t="str">
            <v>0</v>
          </cell>
          <cell r="CS118" t="str">
            <v>PPF+유리막</v>
          </cell>
          <cell r="CT118">
            <v>120000</v>
          </cell>
          <cell r="CU118" t="str">
            <v>0</v>
          </cell>
          <cell r="CV118" t="str">
            <v>0</v>
          </cell>
          <cell r="CW118" t="str">
            <v>0</v>
          </cell>
          <cell r="CX118" t="str">
            <v>0</v>
          </cell>
          <cell r="CY118" t="str">
            <v>0</v>
          </cell>
          <cell r="CZ118" t="str">
            <v>0</v>
          </cell>
          <cell r="DA118" t="str">
            <v>0</v>
          </cell>
          <cell r="DB118" t="str">
            <v>테슬라</v>
          </cell>
          <cell r="DC118" t="str">
            <v>없음</v>
          </cell>
          <cell r="DD118" t="str">
            <v>렌트베네핏</v>
          </cell>
          <cell r="DE118" t="str">
            <v>동성정공㈜</v>
          </cell>
          <cell r="DF118" t="str">
            <v>IBK기업은행</v>
          </cell>
          <cell r="DG118" t="str">
            <v>409-001153-04-011</v>
          </cell>
          <cell r="DH118" t="str">
            <v>134-81-31106</v>
          </cell>
          <cell r="DI118" t="str">
            <v>경기도 안산시 단원구 성곡로 78, 607동 25호(성곡동, 반월공단)</v>
          </cell>
          <cell r="DJ118">
            <v>0.35</v>
          </cell>
          <cell r="DK118">
            <v>0.25</v>
          </cell>
          <cell r="DL118" t="str">
            <v>135011-0060728</v>
          </cell>
          <cell r="DM118">
            <v>0</v>
          </cell>
          <cell r="DN118" t="str">
            <v>0</v>
          </cell>
          <cell r="DO118" t="str">
            <v>0</v>
          </cell>
          <cell r="DP118" t="str">
            <v>0</v>
          </cell>
        </row>
        <row r="119">
          <cell r="C119" t="str">
            <v>K9-001</v>
          </cell>
          <cell r="D119" t="str">
            <v>신흥정보통신㈜</v>
          </cell>
          <cell r="E119" t="str">
            <v>장혜원 대표님</v>
          </cell>
          <cell r="F119" t="str">
            <v>010-8182-6737</v>
          </cell>
          <cell r="G119" t="str">
            <v>K9</v>
          </cell>
          <cell r="H119" t="str">
            <v>마스터즈 베스트 셀렉션 Ⅱ</v>
          </cell>
          <cell r="I119">
            <v>39150000</v>
          </cell>
          <cell r="J119">
            <v>2022</v>
          </cell>
          <cell r="K119" t="str">
            <v>애스코트그린 / 새들 브라운 인테리어</v>
          </cell>
          <cell r="L119" t="str">
            <v>가솔린</v>
          </cell>
          <cell r="M119" t="str">
            <v>KNAS5416DNS041280</v>
          </cell>
          <cell r="N119" t="str">
            <v>101하5040</v>
          </cell>
          <cell r="O119" t="str">
            <v>-</v>
          </cell>
          <cell r="P119">
            <v>3342</v>
          </cell>
          <cell r="Q119">
            <v>44652</v>
          </cell>
          <cell r="R119">
            <v>46098</v>
          </cell>
          <cell r="S119">
            <v>46112</v>
          </cell>
          <cell r="T119" t="str">
            <v>1</v>
          </cell>
          <cell r="U119">
            <v>46477</v>
          </cell>
          <cell r="V119">
            <v>7</v>
          </cell>
          <cell r="W119">
            <v>20000</v>
          </cell>
          <cell r="X119" t="str">
            <v>김재환 대리님</v>
          </cell>
          <cell r="Y119" t="str">
            <v>010-2360-9309</v>
          </cell>
          <cell r="Z119" t="str">
            <v>0</v>
          </cell>
          <cell r="AA119" t="str">
            <v>송파구 법원로 11길 28 BK타워</v>
          </cell>
          <cell r="AB119">
            <v>46137</v>
          </cell>
          <cell r="AC119">
            <v>365</v>
          </cell>
          <cell r="AD119">
            <v>232</v>
          </cell>
          <cell r="AE119">
            <v>22030013</v>
          </cell>
          <cell r="AF119">
            <v>81586141</v>
          </cell>
          <cell r="AG119">
            <v>5509859</v>
          </cell>
          <cell r="AH119">
            <v>76076282</v>
          </cell>
          <cell r="AI119">
            <v>94000</v>
          </cell>
          <cell r="AJ119">
            <v>2000</v>
          </cell>
          <cell r="AK119">
            <v>2966690</v>
          </cell>
          <cell r="AL119">
            <v>311500</v>
          </cell>
          <cell r="AM119">
            <v>2000</v>
          </cell>
          <cell r="AN119">
            <v>47000</v>
          </cell>
          <cell r="AO119">
            <v>50000</v>
          </cell>
          <cell r="AP119">
            <v>2235000</v>
          </cell>
          <cell r="AQ119">
            <v>132000</v>
          </cell>
          <cell r="AR119" t="str">
            <v>엠피온 S1000</v>
          </cell>
          <cell r="AS119">
            <v>220000</v>
          </cell>
          <cell r="AT119" t="str">
            <v>후푸옵틱 측후면 15% 전면 50%</v>
          </cell>
          <cell r="AU119">
            <v>3381140</v>
          </cell>
          <cell r="AV119">
            <v>3825190</v>
          </cell>
          <cell r="AW119" t="str">
            <v>렌터카 공제</v>
          </cell>
          <cell r="AX119">
            <v>44652</v>
          </cell>
          <cell r="AY119">
            <v>2010630</v>
          </cell>
          <cell r="AZ119" t="str">
            <v>0</v>
          </cell>
          <cell r="BA119" t="str">
            <v>0</v>
          </cell>
          <cell r="BB119" t="str">
            <v>0</v>
          </cell>
          <cell r="BC119" t="str">
            <v>0</v>
          </cell>
          <cell r="BD119" t="str">
            <v>만26세</v>
          </cell>
          <cell r="BE119" t="str">
            <v>무한대</v>
          </cell>
          <cell r="BF119" t="str">
            <v>5억</v>
          </cell>
          <cell r="BG119" t="str">
            <v>2억/3천만</v>
          </cell>
          <cell r="BH119" t="str">
            <v>2억원/1인당</v>
          </cell>
          <cell r="BI119" t="str">
            <v>50만원</v>
          </cell>
          <cell r="BJ119" t="str">
            <v>가족한정/누구나</v>
          </cell>
          <cell r="BK119" t="str">
            <v>5회/년</v>
          </cell>
          <cell r="BL119" t="str">
            <v>가입</v>
          </cell>
          <cell r="BM119" t="str">
            <v>가입</v>
          </cell>
          <cell r="BN119" t="str">
            <v>가입</v>
          </cell>
          <cell r="BO119" t="str">
            <v>가입</v>
          </cell>
          <cell r="BP119" t="str">
            <v>콘티낸탈 앞245/45 R19 / 뒤275/40 R19</v>
          </cell>
          <cell r="BQ119" t="str">
            <v>0</v>
          </cell>
          <cell r="BR119">
            <v>80208</v>
          </cell>
          <cell r="BS119" t="str">
            <v>현금</v>
          </cell>
          <cell r="BT119" t="str">
            <v>0</v>
          </cell>
          <cell r="BU119" t="str">
            <v>0</v>
          </cell>
          <cell r="BV119" t="str">
            <v>0</v>
          </cell>
          <cell r="BW119" t="str">
            <v>0</v>
          </cell>
          <cell r="BX119" t="str">
            <v>0</v>
          </cell>
          <cell r="BY119" t="str">
            <v>0</v>
          </cell>
          <cell r="BZ119">
            <v>0</v>
          </cell>
          <cell r="CA119" t="str">
            <v>0</v>
          </cell>
          <cell r="CB119" t="str">
            <v>25</v>
          </cell>
          <cell r="CC119" t="str">
            <v>25</v>
          </cell>
          <cell r="CD119">
            <v>1600000</v>
          </cell>
          <cell r="CE119">
            <v>12</v>
          </cell>
          <cell r="CF119">
            <v>19200000</v>
          </cell>
          <cell r="CG119">
            <v>0</v>
          </cell>
          <cell r="CH119">
            <v>0</v>
          </cell>
          <cell r="CI119" t="str">
            <v>자율반납</v>
          </cell>
          <cell r="CJ119">
            <v>0</v>
          </cell>
          <cell r="CK119">
            <v>0.06</v>
          </cell>
          <cell r="CL119" t="str">
            <v>shtel124@shtel.co.kr</v>
          </cell>
          <cell r="CM119" t="str">
            <v>0</v>
          </cell>
          <cell r="CN119" t="str">
            <v>0</v>
          </cell>
          <cell r="CO119">
            <v>0.03</v>
          </cell>
          <cell r="CP119" t="str">
            <v>0</v>
          </cell>
          <cell r="CQ119">
            <v>0</v>
          </cell>
          <cell r="CR119">
            <v>0</v>
          </cell>
          <cell r="CS119">
            <v>0</v>
          </cell>
          <cell r="CT119">
            <v>0</v>
          </cell>
          <cell r="CU119">
            <v>0</v>
          </cell>
          <cell r="CV119">
            <v>0</v>
          </cell>
          <cell r="CW119">
            <v>0</v>
          </cell>
          <cell r="CX119">
            <v>0</v>
          </cell>
          <cell r="CY119">
            <v>0</v>
          </cell>
          <cell r="CZ119">
            <v>0</v>
          </cell>
          <cell r="DA119">
            <v>220000</v>
          </cell>
          <cell r="DB119" t="str">
            <v>기아</v>
          </cell>
          <cell r="DC119" t="str">
            <v>정수원 실장</v>
          </cell>
          <cell r="DD119" t="str">
            <v>렌트베네핏</v>
          </cell>
          <cell r="DE119" t="str">
            <v>신흥정보통신㈜</v>
          </cell>
          <cell r="DF119" t="str">
            <v>KB 국민은행</v>
          </cell>
          <cell r="DG119" t="str">
            <v>242-01-0050-101</v>
          </cell>
          <cell r="DH119" t="str">
            <v>124-81-20150</v>
          </cell>
          <cell r="DI119" t="str">
            <v>경기도 수원시 장안구 수성로 350번길 30(영화동)</v>
          </cell>
          <cell r="DJ119">
            <v>0.3</v>
          </cell>
          <cell r="DK119">
            <v>0.2</v>
          </cell>
          <cell r="DL119" t="str">
            <v>134111-0007943</v>
          </cell>
          <cell r="DM119" t="str">
            <v>0</v>
          </cell>
          <cell r="DN119" t="str">
            <v>0</v>
          </cell>
          <cell r="DO119" t="str">
            <v>0</v>
          </cell>
          <cell r="DP119" t="str">
            <v>0</v>
          </cell>
        </row>
        <row r="120">
          <cell r="C120" t="str">
            <v>Grander-011</v>
          </cell>
          <cell r="D120" t="str">
            <v>주식회사 레이</v>
          </cell>
          <cell r="E120" t="str">
            <v>이상철 대표님</v>
          </cell>
          <cell r="F120" t="str">
            <v>010-6251-4137</v>
          </cell>
          <cell r="G120" t="str">
            <v>그랜저</v>
          </cell>
          <cell r="H120" t="str">
            <v>2.5T 프리미엄 2WD</v>
          </cell>
          <cell r="I120">
            <v>39410000</v>
          </cell>
          <cell r="J120">
            <v>2026</v>
          </cell>
          <cell r="K120" t="str">
            <v>어비스 블랙 펄/인디고/브라운투톤</v>
          </cell>
          <cell r="L120" t="str">
            <v>가솔린</v>
          </cell>
          <cell r="M120" t="str">
            <v>KMHN141DBTA141332</v>
          </cell>
          <cell r="N120" t="str">
            <v>151호1386</v>
          </cell>
          <cell r="O120" t="str">
            <v>현대스마트센스1(84만)</v>
          </cell>
          <cell r="P120">
            <v>2487</v>
          </cell>
          <cell r="Q120">
            <v>46106</v>
          </cell>
          <cell r="R120">
            <v>46100</v>
          </cell>
          <cell r="S120">
            <v>46107</v>
          </cell>
          <cell r="T120" t="str">
            <v>4</v>
          </cell>
          <cell r="U120">
            <v>47567</v>
          </cell>
          <cell r="V120">
            <v>43</v>
          </cell>
          <cell r="W120">
            <v>30000</v>
          </cell>
          <cell r="X120" t="str">
            <v>김호영 책임님</v>
          </cell>
          <cell r="Y120" t="str">
            <v>010-2425-6857</v>
          </cell>
          <cell r="Z120" t="str">
            <v>0</v>
          </cell>
          <cell r="AA120" t="str">
            <v>경기도 성남시 분당구 판교역로 221, 12층(삼평동)</v>
          </cell>
          <cell r="AB120">
            <v>46137</v>
          </cell>
          <cell r="AC120">
            <v>1460</v>
          </cell>
          <cell r="AD120">
            <v>1322</v>
          </cell>
          <cell r="AE120" t="str">
            <v>0</v>
          </cell>
          <cell r="AF120">
            <v>39410000</v>
          </cell>
          <cell r="AG120">
            <v>1994259</v>
          </cell>
          <cell r="AH120">
            <v>37591741</v>
          </cell>
          <cell r="AI120">
            <v>176000</v>
          </cell>
          <cell r="AJ120">
            <v>1900</v>
          </cell>
          <cell r="AK120">
            <v>1366970</v>
          </cell>
          <cell r="AL120">
            <v>45368</v>
          </cell>
          <cell r="AM120" t="str">
            <v>0</v>
          </cell>
          <cell r="AN120" t="str">
            <v>0</v>
          </cell>
          <cell r="AO120">
            <v>80000</v>
          </cell>
          <cell r="AP120" t="str">
            <v>0</v>
          </cell>
          <cell r="AQ120">
            <v>220000</v>
          </cell>
          <cell r="AR120" t="str">
            <v>아이나비 Z9900</v>
          </cell>
          <cell r="AS120">
            <v>198000</v>
          </cell>
          <cell r="AT120" t="str">
            <v>버택스 300 전면 35%, 측면1열 15%, 측면2열 및 후면 5%</v>
          </cell>
          <cell r="AU120" t="str">
            <v>0</v>
          </cell>
          <cell r="AV120" t="str">
            <v>0</v>
          </cell>
          <cell r="AW120" t="str">
            <v>렌터카 공제</v>
          </cell>
          <cell r="AX120" t="str">
            <v>0</v>
          </cell>
          <cell r="AY120" t="str">
            <v>0</v>
          </cell>
          <cell r="AZ120" t="str">
            <v>0</v>
          </cell>
          <cell r="BA120" t="str">
            <v>0</v>
          </cell>
          <cell r="BB120" t="str">
            <v>0</v>
          </cell>
          <cell r="BC120" t="str">
            <v>0</v>
          </cell>
          <cell r="BD120" t="str">
            <v>만26세</v>
          </cell>
          <cell r="BE120" t="str">
            <v>무한대</v>
          </cell>
          <cell r="BF120" t="str">
            <v>5억</v>
          </cell>
          <cell r="BG120" t="str">
            <v>2억/3천만</v>
          </cell>
          <cell r="BH120" t="str">
            <v>2억원/1인당</v>
          </cell>
          <cell r="BI120" t="str">
            <v>30만원</v>
          </cell>
          <cell r="BJ120" t="str">
            <v>임직원</v>
          </cell>
          <cell r="BK120" t="str">
            <v>5회/년</v>
          </cell>
          <cell r="BL120" t="str">
            <v>가입</v>
          </cell>
          <cell r="BM120" t="str">
            <v>가입</v>
          </cell>
          <cell r="BN120" t="str">
            <v>가입</v>
          </cell>
          <cell r="BO120" t="str">
            <v>렌트기간 4본</v>
          </cell>
          <cell r="BP120" t="str">
            <v>넥센 앞,뒤 225/55R18</v>
          </cell>
          <cell r="BQ120" t="str">
            <v>0</v>
          </cell>
          <cell r="BR120">
            <v>47253</v>
          </cell>
          <cell r="BS120" t="str">
            <v>현금</v>
          </cell>
          <cell r="BT120" t="str">
            <v>0</v>
          </cell>
          <cell r="BU120" t="str">
            <v>0</v>
          </cell>
          <cell r="BV120" t="str">
            <v>0</v>
          </cell>
          <cell r="BW120" t="str">
            <v>0</v>
          </cell>
          <cell r="BX120" t="str">
            <v>0</v>
          </cell>
          <cell r="BY120" t="str">
            <v>0</v>
          </cell>
          <cell r="BZ120" t="str">
            <v>0</v>
          </cell>
          <cell r="CA120" t="str">
            <v>0</v>
          </cell>
          <cell r="CB120" t="str">
            <v>25</v>
          </cell>
          <cell r="CC120" t="str">
            <v>25</v>
          </cell>
          <cell r="CD120">
            <v>734000</v>
          </cell>
          <cell r="CE120">
            <v>48</v>
          </cell>
          <cell r="CF120">
            <v>35232000</v>
          </cell>
          <cell r="CG120">
            <v>11823000</v>
          </cell>
          <cell r="CH120">
            <v>0</v>
          </cell>
          <cell r="CI120">
            <v>20493200</v>
          </cell>
          <cell r="CJ120">
            <v>0.03</v>
          </cell>
          <cell r="CK120">
            <v>0.06</v>
          </cell>
          <cell r="CL120" t="str">
            <v>hoyoung.kim@raymedical.com</v>
          </cell>
          <cell r="CM120" t="str">
            <v>0</v>
          </cell>
          <cell r="CN120" t="str">
            <v>0</v>
          </cell>
          <cell r="CO120">
            <v>0.03</v>
          </cell>
          <cell r="CP120" t="str">
            <v>0</v>
          </cell>
          <cell r="CQ120" t="str">
            <v>0</v>
          </cell>
          <cell r="CR120" t="str">
            <v>0</v>
          </cell>
          <cell r="CS120" t="str">
            <v>유리막/PPF</v>
          </cell>
          <cell r="CT120" t="str">
            <v>0</v>
          </cell>
          <cell r="CU120" t="str">
            <v>0</v>
          </cell>
          <cell r="CV120" t="str">
            <v>0</v>
          </cell>
          <cell r="CW120" t="str">
            <v>0</v>
          </cell>
          <cell r="CX120" t="str">
            <v>0</v>
          </cell>
          <cell r="CY120" t="str">
            <v>0</v>
          </cell>
          <cell r="CZ120" t="str">
            <v>0</v>
          </cell>
          <cell r="DA120" t="str">
            <v>0</v>
          </cell>
          <cell r="DB120" t="str">
            <v>현대</v>
          </cell>
          <cell r="DC120" t="str">
            <v>박현식 부장</v>
          </cell>
          <cell r="DD120" t="str">
            <v>렌트베네핏</v>
          </cell>
          <cell r="DE120" t="str">
            <v>㈜레이</v>
          </cell>
          <cell r="DF120" t="str">
            <v>우리은행</v>
          </cell>
          <cell r="DG120" t="str">
            <v>1005-401-254754</v>
          </cell>
          <cell r="DH120" t="str">
            <v xml:space="preserve">135-81-73282 </v>
          </cell>
          <cell r="DI120" t="str">
            <v>경기도 성남시 분당구 판교역로 221, 12층(삼평동)</v>
          </cell>
          <cell r="DJ120">
            <v>0.35</v>
          </cell>
          <cell r="DK120">
            <v>0.25</v>
          </cell>
          <cell r="DL120" t="str">
            <v>134511-0084018</v>
          </cell>
          <cell r="DM120" t="str">
            <v>0</v>
          </cell>
          <cell r="DN120" t="str">
            <v>0</v>
          </cell>
          <cell r="DO120" t="str">
            <v>0</v>
          </cell>
          <cell r="DP120" t="str">
            <v>0</v>
          </cell>
        </row>
        <row r="121">
          <cell r="C121" t="str">
            <v>GV70-002</v>
          </cell>
          <cell r="D121" t="str">
            <v>이명주 원장님</v>
          </cell>
          <cell r="E121" t="str">
            <v>이명주 원장님</v>
          </cell>
          <cell r="F121" t="str">
            <v>010-3606-6626</v>
          </cell>
          <cell r="G121" t="str">
            <v>GV70</v>
          </cell>
          <cell r="H121" t="str">
            <v>2.5T AWD 18인치</v>
          </cell>
          <cell r="I121">
            <v>63600000</v>
          </cell>
          <cell r="J121">
            <v>2026</v>
          </cell>
          <cell r="K121" t="str">
            <v>우유니 화이트/옵시디언블랙 모노톤</v>
          </cell>
          <cell r="L121" t="str">
            <v>가솔린</v>
          </cell>
          <cell r="M121" t="str">
            <v>KMTMA81BDTU287666</v>
          </cell>
          <cell r="N121" t="str">
            <v>151호1700</v>
          </cell>
          <cell r="O121" t="str">
            <v>파퓰러패키지2(660만)</v>
          </cell>
          <cell r="P121">
            <v>2497</v>
          </cell>
          <cell r="Q121">
            <v>46118</v>
          </cell>
          <cell r="R121">
            <v>46106</v>
          </cell>
          <cell r="S121">
            <v>46119</v>
          </cell>
          <cell r="T121" t="str">
            <v>3</v>
          </cell>
          <cell r="U121">
            <v>47214</v>
          </cell>
          <cell r="V121">
            <v>31</v>
          </cell>
          <cell r="W121">
            <v>20000</v>
          </cell>
          <cell r="X121" t="str">
            <v>강승혜 고객님</v>
          </cell>
          <cell r="Y121" t="str">
            <v>010-8620-6626</v>
          </cell>
          <cell r="Z121" t="str">
            <v>0</v>
          </cell>
          <cell r="AA121" t="str">
            <v>제주시 은남1길 46, 3층(연동)</v>
          </cell>
          <cell r="AB121">
            <v>46142</v>
          </cell>
          <cell r="AC121">
            <v>1095</v>
          </cell>
          <cell r="AD121">
            <v>969</v>
          </cell>
          <cell r="AE121" t="str">
            <v>0</v>
          </cell>
          <cell r="AF121">
            <v>57000000</v>
          </cell>
          <cell r="AG121">
            <v>3218342</v>
          </cell>
          <cell r="AH121">
            <v>54083658</v>
          </cell>
          <cell r="AI121">
            <v>302000</v>
          </cell>
          <cell r="AJ121">
            <v>1900</v>
          </cell>
          <cell r="AK121">
            <v>2206670</v>
          </cell>
          <cell r="AL121">
            <v>154700</v>
          </cell>
          <cell r="AM121">
            <v>2000</v>
          </cell>
          <cell r="AN121">
            <v>40000</v>
          </cell>
          <cell r="AO121">
            <v>80000</v>
          </cell>
          <cell r="AP121" t="str">
            <v>0</v>
          </cell>
          <cell r="AQ121" t="str">
            <v>0</v>
          </cell>
          <cell r="AR121" t="str">
            <v>0</v>
          </cell>
          <cell r="AS121">
            <v>170000</v>
          </cell>
          <cell r="AT121" t="str">
            <v>레인보우 i55 : 전면 35, 측후면 15%</v>
          </cell>
          <cell r="AU121" t="str">
            <v>0</v>
          </cell>
          <cell r="AV121" t="str">
            <v>0</v>
          </cell>
          <cell r="AW121" t="str">
            <v>렌터카 공제</v>
          </cell>
          <cell r="AX121" t="str">
            <v>0</v>
          </cell>
          <cell r="AY121" t="str">
            <v>0</v>
          </cell>
          <cell r="AZ121" t="str">
            <v>0</v>
          </cell>
          <cell r="BA121" t="str">
            <v>0</v>
          </cell>
          <cell r="BB121" t="str">
            <v>0</v>
          </cell>
          <cell r="BC121" t="str">
            <v>0</v>
          </cell>
          <cell r="BD121" t="str">
            <v>만26세</v>
          </cell>
          <cell r="BE121" t="str">
            <v>무한대</v>
          </cell>
          <cell r="BF121" t="str">
            <v>5억</v>
          </cell>
          <cell r="BG121" t="str">
            <v>2억/3천만</v>
          </cell>
          <cell r="BH121" t="str">
            <v>2억원/1인당</v>
          </cell>
          <cell r="BI121" t="str">
            <v>50만원</v>
          </cell>
          <cell r="BJ121" t="str">
            <v>임직원</v>
          </cell>
          <cell r="BK121" t="str">
            <v>5회/년</v>
          </cell>
          <cell r="BL121" t="str">
            <v>미가입</v>
          </cell>
          <cell r="BM121" t="str">
            <v>미가입</v>
          </cell>
          <cell r="BN121" t="str">
            <v>미가입</v>
          </cell>
          <cell r="BO121" t="str">
            <v>브랜드보증 외 사용자 부담</v>
          </cell>
          <cell r="BP121" t="str">
            <v>브릿지 스톤 앞, 뒤 235/60 R18</v>
          </cell>
          <cell r="BQ121" t="str">
            <v>0</v>
          </cell>
          <cell r="BR121">
            <v>47443</v>
          </cell>
          <cell r="BS121" t="str">
            <v>현금</v>
          </cell>
          <cell r="BT121" t="str">
            <v>0</v>
          </cell>
          <cell r="BU121" t="str">
            <v>0</v>
          </cell>
          <cell r="BV121" t="str">
            <v>0</v>
          </cell>
          <cell r="BW121" t="str">
            <v>0</v>
          </cell>
          <cell r="BX121" t="str">
            <v>0</v>
          </cell>
          <cell r="BY121" t="str">
            <v>0</v>
          </cell>
          <cell r="BZ121" t="str">
            <v>0</v>
          </cell>
          <cell r="CA121" t="str">
            <v>0</v>
          </cell>
          <cell r="CB121" t="str">
            <v>말</v>
          </cell>
          <cell r="CC121" t="str">
            <v>말</v>
          </cell>
          <cell r="CD121">
            <v>1196000</v>
          </cell>
          <cell r="CE121">
            <v>36</v>
          </cell>
          <cell r="CF121">
            <v>43056000</v>
          </cell>
          <cell r="CG121">
            <v>19080000</v>
          </cell>
          <cell r="CH121">
            <v>0</v>
          </cell>
          <cell r="CI121">
            <v>38160000</v>
          </cell>
          <cell r="CJ121">
            <v>0.03</v>
          </cell>
          <cell r="CK121">
            <v>0.06</v>
          </cell>
          <cell r="CL121" t="str">
            <v xml:space="preserve">vipps1004@naver.com </v>
          </cell>
          <cell r="CM121" t="str">
            <v>0</v>
          </cell>
          <cell r="CN121" t="str">
            <v>0</v>
          </cell>
          <cell r="CO121">
            <v>0.03</v>
          </cell>
          <cell r="CP121" t="str">
            <v>0</v>
          </cell>
          <cell r="CQ121" t="str">
            <v>0</v>
          </cell>
          <cell r="CR121" t="str">
            <v>0</v>
          </cell>
          <cell r="CS121" t="str">
            <v>유리막/PPF</v>
          </cell>
          <cell r="CT121" t="str">
            <v>0</v>
          </cell>
          <cell r="CU121" t="str">
            <v>0</v>
          </cell>
          <cell r="CV121" t="str">
            <v>0</v>
          </cell>
          <cell r="CW121" t="str">
            <v>0</v>
          </cell>
          <cell r="CX121" t="str">
            <v>0</v>
          </cell>
          <cell r="CY121" t="str">
            <v>0</v>
          </cell>
          <cell r="CZ121" t="str">
            <v>0</v>
          </cell>
          <cell r="DA121" t="str">
            <v>0</v>
          </cell>
          <cell r="DB121" t="str">
            <v>현대</v>
          </cell>
          <cell r="DC121" t="str">
            <v>박현식 부장</v>
          </cell>
          <cell r="DD121" t="str">
            <v>렌트베네핏</v>
          </cell>
          <cell r="DE121" t="str">
            <v>이명주</v>
          </cell>
          <cell r="DF121" t="str">
            <v>하나은행</v>
          </cell>
          <cell r="DG121" t="str">
            <v>781-910725-45407</v>
          </cell>
          <cell r="DH121" t="str">
            <v>841-58-00455</v>
          </cell>
          <cell r="DI121" t="str">
            <v>제주특별자치도 제주시 은남1길 46, 3층(연동)</v>
          </cell>
          <cell r="DJ121">
            <v>0.35</v>
          </cell>
          <cell r="DK121">
            <v>0.25</v>
          </cell>
          <cell r="DL121" t="str">
            <v>0</v>
          </cell>
          <cell r="DM121">
            <v>3218342</v>
          </cell>
          <cell r="DN121" t="str">
            <v>0</v>
          </cell>
          <cell r="DO121" t="str">
            <v>0</v>
          </cell>
          <cell r="DP121" t="str">
            <v>0</v>
          </cell>
        </row>
        <row r="122">
          <cell r="C122" t="str">
            <v>Seltos-001</v>
          </cell>
          <cell r="D122" t="str">
            <v>주식회사 레이</v>
          </cell>
          <cell r="E122" t="str">
            <v>이상철 대표님</v>
          </cell>
          <cell r="F122" t="str">
            <v>010-6251-4137</v>
          </cell>
          <cell r="G122" t="str">
            <v>셀토스</v>
          </cell>
          <cell r="H122" t="str">
            <v>1.6T 트렌디 2WD</v>
          </cell>
          <cell r="I122">
            <v>28470000</v>
          </cell>
          <cell r="J122">
            <v>2026</v>
          </cell>
          <cell r="K122" t="str">
            <v>그래비티그레이/그레이</v>
          </cell>
          <cell r="L122" t="str">
            <v>가솔린</v>
          </cell>
          <cell r="M122" t="str">
            <v>0</v>
          </cell>
          <cell r="N122" t="str">
            <v>0</v>
          </cell>
          <cell r="O122" t="str">
            <v>컨비니언스(64만), 12.3인치 내비게이션(109만), 12.3인치 클러스터(40만), 드라이브 와이즈(119만)</v>
          </cell>
          <cell r="P122">
            <v>1597</v>
          </cell>
          <cell r="Q122" t="str">
            <v>0</v>
          </cell>
          <cell r="R122" t="str">
            <v>0</v>
          </cell>
          <cell r="S122" t="str">
            <v>0</v>
          </cell>
          <cell r="T122" t="str">
            <v>4</v>
          </cell>
          <cell r="U122">
            <v>1460</v>
          </cell>
          <cell r="V122" t="str">
            <v>-</v>
          </cell>
          <cell r="W122">
            <v>30000</v>
          </cell>
          <cell r="X122" t="str">
            <v>김호영 책임님</v>
          </cell>
          <cell r="Y122" t="str">
            <v>010-2425-6857</v>
          </cell>
          <cell r="Z122" t="str">
            <v>0</v>
          </cell>
          <cell r="AA122" t="str">
            <v>경기도 성남시 분당구 판교역로 221, 12층(삼평동)</v>
          </cell>
          <cell r="AB122" t="str">
            <v>0</v>
          </cell>
          <cell r="AC122">
            <v>1460</v>
          </cell>
          <cell r="AD122">
            <v>-44785</v>
          </cell>
          <cell r="AE122" t="str">
            <v>0</v>
          </cell>
          <cell r="AF122">
            <v>28470000</v>
          </cell>
          <cell r="AG122" t="str">
            <v>0</v>
          </cell>
          <cell r="AH122">
            <v>28819000</v>
          </cell>
          <cell r="AI122">
            <v>349000</v>
          </cell>
          <cell r="AJ122">
            <v>1900</v>
          </cell>
          <cell r="AK122">
            <v>2261790</v>
          </cell>
          <cell r="AL122">
            <v>69569</v>
          </cell>
          <cell r="AM122">
            <v>2000</v>
          </cell>
          <cell r="AN122">
            <v>45000</v>
          </cell>
          <cell r="AO122">
            <v>50000</v>
          </cell>
          <cell r="AP122" t="str">
            <v>0</v>
          </cell>
          <cell r="AQ122" t="str">
            <v>0</v>
          </cell>
          <cell r="AR122" t="str">
            <v>0</v>
          </cell>
          <cell r="AS122" t="str">
            <v>0</v>
          </cell>
          <cell r="AT122" t="str">
            <v>버택스 300 전면 35%, 측면1열 15%, 측면2열 및 후면 5%</v>
          </cell>
          <cell r="AU122" t="str">
            <v>0</v>
          </cell>
          <cell r="AV122" t="str">
            <v>0</v>
          </cell>
          <cell r="AW122" t="str">
            <v>렌터카 공제</v>
          </cell>
          <cell r="AX122" t="str">
            <v>0</v>
          </cell>
          <cell r="AY122" t="str">
            <v>0</v>
          </cell>
          <cell r="AZ122" t="str">
            <v>0</v>
          </cell>
          <cell r="BA122" t="str">
            <v>0</v>
          </cell>
          <cell r="BB122" t="str">
            <v>0</v>
          </cell>
          <cell r="BC122" t="str">
            <v>0</v>
          </cell>
          <cell r="BD122" t="str">
            <v>만26세</v>
          </cell>
          <cell r="BE122" t="str">
            <v>무한대</v>
          </cell>
          <cell r="BF122" t="str">
            <v>5억</v>
          </cell>
          <cell r="BG122" t="str">
            <v>2억/3천만</v>
          </cell>
          <cell r="BH122" t="str">
            <v>2억원/1인당</v>
          </cell>
          <cell r="BI122" t="str">
            <v>30만원</v>
          </cell>
          <cell r="BJ122" t="str">
            <v>임직원</v>
          </cell>
          <cell r="BK122" t="str">
            <v>5회/년</v>
          </cell>
          <cell r="BL122" t="str">
            <v>가입</v>
          </cell>
          <cell r="BM122" t="str">
            <v>가입</v>
          </cell>
          <cell r="BN122" t="str">
            <v>가입</v>
          </cell>
          <cell r="BO122" t="str">
            <v>렌트기간 4본</v>
          </cell>
          <cell r="BP122" t="str">
            <v>0</v>
          </cell>
          <cell r="BQ122" t="str">
            <v>0</v>
          </cell>
          <cell r="BR122">
            <v>28746</v>
          </cell>
          <cell r="BS122" t="str">
            <v>현금</v>
          </cell>
          <cell r="BT122" t="str">
            <v>0</v>
          </cell>
          <cell r="BU122" t="str">
            <v>0</v>
          </cell>
          <cell r="BV122" t="str">
            <v>0</v>
          </cell>
          <cell r="BW122" t="str">
            <v>0</v>
          </cell>
          <cell r="BX122" t="str">
            <v>0</v>
          </cell>
          <cell r="BY122" t="str">
            <v>0</v>
          </cell>
          <cell r="BZ122" t="str">
            <v>0</v>
          </cell>
          <cell r="CA122" t="str">
            <v>0</v>
          </cell>
          <cell r="CB122" t="str">
            <v>25</v>
          </cell>
          <cell r="CC122" t="str">
            <v>25</v>
          </cell>
          <cell r="CD122">
            <v>491000</v>
          </cell>
          <cell r="CE122">
            <v>48</v>
          </cell>
          <cell r="CF122">
            <v>23568000</v>
          </cell>
          <cell r="CG122">
            <v>8541000</v>
          </cell>
          <cell r="CH122">
            <v>0</v>
          </cell>
          <cell r="CI122">
            <v>16637900</v>
          </cell>
          <cell r="CJ122">
            <v>-0.04</v>
          </cell>
          <cell r="CK122">
            <v>0.06</v>
          </cell>
          <cell r="CL122" t="str">
            <v>hoyoung.kim@raymedical.com</v>
          </cell>
          <cell r="CM122" t="str">
            <v>0</v>
          </cell>
          <cell r="CN122" t="str">
            <v>0</v>
          </cell>
          <cell r="CO122">
            <v>0.03</v>
          </cell>
          <cell r="CP122" t="str">
            <v>0</v>
          </cell>
          <cell r="CQ122" t="str">
            <v>코일매트</v>
          </cell>
          <cell r="CR122" t="str">
            <v>0</v>
          </cell>
          <cell r="CS122" t="str">
            <v>유리막/PPF</v>
          </cell>
          <cell r="CT122" t="str">
            <v>0</v>
          </cell>
          <cell r="CU122" t="str">
            <v>0</v>
          </cell>
          <cell r="CV122" t="str">
            <v>0</v>
          </cell>
          <cell r="CW122" t="str">
            <v>0</v>
          </cell>
          <cell r="CX122" t="str">
            <v>0</v>
          </cell>
          <cell r="CY122" t="str">
            <v>0</v>
          </cell>
          <cell r="CZ122" t="str">
            <v>0</v>
          </cell>
          <cell r="DA122" t="str">
            <v>0</v>
          </cell>
          <cell r="DB122" t="str">
            <v>기아</v>
          </cell>
          <cell r="DC122" t="str">
            <v>정수원 실장</v>
          </cell>
          <cell r="DD122" t="str">
            <v>렌트베네핏</v>
          </cell>
          <cell r="DE122" t="str">
            <v>0</v>
          </cell>
          <cell r="DF122" t="str">
            <v>우리은행</v>
          </cell>
          <cell r="DG122" t="str">
            <v>1005-401-254754</v>
          </cell>
          <cell r="DH122" t="str">
            <v xml:space="preserve">135-81-73282 </v>
          </cell>
          <cell r="DI122" t="str">
            <v>경기도 성남시 분당구 판교역로 221, 12층(삼평동)</v>
          </cell>
          <cell r="DJ122">
            <v>0.35</v>
          </cell>
          <cell r="DK122">
            <v>0.25</v>
          </cell>
          <cell r="DL122" t="str">
            <v>134511-0084018</v>
          </cell>
          <cell r="DM122">
            <v>1440664</v>
          </cell>
          <cell r="DN122" t="str">
            <v>0</v>
          </cell>
          <cell r="DO122" t="str">
            <v>0</v>
          </cell>
          <cell r="DP122" t="str">
            <v>0</v>
          </cell>
        </row>
        <row r="123">
          <cell r="C123" t="str">
            <v>Seltos-002</v>
          </cell>
          <cell r="D123" t="str">
            <v>주식회사 레이</v>
          </cell>
          <cell r="E123" t="str">
            <v>이상철 대표님</v>
          </cell>
          <cell r="F123" t="str">
            <v>010-6251-4137</v>
          </cell>
          <cell r="G123" t="str">
            <v>셀토스</v>
          </cell>
          <cell r="H123" t="str">
            <v>1.6T 트렌디 2WD</v>
          </cell>
          <cell r="I123">
            <v>28470000</v>
          </cell>
          <cell r="J123">
            <v>2026</v>
          </cell>
          <cell r="K123" t="str">
            <v>그래비티그레이/그레이</v>
          </cell>
          <cell r="L123" t="str">
            <v>가솔린</v>
          </cell>
          <cell r="M123" t="str">
            <v>0</v>
          </cell>
          <cell r="N123" t="str">
            <v>0</v>
          </cell>
          <cell r="O123" t="str">
            <v>컨비니언스(64만), 12.3인치 내비게이션(109만), 12.3인치 클러스터(40만), 드라이브 와이즈(119만)</v>
          </cell>
          <cell r="P123">
            <v>1597</v>
          </cell>
          <cell r="Q123" t="str">
            <v>0</v>
          </cell>
          <cell r="R123" t="str">
            <v>0</v>
          </cell>
          <cell r="S123" t="str">
            <v>0</v>
          </cell>
          <cell r="T123" t="str">
            <v>4</v>
          </cell>
          <cell r="U123">
            <v>1460</v>
          </cell>
          <cell r="V123" t="str">
            <v>-</v>
          </cell>
          <cell r="W123">
            <v>30000</v>
          </cell>
          <cell r="X123" t="str">
            <v>김호영 책임님</v>
          </cell>
          <cell r="Y123" t="str">
            <v>010-2425-6857</v>
          </cell>
          <cell r="Z123" t="str">
            <v>0</v>
          </cell>
          <cell r="AA123" t="str">
            <v>경기도 성남시 분당구 판교역로 221, 12층(삼평동)</v>
          </cell>
          <cell r="AB123" t="str">
            <v>0</v>
          </cell>
          <cell r="AC123">
            <v>1460</v>
          </cell>
          <cell r="AD123">
            <v>-44785</v>
          </cell>
          <cell r="AE123" t="str">
            <v>00010141</v>
          </cell>
          <cell r="AF123">
            <v>28470000</v>
          </cell>
          <cell r="AG123" t="str">
            <v>0</v>
          </cell>
          <cell r="AH123">
            <v>28819000</v>
          </cell>
          <cell r="AI123">
            <v>349000</v>
          </cell>
          <cell r="AJ123">
            <v>1900</v>
          </cell>
          <cell r="AK123">
            <v>2261790</v>
          </cell>
          <cell r="AL123">
            <v>69569</v>
          </cell>
          <cell r="AM123">
            <v>2000</v>
          </cell>
          <cell r="AN123">
            <v>45000</v>
          </cell>
          <cell r="AO123">
            <v>50000</v>
          </cell>
          <cell r="AP123" t="str">
            <v>0</v>
          </cell>
          <cell r="AQ123" t="str">
            <v>0</v>
          </cell>
          <cell r="AR123" t="str">
            <v>0</v>
          </cell>
          <cell r="AS123" t="str">
            <v>0</v>
          </cell>
          <cell r="AT123" t="str">
            <v>버택스 300 전면 35%, 측면1열 15%, 측면2열 및 후면 5%</v>
          </cell>
          <cell r="AU123" t="str">
            <v>0</v>
          </cell>
          <cell r="AV123" t="str">
            <v>0</v>
          </cell>
          <cell r="AW123" t="str">
            <v>렌터카 공제</v>
          </cell>
          <cell r="AX123" t="str">
            <v>0</v>
          </cell>
          <cell r="AY123" t="str">
            <v>0</v>
          </cell>
          <cell r="AZ123" t="str">
            <v>0</v>
          </cell>
          <cell r="BA123" t="str">
            <v>0</v>
          </cell>
          <cell r="BB123" t="str">
            <v>0</v>
          </cell>
          <cell r="BC123" t="str">
            <v>0</v>
          </cell>
          <cell r="BD123" t="str">
            <v>만26세</v>
          </cell>
          <cell r="BE123" t="str">
            <v>무한대</v>
          </cell>
          <cell r="BF123" t="str">
            <v>5억</v>
          </cell>
          <cell r="BG123" t="str">
            <v>2억/3천만</v>
          </cell>
          <cell r="BH123" t="str">
            <v>2억원/1인당</v>
          </cell>
          <cell r="BI123" t="str">
            <v>30만원</v>
          </cell>
          <cell r="BJ123" t="str">
            <v>임직원</v>
          </cell>
          <cell r="BK123" t="str">
            <v>5회/년</v>
          </cell>
          <cell r="BL123" t="str">
            <v>가입</v>
          </cell>
          <cell r="BM123" t="str">
            <v>가입</v>
          </cell>
          <cell r="BN123" t="str">
            <v>가입</v>
          </cell>
          <cell r="BO123" t="str">
            <v>렌트기간 4본</v>
          </cell>
          <cell r="BP123" t="str">
            <v>0</v>
          </cell>
          <cell r="BQ123" t="str">
            <v>0</v>
          </cell>
          <cell r="BR123">
            <v>28746</v>
          </cell>
          <cell r="BS123" t="str">
            <v>현금</v>
          </cell>
          <cell r="BT123" t="str">
            <v>0</v>
          </cell>
          <cell r="BU123" t="str">
            <v>0</v>
          </cell>
          <cell r="BV123" t="str">
            <v>0</v>
          </cell>
          <cell r="BW123" t="str">
            <v>0</v>
          </cell>
          <cell r="BX123" t="str">
            <v>0</v>
          </cell>
          <cell r="BY123" t="str">
            <v>0</v>
          </cell>
          <cell r="BZ123" t="str">
            <v>0</v>
          </cell>
          <cell r="CA123" t="str">
            <v>0</v>
          </cell>
          <cell r="CB123" t="str">
            <v>25</v>
          </cell>
          <cell r="CC123" t="str">
            <v>25</v>
          </cell>
          <cell r="CD123">
            <v>491000</v>
          </cell>
          <cell r="CE123">
            <v>48</v>
          </cell>
          <cell r="CF123">
            <v>23568000</v>
          </cell>
          <cell r="CG123">
            <v>8541000</v>
          </cell>
          <cell r="CH123">
            <v>0</v>
          </cell>
          <cell r="CI123">
            <v>16637900</v>
          </cell>
          <cell r="CJ123">
            <v>-0.04</v>
          </cell>
          <cell r="CK123">
            <v>0.06</v>
          </cell>
          <cell r="CL123" t="str">
            <v>hoyoung.kim@raymedical.com</v>
          </cell>
          <cell r="CM123" t="str">
            <v>0</v>
          </cell>
          <cell r="CN123" t="str">
            <v>0</v>
          </cell>
          <cell r="CO123">
            <v>0.03</v>
          </cell>
          <cell r="CP123" t="str">
            <v>0</v>
          </cell>
          <cell r="CQ123" t="str">
            <v>코일매트</v>
          </cell>
          <cell r="CR123" t="str">
            <v>0</v>
          </cell>
          <cell r="CS123" t="str">
            <v>유리막/PPF</v>
          </cell>
          <cell r="CT123" t="str">
            <v>0</v>
          </cell>
          <cell r="CU123" t="str">
            <v>0</v>
          </cell>
          <cell r="CV123" t="str">
            <v>0</v>
          </cell>
          <cell r="CW123" t="str">
            <v>0</v>
          </cell>
          <cell r="CX123" t="str">
            <v>0</v>
          </cell>
          <cell r="CY123" t="str">
            <v>0</v>
          </cell>
          <cell r="CZ123" t="str">
            <v>0</v>
          </cell>
          <cell r="DA123" t="str">
            <v>0</v>
          </cell>
          <cell r="DB123" t="str">
            <v>기아</v>
          </cell>
          <cell r="DC123" t="str">
            <v>정수원 실장</v>
          </cell>
          <cell r="DD123" t="str">
            <v>렌트베네핏</v>
          </cell>
          <cell r="DE123" t="str">
            <v>0</v>
          </cell>
          <cell r="DF123" t="str">
            <v>우리은행</v>
          </cell>
          <cell r="DG123" t="str">
            <v>1005-401-254754</v>
          </cell>
          <cell r="DH123" t="str">
            <v xml:space="preserve">135-81-73282 </v>
          </cell>
          <cell r="DI123" t="str">
            <v>경기도 성남시 분당구 판교역로 221, 12층(삼평동)</v>
          </cell>
          <cell r="DJ123">
            <v>0.35</v>
          </cell>
          <cell r="DK123">
            <v>0.25</v>
          </cell>
          <cell r="DL123" t="str">
            <v>134511-0084018</v>
          </cell>
          <cell r="DM123">
            <v>1440664</v>
          </cell>
          <cell r="DN123" t="str">
            <v>0</v>
          </cell>
          <cell r="DO123" t="str">
            <v>0</v>
          </cell>
          <cell r="DP123" t="str">
            <v>0</v>
          </cell>
        </row>
        <row r="124">
          <cell r="C124" t="str">
            <v>Seltos-003</v>
          </cell>
          <cell r="D124" t="str">
            <v>주식회사 레이</v>
          </cell>
          <cell r="E124" t="str">
            <v>이상철 대표님</v>
          </cell>
          <cell r="F124" t="str">
            <v>010-6251-4137</v>
          </cell>
          <cell r="G124" t="str">
            <v>셀토스</v>
          </cell>
          <cell r="H124" t="str">
            <v>1.6T 트렌디 2WD</v>
          </cell>
          <cell r="I124">
            <v>28470000</v>
          </cell>
          <cell r="J124">
            <v>2026</v>
          </cell>
          <cell r="K124" t="str">
            <v>그래비티그레이/그레이</v>
          </cell>
          <cell r="L124" t="str">
            <v>가솔린</v>
          </cell>
          <cell r="M124" t="str">
            <v>0</v>
          </cell>
          <cell r="N124" t="str">
            <v>0</v>
          </cell>
          <cell r="O124" t="str">
            <v>컨비니언스(64만), 12.3인치 내비게이션(109만), 12.3인치 클러스터(40만), 드라이브 와이즈(119만)</v>
          </cell>
          <cell r="P124">
            <v>1597</v>
          </cell>
          <cell r="Q124" t="str">
            <v>0</v>
          </cell>
          <cell r="R124" t="str">
            <v>0</v>
          </cell>
          <cell r="S124" t="str">
            <v>0</v>
          </cell>
          <cell r="T124" t="str">
            <v>4</v>
          </cell>
          <cell r="U124">
            <v>1460</v>
          </cell>
          <cell r="V124" t="str">
            <v>-</v>
          </cell>
          <cell r="W124">
            <v>30000</v>
          </cell>
          <cell r="X124" t="str">
            <v>김호영 책임님</v>
          </cell>
          <cell r="Y124" t="str">
            <v>010-2425-6857</v>
          </cell>
          <cell r="Z124" t="str">
            <v>0</v>
          </cell>
          <cell r="AA124" t="str">
            <v>경기도 성남시 분당구 판교역로 221, 12층(삼평동)</v>
          </cell>
          <cell r="AB124" t="str">
            <v>0</v>
          </cell>
          <cell r="AC124">
            <v>1460</v>
          </cell>
          <cell r="AD124">
            <v>-44785</v>
          </cell>
          <cell r="AE124" t="str">
            <v>00010142</v>
          </cell>
          <cell r="AF124">
            <v>28470000</v>
          </cell>
          <cell r="AG124" t="str">
            <v>0</v>
          </cell>
          <cell r="AH124">
            <v>28819000</v>
          </cell>
          <cell r="AI124">
            <v>349000</v>
          </cell>
          <cell r="AJ124">
            <v>1900</v>
          </cell>
          <cell r="AK124">
            <v>2261790</v>
          </cell>
          <cell r="AL124">
            <v>69569</v>
          </cell>
          <cell r="AM124">
            <v>2000</v>
          </cell>
          <cell r="AN124">
            <v>45000</v>
          </cell>
          <cell r="AO124">
            <v>50000</v>
          </cell>
          <cell r="AP124" t="str">
            <v>0</v>
          </cell>
          <cell r="AQ124" t="str">
            <v>0</v>
          </cell>
          <cell r="AR124" t="str">
            <v>0</v>
          </cell>
          <cell r="AS124" t="str">
            <v>0</v>
          </cell>
          <cell r="AT124" t="str">
            <v>버택스 300 전면 35%, 측면1열 15%, 측면2열 및 후면 5%</v>
          </cell>
          <cell r="AU124" t="str">
            <v>0</v>
          </cell>
          <cell r="AV124" t="str">
            <v>0</v>
          </cell>
          <cell r="AW124" t="str">
            <v>렌터카 공제</v>
          </cell>
          <cell r="AX124" t="str">
            <v>0</v>
          </cell>
          <cell r="AY124" t="str">
            <v>0</v>
          </cell>
          <cell r="AZ124" t="str">
            <v>0</v>
          </cell>
          <cell r="BA124" t="str">
            <v>0</v>
          </cell>
          <cell r="BB124" t="str">
            <v>0</v>
          </cell>
          <cell r="BC124" t="str">
            <v>0</v>
          </cell>
          <cell r="BD124" t="str">
            <v>만26세</v>
          </cell>
          <cell r="BE124" t="str">
            <v>무한대</v>
          </cell>
          <cell r="BF124" t="str">
            <v>5억</v>
          </cell>
          <cell r="BG124" t="str">
            <v>2억/3천만</v>
          </cell>
          <cell r="BH124" t="str">
            <v>2억원/1인당</v>
          </cell>
          <cell r="BI124" t="str">
            <v>30만원</v>
          </cell>
          <cell r="BJ124" t="str">
            <v>임직원</v>
          </cell>
          <cell r="BK124" t="str">
            <v>5회/년</v>
          </cell>
          <cell r="BL124" t="str">
            <v>가입</v>
          </cell>
          <cell r="BM124" t="str">
            <v>가입</v>
          </cell>
          <cell r="BN124" t="str">
            <v>가입</v>
          </cell>
          <cell r="BO124" t="str">
            <v>렌트기간 4본</v>
          </cell>
          <cell r="BP124" t="str">
            <v>0</v>
          </cell>
          <cell r="BQ124" t="str">
            <v>0</v>
          </cell>
          <cell r="BR124">
            <v>28746</v>
          </cell>
          <cell r="BS124" t="str">
            <v>현금</v>
          </cell>
          <cell r="BT124" t="str">
            <v>0</v>
          </cell>
          <cell r="BU124" t="str">
            <v>0</v>
          </cell>
          <cell r="BV124" t="str">
            <v>0</v>
          </cell>
          <cell r="BW124" t="str">
            <v>0</v>
          </cell>
          <cell r="BX124" t="str">
            <v>0</v>
          </cell>
          <cell r="BY124" t="str">
            <v>0</v>
          </cell>
          <cell r="BZ124" t="str">
            <v>0</v>
          </cell>
          <cell r="CA124" t="str">
            <v>0</v>
          </cell>
          <cell r="CB124" t="str">
            <v>25</v>
          </cell>
          <cell r="CC124" t="str">
            <v>25</v>
          </cell>
          <cell r="CD124">
            <v>491000</v>
          </cell>
          <cell r="CE124">
            <v>48</v>
          </cell>
          <cell r="CF124">
            <v>23568000</v>
          </cell>
          <cell r="CG124">
            <v>8541000</v>
          </cell>
          <cell r="CH124">
            <v>0</v>
          </cell>
          <cell r="CI124">
            <v>16637900</v>
          </cell>
          <cell r="CJ124">
            <v>-0.04</v>
          </cell>
          <cell r="CK124">
            <v>0.06</v>
          </cell>
          <cell r="CL124" t="str">
            <v>hoyoung.kim@raymedical.com</v>
          </cell>
          <cell r="CM124" t="str">
            <v>0</v>
          </cell>
          <cell r="CN124" t="str">
            <v>0</v>
          </cell>
          <cell r="CO124">
            <v>0.03</v>
          </cell>
          <cell r="CP124" t="str">
            <v>0</v>
          </cell>
          <cell r="CQ124" t="str">
            <v>코일매트</v>
          </cell>
          <cell r="CR124" t="str">
            <v>0</v>
          </cell>
          <cell r="CS124" t="str">
            <v>유리막/PPF</v>
          </cell>
          <cell r="CT124" t="str">
            <v>0</v>
          </cell>
          <cell r="CU124" t="str">
            <v>0</v>
          </cell>
          <cell r="CV124" t="str">
            <v>0</v>
          </cell>
          <cell r="CW124" t="str">
            <v>0</v>
          </cell>
          <cell r="CX124" t="str">
            <v>0</v>
          </cell>
          <cell r="CY124" t="str">
            <v>0</v>
          </cell>
          <cell r="CZ124" t="str">
            <v>0</v>
          </cell>
          <cell r="DA124" t="str">
            <v>0</v>
          </cell>
          <cell r="DB124" t="str">
            <v>기아</v>
          </cell>
          <cell r="DC124" t="str">
            <v>정수원 실장</v>
          </cell>
          <cell r="DD124" t="str">
            <v>렌트베네핏</v>
          </cell>
          <cell r="DE124" t="str">
            <v>0</v>
          </cell>
          <cell r="DF124" t="str">
            <v>우리은행</v>
          </cell>
          <cell r="DG124" t="str">
            <v>1005-401-254754</v>
          </cell>
          <cell r="DH124" t="str">
            <v xml:space="preserve">135-81-73282 </v>
          </cell>
          <cell r="DI124" t="str">
            <v>경기도 성남시 분당구 판교역로 221, 12층(삼평동)</v>
          </cell>
          <cell r="DJ124">
            <v>0.35</v>
          </cell>
          <cell r="DK124">
            <v>0.25</v>
          </cell>
          <cell r="DL124" t="str">
            <v>134511-0084018</v>
          </cell>
          <cell r="DM124">
            <v>1440664</v>
          </cell>
          <cell r="DN124" t="str">
            <v>0</v>
          </cell>
          <cell r="DO124" t="str">
            <v>0</v>
          </cell>
          <cell r="DP124" t="str">
            <v>0</v>
          </cell>
        </row>
        <row r="125">
          <cell r="C125" t="str">
            <v>Seltos-004</v>
          </cell>
          <cell r="D125" t="str">
            <v>주식회사 레이</v>
          </cell>
          <cell r="E125" t="str">
            <v>이상철 대표님</v>
          </cell>
          <cell r="F125" t="str">
            <v>010-6251-4137</v>
          </cell>
          <cell r="G125" t="str">
            <v>셀토스</v>
          </cell>
          <cell r="H125" t="str">
            <v>1.6T 트렌디 2WD</v>
          </cell>
          <cell r="I125">
            <v>28470000</v>
          </cell>
          <cell r="J125">
            <v>2026</v>
          </cell>
          <cell r="K125" t="str">
            <v>그래비티그레이/그레이</v>
          </cell>
          <cell r="L125" t="str">
            <v>가솔린</v>
          </cell>
          <cell r="M125" t="str">
            <v>0</v>
          </cell>
          <cell r="N125" t="str">
            <v>0</v>
          </cell>
          <cell r="O125" t="str">
            <v>컨비니언스(64만), 12.3인치 내비게이션(109만), 12.3인치 클러스터(40만), 드라이브 와이즈(119만)</v>
          </cell>
          <cell r="P125">
            <v>1597</v>
          </cell>
          <cell r="Q125" t="str">
            <v>0</v>
          </cell>
          <cell r="R125" t="str">
            <v>0</v>
          </cell>
          <cell r="S125" t="str">
            <v>0</v>
          </cell>
          <cell r="T125" t="str">
            <v>4</v>
          </cell>
          <cell r="U125">
            <v>1460</v>
          </cell>
          <cell r="V125" t="str">
            <v>-</v>
          </cell>
          <cell r="W125">
            <v>30000</v>
          </cell>
          <cell r="X125" t="str">
            <v>김호영 책임님</v>
          </cell>
          <cell r="Y125" t="str">
            <v>010-2425-6857</v>
          </cell>
          <cell r="Z125" t="str">
            <v>0</v>
          </cell>
          <cell r="AA125" t="str">
            <v>경기도 성남시 분당구 판교역로 221, 12층(삼평동)</v>
          </cell>
          <cell r="AB125" t="str">
            <v>0</v>
          </cell>
          <cell r="AC125">
            <v>1460</v>
          </cell>
          <cell r="AD125">
            <v>-44785</v>
          </cell>
          <cell r="AE125" t="str">
            <v>00010143</v>
          </cell>
          <cell r="AF125">
            <v>28470000</v>
          </cell>
          <cell r="AG125" t="str">
            <v>0</v>
          </cell>
          <cell r="AH125">
            <v>28819000</v>
          </cell>
          <cell r="AI125">
            <v>349000</v>
          </cell>
          <cell r="AJ125">
            <v>1900</v>
          </cell>
          <cell r="AK125">
            <v>2261790</v>
          </cell>
          <cell r="AL125">
            <v>69569</v>
          </cell>
          <cell r="AM125">
            <v>2000</v>
          </cell>
          <cell r="AN125">
            <v>45000</v>
          </cell>
          <cell r="AO125">
            <v>50000</v>
          </cell>
          <cell r="AP125" t="str">
            <v>0</v>
          </cell>
          <cell r="AQ125" t="str">
            <v>0</v>
          </cell>
          <cell r="AR125" t="str">
            <v>0</v>
          </cell>
          <cell r="AS125" t="str">
            <v>0</v>
          </cell>
          <cell r="AT125" t="str">
            <v>버택스 300 전면 35%, 측면1열 15%, 측면2열 및 후면 5%</v>
          </cell>
          <cell r="AU125" t="str">
            <v>0</v>
          </cell>
          <cell r="AV125" t="str">
            <v>0</v>
          </cell>
          <cell r="AW125" t="str">
            <v>렌터카 공제</v>
          </cell>
          <cell r="AX125" t="str">
            <v>0</v>
          </cell>
          <cell r="AY125" t="str">
            <v>0</v>
          </cell>
          <cell r="AZ125" t="str">
            <v>0</v>
          </cell>
          <cell r="BA125" t="str">
            <v>0</v>
          </cell>
          <cell r="BB125" t="str">
            <v>0</v>
          </cell>
          <cell r="BC125" t="str">
            <v>0</v>
          </cell>
          <cell r="BD125" t="str">
            <v>만26세</v>
          </cell>
          <cell r="BE125" t="str">
            <v>무한대</v>
          </cell>
          <cell r="BF125" t="str">
            <v>5억</v>
          </cell>
          <cell r="BG125" t="str">
            <v>2억/3천만</v>
          </cell>
          <cell r="BH125" t="str">
            <v>2억원/1인당</v>
          </cell>
          <cell r="BI125" t="str">
            <v>30만원</v>
          </cell>
          <cell r="BJ125" t="str">
            <v>임직원</v>
          </cell>
          <cell r="BK125" t="str">
            <v>5회/년</v>
          </cell>
          <cell r="BL125" t="str">
            <v>가입</v>
          </cell>
          <cell r="BM125" t="str">
            <v>가입</v>
          </cell>
          <cell r="BN125" t="str">
            <v>가입</v>
          </cell>
          <cell r="BO125" t="str">
            <v>렌트기간 4본</v>
          </cell>
          <cell r="BP125" t="str">
            <v>0</v>
          </cell>
          <cell r="BQ125" t="str">
            <v>0</v>
          </cell>
          <cell r="BR125">
            <v>28746</v>
          </cell>
          <cell r="BS125" t="str">
            <v>현금</v>
          </cell>
          <cell r="BT125" t="str">
            <v>0</v>
          </cell>
          <cell r="BU125" t="str">
            <v>0</v>
          </cell>
          <cell r="BV125" t="str">
            <v>0</v>
          </cell>
          <cell r="BW125" t="str">
            <v>0</v>
          </cell>
          <cell r="BX125" t="str">
            <v>0</v>
          </cell>
          <cell r="BY125" t="str">
            <v>0</v>
          </cell>
          <cell r="BZ125" t="str">
            <v>0</v>
          </cell>
          <cell r="CA125" t="str">
            <v>0</v>
          </cell>
          <cell r="CB125" t="str">
            <v>25</v>
          </cell>
          <cell r="CC125" t="str">
            <v>25</v>
          </cell>
          <cell r="CD125">
            <v>491000</v>
          </cell>
          <cell r="CE125">
            <v>48</v>
          </cell>
          <cell r="CF125">
            <v>23568000</v>
          </cell>
          <cell r="CG125">
            <v>8541000</v>
          </cell>
          <cell r="CH125">
            <v>0</v>
          </cell>
          <cell r="CI125">
            <v>16637900</v>
          </cell>
          <cell r="CJ125">
            <v>-0.04</v>
          </cell>
          <cell r="CK125">
            <v>0.06</v>
          </cell>
          <cell r="CL125" t="str">
            <v>hoyoung.kim@raymedical.com</v>
          </cell>
          <cell r="CM125" t="str">
            <v>0</v>
          </cell>
          <cell r="CN125" t="str">
            <v>0</v>
          </cell>
          <cell r="CO125">
            <v>0.03</v>
          </cell>
          <cell r="CP125" t="str">
            <v>0</v>
          </cell>
          <cell r="CQ125" t="str">
            <v>코일매트</v>
          </cell>
          <cell r="CR125" t="str">
            <v>0</v>
          </cell>
          <cell r="CS125" t="str">
            <v>유리막/PPF</v>
          </cell>
          <cell r="CT125" t="str">
            <v>0</v>
          </cell>
          <cell r="CU125" t="str">
            <v>0</v>
          </cell>
          <cell r="CV125" t="str">
            <v>0</v>
          </cell>
          <cell r="CW125" t="str">
            <v>0</v>
          </cell>
          <cell r="CX125" t="str">
            <v>0</v>
          </cell>
          <cell r="CY125" t="str">
            <v>0</v>
          </cell>
          <cell r="CZ125" t="str">
            <v>0</v>
          </cell>
          <cell r="DA125" t="str">
            <v>0</v>
          </cell>
          <cell r="DB125" t="str">
            <v>기아</v>
          </cell>
          <cell r="DC125" t="str">
            <v>정수원 실장</v>
          </cell>
          <cell r="DD125" t="str">
            <v>렌트베네핏</v>
          </cell>
          <cell r="DE125" t="str">
            <v>0</v>
          </cell>
          <cell r="DF125" t="str">
            <v>우리은행</v>
          </cell>
          <cell r="DG125" t="str">
            <v>1005-401-254754</v>
          </cell>
          <cell r="DH125" t="str">
            <v xml:space="preserve">135-81-73282 </v>
          </cell>
          <cell r="DI125" t="str">
            <v>경기도 성남시 분당구 판교역로 221, 12층(삼평동)</v>
          </cell>
          <cell r="DJ125">
            <v>0.35</v>
          </cell>
          <cell r="DK125">
            <v>0.25</v>
          </cell>
          <cell r="DL125" t="str">
            <v>134511-0084018</v>
          </cell>
          <cell r="DM125">
            <v>1440664</v>
          </cell>
          <cell r="DN125" t="str">
            <v>0</v>
          </cell>
          <cell r="DO125" t="str">
            <v>0</v>
          </cell>
          <cell r="DP125" t="str">
            <v>0</v>
          </cell>
        </row>
        <row r="126">
          <cell r="C126" t="str">
            <v>Seltos-005</v>
          </cell>
          <cell r="D126" t="str">
            <v>주식회사 레이</v>
          </cell>
          <cell r="E126" t="str">
            <v>이상철 대표님</v>
          </cell>
          <cell r="F126" t="str">
            <v>010-6251-4137</v>
          </cell>
          <cell r="G126" t="str">
            <v>셀토스</v>
          </cell>
          <cell r="H126" t="str">
            <v>1.6T 트렌디 2WD</v>
          </cell>
          <cell r="I126">
            <v>28470000</v>
          </cell>
          <cell r="J126">
            <v>2026</v>
          </cell>
          <cell r="K126" t="str">
            <v>그래비티그레이/그레이</v>
          </cell>
          <cell r="L126" t="str">
            <v>가솔린</v>
          </cell>
          <cell r="M126" t="str">
            <v>0</v>
          </cell>
          <cell r="N126" t="str">
            <v>0</v>
          </cell>
          <cell r="O126" t="str">
            <v>컨비니언스(64만), 12.3인치 내비게이션(109만), 12.3인치 클러스터(40만), 드라이브 와이즈(119만)</v>
          </cell>
          <cell r="P126">
            <v>1597</v>
          </cell>
          <cell r="Q126" t="str">
            <v>0</v>
          </cell>
          <cell r="R126" t="str">
            <v>0</v>
          </cell>
          <cell r="S126" t="str">
            <v>0</v>
          </cell>
          <cell r="T126" t="str">
            <v>4</v>
          </cell>
          <cell r="U126">
            <v>1460</v>
          </cell>
          <cell r="V126" t="str">
            <v>-</v>
          </cell>
          <cell r="W126">
            <v>30000</v>
          </cell>
          <cell r="X126" t="str">
            <v>김호영 책임님</v>
          </cell>
          <cell r="Y126" t="str">
            <v>010-2425-6857</v>
          </cell>
          <cell r="Z126" t="str">
            <v>0</v>
          </cell>
          <cell r="AA126" t="str">
            <v>경기도 성남시 분당구 판교역로 221, 12층(삼평동)</v>
          </cell>
          <cell r="AB126" t="str">
            <v>0</v>
          </cell>
          <cell r="AC126">
            <v>1460</v>
          </cell>
          <cell r="AD126">
            <v>-44785</v>
          </cell>
          <cell r="AE126" t="str">
            <v>00010144</v>
          </cell>
          <cell r="AF126">
            <v>28470000</v>
          </cell>
          <cell r="AG126" t="str">
            <v>0</v>
          </cell>
          <cell r="AH126">
            <v>28819000</v>
          </cell>
          <cell r="AI126">
            <v>349000</v>
          </cell>
          <cell r="AJ126">
            <v>1900</v>
          </cell>
          <cell r="AK126">
            <v>2261790</v>
          </cell>
          <cell r="AL126">
            <v>69569</v>
          </cell>
          <cell r="AM126">
            <v>2000</v>
          </cell>
          <cell r="AN126">
            <v>45000</v>
          </cell>
          <cell r="AO126">
            <v>50000</v>
          </cell>
          <cell r="AP126" t="str">
            <v>0</v>
          </cell>
          <cell r="AQ126" t="str">
            <v>0</v>
          </cell>
          <cell r="AR126" t="str">
            <v>0</v>
          </cell>
          <cell r="AS126" t="str">
            <v>0</v>
          </cell>
          <cell r="AT126" t="str">
            <v>버택스 300 전면 35%, 측면1열 15%, 측면2열 및 후면 5%</v>
          </cell>
          <cell r="AU126" t="str">
            <v>0</v>
          </cell>
          <cell r="AV126" t="str">
            <v>0</v>
          </cell>
          <cell r="AW126" t="str">
            <v>렌터카 공제</v>
          </cell>
          <cell r="AX126" t="str">
            <v>0</v>
          </cell>
          <cell r="AY126" t="str">
            <v>0</v>
          </cell>
          <cell r="AZ126" t="str">
            <v>0</v>
          </cell>
          <cell r="BA126" t="str">
            <v>0</v>
          </cell>
          <cell r="BB126" t="str">
            <v>0</v>
          </cell>
          <cell r="BC126" t="str">
            <v>0</v>
          </cell>
          <cell r="BD126" t="str">
            <v>만26세</v>
          </cell>
          <cell r="BE126" t="str">
            <v>무한대</v>
          </cell>
          <cell r="BF126" t="str">
            <v>5억</v>
          </cell>
          <cell r="BG126" t="str">
            <v>2억/3천만</v>
          </cell>
          <cell r="BH126" t="str">
            <v>2억원/1인당</v>
          </cell>
          <cell r="BI126" t="str">
            <v>30만원</v>
          </cell>
          <cell r="BJ126" t="str">
            <v>임직원</v>
          </cell>
          <cell r="BK126" t="str">
            <v>5회/년</v>
          </cell>
          <cell r="BL126" t="str">
            <v>가입</v>
          </cell>
          <cell r="BM126" t="str">
            <v>가입</v>
          </cell>
          <cell r="BN126" t="str">
            <v>가입</v>
          </cell>
          <cell r="BO126" t="str">
            <v>렌트기간 4본</v>
          </cell>
          <cell r="BP126" t="str">
            <v>0</v>
          </cell>
          <cell r="BQ126" t="str">
            <v>0</v>
          </cell>
          <cell r="BR126">
            <v>28746</v>
          </cell>
          <cell r="BS126" t="str">
            <v>현금</v>
          </cell>
          <cell r="BT126" t="str">
            <v>0</v>
          </cell>
          <cell r="BU126" t="str">
            <v>0</v>
          </cell>
          <cell r="BV126" t="str">
            <v>0</v>
          </cell>
          <cell r="BW126" t="str">
            <v>0</v>
          </cell>
          <cell r="BX126" t="str">
            <v>0</v>
          </cell>
          <cell r="BY126" t="str">
            <v>0</v>
          </cell>
          <cell r="BZ126" t="str">
            <v>0</v>
          </cell>
          <cell r="CA126" t="str">
            <v>0</v>
          </cell>
          <cell r="CB126" t="str">
            <v>25</v>
          </cell>
          <cell r="CC126" t="str">
            <v>25</v>
          </cell>
          <cell r="CD126">
            <v>491000</v>
          </cell>
          <cell r="CE126">
            <v>48</v>
          </cell>
          <cell r="CF126">
            <v>23568000</v>
          </cell>
          <cell r="CG126">
            <v>8541000</v>
          </cell>
          <cell r="CH126">
            <v>0</v>
          </cell>
          <cell r="CI126">
            <v>16637900</v>
          </cell>
          <cell r="CJ126">
            <v>-0.04</v>
          </cell>
          <cell r="CK126">
            <v>0.06</v>
          </cell>
          <cell r="CL126" t="str">
            <v>hoyoung.kim@raymedical.com</v>
          </cell>
          <cell r="CM126" t="str">
            <v>0</v>
          </cell>
          <cell r="CN126" t="str">
            <v>0</v>
          </cell>
          <cell r="CO126">
            <v>0.03</v>
          </cell>
          <cell r="CP126" t="str">
            <v>0</v>
          </cell>
          <cell r="CQ126" t="str">
            <v>코일매트</v>
          </cell>
          <cell r="CR126" t="str">
            <v>0</v>
          </cell>
          <cell r="CS126" t="str">
            <v>유리막/PPF</v>
          </cell>
          <cell r="CT126" t="str">
            <v>0</v>
          </cell>
          <cell r="CU126" t="str">
            <v>0</v>
          </cell>
          <cell r="CV126" t="str">
            <v>0</v>
          </cell>
          <cell r="CW126" t="str">
            <v>0</v>
          </cell>
          <cell r="CX126" t="str">
            <v>0</v>
          </cell>
          <cell r="CY126" t="str">
            <v>0</v>
          </cell>
          <cell r="CZ126" t="str">
            <v>0</v>
          </cell>
          <cell r="DA126" t="str">
            <v>0</v>
          </cell>
          <cell r="DB126" t="str">
            <v>기아</v>
          </cell>
          <cell r="DC126" t="str">
            <v>정수원 실장</v>
          </cell>
          <cell r="DD126" t="str">
            <v>렌트베네핏</v>
          </cell>
          <cell r="DE126" t="str">
            <v>0</v>
          </cell>
          <cell r="DF126" t="str">
            <v>우리은행</v>
          </cell>
          <cell r="DG126" t="str">
            <v>1005-401-254754</v>
          </cell>
          <cell r="DH126" t="str">
            <v xml:space="preserve">135-81-73282 </v>
          </cell>
          <cell r="DI126" t="str">
            <v>경기도 성남시 분당구 판교역로 221, 12층(삼평동)</v>
          </cell>
          <cell r="DJ126">
            <v>0.35</v>
          </cell>
          <cell r="DK126">
            <v>0.25</v>
          </cell>
          <cell r="DL126" t="str">
            <v>134511-0084018</v>
          </cell>
          <cell r="DM126">
            <v>1440664</v>
          </cell>
          <cell r="DN126" t="str">
            <v>0</v>
          </cell>
          <cell r="DO126" t="str">
            <v>0</v>
          </cell>
          <cell r="DP126" t="str">
            <v>0</v>
          </cell>
        </row>
        <row r="127">
          <cell r="C127" t="str">
            <v>GV80-006</v>
          </cell>
          <cell r="D127" t="str">
            <v>(주)다산제약</v>
          </cell>
          <cell r="E127" t="str">
            <v>류형선 회장님</v>
          </cell>
          <cell r="F127" t="str">
            <v>010-5245-5206</v>
          </cell>
          <cell r="G127" t="str">
            <v>GV80</v>
          </cell>
          <cell r="H127" t="str">
            <v>3.5T 22인치 SDS2 AWD 26MY 5인승</v>
          </cell>
          <cell r="I127">
            <v>97340000</v>
          </cell>
          <cell r="J127">
            <v>2026</v>
          </cell>
          <cell r="K127" t="str">
            <v>비크블랙/슬레이트그레이/보르도브라운/올리브애쉬</v>
          </cell>
          <cell r="L127" t="str">
            <v>가솔린</v>
          </cell>
          <cell r="M127" t="str">
            <v>KMTHC81CDTU356471</v>
          </cell>
          <cell r="N127" t="str">
            <v>151호2250</v>
          </cell>
          <cell r="O127" t="str">
            <v>파퓰러 패키지 (5인승)(620만), 뱅앤올룹슨 사운드 패키지(190만), 컨비니언스 패키지(320만), 파노라마 선루프(140만), 후석 컴포트 패키지 (5인승)(290만), 플로팅 휠캡(9만)</v>
          </cell>
          <cell r="P127">
            <v>3470</v>
          </cell>
          <cell r="Q127">
            <v>46191</v>
          </cell>
          <cell r="R127">
            <v>46178</v>
          </cell>
          <cell r="S127">
            <v>46193</v>
          </cell>
          <cell r="T127" t="str">
            <v>1</v>
          </cell>
          <cell r="U127">
            <v>46558</v>
          </cell>
          <cell r="V127">
            <v>10</v>
          </cell>
          <cell r="W127">
            <v>30000</v>
          </cell>
          <cell r="X127" t="str">
            <v>송우빈 사원님</v>
          </cell>
          <cell r="Y127" t="str">
            <v>010-2823-9671</v>
          </cell>
          <cell r="Z127" t="str">
            <v>0</v>
          </cell>
          <cell r="AA127" t="str">
            <v>충청남도 아산시 도고면 덕암산로 342</v>
          </cell>
          <cell r="AB127">
            <v>46203</v>
          </cell>
          <cell r="AC127">
            <v>365</v>
          </cell>
          <cell r="AD127">
            <v>313</v>
          </cell>
          <cell r="AE127" t="str">
            <v>26060145</v>
          </cell>
          <cell r="AF127">
            <v>97340000</v>
          </cell>
          <cell r="AG127">
            <v>0</v>
          </cell>
          <cell r="AH127">
            <v>97727000</v>
          </cell>
          <cell r="AI127">
            <v>387000</v>
          </cell>
          <cell r="AJ127">
            <v>1900</v>
          </cell>
          <cell r="AK127">
            <v>3374590</v>
          </cell>
          <cell r="AL127">
            <v>278025</v>
          </cell>
          <cell r="AM127">
            <v>2000</v>
          </cell>
          <cell r="AN127">
            <v>45000</v>
          </cell>
          <cell r="AO127">
            <v>50000</v>
          </cell>
          <cell r="AP127" t="str">
            <v>0</v>
          </cell>
          <cell r="AQ127" t="str">
            <v>0</v>
          </cell>
          <cell r="AR127" t="str">
            <v>빌트인캠</v>
          </cell>
          <cell r="AS127">
            <v>190000</v>
          </cell>
          <cell r="AT127" t="str">
            <v>버텍스300 전면 35%/1열 15%, 2열, 후면 5%</v>
          </cell>
          <cell r="AU127" t="str">
            <v>0</v>
          </cell>
          <cell r="AV127" t="str">
            <v>0</v>
          </cell>
          <cell r="AW127" t="str">
            <v>렌터카 공제</v>
          </cell>
          <cell r="AX127" t="str">
            <v>0</v>
          </cell>
          <cell r="AY127" t="str">
            <v>0</v>
          </cell>
          <cell r="AZ127" t="str">
            <v>0</v>
          </cell>
          <cell r="BA127" t="str">
            <v>0</v>
          </cell>
          <cell r="BB127" t="str">
            <v>0</v>
          </cell>
          <cell r="BC127" t="str">
            <v>0</v>
          </cell>
          <cell r="BD127" t="str">
            <v>만26세</v>
          </cell>
          <cell r="BE127" t="str">
            <v>무한대</v>
          </cell>
          <cell r="BF127" t="str">
            <v>5억</v>
          </cell>
          <cell r="BG127" t="str">
            <v>2억/3천만</v>
          </cell>
          <cell r="BH127" t="str">
            <v>2억원/1인당</v>
          </cell>
          <cell r="BI127" t="str">
            <v>50만원</v>
          </cell>
          <cell r="BJ127" t="str">
            <v>임직원</v>
          </cell>
          <cell r="BK127" t="str">
            <v>5회/년</v>
          </cell>
          <cell r="BL127" t="str">
            <v>가입</v>
          </cell>
          <cell r="BM127" t="str">
            <v>가입</v>
          </cell>
          <cell r="BN127" t="str">
            <v>브랜드보증 외 사용자 부담</v>
          </cell>
          <cell r="BO127" t="str">
            <v>브랜드보증 외 사용자 부담</v>
          </cell>
          <cell r="BP127" t="str">
            <v>0</v>
          </cell>
          <cell r="BQ127" t="str">
            <v>0</v>
          </cell>
          <cell r="BR127">
            <v>24</v>
          </cell>
          <cell r="BS127" t="str">
            <v>현금</v>
          </cell>
          <cell r="BT127" t="str">
            <v>0</v>
          </cell>
          <cell r="BU127" t="str">
            <v>0</v>
          </cell>
          <cell r="BV127" t="str">
            <v>0</v>
          </cell>
          <cell r="BW127" t="str">
            <v>0</v>
          </cell>
          <cell r="BX127" t="str">
            <v>0</v>
          </cell>
          <cell r="BY127" t="str">
            <v>0</v>
          </cell>
          <cell r="BZ127" t="str">
            <v>0</v>
          </cell>
          <cell r="CA127" t="str">
            <v>0</v>
          </cell>
          <cell r="CB127" t="str">
            <v>말</v>
          </cell>
          <cell r="CC127" t="str">
            <v>말</v>
          </cell>
          <cell r="CD127">
            <v>2560000</v>
          </cell>
          <cell r="CE127">
            <v>11</v>
          </cell>
          <cell r="CF127">
            <v>28160000</v>
          </cell>
          <cell r="CG127">
            <v>8100000</v>
          </cell>
          <cell r="CH127">
            <v>0</v>
          </cell>
          <cell r="CI127" t="str">
            <v>만기시 반납</v>
          </cell>
          <cell r="CJ127">
            <v>0.03</v>
          </cell>
          <cell r="CK127">
            <v>0.06</v>
          </cell>
          <cell r="CL127" t="str">
            <v>wb.liss_song@dspharm.com</v>
          </cell>
          <cell r="CM127" t="str">
            <v>jg_byeon@dspharm.com</v>
          </cell>
          <cell r="CN127" t="str">
            <v>0</v>
          </cell>
          <cell r="CO127">
            <v>0.03</v>
          </cell>
          <cell r="CP127" t="str">
            <v>0</v>
          </cell>
          <cell r="CQ127" t="str">
            <v>0</v>
          </cell>
          <cell r="CR127" t="str">
            <v>0</v>
          </cell>
          <cell r="CS127" t="str">
            <v>0</v>
          </cell>
          <cell r="CT127" t="str">
            <v>0</v>
          </cell>
          <cell r="CU127" t="str">
            <v>0</v>
          </cell>
          <cell r="CV127" t="str">
            <v>0</v>
          </cell>
          <cell r="CW127" t="str">
            <v>0</v>
          </cell>
          <cell r="CX127" t="str">
            <v>0</v>
          </cell>
          <cell r="CY127" t="str">
            <v>0</v>
          </cell>
          <cell r="CZ127" t="str">
            <v>0</v>
          </cell>
          <cell r="DA127" t="str">
            <v>0</v>
          </cell>
          <cell r="DB127" t="str">
            <v>현대</v>
          </cell>
          <cell r="DC127" t="str">
            <v>박현식 부장</v>
          </cell>
          <cell r="DD127" t="str">
            <v>렌트베네핏</v>
          </cell>
          <cell r="DE127" t="str">
            <v>(주)다산제약</v>
          </cell>
          <cell r="DF127" t="str">
            <v>기업은행</v>
          </cell>
          <cell r="DG127" t="str">
            <v>106-018181-01-036</v>
          </cell>
          <cell r="DH127" t="str">
            <v>105-81-84395</v>
          </cell>
          <cell r="DI127" t="str">
            <v>충청남도 아산시 도고면 덕암산로 342</v>
          </cell>
          <cell r="DJ127">
            <v>0.35</v>
          </cell>
          <cell r="DK127">
            <v>0.25</v>
          </cell>
          <cell r="DL127" t="str">
            <v>110111-1358682</v>
          </cell>
          <cell r="DM127">
            <v>4925683</v>
          </cell>
          <cell r="DN127" t="str">
            <v>0</v>
          </cell>
          <cell r="DO127" t="str">
            <v>0</v>
          </cell>
          <cell r="DP127" t="str">
            <v>0</v>
          </cell>
        </row>
        <row r="128">
          <cell r="C128" t="str">
            <v>Tesla-002</v>
          </cell>
          <cell r="D128" t="str">
            <v>배스킨라빈스 별내카페거리점</v>
          </cell>
          <cell r="E128" t="str">
            <v>남문수 고객님</v>
          </cell>
          <cell r="F128" t="str">
            <v>010-2696-8079</v>
          </cell>
          <cell r="G128" t="str">
            <v>Model Y Premium RWD</v>
          </cell>
          <cell r="H128" t="str">
            <v>19인치 크로스플로 휠</v>
          </cell>
          <cell r="I128">
            <v>49990000</v>
          </cell>
          <cell r="J128">
            <v>2026</v>
          </cell>
          <cell r="K128" t="str">
            <v>Stealth Grey / All Black 인테리어</v>
          </cell>
          <cell r="L128" t="str">
            <v>전기모터</v>
          </cell>
          <cell r="M128" t="str">
            <v>0</v>
          </cell>
          <cell r="N128" t="str">
            <v>0</v>
          </cell>
          <cell r="O128" t="str">
            <v>오토파일럿</v>
          </cell>
          <cell r="P128" t="str">
            <v>0</v>
          </cell>
          <cell r="Q128" t="str">
            <v>0</v>
          </cell>
          <cell r="R128">
            <v>46195</v>
          </cell>
          <cell r="S128" t="str">
            <v>-</v>
          </cell>
          <cell r="T128" t="str">
            <v>5</v>
          </cell>
          <cell r="U128" t="str">
            <v>-</v>
          </cell>
          <cell r="V128" t="str">
            <v>-</v>
          </cell>
          <cell r="W128">
            <v>20000</v>
          </cell>
          <cell r="X128" t="str">
            <v>남문수 고객님</v>
          </cell>
          <cell r="Y128" t="str">
            <v>010-2696-8079</v>
          </cell>
          <cell r="Z128" t="str">
            <v>0</v>
          </cell>
          <cell r="AA128" t="str">
            <v>0</v>
          </cell>
          <cell r="AB128" t="str">
            <v>0</v>
          </cell>
          <cell r="AC128">
            <v>1825</v>
          </cell>
          <cell r="AD128" t="str">
            <v>0</v>
          </cell>
          <cell r="AE128" t="str">
            <v>26060146</v>
          </cell>
          <cell r="AF128">
            <v>49990000</v>
          </cell>
          <cell r="AG128" t="str">
            <v>0</v>
          </cell>
          <cell r="AH128">
            <v>49990000</v>
          </cell>
          <cell r="AI128" t="str">
            <v>0</v>
          </cell>
          <cell r="AJ128" t="str">
            <v>0</v>
          </cell>
          <cell r="AK128" t="str">
            <v>0</v>
          </cell>
          <cell r="AL128" t="str">
            <v>0</v>
          </cell>
          <cell r="AM128" t="str">
            <v>0</v>
          </cell>
          <cell r="AN128" t="str">
            <v>0</v>
          </cell>
          <cell r="AO128" t="str">
            <v>0</v>
          </cell>
          <cell r="AP128" t="str">
            <v>0</v>
          </cell>
          <cell r="AQ128" t="str">
            <v>0</v>
          </cell>
          <cell r="AR128" t="str">
            <v>0</v>
          </cell>
          <cell r="AS128" t="str">
            <v>0</v>
          </cell>
          <cell r="AT128" t="str">
            <v>0</v>
          </cell>
          <cell r="AU128" t="str">
            <v>0</v>
          </cell>
          <cell r="AV128" t="str">
            <v>0</v>
          </cell>
          <cell r="AW128" t="str">
            <v>렌터카 공제</v>
          </cell>
          <cell r="AX128" t="str">
            <v>0</v>
          </cell>
          <cell r="AY128" t="str">
            <v>0</v>
          </cell>
          <cell r="AZ128" t="str">
            <v>0</v>
          </cell>
          <cell r="BA128" t="str">
            <v>0</v>
          </cell>
          <cell r="BB128" t="str">
            <v>0</v>
          </cell>
          <cell r="BC128" t="str">
            <v>0</v>
          </cell>
          <cell r="BD128" t="str">
            <v>만26세</v>
          </cell>
          <cell r="BE128" t="str">
            <v>무한대</v>
          </cell>
          <cell r="BF128" t="str">
            <v>2억원</v>
          </cell>
          <cell r="BG128" t="str">
            <v>1억원/1500만</v>
          </cell>
          <cell r="BH128" t="str">
            <v>2억원/1인당</v>
          </cell>
          <cell r="BI128" t="str">
            <v>30만원</v>
          </cell>
          <cell r="BJ128" t="str">
            <v>임직원</v>
          </cell>
          <cell r="BK128" t="str">
            <v>5회/년</v>
          </cell>
          <cell r="BL128" t="str">
            <v>미가입</v>
          </cell>
          <cell r="BM128" t="str">
            <v>미가입</v>
          </cell>
          <cell r="BN128" t="str">
            <v>미가입</v>
          </cell>
          <cell r="BO128" t="str">
            <v>브랜드보증 외 사용자 부담</v>
          </cell>
          <cell r="BP128" t="str">
            <v>0</v>
          </cell>
          <cell r="BQ128" t="str">
            <v>0</v>
          </cell>
          <cell r="BR128">
            <v>120</v>
          </cell>
          <cell r="BS128" t="str">
            <v>현금</v>
          </cell>
          <cell r="BT128" t="str">
            <v>0</v>
          </cell>
          <cell r="BU128" t="str">
            <v>0</v>
          </cell>
          <cell r="BV128" t="str">
            <v>0</v>
          </cell>
          <cell r="BW128" t="str">
            <v>0</v>
          </cell>
          <cell r="BX128" t="str">
            <v>0</v>
          </cell>
          <cell r="BY128" t="str">
            <v>0</v>
          </cell>
          <cell r="BZ128" t="str">
            <v>0</v>
          </cell>
          <cell r="CA128" t="str">
            <v>0</v>
          </cell>
          <cell r="CB128" t="str">
            <v>0</v>
          </cell>
          <cell r="CC128" t="str">
            <v>0</v>
          </cell>
          <cell r="CD128">
            <v>435000</v>
          </cell>
          <cell r="CE128">
            <v>60</v>
          </cell>
          <cell r="CF128">
            <v>26100000</v>
          </cell>
          <cell r="CG128">
            <v>0</v>
          </cell>
          <cell r="CH128">
            <v>14331000</v>
          </cell>
          <cell r="CI128">
            <v>26273500</v>
          </cell>
          <cell r="CJ128">
            <v>1.4999999999999999E-2</v>
          </cell>
          <cell r="CK128">
            <v>0.06</v>
          </cell>
          <cell r="CL128" t="str">
            <v>0</v>
          </cell>
          <cell r="CM128" t="str">
            <v>0</v>
          </cell>
          <cell r="CN128" t="str">
            <v>0</v>
          </cell>
          <cell r="CO128">
            <v>0.03</v>
          </cell>
          <cell r="CP128" t="str">
            <v>0</v>
          </cell>
          <cell r="CQ128" t="str">
            <v>0</v>
          </cell>
          <cell r="CR128" t="str">
            <v>0</v>
          </cell>
          <cell r="CS128" t="str">
            <v>0</v>
          </cell>
          <cell r="CT128" t="str">
            <v>0</v>
          </cell>
          <cell r="CU128" t="str">
            <v>0</v>
          </cell>
          <cell r="CV128" t="str">
            <v>0</v>
          </cell>
          <cell r="CW128" t="str">
            <v>0</v>
          </cell>
          <cell r="CX128" t="str">
            <v>0</v>
          </cell>
          <cell r="CY128" t="str">
            <v>0</v>
          </cell>
          <cell r="CZ128" t="str">
            <v>0</v>
          </cell>
          <cell r="DA128" t="str">
            <v>0</v>
          </cell>
          <cell r="DB128" t="str">
            <v>테슬라</v>
          </cell>
          <cell r="DC128" t="str">
            <v>없음</v>
          </cell>
          <cell r="DD128" t="str">
            <v>렌트베네핏</v>
          </cell>
          <cell r="DE128" t="str">
            <v>남문수</v>
          </cell>
          <cell r="DF128" t="str">
            <v>신한은행</v>
          </cell>
          <cell r="DG128" t="str">
            <v>110-031-755429</v>
          </cell>
          <cell r="DH128" t="str">
            <v>779-56-00840</v>
          </cell>
          <cell r="DI128" t="str">
            <v>경기도 남양주시 두물로11번길 42, 1층 일부호(별내동, e드림타워)</v>
          </cell>
          <cell r="DJ128">
            <v>0.35</v>
          </cell>
          <cell r="DK128">
            <v>0.25</v>
          </cell>
          <cell r="DL128" t="str">
            <v>0</v>
          </cell>
          <cell r="DM128" t="str">
            <v>0</v>
          </cell>
          <cell r="DN128" t="str">
            <v>0</v>
          </cell>
          <cell r="DO128" t="str">
            <v>0</v>
          </cell>
          <cell r="DP128" t="str">
            <v>0</v>
          </cell>
        </row>
        <row r="129">
          <cell r="C129" t="str">
            <v>GV80-007</v>
          </cell>
          <cell r="D129" t="str">
            <v>(주)에이이엠테크</v>
          </cell>
          <cell r="E129" t="str">
            <v>이희웅 대표님</v>
          </cell>
          <cell r="F129" t="str">
            <v>010-4328-8158</v>
          </cell>
          <cell r="G129" t="str">
            <v>GV80</v>
          </cell>
          <cell r="H129" t="str">
            <v>5인승 2.5T AWD 19인치 SDS2</v>
          </cell>
          <cell r="I129">
            <v>84350000</v>
          </cell>
          <cell r="J129">
            <v>2026</v>
          </cell>
          <cell r="K129" t="str">
            <v>마칼루 그레이 / 슬레이트그래이(보르도브라운 시트)/올리브애쉬</v>
          </cell>
          <cell r="L129" t="str">
            <v>가솔린</v>
          </cell>
          <cell r="M129" t="str">
            <v>KMTHA81BDTU361138</v>
          </cell>
          <cell r="N129" t="str">
            <v>151호2289</v>
          </cell>
          <cell r="O129" t="str">
            <v>[AWD전용] 파퓰러 패키지(5인승)(620만), 컨비니언스 패키지(320만)</v>
          </cell>
          <cell r="P129">
            <v>2489</v>
          </cell>
          <cell r="Q129">
            <v>46210</v>
          </cell>
          <cell r="R129">
            <v>46195</v>
          </cell>
          <cell r="S129">
            <v>46211</v>
          </cell>
          <cell r="T129" t="str">
            <v>4</v>
          </cell>
          <cell r="U129">
            <v>47671</v>
          </cell>
          <cell r="V129">
            <v>46</v>
          </cell>
          <cell r="W129">
            <v>30000</v>
          </cell>
          <cell r="X129" t="str">
            <v>이경민 사원님</v>
          </cell>
          <cell r="Y129" t="str">
            <v>010-2757-5051</v>
          </cell>
          <cell r="Z129" t="str">
            <v>0</v>
          </cell>
          <cell r="AA129" t="str">
            <v>경기도 용인시 기흥구 덕영대로1967번길 38-13</v>
          </cell>
          <cell r="AB129">
            <v>46234</v>
          </cell>
          <cell r="AC129">
            <v>1460</v>
          </cell>
          <cell r="AD129">
            <v>1426</v>
          </cell>
          <cell r="AE129" t="str">
            <v>26060147</v>
          </cell>
          <cell r="AF129">
            <v>84350000</v>
          </cell>
          <cell r="AG129" t="str">
            <v>0</v>
          </cell>
          <cell r="AH129">
            <v>84742000</v>
          </cell>
          <cell r="AI129">
            <v>392000</v>
          </cell>
          <cell r="AJ129">
            <v>1900</v>
          </cell>
          <cell r="AK129" t="str">
            <v>0</v>
          </cell>
          <cell r="AL129" t="str">
            <v>0</v>
          </cell>
          <cell r="AM129" t="str">
            <v>0</v>
          </cell>
          <cell r="AN129" t="str">
            <v>0</v>
          </cell>
          <cell r="AO129" t="str">
            <v>0</v>
          </cell>
          <cell r="AP129" t="str">
            <v>0</v>
          </cell>
          <cell r="AQ129" t="str">
            <v>0</v>
          </cell>
          <cell r="AR129" t="str">
            <v>빌트인 캠</v>
          </cell>
          <cell r="AS129">
            <v>198000</v>
          </cell>
          <cell r="AT129" t="str">
            <v>0</v>
          </cell>
          <cell r="AU129" t="str">
            <v>0</v>
          </cell>
          <cell r="AV129" t="str">
            <v>0</v>
          </cell>
          <cell r="AW129" t="str">
            <v>렌터카 공제</v>
          </cell>
          <cell r="AX129" t="str">
            <v>0</v>
          </cell>
          <cell r="AY129" t="str">
            <v>0</v>
          </cell>
          <cell r="AZ129" t="str">
            <v>0</v>
          </cell>
          <cell r="BA129" t="str">
            <v>0</v>
          </cell>
          <cell r="BB129" t="str">
            <v>0</v>
          </cell>
          <cell r="BC129" t="str">
            <v>0</v>
          </cell>
          <cell r="BD129" t="str">
            <v>만26세</v>
          </cell>
          <cell r="BE129" t="str">
            <v>무한대</v>
          </cell>
          <cell r="BF129" t="str">
            <v>5억</v>
          </cell>
          <cell r="BG129" t="str">
            <v>2억/3천만</v>
          </cell>
          <cell r="BH129" t="str">
            <v>2억원/1인당</v>
          </cell>
          <cell r="BI129" t="str">
            <v>50만원</v>
          </cell>
          <cell r="BJ129" t="str">
            <v>임직원</v>
          </cell>
          <cell r="BK129" t="str">
            <v>5회/년</v>
          </cell>
          <cell r="BL129" t="str">
            <v>가입</v>
          </cell>
          <cell r="BM129" t="str">
            <v>가입</v>
          </cell>
          <cell r="BN129" t="str">
            <v>가입</v>
          </cell>
          <cell r="BO129" t="str">
            <v>렌트기간 4본</v>
          </cell>
          <cell r="BP129" t="str">
            <v>0</v>
          </cell>
          <cell r="BQ129" t="str">
            <v>0</v>
          </cell>
          <cell r="BR129">
            <v>47291</v>
          </cell>
          <cell r="BS129" t="str">
            <v>현금</v>
          </cell>
          <cell r="BT129" t="str">
            <v>0</v>
          </cell>
          <cell r="BU129" t="str">
            <v>0</v>
          </cell>
          <cell r="BV129" t="str">
            <v>0</v>
          </cell>
          <cell r="BW129" t="str">
            <v>0</v>
          </cell>
          <cell r="BX129" t="str">
            <v>0</v>
          </cell>
          <cell r="BY129" t="str">
            <v>0</v>
          </cell>
          <cell r="BZ129" t="str">
            <v>0</v>
          </cell>
          <cell r="CA129" t="str">
            <v>0</v>
          </cell>
          <cell r="CB129" t="str">
            <v>말</v>
          </cell>
          <cell r="CC129" t="str">
            <v>말</v>
          </cell>
          <cell r="CD129">
            <v>1353900</v>
          </cell>
          <cell r="CE129">
            <v>48</v>
          </cell>
          <cell r="CF129">
            <v>64987200</v>
          </cell>
          <cell r="CG129">
            <v>25305000</v>
          </cell>
          <cell r="CH129" t="str">
            <v>0</v>
          </cell>
          <cell r="CI129">
            <v>46139349</v>
          </cell>
          <cell r="CJ129">
            <v>0.03</v>
          </cell>
          <cell r="CK129">
            <v>0.06</v>
          </cell>
          <cell r="CL129" t="str">
            <v>gwjung@aemtech.kr</v>
          </cell>
          <cell r="CM129" t="str">
            <v>0</v>
          </cell>
          <cell r="CN129" t="str">
            <v>0</v>
          </cell>
          <cell r="CO129">
            <v>0.03</v>
          </cell>
          <cell r="CP129" t="str">
            <v>0</v>
          </cell>
          <cell r="CQ129" t="str">
            <v>0</v>
          </cell>
          <cell r="CR129" t="str">
            <v>0</v>
          </cell>
          <cell r="CS129" t="str">
            <v>유리막/PPF</v>
          </cell>
          <cell r="CT129" t="str">
            <v>벤츠 우산 2개</v>
          </cell>
          <cell r="CU129" t="str">
            <v>0</v>
          </cell>
          <cell r="CV129" t="str">
            <v>0</v>
          </cell>
          <cell r="CW129" t="str">
            <v>0</v>
          </cell>
          <cell r="CX129" t="str">
            <v>0</v>
          </cell>
          <cell r="CY129" t="str">
            <v>0</v>
          </cell>
          <cell r="CZ129" t="str">
            <v>0</v>
          </cell>
          <cell r="DA129" t="str">
            <v>0</v>
          </cell>
          <cell r="DB129" t="str">
            <v>현대</v>
          </cell>
          <cell r="DC129" t="str">
            <v>박현식 부장</v>
          </cell>
          <cell r="DD129" t="str">
            <v>렌트베네핏</v>
          </cell>
          <cell r="DE129" t="str">
            <v>㈜에이이엠테크</v>
          </cell>
          <cell r="DF129" t="str">
            <v>신한은행</v>
          </cell>
          <cell r="DG129" t="str">
            <v>100-018-174908</v>
          </cell>
          <cell r="DH129" t="str">
            <v>131-81-72578</v>
          </cell>
          <cell r="DI129" t="str">
            <v>경기도 수원시 권선구 산업로156번길 88-55(고색동)</v>
          </cell>
          <cell r="DJ129">
            <v>0.35</v>
          </cell>
          <cell r="DK129">
            <v>0.25</v>
          </cell>
          <cell r="DL129" t="str">
            <v>124611-0289303</v>
          </cell>
          <cell r="DM129">
            <v>4268352</v>
          </cell>
          <cell r="DN129" t="str">
            <v>0</v>
          </cell>
          <cell r="DO129" t="str">
            <v>0</v>
          </cell>
          <cell r="DP129" t="str">
            <v>0</v>
          </cell>
        </row>
        <row r="130">
          <cell r="C130" t="str">
            <v>K8-002_2</v>
          </cell>
          <cell r="D130" t="str">
            <v>특허법인 엠에이피에스</v>
          </cell>
          <cell r="E130" t="str">
            <v>조욱제</v>
          </cell>
          <cell r="F130" t="str">
            <v>010-2272-7477</v>
          </cell>
          <cell r="G130" t="str">
            <v>K8</v>
          </cell>
          <cell r="H130" t="str">
            <v>노블레스 2.5</v>
          </cell>
          <cell r="I130">
            <v>19269900</v>
          </cell>
          <cell r="J130">
            <v>2022</v>
          </cell>
          <cell r="K130" t="str">
            <v>그래비티 블루/브라운</v>
          </cell>
          <cell r="L130" t="str">
            <v>가솔린</v>
          </cell>
          <cell r="M130" t="str">
            <v>KNAM241BBPA034424</v>
          </cell>
          <cell r="N130" t="str">
            <v>125호5225</v>
          </cell>
          <cell r="O130" t="str">
            <v>-</v>
          </cell>
          <cell r="P130">
            <v>2497</v>
          </cell>
          <cell r="Q130">
            <v>44742</v>
          </cell>
          <cell r="R130">
            <v>46197</v>
          </cell>
          <cell r="S130">
            <v>46204</v>
          </cell>
          <cell r="T130" t="str">
            <v>1</v>
          </cell>
          <cell r="U130">
            <v>46569</v>
          </cell>
          <cell r="V130">
            <v>10</v>
          </cell>
          <cell r="W130">
            <v>20000</v>
          </cell>
          <cell r="X130" t="str">
            <v>강은경 매니저님</v>
          </cell>
          <cell r="Y130" t="str">
            <v>010-2202-8466</v>
          </cell>
          <cell r="Z130" t="str">
            <v>0</v>
          </cell>
          <cell r="AA130" t="str">
            <v>경기도 군포시 산본로386번길 61, 1125동</v>
          </cell>
          <cell r="AB130">
            <v>46208</v>
          </cell>
          <cell r="AC130">
            <v>365</v>
          </cell>
          <cell r="AD130">
            <v>324</v>
          </cell>
          <cell r="AE130" t="str">
            <v>26060148</v>
          </cell>
          <cell r="AF130">
            <v>34310404</v>
          </cell>
          <cell r="AG130">
            <v>2058624.24</v>
          </cell>
          <cell r="AH130">
            <v>32251779.760000002</v>
          </cell>
          <cell r="AI130" t="str">
            <v>0</v>
          </cell>
          <cell r="AJ130" t="str">
            <v>0</v>
          </cell>
          <cell r="AK130">
            <v>1310370</v>
          </cell>
          <cell r="AL130">
            <v>123060</v>
          </cell>
          <cell r="AM130">
            <v>2000</v>
          </cell>
          <cell r="AN130">
            <v>4500</v>
          </cell>
          <cell r="AO130">
            <v>50000</v>
          </cell>
          <cell r="AP130">
            <v>1087000</v>
          </cell>
          <cell r="AQ130">
            <v>154000</v>
          </cell>
          <cell r="AR130" t="str">
            <v>S1000PRO</v>
          </cell>
          <cell r="AS130">
            <v>198000</v>
          </cell>
          <cell r="AT130" t="str">
            <v>버택스 전면 35% 측후면 15%</v>
          </cell>
          <cell r="AU130">
            <v>1510350</v>
          </cell>
          <cell r="AV130">
            <v>1841930</v>
          </cell>
          <cell r="AW130" t="str">
            <v>렌터카 공제</v>
          </cell>
          <cell r="AX130">
            <v>44742</v>
          </cell>
          <cell r="AY130">
            <v>1182390</v>
          </cell>
          <cell r="AZ130" t="str">
            <v>0</v>
          </cell>
          <cell r="BA130" t="str">
            <v>0</v>
          </cell>
          <cell r="BB130" t="str">
            <v>0</v>
          </cell>
          <cell r="BC130" t="str">
            <v>0</v>
          </cell>
          <cell r="BD130" t="str">
            <v>만26세</v>
          </cell>
          <cell r="BE130" t="str">
            <v>무한대</v>
          </cell>
          <cell r="BF130" t="str">
            <v>2억원</v>
          </cell>
          <cell r="BG130" t="str">
            <v>1억원/1500만</v>
          </cell>
          <cell r="BH130" t="str">
            <v>2억원/1인당</v>
          </cell>
          <cell r="BI130" t="str">
            <v>30만원</v>
          </cell>
          <cell r="BJ130" t="str">
            <v>임직원</v>
          </cell>
          <cell r="BK130" t="str">
            <v>5회/년</v>
          </cell>
          <cell r="BL130" t="str">
            <v>가입</v>
          </cell>
          <cell r="BM130" t="str">
            <v>미가입</v>
          </cell>
          <cell r="BN130" t="str">
            <v>브랜드보증 외 사용자 부담</v>
          </cell>
          <cell r="BO130" t="str">
            <v>브랜드보증 외 사용자 부담</v>
          </cell>
          <cell r="BP130" t="str">
            <v>0</v>
          </cell>
          <cell r="BQ130" t="str">
            <v>0</v>
          </cell>
          <cell r="BR130">
            <v>47443</v>
          </cell>
          <cell r="BS130" t="str">
            <v>현금</v>
          </cell>
          <cell r="BT130" t="str">
            <v>0</v>
          </cell>
          <cell r="BU130" t="str">
            <v>0</v>
          </cell>
          <cell r="BV130" t="str">
            <v>0</v>
          </cell>
          <cell r="BW130" t="str">
            <v>0</v>
          </cell>
          <cell r="BX130" t="str">
            <v>0</v>
          </cell>
          <cell r="BY130" t="str">
            <v>0</v>
          </cell>
          <cell r="BZ130">
            <v>0</v>
          </cell>
          <cell r="CA130" t="str">
            <v>0</v>
          </cell>
          <cell r="CB130" t="str">
            <v>5</v>
          </cell>
          <cell r="CC130" t="str">
            <v>5</v>
          </cell>
          <cell r="CD130">
            <v>523000</v>
          </cell>
          <cell r="CE130">
            <v>12</v>
          </cell>
          <cell r="CF130">
            <v>6276000</v>
          </cell>
          <cell r="CG130">
            <v>7020000</v>
          </cell>
          <cell r="CH130">
            <v>0</v>
          </cell>
          <cell r="CI130">
            <v>16500000</v>
          </cell>
          <cell r="CJ130">
            <v>0.03</v>
          </cell>
          <cell r="CK130">
            <v>0.06</v>
          </cell>
          <cell r="CL130" t="str">
            <v>tax@mapsip.com</v>
          </cell>
          <cell r="CM130" t="str">
            <v>0</v>
          </cell>
          <cell r="CN130" t="str">
            <v>0</v>
          </cell>
          <cell r="CO130">
            <v>0.03</v>
          </cell>
          <cell r="CP130" t="str">
            <v>0</v>
          </cell>
          <cell r="CQ130">
            <v>0</v>
          </cell>
          <cell r="CR130">
            <v>0</v>
          </cell>
          <cell r="CS130">
            <v>0</v>
          </cell>
          <cell r="CT130">
            <v>0</v>
          </cell>
          <cell r="CU130">
            <v>0</v>
          </cell>
          <cell r="CV130">
            <v>0</v>
          </cell>
          <cell r="CW130">
            <v>0</v>
          </cell>
          <cell r="CX130">
            <v>0</v>
          </cell>
          <cell r="CY130">
            <v>0</v>
          </cell>
          <cell r="CZ130">
            <v>0</v>
          </cell>
          <cell r="DA130">
            <v>0</v>
          </cell>
          <cell r="DB130" t="str">
            <v>기아</v>
          </cell>
          <cell r="DC130" t="str">
            <v>정수원 실장</v>
          </cell>
          <cell r="DD130" t="str">
            <v>렌트베네핏</v>
          </cell>
          <cell r="DE130" t="str">
            <v>0</v>
          </cell>
          <cell r="DF130" t="str">
            <v>KB 국민은행</v>
          </cell>
          <cell r="DG130" t="str">
            <v>189-910019-82604</v>
          </cell>
          <cell r="DH130" t="str">
            <v>211-88-54986</v>
          </cell>
          <cell r="DI130" t="str">
            <v>경기도 군포시 산본로386번길 61, 1125동</v>
          </cell>
          <cell r="DJ130">
            <v>0.3</v>
          </cell>
          <cell r="DK130">
            <v>0.2</v>
          </cell>
          <cell r="DL130" t="str">
            <v>114671-0039209</v>
          </cell>
          <cell r="DM130" t="str">
            <v>0</v>
          </cell>
          <cell r="DN130" t="str">
            <v>0</v>
          </cell>
          <cell r="DO130" t="str">
            <v>0</v>
          </cell>
          <cell r="DP130" t="str">
            <v>0</v>
          </cell>
        </row>
        <row r="131">
          <cell r="C131" t="str">
            <v>Grander-012</v>
          </cell>
          <cell r="D131" t="str">
            <v>㈜다인누리</v>
          </cell>
          <cell r="E131" t="str">
            <v>구정훈 대표님</v>
          </cell>
          <cell r="F131" t="str">
            <v>010-6320-7776</v>
          </cell>
          <cell r="G131" t="str">
            <v>그랜저</v>
          </cell>
          <cell r="H131" t="str">
            <v>(H) 1.6T 2WD 프리미엄</v>
          </cell>
          <cell r="I131">
            <v>53180000</v>
          </cell>
          <cell r="J131">
            <v>2026</v>
          </cell>
          <cell r="K131" t="str">
            <v>세레니티 화이트 펄 / 블랙원톤</v>
          </cell>
          <cell r="L131" t="str">
            <v>가솔린</v>
          </cell>
          <cell r="M131" t="str">
            <v>KMHN1411BVA166716</v>
          </cell>
          <cell r="N131" t="str">
            <v>151호2303</v>
          </cell>
          <cell r="O131" t="str">
            <v>현대 스마트센스(140만), 파킹 어시스트(170만), 빌트인캠(65만)</v>
          </cell>
          <cell r="P131">
            <v>1597</v>
          </cell>
          <cell r="Q131">
            <v>46226</v>
          </cell>
          <cell r="R131">
            <v>46218</v>
          </cell>
          <cell r="S131">
            <v>46228</v>
          </cell>
          <cell r="T131" t="str">
            <v>5</v>
          </cell>
          <cell r="U131">
            <v>48053</v>
          </cell>
          <cell r="V131">
            <v>59</v>
          </cell>
          <cell r="W131">
            <v>50000</v>
          </cell>
          <cell r="X131" t="str">
            <v>이종석 이사님</v>
          </cell>
          <cell r="Y131" t="str">
            <v>010-9160-1132</v>
          </cell>
          <cell r="Z131" t="str">
            <v>0</v>
          </cell>
          <cell r="AA131" t="str">
            <v>인천광역시 서구 북항로 76-45 (주)다인누리</v>
          </cell>
          <cell r="AB131">
            <v>46249</v>
          </cell>
          <cell r="AC131">
            <v>1825</v>
          </cell>
          <cell r="AD131">
            <v>1808</v>
          </cell>
          <cell r="AE131" t="str">
            <v>26070149</v>
          </cell>
          <cell r="AF131">
            <v>53180000</v>
          </cell>
          <cell r="AG131">
            <v>0</v>
          </cell>
          <cell r="AH131">
            <v>53180000</v>
          </cell>
          <cell r="AI131">
            <v>200000</v>
          </cell>
          <cell r="AJ131">
            <v>1900</v>
          </cell>
          <cell r="AK131">
            <v>1841860</v>
          </cell>
          <cell r="AL131">
            <v>0</v>
          </cell>
          <cell r="AM131">
            <v>2000</v>
          </cell>
          <cell r="AN131">
            <v>40000</v>
          </cell>
          <cell r="AO131">
            <v>33000</v>
          </cell>
          <cell r="AP131" t="str">
            <v>0</v>
          </cell>
          <cell r="AQ131" t="str">
            <v>0</v>
          </cell>
          <cell r="AR131" t="str">
            <v>0</v>
          </cell>
          <cell r="AS131">
            <v>198000</v>
          </cell>
          <cell r="AT131" t="str">
            <v>버택스 300 전면 35%, 측면1열 15%, 측면2열 및 후면 5%</v>
          </cell>
          <cell r="AU131" t="str">
            <v>0</v>
          </cell>
          <cell r="AV131" t="str">
            <v>0</v>
          </cell>
          <cell r="AW131" t="str">
            <v>렌터카 공제</v>
          </cell>
          <cell r="AX131" t="str">
            <v>0</v>
          </cell>
          <cell r="AY131" t="str">
            <v>0</v>
          </cell>
          <cell r="AZ131" t="str">
            <v>0</v>
          </cell>
          <cell r="BA131" t="str">
            <v>0</v>
          </cell>
          <cell r="BB131" t="str">
            <v>0</v>
          </cell>
          <cell r="BC131" t="str">
            <v>0</v>
          </cell>
          <cell r="BD131" t="str">
            <v>만26세</v>
          </cell>
          <cell r="BE131" t="str">
            <v>무한대</v>
          </cell>
          <cell r="BF131" t="str">
            <v>5억</v>
          </cell>
          <cell r="BG131" t="str">
            <v>2억/3천만</v>
          </cell>
          <cell r="BH131" t="str">
            <v>2억원/1인당</v>
          </cell>
          <cell r="BI131" t="str">
            <v>30만원</v>
          </cell>
          <cell r="BJ131" t="str">
            <v>임직원</v>
          </cell>
          <cell r="BK131" t="str">
            <v>5회/년</v>
          </cell>
          <cell r="BL131" t="str">
            <v>가입</v>
          </cell>
          <cell r="BM131" t="str">
            <v>가입</v>
          </cell>
          <cell r="BN131" t="str">
            <v>가입</v>
          </cell>
          <cell r="BO131" t="str">
            <v>렌트기간 4본</v>
          </cell>
          <cell r="BP131" t="str">
            <v>넥센 앞뒤 225/55R18</v>
          </cell>
          <cell r="BQ131" t="str">
            <v>0</v>
          </cell>
          <cell r="BR131">
            <v>28746</v>
          </cell>
          <cell r="BS131" t="str">
            <v>현금</v>
          </cell>
          <cell r="BT131" t="str">
            <v>0</v>
          </cell>
          <cell r="BU131" t="str">
            <v>0</v>
          </cell>
          <cell r="BV131" t="str">
            <v>0</v>
          </cell>
          <cell r="BW131" t="str">
            <v>0</v>
          </cell>
          <cell r="BX131" t="str">
            <v>0</v>
          </cell>
          <cell r="BY131" t="str">
            <v>0</v>
          </cell>
          <cell r="BZ131" t="str">
            <v>0</v>
          </cell>
          <cell r="CA131" t="str">
            <v>0</v>
          </cell>
          <cell r="CB131" t="str">
            <v>15</v>
          </cell>
          <cell r="CC131" t="str">
            <v>15</v>
          </cell>
          <cell r="CD131">
            <v>913000</v>
          </cell>
          <cell r="CE131">
            <v>60</v>
          </cell>
          <cell r="CF131">
            <v>54780000</v>
          </cell>
          <cell r="CG131">
            <v>0</v>
          </cell>
          <cell r="CH131">
            <v>0</v>
          </cell>
          <cell r="CI131">
            <v>23399200</v>
          </cell>
          <cell r="CJ131">
            <v>1.4999999999999999E-2</v>
          </cell>
          <cell r="CK131">
            <v>0.06</v>
          </cell>
          <cell r="CL131" t="str">
            <v>13038@daum.net</v>
          </cell>
          <cell r="CM131" t="str">
            <v>0</v>
          </cell>
          <cell r="CN131" t="str">
            <v>0</v>
          </cell>
          <cell r="CO131">
            <v>0.03</v>
          </cell>
          <cell r="CP131" t="str">
            <v>0</v>
          </cell>
          <cell r="CQ131" t="str">
            <v>0</v>
          </cell>
          <cell r="CR131" t="str">
            <v>0</v>
          </cell>
          <cell r="CS131" t="str">
            <v>PPF</v>
          </cell>
          <cell r="CT131" t="str">
            <v>벤츠 우산 1개</v>
          </cell>
          <cell r="CU131" t="str">
            <v>0</v>
          </cell>
          <cell r="CV131" t="str">
            <v>0</v>
          </cell>
          <cell r="CW131" t="str">
            <v>0</v>
          </cell>
          <cell r="CX131" t="str">
            <v>0</v>
          </cell>
          <cell r="CY131" t="str">
            <v>0</v>
          </cell>
          <cell r="CZ131" t="str">
            <v>0</v>
          </cell>
          <cell r="DA131" t="str">
            <v>0</v>
          </cell>
          <cell r="DB131" t="str">
            <v>현대</v>
          </cell>
          <cell r="DC131" t="str">
            <v>박현식 부장</v>
          </cell>
          <cell r="DD131" t="str">
            <v>렌트베네핏</v>
          </cell>
          <cell r="DE131" t="str">
            <v>㈜다인누리</v>
          </cell>
          <cell r="DF131" t="str">
            <v>KB 국민은행</v>
          </cell>
          <cell r="DG131" t="str">
            <v>659401-01-375605</v>
          </cell>
          <cell r="DH131" t="str">
            <v>137-86-29002</v>
          </cell>
          <cell r="DI131" t="str">
            <v>인천광역시 서구 북항로 76-45(원창동)</v>
          </cell>
          <cell r="DJ131">
            <v>0.35</v>
          </cell>
          <cell r="DK131">
            <v>0.25</v>
          </cell>
          <cell r="DL131" t="str">
            <v>120111-0639916</v>
          </cell>
          <cell r="DM131">
            <v>2628669</v>
          </cell>
          <cell r="DN131" t="str">
            <v>0</v>
          </cell>
          <cell r="DO131" t="str">
            <v>0</v>
          </cell>
          <cell r="DP131" t="str">
            <v>0</v>
          </cell>
        </row>
        <row r="132">
          <cell r="C132" t="str">
            <v>Palisade_002</v>
          </cell>
          <cell r="D132" t="str">
            <v>(주)에이이엠테크</v>
          </cell>
          <cell r="E132" t="str">
            <v>이희웅 대표님</v>
          </cell>
          <cell r="F132" t="str">
            <v>010-4328-8158</v>
          </cell>
          <cell r="G132" t="str">
            <v>펠리세이드(H)</v>
          </cell>
          <cell r="H132" t="str">
            <v>2.5T 9인승 2WD 프레스티지</v>
          </cell>
          <cell r="I132">
            <v>56770000</v>
          </cell>
          <cell r="J132">
            <v>2026</v>
          </cell>
          <cell r="K132" t="str">
            <v>크리미 화이트 펄/블랙원톤</v>
          </cell>
          <cell r="L132" t="str">
            <v>가솔린</v>
          </cell>
          <cell r="M132" t="str">
            <v>KMHRH81ABTU130742</v>
          </cell>
          <cell r="N132" t="str">
            <v>151호2306</v>
          </cell>
          <cell r="O132" t="str">
            <v>빌트인캠2(66만), 원격 스마트 주차보조(66만)</v>
          </cell>
          <cell r="P132">
            <v>2489</v>
          </cell>
          <cell r="Q132">
            <v>46231</v>
          </cell>
          <cell r="R132">
            <v>46219</v>
          </cell>
          <cell r="S132">
            <v>46232</v>
          </cell>
          <cell r="T132" t="str">
            <v>4</v>
          </cell>
          <cell r="U132">
            <v>47692</v>
          </cell>
          <cell r="V132">
            <v>47</v>
          </cell>
          <cell r="W132">
            <v>30000</v>
          </cell>
          <cell r="X132" t="str">
            <v>이경민 사원님</v>
          </cell>
          <cell r="Y132" t="str">
            <v>010-2757-5051</v>
          </cell>
          <cell r="Z132" t="str">
            <v>0</v>
          </cell>
          <cell r="AA132" t="str">
            <v>경기도 용인시 기흥구 덕영대로1967번길 38-13</v>
          </cell>
          <cell r="AB132">
            <v>46265</v>
          </cell>
          <cell r="AC132">
            <v>1460</v>
          </cell>
          <cell r="AD132">
            <v>1447</v>
          </cell>
          <cell r="AE132" t="str">
            <v>26070150</v>
          </cell>
          <cell r="AF132">
            <v>56770000</v>
          </cell>
          <cell r="AG132">
            <v>1000000</v>
          </cell>
          <cell r="AH132">
            <v>56162000</v>
          </cell>
          <cell r="AI132">
            <v>392000</v>
          </cell>
          <cell r="AJ132">
            <v>1900</v>
          </cell>
          <cell r="AK132" t="str">
            <v>0</v>
          </cell>
          <cell r="AL132" t="str">
            <v>0</v>
          </cell>
          <cell r="AM132" t="str">
            <v>0</v>
          </cell>
          <cell r="AN132" t="str">
            <v>0</v>
          </cell>
          <cell r="AO132" t="str">
            <v>0</v>
          </cell>
          <cell r="AP132" t="str">
            <v>0</v>
          </cell>
          <cell r="AQ132" t="str">
            <v>0</v>
          </cell>
          <cell r="AR132" t="str">
            <v>빌트인 캠</v>
          </cell>
          <cell r="AS132">
            <v>198000</v>
          </cell>
          <cell r="AT132" t="str">
            <v>버텍스300 전면 35%/1열 15%, 2열, 후면 5%</v>
          </cell>
          <cell r="AU132" t="str">
            <v>0</v>
          </cell>
          <cell r="AV132" t="str">
            <v>0</v>
          </cell>
          <cell r="AW132" t="str">
            <v>렌터카 공제</v>
          </cell>
          <cell r="AX132" t="str">
            <v>0</v>
          </cell>
          <cell r="AY132" t="str">
            <v>0</v>
          </cell>
          <cell r="AZ132" t="str">
            <v>0</v>
          </cell>
          <cell r="BA132" t="str">
            <v>0</v>
          </cell>
          <cell r="BB132" t="str">
            <v>0</v>
          </cell>
          <cell r="BC132" t="str">
            <v>0</v>
          </cell>
          <cell r="BD132" t="str">
            <v>만26세</v>
          </cell>
          <cell r="BE132" t="str">
            <v>무한대</v>
          </cell>
          <cell r="BF132" t="str">
            <v>2억원</v>
          </cell>
          <cell r="BG132" t="str">
            <v>1억원/1500만</v>
          </cell>
          <cell r="BH132" t="str">
            <v>2억원/1인당</v>
          </cell>
          <cell r="BI132" t="str">
            <v>30만원</v>
          </cell>
          <cell r="BJ132" t="str">
            <v>임직원</v>
          </cell>
          <cell r="BK132" t="str">
            <v>5회/년</v>
          </cell>
          <cell r="BL132" t="str">
            <v>가입</v>
          </cell>
          <cell r="BM132" t="str">
            <v>가입</v>
          </cell>
          <cell r="BN132" t="str">
            <v>가입</v>
          </cell>
          <cell r="BO132" t="str">
            <v>렌트기간 4본</v>
          </cell>
          <cell r="BP132" t="str">
            <v>금호 앞뒤 255/50 R20</v>
          </cell>
          <cell r="BQ132" t="str">
            <v>0</v>
          </cell>
          <cell r="BR132">
            <v>47291</v>
          </cell>
          <cell r="BS132" t="str">
            <v>현금</v>
          </cell>
          <cell r="BT132" t="str">
            <v>0</v>
          </cell>
          <cell r="BU132" t="str">
            <v>0</v>
          </cell>
          <cell r="BV132" t="str">
            <v>0</v>
          </cell>
          <cell r="BW132" t="str">
            <v>0</v>
          </cell>
          <cell r="BX132" t="str">
            <v>0</v>
          </cell>
          <cell r="BY132" t="str">
            <v>0</v>
          </cell>
          <cell r="BZ132" t="str">
            <v>0</v>
          </cell>
          <cell r="CA132" t="str">
            <v>0</v>
          </cell>
          <cell r="CB132" t="str">
            <v>말</v>
          </cell>
          <cell r="CC132" t="str">
            <v>말</v>
          </cell>
          <cell r="CD132">
            <v>996000</v>
          </cell>
          <cell r="CE132">
            <v>48</v>
          </cell>
          <cell r="CF132">
            <v>47808000</v>
          </cell>
          <cell r="CG132">
            <v>17004000</v>
          </cell>
          <cell r="CH132" t="str">
            <v>0</v>
          </cell>
          <cell r="CI132">
            <v>31174000</v>
          </cell>
          <cell r="CJ132">
            <v>0.03</v>
          </cell>
          <cell r="CK132">
            <v>0.06</v>
          </cell>
          <cell r="CL132" t="str">
            <v>gwjung@aemtech.kr</v>
          </cell>
          <cell r="CM132" t="str">
            <v>0</v>
          </cell>
          <cell r="CN132" t="str">
            <v>0</v>
          </cell>
          <cell r="CO132">
            <v>0.03</v>
          </cell>
          <cell r="CP132" t="str">
            <v>0</v>
          </cell>
          <cell r="CQ132" t="str">
            <v>0</v>
          </cell>
          <cell r="CR132" t="str">
            <v>0</v>
          </cell>
          <cell r="CS132" t="str">
            <v>유리막/PPF</v>
          </cell>
          <cell r="CT132" t="str">
            <v>벤츠 우산 2개</v>
          </cell>
          <cell r="CU132" t="str">
            <v>0</v>
          </cell>
          <cell r="CV132" t="str">
            <v>0</v>
          </cell>
          <cell r="CW132" t="str">
            <v>0</v>
          </cell>
          <cell r="CX132" t="str">
            <v>0</v>
          </cell>
          <cell r="CY132" t="str">
            <v>0</v>
          </cell>
          <cell r="CZ132" t="str">
            <v>0</v>
          </cell>
          <cell r="DA132" t="str">
            <v>0</v>
          </cell>
          <cell r="DB132" t="str">
            <v>현대</v>
          </cell>
          <cell r="DC132" t="str">
            <v>박현식 부장</v>
          </cell>
          <cell r="DD132" t="str">
            <v>렌트베네핏</v>
          </cell>
          <cell r="DE132" t="str">
            <v>㈜에이이엠테크</v>
          </cell>
          <cell r="DF132" t="str">
            <v>신한은행</v>
          </cell>
          <cell r="DG132" t="str">
            <v>100-018-174908</v>
          </cell>
          <cell r="DH132" t="str">
            <v>131-81-72578</v>
          </cell>
          <cell r="DI132" t="str">
            <v>경기도 수원시 권선구 산업로156번길 88-55(고색동)</v>
          </cell>
          <cell r="DJ132">
            <v>0.35</v>
          </cell>
          <cell r="DK132">
            <v>0.25</v>
          </cell>
          <cell r="DL132" t="str">
            <v>124611-0289303</v>
          </cell>
          <cell r="DM132" t="str">
            <v>0</v>
          </cell>
          <cell r="DN132" t="str">
            <v>0</v>
          </cell>
          <cell r="DO132" t="str">
            <v>0</v>
          </cell>
          <cell r="DP132" t="str">
            <v>0</v>
          </cell>
        </row>
        <row r="133">
          <cell r="C133" t="str">
            <v>ES300h-001</v>
          </cell>
          <cell r="D133" t="str">
            <v>㈜플로우스페이스랩</v>
          </cell>
          <cell r="E133" t="str">
            <v>이영영 대표님</v>
          </cell>
          <cell r="F133" t="str">
            <v>010-7938-5549</v>
          </cell>
          <cell r="G133" t="str">
            <v>ES300h EXECUTIVE</v>
          </cell>
          <cell r="H133" t="str">
            <v>-</v>
          </cell>
          <cell r="I133">
            <v>71880000</v>
          </cell>
          <cell r="J133">
            <v>2026</v>
          </cell>
          <cell r="K133" t="str">
            <v>화이트/블랙</v>
          </cell>
          <cell r="L133" t="str">
            <v>가솔린</v>
          </cell>
          <cell r="M133" t="str">
            <v>JTHBA1C12T2038689</v>
          </cell>
          <cell r="N133" t="str">
            <v>101하5182</v>
          </cell>
          <cell r="O133" t="str">
            <v>-</v>
          </cell>
          <cell r="P133">
            <v>2489</v>
          </cell>
          <cell r="Q133">
            <v>46234</v>
          </cell>
          <cell r="R133">
            <v>46230</v>
          </cell>
          <cell r="S133">
            <v>46237</v>
          </cell>
          <cell r="T133" t="str">
            <v>4</v>
          </cell>
          <cell r="U133">
            <v>47697</v>
          </cell>
          <cell r="V133">
            <v>47</v>
          </cell>
          <cell r="W133">
            <v>30000</v>
          </cell>
          <cell r="X133" t="str">
            <v>송기배 부장님</v>
          </cell>
          <cell r="Y133" t="str">
            <v>010-9401-7586</v>
          </cell>
          <cell r="Z133" t="str">
            <v>0</v>
          </cell>
          <cell r="AA133" t="str">
            <v>서울특별시 성동구 성수일로 77, 2층 215호(성수동1가, 서울숲 IT 밸리)</v>
          </cell>
          <cell r="AB133">
            <v>46244</v>
          </cell>
          <cell r="AC133">
            <v>1460</v>
          </cell>
          <cell r="AD133">
            <v>1452</v>
          </cell>
          <cell r="AE133" t="str">
            <v>26070151</v>
          </cell>
          <cell r="AF133">
            <v>71880000</v>
          </cell>
          <cell r="AG133">
            <v>2000000</v>
          </cell>
          <cell r="AH133">
            <v>69880000</v>
          </cell>
          <cell r="AI133" t="str">
            <v>0</v>
          </cell>
          <cell r="AJ133" t="str">
            <v>0</v>
          </cell>
          <cell r="AK133" t="str">
            <v>0</v>
          </cell>
          <cell r="AL133" t="str">
            <v>0</v>
          </cell>
          <cell r="AM133" t="str">
            <v>0</v>
          </cell>
          <cell r="AN133" t="str">
            <v>0</v>
          </cell>
          <cell r="AO133" t="str">
            <v>0</v>
          </cell>
          <cell r="AP133" t="str">
            <v>0</v>
          </cell>
          <cell r="AQ133" t="str">
            <v>0</v>
          </cell>
          <cell r="AR133" t="str">
            <v>0</v>
          </cell>
          <cell r="AS133" t="str">
            <v>0</v>
          </cell>
          <cell r="AT133" t="str">
            <v>어센틱 L 전면 35% 측후면 15%</v>
          </cell>
          <cell r="AU133" t="str">
            <v>0</v>
          </cell>
          <cell r="AV133" t="str">
            <v>0</v>
          </cell>
          <cell r="AW133" t="str">
            <v>렌터카 공제</v>
          </cell>
          <cell r="AX133" t="str">
            <v>0</v>
          </cell>
          <cell r="AY133" t="str">
            <v>0</v>
          </cell>
          <cell r="AZ133" t="str">
            <v>0</v>
          </cell>
          <cell r="BA133" t="str">
            <v>0</v>
          </cell>
          <cell r="BB133" t="str">
            <v>0</v>
          </cell>
          <cell r="BC133" t="str">
            <v>0</v>
          </cell>
          <cell r="BD133" t="str">
            <v>만26세</v>
          </cell>
          <cell r="BE133" t="str">
            <v>무한대</v>
          </cell>
          <cell r="BF133" t="str">
            <v>5억</v>
          </cell>
          <cell r="BG133" t="str">
            <v>2억/3천만</v>
          </cell>
          <cell r="BH133" t="str">
            <v>2억원/1인당</v>
          </cell>
          <cell r="BI133" t="str">
            <v>50만원</v>
          </cell>
          <cell r="BJ133" t="str">
            <v>임직원</v>
          </cell>
          <cell r="BK133" t="str">
            <v>5회/년</v>
          </cell>
          <cell r="BL133" t="str">
            <v>미가입</v>
          </cell>
          <cell r="BM133" t="str">
            <v>미가입</v>
          </cell>
          <cell r="BN133" t="str">
            <v>미가입</v>
          </cell>
          <cell r="BO133" t="str">
            <v>브랜드보증 외 사용자 부담</v>
          </cell>
          <cell r="BP133" t="str">
            <v>0</v>
          </cell>
          <cell r="BQ133" t="str">
            <v>0</v>
          </cell>
          <cell r="BR133">
            <v>47291</v>
          </cell>
          <cell r="BS133" t="str">
            <v>현금</v>
          </cell>
          <cell r="BT133" t="str">
            <v>0</v>
          </cell>
          <cell r="BU133" t="str">
            <v>0</v>
          </cell>
          <cell r="BV133" t="str">
            <v>0</v>
          </cell>
          <cell r="BW133" t="str">
            <v>0</v>
          </cell>
          <cell r="BX133" t="str">
            <v>0</v>
          </cell>
          <cell r="BY133" t="str">
            <v>0</v>
          </cell>
          <cell r="BZ133" t="str">
            <v>0</v>
          </cell>
          <cell r="CA133" t="str">
            <v>0</v>
          </cell>
          <cell r="CB133" t="str">
            <v>10</v>
          </cell>
          <cell r="CC133" t="str">
            <v>10</v>
          </cell>
          <cell r="CD133">
            <v>1405000</v>
          </cell>
          <cell r="CE133">
            <v>48</v>
          </cell>
          <cell r="CF133">
            <v>67440000</v>
          </cell>
          <cell r="CG133">
            <v>20964000</v>
          </cell>
          <cell r="CH133">
            <v>0</v>
          </cell>
          <cell r="CI133">
            <v>24458000</v>
          </cell>
          <cell r="CJ133">
            <v>0.03</v>
          </cell>
          <cell r="CK133">
            <v>0.06</v>
          </cell>
          <cell r="CL133" t="str">
            <v>flowspacelab@gmail.com</v>
          </cell>
          <cell r="CM133" t="str">
            <v>bfkibae@Daum.net</v>
          </cell>
          <cell r="CN133" t="str">
            <v>0</v>
          </cell>
          <cell r="CO133">
            <v>0.03</v>
          </cell>
          <cell r="CP133" t="str">
            <v>0</v>
          </cell>
          <cell r="CQ133" t="str">
            <v>우산2,트렁크정리함,청소도구함</v>
          </cell>
          <cell r="CR133" t="str">
            <v>0</v>
          </cell>
          <cell r="CS133" t="str">
            <v>유리막/PPF</v>
          </cell>
          <cell r="CT133" t="str">
            <v>0</v>
          </cell>
          <cell r="CU133" t="str">
            <v>0</v>
          </cell>
          <cell r="CV133" t="str">
            <v>0</v>
          </cell>
          <cell r="CW133" t="str">
            <v>0</v>
          </cell>
          <cell r="CX133" t="str">
            <v>0</v>
          </cell>
          <cell r="CY133" t="str">
            <v>0</v>
          </cell>
          <cell r="CZ133" t="str">
            <v>0</v>
          </cell>
          <cell r="DA133" t="str">
            <v>0</v>
          </cell>
          <cell r="DB133" t="str">
            <v>렉서스</v>
          </cell>
          <cell r="DC133" t="str">
            <v>주민성 팀장</v>
          </cell>
          <cell r="DD133" t="str">
            <v>렌트베네핏</v>
          </cell>
          <cell r="DE133" t="str">
            <v>주식회사 플로우스페이스랩</v>
          </cell>
          <cell r="DF133" t="str">
            <v>NH농협은행</v>
          </cell>
          <cell r="DG133" t="str">
            <v>301-0377-8885-31</v>
          </cell>
          <cell r="DH133" t="str">
            <v>112-88-02522</v>
          </cell>
          <cell r="DI133" t="str">
            <v>서울특별시 중구 서소문로 50 센트럴 플레이스</v>
          </cell>
          <cell r="DJ133">
            <v>0.35</v>
          </cell>
          <cell r="DK133">
            <v>0.25</v>
          </cell>
          <cell r="DL133" t="str">
            <v>191111-0107182</v>
          </cell>
          <cell r="DM133" t="str">
            <v>0</v>
          </cell>
          <cell r="DN133" t="str">
            <v>0</v>
          </cell>
          <cell r="DO133" t="str">
            <v>0</v>
          </cell>
          <cell r="DP133" t="str">
            <v>0</v>
          </cell>
        </row>
        <row r="134">
          <cell r="C134" t="str">
            <v>Ray-056</v>
          </cell>
          <cell r="D134" t="str">
            <v>(주)아이즈</v>
          </cell>
          <cell r="E134" t="str">
            <v>최진식 대표님</v>
          </cell>
          <cell r="F134" t="str">
            <v>010-2356-3866</v>
          </cell>
          <cell r="G134" t="str">
            <v>Ray</v>
          </cell>
          <cell r="H134" t="str">
            <v>1.0 가솔린 트렌디</v>
          </cell>
          <cell r="I134">
            <v>17300000</v>
          </cell>
          <cell r="J134" t="str">
            <v>0</v>
          </cell>
          <cell r="K134" t="str">
            <v>화이트/블랙</v>
          </cell>
          <cell r="L134" t="str">
            <v>가솔린</v>
          </cell>
          <cell r="M134" t="str">
            <v>0</v>
          </cell>
          <cell r="N134" t="str">
            <v>0</v>
          </cell>
          <cell r="O134" t="str">
            <v>네비게이션(145만), 드라이브 와이즈(30만)</v>
          </cell>
          <cell r="P134">
            <v>998</v>
          </cell>
          <cell r="Q134" t="str">
            <v>0</v>
          </cell>
          <cell r="R134" t="str">
            <v>0</v>
          </cell>
          <cell r="S134" t="str">
            <v>-</v>
          </cell>
          <cell r="T134" t="str">
            <v>5</v>
          </cell>
          <cell r="U134" t="str">
            <v>-</v>
          </cell>
          <cell r="V134" t="str">
            <v>-</v>
          </cell>
          <cell r="W134">
            <v>20000</v>
          </cell>
          <cell r="X134" t="str">
            <v>신재이 과장님</v>
          </cell>
          <cell r="Y134" t="str">
            <v>010-2897-5689</v>
          </cell>
          <cell r="Z134" t="str">
            <v>0</v>
          </cell>
          <cell r="AA134" t="str">
            <v>0</v>
          </cell>
          <cell r="AB134" t="str">
            <v>0</v>
          </cell>
          <cell r="AC134" t="str">
            <v>0</v>
          </cell>
          <cell r="AD134" t="str">
            <v>0</v>
          </cell>
          <cell r="AE134" t="str">
            <v>0</v>
          </cell>
          <cell r="AF134" t="str">
            <v>0</v>
          </cell>
          <cell r="AG134" t="str">
            <v>0</v>
          </cell>
          <cell r="AH134" t="str">
            <v>0</v>
          </cell>
          <cell r="AI134" t="str">
            <v>0</v>
          </cell>
          <cell r="AJ134" t="str">
            <v>0</v>
          </cell>
          <cell r="AK134" t="str">
            <v>0</v>
          </cell>
          <cell r="AL134" t="str">
            <v>0</v>
          </cell>
          <cell r="AM134" t="str">
            <v>0</v>
          </cell>
          <cell r="AN134" t="str">
            <v>0</v>
          </cell>
          <cell r="AO134" t="str">
            <v>0</v>
          </cell>
          <cell r="AP134" t="str">
            <v>0</v>
          </cell>
          <cell r="AQ134" t="str">
            <v>0</v>
          </cell>
          <cell r="AR134" t="str">
            <v>0</v>
          </cell>
          <cell r="AS134" t="str">
            <v>0</v>
          </cell>
          <cell r="AT134" t="str">
            <v>0</v>
          </cell>
          <cell r="AU134" t="str">
            <v>0</v>
          </cell>
          <cell r="AV134" t="str">
            <v>0</v>
          </cell>
          <cell r="AW134" t="str">
            <v>0</v>
          </cell>
          <cell r="AX134" t="str">
            <v>0</v>
          </cell>
          <cell r="AY134" t="str">
            <v>0</v>
          </cell>
          <cell r="AZ134" t="str">
            <v>0</v>
          </cell>
          <cell r="BA134" t="str">
            <v>0</v>
          </cell>
          <cell r="BB134" t="str">
            <v>0</v>
          </cell>
          <cell r="BC134" t="str">
            <v>0</v>
          </cell>
          <cell r="BD134" t="str">
            <v>만26세</v>
          </cell>
          <cell r="BE134" t="str">
            <v>무한대</v>
          </cell>
          <cell r="BF134" t="str">
            <v>2억원</v>
          </cell>
          <cell r="BG134" t="str">
            <v>1억원/1500만</v>
          </cell>
          <cell r="BH134" t="str">
            <v>2억원/1인당</v>
          </cell>
          <cell r="BI134" t="str">
            <v>30만원</v>
          </cell>
          <cell r="BJ134" t="str">
            <v>임직원</v>
          </cell>
          <cell r="BK134" t="str">
            <v>5회/년</v>
          </cell>
          <cell r="BL134" t="str">
            <v>가입</v>
          </cell>
          <cell r="BM134" t="str">
            <v>가입</v>
          </cell>
          <cell r="BN134" t="str">
            <v>가입</v>
          </cell>
          <cell r="BO134" t="str">
            <v>렌트기간 4본</v>
          </cell>
          <cell r="BP134" t="str">
            <v>0</v>
          </cell>
          <cell r="BQ134" t="str">
            <v>0</v>
          </cell>
          <cell r="BR134">
            <v>17964</v>
          </cell>
          <cell r="BS134" t="str">
            <v>현금</v>
          </cell>
          <cell r="BT134" t="str">
            <v>0</v>
          </cell>
          <cell r="BU134" t="str">
            <v>0</v>
          </cell>
          <cell r="BV134" t="str">
            <v>0</v>
          </cell>
          <cell r="BW134" t="str">
            <v>0</v>
          </cell>
          <cell r="BX134" t="str">
            <v>0</v>
          </cell>
          <cell r="BY134" t="str">
            <v>0</v>
          </cell>
          <cell r="BZ134" t="str">
            <v>0</v>
          </cell>
          <cell r="CA134" t="str">
            <v>0</v>
          </cell>
          <cell r="CB134" t="str">
            <v>0</v>
          </cell>
          <cell r="CC134" t="str">
            <v>0</v>
          </cell>
          <cell r="CD134">
            <v>385000</v>
          </cell>
          <cell r="CE134">
            <v>60</v>
          </cell>
          <cell r="CF134">
            <v>23100000</v>
          </cell>
          <cell r="CG134">
            <v>5190000</v>
          </cell>
          <cell r="CH134">
            <v>0</v>
          </cell>
          <cell r="CI134">
            <v>7266000</v>
          </cell>
          <cell r="CJ134">
            <v>0.03</v>
          </cell>
          <cell r="CK134">
            <v>0.06</v>
          </cell>
          <cell r="CL134" t="str">
            <v>ais@aistech.co.kr</v>
          </cell>
          <cell r="CM134" t="str">
            <v>0</v>
          </cell>
          <cell r="CN134" t="str">
            <v>0</v>
          </cell>
          <cell r="CO134">
            <v>0.03</v>
          </cell>
          <cell r="CP134" t="str">
            <v>0</v>
          </cell>
          <cell r="CQ134" t="str">
            <v>0</v>
          </cell>
          <cell r="CR134" t="str">
            <v>0</v>
          </cell>
          <cell r="CS134" t="str">
            <v>0</v>
          </cell>
          <cell r="CT134" t="str">
            <v>0</v>
          </cell>
          <cell r="CU134" t="str">
            <v>0</v>
          </cell>
          <cell r="CV134" t="str">
            <v>0</v>
          </cell>
          <cell r="CW134" t="str">
            <v>0</v>
          </cell>
          <cell r="CX134" t="str">
            <v>0</v>
          </cell>
          <cell r="CY134" t="str">
            <v>0</v>
          </cell>
          <cell r="CZ134" t="str">
            <v>0</v>
          </cell>
          <cell r="DA134" t="str">
            <v>0</v>
          </cell>
          <cell r="DB134" t="str">
            <v>기아</v>
          </cell>
          <cell r="DC134" t="str">
            <v>정수원 실장</v>
          </cell>
          <cell r="DD134" t="str">
            <v>렌트베네핏</v>
          </cell>
          <cell r="DE134" t="str">
            <v>0</v>
          </cell>
          <cell r="DF134" t="str">
            <v>IBK기업은행</v>
          </cell>
          <cell r="DG134" t="str">
            <v>587-076715-04-011</v>
          </cell>
          <cell r="DH134" t="str">
            <v>139-81-68781</v>
          </cell>
          <cell r="DI134" t="str">
            <v>경기도 안성시 원곡면 기업단지로 293-22</v>
          </cell>
          <cell r="DJ134">
            <v>0.35</v>
          </cell>
          <cell r="DK134">
            <v>0.25</v>
          </cell>
          <cell r="DL134" t="str">
            <v>134611-0014944</v>
          </cell>
          <cell r="DM134">
            <v>0</v>
          </cell>
          <cell r="DN134" t="str">
            <v>0</v>
          </cell>
          <cell r="DO134" t="str">
            <v>0</v>
          </cell>
          <cell r="DP134" t="str">
            <v>0</v>
          </cell>
        </row>
        <row r="135">
          <cell r="C135"/>
          <cell r="D135" t="str">
            <v>0</v>
          </cell>
          <cell r="E135" t="str">
            <v>0</v>
          </cell>
          <cell r="F135" t="str">
            <v>0</v>
          </cell>
          <cell r="G135" t="str">
            <v>0</v>
          </cell>
          <cell r="H135" t="str">
            <v>0</v>
          </cell>
          <cell r="I135" t="str">
            <v>0</v>
          </cell>
          <cell r="J135" t="str">
            <v>0</v>
          </cell>
          <cell r="K135" t="str">
            <v>0</v>
          </cell>
          <cell r="L135" t="str">
            <v>0</v>
          </cell>
          <cell r="M135" t="str">
            <v>0</v>
          </cell>
          <cell r="N135" t="str">
            <v>0</v>
          </cell>
          <cell r="O135" t="str">
            <v>0</v>
          </cell>
          <cell r="P135" t="str">
            <v>0</v>
          </cell>
          <cell r="Q135" t="str">
            <v>0</v>
          </cell>
          <cell r="R135" t="str">
            <v>0</v>
          </cell>
          <cell r="S135" t="str">
            <v>0</v>
          </cell>
          <cell r="T135" t="str">
            <v>0</v>
          </cell>
          <cell r="U135" t="str">
            <v>0</v>
          </cell>
          <cell r="V135" t="str">
            <v>0</v>
          </cell>
          <cell r="W135" t="str">
            <v>0</v>
          </cell>
          <cell r="X135" t="str">
            <v>0</v>
          </cell>
          <cell r="Y135" t="str">
            <v>0</v>
          </cell>
          <cell r="Z135" t="str">
            <v>0</v>
          </cell>
          <cell r="AA135" t="str">
            <v>0</v>
          </cell>
          <cell r="AB135" t="str">
            <v>0</v>
          </cell>
          <cell r="AC135" t="str">
            <v>0</v>
          </cell>
          <cell r="AD135" t="str">
            <v>0</v>
          </cell>
          <cell r="AE135" t="str">
            <v>0</v>
          </cell>
          <cell r="AF135" t="str">
            <v>0</v>
          </cell>
          <cell r="AG135" t="str">
            <v>0</v>
          </cell>
          <cell r="AH135" t="str">
            <v>0</v>
          </cell>
          <cell r="AI135" t="str">
            <v>0</v>
          </cell>
          <cell r="AJ135" t="str">
            <v>0</v>
          </cell>
          <cell r="AK135" t="str">
            <v>0</v>
          </cell>
          <cell r="AL135" t="str">
            <v>0</v>
          </cell>
          <cell r="AM135" t="str">
            <v>0</v>
          </cell>
          <cell r="AN135" t="str">
            <v>0</v>
          </cell>
          <cell r="AO135" t="str">
            <v>0</v>
          </cell>
          <cell r="AP135" t="str">
            <v>0</v>
          </cell>
          <cell r="AQ135" t="str">
            <v>0</v>
          </cell>
          <cell r="AR135" t="str">
            <v>0</v>
          </cell>
          <cell r="AS135" t="str">
            <v>0</v>
          </cell>
          <cell r="AT135" t="str">
            <v>0</v>
          </cell>
          <cell r="AU135" t="str">
            <v>0</v>
          </cell>
          <cell r="AV135" t="str">
            <v>0</v>
          </cell>
          <cell r="AW135" t="str">
            <v>0</v>
          </cell>
          <cell r="AX135" t="str">
            <v>0</v>
          </cell>
          <cell r="AY135" t="str">
            <v>0</v>
          </cell>
          <cell r="AZ135" t="str">
            <v>0</v>
          </cell>
          <cell r="BA135" t="str">
            <v>0</v>
          </cell>
          <cell r="BB135" t="str">
            <v>0</v>
          </cell>
          <cell r="BC135" t="str">
            <v>0</v>
          </cell>
          <cell r="BD135" t="str">
            <v>0</v>
          </cell>
          <cell r="BE135" t="str">
            <v>0</v>
          </cell>
          <cell r="BF135" t="str">
            <v>0</v>
          </cell>
          <cell r="BG135" t="str">
            <v>0</v>
          </cell>
          <cell r="BH135" t="str">
            <v>0</v>
          </cell>
          <cell r="BI135" t="str">
            <v>0</v>
          </cell>
          <cell r="BJ135" t="str">
            <v>0</v>
          </cell>
          <cell r="BK135" t="str">
            <v>0</v>
          </cell>
          <cell r="BL135" t="str">
            <v>0</v>
          </cell>
          <cell r="BM135" t="str">
            <v>0</v>
          </cell>
          <cell r="BN135" t="str">
            <v>0</v>
          </cell>
          <cell r="BO135" t="str">
            <v>0</v>
          </cell>
          <cell r="BP135" t="str">
            <v>0</v>
          </cell>
          <cell r="BQ135" t="str">
            <v>0</v>
          </cell>
          <cell r="BR135" t="str">
            <v>0</v>
          </cell>
          <cell r="BS135" t="str">
            <v>0</v>
          </cell>
          <cell r="BT135" t="str">
            <v>0</v>
          </cell>
          <cell r="BU135" t="str">
            <v>0</v>
          </cell>
          <cell r="BV135" t="str">
            <v>0</v>
          </cell>
          <cell r="BW135" t="str">
            <v>0</v>
          </cell>
          <cell r="BX135" t="str">
            <v>0</v>
          </cell>
          <cell r="BY135" t="str">
            <v>0</v>
          </cell>
          <cell r="BZ135" t="str">
            <v>0</v>
          </cell>
          <cell r="CA135" t="str">
            <v>0</v>
          </cell>
          <cell r="CB135" t="str">
            <v>0</v>
          </cell>
          <cell r="CC135" t="str">
            <v>0</v>
          </cell>
          <cell r="CD135" t="str">
            <v>0</v>
          </cell>
          <cell r="CE135" t="str">
            <v>0</v>
          </cell>
          <cell r="CF135" t="str">
            <v>0</v>
          </cell>
          <cell r="CG135" t="str">
            <v>0</v>
          </cell>
          <cell r="CH135" t="str">
            <v>0</v>
          </cell>
          <cell r="CI135" t="str">
            <v>0</v>
          </cell>
          <cell r="CJ135" t="str">
            <v>0</v>
          </cell>
          <cell r="CK135" t="str">
            <v>0</v>
          </cell>
          <cell r="CL135" t="str">
            <v>0</v>
          </cell>
          <cell r="CM135" t="str">
            <v>0</v>
          </cell>
          <cell r="CN135" t="str">
            <v>0</v>
          </cell>
          <cell r="CO135" t="str">
            <v>0</v>
          </cell>
          <cell r="CP135" t="str">
            <v>0</v>
          </cell>
          <cell r="CQ135" t="str">
            <v>0</v>
          </cell>
          <cell r="CR135" t="str">
            <v>0</v>
          </cell>
          <cell r="CS135" t="str">
            <v>0</v>
          </cell>
          <cell r="CT135" t="str">
            <v>0</v>
          </cell>
          <cell r="CU135" t="str">
            <v>0</v>
          </cell>
          <cell r="CV135" t="str">
            <v>0</v>
          </cell>
          <cell r="CW135" t="str">
            <v>0</v>
          </cell>
          <cell r="CX135" t="str">
            <v>0</v>
          </cell>
          <cell r="CY135" t="str">
            <v>0</v>
          </cell>
          <cell r="CZ135" t="str">
            <v>0</v>
          </cell>
          <cell r="DA135" t="str">
            <v>0</v>
          </cell>
          <cell r="DB135" t="str">
            <v>0</v>
          </cell>
          <cell r="DC135" t="str">
            <v>0</v>
          </cell>
          <cell r="DD135" t="str">
            <v>0</v>
          </cell>
          <cell r="DE135" t="str">
            <v>0</v>
          </cell>
          <cell r="DF135" t="str">
            <v>0</v>
          </cell>
          <cell r="DG135" t="str">
            <v>0</v>
          </cell>
          <cell r="DH135" t="str">
            <v>0</v>
          </cell>
          <cell r="DI135" t="str">
            <v>0</v>
          </cell>
          <cell r="DJ135" t="str">
            <v>0</v>
          </cell>
          <cell r="DK135" t="str">
            <v>0</v>
          </cell>
          <cell r="DL135" t="str">
            <v>0</v>
          </cell>
          <cell r="DM135" t="str">
            <v>0</v>
          </cell>
          <cell r="DN135" t="str">
            <v>0</v>
          </cell>
          <cell r="DO135" t="str">
            <v>0</v>
          </cell>
          <cell r="DP135" t="str">
            <v>0</v>
          </cell>
        </row>
        <row r="136">
          <cell r="C136"/>
          <cell r="D136" t="str">
            <v>0</v>
          </cell>
          <cell r="E136" t="str">
            <v>0</v>
          </cell>
          <cell r="F136" t="str">
            <v>0</v>
          </cell>
          <cell r="G136" t="str">
            <v>0</v>
          </cell>
          <cell r="H136" t="str">
            <v>0</v>
          </cell>
          <cell r="I136" t="str">
            <v>0</v>
          </cell>
          <cell r="J136" t="str">
            <v>0</v>
          </cell>
          <cell r="K136" t="str">
            <v>0</v>
          </cell>
          <cell r="L136" t="str">
            <v>0</v>
          </cell>
          <cell r="M136" t="str">
            <v>0</v>
          </cell>
          <cell r="N136" t="str">
            <v>0</v>
          </cell>
          <cell r="O136" t="str">
            <v>0</v>
          </cell>
          <cell r="P136" t="str">
            <v>0</v>
          </cell>
          <cell r="Q136" t="str">
            <v>0</v>
          </cell>
          <cell r="R136" t="str">
            <v>0</v>
          </cell>
          <cell r="S136" t="str">
            <v>0</v>
          </cell>
          <cell r="T136" t="str">
            <v>0</v>
          </cell>
          <cell r="U136" t="str">
            <v>0</v>
          </cell>
          <cell r="V136" t="str">
            <v>0</v>
          </cell>
          <cell r="W136" t="str">
            <v>0</v>
          </cell>
          <cell r="X136" t="str">
            <v>0</v>
          </cell>
          <cell r="Y136" t="str">
            <v>0</v>
          </cell>
          <cell r="Z136" t="str">
            <v>0</v>
          </cell>
          <cell r="AA136" t="str">
            <v>0</v>
          </cell>
          <cell r="AB136" t="str">
            <v>0</v>
          </cell>
          <cell r="AC136" t="str">
            <v>0</v>
          </cell>
          <cell r="AD136" t="str">
            <v>0</v>
          </cell>
          <cell r="AE136" t="str">
            <v>0</v>
          </cell>
          <cell r="AF136" t="str">
            <v>0</v>
          </cell>
          <cell r="AG136" t="str">
            <v>0</v>
          </cell>
          <cell r="AH136" t="str">
            <v>0</v>
          </cell>
          <cell r="AI136" t="str">
            <v>0</v>
          </cell>
          <cell r="AJ136" t="str">
            <v>0</v>
          </cell>
          <cell r="AK136" t="str">
            <v>0</v>
          </cell>
          <cell r="AL136" t="str">
            <v>0</v>
          </cell>
          <cell r="AM136" t="str">
            <v>0</v>
          </cell>
          <cell r="AN136" t="str">
            <v>0</v>
          </cell>
          <cell r="AO136" t="str">
            <v>0</v>
          </cell>
          <cell r="AP136" t="str">
            <v>0</v>
          </cell>
          <cell r="AQ136" t="str">
            <v>0</v>
          </cell>
          <cell r="AR136" t="str">
            <v>0</v>
          </cell>
          <cell r="AS136" t="str">
            <v>0</v>
          </cell>
          <cell r="AT136" t="str">
            <v>0</v>
          </cell>
          <cell r="AU136" t="str">
            <v>0</v>
          </cell>
          <cell r="AV136" t="str">
            <v>0</v>
          </cell>
          <cell r="AW136" t="str">
            <v>0</v>
          </cell>
          <cell r="AX136" t="str">
            <v>0</v>
          </cell>
          <cell r="AY136" t="str">
            <v>0</v>
          </cell>
          <cell r="AZ136" t="str">
            <v>0</v>
          </cell>
          <cell r="BA136" t="str">
            <v>0</v>
          </cell>
          <cell r="BB136" t="str">
            <v>0</v>
          </cell>
          <cell r="BC136" t="str">
            <v>0</v>
          </cell>
          <cell r="BD136" t="str">
            <v>0</v>
          </cell>
          <cell r="BE136" t="str">
            <v>0</v>
          </cell>
          <cell r="BF136" t="str">
            <v>0</v>
          </cell>
          <cell r="BG136" t="str">
            <v>0</v>
          </cell>
          <cell r="BH136" t="str">
            <v>0</v>
          </cell>
          <cell r="BI136" t="str">
            <v>0</v>
          </cell>
          <cell r="BJ136" t="str">
            <v>0</v>
          </cell>
          <cell r="BK136" t="str">
            <v>0</v>
          </cell>
          <cell r="BL136" t="str">
            <v>0</v>
          </cell>
          <cell r="BM136" t="str">
            <v>0</v>
          </cell>
          <cell r="BN136" t="str">
            <v>0</v>
          </cell>
          <cell r="BO136" t="str">
            <v>0</v>
          </cell>
          <cell r="BP136" t="str">
            <v>0</v>
          </cell>
          <cell r="BQ136" t="str">
            <v>0</v>
          </cell>
          <cell r="BR136" t="str">
            <v>0</v>
          </cell>
          <cell r="BS136" t="str">
            <v>0</v>
          </cell>
          <cell r="BT136" t="str">
            <v>0</v>
          </cell>
          <cell r="BU136" t="str">
            <v>0</v>
          </cell>
          <cell r="BV136" t="str">
            <v>0</v>
          </cell>
          <cell r="BW136" t="str">
            <v>0</v>
          </cell>
          <cell r="BX136" t="str">
            <v>0</v>
          </cell>
          <cell r="BY136" t="str">
            <v>0</v>
          </cell>
          <cell r="BZ136" t="str">
            <v>0</v>
          </cell>
          <cell r="CA136" t="str">
            <v>0</v>
          </cell>
          <cell r="CB136" t="str">
            <v>0</v>
          </cell>
          <cell r="CC136" t="str">
            <v>0</v>
          </cell>
          <cell r="CD136" t="str">
            <v>0</v>
          </cell>
          <cell r="CE136" t="str">
            <v>0</v>
          </cell>
          <cell r="CF136" t="str">
            <v>0</v>
          </cell>
          <cell r="CG136" t="str">
            <v>0</v>
          </cell>
          <cell r="CH136" t="str">
            <v>0</v>
          </cell>
          <cell r="CI136" t="str">
            <v>0</v>
          </cell>
          <cell r="CJ136" t="str">
            <v>0</v>
          </cell>
          <cell r="CK136" t="str">
            <v>0</v>
          </cell>
          <cell r="CL136" t="str">
            <v>0</v>
          </cell>
          <cell r="CM136" t="str">
            <v>0</v>
          </cell>
          <cell r="CN136" t="str">
            <v>0</v>
          </cell>
          <cell r="CO136" t="str">
            <v>0</v>
          </cell>
          <cell r="CP136" t="str">
            <v>0</v>
          </cell>
          <cell r="CQ136" t="str">
            <v>0</v>
          </cell>
          <cell r="CR136" t="str">
            <v>0</v>
          </cell>
          <cell r="CS136" t="str">
            <v>0</v>
          </cell>
          <cell r="CT136" t="str">
            <v>0</v>
          </cell>
          <cell r="CU136" t="str">
            <v>0</v>
          </cell>
          <cell r="CV136" t="str">
            <v>0</v>
          </cell>
          <cell r="CW136" t="str">
            <v>0</v>
          </cell>
          <cell r="CX136" t="str">
            <v>0</v>
          </cell>
          <cell r="CY136" t="str">
            <v>0</v>
          </cell>
          <cell r="CZ136" t="str">
            <v>0</v>
          </cell>
          <cell r="DA136" t="str">
            <v>0</v>
          </cell>
          <cell r="DB136" t="str">
            <v>0</v>
          </cell>
          <cell r="DC136" t="str">
            <v>0</v>
          </cell>
          <cell r="DD136" t="str">
            <v>0</v>
          </cell>
          <cell r="DE136" t="str">
            <v>0</v>
          </cell>
          <cell r="DF136" t="str">
            <v>0</v>
          </cell>
          <cell r="DG136" t="str">
            <v>0</v>
          </cell>
          <cell r="DH136" t="str">
            <v>0</v>
          </cell>
          <cell r="DI136" t="str">
            <v>0</v>
          </cell>
          <cell r="DJ136" t="str">
            <v>0</v>
          </cell>
          <cell r="DK136" t="str">
            <v>0</v>
          </cell>
          <cell r="DL136" t="str">
            <v>0</v>
          </cell>
          <cell r="DM136" t="str">
            <v>0</v>
          </cell>
          <cell r="DN136" t="str">
            <v>0</v>
          </cell>
          <cell r="DO136" t="str">
            <v>0</v>
          </cell>
          <cell r="DP136" t="str">
            <v>0</v>
          </cell>
        </row>
        <row r="137">
          <cell r="C137"/>
          <cell r="D137" t="str">
            <v>0</v>
          </cell>
          <cell r="E137" t="str">
            <v>0</v>
          </cell>
          <cell r="F137" t="str">
            <v>0</v>
          </cell>
          <cell r="G137" t="str">
            <v>0</v>
          </cell>
          <cell r="H137" t="str">
            <v>0</v>
          </cell>
          <cell r="I137" t="str">
            <v>0</v>
          </cell>
          <cell r="J137" t="str">
            <v>0</v>
          </cell>
          <cell r="K137" t="str">
            <v>0</v>
          </cell>
          <cell r="L137" t="str">
            <v>0</v>
          </cell>
          <cell r="M137" t="str">
            <v>0</v>
          </cell>
          <cell r="N137" t="str">
            <v>0</v>
          </cell>
          <cell r="O137" t="str">
            <v>0</v>
          </cell>
          <cell r="P137" t="str">
            <v>0</v>
          </cell>
          <cell r="Q137" t="str">
            <v>0</v>
          </cell>
          <cell r="R137" t="str">
            <v>0</v>
          </cell>
          <cell r="S137" t="str">
            <v>0</v>
          </cell>
          <cell r="T137" t="str">
            <v>0</v>
          </cell>
          <cell r="U137" t="str">
            <v>0</v>
          </cell>
          <cell r="V137" t="str">
            <v>0</v>
          </cell>
          <cell r="W137" t="str">
            <v>0</v>
          </cell>
          <cell r="X137" t="str">
            <v>0</v>
          </cell>
          <cell r="Y137" t="str">
            <v>0</v>
          </cell>
          <cell r="Z137" t="str">
            <v>0</v>
          </cell>
          <cell r="AA137" t="str">
            <v>0</v>
          </cell>
          <cell r="AB137" t="str">
            <v>0</v>
          </cell>
          <cell r="AC137" t="str">
            <v>0</v>
          </cell>
          <cell r="AD137" t="str">
            <v>0</v>
          </cell>
          <cell r="AE137" t="str">
            <v>0</v>
          </cell>
          <cell r="AF137" t="str">
            <v>0</v>
          </cell>
          <cell r="AG137" t="str">
            <v>0</v>
          </cell>
          <cell r="AH137" t="str">
            <v>0</v>
          </cell>
          <cell r="AI137" t="str">
            <v>0</v>
          </cell>
          <cell r="AJ137" t="str">
            <v>0</v>
          </cell>
          <cell r="AK137" t="str">
            <v>0</v>
          </cell>
          <cell r="AL137" t="str">
            <v>0</v>
          </cell>
          <cell r="AM137" t="str">
            <v>0</v>
          </cell>
          <cell r="AN137" t="str">
            <v>0</v>
          </cell>
          <cell r="AO137" t="str">
            <v>0</v>
          </cell>
          <cell r="AP137" t="str">
            <v>0</v>
          </cell>
          <cell r="AQ137" t="str">
            <v>0</v>
          </cell>
          <cell r="AR137" t="str">
            <v>0</v>
          </cell>
          <cell r="AS137" t="str">
            <v>0</v>
          </cell>
          <cell r="AT137" t="str">
            <v>0</v>
          </cell>
          <cell r="AU137" t="str">
            <v>0</v>
          </cell>
          <cell r="AV137" t="str">
            <v>0</v>
          </cell>
          <cell r="AW137" t="str">
            <v>0</v>
          </cell>
          <cell r="AX137" t="str">
            <v>0</v>
          </cell>
          <cell r="AY137" t="str">
            <v>0</v>
          </cell>
          <cell r="AZ137" t="str">
            <v>0</v>
          </cell>
          <cell r="BA137" t="str">
            <v>0</v>
          </cell>
          <cell r="BB137" t="str">
            <v>0</v>
          </cell>
          <cell r="BC137" t="str">
            <v>0</v>
          </cell>
          <cell r="BD137" t="str">
            <v>0</v>
          </cell>
          <cell r="BE137" t="str">
            <v>0</v>
          </cell>
          <cell r="BF137" t="str">
            <v>0</v>
          </cell>
          <cell r="BG137" t="str">
            <v>0</v>
          </cell>
          <cell r="BH137" t="str">
            <v>0</v>
          </cell>
          <cell r="BI137" t="str">
            <v>0</v>
          </cell>
          <cell r="BJ137" t="str">
            <v>0</v>
          </cell>
          <cell r="BK137" t="str">
            <v>0</v>
          </cell>
          <cell r="BL137" t="str">
            <v>0</v>
          </cell>
          <cell r="BM137" t="str">
            <v>0</v>
          </cell>
          <cell r="BN137" t="str">
            <v>0</v>
          </cell>
          <cell r="BO137" t="str">
            <v>0</v>
          </cell>
          <cell r="BP137" t="str">
            <v>0</v>
          </cell>
          <cell r="BQ137" t="str">
            <v>0</v>
          </cell>
          <cell r="BR137" t="str">
            <v>0</v>
          </cell>
          <cell r="BS137" t="str">
            <v>0</v>
          </cell>
          <cell r="BT137" t="str">
            <v>0</v>
          </cell>
          <cell r="BU137" t="str">
            <v>0</v>
          </cell>
          <cell r="BV137" t="str">
            <v>0</v>
          </cell>
          <cell r="BW137" t="str">
            <v>0</v>
          </cell>
          <cell r="BX137" t="str">
            <v>0</v>
          </cell>
          <cell r="BY137" t="str">
            <v>0</v>
          </cell>
          <cell r="BZ137" t="str">
            <v>0</v>
          </cell>
          <cell r="CA137" t="str">
            <v>0</v>
          </cell>
          <cell r="CB137" t="str">
            <v>0</v>
          </cell>
          <cell r="CC137" t="str">
            <v>0</v>
          </cell>
          <cell r="CD137" t="str">
            <v>0</v>
          </cell>
          <cell r="CE137" t="str">
            <v>0</v>
          </cell>
          <cell r="CF137" t="str">
            <v>0</v>
          </cell>
          <cell r="CG137" t="str">
            <v>0</v>
          </cell>
          <cell r="CH137" t="str">
            <v>0</v>
          </cell>
          <cell r="CI137" t="str">
            <v>0</v>
          </cell>
          <cell r="CJ137" t="str">
            <v>0</v>
          </cell>
          <cell r="CK137" t="str">
            <v>0</v>
          </cell>
          <cell r="CL137" t="str">
            <v>0</v>
          </cell>
          <cell r="CM137" t="str">
            <v>0</v>
          </cell>
          <cell r="CN137" t="str">
            <v>0</v>
          </cell>
          <cell r="CO137" t="str">
            <v>0</v>
          </cell>
          <cell r="CP137" t="str">
            <v>0</v>
          </cell>
          <cell r="CQ137" t="str">
            <v>0</v>
          </cell>
          <cell r="CR137" t="str">
            <v>0</v>
          </cell>
          <cell r="CS137" t="str">
            <v>0</v>
          </cell>
          <cell r="CT137" t="str">
            <v>0</v>
          </cell>
          <cell r="CU137" t="str">
            <v>0</v>
          </cell>
          <cell r="CV137" t="str">
            <v>0</v>
          </cell>
          <cell r="CW137" t="str">
            <v>0</v>
          </cell>
          <cell r="CX137" t="str">
            <v>0</v>
          </cell>
          <cell r="CY137" t="str">
            <v>0</v>
          </cell>
          <cell r="CZ137" t="str">
            <v>0</v>
          </cell>
          <cell r="DA137" t="str">
            <v>0</v>
          </cell>
          <cell r="DB137" t="str">
            <v>0</v>
          </cell>
          <cell r="DC137" t="str">
            <v>0</v>
          </cell>
          <cell r="DD137" t="str">
            <v>0</v>
          </cell>
          <cell r="DE137" t="str">
            <v>0</v>
          </cell>
          <cell r="DF137" t="str">
            <v>0</v>
          </cell>
          <cell r="DG137" t="str">
            <v>0</v>
          </cell>
          <cell r="DH137" t="str">
            <v>0</v>
          </cell>
          <cell r="DI137" t="str">
            <v>0</v>
          </cell>
          <cell r="DJ137" t="str">
            <v>0</v>
          </cell>
          <cell r="DK137" t="str">
            <v>0</v>
          </cell>
          <cell r="DL137" t="str">
            <v>0</v>
          </cell>
          <cell r="DM137" t="str">
            <v>0</v>
          </cell>
          <cell r="DN137" t="str">
            <v>0</v>
          </cell>
          <cell r="DO137" t="str">
            <v>0</v>
          </cell>
          <cell r="DP137" t="str">
            <v>0</v>
          </cell>
        </row>
        <row r="138">
          <cell r="C138"/>
          <cell r="D138" t="str">
            <v>0</v>
          </cell>
          <cell r="E138" t="str">
            <v>0</v>
          </cell>
          <cell r="F138" t="str">
            <v>0</v>
          </cell>
          <cell r="G138" t="str">
            <v>0</v>
          </cell>
          <cell r="H138" t="str">
            <v>0</v>
          </cell>
          <cell r="I138" t="str">
            <v>0</v>
          </cell>
          <cell r="J138" t="str">
            <v>0</v>
          </cell>
          <cell r="K138" t="str">
            <v>0</v>
          </cell>
          <cell r="L138" t="str">
            <v>0</v>
          </cell>
          <cell r="M138" t="str">
            <v>0</v>
          </cell>
          <cell r="N138" t="str">
            <v>0</v>
          </cell>
          <cell r="O138" t="str">
            <v>0</v>
          </cell>
          <cell r="P138" t="str">
            <v>0</v>
          </cell>
          <cell r="Q138" t="str">
            <v>0</v>
          </cell>
          <cell r="R138" t="str">
            <v>0</v>
          </cell>
          <cell r="S138" t="str">
            <v>0</v>
          </cell>
          <cell r="T138" t="str">
            <v>0</v>
          </cell>
          <cell r="U138" t="str">
            <v>0</v>
          </cell>
          <cell r="V138" t="str">
            <v>0</v>
          </cell>
          <cell r="W138" t="str">
            <v>0</v>
          </cell>
          <cell r="X138" t="str">
            <v>0</v>
          </cell>
          <cell r="Y138" t="str">
            <v>0</v>
          </cell>
          <cell r="Z138" t="str">
            <v>0</v>
          </cell>
          <cell r="AA138" t="str">
            <v>0</v>
          </cell>
          <cell r="AB138" t="str">
            <v>0</v>
          </cell>
          <cell r="AC138" t="str">
            <v>0</v>
          </cell>
          <cell r="AD138" t="str">
            <v>0</v>
          </cell>
          <cell r="AE138" t="str">
            <v>0</v>
          </cell>
          <cell r="AF138" t="str">
            <v>0</v>
          </cell>
          <cell r="AG138" t="str">
            <v>0</v>
          </cell>
          <cell r="AH138" t="str">
            <v>0</v>
          </cell>
          <cell r="AI138" t="str">
            <v>0</v>
          </cell>
          <cell r="AJ138" t="str">
            <v>0</v>
          </cell>
          <cell r="AK138" t="str">
            <v>0</v>
          </cell>
          <cell r="AL138" t="str">
            <v>0</v>
          </cell>
          <cell r="AM138" t="str">
            <v>0</v>
          </cell>
          <cell r="AN138" t="str">
            <v>0</v>
          </cell>
          <cell r="AO138" t="str">
            <v>0</v>
          </cell>
          <cell r="AP138" t="str">
            <v>0</v>
          </cell>
          <cell r="AQ138" t="str">
            <v>0</v>
          </cell>
          <cell r="AR138" t="str">
            <v>0</v>
          </cell>
          <cell r="AS138" t="str">
            <v>0</v>
          </cell>
          <cell r="AT138" t="str">
            <v>0</v>
          </cell>
          <cell r="AU138" t="str">
            <v>0</v>
          </cell>
          <cell r="AV138" t="str">
            <v>0</v>
          </cell>
          <cell r="AW138" t="str">
            <v>0</v>
          </cell>
          <cell r="AX138" t="str">
            <v>0</v>
          </cell>
          <cell r="AY138" t="str">
            <v>0</v>
          </cell>
          <cell r="AZ138" t="str">
            <v>0</v>
          </cell>
          <cell r="BA138" t="str">
            <v>0</v>
          </cell>
          <cell r="BB138" t="str">
            <v>0</v>
          </cell>
          <cell r="BC138" t="str">
            <v>0</v>
          </cell>
          <cell r="BD138" t="str">
            <v>0</v>
          </cell>
          <cell r="BE138" t="str">
            <v>0</v>
          </cell>
          <cell r="BF138" t="str">
            <v>0</v>
          </cell>
          <cell r="BG138" t="str">
            <v>0</v>
          </cell>
          <cell r="BH138" t="str">
            <v>0</v>
          </cell>
          <cell r="BI138" t="str">
            <v>0</v>
          </cell>
          <cell r="BJ138" t="str">
            <v>0</v>
          </cell>
          <cell r="BK138" t="str">
            <v>0</v>
          </cell>
          <cell r="BL138" t="str">
            <v>0</v>
          </cell>
          <cell r="BM138" t="str">
            <v>0</v>
          </cell>
          <cell r="BN138" t="str">
            <v>0</v>
          </cell>
          <cell r="BO138" t="str">
            <v>0</v>
          </cell>
          <cell r="BP138" t="str">
            <v>0</v>
          </cell>
          <cell r="BQ138" t="str">
            <v>0</v>
          </cell>
          <cell r="BR138" t="str">
            <v>0</v>
          </cell>
          <cell r="BS138" t="str">
            <v>0</v>
          </cell>
          <cell r="BT138" t="str">
            <v>0</v>
          </cell>
          <cell r="BU138" t="str">
            <v>0</v>
          </cell>
          <cell r="BV138" t="str">
            <v>0</v>
          </cell>
          <cell r="BW138" t="str">
            <v>0</v>
          </cell>
          <cell r="BX138" t="str">
            <v>0</v>
          </cell>
          <cell r="BY138" t="str">
            <v>0</v>
          </cell>
          <cell r="BZ138" t="str">
            <v>0</v>
          </cell>
          <cell r="CA138" t="str">
            <v>0</v>
          </cell>
          <cell r="CB138" t="str">
            <v>0</v>
          </cell>
          <cell r="CC138" t="str">
            <v>0</v>
          </cell>
          <cell r="CD138" t="str">
            <v>0</v>
          </cell>
          <cell r="CE138" t="str">
            <v>0</v>
          </cell>
          <cell r="CF138" t="str">
            <v>0</v>
          </cell>
          <cell r="CG138" t="str">
            <v>0</v>
          </cell>
          <cell r="CH138" t="str">
            <v>0</v>
          </cell>
          <cell r="CI138" t="str">
            <v>0</v>
          </cell>
          <cell r="CJ138" t="str">
            <v>0</v>
          </cell>
          <cell r="CK138" t="str">
            <v>0</v>
          </cell>
          <cell r="CL138" t="str">
            <v>0</v>
          </cell>
          <cell r="CM138" t="str">
            <v>0</v>
          </cell>
          <cell r="CN138" t="str">
            <v>0</v>
          </cell>
          <cell r="CO138" t="str">
            <v>0</v>
          </cell>
          <cell r="CP138" t="str">
            <v>0</v>
          </cell>
          <cell r="CQ138" t="str">
            <v>0</v>
          </cell>
          <cell r="CR138" t="str">
            <v>0</v>
          </cell>
          <cell r="CS138" t="str">
            <v>0</v>
          </cell>
          <cell r="CT138" t="str">
            <v>0</v>
          </cell>
          <cell r="CU138" t="str">
            <v>0</v>
          </cell>
          <cell r="CV138" t="str">
            <v>0</v>
          </cell>
          <cell r="CW138" t="str">
            <v>0</v>
          </cell>
          <cell r="CX138" t="str">
            <v>0</v>
          </cell>
          <cell r="CY138" t="str">
            <v>0</v>
          </cell>
          <cell r="CZ138" t="str">
            <v>0</v>
          </cell>
          <cell r="DA138" t="str">
            <v>0</v>
          </cell>
          <cell r="DB138" t="str">
            <v>0</v>
          </cell>
          <cell r="DC138" t="str">
            <v>0</v>
          </cell>
          <cell r="DD138" t="str">
            <v>0</v>
          </cell>
          <cell r="DE138" t="str">
            <v>0</v>
          </cell>
          <cell r="DF138" t="str">
            <v>0</v>
          </cell>
          <cell r="DG138" t="str">
            <v>0</v>
          </cell>
          <cell r="DH138" t="str">
            <v>0</v>
          </cell>
          <cell r="DI138" t="str">
            <v>0</v>
          </cell>
          <cell r="DJ138" t="str">
            <v>0</v>
          </cell>
          <cell r="DK138" t="str">
            <v>0</v>
          </cell>
          <cell r="DL138" t="str">
            <v>0</v>
          </cell>
          <cell r="DM138" t="str">
            <v>0</v>
          </cell>
          <cell r="DN138" t="str">
            <v>0</v>
          </cell>
          <cell r="DO138" t="str">
            <v>0</v>
          </cell>
          <cell r="DP138" t="str">
            <v>0</v>
          </cell>
        </row>
        <row r="139">
          <cell r="C139"/>
          <cell r="D139" t="str">
            <v>0</v>
          </cell>
          <cell r="E139" t="str">
            <v>0</v>
          </cell>
          <cell r="F139" t="str">
            <v>0</v>
          </cell>
          <cell r="G139" t="str">
            <v>0</v>
          </cell>
          <cell r="H139" t="str">
            <v>0</v>
          </cell>
          <cell r="I139" t="str">
            <v>0</v>
          </cell>
          <cell r="J139" t="str">
            <v>0</v>
          </cell>
          <cell r="K139" t="str">
            <v>0</v>
          </cell>
          <cell r="L139" t="str">
            <v>0</v>
          </cell>
          <cell r="M139" t="str">
            <v>0</v>
          </cell>
          <cell r="N139" t="str">
            <v>0</v>
          </cell>
          <cell r="O139" t="str">
            <v>0</v>
          </cell>
          <cell r="P139" t="str">
            <v>0</v>
          </cell>
          <cell r="Q139" t="str">
            <v>0</v>
          </cell>
          <cell r="R139" t="str">
            <v>0</v>
          </cell>
          <cell r="S139" t="str">
            <v>0</v>
          </cell>
          <cell r="T139" t="str">
            <v>0</v>
          </cell>
          <cell r="U139" t="str">
            <v>0</v>
          </cell>
          <cell r="V139" t="str">
            <v>0</v>
          </cell>
          <cell r="W139" t="str">
            <v>0</v>
          </cell>
          <cell r="X139" t="str">
            <v>0</v>
          </cell>
          <cell r="Y139" t="str">
            <v>0</v>
          </cell>
          <cell r="Z139" t="str">
            <v>0</v>
          </cell>
          <cell r="AA139" t="str">
            <v>0</v>
          </cell>
          <cell r="AB139" t="str">
            <v>0</v>
          </cell>
          <cell r="AC139" t="str">
            <v>0</v>
          </cell>
          <cell r="AD139" t="str">
            <v>0</v>
          </cell>
          <cell r="AE139" t="str">
            <v>0</v>
          </cell>
          <cell r="AF139" t="str">
            <v>0</v>
          </cell>
          <cell r="AG139" t="str">
            <v>0</v>
          </cell>
          <cell r="AH139" t="str">
            <v>0</v>
          </cell>
          <cell r="AI139" t="str">
            <v>0</v>
          </cell>
          <cell r="AJ139" t="str">
            <v>0</v>
          </cell>
          <cell r="AK139" t="str">
            <v>0</v>
          </cell>
          <cell r="AL139" t="str">
            <v>0</v>
          </cell>
          <cell r="AM139" t="str">
            <v>0</v>
          </cell>
          <cell r="AN139" t="str">
            <v>0</v>
          </cell>
          <cell r="AO139" t="str">
            <v>0</v>
          </cell>
          <cell r="AP139" t="str">
            <v>0</v>
          </cell>
          <cell r="AQ139" t="str">
            <v>0</v>
          </cell>
          <cell r="AR139" t="str">
            <v>0</v>
          </cell>
          <cell r="AS139" t="str">
            <v>0</v>
          </cell>
          <cell r="AT139" t="str">
            <v>0</v>
          </cell>
          <cell r="AU139" t="str">
            <v>0</v>
          </cell>
          <cell r="AV139" t="str">
            <v>0</v>
          </cell>
          <cell r="AW139" t="str">
            <v>0</v>
          </cell>
          <cell r="AX139" t="str">
            <v>0</v>
          </cell>
          <cell r="AY139" t="str">
            <v>0</v>
          </cell>
          <cell r="AZ139" t="str">
            <v>0</v>
          </cell>
          <cell r="BA139" t="str">
            <v>0</v>
          </cell>
          <cell r="BB139" t="str">
            <v>0</v>
          </cell>
          <cell r="BC139" t="str">
            <v>0</v>
          </cell>
          <cell r="BD139" t="str">
            <v>0</v>
          </cell>
          <cell r="BE139" t="str">
            <v>0</v>
          </cell>
          <cell r="BF139" t="str">
            <v>0</v>
          </cell>
          <cell r="BG139" t="str">
            <v>0</v>
          </cell>
          <cell r="BH139" t="str">
            <v>0</v>
          </cell>
          <cell r="BI139" t="str">
            <v>0</v>
          </cell>
          <cell r="BJ139" t="str">
            <v>0</v>
          </cell>
          <cell r="BK139" t="str">
            <v>0</v>
          </cell>
          <cell r="BL139" t="str">
            <v>0</v>
          </cell>
          <cell r="BM139" t="str">
            <v>0</v>
          </cell>
          <cell r="BN139" t="str">
            <v>0</v>
          </cell>
          <cell r="BO139" t="str">
            <v>0</v>
          </cell>
          <cell r="BP139" t="str">
            <v>0</v>
          </cell>
          <cell r="BQ139" t="str">
            <v>0</v>
          </cell>
          <cell r="BR139" t="str">
            <v>0</v>
          </cell>
          <cell r="BS139" t="str">
            <v>0</v>
          </cell>
          <cell r="BT139" t="str">
            <v>0</v>
          </cell>
          <cell r="BU139" t="str">
            <v>0</v>
          </cell>
          <cell r="BV139" t="str">
            <v>0</v>
          </cell>
          <cell r="BW139" t="str">
            <v>0</v>
          </cell>
          <cell r="BX139" t="str">
            <v>0</v>
          </cell>
          <cell r="BY139" t="str">
            <v>0</v>
          </cell>
          <cell r="BZ139" t="str">
            <v>0</v>
          </cell>
          <cell r="CA139" t="str">
            <v>0</v>
          </cell>
          <cell r="CB139" t="str">
            <v>0</v>
          </cell>
          <cell r="CC139" t="str">
            <v>0</v>
          </cell>
          <cell r="CD139" t="str">
            <v>0</v>
          </cell>
          <cell r="CE139" t="str">
            <v>0</v>
          </cell>
          <cell r="CF139" t="str">
            <v>0</v>
          </cell>
          <cell r="CG139" t="str">
            <v>0</v>
          </cell>
          <cell r="CH139" t="str">
            <v>0</v>
          </cell>
          <cell r="CI139" t="str">
            <v>0</v>
          </cell>
          <cell r="CJ139" t="str">
            <v>0</v>
          </cell>
          <cell r="CK139" t="str">
            <v>0</v>
          </cell>
          <cell r="CL139" t="str">
            <v>0</v>
          </cell>
          <cell r="CM139" t="str">
            <v>0</v>
          </cell>
          <cell r="CN139" t="str">
            <v>0</v>
          </cell>
          <cell r="CO139" t="str">
            <v>0</v>
          </cell>
          <cell r="CP139" t="str">
            <v>0</v>
          </cell>
          <cell r="CQ139" t="str">
            <v>0</v>
          </cell>
          <cell r="CR139" t="str">
            <v>0</v>
          </cell>
          <cell r="CS139" t="str">
            <v>0</v>
          </cell>
          <cell r="CT139" t="str">
            <v>0</v>
          </cell>
          <cell r="CU139" t="str">
            <v>0</v>
          </cell>
          <cell r="CV139" t="str">
            <v>0</v>
          </cell>
          <cell r="CW139" t="str">
            <v>0</v>
          </cell>
          <cell r="CX139" t="str">
            <v>0</v>
          </cell>
          <cell r="CY139" t="str">
            <v>0</v>
          </cell>
          <cell r="CZ139" t="str">
            <v>0</v>
          </cell>
          <cell r="DA139" t="str">
            <v>0</v>
          </cell>
          <cell r="DB139" t="str">
            <v>0</v>
          </cell>
          <cell r="DC139" t="str">
            <v>0</v>
          </cell>
          <cell r="DD139" t="str">
            <v>0</v>
          </cell>
          <cell r="DE139" t="str">
            <v>0</v>
          </cell>
          <cell r="DF139" t="str">
            <v>0</v>
          </cell>
          <cell r="DG139" t="str">
            <v>0</v>
          </cell>
          <cell r="DH139" t="str">
            <v>0</v>
          </cell>
          <cell r="DI139" t="str">
            <v>0</v>
          </cell>
          <cell r="DJ139" t="str">
            <v>0</v>
          </cell>
          <cell r="DK139" t="str">
            <v>0</v>
          </cell>
          <cell r="DL139" t="str">
            <v>0</v>
          </cell>
          <cell r="DM139" t="str">
            <v>0</v>
          </cell>
          <cell r="DN139" t="str">
            <v>0</v>
          </cell>
          <cell r="DO139" t="str">
            <v>0</v>
          </cell>
          <cell r="DP139" t="str">
            <v>0</v>
          </cell>
        </row>
        <row r="140">
          <cell r="C140"/>
          <cell r="D140" t="str">
            <v>0</v>
          </cell>
          <cell r="E140" t="str">
            <v>0</v>
          </cell>
          <cell r="F140" t="str">
            <v>0</v>
          </cell>
          <cell r="G140" t="str">
            <v>0</v>
          </cell>
          <cell r="H140" t="str">
            <v>0</v>
          </cell>
          <cell r="I140" t="str">
            <v>0</v>
          </cell>
          <cell r="J140" t="str">
            <v>0</v>
          </cell>
          <cell r="K140" t="str">
            <v>0</v>
          </cell>
          <cell r="L140" t="str">
            <v>0</v>
          </cell>
          <cell r="M140" t="str">
            <v>0</v>
          </cell>
          <cell r="N140" t="str">
            <v>0</v>
          </cell>
          <cell r="O140" t="str">
            <v>0</v>
          </cell>
          <cell r="P140" t="str">
            <v>0</v>
          </cell>
          <cell r="Q140" t="str">
            <v>0</v>
          </cell>
          <cell r="R140" t="str">
            <v>0</v>
          </cell>
          <cell r="S140" t="str">
            <v>0</v>
          </cell>
          <cell r="T140" t="str">
            <v>0</v>
          </cell>
          <cell r="U140" t="str">
            <v>0</v>
          </cell>
          <cell r="V140" t="str">
            <v>0</v>
          </cell>
          <cell r="W140" t="str">
            <v>0</v>
          </cell>
          <cell r="X140" t="str">
            <v>0</v>
          </cell>
          <cell r="Y140" t="str">
            <v>0</v>
          </cell>
          <cell r="Z140" t="str">
            <v>0</v>
          </cell>
          <cell r="AA140" t="str">
            <v>0</v>
          </cell>
          <cell r="AB140" t="str">
            <v>0</v>
          </cell>
          <cell r="AC140" t="str">
            <v>0</v>
          </cell>
          <cell r="AD140" t="str">
            <v>0</v>
          </cell>
          <cell r="AE140" t="str">
            <v>0</v>
          </cell>
          <cell r="AF140" t="str">
            <v>0</v>
          </cell>
          <cell r="AG140" t="str">
            <v>0</v>
          </cell>
          <cell r="AH140" t="str">
            <v>0</v>
          </cell>
          <cell r="AI140" t="str">
            <v>0</v>
          </cell>
          <cell r="AJ140" t="str">
            <v>0</v>
          </cell>
          <cell r="AK140" t="str">
            <v>0</v>
          </cell>
          <cell r="AL140" t="str">
            <v>0</v>
          </cell>
          <cell r="AM140" t="str">
            <v>0</v>
          </cell>
          <cell r="AN140" t="str">
            <v>0</v>
          </cell>
          <cell r="AO140" t="str">
            <v>0</v>
          </cell>
          <cell r="AP140" t="str">
            <v>0</v>
          </cell>
          <cell r="AQ140" t="str">
            <v>0</v>
          </cell>
          <cell r="AR140" t="str">
            <v>0</v>
          </cell>
          <cell r="AS140" t="str">
            <v>0</v>
          </cell>
          <cell r="AT140" t="str">
            <v>0</v>
          </cell>
          <cell r="AU140" t="str">
            <v>0</v>
          </cell>
          <cell r="AV140" t="str">
            <v>0</v>
          </cell>
          <cell r="AW140" t="str">
            <v>0</v>
          </cell>
          <cell r="AX140" t="str">
            <v>0</v>
          </cell>
          <cell r="AY140" t="str">
            <v>0</v>
          </cell>
          <cell r="AZ140" t="str">
            <v>0</v>
          </cell>
          <cell r="BA140" t="str">
            <v>0</v>
          </cell>
          <cell r="BB140" t="str">
            <v>0</v>
          </cell>
          <cell r="BC140" t="str">
            <v>0</v>
          </cell>
          <cell r="BD140" t="str">
            <v>0</v>
          </cell>
          <cell r="BE140" t="str">
            <v>0</v>
          </cell>
          <cell r="BF140" t="str">
            <v>0</v>
          </cell>
          <cell r="BG140" t="str">
            <v>0</v>
          </cell>
          <cell r="BH140" t="str">
            <v>0</v>
          </cell>
          <cell r="BI140" t="str">
            <v>0</v>
          </cell>
          <cell r="BJ140" t="str">
            <v>0</v>
          </cell>
          <cell r="BK140" t="str">
            <v>0</v>
          </cell>
          <cell r="BL140" t="str">
            <v>0</v>
          </cell>
          <cell r="BM140" t="str">
            <v>0</v>
          </cell>
          <cell r="BN140" t="str">
            <v>0</v>
          </cell>
          <cell r="BO140" t="str">
            <v>0</v>
          </cell>
          <cell r="BP140" t="str">
            <v>0</v>
          </cell>
          <cell r="BQ140" t="str">
            <v>0</v>
          </cell>
          <cell r="BR140" t="str">
            <v>0</v>
          </cell>
          <cell r="BS140" t="str">
            <v>0</v>
          </cell>
          <cell r="BT140" t="str">
            <v>0</v>
          </cell>
          <cell r="BU140" t="str">
            <v>0</v>
          </cell>
          <cell r="BV140" t="str">
            <v>0</v>
          </cell>
          <cell r="BW140" t="str">
            <v>0</v>
          </cell>
          <cell r="BX140" t="str">
            <v>0</v>
          </cell>
          <cell r="BY140" t="str">
            <v>0</v>
          </cell>
          <cell r="BZ140" t="str">
            <v>0</v>
          </cell>
          <cell r="CA140" t="str">
            <v>0</v>
          </cell>
          <cell r="CB140" t="str">
            <v>0</v>
          </cell>
          <cell r="CC140" t="str">
            <v>0</v>
          </cell>
          <cell r="CD140" t="str">
            <v>0</v>
          </cell>
          <cell r="CE140" t="str">
            <v>0</v>
          </cell>
          <cell r="CF140" t="str">
            <v>0</v>
          </cell>
          <cell r="CG140" t="str">
            <v>0</v>
          </cell>
          <cell r="CH140" t="str">
            <v>0</v>
          </cell>
          <cell r="CI140" t="str">
            <v>0</v>
          </cell>
          <cell r="CJ140" t="str">
            <v>0</v>
          </cell>
          <cell r="CK140" t="str">
            <v>0</v>
          </cell>
          <cell r="CL140" t="str">
            <v>0</v>
          </cell>
          <cell r="CM140" t="str">
            <v>0</v>
          </cell>
          <cell r="CN140" t="str">
            <v>0</v>
          </cell>
          <cell r="CO140" t="str">
            <v>0</v>
          </cell>
          <cell r="CP140" t="str">
            <v>0</v>
          </cell>
          <cell r="CQ140" t="str">
            <v>0</v>
          </cell>
          <cell r="CR140" t="str">
            <v>0</v>
          </cell>
          <cell r="CS140" t="str">
            <v>0</v>
          </cell>
          <cell r="CT140" t="str">
            <v>0</v>
          </cell>
          <cell r="CU140" t="str">
            <v>0</v>
          </cell>
          <cell r="CV140" t="str">
            <v>0</v>
          </cell>
          <cell r="CW140" t="str">
            <v>0</v>
          </cell>
          <cell r="CX140" t="str">
            <v>0</v>
          </cell>
          <cell r="CY140" t="str">
            <v>0</v>
          </cell>
          <cell r="CZ140" t="str">
            <v>0</v>
          </cell>
          <cell r="DA140" t="str">
            <v>0</v>
          </cell>
          <cell r="DB140" t="str">
            <v>0</v>
          </cell>
          <cell r="DC140" t="str">
            <v>0</v>
          </cell>
          <cell r="DD140" t="str">
            <v>0</v>
          </cell>
          <cell r="DE140" t="str">
            <v>0</v>
          </cell>
          <cell r="DF140" t="str">
            <v>0</v>
          </cell>
          <cell r="DG140" t="str">
            <v>0</v>
          </cell>
          <cell r="DH140" t="str">
            <v>0</v>
          </cell>
          <cell r="DI140" t="str">
            <v>0</v>
          </cell>
          <cell r="DJ140" t="str">
            <v>0</v>
          </cell>
          <cell r="DK140" t="str">
            <v>0</v>
          </cell>
          <cell r="DL140" t="str">
            <v>0</v>
          </cell>
          <cell r="DM140" t="str">
            <v>0</v>
          </cell>
          <cell r="DN140" t="str">
            <v>0</v>
          </cell>
          <cell r="DO140" t="str">
            <v>0</v>
          </cell>
          <cell r="DP140" t="str">
            <v>0</v>
          </cell>
        </row>
        <row r="141">
          <cell r="C141"/>
          <cell r="D141" t="str">
            <v>0</v>
          </cell>
          <cell r="E141" t="str">
            <v>0</v>
          </cell>
          <cell r="F141" t="str">
            <v>0</v>
          </cell>
          <cell r="G141" t="str">
            <v>0</v>
          </cell>
          <cell r="H141" t="str">
            <v>0</v>
          </cell>
          <cell r="I141" t="str">
            <v>0</v>
          </cell>
          <cell r="J141" t="str">
            <v>0</v>
          </cell>
          <cell r="K141" t="str">
            <v>0</v>
          </cell>
          <cell r="L141" t="str">
            <v>0</v>
          </cell>
          <cell r="M141" t="str">
            <v>0</v>
          </cell>
          <cell r="N141" t="str">
            <v>0</v>
          </cell>
          <cell r="O141" t="str">
            <v>0</v>
          </cell>
          <cell r="P141" t="str">
            <v>0</v>
          </cell>
          <cell r="Q141" t="str">
            <v>0</v>
          </cell>
          <cell r="R141" t="str">
            <v>0</v>
          </cell>
          <cell r="S141" t="str">
            <v>0</v>
          </cell>
          <cell r="T141" t="str">
            <v>0</v>
          </cell>
          <cell r="U141" t="str">
            <v>0</v>
          </cell>
          <cell r="V141" t="str">
            <v>0</v>
          </cell>
          <cell r="W141" t="str">
            <v>0</v>
          </cell>
          <cell r="X141" t="str">
            <v>0</v>
          </cell>
          <cell r="Y141" t="str">
            <v>0</v>
          </cell>
          <cell r="Z141" t="str">
            <v>0</v>
          </cell>
          <cell r="AA141" t="str">
            <v>0</v>
          </cell>
          <cell r="AB141" t="str">
            <v>0</v>
          </cell>
          <cell r="AC141" t="str">
            <v>0</v>
          </cell>
          <cell r="AD141" t="str">
            <v>0</v>
          </cell>
          <cell r="AE141" t="str">
            <v>0</v>
          </cell>
          <cell r="AF141" t="str">
            <v>0</v>
          </cell>
          <cell r="AG141" t="str">
            <v>0</v>
          </cell>
          <cell r="AH141" t="str">
            <v>0</v>
          </cell>
          <cell r="AI141" t="str">
            <v>0</v>
          </cell>
          <cell r="AJ141" t="str">
            <v>0</v>
          </cell>
          <cell r="AK141" t="str">
            <v>0</v>
          </cell>
          <cell r="AL141" t="str">
            <v>0</v>
          </cell>
          <cell r="AM141" t="str">
            <v>0</v>
          </cell>
          <cell r="AN141" t="str">
            <v>0</v>
          </cell>
          <cell r="AO141" t="str">
            <v>0</v>
          </cell>
          <cell r="AP141" t="str">
            <v>0</v>
          </cell>
          <cell r="AQ141" t="str">
            <v>0</v>
          </cell>
          <cell r="AR141" t="str">
            <v>0</v>
          </cell>
          <cell r="AS141" t="str">
            <v>0</v>
          </cell>
          <cell r="AT141" t="str">
            <v>0</v>
          </cell>
          <cell r="AU141" t="str">
            <v>0</v>
          </cell>
          <cell r="AV141" t="str">
            <v>0</v>
          </cell>
          <cell r="AW141" t="str">
            <v>0</v>
          </cell>
          <cell r="AX141" t="str">
            <v>0</v>
          </cell>
          <cell r="AY141" t="str">
            <v>0</v>
          </cell>
          <cell r="AZ141" t="str">
            <v>0</v>
          </cell>
          <cell r="BA141" t="str">
            <v>0</v>
          </cell>
          <cell r="BB141" t="str">
            <v>0</v>
          </cell>
          <cell r="BC141" t="str">
            <v>0</v>
          </cell>
          <cell r="BD141" t="str">
            <v>0</v>
          </cell>
          <cell r="BE141" t="str">
            <v>0</v>
          </cell>
          <cell r="BF141" t="str">
            <v>0</v>
          </cell>
          <cell r="BG141" t="str">
            <v>0</v>
          </cell>
          <cell r="BH141" t="str">
            <v>0</v>
          </cell>
          <cell r="BI141" t="str">
            <v>0</v>
          </cell>
          <cell r="BJ141" t="str">
            <v>0</v>
          </cell>
          <cell r="BK141" t="str">
            <v>0</v>
          </cell>
          <cell r="BL141" t="str">
            <v>0</v>
          </cell>
          <cell r="BM141" t="str">
            <v>0</v>
          </cell>
          <cell r="BN141" t="str">
            <v>0</v>
          </cell>
          <cell r="BO141" t="str">
            <v>0</v>
          </cell>
          <cell r="BP141" t="str">
            <v>0</v>
          </cell>
          <cell r="BQ141" t="str">
            <v>0</v>
          </cell>
          <cell r="BR141" t="str">
            <v>0</v>
          </cell>
          <cell r="BS141" t="str">
            <v>0</v>
          </cell>
          <cell r="BT141" t="str">
            <v>0</v>
          </cell>
          <cell r="BU141" t="str">
            <v>0</v>
          </cell>
          <cell r="BV141" t="str">
            <v>0</v>
          </cell>
          <cell r="BW141" t="str">
            <v>0</v>
          </cell>
          <cell r="BX141" t="str">
            <v>0</v>
          </cell>
          <cell r="BY141" t="str">
            <v>0</v>
          </cell>
          <cell r="BZ141" t="str">
            <v>0</v>
          </cell>
          <cell r="CA141" t="str">
            <v>0</v>
          </cell>
          <cell r="CB141" t="str">
            <v>0</v>
          </cell>
          <cell r="CC141" t="str">
            <v>0</v>
          </cell>
          <cell r="CD141" t="str">
            <v>0</v>
          </cell>
          <cell r="CE141" t="str">
            <v>0</v>
          </cell>
          <cell r="CF141" t="str">
            <v>0</v>
          </cell>
          <cell r="CG141" t="str">
            <v>0</v>
          </cell>
          <cell r="CH141" t="str">
            <v>0</v>
          </cell>
          <cell r="CI141" t="str">
            <v>0</v>
          </cell>
          <cell r="CJ141" t="str">
            <v>0</v>
          </cell>
          <cell r="CK141" t="str">
            <v>0</v>
          </cell>
          <cell r="CL141" t="str">
            <v>0</v>
          </cell>
          <cell r="CM141" t="str">
            <v>0</v>
          </cell>
          <cell r="CN141" t="str">
            <v>0</v>
          </cell>
          <cell r="CO141" t="str">
            <v>0</v>
          </cell>
          <cell r="CP141" t="str">
            <v>0</v>
          </cell>
          <cell r="CQ141" t="str">
            <v>0</v>
          </cell>
          <cell r="CR141" t="str">
            <v>0</v>
          </cell>
          <cell r="CS141" t="str">
            <v>0</v>
          </cell>
          <cell r="CT141" t="str">
            <v>0</v>
          </cell>
          <cell r="CU141" t="str">
            <v>0</v>
          </cell>
          <cell r="CV141" t="str">
            <v>0</v>
          </cell>
          <cell r="CW141" t="str">
            <v>0</v>
          </cell>
          <cell r="CX141" t="str">
            <v>0</v>
          </cell>
          <cell r="CY141" t="str">
            <v>0</v>
          </cell>
          <cell r="CZ141" t="str">
            <v>0</v>
          </cell>
          <cell r="DA141" t="str">
            <v>0</v>
          </cell>
          <cell r="DB141" t="str">
            <v>0</v>
          </cell>
          <cell r="DC141" t="str">
            <v>0</v>
          </cell>
          <cell r="DD141" t="str">
            <v>0</v>
          </cell>
          <cell r="DE141" t="str">
            <v>0</v>
          </cell>
          <cell r="DF141" t="str">
            <v>0</v>
          </cell>
          <cell r="DG141" t="str">
            <v>0</v>
          </cell>
          <cell r="DH141" t="str">
            <v>0</v>
          </cell>
          <cell r="DI141" t="str">
            <v>0</v>
          </cell>
          <cell r="DJ141" t="str">
            <v>0</v>
          </cell>
          <cell r="DK141" t="str">
            <v>0</v>
          </cell>
          <cell r="DL141" t="str">
            <v>0</v>
          </cell>
          <cell r="DM141" t="str">
            <v>0</v>
          </cell>
          <cell r="DN141" t="str">
            <v>0</v>
          </cell>
          <cell r="DO141" t="str">
            <v>0</v>
          </cell>
          <cell r="DP141" t="str">
            <v>0</v>
          </cell>
        </row>
        <row r="142">
          <cell r="C142"/>
          <cell r="D142" t="str">
            <v>0</v>
          </cell>
          <cell r="E142" t="str">
            <v>0</v>
          </cell>
          <cell r="F142" t="str">
            <v>0</v>
          </cell>
          <cell r="G142" t="str">
            <v>0</v>
          </cell>
          <cell r="H142" t="str">
            <v>0</v>
          </cell>
          <cell r="I142" t="str">
            <v>0</v>
          </cell>
          <cell r="J142" t="str">
            <v>0</v>
          </cell>
          <cell r="K142" t="str">
            <v>0</v>
          </cell>
          <cell r="L142" t="str">
            <v>0</v>
          </cell>
          <cell r="M142" t="str">
            <v>0</v>
          </cell>
          <cell r="N142" t="str">
            <v>0</v>
          </cell>
          <cell r="O142" t="str">
            <v>0</v>
          </cell>
          <cell r="P142" t="str">
            <v>0</v>
          </cell>
          <cell r="Q142" t="str">
            <v>0</v>
          </cell>
          <cell r="R142" t="str">
            <v>0</v>
          </cell>
          <cell r="S142" t="str">
            <v>0</v>
          </cell>
          <cell r="T142" t="str">
            <v>0</v>
          </cell>
          <cell r="U142" t="str">
            <v>0</v>
          </cell>
          <cell r="V142" t="str">
            <v>0</v>
          </cell>
          <cell r="W142" t="str">
            <v>0</v>
          </cell>
          <cell r="X142" t="str">
            <v>0</v>
          </cell>
          <cell r="Y142" t="str">
            <v>0</v>
          </cell>
          <cell r="Z142" t="str">
            <v>0</v>
          </cell>
          <cell r="AA142" t="str">
            <v>0</v>
          </cell>
          <cell r="AB142" t="str">
            <v>0</v>
          </cell>
          <cell r="AC142" t="str">
            <v>0</v>
          </cell>
          <cell r="AD142" t="str">
            <v>0</v>
          </cell>
          <cell r="AE142" t="str">
            <v>0</v>
          </cell>
          <cell r="AF142" t="str">
            <v>0</v>
          </cell>
          <cell r="AG142" t="str">
            <v>0</v>
          </cell>
          <cell r="AH142" t="str">
            <v>0</v>
          </cell>
          <cell r="AI142" t="str">
            <v>0</v>
          </cell>
          <cell r="AJ142" t="str">
            <v>0</v>
          </cell>
          <cell r="AK142" t="str">
            <v>0</v>
          </cell>
          <cell r="AL142" t="str">
            <v>0</v>
          </cell>
          <cell r="AM142" t="str">
            <v>0</v>
          </cell>
          <cell r="AN142" t="str">
            <v>0</v>
          </cell>
          <cell r="AO142" t="str">
            <v>0</v>
          </cell>
          <cell r="AP142" t="str">
            <v>0</v>
          </cell>
          <cell r="AQ142" t="str">
            <v>0</v>
          </cell>
          <cell r="AR142" t="str">
            <v>0</v>
          </cell>
          <cell r="AS142" t="str">
            <v>0</v>
          </cell>
          <cell r="AT142" t="str">
            <v>0</v>
          </cell>
          <cell r="AU142" t="str">
            <v>0</v>
          </cell>
          <cell r="AV142" t="str">
            <v>0</v>
          </cell>
          <cell r="AW142" t="str">
            <v>0</v>
          </cell>
          <cell r="AX142" t="str">
            <v>0</v>
          </cell>
          <cell r="AY142" t="str">
            <v>0</v>
          </cell>
          <cell r="AZ142" t="str">
            <v>0</v>
          </cell>
          <cell r="BA142" t="str">
            <v>0</v>
          </cell>
          <cell r="BB142" t="str">
            <v>0</v>
          </cell>
          <cell r="BC142" t="str">
            <v>0</v>
          </cell>
          <cell r="BD142" t="str">
            <v>0</v>
          </cell>
          <cell r="BE142" t="str">
            <v>0</v>
          </cell>
          <cell r="BF142" t="str">
            <v>0</v>
          </cell>
          <cell r="BG142" t="str">
            <v>0</v>
          </cell>
          <cell r="BH142" t="str">
            <v>0</v>
          </cell>
          <cell r="BI142" t="str">
            <v>0</v>
          </cell>
          <cell r="BJ142" t="str">
            <v>0</v>
          </cell>
          <cell r="BK142" t="str">
            <v>0</v>
          </cell>
          <cell r="BL142" t="str">
            <v>0</v>
          </cell>
          <cell r="BM142" t="str">
            <v>0</v>
          </cell>
          <cell r="BN142" t="str">
            <v>0</v>
          </cell>
          <cell r="BO142" t="str">
            <v>0</v>
          </cell>
          <cell r="BP142" t="str">
            <v>0</v>
          </cell>
          <cell r="BQ142" t="str">
            <v>0</v>
          </cell>
          <cell r="BR142" t="str">
            <v>0</v>
          </cell>
          <cell r="BS142" t="str">
            <v>0</v>
          </cell>
          <cell r="BT142" t="str">
            <v>0</v>
          </cell>
          <cell r="BU142" t="str">
            <v>0</v>
          </cell>
          <cell r="BV142" t="str">
            <v>0</v>
          </cell>
          <cell r="BW142" t="str">
            <v>0</v>
          </cell>
          <cell r="BX142" t="str">
            <v>0</v>
          </cell>
          <cell r="BY142" t="str">
            <v>0</v>
          </cell>
          <cell r="BZ142" t="str">
            <v>0</v>
          </cell>
          <cell r="CA142" t="str">
            <v>0</v>
          </cell>
          <cell r="CB142" t="str">
            <v>0</v>
          </cell>
          <cell r="CC142" t="str">
            <v>0</v>
          </cell>
          <cell r="CD142" t="str">
            <v>0</v>
          </cell>
          <cell r="CE142" t="str">
            <v>0</v>
          </cell>
          <cell r="CF142" t="str">
            <v>0</v>
          </cell>
          <cell r="CG142" t="str">
            <v>0</v>
          </cell>
          <cell r="CH142" t="str">
            <v>0</v>
          </cell>
          <cell r="CI142" t="str">
            <v>0</v>
          </cell>
          <cell r="CJ142" t="str">
            <v>0</v>
          </cell>
          <cell r="CK142" t="str">
            <v>0</v>
          </cell>
          <cell r="CL142" t="str">
            <v>0</v>
          </cell>
          <cell r="CM142" t="str">
            <v>0</v>
          </cell>
          <cell r="CN142" t="str">
            <v>0</v>
          </cell>
          <cell r="CO142" t="str">
            <v>0</v>
          </cell>
          <cell r="CP142" t="str">
            <v>0</v>
          </cell>
          <cell r="CQ142" t="str">
            <v>0</v>
          </cell>
          <cell r="CR142" t="str">
            <v>0</v>
          </cell>
          <cell r="CS142" t="str">
            <v>0</v>
          </cell>
          <cell r="CT142" t="str">
            <v>0</v>
          </cell>
          <cell r="CU142" t="str">
            <v>0</v>
          </cell>
          <cell r="CV142" t="str">
            <v>0</v>
          </cell>
          <cell r="CW142" t="str">
            <v>0</v>
          </cell>
          <cell r="CX142" t="str">
            <v>0</v>
          </cell>
          <cell r="CY142" t="str">
            <v>0</v>
          </cell>
          <cell r="CZ142" t="str">
            <v>0</v>
          </cell>
          <cell r="DA142" t="str">
            <v>0</v>
          </cell>
          <cell r="DB142" t="str">
            <v>0</v>
          </cell>
          <cell r="DC142" t="str">
            <v>0</v>
          </cell>
          <cell r="DD142" t="str">
            <v>0</v>
          </cell>
          <cell r="DE142" t="str">
            <v>0</v>
          </cell>
          <cell r="DF142" t="str">
            <v>0</v>
          </cell>
          <cell r="DG142" t="str">
            <v>0</v>
          </cell>
          <cell r="DH142" t="str">
            <v>0</v>
          </cell>
          <cell r="DI142" t="str">
            <v>0</v>
          </cell>
          <cell r="DJ142" t="str">
            <v>0</v>
          </cell>
          <cell r="DK142" t="str">
            <v>0</v>
          </cell>
          <cell r="DL142" t="str">
            <v>0</v>
          </cell>
          <cell r="DM142" t="str">
            <v>0</v>
          </cell>
          <cell r="DN142" t="str">
            <v>0</v>
          </cell>
          <cell r="DO142" t="str">
            <v>0</v>
          </cell>
          <cell r="DP142" t="str">
            <v>0</v>
          </cell>
        </row>
        <row r="143">
          <cell r="C143"/>
          <cell r="D143" t="str">
            <v>0</v>
          </cell>
          <cell r="E143" t="str">
            <v>0</v>
          </cell>
          <cell r="F143" t="str">
            <v>0</v>
          </cell>
          <cell r="G143" t="str">
            <v>0</v>
          </cell>
          <cell r="H143" t="str">
            <v>0</v>
          </cell>
          <cell r="I143" t="str">
            <v>0</v>
          </cell>
          <cell r="J143" t="str">
            <v>0</v>
          </cell>
          <cell r="K143" t="str">
            <v>0</v>
          </cell>
          <cell r="L143" t="str">
            <v>0</v>
          </cell>
          <cell r="M143" t="str">
            <v>0</v>
          </cell>
          <cell r="N143" t="str">
            <v>0</v>
          </cell>
          <cell r="O143" t="str">
            <v>0</v>
          </cell>
          <cell r="P143" t="str">
            <v>0</v>
          </cell>
          <cell r="Q143" t="str">
            <v>0</v>
          </cell>
          <cell r="R143" t="str">
            <v>0</v>
          </cell>
          <cell r="S143" t="str">
            <v>0</v>
          </cell>
          <cell r="T143" t="str">
            <v>0</v>
          </cell>
          <cell r="U143" t="str">
            <v>0</v>
          </cell>
          <cell r="V143" t="str">
            <v>0</v>
          </cell>
          <cell r="W143" t="str">
            <v>0</v>
          </cell>
          <cell r="X143" t="str">
            <v>0</v>
          </cell>
          <cell r="Y143" t="str">
            <v>0</v>
          </cell>
          <cell r="Z143" t="str">
            <v>0</v>
          </cell>
          <cell r="AA143" t="str">
            <v>0</v>
          </cell>
          <cell r="AB143" t="str">
            <v>0</v>
          </cell>
          <cell r="AC143" t="str">
            <v>0</v>
          </cell>
          <cell r="AD143" t="str">
            <v>0</v>
          </cell>
          <cell r="AE143" t="str">
            <v>0</v>
          </cell>
          <cell r="AF143" t="str">
            <v>0</v>
          </cell>
          <cell r="AG143" t="str">
            <v>0</v>
          </cell>
          <cell r="AH143" t="str">
            <v>0</v>
          </cell>
          <cell r="AI143" t="str">
            <v>0</v>
          </cell>
          <cell r="AJ143" t="str">
            <v>0</v>
          </cell>
          <cell r="AK143" t="str">
            <v>0</v>
          </cell>
          <cell r="AL143" t="str">
            <v>0</v>
          </cell>
          <cell r="AM143" t="str">
            <v>0</v>
          </cell>
          <cell r="AN143" t="str">
            <v>0</v>
          </cell>
          <cell r="AO143" t="str">
            <v>0</v>
          </cell>
          <cell r="AP143" t="str">
            <v>0</v>
          </cell>
          <cell r="AQ143" t="str">
            <v>0</v>
          </cell>
          <cell r="AR143" t="str">
            <v>0</v>
          </cell>
          <cell r="AS143" t="str">
            <v>0</v>
          </cell>
          <cell r="AT143" t="str">
            <v>0</v>
          </cell>
          <cell r="AU143" t="str">
            <v>0</v>
          </cell>
          <cell r="AV143" t="str">
            <v>0</v>
          </cell>
          <cell r="AW143" t="str">
            <v>0</v>
          </cell>
          <cell r="AX143" t="str">
            <v>0</v>
          </cell>
          <cell r="AY143" t="str">
            <v>0</v>
          </cell>
          <cell r="AZ143" t="str">
            <v>0</v>
          </cell>
          <cell r="BA143" t="str">
            <v>0</v>
          </cell>
          <cell r="BB143" t="str">
            <v>0</v>
          </cell>
          <cell r="BC143" t="str">
            <v>0</v>
          </cell>
          <cell r="BD143" t="str">
            <v>0</v>
          </cell>
          <cell r="BE143" t="str">
            <v>0</v>
          </cell>
          <cell r="BF143" t="str">
            <v>0</v>
          </cell>
          <cell r="BG143" t="str">
            <v>0</v>
          </cell>
          <cell r="BH143" t="str">
            <v>0</v>
          </cell>
          <cell r="BI143" t="str">
            <v>0</v>
          </cell>
          <cell r="BJ143" t="str">
            <v>0</v>
          </cell>
          <cell r="BK143" t="str">
            <v>0</v>
          </cell>
          <cell r="BL143" t="str">
            <v>0</v>
          </cell>
          <cell r="BM143" t="str">
            <v>0</v>
          </cell>
          <cell r="BN143" t="str">
            <v>0</v>
          </cell>
          <cell r="BO143" t="str">
            <v>0</v>
          </cell>
          <cell r="BP143" t="str">
            <v>0</v>
          </cell>
          <cell r="BQ143" t="str">
            <v>0</v>
          </cell>
          <cell r="BR143" t="str">
            <v>0</v>
          </cell>
          <cell r="BS143" t="str">
            <v>0</v>
          </cell>
          <cell r="BT143" t="str">
            <v>0</v>
          </cell>
          <cell r="BU143" t="str">
            <v>0</v>
          </cell>
          <cell r="BV143" t="str">
            <v>0</v>
          </cell>
          <cell r="BW143" t="str">
            <v>0</v>
          </cell>
          <cell r="BX143" t="str">
            <v>0</v>
          </cell>
          <cell r="BY143" t="str">
            <v>0</v>
          </cell>
          <cell r="BZ143" t="str">
            <v>0</v>
          </cell>
          <cell r="CA143" t="str">
            <v>0</v>
          </cell>
          <cell r="CB143" t="str">
            <v>0</v>
          </cell>
          <cell r="CC143" t="str">
            <v>0</v>
          </cell>
          <cell r="CD143" t="str">
            <v>0</v>
          </cell>
          <cell r="CE143" t="str">
            <v>0</v>
          </cell>
          <cell r="CF143" t="str">
            <v>0</v>
          </cell>
          <cell r="CG143" t="str">
            <v>0</v>
          </cell>
          <cell r="CH143" t="str">
            <v>0</v>
          </cell>
          <cell r="CI143" t="str">
            <v>0</v>
          </cell>
          <cell r="CJ143" t="str">
            <v>0</v>
          </cell>
          <cell r="CK143" t="str">
            <v>0</v>
          </cell>
          <cell r="CL143" t="str">
            <v>0</v>
          </cell>
          <cell r="CM143" t="str">
            <v>0</v>
          </cell>
          <cell r="CN143" t="str">
            <v>0</v>
          </cell>
          <cell r="CO143" t="str">
            <v>0</v>
          </cell>
          <cell r="CP143" t="str">
            <v>0</v>
          </cell>
          <cell r="CQ143" t="str">
            <v>0</v>
          </cell>
          <cell r="CR143" t="str">
            <v>0</v>
          </cell>
          <cell r="CS143" t="str">
            <v>0</v>
          </cell>
          <cell r="CT143" t="str">
            <v>0</v>
          </cell>
          <cell r="CU143" t="str">
            <v>0</v>
          </cell>
          <cell r="CV143" t="str">
            <v>0</v>
          </cell>
          <cell r="CW143" t="str">
            <v>0</v>
          </cell>
          <cell r="CX143" t="str">
            <v>0</v>
          </cell>
          <cell r="CY143" t="str">
            <v>0</v>
          </cell>
          <cell r="CZ143" t="str">
            <v>0</v>
          </cell>
          <cell r="DA143" t="str">
            <v>0</v>
          </cell>
          <cell r="DB143" t="str">
            <v>0</v>
          </cell>
          <cell r="DC143" t="str">
            <v>0</v>
          </cell>
          <cell r="DD143" t="str">
            <v>0</v>
          </cell>
          <cell r="DE143" t="str">
            <v>0</v>
          </cell>
          <cell r="DF143" t="str">
            <v>0</v>
          </cell>
          <cell r="DG143" t="str">
            <v>0</v>
          </cell>
          <cell r="DH143" t="str">
            <v>0</v>
          </cell>
          <cell r="DI143" t="str">
            <v>0</v>
          </cell>
          <cell r="DJ143" t="str">
            <v>0</v>
          </cell>
          <cell r="DK143" t="str">
            <v>0</v>
          </cell>
          <cell r="DL143" t="str">
            <v>0</v>
          </cell>
          <cell r="DM143" t="str">
            <v>0</v>
          </cell>
          <cell r="DN143" t="str">
            <v>0</v>
          </cell>
          <cell r="DO143" t="str">
            <v>0</v>
          </cell>
          <cell r="DP143" t="str">
            <v>0</v>
          </cell>
        </row>
        <row r="144">
          <cell r="C144"/>
          <cell r="D144" t="str">
            <v>0</v>
          </cell>
          <cell r="E144" t="str">
            <v>0</v>
          </cell>
          <cell r="F144" t="str">
            <v>0</v>
          </cell>
          <cell r="G144" t="str">
            <v>0</v>
          </cell>
          <cell r="H144" t="str">
            <v>0</v>
          </cell>
          <cell r="I144" t="str">
            <v>0</v>
          </cell>
          <cell r="J144" t="str">
            <v>0</v>
          </cell>
          <cell r="K144" t="str">
            <v>0</v>
          </cell>
          <cell r="L144" t="str">
            <v>0</v>
          </cell>
          <cell r="M144" t="str">
            <v>0</v>
          </cell>
          <cell r="N144" t="str">
            <v>0</v>
          </cell>
          <cell r="O144" t="str">
            <v>0</v>
          </cell>
          <cell r="P144" t="str">
            <v>0</v>
          </cell>
          <cell r="Q144" t="str">
            <v>0</v>
          </cell>
          <cell r="R144" t="str">
            <v>0</v>
          </cell>
          <cell r="S144" t="str">
            <v>0</v>
          </cell>
          <cell r="T144" t="str">
            <v>0</v>
          </cell>
          <cell r="U144" t="str">
            <v>0</v>
          </cell>
          <cell r="V144" t="str">
            <v>0</v>
          </cell>
          <cell r="W144" t="str">
            <v>0</v>
          </cell>
          <cell r="X144" t="str">
            <v>0</v>
          </cell>
          <cell r="Y144" t="str">
            <v>0</v>
          </cell>
          <cell r="Z144" t="str">
            <v>0</v>
          </cell>
          <cell r="AA144" t="str">
            <v>0</v>
          </cell>
          <cell r="AB144" t="str">
            <v>0</v>
          </cell>
          <cell r="AC144" t="str">
            <v>0</v>
          </cell>
          <cell r="AD144" t="str">
            <v>0</v>
          </cell>
          <cell r="AE144" t="str">
            <v>0</v>
          </cell>
          <cell r="AF144" t="str">
            <v>0</v>
          </cell>
          <cell r="AG144" t="str">
            <v>0</v>
          </cell>
          <cell r="AH144" t="str">
            <v>0</v>
          </cell>
          <cell r="AI144" t="str">
            <v>0</v>
          </cell>
          <cell r="AJ144" t="str">
            <v>0</v>
          </cell>
          <cell r="AK144" t="str">
            <v>0</v>
          </cell>
          <cell r="AL144" t="str">
            <v>0</v>
          </cell>
          <cell r="AM144" t="str">
            <v>0</v>
          </cell>
          <cell r="AN144" t="str">
            <v>0</v>
          </cell>
          <cell r="AO144" t="str">
            <v>0</v>
          </cell>
          <cell r="AP144" t="str">
            <v>0</v>
          </cell>
          <cell r="AQ144" t="str">
            <v>0</v>
          </cell>
          <cell r="AR144" t="str">
            <v>0</v>
          </cell>
          <cell r="AS144" t="str">
            <v>0</v>
          </cell>
          <cell r="AT144" t="str">
            <v>0</v>
          </cell>
          <cell r="AU144" t="str">
            <v>0</v>
          </cell>
          <cell r="AV144" t="str">
            <v>0</v>
          </cell>
          <cell r="AW144" t="str">
            <v>0</v>
          </cell>
          <cell r="AX144" t="str">
            <v>0</v>
          </cell>
          <cell r="AY144" t="str">
            <v>0</v>
          </cell>
          <cell r="AZ144" t="str">
            <v>0</v>
          </cell>
          <cell r="BA144" t="str">
            <v>0</v>
          </cell>
          <cell r="BB144" t="str">
            <v>0</v>
          </cell>
          <cell r="BC144" t="str">
            <v>0</v>
          </cell>
          <cell r="BD144" t="str">
            <v>0</v>
          </cell>
          <cell r="BE144" t="str">
            <v>0</v>
          </cell>
          <cell r="BF144" t="str">
            <v>0</v>
          </cell>
          <cell r="BG144" t="str">
            <v>0</v>
          </cell>
          <cell r="BH144" t="str">
            <v>0</v>
          </cell>
          <cell r="BI144" t="str">
            <v>0</v>
          </cell>
          <cell r="BJ144" t="str">
            <v>0</v>
          </cell>
          <cell r="BK144" t="str">
            <v>0</v>
          </cell>
          <cell r="BL144" t="str">
            <v>0</v>
          </cell>
          <cell r="BM144" t="str">
            <v>0</v>
          </cell>
          <cell r="BN144" t="str">
            <v>0</v>
          </cell>
          <cell r="BO144" t="str">
            <v>0</v>
          </cell>
          <cell r="BP144" t="str">
            <v>0</v>
          </cell>
          <cell r="BQ144" t="str">
            <v>0</v>
          </cell>
          <cell r="BR144" t="str">
            <v>0</v>
          </cell>
          <cell r="BS144" t="str">
            <v>0</v>
          </cell>
          <cell r="BT144" t="str">
            <v>0</v>
          </cell>
          <cell r="BU144" t="str">
            <v>0</v>
          </cell>
          <cell r="BV144" t="str">
            <v>0</v>
          </cell>
          <cell r="BW144" t="str">
            <v>0</v>
          </cell>
          <cell r="BX144" t="str">
            <v>0</v>
          </cell>
          <cell r="BY144" t="str">
            <v>0</v>
          </cell>
          <cell r="BZ144" t="str">
            <v>0</v>
          </cell>
          <cell r="CA144" t="str">
            <v>0</v>
          </cell>
          <cell r="CB144" t="str">
            <v>0</v>
          </cell>
          <cell r="CC144" t="str">
            <v>0</v>
          </cell>
          <cell r="CD144" t="str">
            <v>0</v>
          </cell>
          <cell r="CE144" t="str">
            <v>0</v>
          </cell>
          <cell r="CF144" t="str">
            <v>0</v>
          </cell>
          <cell r="CG144" t="str">
            <v>0</v>
          </cell>
          <cell r="CH144" t="str">
            <v>0</v>
          </cell>
          <cell r="CI144" t="str">
            <v>0</v>
          </cell>
          <cell r="CJ144" t="str">
            <v>0</v>
          </cell>
          <cell r="CK144" t="str">
            <v>0</v>
          </cell>
          <cell r="CL144" t="str">
            <v>0</v>
          </cell>
          <cell r="CM144" t="str">
            <v>0</v>
          </cell>
          <cell r="CN144" t="str">
            <v>0</v>
          </cell>
          <cell r="CO144" t="str">
            <v>0</v>
          </cell>
          <cell r="CP144" t="str">
            <v>0</v>
          </cell>
          <cell r="CQ144" t="str">
            <v>0</v>
          </cell>
          <cell r="CR144" t="str">
            <v>0</v>
          </cell>
          <cell r="CS144" t="str">
            <v>0</v>
          </cell>
          <cell r="CT144" t="str">
            <v>0</v>
          </cell>
          <cell r="CU144" t="str">
            <v>0</v>
          </cell>
          <cell r="CV144" t="str">
            <v>0</v>
          </cell>
          <cell r="CW144" t="str">
            <v>0</v>
          </cell>
          <cell r="CX144" t="str">
            <v>0</v>
          </cell>
          <cell r="CY144" t="str">
            <v>0</v>
          </cell>
          <cell r="CZ144" t="str">
            <v>0</v>
          </cell>
          <cell r="DA144" t="str">
            <v>0</v>
          </cell>
          <cell r="DB144" t="str">
            <v>0</v>
          </cell>
          <cell r="DC144" t="str">
            <v>0</v>
          </cell>
          <cell r="DD144" t="str">
            <v>0</v>
          </cell>
          <cell r="DE144" t="str">
            <v>0</v>
          </cell>
          <cell r="DF144" t="str">
            <v>0</v>
          </cell>
          <cell r="DG144" t="str">
            <v>0</v>
          </cell>
          <cell r="DH144" t="str">
            <v>0</v>
          </cell>
          <cell r="DI144" t="str">
            <v>0</v>
          </cell>
          <cell r="DJ144" t="str">
            <v>0</v>
          </cell>
          <cell r="DK144" t="str">
            <v>0</v>
          </cell>
          <cell r="DL144" t="str">
            <v>0</v>
          </cell>
          <cell r="DM144" t="str">
            <v>0</v>
          </cell>
          <cell r="DN144" t="str">
            <v>0</v>
          </cell>
          <cell r="DO144" t="str">
            <v>0</v>
          </cell>
          <cell r="DP144" t="str">
            <v>0</v>
          </cell>
        </row>
        <row r="145">
          <cell r="C145"/>
          <cell r="D145" t="str">
            <v>0</v>
          </cell>
          <cell r="E145" t="str">
            <v>0</v>
          </cell>
          <cell r="F145" t="str">
            <v>0</v>
          </cell>
          <cell r="G145" t="str">
            <v>0</v>
          </cell>
          <cell r="H145" t="str">
            <v>0</v>
          </cell>
          <cell r="I145" t="str">
            <v>0</v>
          </cell>
          <cell r="J145" t="str">
            <v>0</v>
          </cell>
          <cell r="K145" t="str">
            <v>0</v>
          </cell>
          <cell r="L145" t="str">
            <v>0</v>
          </cell>
          <cell r="M145" t="str">
            <v>0</v>
          </cell>
          <cell r="N145" t="str">
            <v>0</v>
          </cell>
          <cell r="O145" t="str">
            <v>0</v>
          </cell>
          <cell r="P145" t="str">
            <v>0</v>
          </cell>
          <cell r="Q145" t="str">
            <v>0</v>
          </cell>
          <cell r="R145" t="str">
            <v>0</v>
          </cell>
          <cell r="S145" t="str">
            <v>0</v>
          </cell>
          <cell r="T145" t="str">
            <v>0</v>
          </cell>
          <cell r="U145" t="str">
            <v>0</v>
          </cell>
          <cell r="V145" t="str">
            <v>0</v>
          </cell>
          <cell r="W145" t="str">
            <v>0</v>
          </cell>
          <cell r="X145" t="str">
            <v>0</v>
          </cell>
          <cell r="Y145" t="str">
            <v>0</v>
          </cell>
          <cell r="Z145" t="str">
            <v>0</v>
          </cell>
          <cell r="AA145" t="str">
            <v>0</v>
          </cell>
          <cell r="AB145" t="str">
            <v>0</v>
          </cell>
          <cell r="AC145" t="str">
            <v>0</v>
          </cell>
          <cell r="AD145" t="str">
            <v>0</v>
          </cell>
          <cell r="AE145" t="str">
            <v>0</v>
          </cell>
          <cell r="AF145" t="str">
            <v>0</v>
          </cell>
          <cell r="AG145" t="str">
            <v>0</v>
          </cell>
          <cell r="AH145" t="str">
            <v>0</v>
          </cell>
          <cell r="AI145" t="str">
            <v>0</v>
          </cell>
          <cell r="AJ145" t="str">
            <v>0</v>
          </cell>
          <cell r="AK145" t="str">
            <v>0</v>
          </cell>
          <cell r="AL145" t="str">
            <v>0</v>
          </cell>
          <cell r="AM145" t="str">
            <v>0</v>
          </cell>
          <cell r="AN145" t="str">
            <v>0</v>
          </cell>
          <cell r="AO145" t="str">
            <v>0</v>
          </cell>
          <cell r="AP145" t="str">
            <v>0</v>
          </cell>
          <cell r="AQ145" t="str">
            <v>0</v>
          </cell>
          <cell r="AR145" t="str">
            <v>0</v>
          </cell>
          <cell r="AS145" t="str">
            <v>0</v>
          </cell>
          <cell r="AT145" t="str">
            <v>0</v>
          </cell>
          <cell r="AU145" t="str">
            <v>0</v>
          </cell>
          <cell r="AV145" t="str">
            <v>0</v>
          </cell>
          <cell r="AW145" t="str">
            <v>0</v>
          </cell>
          <cell r="AX145" t="str">
            <v>0</v>
          </cell>
          <cell r="AY145" t="str">
            <v>0</v>
          </cell>
          <cell r="AZ145" t="str">
            <v>0</v>
          </cell>
          <cell r="BA145" t="str">
            <v>0</v>
          </cell>
          <cell r="BB145" t="str">
            <v>0</v>
          </cell>
          <cell r="BC145" t="str">
            <v>0</v>
          </cell>
          <cell r="BD145" t="str">
            <v>0</v>
          </cell>
          <cell r="BE145" t="str">
            <v>0</v>
          </cell>
          <cell r="BF145" t="str">
            <v>0</v>
          </cell>
          <cell r="BG145" t="str">
            <v>0</v>
          </cell>
          <cell r="BH145" t="str">
            <v>0</v>
          </cell>
          <cell r="BI145" t="str">
            <v>0</v>
          </cell>
          <cell r="BJ145" t="str">
            <v>0</v>
          </cell>
          <cell r="BK145" t="str">
            <v>0</v>
          </cell>
          <cell r="BL145" t="str">
            <v>0</v>
          </cell>
          <cell r="BM145" t="str">
            <v>0</v>
          </cell>
          <cell r="BN145" t="str">
            <v>0</v>
          </cell>
          <cell r="BO145" t="str">
            <v>0</v>
          </cell>
          <cell r="BP145" t="str">
            <v>0</v>
          </cell>
          <cell r="BQ145" t="str">
            <v>0</v>
          </cell>
          <cell r="BR145" t="str">
            <v>0</v>
          </cell>
          <cell r="BS145" t="str">
            <v>0</v>
          </cell>
          <cell r="BT145" t="str">
            <v>0</v>
          </cell>
          <cell r="BU145" t="str">
            <v>0</v>
          </cell>
          <cell r="BV145" t="str">
            <v>0</v>
          </cell>
          <cell r="BW145" t="str">
            <v>0</v>
          </cell>
          <cell r="BX145" t="str">
            <v>0</v>
          </cell>
          <cell r="BY145" t="str">
            <v>0</v>
          </cell>
          <cell r="BZ145" t="str">
            <v>0</v>
          </cell>
          <cell r="CA145" t="str">
            <v>0</v>
          </cell>
          <cell r="CB145" t="str">
            <v>0</v>
          </cell>
          <cell r="CC145" t="str">
            <v>0</v>
          </cell>
          <cell r="CD145" t="str">
            <v>0</v>
          </cell>
          <cell r="CE145" t="str">
            <v>0</v>
          </cell>
          <cell r="CF145" t="str">
            <v>0</v>
          </cell>
          <cell r="CG145" t="str">
            <v>0</v>
          </cell>
          <cell r="CH145" t="str">
            <v>0</v>
          </cell>
          <cell r="CI145" t="str">
            <v>0</v>
          </cell>
          <cell r="CJ145" t="str">
            <v>0</v>
          </cell>
          <cell r="CK145" t="str">
            <v>0</v>
          </cell>
          <cell r="CL145" t="str">
            <v>0</v>
          </cell>
          <cell r="CM145" t="str">
            <v>0</v>
          </cell>
          <cell r="CN145" t="str">
            <v>0</v>
          </cell>
          <cell r="CO145" t="str">
            <v>0</v>
          </cell>
          <cell r="CP145" t="str">
            <v>0</v>
          </cell>
          <cell r="CQ145" t="str">
            <v>0</v>
          </cell>
          <cell r="CR145" t="str">
            <v>0</v>
          </cell>
          <cell r="CS145" t="str">
            <v>0</v>
          </cell>
          <cell r="CT145" t="str">
            <v>0</v>
          </cell>
          <cell r="CU145" t="str">
            <v>0</v>
          </cell>
          <cell r="CV145" t="str">
            <v>0</v>
          </cell>
          <cell r="CW145" t="str">
            <v>0</v>
          </cell>
          <cell r="CX145" t="str">
            <v>0</v>
          </cell>
          <cell r="CY145" t="str">
            <v>0</v>
          </cell>
          <cell r="CZ145" t="str">
            <v>0</v>
          </cell>
          <cell r="DA145" t="str">
            <v>0</v>
          </cell>
          <cell r="DB145" t="str">
            <v>0</v>
          </cell>
          <cell r="DC145" t="str">
            <v>0</v>
          </cell>
          <cell r="DD145" t="str">
            <v>0</v>
          </cell>
          <cell r="DE145" t="str">
            <v>0</v>
          </cell>
          <cell r="DF145" t="str">
            <v>0</v>
          </cell>
          <cell r="DG145" t="str">
            <v>0</v>
          </cell>
          <cell r="DH145" t="str">
            <v>0</v>
          </cell>
          <cell r="DI145" t="str">
            <v>0</v>
          </cell>
          <cell r="DJ145" t="str">
            <v>0</v>
          </cell>
          <cell r="DK145" t="str">
            <v>0</v>
          </cell>
          <cell r="DL145" t="str">
            <v>0</v>
          </cell>
          <cell r="DM145" t="str">
            <v>0</v>
          </cell>
          <cell r="DN145" t="str">
            <v>0</v>
          </cell>
          <cell r="DO145" t="str">
            <v>0</v>
          </cell>
          <cell r="DP145" t="str">
            <v>0</v>
          </cell>
        </row>
        <row r="146">
          <cell r="C146"/>
          <cell r="D146" t="str">
            <v>0</v>
          </cell>
          <cell r="E146" t="str">
            <v>0</v>
          </cell>
          <cell r="F146" t="str">
            <v>0</v>
          </cell>
          <cell r="G146" t="str">
            <v>0</v>
          </cell>
          <cell r="H146" t="str">
            <v>0</v>
          </cell>
          <cell r="I146" t="str">
            <v>0</v>
          </cell>
          <cell r="J146" t="str">
            <v>0</v>
          </cell>
          <cell r="K146" t="str">
            <v>0</v>
          </cell>
          <cell r="L146" t="str">
            <v>0</v>
          </cell>
          <cell r="M146" t="str">
            <v>0</v>
          </cell>
          <cell r="N146" t="str">
            <v>0</v>
          </cell>
          <cell r="O146" t="str">
            <v>0</v>
          </cell>
          <cell r="P146" t="str">
            <v>0</v>
          </cell>
          <cell r="Q146" t="str">
            <v>0</v>
          </cell>
          <cell r="R146" t="str">
            <v>0</v>
          </cell>
          <cell r="S146" t="str">
            <v>0</v>
          </cell>
          <cell r="T146" t="str">
            <v>0</v>
          </cell>
          <cell r="U146" t="str">
            <v>0</v>
          </cell>
          <cell r="V146" t="str">
            <v>0</v>
          </cell>
          <cell r="W146" t="str">
            <v>0</v>
          </cell>
          <cell r="X146" t="str">
            <v>0</v>
          </cell>
          <cell r="Y146" t="str">
            <v>0</v>
          </cell>
          <cell r="Z146" t="str">
            <v>0</v>
          </cell>
          <cell r="AA146" t="str">
            <v>0</v>
          </cell>
          <cell r="AB146" t="str">
            <v>0</v>
          </cell>
          <cell r="AC146" t="str">
            <v>0</v>
          </cell>
          <cell r="AD146" t="str">
            <v>0</v>
          </cell>
          <cell r="AE146" t="str">
            <v>0</v>
          </cell>
          <cell r="AF146" t="str">
            <v>0</v>
          </cell>
          <cell r="AG146" t="str">
            <v>0</v>
          </cell>
          <cell r="AH146" t="str">
            <v>0</v>
          </cell>
          <cell r="AI146" t="str">
            <v>0</v>
          </cell>
          <cell r="AJ146" t="str">
            <v>0</v>
          </cell>
          <cell r="AK146" t="str">
            <v>0</v>
          </cell>
          <cell r="AL146" t="str">
            <v>0</v>
          </cell>
          <cell r="AM146" t="str">
            <v>0</v>
          </cell>
          <cell r="AN146" t="str">
            <v>0</v>
          </cell>
          <cell r="AO146" t="str">
            <v>0</v>
          </cell>
          <cell r="AP146" t="str">
            <v>0</v>
          </cell>
          <cell r="AQ146" t="str">
            <v>0</v>
          </cell>
          <cell r="AR146" t="str">
            <v>0</v>
          </cell>
          <cell r="AS146" t="str">
            <v>0</v>
          </cell>
          <cell r="AT146" t="str">
            <v>0</v>
          </cell>
          <cell r="AU146" t="str">
            <v>0</v>
          </cell>
          <cell r="AV146" t="str">
            <v>0</v>
          </cell>
          <cell r="AW146" t="str">
            <v>0</v>
          </cell>
          <cell r="AX146" t="str">
            <v>0</v>
          </cell>
          <cell r="AY146" t="str">
            <v>0</v>
          </cell>
          <cell r="AZ146" t="str">
            <v>0</v>
          </cell>
          <cell r="BA146" t="str">
            <v>0</v>
          </cell>
          <cell r="BB146" t="str">
            <v>0</v>
          </cell>
          <cell r="BC146" t="str">
            <v>0</v>
          </cell>
          <cell r="BD146" t="str">
            <v>0</v>
          </cell>
          <cell r="BE146" t="str">
            <v>0</v>
          </cell>
          <cell r="BF146" t="str">
            <v>0</v>
          </cell>
          <cell r="BG146" t="str">
            <v>0</v>
          </cell>
          <cell r="BH146" t="str">
            <v>0</v>
          </cell>
          <cell r="BI146" t="str">
            <v>0</v>
          </cell>
          <cell r="BJ146" t="str">
            <v>0</v>
          </cell>
          <cell r="BK146" t="str">
            <v>0</v>
          </cell>
          <cell r="BL146" t="str">
            <v>0</v>
          </cell>
          <cell r="BM146" t="str">
            <v>0</v>
          </cell>
          <cell r="BN146" t="str">
            <v>0</v>
          </cell>
          <cell r="BO146" t="str">
            <v>0</v>
          </cell>
          <cell r="BP146" t="str">
            <v>0</v>
          </cell>
          <cell r="BQ146" t="str">
            <v>0</v>
          </cell>
          <cell r="BR146" t="str">
            <v>0</v>
          </cell>
          <cell r="BS146" t="str">
            <v>0</v>
          </cell>
          <cell r="BT146" t="str">
            <v>0</v>
          </cell>
          <cell r="BU146" t="str">
            <v>0</v>
          </cell>
          <cell r="BV146" t="str">
            <v>0</v>
          </cell>
          <cell r="BW146" t="str">
            <v>0</v>
          </cell>
          <cell r="BX146" t="str">
            <v>0</v>
          </cell>
          <cell r="BY146" t="str">
            <v>0</v>
          </cell>
          <cell r="BZ146" t="str">
            <v>0</v>
          </cell>
          <cell r="CA146" t="str">
            <v>0</v>
          </cell>
          <cell r="CB146" t="str">
            <v>0</v>
          </cell>
          <cell r="CC146" t="str">
            <v>0</v>
          </cell>
          <cell r="CD146" t="str">
            <v>0</v>
          </cell>
          <cell r="CE146" t="str">
            <v>0</v>
          </cell>
          <cell r="CF146" t="str">
            <v>0</v>
          </cell>
          <cell r="CG146" t="str">
            <v>0</v>
          </cell>
          <cell r="CH146" t="str">
            <v>0</v>
          </cell>
          <cell r="CI146" t="str">
            <v>0</v>
          </cell>
          <cell r="CJ146" t="str">
            <v>0</v>
          </cell>
          <cell r="CK146" t="str">
            <v>0</v>
          </cell>
          <cell r="CL146" t="str">
            <v>0</v>
          </cell>
          <cell r="CM146" t="str">
            <v>0</v>
          </cell>
          <cell r="CN146" t="str">
            <v>0</v>
          </cell>
          <cell r="CO146" t="str">
            <v>0</v>
          </cell>
          <cell r="CP146" t="str">
            <v>0</v>
          </cell>
          <cell r="CQ146" t="str">
            <v>0</v>
          </cell>
          <cell r="CR146" t="str">
            <v>0</v>
          </cell>
          <cell r="CS146" t="str">
            <v>0</v>
          </cell>
          <cell r="CT146" t="str">
            <v>0</v>
          </cell>
          <cell r="CU146" t="str">
            <v>0</v>
          </cell>
          <cell r="CV146" t="str">
            <v>0</v>
          </cell>
          <cell r="CW146" t="str">
            <v>0</v>
          </cell>
          <cell r="CX146" t="str">
            <v>0</v>
          </cell>
          <cell r="CY146" t="str">
            <v>0</v>
          </cell>
          <cell r="CZ146" t="str">
            <v>0</v>
          </cell>
          <cell r="DA146" t="str">
            <v>0</v>
          </cell>
          <cell r="DB146" t="str">
            <v>0</v>
          </cell>
          <cell r="DC146" t="str">
            <v>0</v>
          </cell>
          <cell r="DD146" t="str">
            <v>0</v>
          </cell>
          <cell r="DE146" t="str">
            <v>0</v>
          </cell>
          <cell r="DF146" t="str">
            <v>0</v>
          </cell>
          <cell r="DG146" t="str">
            <v>0</v>
          </cell>
          <cell r="DH146" t="str">
            <v>0</v>
          </cell>
          <cell r="DI146" t="str">
            <v>0</v>
          </cell>
          <cell r="DJ146" t="str">
            <v>0</v>
          </cell>
          <cell r="DK146" t="str">
            <v>0</v>
          </cell>
          <cell r="DL146" t="str">
            <v>0</v>
          </cell>
          <cell r="DM146" t="str">
            <v>0</v>
          </cell>
          <cell r="DN146" t="str">
            <v>0</v>
          </cell>
          <cell r="DO146" t="str">
            <v>0</v>
          </cell>
          <cell r="DP146" t="str">
            <v>0</v>
          </cell>
        </row>
        <row r="147">
          <cell r="C147"/>
          <cell r="D147" t="str">
            <v>0</v>
          </cell>
          <cell r="E147" t="str">
            <v>0</v>
          </cell>
          <cell r="F147" t="str">
            <v>0</v>
          </cell>
          <cell r="G147" t="str">
            <v>0</v>
          </cell>
          <cell r="H147" t="str">
            <v>0</v>
          </cell>
          <cell r="I147" t="str">
            <v>0</v>
          </cell>
          <cell r="J147" t="str">
            <v>0</v>
          </cell>
          <cell r="K147" t="str">
            <v>0</v>
          </cell>
          <cell r="L147" t="str">
            <v>0</v>
          </cell>
          <cell r="M147" t="str">
            <v>0</v>
          </cell>
          <cell r="N147" t="str">
            <v>0</v>
          </cell>
          <cell r="O147" t="str">
            <v>0</v>
          </cell>
          <cell r="P147" t="str">
            <v>0</v>
          </cell>
          <cell r="Q147" t="str">
            <v>0</v>
          </cell>
          <cell r="R147" t="str">
            <v>0</v>
          </cell>
          <cell r="S147" t="str">
            <v>0</v>
          </cell>
          <cell r="T147" t="str">
            <v>0</v>
          </cell>
          <cell r="U147" t="str">
            <v>0</v>
          </cell>
          <cell r="V147" t="str">
            <v>0</v>
          </cell>
          <cell r="W147" t="str">
            <v>0</v>
          </cell>
          <cell r="X147" t="str">
            <v>0</v>
          </cell>
          <cell r="Y147" t="str">
            <v>0</v>
          </cell>
          <cell r="Z147" t="str">
            <v>0</v>
          </cell>
          <cell r="AA147" t="str">
            <v>0</v>
          </cell>
          <cell r="AB147" t="str">
            <v>0</v>
          </cell>
          <cell r="AC147" t="str">
            <v>0</v>
          </cell>
          <cell r="AD147" t="str">
            <v>0</v>
          </cell>
          <cell r="AE147" t="str">
            <v>0</v>
          </cell>
          <cell r="AF147" t="str">
            <v>0</v>
          </cell>
          <cell r="AG147" t="str">
            <v>0</v>
          </cell>
          <cell r="AH147" t="str">
            <v>0</v>
          </cell>
          <cell r="AI147" t="str">
            <v>0</v>
          </cell>
          <cell r="AJ147" t="str">
            <v>0</v>
          </cell>
          <cell r="AK147" t="str">
            <v>0</v>
          </cell>
          <cell r="AL147" t="str">
            <v>0</v>
          </cell>
          <cell r="AM147" t="str">
            <v>0</v>
          </cell>
          <cell r="AN147" t="str">
            <v>0</v>
          </cell>
          <cell r="AO147" t="str">
            <v>0</v>
          </cell>
          <cell r="AP147" t="str">
            <v>0</v>
          </cell>
          <cell r="AQ147" t="str">
            <v>0</v>
          </cell>
          <cell r="AR147" t="str">
            <v>0</v>
          </cell>
          <cell r="AS147" t="str">
            <v>0</v>
          </cell>
          <cell r="AT147" t="str">
            <v>0</v>
          </cell>
          <cell r="AU147" t="str">
            <v>0</v>
          </cell>
          <cell r="AV147" t="str">
            <v>0</v>
          </cell>
          <cell r="AW147" t="str">
            <v>0</v>
          </cell>
          <cell r="AX147" t="str">
            <v>0</v>
          </cell>
          <cell r="AY147" t="str">
            <v>0</v>
          </cell>
          <cell r="AZ147" t="str">
            <v>0</v>
          </cell>
          <cell r="BA147" t="str">
            <v>0</v>
          </cell>
          <cell r="BB147" t="str">
            <v>0</v>
          </cell>
          <cell r="BC147" t="str">
            <v>0</v>
          </cell>
          <cell r="BD147" t="str">
            <v>0</v>
          </cell>
          <cell r="BE147" t="str">
            <v>0</v>
          </cell>
          <cell r="BF147" t="str">
            <v>0</v>
          </cell>
          <cell r="BG147" t="str">
            <v>0</v>
          </cell>
          <cell r="BH147" t="str">
            <v>0</v>
          </cell>
          <cell r="BI147" t="str">
            <v>0</v>
          </cell>
          <cell r="BJ147" t="str">
            <v>0</v>
          </cell>
          <cell r="BK147" t="str">
            <v>0</v>
          </cell>
          <cell r="BL147" t="str">
            <v>0</v>
          </cell>
          <cell r="BM147" t="str">
            <v>0</v>
          </cell>
          <cell r="BN147" t="str">
            <v>0</v>
          </cell>
          <cell r="BO147" t="str">
            <v>0</v>
          </cell>
          <cell r="BP147" t="str">
            <v>0</v>
          </cell>
          <cell r="BQ147" t="str">
            <v>0</v>
          </cell>
          <cell r="BR147" t="str">
            <v>0</v>
          </cell>
          <cell r="BS147" t="str">
            <v>0</v>
          </cell>
          <cell r="BT147" t="str">
            <v>0</v>
          </cell>
          <cell r="BU147" t="str">
            <v>0</v>
          </cell>
          <cell r="BV147" t="str">
            <v>0</v>
          </cell>
          <cell r="BW147" t="str">
            <v>0</v>
          </cell>
          <cell r="BX147" t="str">
            <v>0</v>
          </cell>
          <cell r="BY147" t="str">
            <v>0</v>
          </cell>
          <cell r="BZ147" t="str">
            <v>0</v>
          </cell>
          <cell r="CA147" t="str">
            <v>0</v>
          </cell>
          <cell r="CB147" t="str">
            <v>0</v>
          </cell>
          <cell r="CC147" t="str">
            <v>0</v>
          </cell>
          <cell r="CD147" t="str">
            <v>0</v>
          </cell>
          <cell r="CE147" t="str">
            <v>0</v>
          </cell>
          <cell r="CF147" t="str">
            <v>0</v>
          </cell>
          <cell r="CG147" t="str">
            <v>0</v>
          </cell>
          <cell r="CH147" t="str">
            <v>0</v>
          </cell>
          <cell r="CI147" t="str">
            <v>0</v>
          </cell>
          <cell r="CJ147" t="str">
            <v>0</v>
          </cell>
          <cell r="CK147" t="str">
            <v>0</v>
          </cell>
          <cell r="CL147" t="str">
            <v>0</v>
          </cell>
          <cell r="CM147" t="str">
            <v>0</v>
          </cell>
          <cell r="CN147" t="str">
            <v>0</v>
          </cell>
          <cell r="CO147" t="str">
            <v>0</v>
          </cell>
          <cell r="CP147" t="str">
            <v>0</v>
          </cell>
          <cell r="CQ147" t="str">
            <v>0</v>
          </cell>
          <cell r="CR147" t="str">
            <v>0</v>
          </cell>
          <cell r="CS147" t="str">
            <v>0</v>
          </cell>
          <cell r="CT147" t="str">
            <v>0</v>
          </cell>
          <cell r="CU147" t="str">
            <v>0</v>
          </cell>
          <cell r="CV147" t="str">
            <v>0</v>
          </cell>
          <cell r="CW147" t="str">
            <v>0</v>
          </cell>
          <cell r="CX147" t="str">
            <v>0</v>
          </cell>
          <cell r="CY147" t="str">
            <v>0</v>
          </cell>
          <cell r="CZ147" t="str">
            <v>0</v>
          </cell>
          <cell r="DA147" t="str">
            <v>0</v>
          </cell>
          <cell r="DB147" t="str">
            <v>0</v>
          </cell>
          <cell r="DC147" t="str">
            <v>0</v>
          </cell>
          <cell r="DD147" t="str">
            <v>0</v>
          </cell>
          <cell r="DE147" t="str">
            <v>0</v>
          </cell>
          <cell r="DF147" t="str">
            <v>0</v>
          </cell>
          <cell r="DG147" t="str">
            <v>0</v>
          </cell>
          <cell r="DH147" t="str">
            <v>0</v>
          </cell>
          <cell r="DI147" t="str">
            <v>0</v>
          </cell>
          <cell r="DJ147" t="str">
            <v>0</v>
          </cell>
          <cell r="DK147" t="str">
            <v>0</v>
          </cell>
          <cell r="DL147" t="str">
            <v>0</v>
          </cell>
          <cell r="DM147" t="str">
            <v>0</v>
          </cell>
          <cell r="DN147" t="str">
            <v>0</v>
          </cell>
          <cell r="DO147" t="str">
            <v>0</v>
          </cell>
          <cell r="DP147" t="str">
            <v>0</v>
          </cell>
        </row>
        <row r="148">
          <cell r="C148"/>
          <cell r="D148" t="str">
            <v>0</v>
          </cell>
          <cell r="E148" t="str">
            <v>0</v>
          </cell>
          <cell r="F148" t="str">
            <v>0</v>
          </cell>
          <cell r="G148" t="str">
            <v>0</v>
          </cell>
          <cell r="H148" t="str">
            <v>0</v>
          </cell>
          <cell r="I148" t="str">
            <v>0</v>
          </cell>
          <cell r="J148" t="str">
            <v>0</v>
          </cell>
          <cell r="K148" t="str">
            <v>0</v>
          </cell>
          <cell r="L148" t="str">
            <v>0</v>
          </cell>
          <cell r="M148" t="str">
            <v>0</v>
          </cell>
          <cell r="N148" t="str">
            <v>0</v>
          </cell>
          <cell r="O148" t="str">
            <v>0</v>
          </cell>
          <cell r="P148" t="str">
            <v>0</v>
          </cell>
          <cell r="Q148" t="str">
            <v>0</v>
          </cell>
          <cell r="R148" t="str">
            <v>0</v>
          </cell>
          <cell r="S148" t="str">
            <v>0</v>
          </cell>
          <cell r="T148" t="str">
            <v>0</v>
          </cell>
          <cell r="U148" t="str">
            <v>0</v>
          </cell>
          <cell r="V148" t="str">
            <v>0</v>
          </cell>
          <cell r="W148" t="str">
            <v>0</v>
          </cell>
          <cell r="X148" t="str">
            <v>0</v>
          </cell>
          <cell r="Y148" t="str">
            <v>0</v>
          </cell>
          <cell r="Z148" t="str">
            <v>0</v>
          </cell>
          <cell r="AA148" t="str">
            <v>0</v>
          </cell>
          <cell r="AB148" t="str">
            <v>0</v>
          </cell>
          <cell r="AC148" t="str">
            <v>0</v>
          </cell>
          <cell r="AD148" t="str">
            <v>0</v>
          </cell>
          <cell r="AE148" t="str">
            <v>0</v>
          </cell>
          <cell r="AF148" t="str">
            <v>0</v>
          </cell>
          <cell r="AG148" t="str">
            <v>0</v>
          </cell>
          <cell r="AH148" t="str">
            <v>0</v>
          </cell>
          <cell r="AI148" t="str">
            <v>0</v>
          </cell>
          <cell r="AJ148" t="str">
            <v>0</v>
          </cell>
          <cell r="AK148" t="str">
            <v>0</v>
          </cell>
          <cell r="AL148" t="str">
            <v>0</v>
          </cell>
          <cell r="AM148" t="str">
            <v>0</v>
          </cell>
          <cell r="AN148" t="str">
            <v>0</v>
          </cell>
          <cell r="AO148" t="str">
            <v>0</v>
          </cell>
          <cell r="AP148" t="str">
            <v>0</v>
          </cell>
          <cell r="AQ148" t="str">
            <v>0</v>
          </cell>
          <cell r="AR148" t="str">
            <v>0</v>
          </cell>
          <cell r="AS148" t="str">
            <v>0</v>
          </cell>
          <cell r="AT148" t="str">
            <v>0</v>
          </cell>
          <cell r="AU148" t="str">
            <v>0</v>
          </cell>
          <cell r="AV148" t="str">
            <v>0</v>
          </cell>
          <cell r="AW148" t="str">
            <v>0</v>
          </cell>
          <cell r="AX148" t="str">
            <v>0</v>
          </cell>
          <cell r="AY148" t="str">
            <v>0</v>
          </cell>
          <cell r="AZ148" t="str">
            <v>0</v>
          </cell>
          <cell r="BA148" t="str">
            <v>0</v>
          </cell>
          <cell r="BB148" t="str">
            <v>0</v>
          </cell>
          <cell r="BC148" t="str">
            <v>0</v>
          </cell>
          <cell r="BD148" t="str">
            <v>0</v>
          </cell>
          <cell r="BE148" t="str">
            <v>0</v>
          </cell>
          <cell r="BF148" t="str">
            <v>0</v>
          </cell>
          <cell r="BG148" t="str">
            <v>0</v>
          </cell>
          <cell r="BH148" t="str">
            <v>0</v>
          </cell>
          <cell r="BI148" t="str">
            <v>0</v>
          </cell>
          <cell r="BJ148" t="str">
            <v>0</v>
          </cell>
          <cell r="BK148" t="str">
            <v>0</v>
          </cell>
          <cell r="BL148" t="str">
            <v>0</v>
          </cell>
          <cell r="BM148" t="str">
            <v>0</v>
          </cell>
          <cell r="BN148" t="str">
            <v>0</v>
          </cell>
          <cell r="BO148" t="str">
            <v>0</v>
          </cell>
          <cell r="BP148" t="str">
            <v>0</v>
          </cell>
          <cell r="BQ148" t="str">
            <v>0</v>
          </cell>
          <cell r="BR148" t="str">
            <v>0</v>
          </cell>
          <cell r="BS148" t="str">
            <v>0</v>
          </cell>
          <cell r="BT148" t="str">
            <v>0</v>
          </cell>
          <cell r="BU148" t="str">
            <v>0</v>
          </cell>
          <cell r="BV148" t="str">
            <v>0</v>
          </cell>
          <cell r="BW148" t="str">
            <v>0</v>
          </cell>
          <cell r="BX148" t="str">
            <v>0</v>
          </cell>
          <cell r="BY148" t="str">
            <v>0</v>
          </cell>
          <cell r="BZ148" t="str">
            <v>0</v>
          </cell>
          <cell r="CA148" t="str">
            <v>0</v>
          </cell>
          <cell r="CB148" t="str">
            <v>0</v>
          </cell>
          <cell r="CC148" t="str">
            <v>0</v>
          </cell>
          <cell r="CD148" t="str">
            <v>0</v>
          </cell>
          <cell r="CE148" t="str">
            <v>0</v>
          </cell>
          <cell r="CF148" t="str">
            <v>0</v>
          </cell>
          <cell r="CG148" t="str">
            <v>0</v>
          </cell>
          <cell r="CH148" t="str">
            <v>0</v>
          </cell>
          <cell r="CI148" t="str">
            <v>0</v>
          </cell>
          <cell r="CJ148" t="str">
            <v>0</v>
          </cell>
          <cell r="CK148" t="str">
            <v>0</v>
          </cell>
          <cell r="CL148" t="str">
            <v>0</v>
          </cell>
          <cell r="CM148" t="str">
            <v>0</v>
          </cell>
          <cell r="CN148" t="str">
            <v>0</v>
          </cell>
          <cell r="CO148" t="str">
            <v>0</v>
          </cell>
          <cell r="CP148" t="str">
            <v>0</v>
          </cell>
          <cell r="CQ148" t="str">
            <v>0</v>
          </cell>
          <cell r="CR148" t="str">
            <v>0</v>
          </cell>
          <cell r="CS148" t="str">
            <v>0</v>
          </cell>
          <cell r="CT148" t="str">
            <v>0</v>
          </cell>
          <cell r="CU148" t="str">
            <v>0</v>
          </cell>
          <cell r="CV148" t="str">
            <v>0</v>
          </cell>
          <cell r="CW148" t="str">
            <v>0</v>
          </cell>
          <cell r="CX148" t="str">
            <v>0</v>
          </cell>
          <cell r="CY148" t="str">
            <v>0</v>
          </cell>
          <cell r="CZ148" t="str">
            <v>0</v>
          </cell>
          <cell r="DA148" t="str">
            <v>0</v>
          </cell>
          <cell r="DB148" t="str">
            <v>0</v>
          </cell>
          <cell r="DC148" t="str">
            <v>0</v>
          </cell>
          <cell r="DD148" t="str">
            <v>0</v>
          </cell>
          <cell r="DE148" t="str">
            <v>0</v>
          </cell>
          <cell r="DF148" t="str">
            <v>0</v>
          </cell>
          <cell r="DG148" t="str">
            <v>0</v>
          </cell>
          <cell r="DH148" t="str">
            <v>0</v>
          </cell>
          <cell r="DI148" t="str">
            <v>0</v>
          </cell>
          <cell r="DJ148" t="str">
            <v>0</v>
          </cell>
          <cell r="DK148" t="str">
            <v>0</v>
          </cell>
          <cell r="DL148" t="str">
            <v>0</v>
          </cell>
          <cell r="DM148" t="str">
            <v>0</v>
          </cell>
          <cell r="DN148" t="str">
            <v>0</v>
          </cell>
          <cell r="DO148" t="str">
            <v>0</v>
          </cell>
          <cell r="DP148" t="str">
            <v>0</v>
          </cell>
        </row>
        <row r="149">
          <cell r="C149"/>
          <cell r="D149" t="str">
            <v>0</v>
          </cell>
          <cell r="E149" t="str">
            <v>0</v>
          </cell>
          <cell r="F149" t="str">
            <v>0</v>
          </cell>
          <cell r="G149" t="str">
            <v>0</v>
          </cell>
          <cell r="H149" t="str">
            <v>0</v>
          </cell>
          <cell r="I149" t="str">
            <v>0</v>
          </cell>
          <cell r="J149" t="str">
            <v>0</v>
          </cell>
          <cell r="K149" t="str">
            <v>0</v>
          </cell>
          <cell r="L149" t="str">
            <v>0</v>
          </cell>
          <cell r="M149" t="str">
            <v>0</v>
          </cell>
          <cell r="N149" t="str">
            <v>0</v>
          </cell>
          <cell r="O149" t="str">
            <v>0</v>
          </cell>
          <cell r="P149" t="str">
            <v>0</v>
          </cell>
          <cell r="Q149" t="str">
            <v>0</v>
          </cell>
          <cell r="R149" t="str">
            <v>0</v>
          </cell>
          <cell r="S149" t="str">
            <v>0</v>
          </cell>
          <cell r="T149" t="str">
            <v>0</v>
          </cell>
          <cell r="U149" t="str">
            <v>0</v>
          </cell>
          <cell r="V149" t="str">
            <v>0</v>
          </cell>
          <cell r="W149" t="str">
            <v>0</v>
          </cell>
          <cell r="X149" t="str">
            <v>0</v>
          </cell>
          <cell r="Y149" t="str">
            <v>0</v>
          </cell>
          <cell r="Z149" t="str">
            <v>0</v>
          </cell>
          <cell r="AA149" t="str">
            <v>0</v>
          </cell>
          <cell r="AB149" t="str">
            <v>0</v>
          </cell>
          <cell r="AC149" t="str">
            <v>0</v>
          </cell>
          <cell r="AD149" t="str">
            <v>0</v>
          </cell>
          <cell r="AE149" t="str">
            <v>0</v>
          </cell>
          <cell r="AF149" t="str">
            <v>0</v>
          </cell>
          <cell r="AG149" t="str">
            <v>0</v>
          </cell>
          <cell r="AH149" t="str">
            <v>0</v>
          </cell>
          <cell r="AI149" t="str">
            <v>0</v>
          </cell>
          <cell r="AJ149" t="str">
            <v>0</v>
          </cell>
          <cell r="AK149" t="str">
            <v>0</v>
          </cell>
          <cell r="AL149" t="str">
            <v>0</v>
          </cell>
          <cell r="AM149" t="str">
            <v>0</v>
          </cell>
          <cell r="AN149" t="str">
            <v>0</v>
          </cell>
          <cell r="AO149" t="str">
            <v>0</v>
          </cell>
          <cell r="AP149" t="str">
            <v>0</v>
          </cell>
          <cell r="AQ149" t="str">
            <v>0</v>
          </cell>
          <cell r="AR149" t="str">
            <v>0</v>
          </cell>
          <cell r="AS149" t="str">
            <v>0</v>
          </cell>
          <cell r="AT149" t="str">
            <v>0</v>
          </cell>
          <cell r="AU149" t="str">
            <v>0</v>
          </cell>
          <cell r="AV149" t="str">
            <v>0</v>
          </cell>
          <cell r="AW149" t="str">
            <v>0</v>
          </cell>
          <cell r="AX149" t="str">
            <v>0</v>
          </cell>
          <cell r="AY149" t="str">
            <v>0</v>
          </cell>
          <cell r="AZ149" t="str">
            <v>0</v>
          </cell>
          <cell r="BA149" t="str">
            <v>0</v>
          </cell>
          <cell r="BB149" t="str">
            <v>0</v>
          </cell>
          <cell r="BC149" t="str">
            <v>0</v>
          </cell>
          <cell r="BD149" t="str">
            <v>0</v>
          </cell>
          <cell r="BE149" t="str">
            <v>0</v>
          </cell>
          <cell r="BF149" t="str">
            <v>0</v>
          </cell>
          <cell r="BG149" t="str">
            <v>0</v>
          </cell>
          <cell r="BH149" t="str">
            <v>0</v>
          </cell>
          <cell r="BI149" t="str">
            <v>0</v>
          </cell>
          <cell r="BJ149" t="str">
            <v>0</v>
          </cell>
          <cell r="BK149" t="str">
            <v>0</v>
          </cell>
          <cell r="BL149" t="str">
            <v>0</v>
          </cell>
          <cell r="BM149" t="str">
            <v>0</v>
          </cell>
          <cell r="BN149" t="str">
            <v>0</v>
          </cell>
          <cell r="BO149" t="str">
            <v>0</v>
          </cell>
          <cell r="BP149" t="str">
            <v>0</v>
          </cell>
          <cell r="BQ149" t="str">
            <v>0</v>
          </cell>
          <cell r="BR149" t="str">
            <v>0</v>
          </cell>
          <cell r="BS149" t="str">
            <v>0</v>
          </cell>
          <cell r="BT149" t="str">
            <v>0</v>
          </cell>
          <cell r="BU149" t="str">
            <v>0</v>
          </cell>
          <cell r="BV149" t="str">
            <v>0</v>
          </cell>
          <cell r="BW149" t="str">
            <v>0</v>
          </cell>
          <cell r="BX149" t="str">
            <v>0</v>
          </cell>
          <cell r="BY149" t="str">
            <v>0</v>
          </cell>
          <cell r="BZ149" t="str">
            <v>0</v>
          </cell>
          <cell r="CA149" t="str">
            <v>0</v>
          </cell>
          <cell r="CB149" t="str">
            <v>0</v>
          </cell>
          <cell r="CC149" t="str">
            <v>0</v>
          </cell>
          <cell r="CD149" t="str">
            <v>0</v>
          </cell>
          <cell r="CE149" t="str">
            <v>0</v>
          </cell>
          <cell r="CF149" t="str">
            <v>0</v>
          </cell>
          <cell r="CG149" t="str">
            <v>0</v>
          </cell>
          <cell r="CH149" t="str">
            <v>0</v>
          </cell>
          <cell r="CI149" t="str">
            <v>0</v>
          </cell>
          <cell r="CJ149" t="str">
            <v>0</v>
          </cell>
          <cell r="CK149" t="str">
            <v>0</v>
          </cell>
          <cell r="CL149" t="str">
            <v>0</v>
          </cell>
          <cell r="CM149" t="str">
            <v>0</v>
          </cell>
          <cell r="CN149" t="str">
            <v>0</v>
          </cell>
          <cell r="CO149" t="str">
            <v>0</v>
          </cell>
          <cell r="CP149" t="str">
            <v>0</v>
          </cell>
          <cell r="CQ149" t="str">
            <v>0</v>
          </cell>
          <cell r="CR149" t="str">
            <v>0</v>
          </cell>
          <cell r="CS149" t="str">
            <v>0</v>
          </cell>
          <cell r="CT149" t="str">
            <v>0</v>
          </cell>
          <cell r="CU149" t="str">
            <v>0</v>
          </cell>
          <cell r="CV149" t="str">
            <v>0</v>
          </cell>
          <cell r="CW149" t="str">
            <v>0</v>
          </cell>
          <cell r="CX149" t="str">
            <v>0</v>
          </cell>
          <cell r="CY149" t="str">
            <v>0</v>
          </cell>
          <cell r="CZ149" t="str">
            <v>0</v>
          </cell>
          <cell r="DA149" t="str">
            <v>0</v>
          </cell>
          <cell r="DB149" t="str">
            <v>0</v>
          </cell>
          <cell r="DC149" t="str">
            <v>0</v>
          </cell>
          <cell r="DD149" t="str">
            <v>0</v>
          </cell>
          <cell r="DE149" t="str">
            <v>0</v>
          </cell>
          <cell r="DF149" t="str">
            <v>0</v>
          </cell>
          <cell r="DG149" t="str">
            <v>0</v>
          </cell>
          <cell r="DH149" t="str">
            <v>0</v>
          </cell>
          <cell r="DI149" t="str">
            <v>0</v>
          </cell>
          <cell r="DJ149" t="str">
            <v>0</v>
          </cell>
          <cell r="DK149" t="str">
            <v>0</v>
          </cell>
          <cell r="DL149" t="str">
            <v>0</v>
          </cell>
          <cell r="DM149" t="str">
            <v>0</v>
          </cell>
          <cell r="DN149" t="str">
            <v>0</v>
          </cell>
          <cell r="DO149" t="str">
            <v>0</v>
          </cell>
          <cell r="DP149" t="str">
            <v>0</v>
          </cell>
        </row>
        <row r="150">
          <cell r="C150"/>
          <cell r="D150" t="str">
            <v>0</v>
          </cell>
          <cell r="E150" t="str">
            <v>0</v>
          </cell>
          <cell r="F150" t="str">
            <v>0</v>
          </cell>
          <cell r="G150" t="str">
            <v>0</v>
          </cell>
          <cell r="H150" t="str">
            <v>0</v>
          </cell>
          <cell r="I150" t="str">
            <v>0</v>
          </cell>
          <cell r="J150" t="str">
            <v>0</v>
          </cell>
          <cell r="K150" t="str">
            <v>0</v>
          </cell>
          <cell r="L150" t="str">
            <v>0</v>
          </cell>
          <cell r="M150" t="str">
            <v>0</v>
          </cell>
          <cell r="N150" t="str">
            <v>0</v>
          </cell>
          <cell r="O150" t="str">
            <v>0</v>
          </cell>
          <cell r="P150" t="str">
            <v>0</v>
          </cell>
          <cell r="Q150" t="str">
            <v>0</v>
          </cell>
          <cell r="R150" t="str">
            <v>0</v>
          </cell>
          <cell r="S150" t="str">
            <v>0</v>
          </cell>
          <cell r="T150" t="str">
            <v>0</v>
          </cell>
          <cell r="U150" t="str">
            <v>0</v>
          </cell>
          <cell r="V150" t="str">
            <v>0</v>
          </cell>
          <cell r="W150" t="str">
            <v>0</v>
          </cell>
          <cell r="X150" t="str">
            <v>0</v>
          </cell>
          <cell r="Y150" t="str">
            <v>0</v>
          </cell>
          <cell r="Z150" t="str">
            <v>0</v>
          </cell>
          <cell r="AA150" t="str">
            <v>0</v>
          </cell>
          <cell r="AB150" t="str">
            <v>0</v>
          </cell>
          <cell r="AC150" t="str">
            <v>0</v>
          </cell>
          <cell r="AD150" t="str">
            <v>0</v>
          </cell>
          <cell r="AE150" t="str">
            <v>0</v>
          </cell>
          <cell r="AF150" t="str">
            <v>0</v>
          </cell>
          <cell r="AG150" t="str">
            <v>0</v>
          </cell>
          <cell r="AH150" t="str">
            <v>0</v>
          </cell>
          <cell r="AI150" t="str">
            <v>0</v>
          </cell>
          <cell r="AJ150" t="str">
            <v>0</v>
          </cell>
          <cell r="AK150" t="str">
            <v>0</v>
          </cell>
          <cell r="AL150" t="str">
            <v>0</v>
          </cell>
          <cell r="AM150" t="str">
            <v>0</v>
          </cell>
          <cell r="AN150" t="str">
            <v>0</v>
          </cell>
          <cell r="AO150" t="str">
            <v>0</v>
          </cell>
          <cell r="AP150" t="str">
            <v>0</v>
          </cell>
          <cell r="AQ150" t="str">
            <v>0</v>
          </cell>
          <cell r="AR150" t="str">
            <v>0</v>
          </cell>
          <cell r="AS150" t="str">
            <v>0</v>
          </cell>
          <cell r="AT150" t="str">
            <v>0</v>
          </cell>
          <cell r="AU150" t="str">
            <v>0</v>
          </cell>
          <cell r="AV150" t="str">
            <v>0</v>
          </cell>
          <cell r="AW150" t="str">
            <v>0</v>
          </cell>
          <cell r="AX150" t="str">
            <v>0</v>
          </cell>
          <cell r="AY150" t="str">
            <v>0</v>
          </cell>
          <cell r="AZ150" t="str">
            <v>0</v>
          </cell>
          <cell r="BA150" t="str">
            <v>0</v>
          </cell>
          <cell r="BB150" t="str">
            <v>0</v>
          </cell>
          <cell r="BC150" t="str">
            <v>0</v>
          </cell>
          <cell r="BD150" t="str">
            <v>0</v>
          </cell>
          <cell r="BE150" t="str">
            <v>0</v>
          </cell>
          <cell r="BF150" t="str">
            <v>0</v>
          </cell>
          <cell r="BG150" t="str">
            <v>0</v>
          </cell>
          <cell r="BH150" t="str">
            <v>0</v>
          </cell>
          <cell r="BI150" t="str">
            <v>0</v>
          </cell>
          <cell r="BJ150" t="str">
            <v>0</v>
          </cell>
          <cell r="BK150" t="str">
            <v>0</v>
          </cell>
          <cell r="BL150" t="str">
            <v>0</v>
          </cell>
          <cell r="BM150" t="str">
            <v>0</v>
          </cell>
          <cell r="BN150" t="str">
            <v>0</v>
          </cell>
          <cell r="BO150" t="str">
            <v>0</v>
          </cell>
          <cell r="BP150" t="str">
            <v>0</v>
          </cell>
          <cell r="BQ150" t="str">
            <v>0</v>
          </cell>
          <cell r="BR150" t="str">
            <v>0</v>
          </cell>
          <cell r="BS150" t="str">
            <v>0</v>
          </cell>
          <cell r="BT150" t="str">
            <v>0</v>
          </cell>
          <cell r="BU150" t="str">
            <v>0</v>
          </cell>
          <cell r="BV150" t="str">
            <v>0</v>
          </cell>
          <cell r="BW150" t="str">
            <v>0</v>
          </cell>
          <cell r="BX150" t="str">
            <v>0</v>
          </cell>
          <cell r="BY150" t="str">
            <v>0</v>
          </cell>
          <cell r="BZ150" t="str">
            <v>0</v>
          </cell>
          <cell r="CA150" t="str">
            <v>0</v>
          </cell>
          <cell r="CB150" t="str">
            <v>0</v>
          </cell>
          <cell r="CC150" t="str">
            <v>0</v>
          </cell>
          <cell r="CD150" t="str">
            <v>0</v>
          </cell>
          <cell r="CE150" t="str">
            <v>0</v>
          </cell>
          <cell r="CF150" t="str">
            <v>0</v>
          </cell>
          <cell r="CG150" t="str">
            <v>0</v>
          </cell>
          <cell r="CH150" t="str">
            <v>0</v>
          </cell>
          <cell r="CI150" t="str">
            <v>0</v>
          </cell>
          <cell r="CJ150" t="str">
            <v>0</v>
          </cell>
          <cell r="CK150" t="str">
            <v>0</v>
          </cell>
          <cell r="CL150" t="str">
            <v>0</v>
          </cell>
          <cell r="CM150" t="str">
            <v>0</v>
          </cell>
          <cell r="CN150" t="str">
            <v>0</v>
          </cell>
          <cell r="CO150" t="str">
            <v>0</v>
          </cell>
          <cell r="CP150" t="str">
            <v>0</v>
          </cell>
          <cell r="CQ150" t="str">
            <v>0</v>
          </cell>
          <cell r="CR150" t="str">
            <v>0</v>
          </cell>
          <cell r="CS150" t="str">
            <v>0</v>
          </cell>
          <cell r="CT150" t="str">
            <v>0</v>
          </cell>
          <cell r="CU150" t="str">
            <v>0</v>
          </cell>
          <cell r="CV150" t="str">
            <v>0</v>
          </cell>
          <cell r="CW150" t="str">
            <v>0</v>
          </cell>
          <cell r="CX150" t="str">
            <v>0</v>
          </cell>
          <cell r="CY150" t="str">
            <v>0</v>
          </cell>
          <cell r="CZ150" t="str">
            <v>0</v>
          </cell>
          <cell r="DA150" t="str">
            <v>0</v>
          </cell>
          <cell r="DB150" t="str">
            <v>0</v>
          </cell>
          <cell r="DC150" t="str">
            <v>0</v>
          </cell>
          <cell r="DD150" t="str">
            <v>0</v>
          </cell>
          <cell r="DE150" t="str">
            <v>0</v>
          </cell>
          <cell r="DF150" t="str">
            <v>0</v>
          </cell>
          <cell r="DG150" t="str">
            <v>0</v>
          </cell>
          <cell r="DH150" t="str">
            <v>0</v>
          </cell>
          <cell r="DI150" t="str">
            <v>0</v>
          </cell>
          <cell r="DJ150" t="str">
            <v>0</v>
          </cell>
          <cell r="DK150" t="str">
            <v>0</v>
          </cell>
          <cell r="DL150" t="str">
            <v>0</v>
          </cell>
          <cell r="DM150" t="str">
            <v>0</v>
          </cell>
          <cell r="DN150" t="str">
            <v>0</v>
          </cell>
          <cell r="DO150" t="str">
            <v>0</v>
          </cell>
          <cell r="DP150" t="str">
            <v>0</v>
          </cell>
        </row>
        <row r="151">
          <cell r="C151"/>
          <cell r="D151" t="str">
            <v>0</v>
          </cell>
          <cell r="E151" t="str">
            <v>0</v>
          </cell>
          <cell r="F151" t="str">
            <v>0</v>
          </cell>
          <cell r="G151" t="str">
            <v>0</v>
          </cell>
          <cell r="H151" t="str">
            <v>0</v>
          </cell>
          <cell r="I151" t="str">
            <v>0</v>
          </cell>
          <cell r="J151" t="str">
            <v>0</v>
          </cell>
          <cell r="K151" t="str">
            <v>0</v>
          </cell>
          <cell r="L151" t="str">
            <v>0</v>
          </cell>
          <cell r="M151" t="str">
            <v>0</v>
          </cell>
          <cell r="N151" t="str">
            <v>0</v>
          </cell>
          <cell r="O151" t="str">
            <v>0</v>
          </cell>
          <cell r="P151" t="str">
            <v>0</v>
          </cell>
          <cell r="Q151" t="str">
            <v>0</v>
          </cell>
          <cell r="R151" t="str">
            <v>0</v>
          </cell>
          <cell r="S151" t="str">
            <v>0</v>
          </cell>
          <cell r="T151" t="str">
            <v>0</v>
          </cell>
          <cell r="U151" t="str">
            <v>0</v>
          </cell>
          <cell r="V151" t="str">
            <v>0</v>
          </cell>
          <cell r="W151" t="str">
            <v>0</v>
          </cell>
          <cell r="X151" t="str">
            <v>0</v>
          </cell>
          <cell r="Y151" t="str">
            <v>0</v>
          </cell>
          <cell r="Z151" t="str">
            <v>0</v>
          </cell>
          <cell r="AA151" t="str">
            <v>0</v>
          </cell>
          <cell r="AB151" t="str">
            <v>0</v>
          </cell>
          <cell r="AC151" t="str">
            <v>0</v>
          </cell>
          <cell r="AD151" t="str">
            <v>0</v>
          </cell>
          <cell r="AE151" t="str">
            <v>0</v>
          </cell>
          <cell r="AF151" t="str">
            <v>0</v>
          </cell>
          <cell r="AG151" t="str">
            <v>0</v>
          </cell>
          <cell r="AH151" t="str">
            <v>0</v>
          </cell>
          <cell r="AI151" t="str">
            <v>0</v>
          </cell>
          <cell r="AJ151" t="str">
            <v>0</v>
          </cell>
          <cell r="AK151" t="str">
            <v>0</v>
          </cell>
          <cell r="AL151" t="str">
            <v>0</v>
          </cell>
          <cell r="AM151" t="str">
            <v>0</v>
          </cell>
          <cell r="AN151" t="str">
            <v>0</v>
          </cell>
          <cell r="AO151" t="str">
            <v>0</v>
          </cell>
          <cell r="AP151" t="str">
            <v>0</v>
          </cell>
          <cell r="AQ151" t="str">
            <v>0</v>
          </cell>
          <cell r="AR151" t="str">
            <v>0</v>
          </cell>
          <cell r="AS151" t="str">
            <v>0</v>
          </cell>
          <cell r="AT151" t="str">
            <v>0</v>
          </cell>
          <cell r="AU151" t="str">
            <v>0</v>
          </cell>
          <cell r="AV151" t="str">
            <v>0</v>
          </cell>
          <cell r="AW151" t="str">
            <v>0</v>
          </cell>
          <cell r="AX151" t="str">
            <v>0</v>
          </cell>
          <cell r="AY151" t="str">
            <v>0</v>
          </cell>
          <cell r="AZ151" t="str">
            <v>0</v>
          </cell>
          <cell r="BA151" t="str">
            <v>0</v>
          </cell>
          <cell r="BB151" t="str">
            <v>0</v>
          </cell>
          <cell r="BC151" t="str">
            <v>0</v>
          </cell>
          <cell r="BD151" t="str">
            <v>0</v>
          </cell>
          <cell r="BE151" t="str">
            <v>0</v>
          </cell>
          <cell r="BF151" t="str">
            <v>0</v>
          </cell>
          <cell r="BG151" t="str">
            <v>0</v>
          </cell>
          <cell r="BH151" t="str">
            <v>0</v>
          </cell>
          <cell r="BI151" t="str">
            <v>0</v>
          </cell>
          <cell r="BJ151" t="str">
            <v>0</v>
          </cell>
          <cell r="BK151" t="str">
            <v>0</v>
          </cell>
          <cell r="BL151" t="str">
            <v>0</v>
          </cell>
          <cell r="BM151" t="str">
            <v>0</v>
          </cell>
          <cell r="BN151" t="str">
            <v>0</v>
          </cell>
          <cell r="BO151" t="str">
            <v>0</v>
          </cell>
          <cell r="BP151" t="str">
            <v>0</v>
          </cell>
          <cell r="BQ151" t="str">
            <v>0</v>
          </cell>
          <cell r="BR151" t="str">
            <v>0</v>
          </cell>
          <cell r="BS151" t="str">
            <v>0</v>
          </cell>
          <cell r="BT151" t="str">
            <v>0</v>
          </cell>
          <cell r="BU151" t="str">
            <v>0</v>
          </cell>
          <cell r="BV151" t="str">
            <v>0</v>
          </cell>
          <cell r="BW151" t="str">
            <v>0</v>
          </cell>
          <cell r="BX151" t="str">
            <v>0</v>
          </cell>
          <cell r="BY151" t="str">
            <v>0</v>
          </cell>
          <cell r="BZ151" t="str">
            <v>0</v>
          </cell>
          <cell r="CA151" t="str">
            <v>0</v>
          </cell>
          <cell r="CB151" t="str">
            <v>0</v>
          </cell>
          <cell r="CC151" t="str">
            <v>0</v>
          </cell>
          <cell r="CD151" t="str">
            <v>0</v>
          </cell>
          <cell r="CE151" t="str">
            <v>0</v>
          </cell>
          <cell r="CF151" t="str">
            <v>0</v>
          </cell>
          <cell r="CG151" t="str">
            <v>0</v>
          </cell>
          <cell r="CH151" t="str">
            <v>0</v>
          </cell>
          <cell r="CI151" t="str">
            <v>0</v>
          </cell>
          <cell r="CJ151" t="str">
            <v>0</v>
          </cell>
          <cell r="CK151" t="str">
            <v>0</v>
          </cell>
          <cell r="CL151" t="str">
            <v>0</v>
          </cell>
          <cell r="CM151" t="str">
            <v>0</v>
          </cell>
          <cell r="CN151" t="str">
            <v>0</v>
          </cell>
          <cell r="CO151" t="str">
            <v>0</v>
          </cell>
          <cell r="CP151" t="str">
            <v>0</v>
          </cell>
          <cell r="CQ151" t="str">
            <v>0</v>
          </cell>
          <cell r="CR151" t="str">
            <v>0</v>
          </cell>
          <cell r="CS151" t="str">
            <v>0</v>
          </cell>
          <cell r="CT151" t="str">
            <v>0</v>
          </cell>
          <cell r="CU151" t="str">
            <v>0</v>
          </cell>
          <cell r="CV151" t="str">
            <v>0</v>
          </cell>
          <cell r="CW151" t="str">
            <v>0</v>
          </cell>
          <cell r="CX151" t="str">
            <v>0</v>
          </cell>
          <cell r="CY151" t="str">
            <v>0</v>
          </cell>
          <cell r="CZ151" t="str">
            <v>0</v>
          </cell>
          <cell r="DA151" t="str">
            <v>0</v>
          </cell>
          <cell r="DB151" t="str">
            <v>0</v>
          </cell>
          <cell r="DC151" t="str">
            <v>0</v>
          </cell>
          <cell r="DD151" t="str">
            <v>0</v>
          </cell>
          <cell r="DE151" t="str">
            <v>0</v>
          </cell>
          <cell r="DF151" t="str">
            <v>0</v>
          </cell>
          <cell r="DG151" t="str">
            <v>0</v>
          </cell>
          <cell r="DH151" t="str">
            <v>0</v>
          </cell>
          <cell r="DI151" t="str">
            <v>0</v>
          </cell>
          <cell r="DJ151" t="str">
            <v>0</v>
          </cell>
          <cell r="DK151" t="str">
            <v>0</v>
          </cell>
          <cell r="DL151" t="str">
            <v>0</v>
          </cell>
          <cell r="DM151" t="str">
            <v>0</v>
          </cell>
          <cell r="DN151" t="str">
            <v>0</v>
          </cell>
          <cell r="DO151" t="str">
            <v>0</v>
          </cell>
          <cell r="DP151" t="str">
            <v>0</v>
          </cell>
        </row>
        <row r="152">
          <cell r="C152"/>
          <cell r="D152" t="str">
            <v>0</v>
          </cell>
          <cell r="E152" t="str">
            <v>0</v>
          </cell>
          <cell r="F152" t="str">
            <v>0</v>
          </cell>
          <cell r="G152" t="str">
            <v>0</v>
          </cell>
          <cell r="H152" t="str">
            <v>0</v>
          </cell>
          <cell r="I152" t="str">
            <v>0</v>
          </cell>
          <cell r="J152" t="str">
            <v>0</v>
          </cell>
          <cell r="K152" t="str">
            <v>0</v>
          </cell>
          <cell r="L152" t="str">
            <v>0</v>
          </cell>
          <cell r="M152" t="str">
            <v>0</v>
          </cell>
          <cell r="N152" t="str">
            <v>0</v>
          </cell>
          <cell r="O152" t="str">
            <v>0</v>
          </cell>
          <cell r="P152" t="str">
            <v>0</v>
          </cell>
          <cell r="Q152" t="str">
            <v>0</v>
          </cell>
          <cell r="R152" t="str">
            <v>0</v>
          </cell>
          <cell r="S152" t="str">
            <v>0</v>
          </cell>
          <cell r="T152" t="str">
            <v>0</v>
          </cell>
          <cell r="U152" t="str">
            <v>0</v>
          </cell>
          <cell r="V152" t="str">
            <v>0</v>
          </cell>
          <cell r="W152" t="str">
            <v>0</v>
          </cell>
          <cell r="X152" t="str">
            <v>0</v>
          </cell>
          <cell r="Y152" t="str">
            <v>0</v>
          </cell>
          <cell r="Z152" t="str">
            <v>0</v>
          </cell>
          <cell r="AA152" t="str">
            <v>0</v>
          </cell>
          <cell r="AB152" t="str">
            <v>0</v>
          </cell>
          <cell r="AC152" t="str">
            <v>0</v>
          </cell>
          <cell r="AD152" t="str">
            <v>0</v>
          </cell>
          <cell r="AE152" t="str">
            <v>0</v>
          </cell>
          <cell r="AF152" t="str">
            <v>0</v>
          </cell>
          <cell r="AG152" t="str">
            <v>0</v>
          </cell>
          <cell r="AH152" t="str">
            <v>0</v>
          </cell>
          <cell r="AI152" t="str">
            <v>0</v>
          </cell>
          <cell r="AJ152" t="str">
            <v>0</v>
          </cell>
          <cell r="AK152" t="str">
            <v>0</v>
          </cell>
          <cell r="AL152" t="str">
            <v>0</v>
          </cell>
          <cell r="AM152" t="str">
            <v>0</v>
          </cell>
          <cell r="AN152" t="str">
            <v>0</v>
          </cell>
          <cell r="AO152" t="str">
            <v>0</v>
          </cell>
          <cell r="AP152" t="str">
            <v>0</v>
          </cell>
          <cell r="AQ152" t="str">
            <v>0</v>
          </cell>
          <cell r="AR152" t="str">
            <v>0</v>
          </cell>
          <cell r="AS152" t="str">
            <v>0</v>
          </cell>
          <cell r="AT152" t="str">
            <v>0</v>
          </cell>
          <cell r="AU152" t="str">
            <v>0</v>
          </cell>
          <cell r="AV152" t="str">
            <v>0</v>
          </cell>
          <cell r="AW152" t="str">
            <v>0</v>
          </cell>
          <cell r="AX152" t="str">
            <v>0</v>
          </cell>
          <cell r="AY152" t="str">
            <v>0</v>
          </cell>
          <cell r="AZ152" t="str">
            <v>0</v>
          </cell>
          <cell r="BA152" t="str">
            <v>0</v>
          </cell>
          <cell r="BB152" t="str">
            <v>0</v>
          </cell>
          <cell r="BC152" t="str">
            <v>0</v>
          </cell>
          <cell r="BD152" t="str">
            <v>0</v>
          </cell>
          <cell r="BE152" t="str">
            <v>0</v>
          </cell>
          <cell r="BF152" t="str">
            <v>0</v>
          </cell>
          <cell r="BG152" t="str">
            <v>0</v>
          </cell>
          <cell r="BH152" t="str">
            <v>0</v>
          </cell>
          <cell r="BI152" t="str">
            <v>0</v>
          </cell>
          <cell r="BJ152" t="str">
            <v>0</v>
          </cell>
          <cell r="BK152" t="str">
            <v>0</v>
          </cell>
          <cell r="BL152" t="str">
            <v>0</v>
          </cell>
          <cell r="BM152" t="str">
            <v>0</v>
          </cell>
          <cell r="BN152" t="str">
            <v>0</v>
          </cell>
          <cell r="BO152" t="str">
            <v>0</v>
          </cell>
          <cell r="BP152" t="str">
            <v>0</v>
          </cell>
          <cell r="BQ152" t="str">
            <v>0</v>
          </cell>
          <cell r="BR152" t="str">
            <v>0</v>
          </cell>
          <cell r="BS152" t="str">
            <v>0</v>
          </cell>
          <cell r="BT152" t="str">
            <v>0</v>
          </cell>
          <cell r="BU152" t="str">
            <v>0</v>
          </cell>
          <cell r="BV152" t="str">
            <v>0</v>
          </cell>
          <cell r="BW152" t="str">
            <v>0</v>
          </cell>
          <cell r="BX152" t="str">
            <v>0</v>
          </cell>
          <cell r="BY152" t="str">
            <v>0</v>
          </cell>
          <cell r="BZ152" t="str">
            <v>0</v>
          </cell>
          <cell r="CA152" t="str">
            <v>0</v>
          </cell>
          <cell r="CB152" t="str">
            <v>0</v>
          </cell>
          <cell r="CC152" t="str">
            <v>0</v>
          </cell>
          <cell r="CD152" t="str">
            <v>0</v>
          </cell>
          <cell r="CE152" t="str">
            <v>0</v>
          </cell>
          <cell r="CF152" t="str">
            <v>0</v>
          </cell>
          <cell r="CG152" t="str">
            <v>0</v>
          </cell>
          <cell r="CH152" t="str">
            <v>0</v>
          </cell>
          <cell r="CI152" t="str">
            <v>0</v>
          </cell>
          <cell r="CJ152" t="str">
            <v>0</v>
          </cell>
          <cell r="CK152" t="str">
            <v>0</v>
          </cell>
          <cell r="CL152" t="str">
            <v>0</v>
          </cell>
          <cell r="CM152" t="str">
            <v>0</v>
          </cell>
          <cell r="CN152" t="str">
            <v>0</v>
          </cell>
          <cell r="CO152" t="str">
            <v>0</v>
          </cell>
          <cell r="CP152" t="str">
            <v>0</v>
          </cell>
          <cell r="CQ152" t="str">
            <v>0</v>
          </cell>
          <cell r="CR152" t="str">
            <v>0</v>
          </cell>
          <cell r="CS152" t="str">
            <v>0</v>
          </cell>
          <cell r="CT152" t="str">
            <v>0</v>
          </cell>
          <cell r="CU152" t="str">
            <v>0</v>
          </cell>
          <cell r="CV152" t="str">
            <v>0</v>
          </cell>
          <cell r="CW152" t="str">
            <v>0</v>
          </cell>
          <cell r="CX152" t="str">
            <v>0</v>
          </cell>
          <cell r="CY152" t="str">
            <v>0</v>
          </cell>
          <cell r="CZ152" t="str">
            <v>0</v>
          </cell>
          <cell r="DA152" t="str">
            <v>0</v>
          </cell>
          <cell r="DB152" t="str">
            <v>0</v>
          </cell>
          <cell r="DC152" t="str">
            <v>0</v>
          </cell>
          <cell r="DD152" t="str">
            <v>0</v>
          </cell>
          <cell r="DE152" t="str">
            <v>0</v>
          </cell>
          <cell r="DF152" t="str">
            <v>0</v>
          </cell>
          <cell r="DG152" t="str">
            <v>0</v>
          </cell>
          <cell r="DH152" t="str">
            <v>0</v>
          </cell>
          <cell r="DI152" t="str">
            <v>0</v>
          </cell>
          <cell r="DJ152" t="str">
            <v>0</v>
          </cell>
          <cell r="DK152" t="str">
            <v>0</v>
          </cell>
          <cell r="DL152" t="str">
            <v>0</v>
          </cell>
          <cell r="DM152" t="str">
            <v>0</v>
          </cell>
          <cell r="DN152" t="str">
            <v>0</v>
          </cell>
          <cell r="DO152" t="str">
            <v>0</v>
          </cell>
          <cell r="DP152" t="str">
            <v>0</v>
          </cell>
        </row>
        <row r="153">
          <cell r="C153"/>
          <cell r="D153" t="str">
            <v>0</v>
          </cell>
          <cell r="E153" t="str">
            <v>0</v>
          </cell>
          <cell r="F153" t="str">
            <v>0</v>
          </cell>
          <cell r="G153" t="str">
            <v>0</v>
          </cell>
          <cell r="H153" t="str">
            <v>0</v>
          </cell>
          <cell r="I153" t="str">
            <v>0</v>
          </cell>
          <cell r="J153" t="str">
            <v>0</v>
          </cell>
          <cell r="K153" t="str">
            <v>0</v>
          </cell>
          <cell r="L153" t="str">
            <v>0</v>
          </cell>
          <cell r="M153" t="str">
            <v>0</v>
          </cell>
          <cell r="N153" t="str">
            <v>0</v>
          </cell>
          <cell r="O153" t="str">
            <v>0</v>
          </cell>
          <cell r="P153" t="str">
            <v>0</v>
          </cell>
          <cell r="Q153" t="str">
            <v>0</v>
          </cell>
          <cell r="R153" t="str">
            <v>0</v>
          </cell>
          <cell r="S153" t="str">
            <v>0</v>
          </cell>
          <cell r="T153" t="str">
            <v>0</v>
          </cell>
          <cell r="U153" t="str">
            <v>0</v>
          </cell>
          <cell r="V153" t="str">
            <v>0</v>
          </cell>
          <cell r="W153" t="str">
            <v>0</v>
          </cell>
          <cell r="X153" t="str">
            <v>0</v>
          </cell>
          <cell r="Y153" t="str">
            <v>0</v>
          </cell>
          <cell r="Z153" t="str">
            <v>0</v>
          </cell>
          <cell r="AA153" t="str">
            <v>0</v>
          </cell>
          <cell r="AB153" t="str">
            <v>0</v>
          </cell>
          <cell r="AC153" t="str">
            <v>0</v>
          </cell>
          <cell r="AD153" t="str">
            <v>0</v>
          </cell>
          <cell r="AE153" t="str">
            <v>0</v>
          </cell>
          <cell r="AF153" t="str">
            <v>0</v>
          </cell>
          <cell r="AG153" t="str">
            <v>0</v>
          </cell>
          <cell r="AH153" t="str">
            <v>0</v>
          </cell>
          <cell r="AI153" t="str">
            <v>0</v>
          </cell>
          <cell r="AJ153" t="str">
            <v>0</v>
          </cell>
          <cell r="AK153" t="str">
            <v>0</v>
          </cell>
          <cell r="AL153" t="str">
            <v>0</v>
          </cell>
          <cell r="AM153" t="str">
            <v>0</v>
          </cell>
          <cell r="AN153" t="str">
            <v>0</v>
          </cell>
          <cell r="AO153" t="str">
            <v>0</v>
          </cell>
          <cell r="AP153" t="str">
            <v>0</v>
          </cell>
          <cell r="AQ153" t="str">
            <v>0</v>
          </cell>
          <cell r="AR153" t="str">
            <v>0</v>
          </cell>
          <cell r="AS153" t="str">
            <v>0</v>
          </cell>
          <cell r="AT153" t="str">
            <v>0</v>
          </cell>
          <cell r="AU153" t="str">
            <v>0</v>
          </cell>
          <cell r="AV153" t="str">
            <v>0</v>
          </cell>
          <cell r="AW153" t="str">
            <v>0</v>
          </cell>
          <cell r="AX153" t="str">
            <v>0</v>
          </cell>
          <cell r="AY153" t="str">
            <v>0</v>
          </cell>
          <cell r="AZ153" t="str">
            <v>0</v>
          </cell>
          <cell r="BA153" t="str">
            <v>0</v>
          </cell>
          <cell r="BB153" t="str">
            <v>0</v>
          </cell>
          <cell r="BC153" t="str">
            <v>0</v>
          </cell>
          <cell r="BD153" t="str">
            <v>0</v>
          </cell>
          <cell r="BE153" t="str">
            <v>0</v>
          </cell>
          <cell r="BF153" t="str">
            <v>0</v>
          </cell>
          <cell r="BG153" t="str">
            <v>0</v>
          </cell>
          <cell r="BH153" t="str">
            <v>0</v>
          </cell>
          <cell r="BI153" t="str">
            <v>0</v>
          </cell>
          <cell r="BJ153" t="str">
            <v>0</v>
          </cell>
          <cell r="BK153" t="str">
            <v>0</v>
          </cell>
          <cell r="BL153" t="str">
            <v>0</v>
          </cell>
          <cell r="BM153" t="str">
            <v>0</v>
          </cell>
          <cell r="BN153" t="str">
            <v>0</v>
          </cell>
          <cell r="BO153" t="str">
            <v>0</v>
          </cell>
          <cell r="BP153" t="str">
            <v>0</v>
          </cell>
          <cell r="BQ153" t="str">
            <v>0</v>
          </cell>
          <cell r="BR153" t="str">
            <v>0</v>
          </cell>
          <cell r="BS153" t="str">
            <v>0</v>
          </cell>
          <cell r="BT153" t="str">
            <v>0</v>
          </cell>
          <cell r="BU153" t="str">
            <v>0</v>
          </cell>
          <cell r="BV153" t="str">
            <v>0</v>
          </cell>
          <cell r="BW153" t="str">
            <v>0</v>
          </cell>
          <cell r="BX153" t="str">
            <v>0</v>
          </cell>
          <cell r="BY153" t="str">
            <v>0</v>
          </cell>
          <cell r="BZ153" t="str">
            <v>0</v>
          </cell>
          <cell r="CA153" t="str">
            <v>0</v>
          </cell>
          <cell r="CB153" t="str">
            <v>0</v>
          </cell>
          <cell r="CC153" t="str">
            <v>0</v>
          </cell>
          <cell r="CD153" t="str">
            <v>0</v>
          </cell>
          <cell r="CE153" t="str">
            <v>0</v>
          </cell>
          <cell r="CF153" t="str">
            <v>0</v>
          </cell>
          <cell r="CG153" t="str">
            <v>0</v>
          </cell>
          <cell r="CH153" t="str">
            <v>0</v>
          </cell>
          <cell r="CI153" t="str">
            <v>0</v>
          </cell>
          <cell r="CJ153" t="str">
            <v>0</v>
          </cell>
          <cell r="CK153" t="str">
            <v>0</v>
          </cell>
          <cell r="CL153" t="str">
            <v>0</v>
          </cell>
          <cell r="CM153" t="str">
            <v>0</v>
          </cell>
          <cell r="CN153" t="str">
            <v>0</v>
          </cell>
          <cell r="CO153" t="str">
            <v>0</v>
          </cell>
          <cell r="CP153" t="str">
            <v>0</v>
          </cell>
          <cell r="CQ153" t="str">
            <v>0</v>
          </cell>
          <cell r="CR153" t="str">
            <v>0</v>
          </cell>
          <cell r="CS153" t="str">
            <v>0</v>
          </cell>
          <cell r="CT153" t="str">
            <v>0</v>
          </cell>
          <cell r="CU153" t="str">
            <v>0</v>
          </cell>
          <cell r="CV153" t="str">
            <v>0</v>
          </cell>
          <cell r="CW153" t="str">
            <v>0</v>
          </cell>
          <cell r="CX153" t="str">
            <v>0</v>
          </cell>
          <cell r="CY153" t="str">
            <v>0</v>
          </cell>
          <cell r="CZ153" t="str">
            <v>0</v>
          </cell>
          <cell r="DA153" t="str">
            <v>0</v>
          </cell>
          <cell r="DB153" t="str">
            <v>0</v>
          </cell>
          <cell r="DC153" t="str">
            <v>0</v>
          </cell>
          <cell r="DD153" t="str">
            <v>0</v>
          </cell>
          <cell r="DE153" t="str">
            <v>0</v>
          </cell>
          <cell r="DF153" t="str">
            <v>0</v>
          </cell>
          <cell r="DG153" t="str">
            <v>0</v>
          </cell>
          <cell r="DH153" t="str">
            <v>0</v>
          </cell>
          <cell r="DI153" t="str">
            <v>0</v>
          </cell>
          <cell r="DJ153" t="str">
            <v>0</v>
          </cell>
          <cell r="DK153" t="str">
            <v>0</v>
          </cell>
          <cell r="DL153" t="str">
            <v>0</v>
          </cell>
          <cell r="DM153" t="str">
            <v>0</v>
          </cell>
          <cell r="DN153" t="str">
            <v>0</v>
          </cell>
          <cell r="DO153" t="str">
            <v>0</v>
          </cell>
          <cell r="DP153" t="str">
            <v>0</v>
          </cell>
        </row>
        <row r="154">
          <cell r="C154"/>
          <cell r="D154" t="str">
            <v>0</v>
          </cell>
          <cell r="E154" t="str">
            <v>0</v>
          </cell>
          <cell r="F154" t="str">
            <v>0</v>
          </cell>
          <cell r="G154" t="str">
            <v>0</v>
          </cell>
          <cell r="H154" t="str">
            <v>0</v>
          </cell>
          <cell r="I154" t="str">
            <v>0</v>
          </cell>
          <cell r="J154" t="str">
            <v>0</v>
          </cell>
          <cell r="K154" t="str">
            <v>0</v>
          </cell>
          <cell r="L154" t="str">
            <v>0</v>
          </cell>
          <cell r="M154" t="str">
            <v>0</v>
          </cell>
          <cell r="N154" t="str">
            <v>0</v>
          </cell>
          <cell r="O154" t="str">
            <v>0</v>
          </cell>
          <cell r="P154" t="str">
            <v>0</v>
          </cell>
          <cell r="Q154" t="str">
            <v>0</v>
          </cell>
          <cell r="R154" t="str">
            <v>0</v>
          </cell>
          <cell r="S154" t="str">
            <v>0</v>
          </cell>
          <cell r="T154" t="str">
            <v>0</v>
          </cell>
          <cell r="U154" t="str">
            <v>0</v>
          </cell>
          <cell r="V154" t="str">
            <v>0</v>
          </cell>
          <cell r="W154" t="str">
            <v>0</v>
          </cell>
          <cell r="X154" t="str">
            <v>0</v>
          </cell>
          <cell r="Y154" t="str">
            <v>0</v>
          </cell>
          <cell r="Z154" t="str">
            <v>0</v>
          </cell>
          <cell r="AA154" t="str">
            <v>0</v>
          </cell>
          <cell r="AB154" t="str">
            <v>0</v>
          </cell>
          <cell r="AC154" t="str">
            <v>0</v>
          </cell>
          <cell r="AD154" t="str">
            <v>0</v>
          </cell>
          <cell r="AE154" t="str">
            <v>0</v>
          </cell>
          <cell r="AF154" t="str">
            <v>0</v>
          </cell>
          <cell r="AG154" t="str">
            <v>0</v>
          </cell>
          <cell r="AH154" t="str">
            <v>0</v>
          </cell>
          <cell r="AI154" t="str">
            <v>0</v>
          </cell>
          <cell r="AJ154" t="str">
            <v>0</v>
          </cell>
          <cell r="AK154" t="str">
            <v>0</v>
          </cell>
          <cell r="AL154" t="str">
            <v>0</v>
          </cell>
          <cell r="AM154" t="str">
            <v>0</v>
          </cell>
          <cell r="AN154" t="str">
            <v>0</v>
          </cell>
          <cell r="AO154" t="str">
            <v>0</v>
          </cell>
          <cell r="AP154" t="str">
            <v>0</v>
          </cell>
          <cell r="AQ154" t="str">
            <v>0</v>
          </cell>
          <cell r="AR154" t="str">
            <v>0</v>
          </cell>
          <cell r="AS154" t="str">
            <v>0</v>
          </cell>
          <cell r="AT154" t="str">
            <v>0</v>
          </cell>
          <cell r="AU154" t="str">
            <v>0</v>
          </cell>
          <cell r="AV154" t="str">
            <v>0</v>
          </cell>
          <cell r="AW154" t="str">
            <v>0</v>
          </cell>
          <cell r="AX154" t="str">
            <v>0</v>
          </cell>
          <cell r="AY154" t="str">
            <v>0</v>
          </cell>
          <cell r="AZ154" t="str">
            <v>0</v>
          </cell>
          <cell r="BA154" t="str">
            <v>0</v>
          </cell>
          <cell r="BB154" t="str">
            <v>0</v>
          </cell>
          <cell r="BC154" t="str">
            <v>0</v>
          </cell>
          <cell r="BD154" t="str">
            <v>0</v>
          </cell>
          <cell r="BE154" t="str">
            <v>0</v>
          </cell>
          <cell r="BF154" t="str">
            <v>0</v>
          </cell>
          <cell r="BG154" t="str">
            <v>0</v>
          </cell>
          <cell r="BH154" t="str">
            <v>0</v>
          </cell>
          <cell r="BI154" t="str">
            <v>0</v>
          </cell>
          <cell r="BJ154" t="str">
            <v>0</v>
          </cell>
          <cell r="BK154" t="str">
            <v>0</v>
          </cell>
          <cell r="BL154" t="str">
            <v>0</v>
          </cell>
          <cell r="BM154" t="str">
            <v>0</v>
          </cell>
          <cell r="BN154" t="str">
            <v>0</v>
          </cell>
          <cell r="BO154" t="str">
            <v>0</v>
          </cell>
          <cell r="BP154" t="str">
            <v>0</v>
          </cell>
          <cell r="BQ154" t="str">
            <v>0</v>
          </cell>
          <cell r="BR154" t="str">
            <v>0</v>
          </cell>
          <cell r="BS154" t="str">
            <v>0</v>
          </cell>
          <cell r="BT154" t="str">
            <v>0</v>
          </cell>
          <cell r="BU154" t="str">
            <v>0</v>
          </cell>
          <cell r="BV154" t="str">
            <v>0</v>
          </cell>
          <cell r="BW154" t="str">
            <v>0</v>
          </cell>
          <cell r="BX154" t="str">
            <v>0</v>
          </cell>
          <cell r="BY154" t="str">
            <v>0</v>
          </cell>
          <cell r="BZ154" t="str">
            <v>0</v>
          </cell>
          <cell r="CA154" t="str">
            <v>0</v>
          </cell>
          <cell r="CB154" t="str">
            <v>0</v>
          </cell>
          <cell r="CC154" t="str">
            <v>0</v>
          </cell>
          <cell r="CD154" t="str">
            <v>0</v>
          </cell>
          <cell r="CE154" t="str">
            <v>0</v>
          </cell>
          <cell r="CF154" t="str">
            <v>0</v>
          </cell>
          <cell r="CG154" t="str">
            <v>0</v>
          </cell>
          <cell r="CH154" t="str">
            <v>0</v>
          </cell>
          <cell r="CI154" t="str">
            <v>0</v>
          </cell>
          <cell r="CJ154" t="str">
            <v>0</v>
          </cell>
          <cell r="CK154" t="str">
            <v>0</v>
          </cell>
          <cell r="CL154" t="str">
            <v>0</v>
          </cell>
          <cell r="CM154" t="str">
            <v>0</v>
          </cell>
          <cell r="CN154" t="str">
            <v>0</v>
          </cell>
          <cell r="CO154" t="str">
            <v>0</v>
          </cell>
          <cell r="CP154" t="str">
            <v>0</v>
          </cell>
          <cell r="CQ154" t="str">
            <v>0</v>
          </cell>
          <cell r="CR154" t="str">
            <v>0</v>
          </cell>
          <cell r="CS154" t="str">
            <v>0</v>
          </cell>
          <cell r="CT154" t="str">
            <v>0</v>
          </cell>
          <cell r="CU154" t="str">
            <v>0</v>
          </cell>
          <cell r="CV154" t="str">
            <v>0</v>
          </cell>
          <cell r="CW154" t="str">
            <v>0</v>
          </cell>
          <cell r="CX154" t="str">
            <v>0</v>
          </cell>
          <cell r="CY154" t="str">
            <v>0</v>
          </cell>
          <cell r="CZ154" t="str">
            <v>0</v>
          </cell>
          <cell r="DA154" t="str">
            <v>0</v>
          </cell>
          <cell r="DB154" t="str">
            <v>0</v>
          </cell>
          <cell r="DC154" t="str">
            <v>0</v>
          </cell>
          <cell r="DD154" t="str">
            <v>0</v>
          </cell>
          <cell r="DE154" t="str">
            <v>0</v>
          </cell>
          <cell r="DF154" t="str">
            <v>0</v>
          </cell>
          <cell r="DG154" t="str">
            <v>0</v>
          </cell>
          <cell r="DH154" t="str">
            <v>0</v>
          </cell>
          <cell r="DI154" t="str">
            <v>0</v>
          </cell>
          <cell r="DJ154" t="str">
            <v>0</v>
          </cell>
          <cell r="DK154" t="str">
            <v>0</v>
          </cell>
          <cell r="DL154" t="str">
            <v>0</v>
          </cell>
          <cell r="DM154" t="str">
            <v>0</v>
          </cell>
          <cell r="DN154" t="str">
            <v>0</v>
          </cell>
          <cell r="DO154" t="str">
            <v>0</v>
          </cell>
          <cell r="DP154" t="str">
            <v>0</v>
          </cell>
        </row>
        <row r="155">
          <cell r="C155"/>
          <cell r="D155" t="str">
            <v>0</v>
          </cell>
          <cell r="E155" t="str">
            <v>0</v>
          </cell>
          <cell r="F155" t="str">
            <v>0</v>
          </cell>
          <cell r="G155" t="str">
            <v>0</v>
          </cell>
          <cell r="H155" t="str">
            <v>0</v>
          </cell>
          <cell r="I155" t="str">
            <v>0</v>
          </cell>
          <cell r="J155" t="str">
            <v>0</v>
          </cell>
          <cell r="K155" t="str">
            <v>0</v>
          </cell>
          <cell r="L155" t="str">
            <v>0</v>
          </cell>
          <cell r="M155" t="str">
            <v>0</v>
          </cell>
          <cell r="N155" t="str">
            <v>0</v>
          </cell>
          <cell r="O155" t="str">
            <v>0</v>
          </cell>
          <cell r="P155" t="str">
            <v>0</v>
          </cell>
          <cell r="Q155" t="str">
            <v>0</v>
          </cell>
          <cell r="R155" t="str">
            <v>0</v>
          </cell>
          <cell r="S155" t="str">
            <v>0</v>
          </cell>
          <cell r="T155" t="str">
            <v>0</v>
          </cell>
          <cell r="U155" t="str">
            <v>0</v>
          </cell>
          <cell r="V155" t="str">
            <v>0</v>
          </cell>
          <cell r="W155" t="str">
            <v>0</v>
          </cell>
          <cell r="X155" t="str">
            <v>0</v>
          </cell>
          <cell r="Y155" t="str">
            <v>0</v>
          </cell>
          <cell r="Z155" t="str">
            <v>0</v>
          </cell>
          <cell r="AA155" t="str">
            <v>0</v>
          </cell>
          <cell r="AB155" t="str">
            <v>0</v>
          </cell>
          <cell r="AC155" t="str">
            <v>0</v>
          </cell>
          <cell r="AD155" t="str">
            <v>0</v>
          </cell>
          <cell r="AE155" t="str">
            <v>0</v>
          </cell>
          <cell r="AF155" t="str">
            <v>0</v>
          </cell>
          <cell r="AG155" t="str">
            <v>0</v>
          </cell>
          <cell r="AH155" t="str">
            <v>0</v>
          </cell>
          <cell r="AI155" t="str">
            <v>0</v>
          </cell>
          <cell r="AJ155" t="str">
            <v>0</v>
          </cell>
          <cell r="AK155" t="str">
            <v>0</v>
          </cell>
          <cell r="AL155" t="str">
            <v>0</v>
          </cell>
          <cell r="AM155" t="str">
            <v>0</v>
          </cell>
          <cell r="AN155" t="str">
            <v>0</v>
          </cell>
          <cell r="AO155" t="str">
            <v>0</v>
          </cell>
          <cell r="AP155" t="str">
            <v>0</v>
          </cell>
          <cell r="AQ155" t="str">
            <v>0</v>
          </cell>
          <cell r="AR155" t="str">
            <v>0</v>
          </cell>
          <cell r="AS155" t="str">
            <v>0</v>
          </cell>
          <cell r="AT155" t="str">
            <v>0</v>
          </cell>
          <cell r="AU155" t="str">
            <v>0</v>
          </cell>
          <cell r="AV155" t="str">
            <v>0</v>
          </cell>
          <cell r="AW155" t="str">
            <v>0</v>
          </cell>
          <cell r="AX155" t="str">
            <v>0</v>
          </cell>
          <cell r="AY155" t="str">
            <v>0</v>
          </cell>
          <cell r="AZ155" t="str">
            <v>0</v>
          </cell>
          <cell r="BA155" t="str">
            <v>0</v>
          </cell>
          <cell r="BB155" t="str">
            <v>0</v>
          </cell>
          <cell r="BC155" t="str">
            <v>0</v>
          </cell>
          <cell r="BD155" t="str">
            <v>0</v>
          </cell>
          <cell r="BE155" t="str">
            <v>0</v>
          </cell>
          <cell r="BF155" t="str">
            <v>0</v>
          </cell>
          <cell r="BG155" t="str">
            <v>0</v>
          </cell>
          <cell r="BH155" t="str">
            <v>0</v>
          </cell>
          <cell r="BI155" t="str">
            <v>0</v>
          </cell>
          <cell r="BJ155" t="str">
            <v>0</v>
          </cell>
          <cell r="BK155" t="str">
            <v>0</v>
          </cell>
          <cell r="BL155" t="str">
            <v>0</v>
          </cell>
          <cell r="BM155" t="str">
            <v>0</v>
          </cell>
          <cell r="BN155" t="str">
            <v>0</v>
          </cell>
          <cell r="BO155" t="str">
            <v>0</v>
          </cell>
          <cell r="BP155" t="str">
            <v>0</v>
          </cell>
          <cell r="BQ155" t="str">
            <v>0</v>
          </cell>
          <cell r="BR155" t="str">
            <v>0</v>
          </cell>
          <cell r="BS155" t="str">
            <v>0</v>
          </cell>
          <cell r="BT155" t="str">
            <v>0</v>
          </cell>
          <cell r="BU155" t="str">
            <v>0</v>
          </cell>
          <cell r="BV155" t="str">
            <v>0</v>
          </cell>
          <cell r="BW155" t="str">
            <v>0</v>
          </cell>
          <cell r="BX155" t="str">
            <v>0</v>
          </cell>
          <cell r="BY155" t="str">
            <v>0</v>
          </cell>
          <cell r="BZ155" t="str">
            <v>0</v>
          </cell>
          <cell r="CA155" t="str">
            <v>0</v>
          </cell>
          <cell r="CB155" t="str">
            <v>0</v>
          </cell>
          <cell r="CC155" t="str">
            <v>0</v>
          </cell>
          <cell r="CD155" t="str">
            <v>0</v>
          </cell>
          <cell r="CE155" t="str">
            <v>0</v>
          </cell>
          <cell r="CF155" t="str">
            <v>0</v>
          </cell>
          <cell r="CG155" t="str">
            <v>0</v>
          </cell>
          <cell r="CH155" t="str">
            <v>0</v>
          </cell>
          <cell r="CI155" t="str">
            <v>0</v>
          </cell>
          <cell r="CJ155" t="str">
            <v>0</v>
          </cell>
          <cell r="CK155" t="str">
            <v>0</v>
          </cell>
          <cell r="CL155" t="str">
            <v>0</v>
          </cell>
          <cell r="CM155" t="str">
            <v>0</v>
          </cell>
          <cell r="CN155" t="str">
            <v>0</v>
          </cell>
          <cell r="CO155" t="str">
            <v>0</v>
          </cell>
          <cell r="CP155" t="str">
            <v>0</v>
          </cell>
          <cell r="CQ155" t="str">
            <v>0</v>
          </cell>
          <cell r="CR155" t="str">
            <v>0</v>
          </cell>
          <cell r="CS155" t="str">
            <v>0</v>
          </cell>
          <cell r="CT155" t="str">
            <v>0</v>
          </cell>
          <cell r="CU155" t="str">
            <v>0</v>
          </cell>
          <cell r="CV155" t="str">
            <v>0</v>
          </cell>
          <cell r="CW155" t="str">
            <v>0</v>
          </cell>
          <cell r="CX155" t="str">
            <v>0</v>
          </cell>
          <cell r="CY155" t="str">
            <v>0</v>
          </cell>
          <cell r="CZ155" t="str">
            <v>0</v>
          </cell>
          <cell r="DA155" t="str">
            <v>0</v>
          </cell>
          <cell r="DB155" t="str">
            <v>0</v>
          </cell>
          <cell r="DC155" t="str">
            <v>0</v>
          </cell>
          <cell r="DD155" t="str">
            <v>0</v>
          </cell>
          <cell r="DE155" t="str">
            <v>0</v>
          </cell>
          <cell r="DF155" t="str">
            <v>0</v>
          </cell>
          <cell r="DG155" t="str">
            <v>0</v>
          </cell>
          <cell r="DH155" t="str">
            <v>0</v>
          </cell>
          <cell r="DI155" t="str">
            <v>0</v>
          </cell>
          <cell r="DJ155" t="str">
            <v>0</v>
          </cell>
          <cell r="DK155" t="str">
            <v>0</v>
          </cell>
          <cell r="DL155" t="str">
            <v>0</v>
          </cell>
          <cell r="DM155" t="str">
            <v>0</v>
          </cell>
          <cell r="DN155" t="str">
            <v>0</v>
          </cell>
          <cell r="DO155" t="str">
            <v>0</v>
          </cell>
          <cell r="DP155" t="str">
            <v>0</v>
          </cell>
        </row>
        <row r="156">
          <cell r="C156"/>
          <cell r="D156" t="str">
            <v>0</v>
          </cell>
          <cell r="E156" t="str">
            <v>0</v>
          </cell>
          <cell r="F156" t="str">
            <v>0</v>
          </cell>
          <cell r="G156" t="str">
            <v>0</v>
          </cell>
          <cell r="H156" t="str">
            <v>0</v>
          </cell>
          <cell r="I156" t="str">
            <v>0</v>
          </cell>
          <cell r="J156" t="str">
            <v>0</v>
          </cell>
          <cell r="K156" t="str">
            <v>0</v>
          </cell>
          <cell r="L156" t="str">
            <v>0</v>
          </cell>
          <cell r="M156" t="str">
            <v>0</v>
          </cell>
          <cell r="N156" t="str">
            <v>0</v>
          </cell>
          <cell r="O156" t="str">
            <v>0</v>
          </cell>
          <cell r="P156" t="str">
            <v>0</v>
          </cell>
          <cell r="Q156" t="str">
            <v>0</v>
          </cell>
          <cell r="R156" t="str">
            <v>0</v>
          </cell>
          <cell r="S156" t="str">
            <v>0</v>
          </cell>
          <cell r="T156" t="str">
            <v>0</v>
          </cell>
          <cell r="U156" t="str">
            <v>0</v>
          </cell>
          <cell r="V156" t="str">
            <v>0</v>
          </cell>
          <cell r="W156" t="str">
            <v>0</v>
          </cell>
          <cell r="X156" t="str">
            <v>0</v>
          </cell>
          <cell r="Y156" t="str">
            <v>0</v>
          </cell>
          <cell r="Z156" t="str">
            <v>0</v>
          </cell>
          <cell r="AA156" t="str">
            <v>0</v>
          </cell>
          <cell r="AB156" t="str">
            <v>0</v>
          </cell>
          <cell r="AC156" t="str">
            <v>0</v>
          </cell>
          <cell r="AD156" t="str">
            <v>0</v>
          </cell>
          <cell r="AE156" t="str">
            <v>0</v>
          </cell>
          <cell r="AF156" t="str">
            <v>0</v>
          </cell>
          <cell r="AG156" t="str">
            <v>0</v>
          </cell>
          <cell r="AH156" t="str">
            <v>0</v>
          </cell>
          <cell r="AI156" t="str">
            <v>0</v>
          </cell>
          <cell r="AJ156" t="str">
            <v>0</v>
          </cell>
          <cell r="AK156" t="str">
            <v>0</v>
          </cell>
          <cell r="AL156" t="str">
            <v>0</v>
          </cell>
          <cell r="AM156" t="str">
            <v>0</v>
          </cell>
          <cell r="AN156" t="str">
            <v>0</v>
          </cell>
          <cell r="AO156" t="str">
            <v>0</v>
          </cell>
          <cell r="AP156" t="str">
            <v>0</v>
          </cell>
          <cell r="AQ156" t="str">
            <v>0</v>
          </cell>
          <cell r="AR156" t="str">
            <v>0</v>
          </cell>
          <cell r="AS156" t="str">
            <v>0</v>
          </cell>
          <cell r="AT156" t="str">
            <v>0</v>
          </cell>
          <cell r="AU156" t="str">
            <v>0</v>
          </cell>
          <cell r="AV156" t="str">
            <v>0</v>
          </cell>
          <cell r="AW156" t="str">
            <v>0</v>
          </cell>
          <cell r="AX156" t="str">
            <v>0</v>
          </cell>
          <cell r="AY156" t="str">
            <v>0</v>
          </cell>
          <cell r="AZ156" t="str">
            <v>0</v>
          </cell>
          <cell r="BA156" t="str">
            <v>0</v>
          </cell>
          <cell r="BB156" t="str">
            <v>0</v>
          </cell>
          <cell r="BC156" t="str">
            <v>0</v>
          </cell>
          <cell r="BD156" t="str">
            <v>0</v>
          </cell>
          <cell r="BE156" t="str">
            <v>0</v>
          </cell>
          <cell r="BF156" t="str">
            <v>0</v>
          </cell>
          <cell r="BG156" t="str">
            <v>0</v>
          </cell>
          <cell r="BH156" t="str">
            <v>0</v>
          </cell>
          <cell r="BI156" t="str">
            <v>0</v>
          </cell>
          <cell r="BJ156" t="str">
            <v>0</v>
          </cell>
          <cell r="BK156" t="str">
            <v>0</v>
          </cell>
          <cell r="BL156" t="str">
            <v>0</v>
          </cell>
          <cell r="BM156" t="str">
            <v>0</v>
          </cell>
          <cell r="BN156" t="str">
            <v>0</v>
          </cell>
          <cell r="BO156" t="str">
            <v>0</v>
          </cell>
          <cell r="BP156" t="str">
            <v>0</v>
          </cell>
          <cell r="BQ156" t="str">
            <v>0</v>
          </cell>
          <cell r="BR156" t="str">
            <v>0</v>
          </cell>
          <cell r="BS156" t="str">
            <v>0</v>
          </cell>
          <cell r="BT156" t="str">
            <v>0</v>
          </cell>
          <cell r="BU156" t="str">
            <v>0</v>
          </cell>
          <cell r="BV156" t="str">
            <v>0</v>
          </cell>
          <cell r="BW156" t="str">
            <v>0</v>
          </cell>
          <cell r="BX156" t="str">
            <v>0</v>
          </cell>
          <cell r="BY156" t="str">
            <v>0</v>
          </cell>
          <cell r="BZ156" t="str">
            <v>0</v>
          </cell>
          <cell r="CA156" t="str">
            <v>0</v>
          </cell>
          <cell r="CB156" t="str">
            <v>0</v>
          </cell>
          <cell r="CC156" t="str">
            <v>0</v>
          </cell>
          <cell r="CD156" t="str">
            <v>0</v>
          </cell>
          <cell r="CE156" t="str">
            <v>0</v>
          </cell>
          <cell r="CF156" t="str">
            <v>0</v>
          </cell>
          <cell r="CG156" t="str">
            <v>0</v>
          </cell>
          <cell r="CH156" t="str">
            <v>0</v>
          </cell>
          <cell r="CI156" t="str">
            <v>0</v>
          </cell>
          <cell r="CJ156" t="str">
            <v>0</v>
          </cell>
          <cell r="CK156" t="str">
            <v>0</v>
          </cell>
          <cell r="CL156" t="str">
            <v>0</v>
          </cell>
          <cell r="CM156" t="str">
            <v>0</v>
          </cell>
          <cell r="CN156" t="str">
            <v>0</v>
          </cell>
          <cell r="CO156" t="str">
            <v>0</v>
          </cell>
          <cell r="CP156" t="str">
            <v>0</v>
          </cell>
          <cell r="CQ156" t="str">
            <v>0</v>
          </cell>
          <cell r="CR156" t="str">
            <v>0</v>
          </cell>
          <cell r="CS156" t="str">
            <v>0</v>
          </cell>
          <cell r="CT156" t="str">
            <v>0</v>
          </cell>
          <cell r="CU156" t="str">
            <v>0</v>
          </cell>
          <cell r="CV156" t="str">
            <v>0</v>
          </cell>
          <cell r="CW156" t="str">
            <v>0</v>
          </cell>
          <cell r="CX156" t="str">
            <v>0</v>
          </cell>
          <cell r="CY156" t="str">
            <v>0</v>
          </cell>
          <cell r="CZ156" t="str">
            <v>0</v>
          </cell>
          <cell r="DA156" t="str">
            <v>0</v>
          </cell>
          <cell r="DB156" t="str">
            <v>0</v>
          </cell>
          <cell r="DC156" t="str">
            <v>0</v>
          </cell>
          <cell r="DD156" t="str">
            <v>0</v>
          </cell>
          <cell r="DE156" t="str">
            <v>0</v>
          </cell>
          <cell r="DF156" t="str">
            <v>0</v>
          </cell>
          <cell r="DG156" t="str">
            <v>0</v>
          </cell>
          <cell r="DH156" t="str">
            <v>0</v>
          </cell>
          <cell r="DI156" t="str">
            <v>0</v>
          </cell>
          <cell r="DJ156" t="str">
            <v>0</v>
          </cell>
          <cell r="DK156" t="str">
            <v>0</v>
          </cell>
          <cell r="DL156" t="str">
            <v>0</v>
          </cell>
          <cell r="DM156" t="str">
            <v>0</v>
          </cell>
          <cell r="DN156" t="str">
            <v>0</v>
          </cell>
          <cell r="DO156" t="str">
            <v>0</v>
          </cell>
          <cell r="DP156" t="str">
            <v>0</v>
          </cell>
        </row>
        <row r="157">
          <cell r="C157"/>
          <cell r="D157" t="str">
            <v>0</v>
          </cell>
          <cell r="E157" t="str">
            <v>0</v>
          </cell>
          <cell r="F157" t="str">
            <v>0</v>
          </cell>
          <cell r="G157" t="str">
            <v>0</v>
          </cell>
          <cell r="H157" t="str">
            <v>0</v>
          </cell>
          <cell r="I157" t="str">
            <v>0</v>
          </cell>
          <cell r="J157" t="str">
            <v>0</v>
          </cell>
          <cell r="K157" t="str">
            <v>0</v>
          </cell>
          <cell r="L157" t="str">
            <v>0</v>
          </cell>
          <cell r="M157" t="str">
            <v>0</v>
          </cell>
          <cell r="N157" t="str">
            <v>0</v>
          </cell>
          <cell r="O157" t="str">
            <v>0</v>
          </cell>
          <cell r="P157" t="str">
            <v>0</v>
          </cell>
          <cell r="Q157" t="str">
            <v>0</v>
          </cell>
          <cell r="R157" t="str">
            <v>0</v>
          </cell>
          <cell r="S157" t="str">
            <v>0</v>
          </cell>
          <cell r="T157" t="str">
            <v>0</v>
          </cell>
          <cell r="U157" t="str">
            <v>0</v>
          </cell>
          <cell r="V157" t="str">
            <v>0</v>
          </cell>
          <cell r="W157" t="str">
            <v>0</v>
          </cell>
          <cell r="X157" t="str">
            <v>0</v>
          </cell>
          <cell r="Y157" t="str">
            <v>0</v>
          </cell>
          <cell r="Z157" t="str">
            <v>0</v>
          </cell>
          <cell r="AA157" t="str">
            <v>0</v>
          </cell>
          <cell r="AB157" t="str">
            <v>0</v>
          </cell>
          <cell r="AC157" t="str">
            <v>0</v>
          </cell>
          <cell r="AD157" t="str">
            <v>0</v>
          </cell>
          <cell r="AE157" t="str">
            <v>0</v>
          </cell>
          <cell r="AF157" t="str">
            <v>0</v>
          </cell>
          <cell r="AG157" t="str">
            <v>0</v>
          </cell>
          <cell r="AH157" t="str">
            <v>0</v>
          </cell>
          <cell r="AI157" t="str">
            <v>0</v>
          </cell>
          <cell r="AJ157" t="str">
            <v>0</v>
          </cell>
          <cell r="AK157" t="str">
            <v>0</v>
          </cell>
          <cell r="AL157" t="str">
            <v>0</v>
          </cell>
          <cell r="AM157" t="str">
            <v>0</v>
          </cell>
          <cell r="AN157" t="str">
            <v>0</v>
          </cell>
          <cell r="AO157" t="str">
            <v>0</v>
          </cell>
          <cell r="AP157" t="str">
            <v>0</v>
          </cell>
          <cell r="AQ157" t="str">
            <v>0</v>
          </cell>
          <cell r="AR157" t="str">
            <v>0</v>
          </cell>
          <cell r="AS157" t="str">
            <v>0</v>
          </cell>
          <cell r="AT157" t="str">
            <v>0</v>
          </cell>
          <cell r="AU157" t="str">
            <v>0</v>
          </cell>
          <cell r="AV157" t="str">
            <v>0</v>
          </cell>
          <cell r="AW157" t="str">
            <v>0</v>
          </cell>
          <cell r="AX157" t="str">
            <v>0</v>
          </cell>
          <cell r="AY157" t="str">
            <v>0</v>
          </cell>
          <cell r="AZ157" t="str">
            <v>0</v>
          </cell>
          <cell r="BA157" t="str">
            <v>0</v>
          </cell>
          <cell r="BB157" t="str">
            <v>0</v>
          </cell>
          <cell r="BC157" t="str">
            <v>0</v>
          </cell>
          <cell r="BD157" t="str">
            <v>0</v>
          </cell>
          <cell r="BE157" t="str">
            <v>0</v>
          </cell>
          <cell r="BF157" t="str">
            <v>0</v>
          </cell>
          <cell r="BG157" t="str">
            <v>0</v>
          </cell>
          <cell r="BH157" t="str">
            <v>0</v>
          </cell>
          <cell r="BI157" t="str">
            <v>0</v>
          </cell>
          <cell r="BJ157" t="str">
            <v>0</v>
          </cell>
          <cell r="BK157" t="str">
            <v>0</v>
          </cell>
          <cell r="BL157" t="str">
            <v>0</v>
          </cell>
          <cell r="BM157" t="str">
            <v>0</v>
          </cell>
          <cell r="BN157" t="str">
            <v>0</v>
          </cell>
          <cell r="BO157" t="str">
            <v>0</v>
          </cell>
          <cell r="BP157" t="str">
            <v>0</v>
          </cell>
          <cell r="BQ157" t="str">
            <v>0</v>
          </cell>
          <cell r="BR157" t="str">
            <v>0</v>
          </cell>
          <cell r="BS157" t="str">
            <v>0</v>
          </cell>
          <cell r="BT157" t="str">
            <v>0</v>
          </cell>
          <cell r="BU157" t="str">
            <v>0</v>
          </cell>
          <cell r="BV157" t="str">
            <v>0</v>
          </cell>
          <cell r="BW157" t="str">
            <v>0</v>
          </cell>
          <cell r="BX157" t="str">
            <v>0</v>
          </cell>
          <cell r="BY157" t="str">
            <v>0</v>
          </cell>
          <cell r="BZ157" t="str">
            <v>0</v>
          </cell>
          <cell r="CA157" t="str">
            <v>0</v>
          </cell>
          <cell r="CB157" t="str">
            <v>0</v>
          </cell>
          <cell r="CC157" t="str">
            <v>0</v>
          </cell>
          <cell r="CD157" t="str">
            <v>0</v>
          </cell>
          <cell r="CE157" t="str">
            <v>0</v>
          </cell>
          <cell r="CF157" t="str">
            <v>0</v>
          </cell>
          <cell r="CG157" t="str">
            <v>0</v>
          </cell>
          <cell r="CH157" t="str">
            <v>0</v>
          </cell>
          <cell r="CI157" t="str">
            <v>0</v>
          </cell>
          <cell r="CJ157" t="str">
            <v>0</v>
          </cell>
          <cell r="CK157" t="str">
            <v>0</v>
          </cell>
          <cell r="CL157" t="str">
            <v>0</v>
          </cell>
          <cell r="CM157" t="str">
            <v>0</v>
          </cell>
          <cell r="CN157" t="str">
            <v>0</v>
          </cell>
          <cell r="CO157" t="str">
            <v>0</v>
          </cell>
          <cell r="CP157" t="str">
            <v>0</v>
          </cell>
          <cell r="CQ157" t="str">
            <v>0</v>
          </cell>
          <cell r="CR157" t="str">
            <v>0</v>
          </cell>
          <cell r="CS157" t="str">
            <v>0</v>
          </cell>
          <cell r="CT157" t="str">
            <v>0</v>
          </cell>
          <cell r="CU157" t="str">
            <v>0</v>
          </cell>
          <cell r="CV157" t="str">
            <v>0</v>
          </cell>
          <cell r="CW157" t="str">
            <v>0</v>
          </cell>
          <cell r="CX157" t="str">
            <v>0</v>
          </cell>
          <cell r="CY157" t="str">
            <v>0</v>
          </cell>
          <cell r="CZ157" t="str">
            <v>0</v>
          </cell>
          <cell r="DA157" t="str">
            <v>0</v>
          </cell>
          <cell r="DB157" t="str">
            <v>0</v>
          </cell>
          <cell r="DC157" t="str">
            <v>0</v>
          </cell>
          <cell r="DD157" t="str">
            <v>0</v>
          </cell>
          <cell r="DE157" t="str">
            <v>0</v>
          </cell>
          <cell r="DF157" t="str">
            <v>0</v>
          </cell>
          <cell r="DG157" t="str">
            <v>0</v>
          </cell>
          <cell r="DH157" t="str">
            <v>0</v>
          </cell>
          <cell r="DI157" t="str">
            <v>0</v>
          </cell>
          <cell r="DJ157" t="str">
            <v>0</v>
          </cell>
          <cell r="DK157" t="str">
            <v>0</v>
          </cell>
          <cell r="DL157" t="str">
            <v>0</v>
          </cell>
          <cell r="DM157" t="str">
            <v>0</v>
          </cell>
          <cell r="DN157" t="str">
            <v>0</v>
          </cell>
          <cell r="DO157" t="str">
            <v>0</v>
          </cell>
          <cell r="DP157" t="str">
            <v>0</v>
          </cell>
        </row>
        <row r="158">
          <cell r="C158"/>
          <cell r="D158" t="str">
            <v>0</v>
          </cell>
          <cell r="E158" t="str">
            <v>0</v>
          </cell>
          <cell r="F158" t="str">
            <v>0</v>
          </cell>
          <cell r="G158" t="str">
            <v>0</v>
          </cell>
          <cell r="H158" t="str">
            <v>0</v>
          </cell>
          <cell r="I158" t="str">
            <v>0</v>
          </cell>
          <cell r="J158" t="str">
            <v>0</v>
          </cell>
          <cell r="K158" t="str">
            <v>0</v>
          </cell>
          <cell r="L158" t="str">
            <v>0</v>
          </cell>
          <cell r="M158" t="str">
            <v>0</v>
          </cell>
          <cell r="N158" t="str">
            <v>0</v>
          </cell>
          <cell r="O158" t="str">
            <v>0</v>
          </cell>
          <cell r="P158" t="str">
            <v>0</v>
          </cell>
          <cell r="Q158" t="str">
            <v>0</v>
          </cell>
          <cell r="R158" t="str">
            <v>0</v>
          </cell>
          <cell r="S158" t="str">
            <v>0</v>
          </cell>
          <cell r="T158" t="str">
            <v>0</v>
          </cell>
          <cell r="U158" t="str">
            <v>0</v>
          </cell>
          <cell r="V158" t="str">
            <v>0</v>
          </cell>
          <cell r="W158" t="str">
            <v>0</v>
          </cell>
          <cell r="X158" t="str">
            <v>0</v>
          </cell>
          <cell r="Y158" t="str">
            <v>0</v>
          </cell>
          <cell r="Z158" t="str">
            <v>0</v>
          </cell>
          <cell r="AA158" t="str">
            <v>0</v>
          </cell>
          <cell r="AB158" t="str">
            <v>0</v>
          </cell>
          <cell r="AC158" t="str">
            <v>0</v>
          </cell>
          <cell r="AD158" t="str">
            <v>0</v>
          </cell>
          <cell r="AE158" t="str">
            <v>0</v>
          </cell>
          <cell r="AF158" t="str">
            <v>0</v>
          </cell>
          <cell r="AG158" t="str">
            <v>0</v>
          </cell>
          <cell r="AH158" t="str">
            <v>0</v>
          </cell>
          <cell r="AI158" t="str">
            <v>0</v>
          </cell>
          <cell r="AJ158" t="str">
            <v>0</v>
          </cell>
          <cell r="AK158" t="str">
            <v>0</v>
          </cell>
          <cell r="AL158" t="str">
            <v>0</v>
          </cell>
          <cell r="AM158" t="str">
            <v>0</v>
          </cell>
          <cell r="AN158" t="str">
            <v>0</v>
          </cell>
          <cell r="AO158" t="str">
            <v>0</v>
          </cell>
          <cell r="AP158" t="str">
            <v>0</v>
          </cell>
          <cell r="AQ158" t="str">
            <v>0</v>
          </cell>
          <cell r="AR158" t="str">
            <v>0</v>
          </cell>
          <cell r="AS158" t="str">
            <v>0</v>
          </cell>
          <cell r="AT158" t="str">
            <v>0</v>
          </cell>
          <cell r="AU158" t="str">
            <v>0</v>
          </cell>
          <cell r="AV158" t="str">
            <v>0</v>
          </cell>
          <cell r="AW158" t="str">
            <v>0</v>
          </cell>
          <cell r="AX158" t="str">
            <v>0</v>
          </cell>
          <cell r="AY158" t="str">
            <v>0</v>
          </cell>
          <cell r="AZ158" t="str">
            <v>0</v>
          </cell>
          <cell r="BA158" t="str">
            <v>0</v>
          </cell>
          <cell r="BB158" t="str">
            <v>0</v>
          </cell>
          <cell r="BC158" t="str">
            <v>0</v>
          </cell>
          <cell r="BD158" t="str">
            <v>0</v>
          </cell>
          <cell r="BE158" t="str">
            <v>0</v>
          </cell>
          <cell r="BF158" t="str">
            <v>0</v>
          </cell>
          <cell r="BG158" t="str">
            <v>0</v>
          </cell>
          <cell r="BH158" t="str">
            <v>0</v>
          </cell>
          <cell r="BI158" t="str">
            <v>0</v>
          </cell>
          <cell r="BJ158" t="str">
            <v>0</v>
          </cell>
          <cell r="BK158" t="str">
            <v>0</v>
          </cell>
          <cell r="BL158" t="str">
            <v>0</v>
          </cell>
          <cell r="BM158" t="str">
            <v>0</v>
          </cell>
          <cell r="BN158" t="str">
            <v>0</v>
          </cell>
          <cell r="BO158" t="str">
            <v>0</v>
          </cell>
          <cell r="BP158" t="str">
            <v>0</v>
          </cell>
          <cell r="BQ158" t="str">
            <v>0</v>
          </cell>
          <cell r="BR158" t="str">
            <v>0</v>
          </cell>
          <cell r="BS158" t="str">
            <v>0</v>
          </cell>
          <cell r="BT158" t="str">
            <v>0</v>
          </cell>
          <cell r="BU158" t="str">
            <v>0</v>
          </cell>
          <cell r="BV158" t="str">
            <v>0</v>
          </cell>
          <cell r="BW158" t="str">
            <v>0</v>
          </cell>
          <cell r="BX158" t="str">
            <v>0</v>
          </cell>
          <cell r="BY158" t="str">
            <v>0</v>
          </cell>
          <cell r="BZ158" t="str">
            <v>0</v>
          </cell>
          <cell r="CA158" t="str">
            <v>0</v>
          </cell>
          <cell r="CB158" t="str">
            <v>0</v>
          </cell>
          <cell r="CC158" t="str">
            <v>0</v>
          </cell>
          <cell r="CD158" t="str">
            <v>0</v>
          </cell>
          <cell r="CE158" t="str">
            <v>0</v>
          </cell>
          <cell r="CF158" t="str">
            <v>0</v>
          </cell>
          <cell r="CG158" t="str">
            <v>0</v>
          </cell>
          <cell r="CH158" t="str">
            <v>0</v>
          </cell>
          <cell r="CI158" t="str">
            <v>0</v>
          </cell>
          <cell r="CJ158" t="str">
            <v>0</v>
          </cell>
          <cell r="CK158" t="str">
            <v>0</v>
          </cell>
          <cell r="CL158" t="str">
            <v>0</v>
          </cell>
          <cell r="CM158" t="str">
            <v>0</v>
          </cell>
          <cell r="CN158" t="str">
            <v>0</v>
          </cell>
          <cell r="CO158" t="str">
            <v>0</v>
          </cell>
          <cell r="CP158" t="str">
            <v>0</v>
          </cell>
          <cell r="CQ158" t="str">
            <v>0</v>
          </cell>
          <cell r="CR158" t="str">
            <v>0</v>
          </cell>
          <cell r="CS158" t="str">
            <v>0</v>
          </cell>
          <cell r="CT158" t="str">
            <v>0</v>
          </cell>
          <cell r="CU158" t="str">
            <v>0</v>
          </cell>
          <cell r="CV158" t="str">
            <v>0</v>
          </cell>
          <cell r="CW158" t="str">
            <v>0</v>
          </cell>
          <cell r="CX158" t="str">
            <v>0</v>
          </cell>
          <cell r="CY158" t="str">
            <v>0</v>
          </cell>
          <cell r="CZ158" t="str">
            <v>0</v>
          </cell>
          <cell r="DA158" t="str">
            <v>0</v>
          </cell>
          <cell r="DB158" t="str">
            <v>0</v>
          </cell>
          <cell r="DC158" t="str">
            <v>0</v>
          </cell>
          <cell r="DD158" t="str">
            <v>0</v>
          </cell>
          <cell r="DE158" t="str">
            <v>0</v>
          </cell>
          <cell r="DF158" t="str">
            <v>0</v>
          </cell>
          <cell r="DG158" t="str">
            <v>0</v>
          </cell>
          <cell r="DH158" t="str">
            <v>0</v>
          </cell>
          <cell r="DI158" t="str">
            <v>0</v>
          </cell>
          <cell r="DJ158" t="str">
            <v>0</v>
          </cell>
          <cell r="DK158" t="str">
            <v>0</v>
          </cell>
          <cell r="DL158" t="str">
            <v>0</v>
          </cell>
          <cell r="DM158" t="str">
            <v>0</v>
          </cell>
          <cell r="DN158" t="str">
            <v>0</v>
          </cell>
          <cell r="DO158" t="str">
            <v>0</v>
          </cell>
          <cell r="DP158" t="str">
            <v>0</v>
          </cell>
        </row>
        <row r="159">
          <cell r="C159"/>
          <cell r="D159" t="str">
            <v>0</v>
          </cell>
          <cell r="E159" t="str">
            <v>0</v>
          </cell>
          <cell r="F159" t="str">
            <v>0</v>
          </cell>
          <cell r="G159" t="str">
            <v>0</v>
          </cell>
          <cell r="H159" t="str">
            <v>0</v>
          </cell>
          <cell r="I159" t="str">
            <v>0</v>
          </cell>
          <cell r="J159" t="str">
            <v>0</v>
          </cell>
          <cell r="K159" t="str">
            <v>0</v>
          </cell>
          <cell r="L159" t="str">
            <v>0</v>
          </cell>
          <cell r="M159" t="str">
            <v>0</v>
          </cell>
          <cell r="N159" t="str">
            <v>0</v>
          </cell>
          <cell r="O159" t="str">
            <v>0</v>
          </cell>
          <cell r="P159" t="str">
            <v>0</v>
          </cell>
          <cell r="Q159" t="str">
            <v>0</v>
          </cell>
          <cell r="R159" t="str">
            <v>0</v>
          </cell>
          <cell r="S159" t="str">
            <v>0</v>
          </cell>
          <cell r="T159" t="str">
            <v>0</v>
          </cell>
          <cell r="U159" t="str">
            <v>0</v>
          </cell>
          <cell r="V159" t="str">
            <v>0</v>
          </cell>
          <cell r="W159" t="str">
            <v>0</v>
          </cell>
          <cell r="X159" t="str">
            <v>0</v>
          </cell>
          <cell r="Y159" t="str">
            <v>0</v>
          </cell>
          <cell r="Z159" t="str">
            <v>0</v>
          </cell>
          <cell r="AA159" t="str">
            <v>0</v>
          </cell>
          <cell r="AB159" t="str">
            <v>0</v>
          </cell>
          <cell r="AC159" t="str">
            <v>0</v>
          </cell>
          <cell r="AD159" t="str">
            <v>0</v>
          </cell>
          <cell r="AE159" t="str">
            <v>0</v>
          </cell>
          <cell r="AF159" t="str">
            <v>0</v>
          </cell>
          <cell r="AG159" t="str">
            <v>0</v>
          </cell>
          <cell r="AH159" t="str">
            <v>0</v>
          </cell>
          <cell r="AI159" t="str">
            <v>0</v>
          </cell>
          <cell r="AJ159" t="str">
            <v>0</v>
          </cell>
          <cell r="AK159" t="str">
            <v>0</v>
          </cell>
          <cell r="AL159" t="str">
            <v>0</v>
          </cell>
          <cell r="AM159" t="str">
            <v>0</v>
          </cell>
          <cell r="AN159" t="str">
            <v>0</v>
          </cell>
          <cell r="AO159" t="str">
            <v>0</v>
          </cell>
          <cell r="AP159" t="str">
            <v>0</v>
          </cell>
          <cell r="AQ159" t="str">
            <v>0</v>
          </cell>
          <cell r="AR159" t="str">
            <v>0</v>
          </cell>
          <cell r="AS159" t="str">
            <v>0</v>
          </cell>
          <cell r="AT159" t="str">
            <v>0</v>
          </cell>
          <cell r="AU159" t="str">
            <v>0</v>
          </cell>
          <cell r="AV159" t="str">
            <v>0</v>
          </cell>
          <cell r="AW159" t="str">
            <v>0</v>
          </cell>
          <cell r="AX159" t="str">
            <v>0</v>
          </cell>
          <cell r="AY159" t="str">
            <v>0</v>
          </cell>
          <cell r="AZ159" t="str">
            <v>0</v>
          </cell>
          <cell r="BA159" t="str">
            <v>0</v>
          </cell>
          <cell r="BB159" t="str">
            <v>0</v>
          </cell>
          <cell r="BC159" t="str">
            <v>0</v>
          </cell>
          <cell r="BD159" t="str">
            <v>0</v>
          </cell>
          <cell r="BE159" t="str">
            <v>0</v>
          </cell>
          <cell r="BF159" t="str">
            <v>0</v>
          </cell>
          <cell r="BG159" t="str">
            <v>0</v>
          </cell>
          <cell r="BH159" t="str">
            <v>0</v>
          </cell>
          <cell r="BI159" t="str">
            <v>0</v>
          </cell>
          <cell r="BJ159" t="str">
            <v>0</v>
          </cell>
          <cell r="BK159" t="str">
            <v>0</v>
          </cell>
          <cell r="BL159" t="str">
            <v>0</v>
          </cell>
          <cell r="BM159" t="str">
            <v>0</v>
          </cell>
          <cell r="BN159" t="str">
            <v>0</v>
          </cell>
          <cell r="BO159" t="str">
            <v>0</v>
          </cell>
          <cell r="BP159" t="str">
            <v>0</v>
          </cell>
          <cell r="BQ159" t="str">
            <v>0</v>
          </cell>
          <cell r="BR159" t="str">
            <v>0</v>
          </cell>
          <cell r="BS159" t="str">
            <v>0</v>
          </cell>
          <cell r="BT159" t="str">
            <v>0</v>
          </cell>
          <cell r="BU159" t="str">
            <v>0</v>
          </cell>
          <cell r="BV159" t="str">
            <v>0</v>
          </cell>
          <cell r="BW159" t="str">
            <v>0</v>
          </cell>
          <cell r="BX159" t="str">
            <v>0</v>
          </cell>
          <cell r="BY159" t="str">
            <v>0</v>
          </cell>
          <cell r="BZ159" t="str">
            <v>0</v>
          </cell>
          <cell r="CA159" t="str">
            <v>0</v>
          </cell>
          <cell r="CB159" t="str">
            <v>0</v>
          </cell>
          <cell r="CC159" t="str">
            <v>0</v>
          </cell>
          <cell r="CD159" t="str">
            <v>0</v>
          </cell>
          <cell r="CE159" t="str">
            <v>0</v>
          </cell>
          <cell r="CF159" t="str">
            <v>0</v>
          </cell>
          <cell r="CG159" t="str">
            <v>0</v>
          </cell>
          <cell r="CH159" t="str">
            <v>0</v>
          </cell>
          <cell r="CI159" t="str">
            <v>0</v>
          </cell>
          <cell r="CJ159" t="str">
            <v>0</v>
          </cell>
          <cell r="CK159" t="str">
            <v>0</v>
          </cell>
          <cell r="CL159" t="str">
            <v>0</v>
          </cell>
          <cell r="CM159" t="str">
            <v>0</v>
          </cell>
          <cell r="CN159" t="str">
            <v>0</v>
          </cell>
          <cell r="CO159" t="str">
            <v>0</v>
          </cell>
          <cell r="CP159" t="str">
            <v>0</v>
          </cell>
          <cell r="CQ159" t="str">
            <v>0</v>
          </cell>
          <cell r="CR159" t="str">
            <v>0</v>
          </cell>
          <cell r="CS159" t="str">
            <v>0</v>
          </cell>
          <cell r="CT159" t="str">
            <v>0</v>
          </cell>
          <cell r="CU159" t="str">
            <v>0</v>
          </cell>
          <cell r="CV159" t="str">
            <v>0</v>
          </cell>
          <cell r="CW159" t="str">
            <v>0</v>
          </cell>
          <cell r="CX159" t="str">
            <v>0</v>
          </cell>
          <cell r="CY159" t="str">
            <v>0</v>
          </cell>
          <cell r="CZ159" t="str">
            <v>0</v>
          </cell>
          <cell r="DA159" t="str">
            <v>0</v>
          </cell>
          <cell r="DB159" t="str">
            <v>0</v>
          </cell>
          <cell r="DC159" t="str">
            <v>0</v>
          </cell>
          <cell r="DD159" t="str">
            <v>0</v>
          </cell>
          <cell r="DE159" t="str">
            <v>0</v>
          </cell>
          <cell r="DF159" t="str">
            <v>0</v>
          </cell>
          <cell r="DG159" t="str">
            <v>0</v>
          </cell>
          <cell r="DH159" t="str">
            <v>0</v>
          </cell>
          <cell r="DI159" t="str">
            <v>0</v>
          </cell>
          <cell r="DJ159" t="str">
            <v>0</v>
          </cell>
          <cell r="DK159" t="str">
            <v>0</v>
          </cell>
          <cell r="DL159" t="str">
            <v>0</v>
          </cell>
          <cell r="DM159" t="str">
            <v>0</v>
          </cell>
          <cell r="DN159" t="str">
            <v>0</v>
          </cell>
          <cell r="DO159" t="str">
            <v>0</v>
          </cell>
          <cell r="DP159" t="str">
            <v>0</v>
          </cell>
        </row>
        <row r="160">
          <cell r="C160"/>
          <cell r="D160" t="str">
            <v>0</v>
          </cell>
          <cell r="E160" t="str">
            <v>0</v>
          </cell>
          <cell r="F160" t="str">
            <v>0</v>
          </cell>
          <cell r="G160" t="str">
            <v>0</v>
          </cell>
          <cell r="H160" t="str">
            <v>0</v>
          </cell>
          <cell r="I160" t="str">
            <v>0</v>
          </cell>
          <cell r="J160" t="str">
            <v>0</v>
          </cell>
          <cell r="K160" t="str">
            <v>0</v>
          </cell>
          <cell r="L160" t="str">
            <v>0</v>
          </cell>
          <cell r="M160" t="str">
            <v>0</v>
          </cell>
          <cell r="N160" t="str">
            <v>0</v>
          </cell>
          <cell r="O160" t="str">
            <v>0</v>
          </cell>
          <cell r="P160" t="str">
            <v>0</v>
          </cell>
          <cell r="Q160" t="str">
            <v>0</v>
          </cell>
          <cell r="R160" t="str">
            <v>0</v>
          </cell>
          <cell r="S160" t="str">
            <v>0</v>
          </cell>
          <cell r="T160" t="str">
            <v>0</v>
          </cell>
          <cell r="U160" t="str">
            <v>0</v>
          </cell>
          <cell r="V160" t="str">
            <v>0</v>
          </cell>
          <cell r="W160" t="str">
            <v>0</v>
          </cell>
          <cell r="X160" t="str">
            <v>0</v>
          </cell>
          <cell r="Y160" t="str">
            <v>0</v>
          </cell>
          <cell r="Z160" t="str">
            <v>0</v>
          </cell>
          <cell r="AA160" t="str">
            <v>0</v>
          </cell>
          <cell r="AB160" t="str">
            <v>0</v>
          </cell>
          <cell r="AC160" t="str">
            <v>0</v>
          </cell>
          <cell r="AD160" t="str">
            <v>0</v>
          </cell>
          <cell r="AE160" t="str">
            <v>0</v>
          </cell>
          <cell r="AF160" t="str">
            <v>0</v>
          </cell>
          <cell r="AG160" t="str">
            <v>0</v>
          </cell>
          <cell r="AH160" t="str">
            <v>0</v>
          </cell>
          <cell r="AI160" t="str">
            <v>0</v>
          </cell>
          <cell r="AJ160" t="str">
            <v>0</v>
          </cell>
          <cell r="AK160" t="str">
            <v>0</v>
          </cell>
          <cell r="AL160" t="str">
            <v>0</v>
          </cell>
          <cell r="AM160" t="str">
            <v>0</v>
          </cell>
          <cell r="AN160" t="str">
            <v>0</v>
          </cell>
          <cell r="AO160" t="str">
            <v>0</v>
          </cell>
          <cell r="AP160" t="str">
            <v>0</v>
          </cell>
          <cell r="AQ160" t="str">
            <v>0</v>
          </cell>
          <cell r="AR160" t="str">
            <v>0</v>
          </cell>
          <cell r="AS160" t="str">
            <v>0</v>
          </cell>
          <cell r="AT160" t="str">
            <v>0</v>
          </cell>
          <cell r="AU160" t="str">
            <v>0</v>
          </cell>
          <cell r="AV160" t="str">
            <v>0</v>
          </cell>
          <cell r="AW160" t="str">
            <v>0</v>
          </cell>
          <cell r="AX160" t="str">
            <v>0</v>
          </cell>
          <cell r="AY160" t="str">
            <v>0</v>
          </cell>
          <cell r="AZ160" t="str">
            <v>0</v>
          </cell>
          <cell r="BA160" t="str">
            <v>0</v>
          </cell>
          <cell r="BB160" t="str">
            <v>0</v>
          </cell>
          <cell r="BC160" t="str">
            <v>0</v>
          </cell>
          <cell r="BD160" t="str">
            <v>0</v>
          </cell>
          <cell r="BE160" t="str">
            <v>0</v>
          </cell>
          <cell r="BF160" t="str">
            <v>0</v>
          </cell>
          <cell r="BG160" t="str">
            <v>0</v>
          </cell>
          <cell r="BH160" t="str">
            <v>0</v>
          </cell>
          <cell r="BI160" t="str">
            <v>0</v>
          </cell>
          <cell r="BJ160" t="str">
            <v>0</v>
          </cell>
          <cell r="BK160" t="str">
            <v>0</v>
          </cell>
          <cell r="BL160" t="str">
            <v>0</v>
          </cell>
          <cell r="BM160" t="str">
            <v>0</v>
          </cell>
          <cell r="BN160" t="str">
            <v>0</v>
          </cell>
          <cell r="BO160" t="str">
            <v>0</v>
          </cell>
          <cell r="BP160" t="str">
            <v>0</v>
          </cell>
          <cell r="BQ160" t="str">
            <v>0</v>
          </cell>
          <cell r="BR160" t="str">
            <v>0</v>
          </cell>
          <cell r="BS160" t="str">
            <v>0</v>
          </cell>
          <cell r="BT160" t="str">
            <v>0</v>
          </cell>
          <cell r="BU160" t="str">
            <v>0</v>
          </cell>
          <cell r="BV160" t="str">
            <v>0</v>
          </cell>
          <cell r="BW160" t="str">
            <v>0</v>
          </cell>
          <cell r="BX160" t="str">
            <v>0</v>
          </cell>
          <cell r="BY160" t="str">
            <v>0</v>
          </cell>
          <cell r="BZ160" t="str">
            <v>0</v>
          </cell>
          <cell r="CA160" t="str">
            <v>0</v>
          </cell>
          <cell r="CB160" t="str">
            <v>0</v>
          </cell>
          <cell r="CC160" t="str">
            <v>0</v>
          </cell>
          <cell r="CD160" t="str">
            <v>0</v>
          </cell>
          <cell r="CE160" t="str">
            <v>0</v>
          </cell>
          <cell r="CF160" t="str">
            <v>0</v>
          </cell>
          <cell r="CG160" t="str">
            <v>0</v>
          </cell>
          <cell r="CH160" t="str">
            <v>0</v>
          </cell>
          <cell r="CI160" t="str">
            <v>0</v>
          </cell>
          <cell r="CJ160" t="str">
            <v>0</v>
          </cell>
          <cell r="CK160" t="str">
            <v>0</v>
          </cell>
          <cell r="CL160" t="str">
            <v>0</v>
          </cell>
          <cell r="CM160" t="str">
            <v>0</v>
          </cell>
          <cell r="CN160" t="str">
            <v>0</v>
          </cell>
          <cell r="CO160" t="str">
            <v>0</v>
          </cell>
          <cell r="CP160" t="str">
            <v>0</v>
          </cell>
          <cell r="CQ160" t="str">
            <v>0</v>
          </cell>
          <cell r="CR160" t="str">
            <v>0</v>
          </cell>
          <cell r="CS160" t="str">
            <v>0</v>
          </cell>
          <cell r="CT160" t="str">
            <v>0</v>
          </cell>
          <cell r="CU160" t="str">
            <v>0</v>
          </cell>
          <cell r="CV160" t="str">
            <v>0</v>
          </cell>
          <cell r="CW160" t="str">
            <v>0</v>
          </cell>
          <cell r="CX160" t="str">
            <v>0</v>
          </cell>
          <cell r="CY160" t="str">
            <v>0</v>
          </cell>
          <cell r="CZ160" t="str">
            <v>0</v>
          </cell>
          <cell r="DA160" t="str">
            <v>0</v>
          </cell>
          <cell r="DB160" t="str">
            <v>0</v>
          </cell>
          <cell r="DC160" t="str">
            <v>0</v>
          </cell>
          <cell r="DD160" t="str">
            <v>0</v>
          </cell>
          <cell r="DE160" t="str">
            <v>0</v>
          </cell>
          <cell r="DF160" t="str">
            <v>0</v>
          </cell>
          <cell r="DG160" t="str">
            <v>0</v>
          </cell>
          <cell r="DH160" t="str">
            <v>0</v>
          </cell>
          <cell r="DI160" t="str">
            <v>0</v>
          </cell>
          <cell r="DJ160" t="str">
            <v>0</v>
          </cell>
          <cell r="DK160" t="str">
            <v>0</v>
          </cell>
          <cell r="DL160" t="str">
            <v>0</v>
          </cell>
          <cell r="DM160" t="str">
            <v>0</v>
          </cell>
          <cell r="DN160" t="str">
            <v>0</v>
          </cell>
          <cell r="DO160" t="str">
            <v>0</v>
          </cell>
          <cell r="DP160" t="str">
            <v>0</v>
          </cell>
        </row>
        <row r="161">
          <cell r="C161"/>
          <cell r="D161" t="str">
            <v>0</v>
          </cell>
          <cell r="E161" t="str">
            <v>0</v>
          </cell>
          <cell r="F161" t="str">
            <v>0</v>
          </cell>
          <cell r="G161" t="str">
            <v>0</v>
          </cell>
          <cell r="H161" t="str">
            <v>0</v>
          </cell>
          <cell r="I161" t="str">
            <v>0</v>
          </cell>
          <cell r="J161" t="str">
            <v>0</v>
          </cell>
          <cell r="K161" t="str">
            <v>0</v>
          </cell>
          <cell r="L161" t="str">
            <v>0</v>
          </cell>
          <cell r="M161" t="str">
            <v>0</v>
          </cell>
          <cell r="N161" t="str">
            <v>0</v>
          </cell>
          <cell r="O161" t="str">
            <v>0</v>
          </cell>
          <cell r="P161" t="str">
            <v>0</v>
          </cell>
          <cell r="Q161" t="str">
            <v>0</v>
          </cell>
          <cell r="R161" t="str">
            <v>0</v>
          </cell>
          <cell r="S161" t="str">
            <v>0</v>
          </cell>
          <cell r="T161" t="str">
            <v>0</v>
          </cell>
          <cell r="U161" t="str">
            <v>0</v>
          </cell>
          <cell r="V161" t="str">
            <v>0</v>
          </cell>
          <cell r="W161" t="str">
            <v>0</v>
          </cell>
          <cell r="X161" t="str">
            <v>0</v>
          </cell>
          <cell r="Y161" t="str">
            <v>0</v>
          </cell>
          <cell r="Z161" t="str">
            <v>0</v>
          </cell>
          <cell r="AA161" t="str">
            <v>0</v>
          </cell>
          <cell r="AB161" t="str">
            <v>0</v>
          </cell>
          <cell r="AC161" t="str">
            <v>0</v>
          </cell>
          <cell r="AD161" t="str">
            <v>0</v>
          </cell>
          <cell r="AE161" t="str">
            <v>0</v>
          </cell>
          <cell r="AF161" t="str">
            <v>0</v>
          </cell>
          <cell r="AG161" t="str">
            <v>0</v>
          </cell>
          <cell r="AH161" t="str">
            <v>0</v>
          </cell>
          <cell r="AI161" t="str">
            <v>0</v>
          </cell>
          <cell r="AJ161" t="str">
            <v>0</v>
          </cell>
          <cell r="AK161" t="str">
            <v>0</v>
          </cell>
          <cell r="AL161" t="str">
            <v>0</v>
          </cell>
          <cell r="AM161" t="str">
            <v>0</v>
          </cell>
          <cell r="AN161" t="str">
            <v>0</v>
          </cell>
          <cell r="AO161" t="str">
            <v>0</v>
          </cell>
          <cell r="AP161" t="str">
            <v>0</v>
          </cell>
          <cell r="AQ161" t="str">
            <v>0</v>
          </cell>
          <cell r="AR161" t="str">
            <v>0</v>
          </cell>
          <cell r="AS161" t="str">
            <v>0</v>
          </cell>
          <cell r="AT161" t="str">
            <v>0</v>
          </cell>
          <cell r="AU161" t="str">
            <v>0</v>
          </cell>
          <cell r="AV161" t="str">
            <v>0</v>
          </cell>
          <cell r="AW161" t="str">
            <v>0</v>
          </cell>
          <cell r="AX161" t="str">
            <v>0</v>
          </cell>
          <cell r="AY161" t="str">
            <v>0</v>
          </cell>
          <cell r="AZ161" t="str">
            <v>0</v>
          </cell>
          <cell r="BA161" t="str">
            <v>0</v>
          </cell>
          <cell r="BB161" t="str">
            <v>0</v>
          </cell>
          <cell r="BC161" t="str">
            <v>0</v>
          </cell>
          <cell r="BD161" t="str">
            <v>0</v>
          </cell>
          <cell r="BE161" t="str">
            <v>0</v>
          </cell>
          <cell r="BF161" t="str">
            <v>0</v>
          </cell>
          <cell r="BG161" t="str">
            <v>0</v>
          </cell>
          <cell r="BH161" t="str">
            <v>0</v>
          </cell>
          <cell r="BI161" t="str">
            <v>0</v>
          </cell>
          <cell r="BJ161" t="str">
            <v>0</v>
          </cell>
          <cell r="BK161" t="str">
            <v>0</v>
          </cell>
          <cell r="BL161" t="str">
            <v>0</v>
          </cell>
          <cell r="BM161" t="str">
            <v>0</v>
          </cell>
          <cell r="BN161" t="str">
            <v>0</v>
          </cell>
          <cell r="BO161" t="str">
            <v>0</v>
          </cell>
          <cell r="BP161" t="str">
            <v>0</v>
          </cell>
          <cell r="BQ161" t="str">
            <v>0</v>
          </cell>
          <cell r="BR161" t="str">
            <v>0</v>
          </cell>
          <cell r="BS161" t="str">
            <v>0</v>
          </cell>
          <cell r="BT161" t="str">
            <v>0</v>
          </cell>
          <cell r="BU161" t="str">
            <v>0</v>
          </cell>
          <cell r="BV161" t="str">
            <v>0</v>
          </cell>
          <cell r="BW161" t="str">
            <v>0</v>
          </cell>
          <cell r="BX161" t="str">
            <v>0</v>
          </cell>
          <cell r="BY161" t="str">
            <v>0</v>
          </cell>
          <cell r="BZ161" t="str">
            <v>0</v>
          </cell>
          <cell r="CA161" t="str">
            <v>0</v>
          </cell>
          <cell r="CB161" t="str">
            <v>0</v>
          </cell>
          <cell r="CC161" t="str">
            <v>0</v>
          </cell>
          <cell r="CD161" t="str">
            <v>0</v>
          </cell>
          <cell r="CE161" t="str">
            <v>0</v>
          </cell>
          <cell r="CF161" t="str">
            <v>0</v>
          </cell>
          <cell r="CG161" t="str">
            <v>0</v>
          </cell>
          <cell r="CH161" t="str">
            <v>0</v>
          </cell>
          <cell r="CI161" t="str">
            <v>0</v>
          </cell>
          <cell r="CJ161" t="str">
            <v>0</v>
          </cell>
          <cell r="CK161" t="str">
            <v>0</v>
          </cell>
          <cell r="CL161" t="str">
            <v>0</v>
          </cell>
          <cell r="CM161" t="str">
            <v>0</v>
          </cell>
          <cell r="CN161" t="str">
            <v>0</v>
          </cell>
          <cell r="CO161" t="str">
            <v>0</v>
          </cell>
          <cell r="CP161" t="str">
            <v>0</v>
          </cell>
          <cell r="CQ161" t="str">
            <v>0</v>
          </cell>
          <cell r="CR161" t="str">
            <v>0</v>
          </cell>
          <cell r="CS161" t="str">
            <v>0</v>
          </cell>
          <cell r="CT161" t="str">
            <v>0</v>
          </cell>
          <cell r="CU161" t="str">
            <v>0</v>
          </cell>
          <cell r="CV161" t="str">
            <v>0</v>
          </cell>
          <cell r="CW161" t="str">
            <v>0</v>
          </cell>
          <cell r="CX161" t="str">
            <v>0</v>
          </cell>
          <cell r="CY161" t="str">
            <v>0</v>
          </cell>
          <cell r="CZ161" t="str">
            <v>0</v>
          </cell>
          <cell r="DA161" t="str">
            <v>0</v>
          </cell>
          <cell r="DB161" t="str">
            <v>0</v>
          </cell>
          <cell r="DC161" t="str">
            <v>0</v>
          </cell>
          <cell r="DD161" t="str">
            <v>0</v>
          </cell>
          <cell r="DE161" t="str">
            <v>0</v>
          </cell>
          <cell r="DF161" t="str">
            <v>0</v>
          </cell>
          <cell r="DG161" t="str">
            <v>0</v>
          </cell>
          <cell r="DH161" t="str">
            <v>0</v>
          </cell>
          <cell r="DI161" t="str">
            <v>0</v>
          </cell>
          <cell r="DJ161" t="str">
            <v>0</v>
          </cell>
          <cell r="DK161" t="str">
            <v>0</v>
          </cell>
          <cell r="DL161" t="str">
            <v>0</v>
          </cell>
          <cell r="DM161" t="str">
            <v>0</v>
          </cell>
          <cell r="DN161" t="str">
            <v>0</v>
          </cell>
          <cell r="DO161" t="str">
            <v>0</v>
          </cell>
          <cell r="DP161" t="str">
            <v>0</v>
          </cell>
        </row>
        <row r="162">
          <cell r="C162"/>
          <cell r="D162" t="str">
            <v>0</v>
          </cell>
          <cell r="E162" t="str">
            <v>0</v>
          </cell>
          <cell r="F162" t="str">
            <v>0</v>
          </cell>
          <cell r="G162" t="str">
            <v>0</v>
          </cell>
          <cell r="H162" t="str">
            <v>0</v>
          </cell>
          <cell r="I162" t="str">
            <v>0</v>
          </cell>
          <cell r="J162" t="str">
            <v>0</v>
          </cell>
          <cell r="K162" t="str">
            <v>0</v>
          </cell>
          <cell r="L162" t="str">
            <v>0</v>
          </cell>
          <cell r="M162" t="str">
            <v>0</v>
          </cell>
          <cell r="N162" t="str">
            <v>0</v>
          </cell>
          <cell r="O162" t="str">
            <v>0</v>
          </cell>
          <cell r="P162" t="str">
            <v>0</v>
          </cell>
          <cell r="Q162" t="str">
            <v>0</v>
          </cell>
          <cell r="R162" t="str">
            <v>0</v>
          </cell>
          <cell r="S162" t="str">
            <v>0</v>
          </cell>
          <cell r="T162" t="str">
            <v>0</v>
          </cell>
          <cell r="U162" t="str">
            <v>0</v>
          </cell>
          <cell r="V162" t="str">
            <v>0</v>
          </cell>
          <cell r="W162" t="str">
            <v>0</v>
          </cell>
          <cell r="X162" t="str">
            <v>0</v>
          </cell>
          <cell r="Y162" t="str">
            <v>0</v>
          </cell>
          <cell r="Z162" t="str">
            <v>0</v>
          </cell>
          <cell r="AA162" t="str">
            <v>0</v>
          </cell>
          <cell r="AB162" t="str">
            <v>0</v>
          </cell>
          <cell r="AC162" t="str">
            <v>0</v>
          </cell>
          <cell r="AD162" t="str">
            <v>0</v>
          </cell>
          <cell r="AE162" t="str">
            <v>0</v>
          </cell>
          <cell r="AF162" t="str">
            <v>0</v>
          </cell>
          <cell r="AG162" t="str">
            <v>0</v>
          </cell>
          <cell r="AH162" t="str">
            <v>0</v>
          </cell>
          <cell r="AI162" t="str">
            <v>0</v>
          </cell>
          <cell r="AJ162" t="str">
            <v>0</v>
          </cell>
          <cell r="AK162" t="str">
            <v>0</v>
          </cell>
          <cell r="AL162" t="str">
            <v>0</v>
          </cell>
          <cell r="AM162" t="str">
            <v>0</v>
          </cell>
          <cell r="AN162" t="str">
            <v>0</v>
          </cell>
          <cell r="AO162" t="str">
            <v>0</v>
          </cell>
          <cell r="AP162" t="str">
            <v>0</v>
          </cell>
          <cell r="AQ162" t="str">
            <v>0</v>
          </cell>
          <cell r="AR162" t="str">
            <v>0</v>
          </cell>
          <cell r="AS162" t="str">
            <v>0</v>
          </cell>
          <cell r="AT162" t="str">
            <v>0</v>
          </cell>
          <cell r="AU162" t="str">
            <v>0</v>
          </cell>
          <cell r="AV162" t="str">
            <v>0</v>
          </cell>
          <cell r="AW162" t="str">
            <v>0</v>
          </cell>
          <cell r="AX162" t="str">
            <v>0</v>
          </cell>
          <cell r="AY162" t="str">
            <v>0</v>
          </cell>
          <cell r="AZ162" t="str">
            <v>0</v>
          </cell>
          <cell r="BA162" t="str">
            <v>0</v>
          </cell>
          <cell r="BB162" t="str">
            <v>0</v>
          </cell>
          <cell r="BC162" t="str">
            <v>0</v>
          </cell>
          <cell r="BD162" t="str">
            <v>0</v>
          </cell>
          <cell r="BE162" t="str">
            <v>0</v>
          </cell>
          <cell r="BF162" t="str">
            <v>0</v>
          </cell>
          <cell r="BG162" t="str">
            <v>0</v>
          </cell>
          <cell r="BH162" t="str">
            <v>0</v>
          </cell>
          <cell r="BI162" t="str">
            <v>0</v>
          </cell>
          <cell r="BJ162" t="str">
            <v>0</v>
          </cell>
          <cell r="BK162" t="str">
            <v>0</v>
          </cell>
          <cell r="BL162" t="str">
            <v>0</v>
          </cell>
          <cell r="BM162" t="str">
            <v>0</v>
          </cell>
          <cell r="BN162" t="str">
            <v>0</v>
          </cell>
          <cell r="BO162" t="str">
            <v>0</v>
          </cell>
          <cell r="BP162" t="str">
            <v>0</v>
          </cell>
          <cell r="BQ162" t="str">
            <v>0</v>
          </cell>
          <cell r="BR162" t="str">
            <v>0</v>
          </cell>
          <cell r="BS162" t="str">
            <v>0</v>
          </cell>
          <cell r="BT162" t="str">
            <v>0</v>
          </cell>
          <cell r="BU162" t="str">
            <v>0</v>
          </cell>
          <cell r="BV162" t="str">
            <v>0</v>
          </cell>
          <cell r="BW162" t="str">
            <v>0</v>
          </cell>
          <cell r="BX162" t="str">
            <v>0</v>
          </cell>
          <cell r="BY162" t="str">
            <v>0</v>
          </cell>
          <cell r="BZ162" t="str">
            <v>0</v>
          </cell>
          <cell r="CA162" t="str">
            <v>0</v>
          </cell>
          <cell r="CB162" t="str">
            <v>0</v>
          </cell>
          <cell r="CC162" t="str">
            <v>0</v>
          </cell>
          <cell r="CD162" t="str">
            <v>0</v>
          </cell>
          <cell r="CE162" t="str">
            <v>0</v>
          </cell>
          <cell r="CF162" t="str">
            <v>0</v>
          </cell>
          <cell r="CG162" t="str">
            <v>0</v>
          </cell>
          <cell r="CH162" t="str">
            <v>0</v>
          </cell>
          <cell r="CI162" t="str">
            <v>0</v>
          </cell>
          <cell r="CJ162" t="str">
            <v>0</v>
          </cell>
          <cell r="CK162" t="str">
            <v>0</v>
          </cell>
          <cell r="CL162" t="str">
            <v>0</v>
          </cell>
          <cell r="CM162" t="str">
            <v>0</v>
          </cell>
          <cell r="CN162" t="str">
            <v>0</v>
          </cell>
          <cell r="CO162" t="str">
            <v>0</v>
          </cell>
          <cell r="CP162" t="str">
            <v>0</v>
          </cell>
          <cell r="CQ162" t="str">
            <v>0</v>
          </cell>
          <cell r="CR162" t="str">
            <v>0</v>
          </cell>
          <cell r="CS162" t="str">
            <v>0</v>
          </cell>
          <cell r="CT162" t="str">
            <v>0</v>
          </cell>
          <cell r="CU162" t="str">
            <v>0</v>
          </cell>
          <cell r="CV162" t="str">
            <v>0</v>
          </cell>
          <cell r="CW162" t="str">
            <v>0</v>
          </cell>
          <cell r="CX162" t="str">
            <v>0</v>
          </cell>
          <cell r="CY162" t="str">
            <v>0</v>
          </cell>
          <cell r="CZ162" t="str">
            <v>0</v>
          </cell>
          <cell r="DA162" t="str">
            <v>0</v>
          </cell>
          <cell r="DB162" t="str">
            <v>0</v>
          </cell>
          <cell r="DC162" t="str">
            <v>0</v>
          </cell>
          <cell r="DD162" t="str">
            <v>0</v>
          </cell>
          <cell r="DE162" t="str">
            <v>0</v>
          </cell>
          <cell r="DF162" t="str">
            <v>0</v>
          </cell>
          <cell r="DG162" t="str">
            <v>0</v>
          </cell>
          <cell r="DH162" t="str">
            <v>0</v>
          </cell>
          <cell r="DI162" t="str">
            <v>0</v>
          </cell>
          <cell r="DJ162" t="str">
            <v>0</v>
          </cell>
          <cell r="DK162" t="str">
            <v>0</v>
          </cell>
          <cell r="DL162" t="str">
            <v>0</v>
          </cell>
          <cell r="DM162" t="str">
            <v>0</v>
          </cell>
          <cell r="DN162" t="str">
            <v>0</v>
          </cell>
          <cell r="DO162" t="str">
            <v>0</v>
          </cell>
          <cell r="DP162" t="str">
            <v>0</v>
          </cell>
        </row>
        <row r="163">
          <cell r="C163"/>
          <cell r="D163" t="str">
            <v>0</v>
          </cell>
          <cell r="E163" t="str">
            <v>0</v>
          </cell>
          <cell r="F163" t="str">
            <v>0</v>
          </cell>
          <cell r="G163" t="str">
            <v>0</v>
          </cell>
          <cell r="H163" t="str">
            <v>0</v>
          </cell>
          <cell r="I163" t="str">
            <v>0</v>
          </cell>
          <cell r="J163" t="str">
            <v>0</v>
          </cell>
          <cell r="K163" t="str">
            <v>0</v>
          </cell>
          <cell r="L163" t="str">
            <v>0</v>
          </cell>
          <cell r="M163" t="str">
            <v>0</v>
          </cell>
          <cell r="N163" t="str">
            <v>0</v>
          </cell>
          <cell r="O163" t="str">
            <v>0</v>
          </cell>
          <cell r="P163" t="str">
            <v>0</v>
          </cell>
          <cell r="Q163" t="str">
            <v>0</v>
          </cell>
          <cell r="R163" t="str">
            <v>0</v>
          </cell>
          <cell r="S163" t="str">
            <v>0</v>
          </cell>
          <cell r="T163" t="str">
            <v>0</v>
          </cell>
          <cell r="U163" t="str">
            <v>0</v>
          </cell>
          <cell r="V163" t="str">
            <v>0</v>
          </cell>
          <cell r="W163" t="str">
            <v>0</v>
          </cell>
          <cell r="X163" t="str">
            <v>0</v>
          </cell>
          <cell r="Y163" t="str">
            <v>0</v>
          </cell>
          <cell r="Z163" t="str">
            <v>0</v>
          </cell>
          <cell r="AA163" t="str">
            <v>0</v>
          </cell>
          <cell r="AB163" t="str">
            <v>0</v>
          </cell>
          <cell r="AC163" t="str">
            <v>0</v>
          </cell>
          <cell r="AD163" t="str">
            <v>0</v>
          </cell>
          <cell r="AE163" t="str">
            <v>0</v>
          </cell>
          <cell r="AF163" t="str">
            <v>0</v>
          </cell>
          <cell r="AG163" t="str">
            <v>0</v>
          </cell>
          <cell r="AH163" t="str">
            <v>0</v>
          </cell>
          <cell r="AI163" t="str">
            <v>0</v>
          </cell>
          <cell r="AJ163" t="str">
            <v>0</v>
          </cell>
          <cell r="AK163" t="str">
            <v>0</v>
          </cell>
          <cell r="AL163" t="str">
            <v>0</v>
          </cell>
          <cell r="AM163" t="str">
            <v>0</v>
          </cell>
          <cell r="AN163" t="str">
            <v>0</v>
          </cell>
          <cell r="AO163" t="str">
            <v>0</v>
          </cell>
          <cell r="AP163" t="str">
            <v>0</v>
          </cell>
          <cell r="AQ163" t="str">
            <v>0</v>
          </cell>
          <cell r="AR163" t="str">
            <v>0</v>
          </cell>
          <cell r="AS163" t="str">
            <v>0</v>
          </cell>
          <cell r="AT163" t="str">
            <v>0</v>
          </cell>
          <cell r="AU163" t="str">
            <v>0</v>
          </cell>
          <cell r="AV163" t="str">
            <v>0</v>
          </cell>
          <cell r="AW163" t="str">
            <v>0</v>
          </cell>
          <cell r="AX163" t="str">
            <v>0</v>
          </cell>
          <cell r="AY163" t="str">
            <v>0</v>
          </cell>
          <cell r="AZ163" t="str">
            <v>0</v>
          </cell>
          <cell r="BA163" t="str">
            <v>0</v>
          </cell>
          <cell r="BB163" t="str">
            <v>0</v>
          </cell>
          <cell r="BC163" t="str">
            <v>0</v>
          </cell>
          <cell r="BD163" t="str">
            <v>0</v>
          </cell>
          <cell r="BE163" t="str">
            <v>0</v>
          </cell>
          <cell r="BF163" t="str">
            <v>0</v>
          </cell>
          <cell r="BG163" t="str">
            <v>0</v>
          </cell>
          <cell r="BH163" t="str">
            <v>0</v>
          </cell>
          <cell r="BI163" t="str">
            <v>0</v>
          </cell>
          <cell r="BJ163" t="str">
            <v>0</v>
          </cell>
          <cell r="BK163" t="str">
            <v>0</v>
          </cell>
          <cell r="BL163" t="str">
            <v>0</v>
          </cell>
          <cell r="BM163" t="str">
            <v>0</v>
          </cell>
          <cell r="BN163" t="str">
            <v>0</v>
          </cell>
          <cell r="BO163" t="str">
            <v>0</v>
          </cell>
          <cell r="BP163" t="str">
            <v>0</v>
          </cell>
          <cell r="BQ163" t="str">
            <v>0</v>
          </cell>
          <cell r="BR163" t="str">
            <v>0</v>
          </cell>
          <cell r="BS163" t="str">
            <v>0</v>
          </cell>
          <cell r="BT163" t="str">
            <v>0</v>
          </cell>
          <cell r="BU163" t="str">
            <v>0</v>
          </cell>
          <cell r="BV163" t="str">
            <v>0</v>
          </cell>
          <cell r="BW163" t="str">
            <v>0</v>
          </cell>
          <cell r="BX163" t="str">
            <v>0</v>
          </cell>
          <cell r="BY163" t="str">
            <v>0</v>
          </cell>
          <cell r="BZ163" t="str">
            <v>0</v>
          </cell>
          <cell r="CA163" t="str">
            <v>0</v>
          </cell>
          <cell r="CB163" t="str">
            <v>0</v>
          </cell>
          <cell r="CC163" t="str">
            <v>0</v>
          </cell>
          <cell r="CD163" t="str">
            <v>0</v>
          </cell>
          <cell r="CE163" t="str">
            <v>0</v>
          </cell>
          <cell r="CF163" t="str">
            <v>0</v>
          </cell>
          <cell r="CG163" t="str">
            <v>0</v>
          </cell>
          <cell r="CH163" t="str">
            <v>0</v>
          </cell>
          <cell r="CI163" t="str">
            <v>0</v>
          </cell>
          <cell r="CJ163" t="str">
            <v>0</v>
          </cell>
          <cell r="CK163" t="str">
            <v>0</v>
          </cell>
          <cell r="CL163" t="str">
            <v>0</v>
          </cell>
          <cell r="CM163" t="str">
            <v>0</v>
          </cell>
          <cell r="CN163" t="str">
            <v>0</v>
          </cell>
          <cell r="CO163" t="str">
            <v>0</v>
          </cell>
          <cell r="CP163" t="str">
            <v>0</v>
          </cell>
          <cell r="CQ163" t="str">
            <v>0</v>
          </cell>
          <cell r="CR163" t="str">
            <v>0</v>
          </cell>
          <cell r="CS163" t="str">
            <v>0</v>
          </cell>
          <cell r="CT163" t="str">
            <v>0</v>
          </cell>
          <cell r="CU163" t="str">
            <v>0</v>
          </cell>
          <cell r="CV163" t="str">
            <v>0</v>
          </cell>
          <cell r="CW163" t="str">
            <v>0</v>
          </cell>
          <cell r="CX163" t="str">
            <v>0</v>
          </cell>
          <cell r="CY163" t="str">
            <v>0</v>
          </cell>
          <cell r="CZ163" t="str">
            <v>0</v>
          </cell>
          <cell r="DA163" t="str">
            <v>0</v>
          </cell>
          <cell r="DB163" t="str">
            <v>0</v>
          </cell>
          <cell r="DC163" t="str">
            <v>0</v>
          </cell>
          <cell r="DD163" t="str">
            <v>0</v>
          </cell>
          <cell r="DE163" t="str">
            <v>0</v>
          </cell>
          <cell r="DF163" t="str">
            <v>0</v>
          </cell>
          <cell r="DG163" t="str">
            <v>0</v>
          </cell>
          <cell r="DH163" t="str">
            <v>0</v>
          </cell>
          <cell r="DI163" t="str">
            <v>0</v>
          </cell>
          <cell r="DJ163" t="str">
            <v>0</v>
          </cell>
          <cell r="DK163" t="str">
            <v>0</v>
          </cell>
          <cell r="DL163" t="str">
            <v>0</v>
          </cell>
          <cell r="DM163" t="str">
            <v>0</v>
          </cell>
          <cell r="DN163" t="str">
            <v>0</v>
          </cell>
          <cell r="DO163" t="str">
            <v>0</v>
          </cell>
          <cell r="DP163" t="str">
            <v>0</v>
          </cell>
        </row>
        <row r="164">
          <cell r="C164"/>
          <cell r="D164" t="str">
            <v>0</v>
          </cell>
          <cell r="E164" t="str">
            <v>0</v>
          </cell>
          <cell r="F164" t="str">
            <v>0</v>
          </cell>
          <cell r="G164" t="str">
            <v>0</v>
          </cell>
          <cell r="H164" t="str">
            <v>0</v>
          </cell>
          <cell r="I164" t="str">
            <v>0</v>
          </cell>
          <cell r="J164" t="str">
            <v>0</v>
          </cell>
          <cell r="K164" t="str">
            <v>0</v>
          </cell>
          <cell r="L164" t="str">
            <v>0</v>
          </cell>
          <cell r="M164" t="str">
            <v>0</v>
          </cell>
          <cell r="N164" t="str">
            <v>0</v>
          </cell>
          <cell r="O164" t="str">
            <v>0</v>
          </cell>
          <cell r="P164" t="str">
            <v>0</v>
          </cell>
          <cell r="Q164" t="str">
            <v>0</v>
          </cell>
          <cell r="R164" t="str">
            <v>0</v>
          </cell>
          <cell r="S164" t="str">
            <v>0</v>
          </cell>
          <cell r="T164" t="str">
            <v>0</v>
          </cell>
          <cell r="U164" t="str">
            <v>0</v>
          </cell>
          <cell r="V164" t="str">
            <v>0</v>
          </cell>
          <cell r="W164" t="str">
            <v>0</v>
          </cell>
          <cell r="X164" t="str">
            <v>0</v>
          </cell>
          <cell r="Y164" t="str">
            <v>0</v>
          </cell>
          <cell r="Z164" t="str">
            <v>0</v>
          </cell>
          <cell r="AA164" t="str">
            <v>0</v>
          </cell>
          <cell r="AB164" t="str">
            <v>0</v>
          </cell>
          <cell r="AC164" t="str">
            <v>0</v>
          </cell>
          <cell r="AD164" t="str">
            <v>0</v>
          </cell>
          <cell r="AE164" t="str">
            <v>0</v>
          </cell>
          <cell r="AF164" t="str">
            <v>0</v>
          </cell>
          <cell r="AG164" t="str">
            <v>0</v>
          </cell>
          <cell r="AH164" t="str">
            <v>0</v>
          </cell>
          <cell r="AI164" t="str">
            <v>0</v>
          </cell>
          <cell r="AJ164" t="str">
            <v>0</v>
          </cell>
          <cell r="AK164" t="str">
            <v>0</v>
          </cell>
          <cell r="AL164" t="str">
            <v>0</v>
          </cell>
          <cell r="AM164" t="str">
            <v>0</v>
          </cell>
          <cell r="AN164" t="str">
            <v>0</v>
          </cell>
          <cell r="AO164" t="str">
            <v>0</v>
          </cell>
          <cell r="AP164" t="str">
            <v>0</v>
          </cell>
          <cell r="AQ164" t="str">
            <v>0</v>
          </cell>
          <cell r="AR164" t="str">
            <v>0</v>
          </cell>
          <cell r="AS164" t="str">
            <v>0</v>
          </cell>
          <cell r="AT164" t="str">
            <v>0</v>
          </cell>
          <cell r="AU164" t="str">
            <v>0</v>
          </cell>
          <cell r="AV164" t="str">
            <v>0</v>
          </cell>
          <cell r="AW164" t="str">
            <v>0</v>
          </cell>
          <cell r="AX164" t="str">
            <v>0</v>
          </cell>
          <cell r="AY164" t="str">
            <v>0</v>
          </cell>
          <cell r="AZ164" t="str">
            <v>0</v>
          </cell>
          <cell r="BA164" t="str">
            <v>0</v>
          </cell>
          <cell r="BB164" t="str">
            <v>0</v>
          </cell>
          <cell r="BC164" t="str">
            <v>0</v>
          </cell>
          <cell r="BD164" t="str">
            <v>0</v>
          </cell>
          <cell r="BE164" t="str">
            <v>0</v>
          </cell>
          <cell r="BF164" t="str">
            <v>0</v>
          </cell>
          <cell r="BG164" t="str">
            <v>0</v>
          </cell>
          <cell r="BH164" t="str">
            <v>0</v>
          </cell>
          <cell r="BI164" t="str">
            <v>0</v>
          </cell>
          <cell r="BJ164" t="str">
            <v>0</v>
          </cell>
          <cell r="BK164" t="str">
            <v>0</v>
          </cell>
          <cell r="BL164" t="str">
            <v>0</v>
          </cell>
          <cell r="BM164" t="str">
            <v>0</v>
          </cell>
          <cell r="BN164" t="str">
            <v>0</v>
          </cell>
          <cell r="BO164" t="str">
            <v>0</v>
          </cell>
          <cell r="BP164" t="str">
            <v>0</v>
          </cell>
          <cell r="BQ164" t="str">
            <v>0</v>
          </cell>
          <cell r="BR164" t="str">
            <v>0</v>
          </cell>
          <cell r="BS164" t="str">
            <v>0</v>
          </cell>
          <cell r="BT164" t="str">
            <v>0</v>
          </cell>
          <cell r="BU164" t="str">
            <v>0</v>
          </cell>
          <cell r="BV164" t="str">
            <v>0</v>
          </cell>
          <cell r="BW164" t="str">
            <v>0</v>
          </cell>
          <cell r="BX164" t="str">
            <v>0</v>
          </cell>
          <cell r="BY164" t="str">
            <v>0</v>
          </cell>
          <cell r="BZ164" t="str">
            <v>0</v>
          </cell>
          <cell r="CA164" t="str">
            <v>0</v>
          </cell>
          <cell r="CB164" t="str">
            <v>0</v>
          </cell>
          <cell r="CC164" t="str">
            <v>0</v>
          </cell>
          <cell r="CD164" t="str">
            <v>0</v>
          </cell>
          <cell r="CE164" t="str">
            <v>0</v>
          </cell>
          <cell r="CF164" t="str">
            <v>0</v>
          </cell>
          <cell r="CG164" t="str">
            <v>0</v>
          </cell>
          <cell r="CH164" t="str">
            <v>0</v>
          </cell>
          <cell r="CI164" t="str">
            <v>0</v>
          </cell>
          <cell r="CJ164" t="str">
            <v>0</v>
          </cell>
          <cell r="CK164" t="str">
            <v>0</v>
          </cell>
          <cell r="CL164" t="str">
            <v>0</v>
          </cell>
          <cell r="CM164" t="str">
            <v>0</v>
          </cell>
          <cell r="CN164" t="str">
            <v>0</v>
          </cell>
          <cell r="CO164" t="str">
            <v>0</v>
          </cell>
          <cell r="CP164" t="str">
            <v>0</v>
          </cell>
          <cell r="CQ164" t="str">
            <v>0</v>
          </cell>
          <cell r="CR164" t="str">
            <v>0</v>
          </cell>
          <cell r="CS164" t="str">
            <v>0</v>
          </cell>
          <cell r="CT164" t="str">
            <v>0</v>
          </cell>
          <cell r="CU164" t="str">
            <v>0</v>
          </cell>
          <cell r="CV164" t="str">
            <v>0</v>
          </cell>
          <cell r="CW164" t="str">
            <v>0</v>
          </cell>
          <cell r="CX164" t="str">
            <v>0</v>
          </cell>
          <cell r="CY164" t="str">
            <v>0</v>
          </cell>
          <cell r="CZ164" t="str">
            <v>0</v>
          </cell>
          <cell r="DA164" t="str">
            <v>0</v>
          </cell>
          <cell r="DB164" t="str">
            <v>0</v>
          </cell>
          <cell r="DC164" t="str">
            <v>0</v>
          </cell>
          <cell r="DD164" t="str">
            <v>0</v>
          </cell>
          <cell r="DE164" t="str">
            <v>0</v>
          </cell>
          <cell r="DF164" t="str">
            <v>0</v>
          </cell>
          <cell r="DG164" t="str">
            <v>0</v>
          </cell>
          <cell r="DH164" t="str">
            <v>0</v>
          </cell>
          <cell r="DI164" t="str">
            <v>0</v>
          </cell>
          <cell r="DJ164" t="str">
            <v>0</v>
          </cell>
          <cell r="DK164" t="str">
            <v>0</v>
          </cell>
          <cell r="DL164" t="str">
            <v>0</v>
          </cell>
          <cell r="DM164" t="str">
            <v>0</v>
          </cell>
          <cell r="DN164" t="str">
            <v>0</v>
          </cell>
          <cell r="DO164" t="str">
            <v>0</v>
          </cell>
          <cell r="DP164" t="str">
            <v>0</v>
          </cell>
        </row>
        <row r="165">
          <cell r="C165"/>
          <cell r="D165" t="str">
            <v>0</v>
          </cell>
          <cell r="E165" t="str">
            <v>0</v>
          </cell>
          <cell r="F165" t="str">
            <v>0</v>
          </cell>
          <cell r="G165" t="str">
            <v>0</v>
          </cell>
          <cell r="H165" t="str">
            <v>0</v>
          </cell>
          <cell r="I165" t="str">
            <v>0</v>
          </cell>
          <cell r="J165" t="str">
            <v>0</v>
          </cell>
          <cell r="K165" t="str">
            <v>0</v>
          </cell>
          <cell r="L165" t="str">
            <v>0</v>
          </cell>
          <cell r="M165" t="str">
            <v>0</v>
          </cell>
          <cell r="N165" t="str">
            <v>0</v>
          </cell>
          <cell r="O165" t="str">
            <v>0</v>
          </cell>
          <cell r="P165" t="str">
            <v>0</v>
          </cell>
          <cell r="Q165" t="str">
            <v>0</v>
          </cell>
          <cell r="R165" t="str">
            <v>0</v>
          </cell>
          <cell r="S165" t="str">
            <v>0</v>
          </cell>
          <cell r="T165" t="str">
            <v>0</v>
          </cell>
          <cell r="U165" t="str">
            <v>0</v>
          </cell>
          <cell r="V165" t="str">
            <v>0</v>
          </cell>
          <cell r="W165" t="str">
            <v>0</v>
          </cell>
          <cell r="X165" t="str">
            <v>0</v>
          </cell>
          <cell r="Y165" t="str">
            <v>0</v>
          </cell>
          <cell r="Z165" t="str">
            <v>0</v>
          </cell>
          <cell r="AA165" t="str">
            <v>0</v>
          </cell>
          <cell r="AB165" t="str">
            <v>0</v>
          </cell>
          <cell r="AC165" t="str">
            <v>0</v>
          </cell>
          <cell r="AD165" t="str">
            <v>0</v>
          </cell>
          <cell r="AE165" t="str">
            <v>0</v>
          </cell>
          <cell r="AF165" t="str">
            <v>0</v>
          </cell>
          <cell r="AG165" t="str">
            <v>0</v>
          </cell>
          <cell r="AH165" t="str">
            <v>0</v>
          </cell>
          <cell r="AI165" t="str">
            <v>0</v>
          </cell>
          <cell r="AJ165" t="str">
            <v>0</v>
          </cell>
          <cell r="AK165" t="str">
            <v>0</v>
          </cell>
          <cell r="AL165" t="str">
            <v>0</v>
          </cell>
          <cell r="AM165" t="str">
            <v>0</v>
          </cell>
          <cell r="AN165" t="str">
            <v>0</v>
          </cell>
          <cell r="AO165" t="str">
            <v>0</v>
          </cell>
          <cell r="AP165" t="str">
            <v>0</v>
          </cell>
          <cell r="AQ165" t="str">
            <v>0</v>
          </cell>
          <cell r="AR165" t="str">
            <v>0</v>
          </cell>
          <cell r="AS165" t="str">
            <v>0</v>
          </cell>
          <cell r="AT165" t="str">
            <v>0</v>
          </cell>
          <cell r="AU165" t="str">
            <v>0</v>
          </cell>
          <cell r="AV165" t="str">
            <v>0</v>
          </cell>
          <cell r="AW165" t="str">
            <v>0</v>
          </cell>
          <cell r="AX165" t="str">
            <v>0</v>
          </cell>
          <cell r="AY165" t="str">
            <v>0</v>
          </cell>
          <cell r="AZ165" t="str">
            <v>0</v>
          </cell>
          <cell r="BA165" t="str">
            <v>0</v>
          </cell>
          <cell r="BB165" t="str">
            <v>0</v>
          </cell>
          <cell r="BC165" t="str">
            <v>0</v>
          </cell>
          <cell r="BD165" t="str">
            <v>0</v>
          </cell>
          <cell r="BE165" t="str">
            <v>0</v>
          </cell>
          <cell r="BF165" t="str">
            <v>0</v>
          </cell>
          <cell r="BG165" t="str">
            <v>0</v>
          </cell>
          <cell r="BH165" t="str">
            <v>0</v>
          </cell>
          <cell r="BI165" t="str">
            <v>0</v>
          </cell>
          <cell r="BJ165" t="str">
            <v>0</v>
          </cell>
          <cell r="BK165" t="str">
            <v>0</v>
          </cell>
          <cell r="BL165" t="str">
            <v>0</v>
          </cell>
          <cell r="BM165" t="str">
            <v>0</v>
          </cell>
          <cell r="BN165" t="str">
            <v>0</v>
          </cell>
          <cell r="BO165" t="str">
            <v>0</v>
          </cell>
          <cell r="BP165" t="str">
            <v>0</v>
          </cell>
          <cell r="BQ165" t="str">
            <v>0</v>
          </cell>
          <cell r="BR165" t="str">
            <v>0</v>
          </cell>
          <cell r="BS165" t="str">
            <v>0</v>
          </cell>
          <cell r="BT165" t="str">
            <v>0</v>
          </cell>
          <cell r="BU165" t="str">
            <v>0</v>
          </cell>
          <cell r="BV165" t="str">
            <v>0</v>
          </cell>
          <cell r="BW165" t="str">
            <v>0</v>
          </cell>
          <cell r="BX165" t="str">
            <v>0</v>
          </cell>
          <cell r="BY165" t="str">
            <v>0</v>
          </cell>
          <cell r="BZ165" t="str">
            <v>0</v>
          </cell>
          <cell r="CA165" t="str">
            <v>0</v>
          </cell>
          <cell r="CB165" t="str">
            <v>0</v>
          </cell>
          <cell r="CC165" t="str">
            <v>0</v>
          </cell>
          <cell r="CD165" t="str">
            <v>0</v>
          </cell>
          <cell r="CE165" t="str">
            <v>0</v>
          </cell>
          <cell r="CF165" t="str">
            <v>0</v>
          </cell>
          <cell r="CG165" t="str">
            <v>0</v>
          </cell>
          <cell r="CH165" t="str">
            <v>0</v>
          </cell>
          <cell r="CI165" t="str">
            <v>0</v>
          </cell>
          <cell r="CJ165" t="str">
            <v>0</v>
          </cell>
          <cell r="CK165" t="str">
            <v>0</v>
          </cell>
          <cell r="CL165" t="str">
            <v>0</v>
          </cell>
          <cell r="CM165" t="str">
            <v>0</v>
          </cell>
          <cell r="CN165" t="str">
            <v>0</v>
          </cell>
          <cell r="CO165" t="str">
            <v>0</v>
          </cell>
          <cell r="CP165" t="str">
            <v>0</v>
          </cell>
          <cell r="CQ165" t="str">
            <v>0</v>
          </cell>
          <cell r="CR165" t="str">
            <v>0</v>
          </cell>
          <cell r="CS165" t="str">
            <v>0</v>
          </cell>
          <cell r="CT165" t="str">
            <v>0</v>
          </cell>
          <cell r="CU165" t="str">
            <v>0</v>
          </cell>
          <cell r="CV165" t="str">
            <v>0</v>
          </cell>
          <cell r="CW165" t="str">
            <v>0</v>
          </cell>
          <cell r="CX165" t="str">
            <v>0</v>
          </cell>
          <cell r="CY165" t="str">
            <v>0</v>
          </cell>
          <cell r="CZ165" t="str">
            <v>0</v>
          </cell>
          <cell r="DA165" t="str">
            <v>0</v>
          </cell>
          <cell r="DB165" t="str">
            <v>0</v>
          </cell>
          <cell r="DC165" t="str">
            <v>0</v>
          </cell>
          <cell r="DD165" t="str">
            <v>0</v>
          </cell>
          <cell r="DE165" t="str">
            <v>0</v>
          </cell>
          <cell r="DF165" t="str">
            <v>0</v>
          </cell>
          <cell r="DG165" t="str">
            <v>0</v>
          </cell>
          <cell r="DH165" t="str">
            <v>0</v>
          </cell>
          <cell r="DI165" t="str">
            <v>0</v>
          </cell>
          <cell r="DJ165" t="str">
            <v>0</v>
          </cell>
          <cell r="DK165" t="str">
            <v>0</v>
          </cell>
          <cell r="DL165" t="str">
            <v>0</v>
          </cell>
          <cell r="DM165" t="str">
            <v>0</v>
          </cell>
          <cell r="DN165" t="str">
            <v>0</v>
          </cell>
          <cell r="DO165" t="str">
            <v>0</v>
          </cell>
          <cell r="DP165" t="str">
            <v>0</v>
          </cell>
        </row>
        <row r="166">
          <cell r="C166"/>
          <cell r="D166" t="str">
            <v>0</v>
          </cell>
          <cell r="E166" t="str">
            <v>0</v>
          </cell>
          <cell r="F166" t="str">
            <v>0</v>
          </cell>
          <cell r="G166" t="str">
            <v>0</v>
          </cell>
          <cell r="H166" t="str">
            <v>0</v>
          </cell>
          <cell r="I166" t="str">
            <v>0</v>
          </cell>
          <cell r="J166" t="str">
            <v>0</v>
          </cell>
          <cell r="K166" t="str">
            <v>0</v>
          </cell>
          <cell r="L166" t="str">
            <v>0</v>
          </cell>
          <cell r="M166" t="str">
            <v>0</v>
          </cell>
          <cell r="N166" t="str">
            <v>0</v>
          </cell>
          <cell r="O166" t="str">
            <v>0</v>
          </cell>
          <cell r="P166" t="str">
            <v>0</v>
          </cell>
          <cell r="Q166" t="str">
            <v>0</v>
          </cell>
          <cell r="R166" t="str">
            <v>0</v>
          </cell>
          <cell r="S166" t="str">
            <v>0</v>
          </cell>
          <cell r="T166" t="str">
            <v>0</v>
          </cell>
          <cell r="U166" t="str">
            <v>0</v>
          </cell>
          <cell r="V166" t="str">
            <v>0</v>
          </cell>
          <cell r="W166" t="str">
            <v>0</v>
          </cell>
          <cell r="X166" t="str">
            <v>0</v>
          </cell>
          <cell r="Y166" t="str">
            <v>0</v>
          </cell>
          <cell r="Z166" t="str">
            <v>0</v>
          </cell>
          <cell r="AA166" t="str">
            <v>0</v>
          </cell>
          <cell r="AB166" t="str">
            <v>0</v>
          </cell>
          <cell r="AC166" t="str">
            <v>0</v>
          </cell>
          <cell r="AD166" t="str">
            <v>0</v>
          </cell>
          <cell r="AE166" t="str">
            <v>0</v>
          </cell>
          <cell r="AF166" t="str">
            <v>0</v>
          </cell>
          <cell r="AG166" t="str">
            <v>0</v>
          </cell>
          <cell r="AH166" t="str">
            <v>0</v>
          </cell>
          <cell r="AI166" t="str">
            <v>0</v>
          </cell>
          <cell r="AJ166" t="str">
            <v>0</v>
          </cell>
          <cell r="AK166" t="str">
            <v>0</v>
          </cell>
          <cell r="AL166" t="str">
            <v>0</v>
          </cell>
          <cell r="AM166" t="str">
            <v>0</v>
          </cell>
          <cell r="AN166" t="str">
            <v>0</v>
          </cell>
          <cell r="AO166" t="str">
            <v>0</v>
          </cell>
          <cell r="AP166" t="str">
            <v>0</v>
          </cell>
          <cell r="AQ166" t="str">
            <v>0</v>
          </cell>
          <cell r="AR166" t="str">
            <v>0</v>
          </cell>
          <cell r="AS166" t="str">
            <v>0</v>
          </cell>
          <cell r="AT166" t="str">
            <v>0</v>
          </cell>
          <cell r="AU166" t="str">
            <v>0</v>
          </cell>
          <cell r="AV166" t="str">
            <v>0</v>
          </cell>
          <cell r="AW166" t="str">
            <v>0</v>
          </cell>
          <cell r="AX166" t="str">
            <v>0</v>
          </cell>
          <cell r="AY166" t="str">
            <v>0</v>
          </cell>
          <cell r="AZ166" t="str">
            <v>0</v>
          </cell>
          <cell r="BA166" t="str">
            <v>0</v>
          </cell>
          <cell r="BB166" t="str">
            <v>0</v>
          </cell>
          <cell r="BC166" t="str">
            <v>0</v>
          </cell>
          <cell r="BD166" t="str">
            <v>0</v>
          </cell>
          <cell r="BE166" t="str">
            <v>0</v>
          </cell>
          <cell r="BF166" t="str">
            <v>0</v>
          </cell>
          <cell r="BG166" t="str">
            <v>0</v>
          </cell>
          <cell r="BH166" t="str">
            <v>0</v>
          </cell>
          <cell r="BI166" t="str">
            <v>0</v>
          </cell>
          <cell r="BJ166" t="str">
            <v>0</v>
          </cell>
          <cell r="BK166" t="str">
            <v>0</v>
          </cell>
          <cell r="BL166" t="str">
            <v>0</v>
          </cell>
          <cell r="BM166" t="str">
            <v>0</v>
          </cell>
          <cell r="BN166" t="str">
            <v>0</v>
          </cell>
          <cell r="BO166" t="str">
            <v>0</v>
          </cell>
          <cell r="BP166" t="str">
            <v>0</v>
          </cell>
          <cell r="BQ166" t="str">
            <v>0</v>
          </cell>
          <cell r="BR166" t="str">
            <v>0</v>
          </cell>
          <cell r="BS166" t="str">
            <v>0</v>
          </cell>
          <cell r="BT166" t="str">
            <v>0</v>
          </cell>
          <cell r="BU166" t="str">
            <v>0</v>
          </cell>
          <cell r="BV166" t="str">
            <v>0</v>
          </cell>
          <cell r="BW166" t="str">
            <v>0</v>
          </cell>
          <cell r="BX166" t="str">
            <v>0</v>
          </cell>
          <cell r="BY166" t="str">
            <v>0</v>
          </cell>
          <cell r="BZ166" t="str">
            <v>0</v>
          </cell>
          <cell r="CA166" t="str">
            <v>0</v>
          </cell>
          <cell r="CB166" t="str">
            <v>0</v>
          </cell>
          <cell r="CC166" t="str">
            <v>0</v>
          </cell>
          <cell r="CD166" t="str">
            <v>0</v>
          </cell>
          <cell r="CE166" t="str">
            <v>0</v>
          </cell>
          <cell r="CF166" t="str">
            <v>0</v>
          </cell>
          <cell r="CG166" t="str">
            <v>0</v>
          </cell>
          <cell r="CH166" t="str">
            <v>0</v>
          </cell>
          <cell r="CI166" t="str">
            <v>0</v>
          </cell>
          <cell r="CJ166" t="str">
            <v>0</v>
          </cell>
          <cell r="CK166" t="str">
            <v>0</v>
          </cell>
          <cell r="CL166" t="str">
            <v>0</v>
          </cell>
          <cell r="CM166" t="str">
            <v>0</v>
          </cell>
          <cell r="CN166" t="str">
            <v>0</v>
          </cell>
          <cell r="CO166" t="str">
            <v>0</v>
          </cell>
          <cell r="CP166" t="str">
            <v>0</v>
          </cell>
          <cell r="CQ166" t="str">
            <v>0</v>
          </cell>
          <cell r="CR166" t="str">
            <v>0</v>
          </cell>
          <cell r="CS166" t="str">
            <v>0</v>
          </cell>
          <cell r="CT166" t="str">
            <v>0</v>
          </cell>
          <cell r="CU166" t="str">
            <v>0</v>
          </cell>
          <cell r="CV166" t="str">
            <v>0</v>
          </cell>
          <cell r="CW166" t="str">
            <v>0</v>
          </cell>
          <cell r="CX166" t="str">
            <v>0</v>
          </cell>
          <cell r="CY166" t="str">
            <v>0</v>
          </cell>
          <cell r="CZ166" t="str">
            <v>0</v>
          </cell>
          <cell r="DA166" t="str">
            <v>0</v>
          </cell>
          <cell r="DB166" t="str">
            <v>0</v>
          </cell>
          <cell r="DC166" t="str">
            <v>0</v>
          </cell>
          <cell r="DD166" t="str">
            <v>0</v>
          </cell>
          <cell r="DE166" t="str">
            <v>0</v>
          </cell>
          <cell r="DF166" t="str">
            <v>0</v>
          </cell>
          <cell r="DG166" t="str">
            <v>0</v>
          </cell>
          <cell r="DH166" t="str">
            <v>0</v>
          </cell>
          <cell r="DI166" t="str">
            <v>0</v>
          </cell>
          <cell r="DJ166" t="str">
            <v>0</v>
          </cell>
          <cell r="DK166" t="str">
            <v>0</v>
          </cell>
          <cell r="DL166" t="str">
            <v>0</v>
          </cell>
          <cell r="DM166" t="str">
            <v>0</v>
          </cell>
          <cell r="DN166" t="str">
            <v>0</v>
          </cell>
          <cell r="DO166" t="str">
            <v>0</v>
          </cell>
          <cell r="DP166" t="str">
            <v>0</v>
          </cell>
        </row>
        <row r="167">
          <cell r="C167"/>
          <cell r="D167" t="str">
            <v>0</v>
          </cell>
          <cell r="E167" t="str">
            <v>0</v>
          </cell>
          <cell r="F167" t="str">
            <v>0</v>
          </cell>
          <cell r="G167" t="str">
            <v>0</v>
          </cell>
          <cell r="H167" t="str">
            <v>0</v>
          </cell>
          <cell r="I167" t="str">
            <v>0</v>
          </cell>
          <cell r="J167" t="str">
            <v>0</v>
          </cell>
          <cell r="K167" t="str">
            <v>0</v>
          </cell>
          <cell r="L167" t="str">
            <v>0</v>
          </cell>
          <cell r="M167" t="str">
            <v>0</v>
          </cell>
          <cell r="N167" t="str">
            <v>0</v>
          </cell>
          <cell r="O167" t="str">
            <v>0</v>
          </cell>
          <cell r="P167" t="str">
            <v>0</v>
          </cell>
          <cell r="Q167" t="str">
            <v>0</v>
          </cell>
          <cell r="R167" t="str">
            <v>0</v>
          </cell>
          <cell r="S167" t="str">
            <v>0</v>
          </cell>
          <cell r="T167" t="str">
            <v>0</v>
          </cell>
          <cell r="U167" t="str">
            <v>0</v>
          </cell>
          <cell r="V167" t="str">
            <v>0</v>
          </cell>
          <cell r="W167" t="str">
            <v>0</v>
          </cell>
          <cell r="X167" t="str">
            <v>0</v>
          </cell>
          <cell r="Y167" t="str">
            <v>0</v>
          </cell>
          <cell r="Z167" t="str">
            <v>0</v>
          </cell>
          <cell r="AA167" t="str">
            <v>0</v>
          </cell>
          <cell r="AB167" t="str">
            <v>0</v>
          </cell>
          <cell r="AC167" t="str">
            <v>0</v>
          </cell>
          <cell r="AD167" t="str">
            <v>0</v>
          </cell>
          <cell r="AE167" t="str">
            <v>0</v>
          </cell>
          <cell r="AF167" t="str">
            <v>0</v>
          </cell>
          <cell r="AG167" t="str">
            <v>0</v>
          </cell>
          <cell r="AH167" t="str">
            <v>0</v>
          </cell>
          <cell r="AI167" t="str">
            <v>0</v>
          </cell>
          <cell r="AJ167" t="str">
            <v>0</v>
          </cell>
          <cell r="AK167" t="str">
            <v>0</v>
          </cell>
          <cell r="AL167" t="str">
            <v>0</v>
          </cell>
          <cell r="AM167" t="str">
            <v>0</v>
          </cell>
          <cell r="AN167" t="str">
            <v>0</v>
          </cell>
          <cell r="AO167" t="str">
            <v>0</v>
          </cell>
          <cell r="AP167" t="str">
            <v>0</v>
          </cell>
          <cell r="AQ167" t="str">
            <v>0</v>
          </cell>
          <cell r="AR167" t="str">
            <v>0</v>
          </cell>
          <cell r="AS167" t="str">
            <v>0</v>
          </cell>
          <cell r="AT167" t="str">
            <v>0</v>
          </cell>
          <cell r="AU167" t="str">
            <v>0</v>
          </cell>
          <cell r="AV167" t="str">
            <v>0</v>
          </cell>
          <cell r="AW167" t="str">
            <v>0</v>
          </cell>
          <cell r="AX167" t="str">
            <v>0</v>
          </cell>
          <cell r="AY167" t="str">
            <v>0</v>
          </cell>
          <cell r="AZ167" t="str">
            <v>0</v>
          </cell>
          <cell r="BA167" t="str">
            <v>0</v>
          </cell>
          <cell r="BB167" t="str">
            <v>0</v>
          </cell>
          <cell r="BC167" t="str">
            <v>0</v>
          </cell>
          <cell r="BD167" t="str">
            <v>0</v>
          </cell>
          <cell r="BE167" t="str">
            <v>0</v>
          </cell>
          <cell r="BF167" t="str">
            <v>0</v>
          </cell>
          <cell r="BG167" t="str">
            <v>0</v>
          </cell>
          <cell r="BH167" t="str">
            <v>0</v>
          </cell>
          <cell r="BI167" t="str">
            <v>0</v>
          </cell>
          <cell r="BJ167" t="str">
            <v>0</v>
          </cell>
          <cell r="BK167" t="str">
            <v>0</v>
          </cell>
          <cell r="BL167" t="str">
            <v>0</v>
          </cell>
          <cell r="BM167" t="str">
            <v>0</v>
          </cell>
          <cell r="BN167" t="str">
            <v>0</v>
          </cell>
          <cell r="BO167" t="str">
            <v>0</v>
          </cell>
          <cell r="BP167" t="str">
            <v>0</v>
          </cell>
          <cell r="BQ167" t="str">
            <v>0</v>
          </cell>
          <cell r="BR167" t="str">
            <v>0</v>
          </cell>
          <cell r="BS167" t="str">
            <v>0</v>
          </cell>
          <cell r="BT167" t="str">
            <v>0</v>
          </cell>
          <cell r="BU167" t="str">
            <v>0</v>
          </cell>
          <cell r="BV167" t="str">
            <v>0</v>
          </cell>
          <cell r="BW167" t="str">
            <v>0</v>
          </cell>
          <cell r="BX167" t="str">
            <v>0</v>
          </cell>
          <cell r="BY167" t="str">
            <v>0</v>
          </cell>
          <cell r="BZ167" t="str">
            <v>0</v>
          </cell>
          <cell r="CA167" t="str">
            <v>0</v>
          </cell>
          <cell r="CB167" t="str">
            <v>0</v>
          </cell>
          <cell r="CC167" t="str">
            <v>0</v>
          </cell>
          <cell r="CD167" t="str">
            <v>0</v>
          </cell>
          <cell r="CE167" t="str">
            <v>0</v>
          </cell>
          <cell r="CF167" t="str">
            <v>0</v>
          </cell>
          <cell r="CG167" t="str">
            <v>0</v>
          </cell>
          <cell r="CH167" t="str">
            <v>0</v>
          </cell>
          <cell r="CI167" t="str">
            <v>0</v>
          </cell>
          <cell r="CJ167" t="str">
            <v>0</v>
          </cell>
          <cell r="CK167" t="str">
            <v>0</v>
          </cell>
          <cell r="CL167" t="str">
            <v>0</v>
          </cell>
          <cell r="CM167" t="str">
            <v>0</v>
          </cell>
          <cell r="CN167" t="str">
            <v>0</v>
          </cell>
          <cell r="CO167" t="str">
            <v>0</v>
          </cell>
          <cell r="CP167" t="str">
            <v>0</v>
          </cell>
          <cell r="CQ167" t="str">
            <v>0</v>
          </cell>
          <cell r="CR167" t="str">
            <v>0</v>
          </cell>
          <cell r="CS167" t="str">
            <v>0</v>
          </cell>
          <cell r="CT167" t="str">
            <v>0</v>
          </cell>
          <cell r="CU167" t="str">
            <v>0</v>
          </cell>
          <cell r="CV167" t="str">
            <v>0</v>
          </cell>
          <cell r="CW167" t="str">
            <v>0</v>
          </cell>
          <cell r="CX167" t="str">
            <v>0</v>
          </cell>
          <cell r="CY167" t="str">
            <v>0</v>
          </cell>
          <cell r="CZ167" t="str">
            <v>0</v>
          </cell>
          <cell r="DA167" t="str">
            <v>0</v>
          </cell>
          <cell r="DB167" t="str">
            <v>0</v>
          </cell>
          <cell r="DC167" t="str">
            <v>0</v>
          </cell>
          <cell r="DD167" t="str">
            <v>0</v>
          </cell>
          <cell r="DE167" t="str">
            <v>0</v>
          </cell>
          <cell r="DF167" t="str">
            <v>0</v>
          </cell>
          <cell r="DG167" t="str">
            <v>0</v>
          </cell>
          <cell r="DH167" t="str">
            <v>0</v>
          </cell>
          <cell r="DI167" t="str">
            <v>0</v>
          </cell>
          <cell r="DJ167" t="str">
            <v>0</v>
          </cell>
          <cell r="DK167" t="str">
            <v>0</v>
          </cell>
          <cell r="DL167" t="str">
            <v>0</v>
          </cell>
          <cell r="DM167" t="str">
            <v>0</v>
          </cell>
          <cell r="DN167" t="str">
            <v>0</v>
          </cell>
          <cell r="DO167" t="str">
            <v>0</v>
          </cell>
          <cell r="DP167" t="str">
            <v>0</v>
          </cell>
        </row>
        <row r="168">
          <cell r="C168"/>
          <cell r="D168" t="str">
            <v>0</v>
          </cell>
          <cell r="E168" t="str">
            <v>0</v>
          </cell>
          <cell r="F168" t="str">
            <v>0</v>
          </cell>
          <cell r="G168" t="str">
            <v>0</v>
          </cell>
          <cell r="H168" t="str">
            <v>0</v>
          </cell>
          <cell r="I168" t="str">
            <v>0</v>
          </cell>
          <cell r="J168" t="str">
            <v>0</v>
          </cell>
          <cell r="K168" t="str">
            <v>0</v>
          </cell>
          <cell r="L168" t="str">
            <v>0</v>
          </cell>
          <cell r="M168" t="str">
            <v>0</v>
          </cell>
          <cell r="N168" t="str">
            <v>0</v>
          </cell>
          <cell r="O168" t="str">
            <v>0</v>
          </cell>
          <cell r="P168" t="str">
            <v>0</v>
          </cell>
          <cell r="Q168" t="str">
            <v>0</v>
          </cell>
          <cell r="R168" t="str">
            <v>0</v>
          </cell>
          <cell r="S168" t="str">
            <v>0</v>
          </cell>
          <cell r="T168" t="str">
            <v>0</v>
          </cell>
          <cell r="U168" t="str">
            <v>0</v>
          </cell>
          <cell r="V168" t="str">
            <v>0</v>
          </cell>
          <cell r="W168" t="str">
            <v>0</v>
          </cell>
          <cell r="X168" t="str">
            <v>0</v>
          </cell>
          <cell r="Y168" t="str">
            <v>0</v>
          </cell>
          <cell r="Z168" t="str">
            <v>0</v>
          </cell>
          <cell r="AA168" t="str">
            <v>0</v>
          </cell>
          <cell r="AB168" t="str">
            <v>0</v>
          </cell>
          <cell r="AC168" t="str">
            <v>0</v>
          </cell>
          <cell r="AD168" t="str">
            <v>0</v>
          </cell>
          <cell r="AE168" t="str">
            <v>0</v>
          </cell>
          <cell r="AF168" t="str">
            <v>0</v>
          </cell>
          <cell r="AG168" t="str">
            <v>0</v>
          </cell>
          <cell r="AH168" t="str">
            <v>0</v>
          </cell>
          <cell r="AI168" t="str">
            <v>0</v>
          </cell>
          <cell r="AJ168" t="str">
            <v>0</v>
          </cell>
          <cell r="AK168" t="str">
            <v>0</v>
          </cell>
          <cell r="AL168" t="str">
            <v>0</v>
          </cell>
          <cell r="AM168" t="str">
            <v>0</v>
          </cell>
          <cell r="AN168" t="str">
            <v>0</v>
          </cell>
          <cell r="AO168" t="str">
            <v>0</v>
          </cell>
          <cell r="AP168" t="str">
            <v>0</v>
          </cell>
          <cell r="AQ168" t="str">
            <v>0</v>
          </cell>
          <cell r="AR168" t="str">
            <v>0</v>
          </cell>
          <cell r="AS168" t="str">
            <v>0</v>
          </cell>
          <cell r="AT168" t="str">
            <v>0</v>
          </cell>
          <cell r="AU168" t="str">
            <v>0</v>
          </cell>
          <cell r="AV168" t="str">
            <v>0</v>
          </cell>
          <cell r="AW168" t="str">
            <v>0</v>
          </cell>
          <cell r="AX168" t="str">
            <v>0</v>
          </cell>
          <cell r="AY168" t="str">
            <v>0</v>
          </cell>
          <cell r="AZ168" t="str">
            <v>0</v>
          </cell>
          <cell r="BA168" t="str">
            <v>0</v>
          </cell>
          <cell r="BB168" t="str">
            <v>0</v>
          </cell>
          <cell r="BC168" t="str">
            <v>0</v>
          </cell>
          <cell r="BD168" t="str">
            <v>0</v>
          </cell>
          <cell r="BE168" t="str">
            <v>0</v>
          </cell>
          <cell r="BF168" t="str">
            <v>0</v>
          </cell>
          <cell r="BG168" t="str">
            <v>0</v>
          </cell>
          <cell r="BH168" t="str">
            <v>0</v>
          </cell>
          <cell r="BI168" t="str">
            <v>0</v>
          </cell>
          <cell r="BJ168" t="str">
            <v>0</v>
          </cell>
          <cell r="BK168" t="str">
            <v>0</v>
          </cell>
          <cell r="BL168" t="str">
            <v>0</v>
          </cell>
          <cell r="BM168" t="str">
            <v>0</v>
          </cell>
          <cell r="BN168" t="str">
            <v>0</v>
          </cell>
          <cell r="BO168" t="str">
            <v>0</v>
          </cell>
          <cell r="BP168" t="str">
            <v>0</v>
          </cell>
          <cell r="BQ168" t="str">
            <v>0</v>
          </cell>
          <cell r="BR168" t="str">
            <v>0</v>
          </cell>
          <cell r="BS168" t="str">
            <v>0</v>
          </cell>
          <cell r="BT168" t="str">
            <v>0</v>
          </cell>
          <cell r="BU168" t="str">
            <v>0</v>
          </cell>
          <cell r="BV168" t="str">
            <v>0</v>
          </cell>
          <cell r="BW168" t="str">
            <v>0</v>
          </cell>
          <cell r="BX168" t="str">
            <v>0</v>
          </cell>
          <cell r="BY168" t="str">
            <v>0</v>
          </cell>
          <cell r="BZ168" t="str">
            <v>0</v>
          </cell>
          <cell r="CA168" t="str">
            <v>0</v>
          </cell>
          <cell r="CB168" t="str">
            <v>0</v>
          </cell>
          <cell r="CC168" t="str">
            <v>0</v>
          </cell>
          <cell r="CD168" t="str">
            <v>0</v>
          </cell>
          <cell r="CE168" t="str">
            <v>0</v>
          </cell>
          <cell r="CF168" t="str">
            <v>0</v>
          </cell>
          <cell r="CG168" t="str">
            <v>0</v>
          </cell>
          <cell r="CH168" t="str">
            <v>0</v>
          </cell>
          <cell r="CI168" t="str">
            <v>0</v>
          </cell>
          <cell r="CJ168" t="str">
            <v>0</v>
          </cell>
          <cell r="CK168" t="str">
            <v>0</v>
          </cell>
          <cell r="CL168" t="str">
            <v>0</v>
          </cell>
          <cell r="CM168" t="str">
            <v>0</v>
          </cell>
          <cell r="CN168" t="str">
            <v>0</v>
          </cell>
          <cell r="CO168" t="str">
            <v>0</v>
          </cell>
          <cell r="CP168" t="str">
            <v>0</v>
          </cell>
          <cell r="CQ168" t="str">
            <v>0</v>
          </cell>
          <cell r="CR168" t="str">
            <v>0</v>
          </cell>
          <cell r="CS168" t="str">
            <v>0</v>
          </cell>
          <cell r="CT168" t="str">
            <v>0</v>
          </cell>
          <cell r="CU168" t="str">
            <v>0</v>
          </cell>
          <cell r="CV168" t="str">
            <v>0</v>
          </cell>
          <cell r="CW168" t="str">
            <v>0</v>
          </cell>
          <cell r="CX168" t="str">
            <v>0</v>
          </cell>
          <cell r="CY168" t="str">
            <v>0</v>
          </cell>
          <cell r="CZ168" t="str">
            <v>0</v>
          </cell>
          <cell r="DA168" t="str">
            <v>0</v>
          </cell>
          <cell r="DB168" t="str">
            <v>0</v>
          </cell>
          <cell r="DC168" t="str">
            <v>0</v>
          </cell>
          <cell r="DD168" t="str">
            <v>0</v>
          </cell>
          <cell r="DE168" t="str">
            <v>0</v>
          </cell>
          <cell r="DF168" t="str">
            <v>0</v>
          </cell>
          <cell r="DG168" t="str">
            <v>0</v>
          </cell>
          <cell r="DH168" t="str">
            <v>0</v>
          </cell>
          <cell r="DI168" t="str">
            <v>0</v>
          </cell>
          <cell r="DJ168" t="str">
            <v>0</v>
          </cell>
          <cell r="DK168" t="str">
            <v>0</v>
          </cell>
          <cell r="DL168" t="str">
            <v>0</v>
          </cell>
          <cell r="DM168" t="str">
            <v>0</v>
          </cell>
          <cell r="DN168" t="str">
            <v>0</v>
          </cell>
          <cell r="DO168" t="str">
            <v>0</v>
          </cell>
          <cell r="DP168" t="str">
            <v>0</v>
          </cell>
        </row>
        <row r="169">
          <cell r="C169"/>
          <cell r="D169" t="str">
            <v>0</v>
          </cell>
          <cell r="E169" t="str">
            <v>0</v>
          </cell>
          <cell r="F169" t="str">
            <v>0</v>
          </cell>
          <cell r="G169" t="str">
            <v>0</v>
          </cell>
          <cell r="H169" t="str">
            <v>0</v>
          </cell>
          <cell r="I169" t="str">
            <v>0</v>
          </cell>
          <cell r="J169" t="str">
            <v>0</v>
          </cell>
          <cell r="K169" t="str">
            <v>0</v>
          </cell>
          <cell r="L169" t="str">
            <v>0</v>
          </cell>
          <cell r="M169" t="str">
            <v>0</v>
          </cell>
          <cell r="N169" t="str">
            <v>0</v>
          </cell>
          <cell r="O169" t="str">
            <v>0</v>
          </cell>
          <cell r="P169" t="str">
            <v>0</v>
          </cell>
          <cell r="Q169" t="str">
            <v>0</v>
          </cell>
          <cell r="R169" t="str">
            <v>0</v>
          </cell>
          <cell r="S169" t="str">
            <v>0</v>
          </cell>
          <cell r="T169" t="str">
            <v>0</v>
          </cell>
          <cell r="U169" t="str">
            <v>0</v>
          </cell>
          <cell r="V169" t="str">
            <v>0</v>
          </cell>
          <cell r="W169" t="str">
            <v>0</v>
          </cell>
          <cell r="X169" t="str">
            <v>0</v>
          </cell>
          <cell r="Y169" t="str">
            <v>0</v>
          </cell>
          <cell r="Z169" t="str">
            <v>0</v>
          </cell>
          <cell r="AA169" t="str">
            <v>0</v>
          </cell>
          <cell r="AB169" t="str">
            <v>0</v>
          </cell>
          <cell r="AC169" t="str">
            <v>0</v>
          </cell>
          <cell r="AD169" t="str">
            <v>0</v>
          </cell>
          <cell r="AE169" t="str">
            <v>0</v>
          </cell>
          <cell r="AF169" t="str">
            <v>0</v>
          </cell>
          <cell r="AG169" t="str">
            <v>0</v>
          </cell>
          <cell r="AH169" t="str">
            <v>0</v>
          </cell>
          <cell r="AI169" t="str">
            <v>0</v>
          </cell>
          <cell r="AJ169" t="str">
            <v>0</v>
          </cell>
          <cell r="AK169" t="str">
            <v>0</v>
          </cell>
          <cell r="AL169" t="str">
            <v>0</v>
          </cell>
          <cell r="AM169" t="str">
            <v>0</v>
          </cell>
          <cell r="AN169" t="str">
            <v>0</v>
          </cell>
          <cell r="AO169" t="str">
            <v>0</v>
          </cell>
          <cell r="AP169" t="str">
            <v>0</v>
          </cell>
          <cell r="AQ169" t="str">
            <v>0</v>
          </cell>
          <cell r="AR169" t="str">
            <v>0</v>
          </cell>
          <cell r="AS169" t="str">
            <v>0</v>
          </cell>
          <cell r="AT169" t="str">
            <v>0</v>
          </cell>
          <cell r="AU169" t="str">
            <v>0</v>
          </cell>
          <cell r="AV169" t="str">
            <v>0</v>
          </cell>
          <cell r="AW169" t="str">
            <v>0</v>
          </cell>
          <cell r="AX169" t="str">
            <v>0</v>
          </cell>
          <cell r="AY169" t="str">
            <v>0</v>
          </cell>
          <cell r="AZ169" t="str">
            <v>0</v>
          </cell>
          <cell r="BA169" t="str">
            <v>0</v>
          </cell>
          <cell r="BB169" t="str">
            <v>0</v>
          </cell>
          <cell r="BC169" t="str">
            <v>0</v>
          </cell>
          <cell r="BD169" t="str">
            <v>0</v>
          </cell>
          <cell r="BE169" t="str">
            <v>0</v>
          </cell>
          <cell r="BF169" t="str">
            <v>0</v>
          </cell>
          <cell r="BG169" t="str">
            <v>0</v>
          </cell>
          <cell r="BH169" t="str">
            <v>0</v>
          </cell>
          <cell r="BI169" t="str">
            <v>0</v>
          </cell>
          <cell r="BJ169" t="str">
            <v>0</v>
          </cell>
          <cell r="BK169" t="str">
            <v>0</v>
          </cell>
          <cell r="BL169" t="str">
            <v>0</v>
          </cell>
          <cell r="BM169" t="str">
            <v>0</v>
          </cell>
          <cell r="BN169" t="str">
            <v>0</v>
          </cell>
          <cell r="BO169" t="str">
            <v>0</v>
          </cell>
          <cell r="BP169" t="str">
            <v>0</v>
          </cell>
          <cell r="BQ169" t="str">
            <v>0</v>
          </cell>
          <cell r="BR169" t="str">
            <v>0</v>
          </cell>
          <cell r="BS169" t="str">
            <v>0</v>
          </cell>
          <cell r="BT169" t="str">
            <v>0</v>
          </cell>
          <cell r="BU169" t="str">
            <v>0</v>
          </cell>
          <cell r="BV169" t="str">
            <v>0</v>
          </cell>
          <cell r="BW169" t="str">
            <v>0</v>
          </cell>
          <cell r="BX169" t="str">
            <v>0</v>
          </cell>
          <cell r="BY169" t="str">
            <v>0</v>
          </cell>
          <cell r="BZ169" t="str">
            <v>0</v>
          </cell>
          <cell r="CA169" t="str">
            <v>0</v>
          </cell>
          <cell r="CB169" t="str">
            <v>0</v>
          </cell>
          <cell r="CC169" t="str">
            <v>0</v>
          </cell>
          <cell r="CD169" t="str">
            <v>0</v>
          </cell>
          <cell r="CE169" t="str">
            <v>0</v>
          </cell>
          <cell r="CF169" t="str">
            <v>0</v>
          </cell>
          <cell r="CG169" t="str">
            <v>0</v>
          </cell>
          <cell r="CH169" t="str">
            <v>0</v>
          </cell>
          <cell r="CI169" t="str">
            <v>0</v>
          </cell>
          <cell r="CJ169" t="str">
            <v>0</v>
          </cell>
          <cell r="CK169" t="str">
            <v>0</v>
          </cell>
          <cell r="CL169" t="str">
            <v>0</v>
          </cell>
          <cell r="CM169" t="str">
            <v>0</v>
          </cell>
          <cell r="CN169" t="str">
            <v>0</v>
          </cell>
          <cell r="CO169" t="str">
            <v>0</v>
          </cell>
          <cell r="CP169" t="str">
            <v>0</v>
          </cell>
          <cell r="CQ169" t="str">
            <v>0</v>
          </cell>
          <cell r="CR169" t="str">
            <v>0</v>
          </cell>
          <cell r="CS169" t="str">
            <v>0</v>
          </cell>
          <cell r="CT169" t="str">
            <v>0</v>
          </cell>
          <cell r="CU169" t="str">
            <v>0</v>
          </cell>
          <cell r="CV169" t="str">
            <v>0</v>
          </cell>
          <cell r="CW169" t="str">
            <v>0</v>
          </cell>
          <cell r="CX169" t="str">
            <v>0</v>
          </cell>
          <cell r="CY169" t="str">
            <v>0</v>
          </cell>
          <cell r="CZ169" t="str">
            <v>0</v>
          </cell>
          <cell r="DA169" t="str">
            <v>0</v>
          </cell>
          <cell r="DB169" t="str">
            <v>0</v>
          </cell>
          <cell r="DC169" t="str">
            <v>0</v>
          </cell>
          <cell r="DD169" t="str">
            <v>0</v>
          </cell>
          <cell r="DE169" t="str">
            <v>0</v>
          </cell>
          <cell r="DF169" t="str">
            <v>0</v>
          </cell>
          <cell r="DG169" t="str">
            <v>0</v>
          </cell>
          <cell r="DH169" t="str">
            <v>0</v>
          </cell>
          <cell r="DI169" t="str">
            <v>0</v>
          </cell>
          <cell r="DJ169" t="str">
            <v>0</v>
          </cell>
          <cell r="DK169" t="str">
            <v>0</v>
          </cell>
          <cell r="DL169" t="str">
            <v>0</v>
          </cell>
          <cell r="DM169" t="str">
            <v>0</v>
          </cell>
          <cell r="DN169" t="str">
            <v>0</v>
          </cell>
          <cell r="DO169" t="str">
            <v>0</v>
          </cell>
          <cell r="DP169" t="str">
            <v>0</v>
          </cell>
        </row>
        <row r="170">
          <cell r="C170"/>
          <cell r="D170" t="str">
            <v>0</v>
          </cell>
          <cell r="E170" t="str">
            <v>0</v>
          </cell>
          <cell r="F170" t="str">
            <v>0</v>
          </cell>
          <cell r="G170" t="str">
            <v>0</v>
          </cell>
          <cell r="H170" t="str">
            <v>0</v>
          </cell>
          <cell r="I170" t="str">
            <v>0</v>
          </cell>
          <cell r="J170" t="str">
            <v>0</v>
          </cell>
          <cell r="K170" t="str">
            <v>0</v>
          </cell>
          <cell r="L170" t="str">
            <v>0</v>
          </cell>
          <cell r="M170" t="str">
            <v>0</v>
          </cell>
          <cell r="N170" t="str">
            <v>0</v>
          </cell>
          <cell r="O170" t="str">
            <v>0</v>
          </cell>
          <cell r="P170" t="str">
            <v>0</v>
          </cell>
          <cell r="Q170" t="str">
            <v>0</v>
          </cell>
          <cell r="R170" t="str">
            <v>0</v>
          </cell>
          <cell r="S170" t="str">
            <v>0</v>
          </cell>
          <cell r="T170" t="str">
            <v>0</v>
          </cell>
          <cell r="U170" t="str">
            <v>0</v>
          </cell>
          <cell r="V170" t="str">
            <v>0</v>
          </cell>
          <cell r="W170" t="str">
            <v>0</v>
          </cell>
          <cell r="X170" t="str">
            <v>0</v>
          </cell>
          <cell r="Y170" t="str">
            <v>0</v>
          </cell>
          <cell r="Z170" t="str">
            <v>0</v>
          </cell>
          <cell r="AA170" t="str">
            <v>0</v>
          </cell>
          <cell r="AB170" t="str">
            <v>0</v>
          </cell>
          <cell r="AC170" t="str">
            <v>0</v>
          </cell>
          <cell r="AD170" t="str">
            <v>0</v>
          </cell>
          <cell r="AE170" t="str">
            <v>0</v>
          </cell>
          <cell r="AF170" t="str">
            <v>0</v>
          </cell>
          <cell r="AG170" t="str">
            <v>0</v>
          </cell>
          <cell r="AH170" t="str">
            <v>0</v>
          </cell>
          <cell r="AI170" t="str">
            <v>0</v>
          </cell>
          <cell r="AJ170" t="str">
            <v>0</v>
          </cell>
          <cell r="AK170" t="str">
            <v>0</v>
          </cell>
          <cell r="AL170" t="str">
            <v>0</v>
          </cell>
          <cell r="AM170" t="str">
            <v>0</v>
          </cell>
          <cell r="AN170" t="str">
            <v>0</v>
          </cell>
          <cell r="AO170" t="str">
            <v>0</v>
          </cell>
          <cell r="AP170" t="str">
            <v>0</v>
          </cell>
          <cell r="AQ170" t="str">
            <v>0</v>
          </cell>
          <cell r="AR170" t="str">
            <v>0</v>
          </cell>
          <cell r="AS170" t="str">
            <v>0</v>
          </cell>
          <cell r="AT170" t="str">
            <v>0</v>
          </cell>
          <cell r="AU170" t="str">
            <v>0</v>
          </cell>
          <cell r="AV170" t="str">
            <v>0</v>
          </cell>
          <cell r="AW170" t="str">
            <v>0</v>
          </cell>
          <cell r="AX170" t="str">
            <v>0</v>
          </cell>
          <cell r="AY170" t="str">
            <v>0</v>
          </cell>
          <cell r="AZ170" t="str">
            <v>0</v>
          </cell>
          <cell r="BA170" t="str">
            <v>0</v>
          </cell>
          <cell r="BB170" t="str">
            <v>0</v>
          </cell>
          <cell r="BC170" t="str">
            <v>0</v>
          </cell>
          <cell r="BD170" t="str">
            <v>0</v>
          </cell>
          <cell r="BE170" t="str">
            <v>0</v>
          </cell>
          <cell r="BF170" t="str">
            <v>0</v>
          </cell>
          <cell r="BG170" t="str">
            <v>0</v>
          </cell>
          <cell r="BH170" t="str">
            <v>0</v>
          </cell>
          <cell r="BI170" t="str">
            <v>0</v>
          </cell>
          <cell r="BJ170" t="str">
            <v>0</v>
          </cell>
          <cell r="BK170" t="str">
            <v>0</v>
          </cell>
          <cell r="BL170" t="str">
            <v>0</v>
          </cell>
          <cell r="BM170" t="str">
            <v>0</v>
          </cell>
          <cell r="BN170" t="str">
            <v>0</v>
          </cell>
          <cell r="BO170" t="str">
            <v>0</v>
          </cell>
          <cell r="BP170" t="str">
            <v>0</v>
          </cell>
          <cell r="BQ170" t="str">
            <v>0</v>
          </cell>
          <cell r="BR170" t="str">
            <v>0</v>
          </cell>
          <cell r="BS170" t="str">
            <v>0</v>
          </cell>
          <cell r="BT170" t="str">
            <v>0</v>
          </cell>
          <cell r="BU170" t="str">
            <v>0</v>
          </cell>
          <cell r="BV170" t="str">
            <v>0</v>
          </cell>
          <cell r="BW170" t="str">
            <v>0</v>
          </cell>
          <cell r="BX170" t="str">
            <v>0</v>
          </cell>
          <cell r="BY170" t="str">
            <v>0</v>
          </cell>
          <cell r="BZ170" t="str">
            <v>0</v>
          </cell>
          <cell r="CA170" t="str">
            <v>0</v>
          </cell>
          <cell r="CB170" t="str">
            <v>0</v>
          </cell>
          <cell r="CC170" t="str">
            <v>0</v>
          </cell>
          <cell r="CD170" t="str">
            <v>0</v>
          </cell>
          <cell r="CE170" t="str">
            <v>0</v>
          </cell>
          <cell r="CF170" t="str">
            <v>0</v>
          </cell>
          <cell r="CG170" t="str">
            <v>0</v>
          </cell>
          <cell r="CH170" t="str">
            <v>0</v>
          </cell>
          <cell r="CI170" t="str">
            <v>0</v>
          </cell>
          <cell r="CJ170" t="str">
            <v>0</v>
          </cell>
          <cell r="CK170" t="str">
            <v>0</v>
          </cell>
          <cell r="CL170" t="str">
            <v>0</v>
          </cell>
          <cell r="CM170" t="str">
            <v>0</v>
          </cell>
          <cell r="CN170" t="str">
            <v>0</v>
          </cell>
          <cell r="CO170" t="str">
            <v>0</v>
          </cell>
          <cell r="CP170" t="str">
            <v>0</v>
          </cell>
          <cell r="CQ170" t="str">
            <v>0</v>
          </cell>
          <cell r="CR170" t="str">
            <v>0</v>
          </cell>
          <cell r="CS170" t="str">
            <v>0</v>
          </cell>
          <cell r="CT170" t="str">
            <v>0</v>
          </cell>
          <cell r="CU170" t="str">
            <v>0</v>
          </cell>
          <cell r="CV170" t="str">
            <v>0</v>
          </cell>
          <cell r="CW170" t="str">
            <v>0</v>
          </cell>
          <cell r="CX170" t="str">
            <v>0</v>
          </cell>
          <cell r="CY170" t="str">
            <v>0</v>
          </cell>
          <cell r="CZ170" t="str">
            <v>0</v>
          </cell>
          <cell r="DA170" t="str">
            <v>0</v>
          </cell>
          <cell r="DB170" t="str">
            <v>0</v>
          </cell>
          <cell r="DC170" t="str">
            <v>0</v>
          </cell>
          <cell r="DD170" t="str">
            <v>0</v>
          </cell>
          <cell r="DE170" t="str">
            <v>0</v>
          </cell>
          <cell r="DF170" t="str">
            <v>0</v>
          </cell>
          <cell r="DG170" t="str">
            <v>0</v>
          </cell>
          <cell r="DH170" t="str">
            <v>0</v>
          </cell>
          <cell r="DI170" t="str">
            <v>0</v>
          </cell>
          <cell r="DJ170" t="str">
            <v>0</v>
          </cell>
          <cell r="DK170" t="str">
            <v>0</v>
          </cell>
          <cell r="DL170" t="str">
            <v>0</v>
          </cell>
          <cell r="DM170" t="str">
            <v>0</v>
          </cell>
          <cell r="DN170" t="str">
            <v>0</v>
          </cell>
          <cell r="DO170" t="str">
            <v>0</v>
          </cell>
          <cell r="DP170" t="str">
            <v>0</v>
          </cell>
        </row>
        <row r="171">
          <cell r="C171"/>
          <cell r="D171" t="str">
            <v>0</v>
          </cell>
          <cell r="E171" t="str">
            <v>0</v>
          </cell>
          <cell r="F171" t="str">
            <v>0</v>
          </cell>
          <cell r="G171" t="str">
            <v>0</v>
          </cell>
          <cell r="H171" t="str">
            <v>0</v>
          </cell>
          <cell r="I171" t="str">
            <v>0</v>
          </cell>
          <cell r="J171" t="str">
            <v>0</v>
          </cell>
          <cell r="K171" t="str">
            <v>0</v>
          </cell>
          <cell r="L171" t="str">
            <v>0</v>
          </cell>
          <cell r="M171" t="str">
            <v>0</v>
          </cell>
          <cell r="N171" t="str">
            <v>0</v>
          </cell>
          <cell r="O171" t="str">
            <v>0</v>
          </cell>
          <cell r="P171" t="str">
            <v>0</v>
          </cell>
          <cell r="Q171" t="str">
            <v>0</v>
          </cell>
          <cell r="R171" t="str">
            <v>0</v>
          </cell>
          <cell r="S171" t="str">
            <v>0</v>
          </cell>
          <cell r="T171" t="str">
            <v>0</v>
          </cell>
          <cell r="U171" t="str">
            <v>0</v>
          </cell>
          <cell r="V171" t="str">
            <v>0</v>
          </cell>
          <cell r="W171" t="str">
            <v>0</v>
          </cell>
          <cell r="X171" t="str">
            <v>0</v>
          </cell>
          <cell r="Y171" t="str">
            <v>0</v>
          </cell>
          <cell r="Z171" t="str">
            <v>0</v>
          </cell>
          <cell r="AA171" t="str">
            <v>0</v>
          </cell>
          <cell r="AB171" t="str">
            <v>0</v>
          </cell>
          <cell r="AC171" t="str">
            <v>0</v>
          </cell>
          <cell r="AD171" t="str">
            <v>0</v>
          </cell>
          <cell r="AE171" t="str">
            <v>0</v>
          </cell>
          <cell r="AF171" t="str">
            <v>0</v>
          </cell>
          <cell r="AG171" t="str">
            <v>0</v>
          </cell>
          <cell r="AH171" t="str">
            <v>0</v>
          </cell>
          <cell r="AI171" t="str">
            <v>0</v>
          </cell>
          <cell r="AJ171" t="str">
            <v>0</v>
          </cell>
          <cell r="AK171" t="str">
            <v>0</v>
          </cell>
          <cell r="AL171" t="str">
            <v>0</v>
          </cell>
          <cell r="AM171" t="str">
            <v>0</v>
          </cell>
          <cell r="AN171" t="str">
            <v>0</v>
          </cell>
          <cell r="AO171" t="str">
            <v>0</v>
          </cell>
          <cell r="AP171" t="str">
            <v>0</v>
          </cell>
          <cell r="AQ171" t="str">
            <v>0</v>
          </cell>
          <cell r="AR171" t="str">
            <v>0</v>
          </cell>
          <cell r="AS171" t="str">
            <v>0</v>
          </cell>
          <cell r="AT171" t="str">
            <v>0</v>
          </cell>
          <cell r="AU171" t="str">
            <v>0</v>
          </cell>
          <cell r="AV171" t="str">
            <v>0</v>
          </cell>
          <cell r="AW171" t="str">
            <v>0</v>
          </cell>
          <cell r="AX171" t="str">
            <v>0</v>
          </cell>
          <cell r="AY171" t="str">
            <v>0</v>
          </cell>
          <cell r="AZ171" t="str">
            <v>0</v>
          </cell>
          <cell r="BA171" t="str">
            <v>0</v>
          </cell>
          <cell r="BB171" t="str">
            <v>0</v>
          </cell>
          <cell r="BC171" t="str">
            <v>0</v>
          </cell>
          <cell r="BD171" t="str">
            <v>0</v>
          </cell>
          <cell r="BE171" t="str">
            <v>0</v>
          </cell>
          <cell r="BF171" t="str">
            <v>0</v>
          </cell>
          <cell r="BG171" t="str">
            <v>0</v>
          </cell>
          <cell r="BH171" t="str">
            <v>0</v>
          </cell>
          <cell r="BI171" t="str">
            <v>0</v>
          </cell>
          <cell r="BJ171" t="str">
            <v>0</v>
          </cell>
          <cell r="BK171" t="str">
            <v>0</v>
          </cell>
          <cell r="BL171" t="str">
            <v>0</v>
          </cell>
          <cell r="BM171" t="str">
            <v>0</v>
          </cell>
          <cell r="BN171" t="str">
            <v>0</v>
          </cell>
          <cell r="BO171" t="str">
            <v>0</v>
          </cell>
          <cell r="BP171" t="str">
            <v>0</v>
          </cell>
          <cell r="BQ171" t="str">
            <v>0</v>
          </cell>
          <cell r="BR171" t="str">
            <v>0</v>
          </cell>
          <cell r="BS171" t="str">
            <v>0</v>
          </cell>
          <cell r="BT171" t="str">
            <v>0</v>
          </cell>
          <cell r="BU171" t="str">
            <v>0</v>
          </cell>
          <cell r="BV171" t="str">
            <v>0</v>
          </cell>
          <cell r="BW171" t="str">
            <v>0</v>
          </cell>
          <cell r="BX171" t="str">
            <v>0</v>
          </cell>
          <cell r="BY171" t="str">
            <v>0</v>
          </cell>
          <cell r="BZ171" t="str">
            <v>0</v>
          </cell>
          <cell r="CA171" t="str">
            <v>0</v>
          </cell>
          <cell r="CB171" t="str">
            <v>0</v>
          </cell>
          <cell r="CC171" t="str">
            <v>0</v>
          </cell>
          <cell r="CD171" t="str">
            <v>0</v>
          </cell>
          <cell r="CE171" t="str">
            <v>0</v>
          </cell>
          <cell r="CF171" t="str">
            <v>0</v>
          </cell>
          <cell r="CG171" t="str">
            <v>0</v>
          </cell>
          <cell r="CH171" t="str">
            <v>0</v>
          </cell>
          <cell r="CI171" t="str">
            <v>0</v>
          </cell>
          <cell r="CJ171" t="str">
            <v>0</v>
          </cell>
          <cell r="CK171" t="str">
            <v>0</v>
          </cell>
          <cell r="CL171" t="str">
            <v>0</v>
          </cell>
          <cell r="CM171" t="str">
            <v>0</v>
          </cell>
          <cell r="CN171" t="str">
            <v>0</v>
          </cell>
          <cell r="CO171" t="str">
            <v>0</v>
          </cell>
          <cell r="CP171" t="str">
            <v>0</v>
          </cell>
          <cell r="CQ171" t="str">
            <v>0</v>
          </cell>
          <cell r="CR171" t="str">
            <v>0</v>
          </cell>
          <cell r="CS171" t="str">
            <v>0</v>
          </cell>
          <cell r="CT171" t="str">
            <v>0</v>
          </cell>
          <cell r="CU171" t="str">
            <v>0</v>
          </cell>
          <cell r="CV171" t="str">
            <v>0</v>
          </cell>
          <cell r="CW171" t="str">
            <v>0</v>
          </cell>
          <cell r="CX171" t="str">
            <v>0</v>
          </cell>
          <cell r="CY171" t="str">
            <v>0</v>
          </cell>
          <cell r="CZ171" t="str">
            <v>0</v>
          </cell>
          <cell r="DA171" t="str">
            <v>0</v>
          </cell>
          <cell r="DB171" t="str">
            <v>0</v>
          </cell>
          <cell r="DC171" t="str">
            <v>0</v>
          </cell>
          <cell r="DD171" t="str">
            <v>0</v>
          </cell>
          <cell r="DE171" t="str">
            <v>0</v>
          </cell>
          <cell r="DF171" t="str">
            <v>0</v>
          </cell>
          <cell r="DG171" t="str">
            <v>0</v>
          </cell>
          <cell r="DH171" t="str">
            <v>0</v>
          </cell>
          <cell r="DI171" t="str">
            <v>0</v>
          </cell>
          <cell r="DJ171" t="str">
            <v>0</v>
          </cell>
          <cell r="DK171" t="str">
            <v>0</v>
          </cell>
          <cell r="DL171" t="str">
            <v>0</v>
          </cell>
          <cell r="DM171" t="str">
            <v>0</v>
          </cell>
          <cell r="DN171" t="str">
            <v>0</v>
          </cell>
          <cell r="DO171" t="str">
            <v>0</v>
          </cell>
          <cell r="DP171" t="str">
            <v>0</v>
          </cell>
        </row>
        <row r="172">
          <cell r="C172"/>
          <cell r="D172" t="str">
            <v>0</v>
          </cell>
          <cell r="E172" t="str">
            <v>0</v>
          </cell>
          <cell r="F172" t="str">
            <v>0</v>
          </cell>
          <cell r="G172" t="str">
            <v>0</v>
          </cell>
          <cell r="H172" t="str">
            <v>0</v>
          </cell>
          <cell r="I172" t="str">
            <v>0</v>
          </cell>
          <cell r="J172" t="str">
            <v>0</v>
          </cell>
          <cell r="K172" t="str">
            <v>0</v>
          </cell>
          <cell r="L172" t="str">
            <v>0</v>
          </cell>
          <cell r="M172" t="str">
            <v>0</v>
          </cell>
          <cell r="N172" t="str">
            <v>0</v>
          </cell>
          <cell r="O172" t="str">
            <v>0</v>
          </cell>
          <cell r="P172" t="str">
            <v>0</v>
          </cell>
          <cell r="Q172" t="str">
            <v>0</v>
          </cell>
          <cell r="R172" t="str">
            <v>0</v>
          </cell>
          <cell r="S172" t="str">
            <v>0</v>
          </cell>
          <cell r="T172" t="str">
            <v>0</v>
          </cell>
          <cell r="U172" t="str">
            <v>0</v>
          </cell>
          <cell r="V172" t="str">
            <v>0</v>
          </cell>
          <cell r="W172" t="str">
            <v>0</v>
          </cell>
          <cell r="X172" t="str">
            <v>0</v>
          </cell>
          <cell r="Y172" t="str">
            <v>0</v>
          </cell>
          <cell r="Z172" t="str">
            <v>0</v>
          </cell>
          <cell r="AA172" t="str">
            <v>0</v>
          </cell>
          <cell r="AB172" t="str">
            <v>0</v>
          </cell>
          <cell r="AC172" t="str">
            <v>0</v>
          </cell>
          <cell r="AD172" t="str">
            <v>0</v>
          </cell>
          <cell r="AE172" t="str">
            <v>0</v>
          </cell>
          <cell r="AF172" t="str">
            <v>0</v>
          </cell>
          <cell r="AG172" t="str">
            <v>0</v>
          </cell>
          <cell r="AH172" t="str">
            <v>0</v>
          </cell>
          <cell r="AI172" t="str">
            <v>0</v>
          </cell>
          <cell r="AJ172" t="str">
            <v>0</v>
          </cell>
          <cell r="AK172" t="str">
            <v>0</v>
          </cell>
          <cell r="AL172" t="str">
            <v>0</v>
          </cell>
          <cell r="AM172" t="str">
            <v>0</v>
          </cell>
          <cell r="AN172" t="str">
            <v>0</v>
          </cell>
          <cell r="AO172" t="str">
            <v>0</v>
          </cell>
          <cell r="AP172" t="str">
            <v>0</v>
          </cell>
          <cell r="AQ172" t="str">
            <v>0</v>
          </cell>
          <cell r="AR172" t="str">
            <v>0</v>
          </cell>
          <cell r="AS172" t="str">
            <v>0</v>
          </cell>
          <cell r="AT172" t="str">
            <v>0</v>
          </cell>
          <cell r="AU172" t="str">
            <v>0</v>
          </cell>
          <cell r="AV172" t="str">
            <v>0</v>
          </cell>
          <cell r="AW172" t="str">
            <v>0</v>
          </cell>
          <cell r="AX172" t="str">
            <v>0</v>
          </cell>
          <cell r="AY172" t="str">
            <v>0</v>
          </cell>
          <cell r="AZ172" t="str">
            <v>0</v>
          </cell>
          <cell r="BA172" t="str">
            <v>0</v>
          </cell>
          <cell r="BB172" t="str">
            <v>0</v>
          </cell>
          <cell r="BC172" t="str">
            <v>0</v>
          </cell>
          <cell r="BD172" t="str">
            <v>0</v>
          </cell>
          <cell r="BE172" t="str">
            <v>0</v>
          </cell>
          <cell r="BF172" t="str">
            <v>0</v>
          </cell>
          <cell r="BG172" t="str">
            <v>0</v>
          </cell>
          <cell r="BH172" t="str">
            <v>0</v>
          </cell>
          <cell r="BI172" t="str">
            <v>0</v>
          </cell>
          <cell r="BJ172" t="str">
            <v>0</v>
          </cell>
          <cell r="BK172" t="str">
            <v>0</v>
          </cell>
          <cell r="BL172" t="str">
            <v>0</v>
          </cell>
          <cell r="BM172" t="str">
            <v>0</v>
          </cell>
          <cell r="BN172" t="str">
            <v>0</v>
          </cell>
          <cell r="BO172" t="str">
            <v>0</v>
          </cell>
          <cell r="BP172" t="str">
            <v>0</v>
          </cell>
          <cell r="BQ172" t="str">
            <v>0</v>
          </cell>
          <cell r="BR172" t="str">
            <v>0</v>
          </cell>
          <cell r="BS172" t="str">
            <v>0</v>
          </cell>
          <cell r="BT172" t="str">
            <v>0</v>
          </cell>
          <cell r="BU172" t="str">
            <v>0</v>
          </cell>
          <cell r="BV172" t="str">
            <v>0</v>
          </cell>
          <cell r="BW172" t="str">
            <v>0</v>
          </cell>
          <cell r="BX172" t="str">
            <v>0</v>
          </cell>
          <cell r="BY172" t="str">
            <v>0</v>
          </cell>
          <cell r="BZ172" t="str">
            <v>0</v>
          </cell>
          <cell r="CA172" t="str">
            <v>0</v>
          </cell>
          <cell r="CB172" t="str">
            <v>0</v>
          </cell>
          <cell r="CC172" t="str">
            <v>0</v>
          </cell>
          <cell r="CD172" t="str">
            <v>0</v>
          </cell>
          <cell r="CE172" t="str">
            <v>0</v>
          </cell>
          <cell r="CF172" t="str">
            <v>0</v>
          </cell>
          <cell r="CG172" t="str">
            <v>0</v>
          </cell>
          <cell r="CH172" t="str">
            <v>0</v>
          </cell>
          <cell r="CI172" t="str">
            <v>0</v>
          </cell>
          <cell r="CJ172" t="str">
            <v>0</v>
          </cell>
          <cell r="CK172" t="str">
            <v>0</v>
          </cell>
          <cell r="CL172" t="str">
            <v>0</v>
          </cell>
          <cell r="CM172" t="str">
            <v>0</v>
          </cell>
          <cell r="CN172" t="str">
            <v>0</v>
          </cell>
          <cell r="CO172" t="str">
            <v>0</v>
          </cell>
          <cell r="CP172" t="str">
            <v>0</v>
          </cell>
          <cell r="CQ172" t="str">
            <v>0</v>
          </cell>
          <cell r="CR172" t="str">
            <v>0</v>
          </cell>
          <cell r="CS172" t="str">
            <v>0</v>
          </cell>
          <cell r="CT172" t="str">
            <v>0</v>
          </cell>
          <cell r="CU172" t="str">
            <v>0</v>
          </cell>
          <cell r="CV172" t="str">
            <v>0</v>
          </cell>
          <cell r="CW172" t="str">
            <v>0</v>
          </cell>
          <cell r="CX172" t="str">
            <v>0</v>
          </cell>
          <cell r="CY172" t="str">
            <v>0</v>
          </cell>
          <cell r="CZ172" t="str">
            <v>0</v>
          </cell>
          <cell r="DA172" t="str">
            <v>0</v>
          </cell>
          <cell r="DB172" t="str">
            <v>0</v>
          </cell>
          <cell r="DC172" t="str">
            <v>0</v>
          </cell>
          <cell r="DD172" t="str">
            <v>0</v>
          </cell>
          <cell r="DE172" t="str">
            <v>0</v>
          </cell>
          <cell r="DF172" t="str">
            <v>0</v>
          </cell>
          <cell r="DG172" t="str">
            <v>0</v>
          </cell>
          <cell r="DH172" t="str">
            <v>0</v>
          </cell>
          <cell r="DI172" t="str">
            <v>0</v>
          </cell>
          <cell r="DJ172" t="str">
            <v>0</v>
          </cell>
          <cell r="DK172" t="str">
            <v>0</v>
          </cell>
          <cell r="DL172" t="str">
            <v>0</v>
          </cell>
          <cell r="DM172" t="str">
            <v>0</v>
          </cell>
          <cell r="DN172" t="str">
            <v>0</v>
          </cell>
          <cell r="DO172" t="str">
            <v>0</v>
          </cell>
          <cell r="DP172" t="str">
            <v>0</v>
          </cell>
        </row>
        <row r="173">
          <cell r="C173"/>
          <cell r="D173" t="str">
            <v>0</v>
          </cell>
          <cell r="E173" t="str">
            <v>0</v>
          </cell>
          <cell r="F173" t="str">
            <v>0</v>
          </cell>
          <cell r="G173" t="str">
            <v>0</v>
          </cell>
          <cell r="H173" t="str">
            <v>0</v>
          </cell>
          <cell r="I173" t="str">
            <v>0</v>
          </cell>
          <cell r="J173" t="str">
            <v>0</v>
          </cell>
          <cell r="K173" t="str">
            <v>0</v>
          </cell>
          <cell r="L173" t="str">
            <v>0</v>
          </cell>
          <cell r="M173" t="str">
            <v>0</v>
          </cell>
          <cell r="N173" t="str">
            <v>0</v>
          </cell>
          <cell r="O173" t="str">
            <v>0</v>
          </cell>
          <cell r="P173" t="str">
            <v>0</v>
          </cell>
          <cell r="Q173" t="str">
            <v>0</v>
          </cell>
          <cell r="R173" t="str">
            <v>0</v>
          </cell>
          <cell r="S173" t="str">
            <v>0</v>
          </cell>
          <cell r="T173" t="str">
            <v>0</v>
          </cell>
          <cell r="U173" t="str">
            <v>0</v>
          </cell>
          <cell r="V173" t="str">
            <v>0</v>
          </cell>
          <cell r="W173" t="str">
            <v>0</v>
          </cell>
          <cell r="X173" t="str">
            <v>0</v>
          </cell>
          <cell r="Y173" t="str">
            <v>0</v>
          </cell>
          <cell r="Z173" t="str">
            <v>0</v>
          </cell>
          <cell r="AA173" t="str">
            <v>0</v>
          </cell>
          <cell r="AB173" t="str">
            <v>0</v>
          </cell>
          <cell r="AC173" t="str">
            <v>0</v>
          </cell>
          <cell r="AD173" t="str">
            <v>0</v>
          </cell>
          <cell r="AE173" t="str">
            <v>0</v>
          </cell>
          <cell r="AF173" t="str">
            <v>0</v>
          </cell>
          <cell r="AG173" t="str">
            <v>0</v>
          </cell>
          <cell r="AH173" t="str">
            <v>0</v>
          </cell>
          <cell r="AI173" t="str">
            <v>0</v>
          </cell>
          <cell r="AJ173" t="str">
            <v>0</v>
          </cell>
          <cell r="AK173" t="str">
            <v>0</v>
          </cell>
          <cell r="AL173" t="str">
            <v>0</v>
          </cell>
          <cell r="AM173" t="str">
            <v>0</v>
          </cell>
          <cell r="AN173" t="str">
            <v>0</v>
          </cell>
          <cell r="AO173" t="str">
            <v>0</v>
          </cell>
          <cell r="AP173" t="str">
            <v>0</v>
          </cell>
          <cell r="AQ173" t="str">
            <v>0</v>
          </cell>
          <cell r="AR173" t="str">
            <v>0</v>
          </cell>
          <cell r="AS173" t="str">
            <v>0</v>
          </cell>
          <cell r="AT173" t="str">
            <v>0</v>
          </cell>
          <cell r="AU173" t="str">
            <v>0</v>
          </cell>
          <cell r="AV173" t="str">
            <v>0</v>
          </cell>
          <cell r="AW173" t="str">
            <v>0</v>
          </cell>
          <cell r="AX173" t="str">
            <v>0</v>
          </cell>
          <cell r="AY173" t="str">
            <v>0</v>
          </cell>
          <cell r="AZ173" t="str">
            <v>0</v>
          </cell>
          <cell r="BA173" t="str">
            <v>0</v>
          </cell>
          <cell r="BB173" t="str">
            <v>0</v>
          </cell>
          <cell r="BC173" t="str">
            <v>0</v>
          </cell>
          <cell r="BD173" t="str">
            <v>0</v>
          </cell>
          <cell r="BE173" t="str">
            <v>0</v>
          </cell>
          <cell r="BF173" t="str">
            <v>0</v>
          </cell>
          <cell r="BG173" t="str">
            <v>0</v>
          </cell>
          <cell r="BH173" t="str">
            <v>0</v>
          </cell>
          <cell r="BI173" t="str">
            <v>0</v>
          </cell>
          <cell r="BJ173" t="str">
            <v>0</v>
          </cell>
          <cell r="BK173" t="str">
            <v>0</v>
          </cell>
          <cell r="BL173" t="str">
            <v>0</v>
          </cell>
          <cell r="BM173" t="str">
            <v>0</v>
          </cell>
          <cell r="BN173" t="str">
            <v>0</v>
          </cell>
          <cell r="BO173" t="str">
            <v>0</v>
          </cell>
          <cell r="BP173" t="str">
            <v>0</v>
          </cell>
          <cell r="BQ173" t="str">
            <v>0</v>
          </cell>
          <cell r="BR173" t="str">
            <v>0</v>
          </cell>
          <cell r="BS173" t="str">
            <v>0</v>
          </cell>
          <cell r="BT173" t="str">
            <v>0</v>
          </cell>
          <cell r="BU173" t="str">
            <v>0</v>
          </cell>
          <cell r="BV173" t="str">
            <v>0</v>
          </cell>
          <cell r="BW173" t="str">
            <v>0</v>
          </cell>
          <cell r="BX173" t="str">
            <v>0</v>
          </cell>
          <cell r="BY173" t="str">
            <v>0</v>
          </cell>
          <cell r="BZ173" t="str">
            <v>0</v>
          </cell>
          <cell r="CA173" t="str">
            <v>0</v>
          </cell>
          <cell r="CB173" t="str">
            <v>0</v>
          </cell>
          <cell r="CC173" t="str">
            <v>0</v>
          </cell>
          <cell r="CD173" t="str">
            <v>0</v>
          </cell>
          <cell r="CE173" t="str">
            <v>0</v>
          </cell>
          <cell r="CF173" t="str">
            <v>0</v>
          </cell>
          <cell r="CG173" t="str">
            <v>0</v>
          </cell>
          <cell r="CH173" t="str">
            <v>0</v>
          </cell>
          <cell r="CI173" t="str">
            <v>0</v>
          </cell>
          <cell r="CJ173" t="str">
            <v>0</v>
          </cell>
          <cell r="CK173" t="str">
            <v>0</v>
          </cell>
          <cell r="CL173" t="str">
            <v>0</v>
          </cell>
          <cell r="CM173" t="str">
            <v>0</v>
          </cell>
          <cell r="CN173" t="str">
            <v>0</v>
          </cell>
          <cell r="CO173" t="str">
            <v>0</v>
          </cell>
          <cell r="CP173" t="str">
            <v>0</v>
          </cell>
          <cell r="CQ173" t="str">
            <v>0</v>
          </cell>
          <cell r="CR173" t="str">
            <v>0</v>
          </cell>
          <cell r="CS173" t="str">
            <v>0</v>
          </cell>
          <cell r="CT173" t="str">
            <v>0</v>
          </cell>
          <cell r="CU173" t="str">
            <v>0</v>
          </cell>
          <cell r="CV173" t="str">
            <v>0</v>
          </cell>
          <cell r="CW173" t="str">
            <v>0</v>
          </cell>
          <cell r="CX173" t="str">
            <v>0</v>
          </cell>
          <cell r="CY173" t="str">
            <v>0</v>
          </cell>
          <cell r="CZ173" t="str">
            <v>0</v>
          </cell>
          <cell r="DA173" t="str">
            <v>0</v>
          </cell>
          <cell r="DB173" t="str">
            <v>0</v>
          </cell>
          <cell r="DC173" t="str">
            <v>0</v>
          </cell>
          <cell r="DD173" t="str">
            <v>0</v>
          </cell>
          <cell r="DE173" t="str">
            <v>0</v>
          </cell>
          <cell r="DF173" t="str">
            <v>0</v>
          </cell>
          <cell r="DG173" t="str">
            <v>0</v>
          </cell>
          <cell r="DH173" t="str">
            <v>0</v>
          </cell>
          <cell r="DI173" t="str">
            <v>0</v>
          </cell>
          <cell r="DJ173" t="str">
            <v>0</v>
          </cell>
          <cell r="DK173" t="str">
            <v>0</v>
          </cell>
          <cell r="DL173" t="str">
            <v>0</v>
          </cell>
          <cell r="DM173" t="str">
            <v>0</v>
          </cell>
          <cell r="DN173" t="str">
            <v>0</v>
          </cell>
          <cell r="DO173" t="str">
            <v>0</v>
          </cell>
          <cell r="DP173" t="str">
            <v>0</v>
          </cell>
        </row>
        <row r="174">
          <cell r="C174"/>
          <cell r="D174" t="str">
            <v>0</v>
          </cell>
          <cell r="E174" t="str">
            <v>0</v>
          </cell>
          <cell r="F174" t="str">
            <v>0</v>
          </cell>
          <cell r="G174" t="str">
            <v>0</v>
          </cell>
          <cell r="H174" t="str">
            <v>0</v>
          </cell>
          <cell r="I174" t="str">
            <v>0</v>
          </cell>
          <cell r="J174" t="str">
            <v>0</v>
          </cell>
          <cell r="K174" t="str">
            <v>0</v>
          </cell>
          <cell r="L174" t="str">
            <v>0</v>
          </cell>
          <cell r="M174" t="str">
            <v>0</v>
          </cell>
          <cell r="N174" t="str">
            <v>0</v>
          </cell>
          <cell r="O174" t="str">
            <v>0</v>
          </cell>
          <cell r="P174" t="str">
            <v>0</v>
          </cell>
          <cell r="Q174" t="str">
            <v>0</v>
          </cell>
          <cell r="R174" t="str">
            <v>0</v>
          </cell>
          <cell r="S174" t="str">
            <v>0</v>
          </cell>
          <cell r="T174" t="str">
            <v>0</v>
          </cell>
          <cell r="U174" t="str">
            <v>0</v>
          </cell>
          <cell r="V174" t="str">
            <v>0</v>
          </cell>
          <cell r="W174" t="str">
            <v>0</v>
          </cell>
          <cell r="X174" t="str">
            <v>0</v>
          </cell>
          <cell r="Y174" t="str">
            <v>0</v>
          </cell>
          <cell r="Z174" t="str">
            <v>0</v>
          </cell>
          <cell r="AA174" t="str">
            <v>0</v>
          </cell>
          <cell r="AB174" t="str">
            <v>0</v>
          </cell>
          <cell r="AC174" t="str">
            <v>0</v>
          </cell>
          <cell r="AD174" t="str">
            <v>0</v>
          </cell>
          <cell r="AE174" t="str">
            <v>0</v>
          </cell>
          <cell r="AF174" t="str">
            <v>0</v>
          </cell>
          <cell r="AG174" t="str">
            <v>0</v>
          </cell>
          <cell r="AH174" t="str">
            <v>0</v>
          </cell>
          <cell r="AI174" t="str">
            <v>0</v>
          </cell>
          <cell r="AJ174" t="str">
            <v>0</v>
          </cell>
          <cell r="AK174" t="str">
            <v>0</v>
          </cell>
          <cell r="AL174" t="str">
            <v>0</v>
          </cell>
          <cell r="AM174" t="str">
            <v>0</v>
          </cell>
          <cell r="AN174" t="str">
            <v>0</v>
          </cell>
          <cell r="AO174" t="str">
            <v>0</v>
          </cell>
          <cell r="AP174" t="str">
            <v>0</v>
          </cell>
          <cell r="AQ174" t="str">
            <v>0</v>
          </cell>
          <cell r="AR174" t="str">
            <v>0</v>
          </cell>
          <cell r="AS174" t="str">
            <v>0</v>
          </cell>
          <cell r="AT174" t="str">
            <v>0</v>
          </cell>
          <cell r="AU174" t="str">
            <v>0</v>
          </cell>
          <cell r="AV174" t="str">
            <v>0</v>
          </cell>
          <cell r="AW174" t="str">
            <v>0</v>
          </cell>
          <cell r="AX174" t="str">
            <v>0</v>
          </cell>
          <cell r="AY174" t="str">
            <v>0</v>
          </cell>
          <cell r="AZ174" t="str">
            <v>0</v>
          </cell>
          <cell r="BA174" t="str">
            <v>0</v>
          </cell>
          <cell r="BB174" t="str">
            <v>0</v>
          </cell>
          <cell r="BC174" t="str">
            <v>0</v>
          </cell>
          <cell r="BD174" t="str">
            <v>0</v>
          </cell>
          <cell r="BE174" t="str">
            <v>0</v>
          </cell>
          <cell r="BF174" t="str">
            <v>0</v>
          </cell>
          <cell r="BG174" t="str">
            <v>0</v>
          </cell>
          <cell r="BH174" t="str">
            <v>0</v>
          </cell>
          <cell r="BI174" t="str">
            <v>0</v>
          </cell>
          <cell r="BJ174" t="str">
            <v>0</v>
          </cell>
          <cell r="BK174" t="str">
            <v>0</v>
          </cell>
          <cell r="BL174" t="str">
            <v>0</v>
          </cell>
          <cell r="BM174" t="str">
            <v>0</v>
          </cell>
          <cell r="BN174" t="str">
            <v>0</v>
          </cell>
          <cell r="BO174" t="str">
            <v>0</v>
          </cell>
          <cell r="BP174" t="str">
            <v>0</v>
          </cell>
          <cell r="BQ174" t="str">
            <v>0</v>
          </cell>
          <cell r="BR174" t="str">
            <v>0</v>
          </cell>
          <cell r="BS174" t="str">
            <v>0</v>
          </cell>
          <cell r="BT174" t="str">
            <v>0</v>
          </cell>
          <cell r="BU174" t="str">
            <v>0</v>
          </cell>
          <cell r="BV174" t="str">
            <v>0</v>
          </cell>
          <cell r="BW174" t="str">
            <v>0</v>
          </cell>
          <cell r="BX174" t="str">
            <v>0</v>
          </cell>
          <cell r="BY174" t="str">
            <v>0</v>
          </cell>
          <cell r="BZ174" t="str">
            <v>0</v>
          </cell>
          <cell r="CA174" t="str">
            <v>0</v>
          </cell>
          <cell r="CB174" t="str">
            <v>0</v>
          </cell>
          <cell r="CC174" t="str">
            <v>0</v>
          </cell>
          <cell r="CD174" t="str">
            <v>0</v>
          </cell>
          <cell r="CE174" t="str">
            <v>0</v>
          </cell>
          <cell r="CF174" t="str">
            <v>0</v>
          </cell>
          <cell r="CG174" t="str">
            <v>0</v>
          </cell>
          <cell r="CH174" t="str">
            <v>0</v>
          </cell>
          <cell r="CI174" t="str">
            <v>0</v>
          </cell>
          <cell r="CJ174" t="str">
            <v>0</v>
          </cell>
          <cell r="CK174" t="str">
            <v>0</v>
          </cell>
          <cell r="CL174" t="str">
            <v>0</v>
          </cell>
          <cell r="CM174" t="str">
            <v>0</v>
          </cell>
          <cell r="CN174" t="str">
            <v>0</v>
          </cell>
          <cell r="CO174" t="str">
            <v>0</v>
          </cell>
          <cell r="CP174" t="str">
            <v>0</v>
          </cell>
          <cell r="CQ174" t="str">
            <v>0</v>
          </cell>
          <cell r="CR174" t="str">
            <v>0</v>
          </cell>
          <cell r="CS174" t="str">
            <v>0</v>
          </cell>
          <cell r="CT174" t="str">
            <v>0</v>
          </cell>
          <cell r="CU174" t="str">
            <v>0</v>
          </cell>
          <cell r="CV174" t="str">
            <v>0</v>
          </cell>
          <cell r="CW174" t="str">
            <v>0</v>
          </cell>
          <cell r="CX174" t="str">
            <v>0</v>
          </cell>
          <cell r="CY174" t="str">
            <v>0</v>
          </cell>
          <cell r="CZ174" t="str">
            <v>0</v>
          </cell>
          <cell r="DA174" t="str">
            <v>0</v>
          </cell>
          <cell r="DB174" t="str">
            <v>0</v>
          </cell>
          <cell r="DC174" t="str">
            <v>0</v>
          </cell>
          <cell r="DD174" t="str">
            <v>0</v>
          </cell>
          <cell r="DE174" t="str">
            <v>0</v>
          </cell>
          <cell r="DF174" t="str">
            <v>0</v>
          </cell>
          <cell r="DG174" t="str">
            <v>0</v>
          </cell>
          <cell r="DH174" t="str">
            <v>0</v>
          </cell>
          <cell r="DI174" t="str">
            <v>0</v>
          </cell>
          <cell r="DJ174" t="str">
            <v>0</v>
          </cell>
          <cell r="DK174" t="str">
            <v>0</v>
          </cell>
          <cell r="DL174" t="str">
            <v>0</v>
          </cell>
          <cell r="DM174" t="str">
            <v>0</v>
          </cell>
          <cell r="DN174" t="str">
            <v>0</v>
          </cell>
          <cell r="DO174" t="str">
            <v>0</v>
          </cell>
          <cell r="DP174" t="str">
            <v>0</v>
          </cell>
        </row>
        <row r="175">
          <cell r="C175"/>
          <cell r="D175" t="str">
            <v>0</v>
          </cell>
          <cell r="E175" t="str">
            <v>0</v>
          </cell>
          <cell r="F175" t="str">
            <v>0</v>
          </cell>
          <cell r="G175" t="str">
            <v>0</v>
          </cell>
          <cell r="H175" t="str">
            <v>0</v>
          </cell>
          <cell r="I175" t="str">
            <v>0</v>
          </cell>
          <cell r="J175" t="str">
            <v>0</v>
          </cell>
          <cell r="K175" t="str">
            <v>0</v>
          </cell>
          <cell r="L175" t="str">
            <v>0</v>
          </cell>
          <cell r="M175" t="str">
            <v>0</v>
          </cell>
          <cell r="N175" t="str">
            <v>0</v>
          </cell>
          <cell r="O175" t="str">
            <v>0</v>
          </cell>
          <cell r="P175" t="str">
            <v>0</v>
          </cell>
          <cell r="Q175" t="str">
            <v>0</v>
          </cell>
          <cell r="R175" t="str">
            <v>0</v>
          </cell>
          <cell r="S175" t="str">
            <v>0</v>
          </cell>
          <cell r="T175" t="str">
            <v>0</v>
          </cell>
          <cell r="U175" t="str">
            <v>0</v>
          </cell>
          <cell r="V175" t="str">
            <v>0</v>
          </cell>
          <cell r="W175" t="str">
            <v>0</v>
          </cell>
          <cell r="X175" t="str">
            <v>0</v>
          </cell>
          <cell r="Y175" t="str">
            <v>0</v>
          </cell>
          <cell r="Z175" t="str">
            <v>0</v>
          </cell>
          <cell r="AA175" t="str">
            <v>0</v>
          </cell>
          <cell r="AB175" t="str">
            <v>0</v>
          </cell>
          <cell r="AC175" t="str">
            <v>0</v>
          </cell>
          <cell r="AD175" t="str">
            <v>0</v>
          </cell>
          <cell r="AE175" t="str">
            <v>0</v>
          </cell>
          <cell r="AF175" t="str">
            <v>0</v>
          </cell>
          <cell r="AG175" t="str">
            <v>0</v>
          </cell>
          <cell r="AH175" t="str">
            <v>0</v>
          </cell>
          <cell r="AI175" t="str">
            <v>0</v>
          </cell>
          <cell r="AJ175" t="str">
            <v>0</v>
          </cell>
          <cell r="AK175" t="str">
            <v>0</v>
          </cell>
          <cell r="AL175" t="str">
            <v>0</v>
          </cell>
          <cell r="AM175" t="str">
            <v>0</v>
          </cell>
          <cell r="AN175" t="str">
            <v>0</v>
          </cell>
          <cell r="AO175" t="str">
            <v>0</v>
          </cell>
          <cell r="AP175" t="str">
            <v>0</v>
          </cell>
          <cell r="AQ175" t="str">
            <v>0</v>
          </cell>
          <cell r="AR175" t="str">
            <v>0</v>
          </cell>
          <cell r="AS175" t="str">
            <v>0</v>
          </cell>
          <cell r="AT175" t="str">
            <v>0</v>
          </cell>
          <cell r="AU175" t="str">
            <v>0</v>
          </cell>
          <cell r="AV175" t="str">
            <v>0</v>
          </cell>
          <cell r="AW175" t="str">
            <v>0</v>
          </cell>
          <cell r="AX175" t="str">
            <v>0</v>
          </cell>
          <cell r="AY175" t="str">
            <v>0</v>
          </cell>
          <cell r="AZ175" t="str">
            <v>0</v>
          </cell>
          <cell r="BA175" t="str">
            <v>0</v>
          </cell>
          <cell r="BB175" t="str">
            <v>0</v>
          </cell>
          <cell r="BC175" t="str">
            <v>0</v>
          </cell>
          <cell r="BD175" t="str">
            <v>0</v>
          </cell>
          <cell r="BE175" t="str">
            <v>0</v>
          </cell>
          <cell r="BF175" t="str">
            <v>0</v>
          </cell>
          <cell r="BG175" t="str">
            <v>0</v>
          </cell>
          <cell r="BH175" t="str">
            <v>0</v>
          </cell>
          <cell r="BI175" t="str">
            <v>0</v>
          </cell>
          <cell r="BJ175" t="str">
            <v>0</v>
          </cell>
          <cell r="BK175" t="str">
            <v>0</v>
          </cell>
          <cell r="BL175" t="str">
            <v>0</v>
          </cell>
          <cell r="BM175" t="str">
            <v>0</v>
          </cell>
          <cell r="BN175" t="str">
            <v>0</v>
          </cell>
          <cell r="BO175" t="str">
            <v>0</v>
          </cell>
          <cell r="BP175" t="str">
            <v>0</v>
          </cell>
          <cell r="BQ175" t="str">
            <v>0</v>
          </cell>
          <cell r="BR175" t="str">
            <v>0</v>
          </cell>
          <cell r="BS175" t="str">
            <v>0</v>
          </cell>
          <cell r="BT175" t="str">
            <v>0</v>
          </cell>
          <cell r="BU175" t="str">
            <v>0</v>
          </cell>
          <cell r="BV175" t="str">
            <v>0</v>
          </cell>
          <cell r="BW175" t="str">
            <v>0</v>
          </cell>
          <cell r="BX175" t="str">
            <v>0</v>
          </cell>
          <cell r="BY175" t="str">
            <v>0</v>
          </cell>
          <cell r="BZ175" t="str">
            <v>0</v>
          </cell>
          <cell r="CA175" t="str">
            <v>0</v>
          </cell>
          <cell r="CB175" t="str">
            <v>0</v>
          </cell>
          <cell r="CC175" t="str">
            <v>0</v>
          </cell>
          <cell r="CD175" t="str">
            <v>0</v>
          </cell>
          <cell r="CE175" t="str">
            <v>0</v>
          </cell>
          <cell r="CF175" t="str">
            <v>0</v>
          </cell>
          <cell r="CG175" t="str">
            <v>0</v>
          </cell>
          <cell r="CH175" t="str">
            <v>0</v>
          </cell>
          <cell r="CI175" t="str">
            <v>0</v>
          </cell>
          <cell r="CJ175" t="str">
            <v>0</v>
          </cell>
          <cell r="CK175" t="str">
            <v>0</v>
          </cell>
          <cell r="CL175" t="str">
            <v>0</v>
          </cell>
          <cell r="CM175" t="str">
            <v>0</v>
          </cell>
          <cell r="CN175" t="str">
            <v>0</v>
          </cell>
          <cell r="CO175" t="str">
            <v>0</v>
          </cell>
          <cell r="CP175" t="str">
            <v>0</v>
          </cell>
          <cell r="CQ175" t="str">
            <v>0</v>
          </cell>
          <cell r="CR175" t="str">
            <v>0</v>
          </cell>
          <cell r="CS175" t="str">
            <v>0</v>
          </cell>
          <cell r="CT175" t="str">
            <v>0</v>
          </cell>
          <cell r="CU175" t="str">
            <v>0</v>
          </cell>
          <cell r="CV175" t="str">
            <v>0</v>
          </cell>
          <cell r="CW175" t="str">
            <v>0</v>
          </cell>
          <cell r="CX175" t="str">
            <v>0</v>
          </cell>
          <cell r="CY175" t="str">
            <v>0</v>
          </cell>
          <cell r="CZ175" t="str">
            <v>0</v>
          </cell>
          <cell r="DA175" t="str">
            <v>0</v>
          </cell>
          <cell r="DB175" t="str">
            <v>0</v>
          </cell>
          <cell r="DC175" t="str">
            <v>0</v>
          </cell>
          <cell r="DD175" t="str">
            <v>0</v>
          </cell>
          <cell r="DE175" t="str">
            <v>0</v>
          </cell>
          <cell r="DF175" t="str">
            <v>0</v>
          </cell>
          <cell r="DG175" t="str">
            <v>0</v>
          </cell>
          <cell r="DH175" t="str">
            <v>0</v>
          </cell>
          <cell r="DI175" t="str">
            <v>0</v>
          </cell>
          <cell r="DJ175" t="str">
            <v>0</v>
          </cell>
          <cell r="DK175" t="str">
            <v>0</v>
          </cell>
          <cell r="DL175" t="str">
            <v>0</v>
          </cell>
          <cell r="DM175" t="str">
            <v>0</v>
          </cell>
          <cell r="DN175" t="str">
            <v>0</v>
          </cell>
          <cell r="DO175" t="str">
            <v>0</v>
          </cell>
          <cell r="DP175" t="str">
            <v>0</v>
          </cell>
        </row>
        <row r="176">
          <cell r="C176"/>
          <cell r="D176" t="str">
            <v>0</v>
          </cell>
          <cell r="E176" t="str">
            <v>0</v>
          </cell>
          <cell r="F176" t="str">
            <v>0</v>
          </cell>
          <cell r="G176" t="str">
            <v>0</v>
          </cell>
          <cell r="H176" t="str">
            <v>0</v>
          </cell>
          <cell r="I176" t="str">
            <v>0</v>
          </cell>
          <cell r="J176" t="str">
            <v>0</v>
          </cell>
          <cell r="K176" t="str">
            <v>0</v>
          </cell>
          <cell r="L176" t="str">
            <v>0</v>
          </cell>
          <cell r="M176" t="str">
            <v>0</v>
          </cell>
          <cell r="N176" t="str">
            <v>0</v>
          </cell>
          <cell r="O176" t="str">
            <v>0</v>
          </cell>
          <cell r="P176" t="str">
            <v>0</v>
          </cell>
          <cell r="Q176" t="str">
            <v>0</v>
          </cell>
          <cell r="R176" t="str">
            <v>0</v>
          </cell>
          <cell r="S176" t="str">
            <v>0</v>
          </cell>
          <cell r="T176" t="str">
            <v>0</v>
          </cell>
          <cell r="U176" t="str">
            <v>0</v>
          </cell>
          <cell r="V176" t="str">
            <v>0</v>
          </cell>
          <cell r="W176" t="str">
            <v>0</v>
          </cell>
          <cell r="X176" t="str">
            <v>0</v>
          </cell>
          <cell r="Y176" t="str">
            <v>0</v>
          </cell>
          <cell r="Z176" t="str">
            <v>0</v>
          </cell>
          <cell r="AA176" t="str">
            <v>0</v>
          </cell>
          <cell r="AB176" t="str">
            <v>0</v>
          </cell>
          <cell r="AC176" t="str">
            <v>0</v>
          </cell>
          <cell r="AD176" t="str">
            <v>0</v>
          </cell>
          <cell r="AE176" t="str">
            <v>0</v>
          </cell>
          <cell r="AF176" t="str">
            <v>0</v>
          </cell>
          <cell r="AG176" t="str">
            <v>0</v>
          </cell>
          <cell r="AH176" t="str">
            <v>0</v>
          </cell>
          <cell r="AI176" t="str">
            <v>0</v>
          </cell>
          <cell r="AJ176" t="str">
            <v>0</v>
          </cell>
          <cell r="AK176" t="str">
            <v>0</v>
          </cell>
          <cell r="AL176" t="str">
            <v>0</v>
          </cell>
          <cell r="AM176" t="str">
            <v>0</v>
          </cell>
          <cell r="AN176" t="str">
            <v>0</v>
          </cell>
          <cell r="AO176" t="str">
            <v>0</v>
          </cell>
          <cell r="AP176" t="str">
            <v>0</v>
          </cell>
          <cell r="AQ176" t="str">
            <v>0</v>
          </cell>
          <cell r="AR176" t="str">
            <v>0</v>
          </cell>
          <cell r="AS176" t="str">
            <v>0</v>
          </cell>
          <cell r="AT176" t="str">
            <v>0</v>
          </cell>
          <cell r="AU176" t="str">
            <v>0</v>
          </cell>
          <cell r="AV176" t="str">
            <v>0</v>
          </cell>
          <cell r="AW176" t="str">
            <v>0</v>
          </cell>
          <cell r="AX176" t="str">
            <v>0</v>
          </cell>
          <cell r="AY176" t="str">
            <v>0</v>
          </cell>
          <cell r="AZ176" t="str">
            <v>0</v>
          </cell>
          <cell r="BA176" t="str">
            <v>0</v>
          </cell>
          <cell r="BB176" t="str">
            <v>0</v>
          </cell>
          <cell r="BC176" t="str">
            <v>0</v>
          </cell>
          <cell r="BD176" t="str">
            <v>0</v>
          </cell>
          <cell r="BE176" t="str">
            <v>0</v>
          </cell>
          <cell r="BF176" t="str">
            <v>0</v>
          </cell>
          <cell r="BG176" t="str">
            <v>0</v>
          </cell>
          <cell r="BH176" t="str">
            <v>0</v>
          </cell>
          <cell r="BI176" t="str">
            <v>0</v>
          </cell>
          <cell r="BJ176" t="str">
            <v>0</v>
          </cell>
          <cell r="BK176" t="str">
            <v>0</v>
          </cell>
          <cell r="BL176" t="str">
            <v>0</v>
          </cell>
          <cell r="BM176" t="str">
            <v>0</v>
          </cell>
          <cell r="BN176" t="str">
            <v>0</v>
          </cell>
          <cell r="BO176" t="str">
            <v>0</v>
          </cell>
          <cell r="BP176" t="str">
            <v>0</v>
          </cell>
          <cell r="BQ176" t="str">
            <v>0</v>
          </cell>
          <cell r="BR176" t="str">
            <v>0</v>
          </cell>
          <cell r="BS176" t="str">
            <v>0</v>
          </cell>
          <cell r="BT176" t="str">
            <v>0</v>
          </cell>
          <cell r="BU176" t="str">
            <v>0</v>
          </cell>
          <cell r="BV176" t="str">
            <v>0</v>
          </cell>
          <cell r="BW176" t="str">
            <v>0</v>
          </cell>
          <cell r="BX176" t="str">
            <v>0</v>
          </cell>
          <cell r="BY176" t="str">
            <v>0</v>
          </cell>
          <cell r="BZ176" t="str">
            <v>0</v>
          </cell>
          <cell r="CA176" t="str">
            <v>0</v>
          </cell>
          <cell r="CB176" t="str">
            <v>0</v>
          </cell>
          <cell r="CC176" t="str">
            <v>0</v>
          </cell>
          <cell r="CD176" t="str">
            <v>0</v>
          </cell>
          <cell r="CE176" t="str">
            <v>0</v>
          </cell>
          <cell r="CF176" t="str">
            <v>0</v>
          </cell>
          <cell r="CG176" t="str">
            <v>0</v>
          </cell>
          <cell r="CH176" t="str">
            <v>0</v>
          </cell>
          <cell r="CI176" t="str">
            <v>0</v>
          </cell>
          <cell r="CJ176" t="str">
            <v>0</v>
          </cell>
          <cell r="CK176" t="str">
            <v>0</v>
          </cell>
          <cell r="CL176" t="str">
            <v>0</v>
          </cell>
          <cell r="CM176" t="str">
            <v>0</v>
          </cell>
          <cell r="CN176" t="str">
            <v>0</v>
          </cell>
          <cell r="CO176" t="str">
            <v>0</v>
          </cell>
          <cell r="CP176" t="str">
            <v>0</v>
          </cell>
          <cell r="CQ176" t="str">
            <v>0</v>
          </cell>
          <cell r="CR176" t="str">
            <v>0</v>
          </cell>
          <cell r="CS176" t="str">
            <v>0</v>
          </cell>
          <cell r="CT176" t="str">
            <v>0</v>
          </cell>
          <cell r="CU176" t="str">
            <v>0</v>
          </cell>
          <cell r="CV176" t="str">
            <v>0</v>
          </cell>
          <cell r="CW176" t="str">
            <v>0</v>
          </cell>
          <cell r="CX176" t="str">
            <v>0</v>
          </cell>
          <cell r="CY176" t="str">
            <v>0</v>
          </cell>
          <cell r="CZ176" t="str">
            <v>0</v>
          </cell>
          <cell r="DA176" t="str">
            <v>0</v>
          </cell>
          <cell r="DB176" t="str">
            <v>0</v>
          </cell>
          <cell r="DC176" t="str">
            <v>0</v>
          </cell>
          <cell r="DD176" t="str">
            <v>0</v>
          </cell>
          <cell r="DE176" t="str">
            <v>0</v>
          </cell>
          <cell r="DF176" t="str">
            <v>0</v>
          </cell>
          <cell r="DG176" t="str">
            <v>0</v>
          </cell>
          <cell r="DH176" t="str">
            <v>0</v>
          </cell>
          <cell r="DI176" t="str">
            <v>0</v>
          </cell>
          <cell r="DJ176" t="str">
            <v>0</v>
          </cell>
          <cell r="DK176" t="str">
            <v>0</v>
          </cell>
          <cell r="DL176" t="str">
            <v>0</v>
          </cell>
          <cell r="DM176" t="str">
            <v>0</v>
          </cell>
          <cell r="DN176" t="str">
            <v>0</v>
          </cell>
          <cell r="DO176" t="str">
            <v>0</v>
          </cell>
          <cell r="DP176" t="str">
            <v>0</v>
          </cell>
        </row>
        <row r="177">
          <cell r="C177"/>
          <cell r="D177" t="str">
            <v>0</v>
          </cell>
          <cell r="E177" t="str">
            <v>0</v>
          </cell>
          <cell r="F177" t="str">
            <v>0</v>
          </cell>
          <cell r="G177" t="str">
            <v>0</v>
          </cell>
          <cell r="H177" t="str">
            <v>0</v>
          </cell>
          <cell r="I177" t="str">
            <v>0</v>
          </cell>
          <cell r="J177" t="str">
            <v>0</v>
          </cell>
          <cell r="K177" t="str">
            <v>0</v>
          </cell>
          <cell r="L177" t="str">
            <v>0</v>
          </cell>
          <cell r="M177" t="str">
            <v>0</v>
          </cell>
          <cell r="N177" t="str">
            <v>0</v>
          </cell>
          <cell r="O177" t="str">
            <v>0</v>
          </cell>
          <cell r="P177" t="str">
            <v>0</v>
          </cell>
          <cell r="Q177" t="str">
            <v>0</v>
          </cell>
          <cell r="R177" t="str">
            <v>0</v>
          </cell>
          <cell r="S177" t="str">
            <v>0</v>
          </cell>
          <cell r="T177" t="str">
            <v>0</v>
          </cell>
          <cell r="U177" t="str">
            <v>0</v>
          </cell>
          <cell r="V177" t="str">
            <v>0</v>
          </cell>
          <cell r="W177" t="str">
            <v>0</v>
          </cell>
          <cell r="X177" t="str">
            <v>0</v>
          </cell>
          <cell r="Y177" t="str">
            <v>0</v>
          </cell>
          <cell r="Z177" t="str">
            <v>0</v>
          </cell>
          <cell r="AA177" t="str">
            <v>0</v>
          </cell>
          <cell r="AB177" t="str">
            <v>0</v>
          </cell>
          <cell r="AC177" t="str">
            <v>0</v>
          </cell>
          <cell r="AD177" t="str">
            <v>0</v>
          </cell>
          <cell r="AE177" t="str">
            <v>0</v>
          </cell>
          <cell r="AF177" t="str">
            <v>0</v>
          </cell>
          <cell r="AG177" t="str">
            <v>0</v>
          </cell>
          <cell r="AH177" t="str">
            <v>0</v>
          </cell>
          <cell r="AI177" t="str">
            <v>0</v>
          </cell>
          <cell r="AJ177" t="str">
            <v>0</v>
          </cell>
          <cell r="AK177" t="str">
            <v>0</v>
          </cell>
          <cell r="AL177" t="str">
            <v>0</v>
          </cell>
          <cell r="AM177" t="str">
            <v>0</v>
          </cell>
          <cell r="AN177" t="str">
            <v>0</v>
          </cell>
          <cell r="AO177" t="str">
            <v>0</v>
          </cell>
          <cell r="AP177" t="str">
            <v>0</v>
          </cell>
          <cell r="AQ177" t="str">
            <v>0</v>
          </cell>
          <cell r="AR177" t="str">
            <v>0</v>
          </cell>
          <cell r="AS177" t="str">
            <v>0</v>
          </cell>
          <cell r="AT177" t="str">
            <v>0</v>
          </cell>
          <cell r="AU177" t="str">
            <v>0</v>
          </cell>
          <cell r="AV177" t="str">
            <v>0</v>
          </cell>
          <cell r="AW177" t="str">
            <v>0</v>
          </cell>
          <cell r="AX177" t="str">
            <v>0</v>
          </cell>
          <cell r="AY177" t="str">
            <v>0</v>
          </cell>
          <cell r="AZ177" t="str">
            <v>0</v>
          </cell>
          <cell r="BA177" t="str">
            <v>0</v>
          </cell>
          <cell r="BB177" t="str">
            <v>0</v>
          </cell>
          <cell r="BC177" t="str">
            <v>0</v>
          </cell>
          <cell r="BD177" t="str">
            <v>0</v>
          </cell>
          <cell r="BE177" t="str">
            <v>0</v>
          </cell>
          <cell r="BF177" t="str">
            <v>0</v>
          </cell>
          <cell r="BG177" t="str">
            <v>0</v>
          </cell>
          <cell r="BH177" t="str">
            <v>0</v>
          </cell>
          <cell r="BI177" t="str">
            <v>0</v>
          </cell>
          <cell r="BJ177" t="str">
            <v>0</v>
          </cell>
          <cell r="BK177" t="str">
            <v>0</v>
          </cell>
          <cell r="BL177" t="str">
            <v>0</v>
          </cell>
          <cell r="BM177" t="str">
            <v>0</v>
          </cell>
          <cell r="BN177" t="str">
            <v>0</v>
          </cell>
          <cell r="BO177" t="str">
            <v>0</v>
          </cell>
          <cell r="BP177" t="str">
            <v>0</v>
          </cell>
          <cell r="BQ177" t="str">
            <v>0</v>
          </cell>
          <cell r="BR177" t="str">
            <v>0</v>
          </cell>
          <cell r="BS177" t="str">
            <v>0</v>
          </cell>
          <cell r="BT177" t="str">
            <v>0</v>
          </cell>
          <cell r="BU177" t="str">
            <v>0</v>
          </cell>
          <cell r="BV177" t="str">
            <v>0</v>
          </cell>
          <cell r="BW177" t="str">
            <v>0</v>
          </cell>
          <cell r="BX177" t="str">
            <v>0</v>
          </cell>
          <cell r="BY177" t="str">
            <v>0</v>
          </cell>
          <cell r="BZ177" t="str">
            <v>0</v>
          </cell>
          <cell r="CA177" t="str">
            <v>0</v>
          </cell>
          <cell r="CB177" t="str">
            <v>0</v>
          </cell>
          <cell r="CC177" t="str">
            <v>0</v>
          </cell>
          <cell r="CD177" t="str">
            <v>0</v>
          </cell>
          <cell r="CE177" t="str">
            <v>0</v>
          </cell>
          <cell r="CF177" t="str">
            <v>0</v>
          </cell>
          <cell r="CG177" t="str">
            <v>0</v>
          </cell>
          <cell r="CH177" t="str">
            <v>0</v>
          </cell>
          <cell r="CI177" t="str">
            <v>0</v>
          </cell>
          <cell r="CJ177" t="str">
            <v>0</v>
          </cell>
          <cell r="CK177" t="str">
            <v>0</v>
          </cell>
          <cell r="CL177" t="str">
            <v>0</v>
          </cell>
          <cell r="CM177" t="str">
            <v>0</v>
          </cell>
          <cell r="CN177" t="str">
            <v>0</v>
          </cell>
          <cell r="CO177" t="str">
            <v>0</v>
          </cell>
          <cell r="CP177" t="str">
            <v>0</v>
          </cell>
          <cell r="CQ177" t="str">
            <v>0</v>
          </cell>
          <cell r="CR177" t="str">
            <v>0</v>
          </cell>
          <cell r="CS177" t="str">
            <v>0</v>
          </cell>
          <cell r="CT177" t="str">
            <v>0</v>
          </cell>
          <cell r="CU177" t="str">
            <v>0</v>
          </cell>
          <cell r="CV177" t="str">
            <v>0</v>
          </cell>
          <cell r="CW177" t="str">
            <v>0</v>
          </cell>
          <cell r="CX177" t="str">
            <v>0</v>
          </cell>
          <cell r="CY177" t="str">
            <v>0</v>
          </cell>
          <cell r="CZ177" t="str">
            <v>0</v>
          </cell>
          <cell r="DA177" t="str">
            <v>0</v>
          </cell>
          <cell r="DB177" t="str">
            <v>0</v>
          </cell>
          <cell r="DC177" t="str">
            <v>0</v>
          </cell>
          <cell r="DD177" t="str">
            <v>0</v>
          </cell>
          <cell r="DE177" t="str">
            <v>0</v>
          </cell>
          <cell r="DF177" t="str">
            <v>0</v>
          </cell>
          <cell r="DG177" t="str">
            <v>0</v>
          </cell>
          <cell r="DH177" t="str">
            <v>0</v>
          </cell>
          <cell r="DI177" t="str">
            <v>0</v>
          </cell>
          <cell r="DJ177" t="str">
            <v>0</v>
          </cell>
          <cell r="DK177" t="str">
            <v>0</v>
          </cell>
          <cell r="DL177" t="str">
            <v>0</v>
          </cell>
          <cell r="DM177" t="str">
            <v>0</v>
          </cell>
          <cell r="DN177" t="str">
            <v>0</v>
          </cell>
          <cell r="DO177" t="str">
            <v>0</v>
          </cell>
          <cell r="DP177" t="str">
            <v>0</v>
          </cell>
        </row>
        <row r="178">
          <cell r="C178"/>
          <cell r="D178" t="str">
            <v>0</v>
          </cell>
          <cell r="E178" t="str">
            <v>0</v>
          </cell>
          <cell r="F178" t="str">
            <v>0</v>
          </cell>
          <cell r="G178" t="str">
            <v>0</v>
          </cell>
          <cell r="H178" t="str">
            <v>0</v>
          </cell>
          <cell r="I178" t="str">
            <v>0</v>
          </cell>
          <cell r="J178" t="str">
            <v>0</v>
          </cell>
          <cell r="K178" t="str">
            <v>0</v>
          </cell>
          <cell r="L178" t="str">
            <v>0</v>
          </cell>
          <cell r="M178" t="str">
            <v>0</v>
          </cell>
          <cell r="N178" t="str">
            <v>0</v>
          </cell>
          <cell r="O178" t="str">
            <v>0</v>
          </cell>
          <cell r="P178" t="str">
            <v>0</v>
          </cell>
          <cell r="Q178" t="str">
            <v>0</v>
          </cell>
          <cell r="R178" t="str">
            <v>0</v>
          </cell>
          <cell r="S178" t="str">
            <v>0</v>
          </cell>
          <cell r="T178" t="str">
            <v>0</v>
          </cell>
          <cell r="U178" t="str">
            <v>0</v>
          </cell>
          <cell r="V178" t="str">
            <v>0</v>
          </cell>
          <cell r="W178" t="str">
            <v>0</v>
          </cell>
          <cell r="X178" t="str">
            <v>0</v>
          </cell>
          <cell r="Y178" t="str">
            <v>0</v>
          </cell>
          <cell r="Z178" t="str">
            <v>0</v>
          </cell>
          <cell r="AA178" t="str">
            <v>0</v>
          </cell>
          <cell r="AB178" t="str">
            <v>0</v>
          </cell>
          <cell r="AC178" t="str">
            <v>0</v>
          </cell>
          <cell r="AD178" t="str">
            <v>0</v>
          </cell>
          <cell r="AE178" t="str">
            <v>0</v>
          </cell>
          <cell r="AF178" t="str">
            <v>0</v>
          </cell>
          <cell r="AG178" t="str">
            <v>0</v>
          </cell>
          <cell r="AH178" t="str">
            <v>0</v>
          </cell>
          <cell r="AI178" t="str">
            <v>0</v>
          </cell>
          <cell r="AJ178" t="str">
            <v>0</v>
          </cell>
          <cell r="AK178" t="str">
            <v>0</v>
          </cell>
          <cell r="AL178" t="str">
            <v>0</v>
          </cell>
          <cell r="AM178" t="str">
            <v>0</v>
          </cell>
          <cell r="AN178" t="str">
            <v>0</v>
          </cell>
          <cell r="AO178" t="str">
            <v>0</v>
          </cell>
          <cell r="AP178" t="str">
            <v>0</v>
          </cell>
          <cell r="AQ178" t="str">
            <v>0</v>
          </cell>
          <cell r="AR178" t="str">
            <v>0</v>
          </cell>
          <cell r="AS178" t="str">
            <v>0</v>
          </cell>
          <cell r="AT178" t="str">
            <v>0</v>
          </cell>
          <cell r="AU178" t="str">
            <v>0</v>
          </cell>
          <cell r="AV178" t="str">
            <v>0</v>
          </cell>
          <cell r="AW178" t="str">
            <v>0</v>
          </cell>
          <cell r="AX178" t="str">
            <v>0</v>
          </cell>
          <cell r="AY178" t="str">
            <v>0</v>
          </cell>
          <cell r="AZ178" t="str">
            <v>0</v>
          </cell>
          <cell r="BA178" t="str">
            <v>0</v>
          </cell>
          <cell r="BB178" t="str">
            <v>0</v>
          </cell>
          <cell r="BC178" t="str">
            <v>0</v>
          </cell>
          <cell r="BD178" t="str">
            <v>0</v>
          </cell>
          <cell r="BE178" t="str">
            <v>0</v>
          </cell>
          <cell r="BF178" t="str">
            <v>0</v>
          </cell>
          <cell r="BG178" t="str">
            <v>0</v>
          </cell>
          <cell r="BH178" t="str">
            <v>0</v>
          </cell>
          <cell r="BI178" t="str">
            <v>0</v>
          </cell>
          <cell r="BJ178" t="str">
            <v>0</v>
          </cell>
          <cell r="BK178" t="str">
            <v>0</v>
          </cell>
          <cell r="BL178" t="str">
            <v>0</v>
          </cell>
          <cell r="BM178" t="str">
            <v>0</v>
          </cell>
          <cell r="BN178" t="str">
            <v>0</v>
          </cell>
          <cell r="BO178" t="str">
            <v>0</v>
          </cell>
          <cell r="BP178" t="str">
            <v>0</v>
          </cell>
          <cell r="BQ178" t="str">
            <v>0</v>
          </cell>
          <cell r="BR178" t="str">
            <v>0</v>
          </cell>
          <cell r="BS178" t="str">
            <v>0</v>
          </cell>
          <cell r="BT178" t="str">
            <v>0</v>
          </cell>
          <cell r="BU178" t="str">
            <v>0</v>
          </cell>
          <cell r="BV178" t="str">
            <v>0</v>
          </cell>
          <cell r="BW178" t="str">
            <v>0</v>
          </cell>
          <cell r="BX178" t="str">
            <v>0</v>
          </cell>
          <cell r="BY178" t="str">
            <v>0</v>
          </cell>
          <cell r="BZ178" t="str">
            <v>0</v>
          </cell>
          <cell r="CA178" t="str">
            <v>0</v>
          </cell>
          <cell r="CB178" t="str">
            <v>0</v>
          </cell>
          <cell r="CC178" t="str">
            <v>0</v>
          </cell>
          <cell r="CD178" t="str">
            <v>0</v>
          </cell>
          <cell r="CE178" t="str">
            <v>0</v>
          </cell>
          <cell r="CF178" t="str">
            <v>0</v>
          </cell>
          <cell r="CG178" t="str">
            <v>0</v>
          </cell>
          <cell r="CH178" t="str">
            <v>0</v>
          </cell>
          <cell r="CI178" t="str">
            <v>0</v>
          </cell>
          <cell r="CJ178" t="str">
            <v>0</v>
          </cell>
          <cell r="CK178" t="str">
            <v>0</v>
          </cell>
          <cell r="CL178" t="str">
            <v>0</v>
          </cell>
          <cell r="CM178" t="str">
            <v>0</v>
          </cell>
          <cell r="CN178" t="str">
            <v>0</v>
          </cell>
          <cell r="CO178" t="str">
            <v>0</v>
          </cell>
          <cell r="CP178" t="str">
            <v>0</v>
          </cell>
          <cell r="CQ178" t="str">
            <v>0</v>
          </cell>
          <cell r="CR178" t="str">
            <v>0</v>
          </cell>
          <cell r="CS178" t="str">
            <v>0</v>
          </cell>
          <cell r="CT178" t="str">
            <v>0</v>
          </cell>
          <cell r="CU178" t="str">
            <v>0</v>
          </cell>
          <cell r="CV178" t="str">
            <v>0</v>
          </cell>
          <cell r="CW178" t="str">
            <v>0</v>
          </cell>
          <cell r="CX178" t="str">
            <v>0</v>
          </cell>
          <cell r="CY178" t="str">
            <v>0</v>
          </cell>
          <cell r="CZ178" t="str">
            <v>0</v>
          </cell>
          <cell r="DA178" t="str">
            <v>0</v>
          </cell>
          <cell r="DB178" t="str">
            <v>0</v>
          </cell>
          <cell r="DC178" t="str">
            <v>0</v>
          </cell>
          <cell r="DD178" t="str">
            <v>0</v>
          </cell>
          <cell r="DE178" t="str">
            <v>0</v>
          </cell>
          <cell r="DF178" t="str">
            <v>0</v>
          </cell>
          <cell r="DG178" t="str">
            <v>0</v>
          </cell>
          <cell r="DH178" t="str">
            <v>0</v>
          </cell>
          <cell r="DI178" t="str">
            <v>0</v>
          </cell>
          <cell r="DJ178" t="str">
            <v>0</v>
          </cell>
          <cell r="DK178" t="str">
            <v>0</v>
          </cell>
          <cell r="DL178" t="str">
            <v>0</v>
          </cell>
          <cell r="DM178" t="str">
            <v>0</v>
          </cell>
          <cell r="DN178" t="str">
            <v>0</v>
          </cell>
          <cell r="DO178" t="str">
            <v>0</v>
          </cell>
          <cell r="DP178" t="str">
            <v>0</v>
          </cell>
        </row>
        <row r="179">
          <cell r="C179"/>
          <cell r="D179" t="str">
            <v>0</v>
          </cell>
          <cell r="E179" t="str">
            <v>0</v>
          </cell>
          <cell r="F179" t="str">
            <v>0</v>
          </cell>
          <cell r="G179" t="str">
            <v>0</v>
          </cell>
          <cell r="H179" t="str">
            <v>0</v>
          </cell>
          <cell r="I179" t="str">
            <v>0</v>
          </cell>
          <cell r="J179" t="str">
            <v>0</v>
          </cell>
          <cell r="K179" t="str">
            <v>0</v>
          </cell>
          <cell r="L179" t="str">
            <v>0</v>
          </cell>
          <cell r="M179" t="str">
            <v>0</v>
          </cell>
          <cell r="N179" t="str">
            <v>0</v>
          </cell>
          <cell r="O179" t="str">
            <v>0</v>
          </cell>
          <cell r="P179" t="str">
            <v>0</v>
          </cell>
          <cell r="Q179" t="str">
            <v>0</v>
          </cell>
          <cell r="R179" t="str">
            <v>0</v>
          </cell>
          <cell r="S179" t="str">
            <v>0</v>
          </cell>
          <cell r="T179" t="str">
            <v>0</v>
          </cell>
          <cell r="U179" t="str">
            <v>0</v>
          </cell>
          <cell r="V179" t="str">
            <v>0</v>
          </cell>
          <cell r="W179" t="str">
            <v>0</v>
          </cell>
          <cell r="X179" t="str">
            <v>0</v>
          </cell>
          <cell r="Y179" t="str">
            <v>0</v>
          </cell>
          <cell r="Z179" t="str">
            <v>0</v>
          </cell>
          <cell r="AA179" t="str">
            <v>0</v>
          </cell>
          <cell r="AB179" t="str">
            <v>0</v>
          </cell>
          <cell r="AC179" t="str">
            <v>0</v>
          </cell>
          <cell r="AD179" t="str">
            <v>0</v>
          </cell>
          <cell r="AE179" t="str">
            <v>0</v>
          </cell>
          <cell r="AF179" t="str">
            <v>0</v>
          </cell>
          <cell r="AG179" t="str">
            <v>0</v>
          </cell>
          <cell r="AH179" t="str">
            <v>0</v>
          </cell>
          <cell r="AI179" t="str">
            <v>0</v>
          </cell>
          <cell r="AJ179" t="str">
            <v>0</v>
          </cell>
          <cell r="AK179" t="str">
            <v>0</v>
          </cell>
          <cell r="AL179" t="str">
            <v>0</v>
          </cell>
          <cell r="AM179" t="str">
            <v>0</v>
          </cell>
          <cell r="AN179" t="str">
            <v>0</v>
          </cell>
          <cell r="AO179" t="str">
            <v>0</v>
          </cell>
          <cell r="AP179" t="str">
            <v>0</v>
          </cell>
          <cell r="AQ179" t="str">
            <v>0</v>
          </cell>
          <cell r="AR179" t="str">
            <v>0</v>
          </cell>
          <cell r="AS179" t="str">
            <v>0</v>
          </cell>
          <cell r="AT179" t="str">
            <v>0</v>
          </cell>
          <cell r="AU179" t="str">
            <v>0</v>
          </cell>
          <cell r="AV179" t="str">
            <v>0</v>
          </cell>
          <cell r="AW179" t="str">
            <v>0</v>
          </cell>
          <cell r="AX179" t="str">
            <v>0</v>
          </cell>
          <cell r="AY179" t="str">
            <v>0</v>
          </cell>
          <cell r="AZ179" t="str">
            <v>0</v>
          </cell>
          <cell r="BA179" t="str">
            <v>0</v>
          </cell>
          <cell r="BB179" t="str">
            <v>0</v>
          </cell>
          <cell r="BC179" t="str">
            <v>0</v>
          </cell>
          <cell r="BD179" t="str">
            <v>0</v>
          </cell>
          <cell r="BE179" t="str">
            <v>0</v>
          </cell>
          <cell r="BF179" t="str">
            <v>0</v>
          </cell>
          <cell r="BG179" t="str">
            <v>0</v>
          </cell>
          <cell r="BH179" t="str">
            <v>0</v>
          </cell>
          <cell r="BI179" t="str">
            <v>0</v>
          </cell>
          <cell r="BJ179" t="str">
            <v>0</v>
          </cell>
          <cell r="BK179" t="str">
            <v>0</v>
          </cell>
          <cell r="BL179" t="str">
            <v>0</v>
          </cell>
          <cell r="BM179" t="str">
            <v>0</v>
          </cell>
          <cell r="BN179" t="str">
            <v>0</v>
          </cell>
          <cell r="BO179" t="str">
            <v>0</v>
          </cell>
          <cell r="BP179" t="str">
            <v>0</v>
          </cell>
          <cell r="BQ179" t="str">
            <v>0</v>
          </cell>
          <cell r="BR179" t="str">
            <v>0</v>
          </cell>
          <cell r="BS179" t="str">
            <v>0</v>
          </cell>
          <cell r="BT179" t="str">
            <v>0</v>
          </cell>
          <cell r="BU179" t="str">
            <v>0</v>
          </cell>
          <cell r="BV179" t="str">
            <v>0</v>
          </cell>
          <cell r="BW179" t="str">
            <v>0</v>
          </cell>
          <cell r="BX179" t="str">
            <v>0</v>
          </cell>
          <cell r="BY179" t="str">
            <v>0</v>
          </cell>
          <cell r="BZ179" t="str">
            <v>0</v>
          </cell>
          <cell r="CA179" t="str">
            <v>0</v>
          </cell>
          <cell r="CB179" t="str">
            <v>0</v>
          </cell>
          <cell r="CC179" t="str">
            <v>0</v>
          </cell>
          <cell r="CD179" t="str">
            <v>0</v>
          </cell>
          <cell r="CE179" t="str">
            <v>0</v>
          </cell>
          <cell r="CF179" t="str">
            <v>0</v>
          </cell>
          <cell r="CG179" t="str">
            <v>0</v>
          </cell>
          <cell r="CH179" t="str">
            <v>0</v>
          </cell>
          <cell r="CI179" t="str">
            <v>0</v>
          </cell>
          <cell r="CJ179" t="str">
            <v>0</v>
          </cell>
          <cell r="CK179" t="str">
            <v>0</v>
          </cell>
          <cell r="CL179" t="str">
            <v>0</v>
          </cell>
          <cell r="CM179" t="str">
            <v>0</v>
          </cell>
          <cell r="CN179" t="str">
            <v>0</v>
          </cell>
          <cell r="CO179" t="str">
            <v>0</v>
          </cell>
          <cell r="CP179" t="str">
            <v>0</v>
          </cell>
          <cell r="CQ179" t="str">
            <v>0</v>
          </cell>
          <cell r="CR179" t="str">
            <v>0</v>
          </cell>
          <cell r="CS179" t="str">
            <v>0</v>
          </cell>
          <cell r="CT179" t="str">
            <v>0</v>
          </cell>
          <cell r="CU179" t="str">
            <v>0</v>
          </cell>
          <cell r="CV179" t="str">
            <v>0</v>
          </cell>
          <cell r="CW179" t="str">
            <v>0</v>
          </cell>
          <cell r="CX179" t="str">
            <v>0</v>
          </cell>
          <cell r="CY179" t="str">
            <v>0</v>
          </cell>
          <cell r="CZ179" t="str">
            <v>0</v>
          </cell>
          <cell r="DA179" t="str">
            <v>0</v>
          </cell>
          <cell r="DB179" t="str">
            <v>0</v>
          </cell>
          <cell r="DC179" t="str">
            <v>0</v>
          </cell>
          <cell r="DD179" t="str">
            <v>0</v>
          </cell>
          <cell r="DE179" t="str">
            <v>0</v>
          </cell>
          <cell r="DF179" t="str">
            <v>0</v>
          </cell>
          <cell r="DG179" t="str">
            <v>0</v>
          </cell>
          <cell r="DH179" t="str">
            <v>0</v>
          </cell>
          <cell r="DI179" t="str">
            <v>0</v>
          </cell>
          <cell r="DJ179" t="str">
            <v>0</v>
          </cell>
          <cell r="DK179" t="str">
            <v>0</v>
          </cell>
          <cell r="DL179" t="str">
            <v>0</v>
          </cell>
          <cell r="DM179" t="str">
            <v>0</v>
          </cell>
          <cell r="DN179" t="str">
            <v>0</v>
          </cell>
          <cell r="DO179" t="str">
            <v>0</v>
          </cell>
          <cell r="DP179" t="str">
            <v>0</v>
          </cell>
        </row>
        <row r="180">
          <cell r="C180"/>
          <cell r="D180" t="str">
            <v>0</v>
          </cell>
          <cell r="E180" t="str">
            <v>0</v>
          </cell>
          <cell r="F180" t="str">
            <v>0</v>
          </cell>
          <cell r="G180" t="str">
            <v>0</v>
          </cell>
          <cell r="H180" t="str">
            <v>0</v>
          </cell>
          <cell r="I180" t="str">
            <v>0</v>
          </cell>
          <cell r="J180" t="str">
            <v>0</v>
          </cell>
          <cell r="K180" t="str">
            <v>0</v>
          </cell>
          <cell r="L180" t="str">
            <v>0</v>
          </cell>
          <cell r="M180" t="str">
            <v>0</v>
          </cell>
          <cell r="N180" t="str">
            <v>0</v>
          </cell>
          <cell r="O180" t="str">
            <v>0</v>
          </cell>
          <cell r="P180" t="str">
            <v>0</v>
          </cell>
          <cell r="Q180" t="str">
            <v>0</v>
          </cell>
          <cell r="R180" t="str">
            <v>0</v>
          </cell>
          <cell r="S180" t="str">
            <v>0</v>
          </cell>
          <cell r="T180" t="str">
            <v>0</v>
          </cell>
          <cell r="U180" t="str">
            <v>0</v>
          </cell>
          <cell r="V180" t="str">
            <v>0</v>
          </cell>
          <cell r="W180" t="str">
            <v>0</v>
          </cell>
          <cell r="X180" t="str">
            <v>0</v>
          </cell>
          <cell r="Y180" t="str">
            <v>0</v>
          </cell>
          <cell r="Z180" t="str">
            <v>0</v>
          </cell>
          <cell r="AA180" t="str">
            <v>0</v>
          </cell>
          <cell r="AB180" t="str">
            <v>0</v>
          </cell>
          <cell r="AC180" t="str">
            <v>0</v>
          </cell>
          <cell r="AD180" t="str">
            <v>0</v>
          </cell>
          <cell r="AE180" t="str">
            <v>0</v>
          </cell>
          <cell r="AF180" t="str">
            <v>0</v>
          </cell>
          <cell r="AG180" t="str">
            <v>0</v>
          </cell>
          <cell r="AH180" t="str">
            <v>0</v>
          </cell>
          <cell r="AI180" t="str">
            <v>0</v>
          </cell>
          <cell r="AJ180" t="str">
            <v>0</v>
          </cell>
          <cell r="AK180" t="str">
            <v>0</v>
          </cell>
          <cell r="AL180" t="str">
            <v>0</v>
          </cell>
          <cell r="AM180" t="str">
            <v>0</v>
          </cell>
          <cell r="AN180" t="str">
            <v>0</v>
          </cell>
          <cell r="AO180" t="str">
            <v>0</v>
          </cell>
          <cell r="AP180" t="str">
            <v>0</v>
          </cell>
          <cell r="AQ180" t="str">
            <v>0</v>
          </cell>
          <cell r="AR180" t="str">
            <v>0</v>
          </cell>
          <cell r="AS180" t="str">
            <v>0</v>
          </cell>
          <cell r="AT180" t="str">
            <v>0</v>
          </cell>
          <cell r="AU180" t="str">
            <v>0</v>
          </cell>
          <cell r="AV180" t="str">
            <v>0</v>
          </cell>
          <cell r="AW180" t="str">
            <v>0</v>
          </cell>
          <cell r="AX180" t="str">
            <v>0</v>
          </cell>
          <cell r="AY180" t="str">
            <v>0</v>
          </cell>
          <cell r="AZ180" t="str">
            <v>0</v>
          </cell>
          <cell r="BA180" t="str">
            <v>0</v>
          </cell>
          <cell r="BB180" t="str">
            <v>0</v>
          </cell>
          <cell r="BC180" t="str">
            <v>0</v>
          </cell>
          <cell r="BD180" t="str">
            <v>0</v>
          </cell>
          <cell r="BE180" t="str">
            <v>0</v>
          </cell>
          <cell r="BF180" t="str">
            <v>0</v>
          </cell>
          <cell r="BG180" t="str">
            <v>0</v>
          </cell>
          <cell r="BH180" t="str">
            <v>0</v>
          </cell>
          <cell r="BI180" t="str">
            <v>0</v>
          </cell>
          <cell r="BJ180" t="str">
            <v>0</v>
          </cell>
          <cell r="BK180" t="str">
            <v>0</v>
          </cell>
          <cell r="BL180" t="str">
            <v>0</v>
          </cell>
          <cell r="BM180" t="str">
            <v>0</v>
          </cell>
          <cell r="BN180" t="str">
            <v>0</v>
          </cell>
          <cell r="BO180" t="str">
            <v>0</v>
          </cell>
          <cell r="BP180" t="str">
            <v>0</v>
          </cell>
          <cell r="BQ180" t="str">
            <v>0</v>
          </cell>
          <cell r="BR180" t="str">
            <v>0</v>
          </cell>
          <cell r="BS180" t="str">
            <v>0</v>
          </cell>
          <cell r="BT180" t="str">
            <v>0</v>
          </cell>
          <cell r="BU180" t="str">
            <v>0</v>
          </cell>
          <cell r="BV180" t="str">
            <v>0</v>
          </cell>
          <cell r="BW180" t="str">
            <v>0</v>
          </cell>
          <cell r="BX180" t="str">
            <v>0</v>
          </cell>
          <cell r="BY180" t="str">
            <v>0</v>
          </cell>
          <cell r="BZ180" t="str">
            <v>0</v>
          </cell>
          <cell r="CA180" t="str">
            <v>0</v>
          </cell>
          <cell r="CB180" t="str">
            <v>0</v>
          </cell>
          <cell r="CC180" t="str">
            <v>0</v>
          </cell>
          <cell r="CD180" t="str">
            <v>0</v>
          </cell>
          <cell r="CE180" t="str">
            <v>0</v>
          </cell>
          <cell r="CF180" t="str">
            <v>0</v>
          </cell>
          <cell r="CG180" t="str">
            <v>0</v>
          </cell>
          <cell r="CH180" t="str">
            <v>0</v>
          </cell>
          <cell r="CI180" t="str">
            <v>0</v>
          </cell>
          <cell r="CJ180" t="str">
            <v>0</v>
          </cell>
          <cell r="CK180" t="str">
            <v>0</v>
          </cell>
          <cell r="CL180" t="str">
            <v>0</v>
          </cell>
          <cell r="CM180" t="str">
            <v>0</v>
          </cell>
          <cell r="CN180" t="str">
            <v>0</v>
          </cell>
          <cell r="CO180" t="str">
            <v>0</v>
          </cell>
          <cell r="CP180" t="str">
            <v>0</v>
          </cell>
          <cell r="CQ180" t="str">
            <v>0</v>
          </cell>
          <cell r="CR180" t="str">
            <v>0</v>
          </cell>
          <cell r="CS180" t="str">
            <v>0</v>
          </cell>
          <cell r="CT180" t="str">
            <v>0</v>
          </cell>
          <cell r="CU180" t="str">
            <v>0</v>
          </cell>
          <cell r="CV180" t="str">
            <v>0</v>
          </cell>
          <cell r="CW180" t="str">
            <v>0</v>
          </cell>
          <cell r="CX180" t="str">
            <v>0</v>
          </cell>
          <cell r="CY180" t="str">
            <v>0</v>
          </cell>
          <cell r="CZ180" t="str">
            <v>0</v>
          </cell>
          <cell r="DA180" t="str">
            <v>0</v>
          </cell>
          <cell r="DB180" t="str">
            <v>0</v>
          </cell>
          <cell r="DC180" t="str">
            <v>0</v>
          </cell>
          <cell r="DD180" t="str">
            <v>0</v>
          </cell>
          <cell r="DE180" t="str">
            <v>0</v>
          </cell>
          <cell r="DF180" t="str">
            <v>0</v>
          </cell>
          <cell r="DG180" t="str">
            <v>0</v>
          </cell>
          <cell r="DH180" t="str">
            <v>0</v>
          </cell>
          <cell r="DI180" t="str">
            <v>0</v>
          </cell>
          <cell r="DJ180" t="str">
            <v>0</v>
          </cell>
          <cell r="DK180" t="str">
            <v>0</v>
          </cell>
          <cell r="DL180" t="str">
            <v>0</v>
          </cell>
          <cell r="DM180" t="str">
            <v>0</v>
          </cell>
          <cell r="DN180" t="str">
            <v>0</v>
          </cell>
          <cell r="DO180" t="str">
            <v>0</v>
          </cell>
          <cell r="DP180" t="str">
            <v>0</v>
          </cell>
        </row>
        <row r="181">
          <cell r="C181"/>
          <cell r="D181" t="str">
            <v>0</v>
          </cell>
          <cell r="E181" t="str">
            <v>0</v>
          </cell>
          <cell r="F181" t="str">
            <v>0</v>
          </cell>
          <cell r="G181" t="str">
            <v>0</v>
          </cell>
          <cell r="H181" t="str">
            <v>0</v>
          </cell>
          <cell r="I181" t="str">
            <v>0</v>
          </cell>
          <cell r="J181" t="str">
            <v>0</v>
          </cell>
          <cell r="K181" t="str">
            <v>0</v>
          </cell>
          <cell r="L181" t="str">
            <v>0</v>
          </cell>
          <cell r="M181" t="str">
            <v>0</v>
          </cell>
          <cell r="N181" t="str">
            <v>0</v>
          </cell>
          <cell r="O181" t="str">
            <v>0</v>
          </cell>
          <cell r="P181" t="str">
            <v>0</v>
          </cell>
          <cell r="Q181" t="str">
            <v>0</v>
          </cell>
          <cell r="R181" t="str">
            <v>0</v>
          </cell>
          <cell r="S181" t="str">
            <v>0</v>
          </cell>
          <cell r="T181" t="str">
            <v>0</v>
          </cell>
          <cell r="U181" t="str">
            <v>0</v>
          </cell>
          <cell r="V181" t="str">
            <v>0</v>
          </cell>
          <cell r="W181" t="str">
            <v>0</v>
          </cell>
          <cell r="X181" t="str">
            <v>0</v>
          </cell>
          <cell r="Y181" t="str">
            <v>0</v>
          </cell>
          <cell r="Z181" t="str">
            <v>0</v>
          </cell>
          <cell r="AA181" t="str">
            <v>0</v>
          </cell>
          <cell r="AB181" t="str">
            <v>0</v>
          </cell>
          <cell r="AC181" t="str">
            <v>0</v>
          </cell>
          <cell r="AD181" t="str">
            <v>0</v>
          </cell>
          <cell r="AE181" t="str">
            <v>0</v>
          </cell>
          <cell r="AF181" t="str">
            <v>0</v>
          </cell>
          <cell r="AG181" t="str">
            <v>0</v>
          </cell>
          <cell r="AH181" t="str">
            <v>0</v>
          </cell>
          <cell r="AI181" t="str">
            <v>0</v>
          </cell>
          <cell r="AJ181" t="str">
            <v>0</v>
          </cell>
          <cell r="AK181" t="str">
            <v>0</v>
          </cell>
          <cell r="AL181" t="str">
            <v>0</v>
          </cell>
          <cell r="AM181" t="str">
            <v>0</v>
          </cell>
          <cell r="AN181" t="str">
            <v>0</v>
          </cell>
          <cell r="AO181" t="str">
            <v>0</v>
          </cell>
          <cell r="AP181" t="str">
            <v>0</v>
          </cell>
          <cell r="AQ181" t="str">
            <v>0</v>
          </cell>
          <cell r="AR181" t="str">
            <v>0</v>
          </cell>
          <cell r="AS181" t="str">
            <v>0</v>
          </cell>
          <cell r="AT181" t="str">
            <v>0</v>
          </cell>
          <cell r="AU181" t="str">
            <v>0</v>
          </cell>
          <cell r="AV181" t="str">
            <v>0</v>
          </cell>
          <cell r="AW181" t="str">
            <v>0</v>
          </cell>
          <cell r="AX181" t="str">
            <v>0</v>
          </cell>
          <cell r="AY181" t="str">
            <v>0</v>
          </cell>
          <cell r="AZ181" t="str">
            <v>0</v>
          </cell>
          <cell r="BA181" t="str">
            <v>0</v>
          </cell>
          <cell r="BB181" t="str">
            <v>0</v>
          </cell>
          <cell r="BC181" t="str">
            <v>0</v>
          </cell>
          <cell r="BD181" t="str">
            <v>0</v>
          </cell>
          <cell r="BE181" t="str">
            <v>0</v>
          </cell>
          <cell r="BF181" t="str">
            <v>0</v>
          </cell>
          <cell r="BG181" t="str">
            <v>0</v>
          </cell>
          <cell r="BH181" t="str">
            <v>0</v>
          </cell>
          <cell r="BI181" t="str">
            <v>0</v>
          </cell>
          <cell r="BJ181" t="str">
            <v>0</v>
          </cell>
          <cell r="BK181" t="str">
            <v>0</v>
          </cell>
          <cell r="BL181" t="str">
            <v>0</v>
          </cell>
          <cell r="BM181" t="str">
            <v>0</v>
          </cell>
          <cell r="BN181" t="str">
            <v>0</v>
          </cell>
          <cell r="BO181" t="str">
            <v>0</v>
          </cell>
          <cell r="BP181" t="str">
            <v>0</v>
          </cell>
          <cell r="BQ181" t="str">
            <v>0</v>
          </cell>
          <cell r="BR181" t="str">
            <v>0</v>
          </cell>
          <cell r="BS181" t="str">
            <v>0</v>
          </cell>
          <cell r="BT181" t="str">
            <v>0</v>
          </cell>
          <cell r="BU181" t="str">
            <v>0</v>
          </cell>
          <cell r="BV181" t="str">
            <v>0</v>
          </cell>
          <cell r="BW181" t="str">
            <v>0</v>
          </cell>
          <cell r="BX181" t="str">
            <v>0</v>
          </cell>
          <cell r="BY181" t="str">
            <v>0</v>
          </cell>
          <cell r="BZ181" t="str">
            <v>0</v>
          </cell>
          <cell r="CA181" t="str">
            <v>0</v>
          </cell>
          <cell r="CB181" t="str">
            <v>0</v>
          </cell>
          <cell r="CC181" t="str">
            <v>0</v>
          </cell>
          <cell r="CD181" t="str">
            <v>0</v>
          </cell>
          <cell r="CE181" t="str">
            <v>0</v>
          </cell>
          <cell r="CF181" t="str">
            <v>0</v>
          </cell>
          <cell r="CG181" t="str">
            <v>0</v>
          </cell>
          <cell r="CH181" t="str">
            <v>0</v>
          </cell>
          <cell r="CI181" t="str">
            <v>0</v>
          </cell>
          <cell r="CJ181" t="str">
            <v>0</v>
          </cell>
          <cell r="CK181" t="str">
            <v>0</v>
          </cell>
          <cell r="CL181" t="str">
            <v>0</v>
          </cell>
          <cell r="CM181" t="str">
            <v>0</v>
          </cell>
          <cell r="CN181" t="str">
            <v>0</v>
          </cell>
          <cell r="CO181" t="str">
            <v>0</v>
          </cell>
          <cell r="CP181" t="str">
            <v>0</v>
          </cell>
          <cell r="CQ181" t="str">
            <v>0</v>
          </cell>
          <cell r="CR181" t="str">
            <v>0</v>
          </cell>
          <cell r="CS181" t="str">
            <v>0</v>
          </cell>
          <cell r="CT181" t="str">
            <v>0</v>
          </cell>
          <cell r="CU181" t="str">
            <v>0</v>
          </cell>
          <cell r="CV181" t="str">
            <v>0</v>
          </cell>
          <cell r="CW181" t="str">
            <v>0</v>
          </cell>
          <cell r="CX181" t="str">
            <v>0</v>
          </cell>
          <cell r="CY181" t="str">
            <v>0</v>
          </cell>
          <cell r="CZ181" t="str">
            <v>0</v>
          </cell>
          <cell r="DA181" t="str">
            <v>0</v>
          </cell>
          <cell r="DB181" t="str">
            <v>0</v>
          </cell>
          <cell r="DC181" t="str">
            <v>0</v>
          </cell>
          <cell r="DD181" t="str">
            <v>0</v>
          </cell>
          <cell r="DE181" t="str">
            <v>0</v>
          </cell>
          <cell r="DF181" t="str">
            <v>0</v>
          </cell>
          <cell r="DG181" t="str">
            <v>0</v>
          </cell>
          <cell r="DH181" t="str">
            <v>0</v>
          </cell>
          <cell r="DI181" t="str">
            <v>0</v>
          </cell>
          <cell r="DJ181" t="str">
            <v>0</v>
          </cell>
          <cell r="DK181" t="str">
            <v>0</v>
          </cell>
          <cell r="DL181" t="str">
            <v>0</v>
          </cell>
          <cell r="DM181" t="str">
            <v>0</v>
          </cell>
          <cell r="DN181" t="str">
            <v>0</v>
          </cell>
          <cell r="DO181" t="str">
            <v>0</v>
          </cell>
          <cell r="DP181" t="str">
            <v>0</v>
          </cell>
        </row>
        <row r="182">
          <cell r="C182"/>
          <cell r="D182" t="str">
            <v>0</v>
          </cell>
          <cell r="E182" t="str">
            <v>0</v>
          </cell>
          <cell r="F182" t="str">
            <v>0</v>
          </cell>
          <cell r="G182" t="str">
            <v>0</v>
          </cell>
          <cell r="H182" t="str">
            <v>0</v>
          </cell>
          <cell r="I182" t="str">
            <v>0</v>
          </cell>
          <cell r="J182" t="str">
            <v>0</v>
          </cell>
          <cell r="K182" t="str">
            <v>0</v>
          </cell>
          <cell r="L182" t="str">
            <v>0</v>
          </cell>
          <cell r="M182" t="str">
            <v>0</v>
          </cell>
          <cell r="N182" t="str">
            <v>0</v>
          </cell>
          <cell r="O182" t="str">
            <v>0</v>
          </cell>
          <cell r="P182" t="str">
            <v>0</v>
          </cell>
          <cell r="Q182" t="str">
            <v>0</v>
          </cell>
          <cell r="R182" t="str">
            <v>0</v>
          </cell>
          <cell r="S182" t="str">
            <v>0</v>
          </cell>
          <cell r="T182" t="str">
            <v>0</v>
          </cell>
          <cell r="U182" t="str">
            <v>0</v>
          </cell>
          <cell r="V182" t="str">
            <v>0</v>
          </cell>
          <cell r="W182" t="str">
            <v>0</v>
          </cell>
          <cell r="X182" t="str">
            <v>0</v>
          </cell>
          <cell r="Y182" t="str">
            <v>0</v>
          </cell>
          <cell r="Z182" t="str">
            <v>0</v>
          </cell>
          <cell r="AA182" t="str">
            <v>0</v>
          </cell>
          <cell r="AB182" t="str">
            <v>0</v>
          </cell>
          <cell r="AC182" t="str">
            <v>0</v>
          </cell>
          <cell r="AD182" t="str">
            <v>0</v>
          </cell>
          <cell r="AE182" t="str">
            <v>0</v>
          </cell>
          <cell r="AF182" t="str">
            <v>0</v>
          </cell>
          <cell r="AG182" t="str">
            <v>0</v>
          </cell>
          <cell r="AH182" t="str">
            <v>0</v>
          </cell>
          <cell r="AI182" t="str">
            <v>0</v>
          </cell>
          <cell r="AJ182" t="str">
            <v>0</v>
          </cell>
          <cell r="AK182" t="str">
            <v>0</v>
          </cell>
          <cell r="AL182" t="str">
            <v>0</v>
          </cell>
          <cell r="AM182" t="str">
            <v>0</v>
          </cell>
          <cell r="AN182" t="str">
            <v>0</v>
          </cell>
          <cell r="AO182" t="str">
            <v>0</v>
          </cell>
          <cell r="AP182" t="str">
            <v>0</v>
          </cell>
          <cell r="AQ182" t="str">
            <v>0</v>
          </cell>
          <cell r="AR182" t="str">
            <v>0</v>
          </cell>
          <cell r="AS182" t="str">
            <v>0</v>
          </cell>
          <cell r="AT182" t="str">
            <v>0</v>
          </cell>
          <cell r="AU182" t="str">
            <v>0</v>
          </cell>
          <cell r="AV182" t="str">
            <v>0</v>
          </cell>
          <cell r="AW182" t="str">
            <v>0</v>
          </cell>
          <cell r="AX182" t="str">
            <v>0</v>
          </cell>
          <cell r="AY182" t="str">
            <v>0</v>
          </cell>
          <cell r="AZ182" t="str">
            <v>0</v>
          </cell>
          <cell r="BA182" t="str">
            <v>0</v>
          </cell>
          <cell r="BB182" t="str">
            <v>0</v>
          </cell>
          <cell r="BC182" t="str">
            <v>0</v>
          </cell>
          <cell r="BD182" t="str">
            <v>0</v>
          </cell>
          <cell r="BE182" t="str">
            <v>0</v>
          </cell>
          <cell r="BF182" t="str">
            <v>0</v>
          </cell>
          <cell r="BG182" t="str">
            <v>0</v>
          </cell>
          <cell r="BH182" t="str">
            <v>0</v>
          </cell>
          <cell r="BI182" t="str">
            <v>0</v>
          </cell>
          <cell r="BJ182" t="str">
            <v>0</v>
          </cell>
          <cell r="BK182" t="str">
            <v>0</v>
          </cell>
          <cell r="BL182" t="str">
            <v>0</v>
          </cell>
          <cell r="BM182" t="str">
            <v>0</v>
          </cell>
          <cell r="BN182" t="str">
            <v>0</v>
          </cell>
          <cell r="BO182" t="str">
            <v>0</v>
          </cell>
          <cell r="BP182" t="str">
            <v>0</v>
          </cell>
          <cell r="BQ182" t="str">
            <v>0</v>
          </cell>
          <cell r="BR182" t="str">
            <v>0</v>
          </cell>
          <cell r="BS182" t="str">
            <v>0</v>
          </cell>
          <cell r="BT182" t="str">
            <v>0</v>
          </cell>
          <cell r="BU182" t="str">
            <v>0</v>
          </cell>
          <cell r="BV182" t="str">
            <v>0</v>
          </cell>
          <cell r="BW182" t="str">
            <v>0</v>
          </cell>
          <cell r="BX182" t="str">
            <v>0</v>
          </cell>
          <cell r="BY182" t="str">
            <v>0</v>
          </cell>
          <cell r="BZ182" t="str">
            <v>0</v>
          </cell>
          <cell r="CA182" t="str">
            <v>0</v>
          </cell>
          <cell r="CB182" t="str">
            <v>0</v>
          </cell>
          <cell r="CC182" t="str">
            <v>0</v>
          </cell>
          <cell r="CD182" t="str">
            <v>0</v>
          </cell>
          <cell r="CE182" t="str">
            <v>0</v>
          </cell>
          <cell r="CF182" t="str">
            <v>0</v>
          </cell>
          <cell r="CG182" t="str">
            <v>0</v>
          </cell>
          <cell r="CH182" t="str">
            <v>0</v>
          </cell>
          <cell r="CI182" t="str">
            <v>0</v>
          </cell>
          <cell r="CJ182" t="str">
            <v>0</v>
          </cell>
          <cell r="CK182" t="str">
            <v>0</v>
          </cell>
          <cell r="CL182" t="str">
            <v>0</v>
          </cell>
          <cell r="CM182" t="str">
            <v>0</v>
          </cell>
          <cell r="CN182" t="str">
            <v>0</v>
          </cell>
          <cell r="CO182" t="str">
            <v>0</v>
          </cell>
          <cell r="CP182" t="str">
            <v>0</v>
          </cell>
          <cell r="CQ182" t="str">
            <v>0</v>
          </cell>
          <cell r="CR182" t="str">
            <v>0</v>
          </cell>
          <cell r="CS182" t="str">
            <v>0</v>
          </cell>
          <cell r="CT182" t="str">
            <v>0</v>
          </cell>
          <cell r="CU182" t="str">
            <v>0</v>
          </cell>
          <cell r="CV182" t="str">
            <v>0</v>
          </cell>
          <cell r="CW182" t="str">
            <v>0</v>
          </cell>
          <cell r="CX182" t="str">
            <v>0</v>
          </cell>
          <cell r="CY182" t="str">
            <v>0</v>
          </cell>
          <cell r="CZ182" t="str">
            <v>0</v>
          </cell>
          <cell r="DA182" t="str">
            <v>0</v>
          </cell>
          <cell r="DB182" t="str">
            <v>0</v>
          </cell>
          <cell r="DC182" t="str">
            <v>0</v>
          </cell>
          <cell r="DD182" t="str">
            <v>0</v>
          </cell>
          <cell r="DE182" t="str">
            <v>0</v>
          </cell>
          <cell r="DF182" t="str">
            <v>0</v>
          </cell>
          <cell r="DG182" t="str">
            <v>0</v>
          </cell>
          <cell r="DH182" t="str">
            <v>0</v>
          </cell>
          <cell r="DI182" t="str">
            <v>0</v>
          </cell>
          <cell r="DJ182" t="str">
            <v>0</v>
          </cell>
          <cell r="DK182" t="str">
            <v>0</v>
          </cell>
          <cell r="DL182" t="str">
            <v>0</v>
          </cell>
          <cell r="DM182" t="str">
            <v>0</v>
          </cell>
          <cell r="DN182" t="str">
            <v>0</v>
          </cell>
          <cell r="DO182" t="str">
            <v>0</v>
          </cell>
          <cell r="DP182" t="str">
            <v>0</v>
          </cell>
        </row>
        <row r="183">
          <cell r="C183"/>
          <cell r="D183" t="str">
            <v>0</v>
          </cell>
          <cell r="E183" t="str">
            <v>0</v>
          </cell>
          <cell r="F183" t="str">
            <v>0</v>
          </cell>
          <cell r="G183" t="str">
            <v>0</v>
          </cell>
          <cell r="H183" t="str">
            <v>0</v>
          </cell>
          <cell r="I183" t="str">
            <v>0</v>
          </cell>
          <cell r="J183" t="str">
            <v>0</v>
          </cell>
          <cell r="K183" t="str">
            <v>0</v>
          </cell>
          <cell r="L183" t="str">
            <v>0</v>
          </cell>
          <cell r="M183" t="str">
            <v>0</v>
          </cell>
          <cell r="N183" t="str">
            <v>0</v>
          </cell>
          <cell r="O183" t="str">
            <v>0</v>
          </cell>
          <cell r="P183" t="str">
            <v>0</v>
          </cell>
          <cell r="Q183" t="str">
            <v>0</v>
          </cell>
          <cell r="R183" t="str">
            <v>0</v>
          </cell>
          <cell r="S183" t="str">
            <v>0</v>
          </cell>
          <cell r="T183" t="str">
            <v>0</v>
          </cell>
          <cell r="U183" t="str">
            <v>0</v>
          </cell>
          <cell r="V183" t="str">
            <v>0</v>
          </cell>
          <cell r="W183" t="str">
            <v>0</v>
          </cell>
          <cell r="X183" t="str">
            <v>0</v>
          </cell>
          <cell r="Y183" t="str">
            <v>0</v>
          </cell>
          <cell r="Z183" t="str">
            <v>0</v>
          </cell>
          <cell r="AA183" t="str">
            <v>0</v>
          </cell>
          <cell r="AB183" t="str">
            <v>0</v>
          </cell>
          <cell r="AC183" t="str">
            <v>0</v>
          </cell>
          <cell r="AD183" t="str">
            <v>0</v>
          </cell>
          <cell r="AE183" t="str">
            <v>0</v>
          </cell>
          <cell r="AF183" t="str">
            <v>0</v>
          </cell>
          <cell r="AG183" t="str">
            <v>0</v>
          </cell>
          <cell r="AH183" t="str">
            <v>0</v>
          </cell>
          <cell r="AI183" t="str">
            <v>0</v>
          </cell>
          <cell r="AJ183" t="str">
            <v>0</v>
          </cell>
          <cell r="AK183" t="str">
            <v>0</v>
          </cell>
          <cell r="AL183" t="str">
            <v>0</v>
          </cell>
          <cell r="AM183" t="str">
            <v>0</v>
          </cell>
          <cell r="AN183" t="str">
            <v>0</v>
          </cell>
          <cell r="AO183" t="str">
            <v>0</v>
          </cell>
          <cell r="AP183" t="str">
            <v>0</v>
          </cell>
          <cell r="AQ183" t="str">
            <v>0</v>
          </cell>
          <cell r="AR183" t="str">
            <v>0</v>
          </cell>
          <cell r="AS183" t="str">
            <v>0</v>
          </cell>
          <cell r="AT183" t="str">
            <v>0</v>
          </cell>
          <cell r="AU183" t="str">
            <v>0</v>
          </cell>
          <cell r="AV183" t="str">
            <v>0</v>
          </cell>
          <cell r="AW183" t="str">
            <v>0</v>
          </cell>
          <cell r="AX183" t="str">
            <v>0</v>
          </cell>
          <cell r="AY183" t="str">
            <v>0</v>
          </cell>
          <cell r="AZ183" t="str">
            <v>0</v>
          </cell>
          <cell r="BA183" t="str">
            <v>0</v>
          </cell>
          <cell r="BB183" t="str">
            <v>0</v>
          </cell>
          <cell r="BC183" t="str">
            <v>0</v>
          </cell>
          <cell r="BD183" t="str">
            <v>0</v>
          </cell>
          <cell r="BE183" t="str">
            <v>0</v>
          </cell>
          <cell r="BF183" t="str">
            <v>0</v>
          </cell>
          <cell r="BG183" t="str">
            <v>0</v>
          </cell>
          <cell r="BH183" t="str">
            <v>0</v>
          </cell>
          <cell r="BI183" t="str">
            <v>0</v>
          </cell>
          <cell r="BJ183" t="str">
            <v>0</v>
          </cell>
          <cell r="BK183" t="str">
            <v>0</v>
          </cell>
          <cell r="BL183" t="str">
            <v>0</v>
          </cell>
          <cell r="BM183" t="str">
            <v>0</v>
          </cell>
          <cell r="BN183" t="str">
            <v>0</v>
          </cell>
          <cell r="BO183" t="str">
            <v>0</v>
          </cell>
          <cell r="BP183" t="str">
            <v>0</v>
          </cell>
          <cell r="BQ183" t="str">
            <v>0</v>
          </cell>
          <cell r="BR183" t="str">
            <v>0</v>
          </cell>
          <cell r="BS183" t="str">
            <v>0</v>
          </cell>
          <cell r="BT183" t="str">
            <v>0</v>
          </cell>
          <cell r="BU183" t="str">
            <v>0</v>
          </cell>
          <cell r="BV183" t="str">
            <v>0</v>
          </cell>
          <cell r="BW183" t="str">
            <v>0</v>
          </cell>
          <cell r="BX183" t="str">
            <v>0</v>
          </cell>
          <cell r="BY183" t="str">
            <v>0</v>
          </cell>
          <cell r="BZ183" t="str">
            <v>0</v>
          </cell>
          <cell r="CA183" t="str">
            <v>0</v>
          </cell>
          <cell r="CB183" t="str">
            <v>0</v>
          </cell>
          <cell r="CC183" t="str">
            <v>0</v>
          </cell>
          <cell r="CD183" t="str">
            <v>0</v>
          </cell>
          <cell r="CE183" t="str">
            <v>0</v>
          </cell>
          <cell r="CF183" t="str">
            <v>0</v>
          </cell>
          <cell r="CG183" t="str">
            <v>0</v>
          </cell>
          <cell r="CH183" t="str">
            <v>0</v>
          </cell>
          <cell r="CI183" t="str">
            <v>0</v>
          </cell>
          <cell r="CJ183" t="str">
            <v>0</v>
          </cell>
          <cell r="CK183" t="str">
            <v>0</v>
          </cell>
          <cell r="CL183" t="str">
            <v>0</v>
          </cell>
          <cell r="CM183" t="str">
            <v>0</v>
          </cell>
          <cell r="CN183" t="str">
            <v>0</v>
          </cell>
          <cell r="CO183" t="str">
            <v>0</v>
          </cell>
          <cell r="CP183" t="str">
            <v>0</v>
          </cell>
          <cell r="CQ183" t="str">
            <v>0</v>
          </cell>
          <cell r="CR183" t="str">
            <v>0</v>
          </cell>
          <cell r="CS183" t="str">
            <v>0</v>
          </cell>
          <cell r="CT183" t="str">
            <v>0</v>
          </cell>
          <cell r="CU183" t="str">
            <v>0</v>
          </cell>
          <cell r="CV183" t="str">
            <v>0</v>
          </cell>
          <cell r="CW183" t="str">
            <v>0</v>
          </cell>
          <cell r="CX183" t="str">
            <v>0</v>
          </cell>
          <cell r="CY183" t="str">
            <v>0</v>
          </cell>
          <cell r="CZ183" t="str">
            <v>0</v>
          </cell>
          <cell r="DA183" t="str">
            <v>0</v>
          </cell>
          <cell r="DB183" t="str">
            <v>0</v>
          </cell>
          <cell r="DC183" t="str">
            <v>0</v>
          </cell>
          <cell r="DD183" t="str">
            <v>0</v>
          </cell>
          <cell r="DE183" t="str">
            <v>0</v>
          </cell>
          <cell r="DF183" t="str">
            <v>0</v>
          </cell>
          <cell r="DG183" t="str">
            <v>0</v>
          </cell>
          <cell r="DH183" t="str">
            <v>0</v>
          </cell>
          <cell r="DI183" t="str">
            <v>0</v>
          </cell>
          <cell r="DJ183" t="str">
            <v>0</v>
          </cell>
          <cell r="DK183" t="str">
            <v>0</v>
          </cell>
          <cell r="DL183" t="str">
            <v>0</v>
          </cell>
          <cell r="DM183" t="str">
            <v>0</v>
          </cell>
          <cell r="DN183" t="str">
            <v>0</v>
          </cell>
          <cell r="DO183" t="str">
            <v>0</v>
          </cell>
          <cell r="DP183" t="str">
            <v>0</v>
          </cell>
        </row>
        <row r="184">
          <cell r="C184"/>
          <cell r="D184" t="str">
            <v>0</v>
          </cell>
          <cell r="E184" t="str">
            <v>0</v>
          </cell>
          <cell r="F184" t="str">
            <v>0</v>
          </cell>
          <cell r="G184" t="str">
            <v>0</v>
          </cell>
          <cell r="H184" t="str">
            <v>0</v>
          </cell>
          <cell r="I184" t="str">
            <v>0</v>
          </cell>
          <cell r="J184" t="str">
            <v>0</v>
          </cell>
          <cell r="K184" t="str">
            <v>0</v>
          </cell>
          <cell r="L184" t="str">
            <v>0</v>
          </cell>
          <cell r="M184" t="str">
            <v>0</v>
          </cell>
          <cell r="N184" t="str">
            <v>0</v>
          </cell>
          <cell r="O184" t="str">
            <v>0</v>
          </cell>
          <cell r="P184" t="str">
            <v>0</v>
          </cell>
          <cell r="Q184" t="str">
            <v>0</v>
          </cell>
          <cell r="R184" t="str">
            <v>0</v>
          </cell>
          <cell r="S184" t="str">
            <v>0</v>
          </cell>
          <cell r="T184" t="str">
            <v>0</v>
          </cell>
          <cell r="U184" t="str">
            <v>0</v>
          </cell>
          <cell r="V184" t="str">
            <v>0</v>
          </cell>
          <cell r="W184" t="str">
            <v>0</v>
          </cell>
          <cell r="X184" t="str">
            <v>0</v>
          </cell>
          <cell r="Y184" t="str">
            <v>0</v>
          </cell>
          <cell r="Z184" t="str">
            <v>0</v>
          </cell>
          <cell r="AA184" t="str">
            <v>0</v>
          </cell>
          <cell r="AB184" t="str">
            <v>0</v>
          </cell>
          <cell r="AC184" t="str">
            <v>0</v>
          </cell>
          <cell r="AD184" t="str">
            <v>0</v>
          </cell>
          <cell r="AE184" t="str">
            <v>0</v>
          </cell>
          <cell r="AF184" t="str">
            <v>0</v>
          </cell>
          <cell r="AG184" t="str">
            <v>0</v>
          </cell>
          <cell r="AH184" t="str">
            <v>0</v>
          </cell>
          <cell r="AI184" t="str">
            <v>0</v>
          </cell>
          <cell r="AJ184" t="str">
            <v>0</v>
          </cell>
          <cell r="AK184" t="str">
            <v>0</v>
          </cell>
          <cell r="AL184" t="str">
            <v>0</v>
          </cell>
          <cell r="AM184" t="str">
            <v>0</v>
          </cell>
          <cell r="AN184" t="str">
            <v>0</v>
          </cell>
          <cell r="AO184" t="str">
            <v>0</v>
          </cell>
          <cell r="AP184" t="str">
            <v>0</v>
          </cell>
          <cell r="AQ184" t="str">
            <v>0</v>
          </cell>
          <cell r="AR184" t="str">
            <v>0</v>
          </cell>
          <cell r="AS184" t="str">
            <v>0</v>
          </cell>
          <cell r="AT184" t="str">
            <v>0</v>
          </cell>
          <cell r="AU184" t="str">
            <v>0</v>
          </cell>
          <cell r="AV184" t="str">
            <v>0</v>
          </cell>
          <cell r="AW184" t="str">
            <v>0</v>
          </cell>
          <cell r="AX184" t="str">
            <v>0</v>
          </cell>
          <cell r="AY184" t="str">
            <v>0</v>
          </cell>
          <cell r="AZ184" t="str">
            <v>0</v>
          </cell>
          <cell r="BA184" t="str">
            <v>0</v>
          </cell>
          <cell r="BB184" t="str">
            <v>0</v>
          </cell>
          <cell r="BC184" t="str">
            <v>0</v>
          </cell>
          <cell r="BD184" t="str">
            <v>0</v>
          </cell>
          <cell r="BE184" t="str">
            <v>0</v>
          </cell>
          <cell r="BF184" t="str">
            <v>0</v>
          </cell>
          <cell r="BG184" t="str">
            <v>0</v>
          </cell>
          <cell r="BH184" t="str">
            <v>0</v>
          </cell>
          <cell r="BI184" t="str">
            <v>0</v>
          </cell>
          <cell r="BJ184" t="str">
            <v>0</v>
          </cell>
          <cell r="BK184" t="str">
            <v>0</v>
          </cell>
          <cell r="BL184" t="str">
            <v>0</v>
          </cell>
          <cell r="BM184" t="str">
            <v>0</v>
          </cell>
          <cell r="BN184" t="str">
            <v>0</v>
          </cell>
          <cell r="BO184" t="str">
            <v>0</v>
          </cell>
          <cell r="BP184" t="str">
            <v>0</v>
          </cell>
          <cell r="BQ184" t="str">
            <v>0</v>
          </cell>
          <cell r="BR184" t="str">
            <v>0</v>
          </cell>
          <cell r="BS184" t="str">
            <v>0</v>
          </cell>
          <cell r="BT184" t="str">
            <v>0</v>
          </cell>
          <cell r="BU184" t="str">
            <v>0</v>
          </cell>
          <cell r="BV184" t="str">
            <v>0</v>
          </cell>
          <cell r="BW184" t="str">
            <v>0</v>
          </cell>
          <cell r="BX184" t="str">
            <v>0</v>
          </cell>
          <cell r="BY184" t="str">
            <v>0</v>
          </cell>
          <cell r="BZ184" t="str">
            <v>0</v>
          </cell>
          <cell r="CA184" t="str">
            <v>0</v>
          </cell>
          <cell r="CB184" t="str">
            <v>0</v>
          </cell>
          <cell r="CC184" t="str">
            <v>0</v>
          </cell>
          <cell r="CD184" t="str">
            <v>0</v>
          </cell>
          <cell r="CE184" t="str">
            <v>0</v>
          </cell>
          <cell r="CF184" t="str">
            <v>0</v>
          </cell>
          <cell r="CG184" t="str">
            <v>0</v>
          </cell>
          <cell r="CH184" t="str">
            <v>0</v>
          </cell>
          <cell r="CI184" t="str">
            <v>0</v>
          </cell>
          <cell r="CJ184" t="str">
            <v>0</v>
          </cell>
          <cell r="CK184" t="str">
            <v>0</v>
          </cell>
          <cell r="CL184" t="str">
            <v>0</v>
          </cell>
          <cell r="CM184" t="str">
            <v>0</v>
          </cell>
          <cell r="CN184" t="str">
            <v>0</v>
          </cell>
          <cell r="CO184" t="str">
            <v>0</v>
          </cell>
          <cell r="CP184" t="str">
            <v>0</v>
          </cell>
          <cell r="CQ184" t="str">
            <v>0</v>
          </cell>
          <cell r="CR184" t="str">
            <v>0</v>
          </cell>
          <cell r="CS184" t="str">
            <v>0</v>
          </cell>
          <cell r="CT184" t="str">
            <v>0</v>
          </cell>
          <cell r="CU184" t="str">
            <v>0</v>
          </cell>
          <cell r="CV184" t="str">
            <v>0</v>
          </cell>
          <cell r="CW184" t="str">
            <v>0</v>
          </cell>
          <cell r="CX184" t="str">
            <v>0</v>
          </cell>
          <cell r="CY184" t="str">
            <v>0</v>
          </cell>
          <cell r="CZ184" t="str">
            <v>0</v>
          </cell>
          <cell r="DA184" t="str">
            <v>0</v>
          </cell>
          <cell r="DB184" t="str">
            <v>0</v>
          </cell>
          <cell r="DC184" t="str">
            <v>0</v>
          </cell>
          <cell r="DD184" t="str">
            <v>0</v>
          </cell>
          <cell r="DE184" t="str">
            <v>0</v>
          </cell>
          <cell r="DF184" t="str">
            <v>0</v>
          </cell>
          <cell r="DG184" t="str">
            <v>0</v>
          </cell>
          <cell r="DH184" t="str">
            <v>0</v>
          </cell>
          <cell r="DI184" t="str">
            <v>0</v>
          </cell>
          <cell r="DJ184" t="str">
            <v>0</v>
          </cell>
          <cell r="DK184" t="str">
            <v>0</v>
          </cell>
          <cell r="DL184" t="str">
            <v>0</v>
          </cell>
          <cell r="DM184" t="str">
            <v>0</v>
          </cell>
          <cell r="DN184" t="str">
            <v>0</v>
          </cell>
          <cell r="DO184" t="str">
            <v>0</v>
          </cell>
          <cell r="DP184" t="str">
            <v>0</v>
          </cell>
        </row>
        <row r="185">
          <cell r="C185"/>
          <cell r="D185" t="str">
            <v>0</v>
          </cell>
          <cell r="E185" t="str">
            <v>0</v>
          </cell>
          <cell r="F185" t="str">
            <v>0</v>
          </cell>
          <cell r="G185" t="str">
            <v>0</v>
          </cell>
          <cell r="H185" t="str">
            <v>0</v>
          </cell>
          <cell r="I185" t="str">
            <v>0</v>
          </cell>
          <cell r="J185" t="str">
            <v>0</v>
          </cell>
          <cell r="K185" t="str">
            <v>0</v>
          </cell>
          <cell r="L185" t="str">
            <v>0</v>
          </cell>
          <cell r="M185" t="str">
            <v>0</v>
          </cell>
          <cell r="N185" t="str">
            <v>0</v>
          </cell>
          <cell r="O185" t="str">
            <v>0</v>
          </cell>
          <cell r="P185" t="str">
            <v>0</v>
          </cell>
          <cell r="Q185" t="str">
            <v>0</v>
          </cell>
          <cell r="R185" t="str">
            <v>0</v>
          </cell>
          <cell r="S185" t="str">
            <v>0</v>
          </cell>
          <cell r="T185" t="str">
            <v>0</v>
          </cell>
          <cell r="U185" t="str">
            <v>0</v>
          </cell>
          <cell r="V185" t="str">
            <v>0</v>
          </cell>
          <cell r="W185" t="str">
            <v>0</v>
          </cell>
          <cell r="X185" t="str">
            <v>0</v>
          </cell>
          <cell r="Y185" t="str">
            <v>0</v>
          </cell>
          <cell r="Z185" t="str">
            <v>0</v>
          </cell>
          <cell r="AA185" t="str">
            <v>0</v>
          </cell>
          <cell r="AB185" t="str">
            <v>0</v>
          </cell>
          <cell r="AC185" t="str">
            <v>0</v>
          </cell>
          <cell r="AD185" t="str">
            <v>0</v>
          </cell>
          <cell r="AE185" t="str">
            <v>0</v>
          </cell>
          <cell r="AF185" t="str">
            <v>0</v>
          </cell>
          <cell r="AG185" t="str">
            <v>0</v>
          </cell>
          <cell r="AH185" t="str">
            <v>0</v>
          </cell>
          <cell r="AI185" t="str">
            <v>0</v>
          </cell>
          <cell r="AJ185" t="str">
            <v>0</v>
          </cell>
          <cell r="AK185" t="str">
            <v>0</v>
          </cell>
          <cell r="AL185" t="str">
            <v>0</v>
          </cell>
          <cell r="AM185" t="str">
            <v>0</v>
          </cell>
          <cell r="AN185" t="str">
            <v>0</v>
          </cell>
          <cell r="AO185" t="str">
            <v>0</v>
          </cell>
          <cell r="AP185" t="str">
            <v>0</v>
          </cell>
          <cell r="AQ185" t="str">
            <v>0</v>
          </cell>
          <cell r="AR185" t="str">
            <v>0</v>
          </cell>
          <cell r="AS185" t="str">
            <v>0</v>
          </cell>
          <cell r="AT185" t="str">
            <v>0</v>
          </cell>
          <cell r="AU185" t="str">
            <v>0</v>
          </cell>
          <cell r="AV185" t="str">
            <v>0</v>
          </cell>
          <cell r="AW185" t="str">
            <v>0</v>
          </cell>
          <cell r="AX185" t="str">
            <v>0</v>
          </cell>
          <cell r="AY185" t="str">
            <v>0</v>
          </cell>
          <cell r="AZ185" t="str">
            <v>0</v>
          </cell>
          <cell r="BA185" t="str">
            <v>0</v>
          </cell>
          <cell r="BB185" t="str">
            <v>0</v>
          </cell>
          <cell r="BC185" t="str">
            <v>0</v>
          </cell>
          <cell r="BD185" t="str">
            <v>0</v>
          </cell>
          <cell r="BE185" t="str">
            <v>0</v>
          </cell>
          <cell r="BF185" t="str">
            <v>0</v>
          </cell>
          <cell r="BG185" t="str">
            <v>0</v>
          </cell>
          <cell r="BH185" t="str">
            <v>0</v>
          </cell>
          <cell r="BI185" t="str">
            <v>0</v>
          </cell>
          <cell r="BJ185" t="str">
            <v>0</v>
          </cell>
          <cell r="BK185" t="str">
            <v>0</v>
          </cell>
          <cell r="BL185" t="str">
            <v>0</v>
          </cell>
          <cell r="BM185" t="str">
            <v>0</v>
          </cell>
          <cell r="BN185" t="str">
            <v>0</v>
          </cell>
          <cell r="BO185" t="str">
            <v>0</v>
          </cell>
          <cell r="BP185" t="str">
            <v>0</v>
          </cell>
          <cell r="BQ185" t="str">
            <v>0</v>
          </cell>
          <cell r="BR185" t="str">
            <v>0</v>
          </cell>
          <cell r="BS185" t="str">
            <v>0</v>
          </cell>
          <cell r="BT185" t="str">
            <v>0</v>
          </cell>
          <cell r="BU185" t="str">
            <v>0</v>
          </cell>
          <cell r="BV185" t="str">
            <v>0</v>
          </cell>
          <cell r="BW185" t="str">
            <v>0</v>
          </cell>
          <cell r="BX185" t="str">
            <v>0</v>
          </cell>
          <cell r="BY185" t="str">
            <v>0</v>
          </cell>
          <cell r="BZ185" t="str">
            <v>0</v>
          </cell>
          <cell r="CA185" t="str">
            <v>0</v>
          </cell>
          <cell r="CB185" t="str">
            <v>0</v>
          </cell>
          <cell r="CC185" t="str">
            <v>0</v>
          </cell>
          <cell r="CD185" t="str">
            <v>0</v>
          </cell>
          <cell r="CE185" t="str">
            <v>0</v>
          </cell>
          <cell r="CF185" t="str">
            <v>0</v>
          </cell>
          <cell r="CG185" t="str">
            <v>0</v>
          </cell>
          <cell r="CH185" t="str">
            <v>0</v>
          </cell>
          <cell r="CI185" t="str">
            <v>0</v>
          </cell>
          <cell r="CJ185" t="str">
            <v>0</v>
          </cell>
          <cell r="CK185" t="str">
            <v>0</v>
          </cell>
          <cell r="CL185" t="str">
            <v>0</v>
          </cell>
          <cell r="CM185" t="str">
            <v>0</v>
          </cell>
          <cell r="CN185" t="str">
            <v>0</v>
          </cell>
          <cell r="CO185" t="str">
            <v>0</v>
          </cell>
          <cell r="CP185" t="str">
            <v>0</v>
          </cell>
          <cell r="CQ185" t="str">
            <v>0</v>
          </cell>
          <cell r="CR185" t="str">
            <v>0</v>
          </cell>
          <cell r="CS185" t="str">
            <v>0</v>
          </cell>
          <cell r="CT185" t="str">
            <v>0</v>
          </cell>
          <cell r="CU185" t="str">
            <v>0</v>
          </cell>
          <cell r="CV185" t="str">
            <v>0</v>
          </cell>
          <cell r="CW185" t="str">
            <v>0</v>
          </cell>
          <cell r="CX185" t="str">
            <v>0</v>
          </cell>
          <cell r="CY185" t="str">
            <v>0</v>
          </cell>
          <cell r="CZ185" t="str">
            <v>0</v>
          </cell>
          <cell r="DA185" t="str">
            <v>0</v>
          </cell>
          <cell r="DB185" t="str">
            <v>0</v>
          </cell>
          <cell r="DC185" t="str">
            <v>0</v>
          </cell>
          <cell r="DD185" t="str">
            <v>0</v>
          </cell>
          <cell r="DE185" t="str">
            <v>0</v>
          </cell>
          <cell r="DF185" t="str">
            <v>0</v>
          </cell>
          <cell r="DG185" t="str">
            <v>0</v>
          </cell>
          <cell r="DH185" t="str">
            <v>0</v>
          </cell>
          <cell r="DI185" t="str">
            <v>0</v>
          </cell>
          <cell r="DJ185" t="str">
            <v>0</v>
          </cell>
          <cell r="DK185" t="str">
            <v>0</v>
          </cell>
          <cell r="DL185" t="str">
            <v>0</v>
          </cell>
          <cell r="DM185" t="str">
            <v>0</v>
          </cell>
          <cell r="DN185" t="str">
            <v>0</v>
          </cell>
          <cell r="DO185" t="str">
            <v>0</v>
          </cell>
          <cell r="DP185" t="str">
            <v>0</v>
          </cell>
        </row>
        <row r="186">
          <cell r="C186"/>
          <cell r="D186" t="str">
            <v>0</v>
          </cell>
          <cell r="E186" t="str">
            <v>0</v>
          </cell>
          <cell r="F186" t="str">
            <v>0</v>
          </cell>
          <cell r="G186" t="str">
            <v>0</v>
          </cell>
          <cell r="H186" t="str">
            <v>0</v>
          </cell>
          <cell r="I186" t="str">
            <v>0</v>
          </cell>
          <cell r="J186" t="str">
            <v>0</v>
          </cell>
          <cell r="K186" t="str">
            <v>0</v>
          </cell>
          <cell r="L186" t="str">
            <v>0</v>
          </cell>
          <cell r="M186" t="str">
            <v>0</v>
          </cell>
          <cell r="N186" t="str">
            <v>0</v>
          </cell>
          <cell r="O186" t="str">
            <v>0</v>
          </cell>
          <cell r="P186" t="str">
            <v>0</v>
          </cell>
          <cell r="Q186" t="str">
            <v>0</v>
          </cell>
          <cell r="R186" t="str">
            <v>0</v>
          </cell>
          <cell r="S186" t="str">
            <v>0</v>
          </cell>
          <cell r="T186" t="str">
            <v>0</v>
          </cell>
          <cell r="U186" t="str">
            <v>0</v>
          </cell>
          <cell r="V186" t="str">
            <v>0</v>
          </cell>
          <cell r="W186" t="str">
            <v>0</v>
          </cell>
          <cell r="X186" t="str">
            <v>0</v>
          </cell>
          <cell r="Y186" t="str">
            <v>0</v>
          </cell>
          <cell r="Z186" t="str">
            <v>0</v>
          </cell>
          <cell r="AA186" t="str">
            <v>0</v>
          </cell>
          <cell r="AB186" t="str">
            <v>0</v>
          </cell>
          <cell r="AC186" t="str">
            <v>0</v>
          </cell>
          <cell r="AD186" t="str">
            <v>0</v>
          </cell>
          <cell r="AE186" t="str">
            <v>0</v>
          </cell>
          <cell r="AF186" t="str">
            <v>0</v>
          </cell>
          <cell r="AG186" t="str">
            <v>0</v>
          </cell>
          <cell r="AH186" t="str">
            <v>0</v>
          </cell>
          <cell r="AI186" t="str">
            <v>0</v>
          </cell>
          <cell r="AJ186" t="str">
            <v>0</v>
          </cell>
          <cell r="AK186" t="str">
            <v>0</v>
          </cell>
          <cell r="AL186" t="str">
            <v>0</v>
          </cell>
          <cell r="AM186" t="str">
            <v>0</v>
          </cell>
          <cell r="AN186" t="str">
            <v>0</v>
          </cell>
          <cell r="AO186" t="str">
            <v>0</v>
          </cell>
          <cell r="AP186" t="str">
            <v>0</v>
          </cell>
          <cell r="AQ186" t="str">
            <v>0</v>
          </cell>
          <cell r="AR186" t="str">
            <v>0</v>
          </cell>
          <cell r="AS186" t="str">
            <v>0</v>
          </cell>
          <cell r="AT186" t="str">
            <v>0</v>
          </cell>
          <cell r="AU186" t="str">
            <v>0</v>
          </cell>
          <cell r="AV186" t="str">
            <v>0</v>
          </cell>
          <cell r="AW186" t="str">
            <v>0</v>
          </cell>
          <cell r="AX186" t="str">
            <v>0</v>
          </cell>
          <cell r="AY186" t="str">
            <v>0</v>
          </cell>
          <cell r="AZ186" t="str">
            <v>0</v>
          </cell>
          <cell r="BA186" t="str">
            <v>0</v>
          </cell>
          <cell r="BB186" t="str">
            <v>0</v>
          </cell>
          <cell r="BC186" t="str">
            <v>0</v>
          </cell>
          <cell r="BD186" t="str">
            <v>0</v>
          </cell>
          <cell r="BE186" t="str">
            <v>0</v>
          </cell>
          <cell r="BF186" t="str">
            <v>0</v>
          </cell>
          <cell r="BG186" t="str">
            <v>0</v>
          </cell>
          <cell r="BH186" t="str">
            <v>0</v>
          </cell>
          <cell r="BI186" t="str">
            <v>0</v>
          </cell>
          <cell r="BJ186" t="str">
            <v>0</v>
          </cell>
          <cell r="BK186" t="str">
            <v>0</v>
          </cell>
          <cell r="BL186" t="str">
            <v>0</v>
          </cell>
          <cell r="BM186" t="str">
            <v>0</v>
          </cell>
          <cell r="BN186" t="str">
            <v>0</v>
          </cell>
          <cell r="BO186" t="str">
            <v>0</v>
          </cell>
          <cell r="BP186" t="str">
            <v>0</v>
          </cell>
          <cell r="BQ186" t="str">
            <v>0</v>
          </cell>
          <cell r="BR186" t="str">
            <v>0</v>
          </cell>
          <cell r="BS186" t="str">
            <v>0</v>
          </cell>
          <cell r="BT186" t="str">
            <v>0</v>
          </cell>
          <cell r="BU186" t="str">
            <v>0</v>
          </cell>
          <cell r="BV186" t="str">
            <v>0</v>
          </cell>
          <cell r="BW186" t="str">
            <v>0</v>
          </cell>
          <cell r="BX186" t="str">
            <v>0</v>
          </cell>
          <cell r="BY186" t="str">
            <v>0</v>
          </cell>
          <cell r="BZ186" t="str">
            <v>0</v>
          </cell>
          <cell r="CA186" t="str">
            <v>0</v>
          </cell>
          <cell r="CB186" t="str">
            <v>0</v>
          </cell>
          <cell r="CC186" t="str">
            <v>0</v>
          </cell>
          <cell r="CD186" t="str">
            <v>0</v>
          </cell>
          <cell r="CE186" t="str">
            <v>0</v>
          </cell>
          <cell r="CF186" t="str">
            <v>0</v>
          </cell>
          <cell r="CG186" t="str">
            <v>0</v>
          </cell>
          <cell r="CH186" t="str">
            <v>0</v>
          </cell>
          <cell r="CI186" t="str">
            <v>0</v>
          </cell>
          <cell r="CJ186" t="str">
            <v>0</v>
          </cell>
          <cell r="CK186" t="str">
            <v>0</v>
          </cell>
          <cell r="CL186" t="str">
            <v>0</v>
          </cell>
          <cell r="CM186" t="str">
            <v>0</v>
          </cell>
          <cell r="CN186" t="str">
            <v>0</v>
          </cell>
          <cell r="CO186" t="str">
            <v>0</v>
          </cell>
          <cell r="CP186" t="str">
            <v>0</v>
          </cell>
          <cell r="CQ186" t="str">
            <v>0</v>
          </cell>
          <cell r="CR186" t="str">
            <v>0</v>
          </cell>
          <cell r="CS186" t="str">
            <v>0</v>
          </cell>
          <cell r="CT186" t="str">
            <v>0</v>
          </cell>
          <cell r="CU186" t="str">
            <v>0</v>
          </cell>
          <cell r="CV186" t="str">
            <v>0</v>
          </cell>
          <cell r="CW186" t="str">
            <v>0</v>
          </cell>
          <cell r="CX186" t="str">
            <v>0</v>
          </cell>
          <cell r="CY186" t="str">
            <v>0</v>
          </cell>
          <cell r="CZ186" t="str">
            <v>0</v>
          </cell>
          <cell r="DA186" t="str">
            <v>0</v>
          </cell>
          <cell r="DB186" t="str">
            <v>0</v>
          </cell>
          <cell r="DC186" t="str">
            <v>0</v>
          </cell>
          <cell r="DD186" t="str">
            <v>0</v>
          </cell>
          <cell r="DE186" t="str">
            <v>0</v>
          </cell>
          <cell r="DF186" t="str">
            <v>0</v>
          </cell>
          <cell r="DG186" t="str">
            <v>0</v>
          </cell>
          <cell r="DH186" t="str">
            <v>0</v>
          </cell>
          <cell r="DI186" t="str">
            <v>0</v>
          </cell>
          <cell r="DJ186" t="str">
            <v>0</v>
          </cell>
          <cell r="DK186" t="str">
            <v>0</v>
          </cell>
          <cell r="DL186" t="str">
            <v>0</v>
          </cell>
          <cell r="DM186" t="str">
            <v>0</v>
          </cell>
          <cell r="DN186" t="str">
            <v>0</v>
          </cell>
          <cell r="DO186" t="str">
            <v>0</v>
          </cell>
          <cell r="DP186" t="str">
            <v>0</v>
          </cell>
        </row>
        <row r="187">
          <cell r="C187"/>
          <cell r="D187" t="str">
            <v>0</v>
          </cell>
          <cell r="E187" t="str">
            <v>0</v>
          </cell>
          <cell r="F187" t="str">
            <v>0</v>
          </cell>
          <cell r="G187" t="str">
            <v>0</v>
          </cell>
          <cell r="H187" t="str">
            <v>0</v>
          </cell>
          <cell r="I187" t="str">
            <v>0</v>
          </cell>
          <cell r="J187" t="str">
            <v>0</v>
          </cell>
          <cell r="K187" t="str">
            <v>0</v>
          </cell>
          <cell r="L187" t="str">
            <v>0</v>
          </cell>
          <cell r="M187" t="str">
            <v>0</v>
          </cell>
          <cell r="N187" t="str">
            <v>0</v>
          </cell>
          <cell r="O187" t="str">
            <v>0</v>
          </cell>
          <cell r="P187" t="str">
            <v>0</v>
          </cell>
          <cell r="Q187" t="str">
            <v>0</v>
          </cell>
          <cell r="R187" t="str">
            <v>0</v>
          </cell>
          <cell r="S187" t="str">
            <v>0</v>
          </cell>
          <cell r="T187" t="str">
            <v>0</v>
          </cell>
          <cell r="U187" t="str">
            <v>0</v>
          </cell>
          <cell r="V187" t="str">
            <v>0</v>
          </cell>
          <cell r="W187" t="str">
            <v>0</v>
          </cell>
          <cell r="X187" t="str">
            <v>0</v>
          </cell>
          <cell r="Y187" t="str">
            <v>0</v>
          </cell>
          <cell r="Z187" t="str">
            <v>0</v>
          </cell>
          <cell r="AA187" t="str">
            <v>0</v>
          </cell>
          <cell r="AB187" t="str">
            <v>0</v>
          </cell>
          <cell r="AC187" t="str">
            <v>0</v>
          </cell>
          <cell r="AD187" t="str">
            <v>0</v>
          </cell>
          <cell r="AE187" t="str">
            <v>0</v>
          </cell>
          <cell r="AF187" t="str">
            <v>0</v>
          </cell>
          <cell r="AG187" t="str">
            <v>0</v>
          </cell>
          <cell r="AH187" t="str">
            <v>0</v>
          </cell>
          <cell r="AI187" t="str">
            <v>0</v>
          </cell>
          <cell r="AJ187" t="str">
            <v>0</v>
          </cell>
          <cell r="AK187" t="str">
            <v>0</v>
          </cell>
          <cell r="AL187" t="str">
            <v>0</v>
          </cell>
          <cell r="AM187" t="str">
            <v>0</v>
          </cell>
          <cell r="AN187" t="str">
            <v>0</v>
          </cell>
          <cell r="AO187" t="str">
            <v>0</v>
          </cell>
          <cell r="AP187" t="str">
            <v>0</v>
          </cell>
          <cell r="AQ187" t="str">
            <v>0</v>
          </cell>
          <cell r="AR187" t="str">
            <v>0</v>
          </cell>
          <cell r="AS187" t="str">
            <v>0</v>
          </cell>
          <cell r="AT187" t="str">
            <v>0</v>
          </cell>
          <cell r="AU187" t="str">
            <v>0</v>
          </cell>
          <cell r="AV187" t="str">
            <v>0</v>
          </cell>
          <cell r="AW187" t="str">
            <v>0</v>
          </cell>
          <cell r="AX187" t="str">
            <v>0</v>
          </cell>
          <cell r="AY187" t="str">
            <v>0</v>
          </cell>
          <cell r="AZ187" t="str">
            <v>0</v>
          </cell>
          <cell r="BA187" t="str">
            <v>0</v>
          </cell>
          <cell r="BB187" t="str">
            <v>0</v>
          </cell>
          <cell r="BC187" t="str">
            <v>0</v>
          </cell>
          <cell r="BD187" t="str">
            <v>0</v>
          </cell>
          <cell r="BE187" t="str">
            <v>0</v>
          </cell>
          <cell r="BF187" t="str">
            <v>0</v>
          </cell>
          <cell r="BG187" t="str">
            <v>0</v>
          </cell>
          <cell r="BH187" t="str">
            <v>0</v>
          </cell>
          <cell r="BI187" t="str">
            <v>0</v>
          </cell>
          <cell r="BJ187" t="str">
            <v>0</v>
          </cell>
          <cell r="BK187" t="str">
            <v>0</v>
          </cell>
          <cell r="BL187" t="str">
            <v>0</v>
          </cell>
          <cell r="BM187" t="str">
            <v>0</v>
          </cell>
          <cell r="BN187" t="str">
            <v>0</v>
          </cell>
          <cell r="BO187" t="str">
            <v>0</v>
          </cell>
          <cell r="BP187" t="str">
            <v>0</v>
          </cell>
          <cell r="BQ187" t="str">
            <v>0</v>
          </cell>
          <cell r="BR187" t="str">
            <v>0</v>
          </cell>
          <cell r="BS187" t="str">
            <v>0</v>
          </cell>
          <cell r="BT187" t="str">
            <v>0</v>
          </cell>
          <cell r="BU187" t="str">
            <v>0</v>
          </cell>
          <cell r="BV187" t="str">
            <v>0</v>
          </cell>
          <cell r="BW187" t="str">
            <v>0</v>
          </cell>
          <cell r="BX187" t="str">
            <v>0</v>
          </cell>
          <cell r="BY187" t="str">
            <v>0</v>
          </cell>
          <cell r="BZ187" t="str">
            <v>0</v>
          </cell>
          <cell r="CA187" t="str">
            <v>0</v>
          </cell>
          <cell r="CB187" t="str">
            <v>0</v>
          </cell>
          <cell r="CC187" t="str">
            <v>0</v>
          </cell>
          <cell r="CD187" t="str">
            <v>0</v>
          </cell>
          <cell r="CE187" t="str">
            <v>0</v>
          </cell>
          <cell r="CF187" t="str">
            <v>0</v>
          </cell>
          <cell r="CG187" t="str">
            <v>0</v>
          </cell>
          <cell r="CH187" t="str">
            <v>0</v>
          </cell>
          <cell r="CI187" t="str">
            <v>0</v>
          </cell>
          <cell r="CJ187" t="str">
            <v>0</v>
          </cell>
          <cell r="CK187" t="str">
            <v>0</v>
          </cell>
          <cell r="CL187" t="str">
            <v>0</v>
          </cell>
          <cell r="CM187" t="str">
            <v>0</v>
          </cell>
          <cell r="CN187" t="str">
            <v>0</v>
          </cell>
          <cell r="CO187" t="str">
            <v>0</v>
          </cell>
          <cell r="CP187" t="str">
            <v>0</v>
          </cell>
          <cell r="CQ187" t="str">
            <v>0</v>
          </cell>
          <cell r="CR187" t="str">
            <v>0</v>
          </cell>
          <cell r="CS187" t="str">
            <v>0</v>
          </cell>
          <cell r="CT187" t="str">
            <v>0</v>
          </cell>
          <cell r="CU187" t="str">
            <v>0</v>
          </cell>
          <cell r="CV187" t="str">
            <v>0</v>
          </cell>
          <cell r="CW187" t="str">
            <v>0</v>
          </cell>
          <cell r="CX187" t="str">
            <v>0</v>
          </cell>
          <cell r="CY187" t="str">
            <v>0</v>
          </cell>
          <cell r="CZ187" t="str">
            <v>0</v>
          </cell>
          <cell r="DA187" t="str">
            <v>0</v>
          </cell>
          <cell r="DB187" t="str">
            <v>0</v>
          </cell>
          <cell r="DC187" t="str">
            <v>0</v>
          </cell>
          <cell r="DD187" t="str">
            <v>0</v>
          </cell>
          <cell r="DE187" t="str">
            <v>0</v>
          </cell>
          <cell r="DF187" t="str">
            <v>0</v>
          </cell>
          <cell r="DG187" t="str">
            <v>0</v>
          </cell>
          <cell r="DH187" t="str">
            <v>0</v>
          </cell>
          <cell r="DI187" t="str">
            <v>0</v>
          </cell>
          <cell r="DJ187" t="str">
            <v>0</v>
          </cell>
          <cell r="DK187" t="str">
            <v>0</v>
          </cell>
          <cell r="DL187" t="str">
            <v>0</v>
          </cell>
          <cell r="DM187" t="str">
            <v>0</v>
          </cell>
          <cell r="DN187" t="str">
            <v>0</v>
          </cell>
          <cell r="DO187" t="str">
            <v>0</v>
          </cell>
          <cell r="DP187" t="str">
            <v>0</v>
          </cell>
        </row>
        <row r="188">
          <cell r="C188"/>
          <cell r="D188" t="str">
            <v>0</v>
          </cell>
          <cell r="E188" t="str">
            <v>0</v>
          </cell>
          <cell r="F188" t="str">
            <v>0</v>
          </cell>
          <cell r="G188" t="str">
            <v>0</v>
          </cell>
          <cell r="H188" t="str">
            <v>0</v>
          </cell>
          <cell r="I188" t="str">
            <v>0</v>
          </cell>
          <cell r="J188" t="str">
            <v>0</v>
          </cell>
          <cell r="K188" t="str">
            <v>0</v>
          </cell>
          <cell r="L188" t="str">
            <v>0</v>
          </cell>
          <cell r="M188" t="str">
            <v>0</v>
          </cell>
          <cell r="N188" t="str">
            <v>0</v>
          </cell>
          <cell r="O188" t="str">
            <v>0</v>
          </cell>
          <cell r="P188" t="str">
            <v>0</v>
          </cell>
          <cell r="Q188" t="str">
            <v>0</v>
          </cell>
          <cell r="R188" t="str">
            <v>0</v>
          </cell>
          <cell r="S188" t="str">
            <v>0</v>
          </cell>
          <cell r="T188" t="str">
            <v>0</v>
          </cell>
          <cell r="U188" t="str">
            <v>0</v>
          </cell>
          <cell r="V188" t="str">
            <v>0</v>
          </cell>
          <cell r="W188" t="str">
            <v>0</v>
          </cell>
          <cell r="X188" t="str">
            <v>0</v>
          </cell>
          <cell r="Y188" t="str">
            <v>0</v>
          </cell>
          <cell r="Z188" t="str">
            <v>0</v>
          </cell>
          <cell r="AA188" t="str">
            <v>0</v>
          </cell>
          <cell r="AB188" t="str">
            <v>0</v>
          </cell>
          <cell r="AC188" t="str">
            <v>0</v>
          </cell>
          <cell r="AD188" t="str">
            <v>0</v>
          </cell>
          <cell r="AE188" t="str">
            <v>0</v>
          </cell>
          <cell r="AF188" t="str">
            <v>0</v>
          </cell>
          <cell r="AG188" t="str">
            <v>0</v>
          </cell>
          <cell r="AH188" t="str">
            <v>0</v>
          </cell>
          <cell r="AI188" t="str">
            <v>0</v>
          </cell>
          <cell r="AJ188" t="str">
            <v>0</v>
          </cell>
          <cell r="AK188" t="str">
            <v>0</v>
          </cell>
          <cell r="AL188" t="str">
            <v>0</v>
          </cell>
          <cell r="AM188" t="str">
            <v>0</v>
          </cell>
          <cell r="AN188" t="str">
            <v>0</v>
          </cell>
          <cell r="AO188" t="str">
            <v>0</v>
          </cell>
          <cell r="AP188" t="str">
            <v>0</v>
          </cell>
          <cell r="AQ188" t="str">
            <v>0</v>
          </cell>
          <cell r="AR188" t="str">
            <v>0</v>
          </cell>
          <cell r="AS188" t="str">
            <v>0</v>
          </cell>
          <cell r="AT188" t="str">
            <v>0</v>
          </cell>
          <cell r="AU188" t="str">
            <v>0</v>
          </cell>
          <cell r="AV188" t="str">
            <v>0</v>
          </cell>
          <cell r="AW188" t="str">
            <v>0</v>
          </cell>
          <cell r="AX188" t="str">
            <v>0</v>
          </cell>
          <cell r="AY188" t="str">
            <v>0</v>
          </cell>
          <cell r="AZ188" t="str">
            <v>0</v>
          </cell>
          <cell r="BA188" t="str">
            <v>0</v>
          </cell>
          <cell r="BB188" t="str">
            <v>0</v>
          </cell>
          <cell r="BC188" t="str">
            <v>0</v>
          </cell>
          <cell r="BD188" t="str">
            <v>0</v>
          </cell>
          <cell r="BE188" t="str">
            <v>0</v>
          </cell>
          <cell r="BF188" t="str">
            <v>0</v>
          </cell>
          <cell r="BG188" t="str">
            <v>0</v>
          </cell>
          <cell r="BH188" t="str">
            <v>0</v>
          </cell>
          <cell r="BI188" t="str">
            <v>0</v>
          </cell>
          <cell r="BJ188" t="str">
            <v>0</v>
          </cell>
          <cell r="BK188" t="str">
            <v>0</v>
          </cell>
          <cell r="BL188" t="str">
            <v>0</v>
          </cell>
          <cell r="BM188" t="str">
            <v>0</v>
          </cell>
          <cell r="BN188" t="str">
            <v>0</v>
          </cell>
          <cell r="BO188" t="str">
            <v>0</v>
          </cell>
          <cell r="BP188" t="str">
            <v>0</v>
          </cell>
          <cell r="BQ188" t="str">
            <v>0</v>
          </cell>
          <cell r="BR188" t="str">
            <v>0</v>
          </cell>
          <cell r="BS188" t="str">
            <v>0</v>
          </cell>
          <cell r="BT188" t="str">
            <v>0</v>
          </cell>
          <cell r="BU188" t="str">
            <v>0</v>
          </cell>
          <cell r="BV188" t="str">
            <v>0</v>
          </cell>
          <cell r="BW188" t="str">
            <v>0</v>
          </cell>
          <cell r="BX188" t="str">
            <v>0</v>
          </cell>
          <cell r="BY188" t="str">
            <v>0</v>
          </cell>
          <cell r="BZ188" t="str">
            <v>0</v>
          </cell>
          <cell r="CA188" t="str">
            <v>0</v>
          </cell>
          <cell r="CB188" t="str">
            <v>0</v>
          </cell>
          <cell r="CC188" t="str">
            <v>0</v>
          </cell>
          <cell r="CD188" t="str">
            <v>0</v>
          </cell>
          <cell r="CE188" t="str">
            <v>0</v>
          </cell>
          <cell r="CF188" t="str">
            <v>0</v>
          </cell>
          <cell r="CG188" t="str">
            <v>0</v>
          </cell>
          <cell r="CH188" t="str">
            <v>0</v>
          </cell>
          <cell r="CI188" t="str">
            <v>0</v>
          </cell>
          <cell r="CJ188" t="str">
            <v>0</v>
          </cell>
          <cell r="CK188" t="str">
            <v>0</v>
          </cell>
          <cell r="CL188" t="str">
            <v>0</v>
          </cell>
          <cell r="CM188" t="str">
            <v>0</v>
          </cell>
          <cell r="CN188" t="str">
            <v>0</v>
          </cell>
          <cell r="CO188" t="str">
            <v>0</v>
          </cell>
          <cell r="CP188" t="str">
            <v>0</v>
          </cell>
          <cell r="CQ188" t="str">
            <v>0</v>
          </cell>
          <cell r="CR188" t="str">
            <v>0</v>
          </cell>
          <cell r="CS188" t="str">
            <v>0</v>
          </cell>
          <cell r="CT188" t="str">
            <v>0</v>
          </cell>
          <cell r="CU188" t="str">
            <v>0</v>
          </cell>
          <cell r="CV188" t="str">
            <v>0</v>
          </cell>
          <cell r="CW188" t="str">
            <v>0</v>
          </cell>
          <cell r="CX188" t="str">
            <v>0</v>
          </cell>
          <cell r="CY188" t="str">
            <v>0</v>
          </cell>
          <cell r="CZ188" t="str">
            <v>0</v>
          </cell>
          <cell r="DA188" t="str">
            <v>0</v>
          </cell>
          <cell r="DB188" t="str">
            <v>0</v>
          </cell>
          <cell r="DC188" t="str">
            <v>0</v>
          </cell>
          <cell r="DD188" t="str">
            <v>0</v>
          </cell>
          <cell r="DE188" t="str">
            <v>0</v>
          </cell>
          <cell r="DF188" t="str">
            <v>0</v>
          </cell>
          <cell r="DG188" t="str">
            <v>0</v>
          </cell>
          <cell r="DH188" t="str">
            <v>0</v>
          </cell>
          <cell r="DI188" t="str">
            <v>0</v>
          </cell>
          <cell r="DJ188" t="str">
            <v>0</v>
          </cell>
          <cell r="DK188" t="str">
            <v>0</v>
          </cell>
          <cell r="DL188" t="str">
            <v>0</v>
          </cell>
          <cell r="DM188" t="str">
            <v>0</v>
          </cell>
          <cell r="DN188" t="str">
            <v>0</v>
          </cell>
          <cell r="DO188" t="str">
            <v>0</v>
          </cell>
          <cell r="DP188" t="str">
            <v>0</v>
          </cell>
        </row>
        <row r="189">
          <cell r="C189"/>
          <cell r="D189" t="str">
            <v>0</v>
          </cell>
          <cell r="E189" t="str">
            <v>0</v>
          </cell>
          <cell r="F189" t="str">
            <v>0</v>
          </cell>
          <cell r="G189" t="str">
            <v>0</v>
          </cell>
          <cell r="H189" t="str">
            <v>0</v>
          </cell>
          <cell r="I189" t="str">
            <v>0</v>
          </cell>
          <cell r="J189" t="str">
            <v>0</v>
          </cell>
          <cell r="K189" t="str">
            <v>0</v>
          </cell>
          <cell r="L189" t="str">
            <v>0</v>
          </cell>
          <cell r="M189" t="str">
            <v>0</v>
          </cell>
          <cell r="N189" t="str">
            <v>0</v>
          </cell>
          <cell r="O189" t="str">
            <v>0</v>
          </cell>
          <cell r="P189" t="str">
            <v>0</v>
          </cell>
          <cell r="Q189" t="str">
            <v>0</v>
          </cell>
          <cell r="R189" t="str">
            <v>0</v>
          </cell>
          <cell r="S189" t="str">
            <v>0</v>
          </cell>
          <cell r="T189" t="str">
            <v>0</v>
          </cell>
          <cell r="U189" t="str">
            <v>0</v>
          </cell>
          <cell r="V189" t="str">
            <v>0</v>
          </cell>
          <cell r="W189" t="str">
            <v>0</v>
          </cell>
          <cell r="X189" t="str">
            <v>0</v>
          </cell>
          <cell r="Y189" t="str">
            <v>0</v>
          </cell>
          <cell r="Z189" t="str">
            <v>0</v>
          </cell>
          <cell r="AA189" t="str">
            <v>0</v>
          </cell>
          <cell r="AB189" t="str">
            <v>0</v>
          </cell>
          <cell r="AC189" t="str">
            <v>0</v>
          </cell>
          <cell r="AD189" t="str">
            <v>0</v>
          </cell>
          <cell r="AE189" t="str">
            <v>0</v>
          </cell>
          <cell r="AF189" t="str">
            <v>0</v>
          </cell>
          <cell r="AG189" t="str">
            <v>0</v>
          </cell>
          <cell r="AH189" t="str">
            <v>0</v>
          </cell>
          <cell r="AI189" t="str">
            <v>0</v>
          </cell>
          <cell r="AJ189" t="str">
            <v>0</v>
          </cell>
          <cell r="AK189" t="str">
            <v>0</v>
          </cell>
          <cell r="AL189" t="str">
            <v>0</v>
          </cell>
          <cell r="AM189" t="str">
            <v>0</v>
          </cell>
          <cell r="AN189" t="str">
            <v>0</v>
          </cell>
          <cell r="AO189" t="str">
            <v>0</v>
          </cell>
          <cell r="AP189" t="str">
            <v>0</v>
          </cell>
          <cell r="AQ189" t="str">
            <v>0</v>
          </cell>
          <cell r="AR189" t="str">
            <v>0</v>
          </cell>
          <cell r="AS189" t="str">
            <v>0</v>
          </cell>
          <cell r="AT189" t="str">
            <v>0</v>
          </cell>
          <cell r="AU189" t="str">
            <v>0</v>
          </cell>
          <cell r="AV189" t="str">
            <v>0</v>
          </cell>
          <cell r="AW189" t="str">
            <v>0</v>
          </cell>
          <cell r="AX189" t="str">
            <v>0</v>
          </cell>
          <cell r="AY189" t="str">
            <v>0</v>
          </cell>
          <cell r="AZ189" t="str">
            <v>0</v>
          </cell>
          <cell r="BA189" t="str">
            <v>0</v>
          </cell>
          <cell r="BB189" t="str">
            <v>0</v>
          </cell>
          <cell r="BC189" t="str">
            <v>0</v>
          </cell>
          <cell r="BD189" t="str">
            <v>0</v>
          </cell>
          <cell r="BE189" t="str">
            <v>0</v>
          </cell>
          <cell r="BF189" t="str">
            <v>0</v>
          </cell>
          <cell r="BG189" t="str">
            <v>0</v>
          </cell>
          <cell r="BH189" t="str">
            <v>0</v>
          </cell>
          <cell r="BI189" t="str">
            <v>0</v>
          </cell>
          <cell r="BJ189" t="str">
            <v>0</v>
          </cell>
          <cell r="BK189" t="str">
            <v>0</v>
          </cell>
          <cell r="BL189" t="str">
            <v>0</v>
          </cell>
          <cell r="BM189" t="str">
            <v>0</v>
          </cell>
          <cell r="BN189" t="str">
            <v>0</v>
          </cell>
          <cell r="BO189" t="str">
            <v>0</v>
          </cell>
          <cell r="BP189" t="str">
            <v>0</v>
          </cell>
          <cell r="BQ189" t="str">
            <v>0</v>
          </cell>
          <cell r="BR189" t="str">
            <v>0</v>
          </cell>
          <cell r="BS189" t="str">
            <v>0</v>
          </cell>
          <cell r="BT189" t="str">
            <v>0</v>
          </cell>
          <cell r="BU189" t="str">
            <v>0</v>
          </cell>
          <cell r="BV189" t="str">
            <v>0</v>
          </cell>
          <cell r="BW189" t="str">
            <v>0</v>
          </cell>
          <cell r="BX189" t="str">
            <v>0</v>
          </cell>
          <cell r="BY189" t="str">
            <v>0</v>
          </cell>
          <cell r="BZ189" t="str">
            <v>0</v>
          </cell>
          <cell r="CA189" t="str">
            <v>0</v>
          </cell>
          <cell r="CB189" t="str">
            <v>0</v>
          </cell>
          <cell r="CC189" t="str">
            <v>0</v>
          </cell>
          <cell r="CD189" t="str">
            <v>0</v>
          </cell>
          <cell r="CE189" t="str">
            <v>0</v>
          </cell>
          <cell r="CF189" t="str">
            <v>0</v>
          </cell>
          <cell r="CG189" t="str">
            <v>0</v>
          </cell>
          <cell r="CH189" t="str">
            <v>0</v>
          </cell>
          <cell r="CI189" t="str">
            <v>0</v>
          </cell>
          <cell r="CJ189" t="str">
            <v>0</v>
          </cell>
          <cell r="CK189" t="str">
            <v>0</v>
          </cell>
          <cell r="CL189" t="str">
            <v>0</v>
          </cell>
          <cell r="CM189" t="str">
            <v>0</v>
          </cell>
          <cell r="CN189" t="str">
            <v>0</v>
          </cell>
          <cell r="CO189" t="str">
            <v>0</v>
          </cell>
          <cell r="CP189" t="str">
            <v>0</v>
          </cell>
          <cell r="CQ189" t="str">
            <v>0</v>
          </cell>
          <cell r="CR189" t="str">
            <v>0</v>
          </cell>
          <cell r="CS189" t="str">
            <v>0</v>
          </cell>
          <cell r="CT189" t="str">
            <v>0</v>
          </cell>
          <cell r="CU189" t="str">
            <v>0</v>
          </cell>
          <cell r="CV189" t="str">
            <v>0</v>
          </cell>
          <cell r="CW189" t="str">
            <v>0</v>
          </cell>
          <cell r="CX189" t="str">
            <v>0</v>
          </cell>
          <cell r="CY189" t="str">
            <v>0</v>
          </cell>
          <cell r="CZ189" t="str">
            <v>0</v>
          </cell>
          <cell r="DA189" t="str">
            <v>0</v>
          </cell>
          <cell r="DB189" t="str">
            <v>0</v>
          </cell>
          <cell r="DC189" t="str">
            <v>0</v>
          </cell>
          <cell r="DD189" t="str">
            <v>0</v>
          </cell>
          <cell r="DE189" t="str">
            <v>0</v>
          </cell>
          <cell r="DF189" t="str">
            <v>0</v>
          </cell>
          <cell r="DG189" t="str">
            <v>0</v>
          </cell>
          <cell r="DH189" t="str">
            <v>0</v>
          </cell>
          <cell r="DI189" t="str">
            <v>0</v>
          </cell>
          <cell r="DJ189" t="str">
            <v>0</v>
          </cell>
          <cell r="DK189" t="str">
            <v>0</v>
          </cell>
          <cell r="DL189" t="str">
            <v>0</v>
          </cell>
          <cell r="DM189" t="str">
            <v>0</v>
          </cell>
          <cell r="DN189" t="str">
            <v>0</v>
          </cell>
          <cell r="DO189" t="str">
            <v>0</v>
          </cell>
          <cell r="DP189" t="str">
            <v>0</v>
          </cell>
        </row>
        <row r="190">
          <cell r="C190"/>
          <cell r="D190" t="str">
            <v>0</v>
          </cell>
          <cell r="E190" t="str">
            <v>0</v>
          </cell>
          <cell r="F190" t="str">
            <v>0</v>
          </cell>
          <cell r="G190" t="str">
            <v>0</v>
          </cell>
          <cell r="H190" t="str">
            <v>0</v>
          </cell>
          <cell r="I190" t="str">
            <v>0</v>
          </cell>
          <cell r="J190" t="str">
            <v>0</v>
          </cell>
          <cell r="K190" t="str">
            <v>0</v>
          </cell>
          <cell r="L190" t="str">
            <v>0</v>
          </cell>
          <cell r="M190" t="str">
            <v>0</v>
          </cell>
          <cell r="N190" t="str">
            <v>0</v>
          </cell>
          <cell r="O190" t="str">
            <v>0</v>
          </cell>
          <cell r="P190" t="str">
            <v>0</v>
          </cell>
          <cell r="Q190" t="str">
            <v>0</v>
          </cell>
          <cell r="R190" t="str">
            <v>0</v>
          </cell>
          <cell r="S190" t="str">
            <v>0</v>
          </cell>
          <cell r="T190" t="str">
            <v>0</v>
          </cell>
          <cell r="U190" t="str">
            <v>0</v>
          </cell>
          <cell r="V190" t="str">
            <v>0</v>
          </cell>
          <cell r="W190" t="str">
            <v>0</v>
          </cell>
          <cell r="X190" t="str">
            <v>0</v>
          </cell>
          <cell r="Y190" t="str">
            <v>0</v>
          </cell>
          <cell r="Z190" t="str">
            <v>0</v>
          </cell>
          <cell r="AA190" t="str">
            <v>0</v>
          </cell>
          <cell r="AB190" t="str">
            <v>0</v>
          </cell>
          <cell r="AC190" t="str">
            <v>0</v>
          </cell>
          <cell r="AD190" t="str">
            <v>0</v>
          </cell>
          <cell r="AE190" t="str">
            <v>0</v>
          </cell>
          <cell r="AF190" t="str">
            <v>0</v>
          </cell>
          <cell r="AG190" t="str">
            <v>0</v>
          </cell>
          <cell r="AH190" t="str">
            <v>0</v>
          </cell>
          <cell r="AI190" t="str">
            <v>0</v>
          </cell>
          <cell r="AJ190" t="str">
            <v>0</v>
          </cell>
          <cell r="AK190" t="str">
            <v>0</v>
          </cell>
          <cell r="AL190" t="str">
            <v>0</v>
          </cell>
          <cell r="AM190" t="str">
            <v>0</v>
          </cell>
          <cell r="AN190" t="str">
            <v>0</v>
          </cell>
          <cell r="AO190" t="str">
            <v>0</v>
          </cell>
          <cell r="AP190" t="str">
            <v>0</v>
          </cell>
          <cell r="AQ190" t="str">
            <v>0</v>
          </cell>
          <cell r="AR190" t="str">
            <v>0</v>
          </cell>
          <cell r="AS190" t="str">
            <v>0</v>
          </cell>
          <cell r="AT190" t="str">
            <v>0</v>
          </cell>
          <cell r="AU190" t="str">
            <v>0</v>
          </cell>
          <cell r="AV190" t="str">
            <v>0</v>
          </cell>
          <cell r="AW190" t="str">
            <v>0</v>
          </cell>
          <cell r="AX190" t="str">
            <v>0</v>
          </cell>
          <cell r="AY190" t="str">
            <v>0</v>
          </cell>
          <cell r="AZ190" t="str">
            <v>0</v>
          </cell>
          <cell r="BA190" t="str">
            <v>0</v>
          </cell>
          <cell r="BB190" t="str">
            <v>0</v>
          </cell>
          <cell r="BC190" t="str">
            <v>0</v>
          </cell>
          <cell r="BD190" t="str">
            <v>0</v>
          </cell>
          <cell r="BE190" t="str">
            <v>0</v>
          </cell>
          <cell r="BF190" t="str">
            <v>0</v>
          </cell>
          <cell r="BG190" t="str">
            <v>0</v>
          </cell>
          <cell r="BH190" t="str">
            <v>0</v>
          </cell>
          <cell r="BI190" t="str">
            <v>0</v>
          </cell>
          <cell r="BJ190" t="str">
            <v>0</v>
          </cell>
          <cell r="BK190" t="str">
            <v>0</v>
          </cell>
          <cell r="BL190" t="str">
            <v>0</v>
          </cell>
          <cell r="BM190" t="str">
            <v>0</v>
          </cell>
          <cell r="BN190" t="str">
            <v>0</v>
          </cell>
          <cell r="BO190" t="str">
            <v>0</v>
          </cell>
          <cell r="BP190" t="str">
            <v>0</v>
          </cell>
          <cell r="BQ190" t="str">
            <v>0</v>
          </cell>
          <cell r="BR190" t="str">
            <v>0</v>
          </cell>
          <cell r="BS190" t="str">
            <v>0</v>
          </cell>
          <cell r="BT190" t="str">
            <v>0</v>
          </cell>
          <cell r="BU190" t="str">
            <v>0</v>
          </cell>
          <cell r="BV190" t="str">
            <v>0</v>
          </cell>
          <cell r="BW190" t="str">
            <v>0</v>
          </cell>
          <cell r="BX190" t="str">
            <v>0</v>
          </cell>
          <cell r="BY190" t="str">
            <v>0</v>
          </cell>
          <cell r="BZ190" t="str">
            <v>0</v>
          </cell>
          <cell r="CA190" t="str">
            <v>0</v>
          </cell>
          <cell r="CB190" t="str">
            <v>0</v>
          </cell>
          <cell r="CC190" t="str">
            <v>0</v>
          </cell>
          <cell r="CD190" t="str">
            <v>0</v>
          </cell>
          <cell r="CE190" t="str">
            <v>0</v>
          </cell>
          <cell r="CF190" t="str">
            <v>0</v>
          </cell>
          <cell r="CG190" t="str">
            <v>0</v>
          </cell>
          <cell r="CH190" t="str">
            <v>0</v>
          </cell>
          <cell r="CI190" t="str">
            <v>0</v>
          </cell>
          <cell r="CJ190" t="str">
            <v>0</v>
          </cell>
          <cell r="CK190" t="str">
            <v>0</v>
          </cell>
          <cell r="CL190" t="str">
            <v>0</v>
          </cell>
          <cell r="CM190" t="str">
            <v>0</v>
          </cell>
          <cell r="CN190" t="str">
            <v>0</v>
          </cell>
          <cell r="CO190" t="str">
            <v>0</v>
          </cell>
          <cell r="CP190" t="str">
            <v>0</v>
          </cell>
          <cell r="CQ190" t="str">
            <v>0</v>
          </cell>
          <cell r="CR190" t="str">
            <v>0</v>
          </cell>
          <cell r="CS190" t="str">
            <v>0</v>
          </cell>
          <cell r="CT190" t="str">
            <v>0</v>
          </cell>
          <cell r="CU190" t="str">
            <v>0</v>
          </cell>
          <cell r="CV190" t="str">
            <v>0</v>
          </cell>
          <cell r="CW190" t="str">
            <v>0</v>
          </cell>
          <cell r="CX190" t="str">
            <v>0</v>
          </cell>
          <cell r="CY190" t="str">
            <v>0</v>
          </cell>
          <cell r="CZ190" t="str">
            <v>0</v>
          </cell>
          <cell r="DA190" t="str">
            <v>0</v>
          </cell>
          <cell r="DB190" t="str">
            <v>0</v>
          </cell>
          <cell r="DC190" t="str">
            <v>0</v>
          </cell>
          <cell r="DD190" t="str">
            <v>0</v>
          </cell>
          <cell r="DE190" t="str">
            <v>0</v>
          </cell>
          <cell r="DF190" t="str">
            <v>0</v>
          </cell>
          <cell r="DG190" t="str">
            <v>0</v>
          </cell>
          <cell r="DH190" t="str">
            <v>0</v>
          </cell>
          <cell r="DI190" t="str">
            <v>0</v>
          </cell>
          <cell r="DJ190" t="str">
            <v>0</v>
          </cell>
          <cell r="DK190" t="str">
            <v>0</v>
          </cell>
          <cell r="DL190" t="str">
            <v>0</v>
          </cell>
          <cell r="DM190" t="str">
            <v>0</v>
          </cell>
          <cell r="DN190" t="str">
            <v>0</v>
          </cell>
          <cell r="DO190" t="str">
            <v>0</v>
          </cell>
          <cell r="DP190" t="str">
            <v>0</v>
          </cell>
        </row>
        <row r="191">
          <cell r="C191"/>
          <cell r="D191" t="str">
            <v>0</v>
          </cell>
          <cell r="E191" t="str">
            <v>0</v>
          </cell>
          <cell r="F191" t="str">
            <v>0</v>
          </cell>
          <cell r="G191" t="str">
            <v>0</v>
          </cell>
          <cell r="H191" t="str">
            <v>0</v>
          </cell>
          <cell r="I191" t="str">
            <v>0</v>
          </cell>
          <cell r="J191" t="str">
            <v>0</v>
          </cell>
          <cell r="K191" t="str">
            <v>0</v>
          </cell>
          <cell r="L191" t="str">
            <v>0</v>
          </cell>
          <cell r="M191" t="str">
            <v>0</v>
          </cell>
          <cell r="N191" t="str">
            <v>0</v>
          </cell>
          <cell r="O191" t="str">
            <v>0</v>
          </cell>
          <cell r="P191" t="str">
            <v>0</v>
          </cell>
          <cell r="Q191" t="str">
            <v>0</v>
          </cell>
          <cell r="R191" t="str">
            <v>0</v>
          </cell>
          <cell r="S191" t="str">
            <v>0</v>
          </cell>
          <cell r="T191" t="str">
            <v>0</v>
          </cell>
          <cell r="U191" t="str">
            <v>0</v>
          </cell>
          <cell r="V191" t="str">
            <v>0</v>
          </cell>
          <cell r="W191" t="str">
            <v>0</v>
          </cell>
          <cell r="X191" t="str">
            <v>0</v>
          </cell>
          <cell r="Y191" t="str">
            <v>0</v>
          </cell>
          <cell r="Z191" t="str">
            <v>0</v>
          </cell>
          <cell r="AA191" t="str">
            <v>0</v>
          </cell>
          <cell r="AB191" t="str">
            <v>0</v>
          </cell>
          <cell r="AC191" t="str">
            <v>0</v>
          </cell>
          <cell r="AD191" t="str">
            <v>0</v>
          </cell>
          <cell r="AE191" t="str">
            <v>0</v>
          </cell>
          <cell r="AF191" t="str">
            <v>0</v>
          </cell>
          <cell r="AG191" t="str">
            <v>0</v>
          </cell>
          <cell r="AH191" t="str">
            <v>0</v>
          </cell>
          <cell r="AI191" t="str">
            <v>0</v>
          </cell>
          <cell r="AJ191" t="str">
            <v>0</v>
          </cell>
          <cell r="AK191" t="str">
            <v>0</v>
          </cell>
          <cell r="AL191" t="str">
            <v>0</v>
          </cell>
          <cell r="AM191" t="str">
            <v>0</v>
          </cell>
          <cell r="AN191" t="str">
            <v>0</v>
          </cell>
          <cell r="AO191" t="str">
            <v>0</v>
          </cell>
          <cell r="AP191" t="str">
            <v>0</v>
          </cell>
          <cell r="AQ191" t="str">
            <v>0</v>
          </cell>
          <cell r="AR191" t="str">
            <v>0</v>
          </cell>
          <cell r="AS191" t="str">
            <v>0</v>
          </cell>
          <cell r="AT191" t="str">
            <v>0</v>
          </cell>
          <cell r="AU191" t="str">
            <v>0</v>
          </cell>
          <cell r="AV191" t="str">
            <v>0</v>
          </cell>
          <cell r="AW191" t="str">
            <v>0</v>
          </cell>
          <cell r="AX191" t="str">
            <v>0</v>
          </cell>
          <cell r="AY191" t="str">
            <v>0</v>
          </cell>
          <cell r="AZ191" t="str">
            <v>0</v>
          </cell>
          <cell r="BA191" t="str">
            <v>0</v>
          </cell>
          <cell r="BB191" t="str">
            <v>0</v>
          </cell>
          <cell r="BC191" t="str">
            <v>0</v>
          </cell>
          <cell r="BD191" t="str">
            <v>0</v>
          </cell>
          <cell r="BE191" t="str">
            <v>0</v>
          </cell>
          <cell r="BF191" t="str">
            <v>0</v>
          </cell>
          <cell r="BG191" t="str">
            <v>0</v>
          </cell>
          <cell r="BH191" t="str">
            <v>0</v>
          </cell>
          <cell r="BI191" t="str">
            <v>0</v>
          </cell>
          <cell r="BJ191" t="str">
            <v>0</v>
          </cell>
          <cell r="BK191" t="str">
            <v>0</v>
          </cell>
          <cell r="BL191" t="str">
            <v>0</v>
          </cell>
          <cell r="BM191" t="str">
            <v>0</v>
          </cell>
          <cell r="BN191" t="str">
            <v>0</v>
          </cell>
          <cell r="BO191" t="str">
            <v>0</v>
          </cell>
          <cell r="BP191" t="str">
            <v>0</v>
          </cell>
          <cell r="BQ191" t="str">
            <v>0</v>
          </cell>
          <cell r="BR191" t="str">
            <v>0</v>
          </cell>
          <cell r="BS191" t="str">
            <v>0</v>
          </cell>
          <cell r="BT191" t="str">
            <v>0</v>
          </cell>
          <cell r="BU191" t="str">
            <v>0</v>
          </cell>
          <cell r="BV191" t="str">
            <v>0</v>
          </cell>
          <cell r="BW191" t="str">
            <v>0</v>
          </cell>
          <cell r="BX191" t="str">
            <v>0</v>
          </cell>
          <cell r="BY191" t="str">
            <v>0</v>
          </cell>
          <cell r="BZ191" t="str">
            <v>0</v>
          </cell>
          <cell r="CA191" t="str">
            <v>0</v>
          </cell>
          <cell r="CB191" t="str">
            <v>0</v>
          </cell>
          <cell r="CC191" t="str">
            <v>0</v>
          </cell>
          <cell r="CD191" t="str">
            <v>0</v>
          </cell>
          <cell r="CE191" t="str">
            <v>0</v>
          </cell>
          <cell r="CF191" t="str">
            <v>0</v>
          </cell>
          <cell r="CG191" t="str">
            <v>0</v>
          </cell>
          <cell r="CH191" t="str">
            <v>0</v>
          </cell>
          <cell r="CI191" t="str">
            <v>0</v>
          </cell>
          <cell r="CJ191" t="str">
            <v>0</v>
          </cell>
          <cell r="CK191" t="str">
            <v>0</v>
          </cell>
          <cell r="CL191" t="str">
            <v>0</v>
          </cell>
          <cell r="CM191" t="str">
            <v>0</v>
          </cell>
          <cell r="CN191" t="str">
            <v>0</v>
          </cell>
          <cell r="CO191" t="str">
            <v>0</v>
          </cell>
          <cell r="CP191" t="str">
            <v>0</v>
          </cell>
          <cell r="CQ191" t="str">
            <v>0</v>
          </cell>
          <cell r="CR191" t="str">
            <v>0</v>
          </cell>
          <cell r="CS191" t="str">
            <v>0</v>
          </cell>
          <cell r="CT191" t="str">
            <v>0</v>
          </cell>
          <cell r="CU191" t="str">
            <v>0</v>
          </cell>
          <cell r="CV191" t="str">
            <v>0</v>
          </cell>
          <cell r="CW191" t="str">
            <v>0</v>
          </cell>
          <cell r="CX191" t="str">
            <v>0</v>
          </cell>
          <cell r="CY191" t="str">
            <v>0</v>
          </cell>
          <cell r="CZ191" t="str">
            <v>0</v>
          </cell>
          <cell r="DA191" t="str">
            <v>0</v>
          </cell>
          <cell r="DB191" t="str">
            <v>0</v>
          </cell>
          <cell r="DC191" t="str">
            <v>0</v>
          </cell>
          <cell r="DD191" t="str">
            <v>0</v>
          </cell>
          <cell r="DE191" t="str">
            <v>0</v>
          </cell>
          <cell r="DF191" t="str">
            <v>0</v>
          </cell>
          <cell r="DG191" t="str">
            <v>0</v>
          </cell>
          <cell r="DH191" t="str">
            <v>0</v>
          </cell>
          <cell r="DI191" t="str">
            <v>0</v>
          </cell>
          <cell r="DJ191" t="str">
            <v>0</v>
          </cell>
          <cell r="DK191" t="str">
            <v>0</v>
          </cell>
          <cell r="DL191" t="str">
            <v>0</v>
          </cell>
          <cell r="DM191" t="str">
            <v>0</v>
          </cell>
          <cell r="DN191" t="str">
            <v>0</v>
          </cell>
          <cell r="DO191" t="str">
            <v>0</v>
          </cell>
          <cell r="DP191" t="str">
            <v>0</v>
          </cell>
        </row>
        <row r="192">
          <cell r="C192"/>
          <cell r="D192" t="str">
            <v>0</v>
          </cell>
          <cell r="E192" t="str">
            <v>0</v>
          </cell>
          <cell r="F192" t="str">
            <v>0</v>
          </cell>
          <cell r="G192" t="str">
            <v>0</v>
          </cell>
          <cell r="H192" t="str">
            <v>0</v>
          </cell>
          <cell r="I192" t="str">
            <v>0</v>
          </cell>
          <cell r="J192" t="str">
            <v>0</v>
          </cell>
          <cell r="K192" t="str">
            <v>0</v>
          </cell>
          <cell r="L192" t="str">
            <v>0</v>
          </cell>
          <cell r="M192" t="str">
            <v>0</v>
          </cell>
          <cell r="N192" t="str">
            <v>0</v>
          </cell>
          <cell r="O192" t="str">
            <v>0</v>
          </cell>
          <cell r="P192" t="str">
            <v>0</v>
          </cell>
          <cell r="Q192" t="str">
            <v>0</v>
          </cell>
          <cell r="R192" t="str">
            <v>0</v>
          </cell>
          <cell r="S192" t="str">
            <v>0</v>
          </cell>
          <cell r="T192" t="str">
            <v>0</v>
          </cell>
          <cell r="U192" t="str">
            <v>0</v>
          </cell>
          <cell r="V192" t="str">
            <v>0</v>
          </cell>
          <cell r="W192" t="str">
            <v>0</v>
          </cell>
          <cell r="X192" t="str">
            <v>0</v>
          </cell>
          <cell r="Y192" t="str">
            <v>0</v>
          </cell>
          <cell r="Z192" t="str">
            <v>0</v>
          </cell>
          <cell r="AA192" t="str">
            <v>0</v>
          </cell>
          <cell r="AB192" t="str">
            <v>0</v>
          </cell>
          <cell r="AC192" t="str">
            <v>0</v>
          </cell>
          <cell r="AD192" t="str">
            <v>0</v>
          </cell>
          <cell r="AE192" t="str">
            <v>0</v>
          </cell>
          <cell r="AF192" t="str">
            <v>0</v>
          </cell>
          <cell r="AG192" t="str">
            <v>0</v>
          </cell>
          <cell r="AH192" t="str">
            <v>0</v>
          </cell>
          <cell r="AI192" t="str">
            <v>0</v>
          </cell>
          <cell r="AJ192" t="str">
            <v>0</v>
          </cell>
          <cell r="AK192" t="str">
            <v>0</v>
          </cell>
          <cell r="AL192" t="str">
            <v>0</v>
          </cell>
          <cell r="AM192" t="str">
            <v>0</v>
          </cell>
          <cell r="AN192" t="str">
            <v>0</v>
          </cell>
          <cell r="AO192" t="str">
            <v>0</v>
          </cell>
          <cell r="AP192" t="str">
            <v>0</v>
          </cell>
          <cell r="AQ192" t="str">
            <v>0</v>
          </cell>
          <cell r="AR192" t="str">
            <v>0</v>
          </cell>
          <cell r="AS192" t="str">
            <v>0</v>
          </cell>
          <cell r="AT192" t="str">
            <v>0</v>
          </cell>
          <cell r="AU192" t="str">
            <v>0</v>
          </cell>
          <cell r="AV192" t="str">
            <v>0</v>
          </cell>
          <cell r="AW192" t="str">
            <v>0</v>
          </cell>
          <cell r="AX192" t="str">
            <v>0</v>
          </cell>
          <cell r="AY192" t="str">
            <v>0</v>
          </cell>
          <cell r="AZ192" t="str">
            <v>0</v>
          </cell>
          <cell r="BA192" t="str">
            <v>0</v>
          </cell>
          <cell r="BB192" t="str">
            <v>0</v>
          </cell>
          <cell r="BC192" t="str">
            <v>0</v>
          </cell>
          <cell r="BD192" t="str">
            <v>0</v>
          </cell>
          <cell r="BE192" t="str">
            <v>0</v>
          </cell>
          <cell r="BF192" t="str">
            <v>0</v>
          </cell>
          <cell r="BG192" t="str">
            <v>0</v>
          </cell>
          <cell r="BH192" t="str">
            <v>0</v>
          </cell>
          <cell r="BI192" t="str">
            <v>0</v>
          </cell>
          <cell r="BJ192" t="str">
            <v>0</v>
          </cell>
          <cell r="BK192" t="str">
            <v>0</v>
          </cell>
          <cell r="BL192" t="str">
            <v>0</v>
          </cell>
          <cell r="BM192" t="str">
            <v>0</v>
          </cell>
          <cell r="BN192" t="str">
            <v>0</v>
          </cell>
          <cell r="BO192" t="str">
            <v>0</v>
          </cell>
          <cell r="BP192" t="str">
            <v>0</v>
          </cell>
          <cell r="BQ192" t="str">
            <v>0</v>
          </cell>
          <cell r="BR192" t="str">
            <v>0</v>
          </cell>
          <cell r="BS192" t="str">
            <v>0</v>
          </cell>
          <cell r="BT192" t="str">
            <v>0</v>
          </cell>
          <cell r="BU192" t="str">
            <v>0</v>
          </cell>
          <cell r="BV192" t="str">
            <v>0</v>
          </cell>
          <cell r="BW192" t="str">
            <v>0</v>
          </cell>
          <cell r="BX192" t="str">
            <v>0</v>
          </cell>
          <cell r="BY192" t="str">
            <v>0</v>
          </cell>
          <cell r="BZ192" t="str">
            <v>0</v>
          </cell>
          <cell r="CA192" t="str">
            <v>0</v>
          </cell>
          <cell r="CB192" t="str">
            <v>0</v>
          </cell>
          <cell r="CC192" t="str">
            <v>0</v>
          </cell>
          <cell r="CD192" t="str">
            <v>0</v>
          </cell>
          <cell r="CE192" t="str">
            <v>0</v>
          </cell>
          <cell r="CF192" t="str">
            <v>0</v>
          </cell>
          <cell r="CG192" t="str">
            <v>0</v>
          </cell>
          <cell r="CH192" t="str">
            <v>0</v>
          </cell>
          <cell r="CI192" t="str">
            <v>0</v>
          </cell>
          <cell r="CJ192" t="str">
            <v>0</v>
          </cell>
          <cell r="CK192" t="str">
            <v>0</v>
          </cell>
          <cell r="CL192" t="str">
            <v>0</v>
          </cell>
          <cell r="CM192" t="str">
            <v>0</v>
          </cell>
          <cell r="CN192" t="str">
            <v>0</v>
          </cell>
          <cell r="CO192" t="str">
            <v>0</v>
          </cell>
          <cell r="CP192" t="str">
            <v>0</v>
          </cell>
          <cell r="CQ192" t="str">
            <v>0</v>
          </cell>
          <cell r="CR192" t="str">
            <v>0</v>
          </cell>
          <cell r="CS192" t="str">
            <v>0</v>
          </cell>
          <cell r="CT192" t="str">
            <v>0</v>
          </cell>
          <cell r="CU192" t="str">
            <v>0</v>
          </cell>
          <cell r="CV192" t="str">
            <v>0</v>
          </cell>
          <cell r="CW192" t="str">
            <v>0</v>
          </cell>
          <cell r="CX192" t="str">
            <v>0</v>
          </cell>
          <cell r="CY192" t="str">
            <v>0</v>
          </cell>
          <cell r="CZ192" t="str">
            <v>0</v>
          </cell>
          <cell r="DA192" t="str">
            <v>0</v>
          </cell>
          <cell r="DB192" t="str">
            <v>0</v>
          </cell>
          <cell r="DC192" t="str">
            <v>0</v>
          </cell>
          <cell r="DD192" t="str">
            <v>0</v>
          </cell>
          <cell r="DE192" t="str">
            <v>0</v>
          </cell>
          <cell r="DF192" t="str">
            <v>0</v>
          </cell>
          <cell r="DG192" t="str">
            <v>0</v>
          </cell>
          <cell r="DH192" t="str">
            <v>0</v>
          </cell>
          <cell r="DI192" t="str">
            <v>0</v>
          </cell>
          <cell r="DJ192" t="str">
            <v>0</v>
          </cell>
          <cell r="DK192" t="str">
            <v>0</v>
          </cell>
          <cell r="DL192" t="str">
            <v>0</v>
          </cell>
          <cell r="DM192" t="str">
            <v>0</v>
          </cell>
          <cell r="DN192" t="str">
            <v>0</v>
          </cell>
          <cell r="DO192" t="str">
            <v>0</v>
          </cell>
          <cell r="DP192" t="str">
            <v>0</v>
          </cell>
        </row>
        <row r="193">
          <cell r="C193"/>
          <cell r="D193" t="str">
            <v>0</v>
          </cell>
          <cell r="E193" t="str">
            <v>0</v>
          </cell>
          <cell r="F193" t="str">
            <v>0</v>
          </cell>
          <cell r="G193" t="str">
            <v>0</v>
          </cell>
          <cell r="H193" t="str">
            <v>0</v>
          </cell>
          <cell r="I193" t="str">
            <v>0</v>
          </cell>
          <cell r="J193" t="str">
            <v>0</v>
          </cell>
          <cell r="K193" t="str">
            <v>0</v>
          </cell>
          <cell r="L193" t="str">
            <v>0</v>
          </cell>
          <cell r="M193" t="str">
            <v>0</v>
          </cell>
          <cell r="N193" t="str">
            <v>0</v>
          </cell>
          <cell r="O193" t="str">
            <v>0</v>
          </cell>
          <cell r="P193" t="str">
            <v>0</v>
          </cell>
          <cell r="Q193" t="str">
            <v>0</v>
          </cell>
          <cell r="R193" t="str">
            <v>0</v>
          </cell>
          <cell r="S193" t="str">
            <v>0</v>
          </cell>
          <cell r="T193" t="str">
            <v>0</v>
          </cell>
          <cell r="U193" t="str">
            <v>0</v>
          </cell>
          <cell r="V193" t="str">
            <v>0</v>
          </cell>
          <cell r="W193" t="str">
            <v>0</v>
          </cell>
          <cell r="X193" t="str">
            <v>0</v>
          </cell>
          <cell r="Y193" t="str">
            <v>0</v>
          </cell>
          <cell r="Z193" t="str">
            <v>0</v>
          </cell>
          <cell r="AA193" t="str">
            <v>0</v>
          </cell>
          <cell r="AB193" t="str">
            <v>0</v>
          </cell>
          <cell r="AC193" t="str">
            <v>0</v>
          </cell>
          <cell r="AD193" t="str">
            <v>0</v>
          </cell>
          <cell r="AE193" t="str">
            <v>0</v>
          </cell>
          <cell r="AF193" t="str">
            <v>0</v>
          </cell>
          <cell r="AG193" t="str">
            <v>0</v>
          </cell>
          <cell r="AH193" t="str">
            <v>0</v>
          </cell>
          <cell r="AI193" t="str">
            <v>0</v>
          </cell>
          <cell r="AJ193" t="str">
            <v>0</v>
          </cell>
          <cell r="AK193" t="str">
            <v>0</v>
          </cell>
          <cell r="AL193" t="str">
            <v>0</v>
          </cell>
          <cell r="AM193" t="str">
            <v>0</v>
          </cell>
          <cell r="AN193" t="str">
            <v>0</v>
          </cell>
          <cell r="AO193" t="str">
            <v>0</v>
          </cell>
          <cell r="AP193" t="str">
            <v>0</v>
          </cell>
          <cell r="AQ193" t="str">
            <v>0</v>
          </cell>
          <cell r="AR193" t="str">
            <v>0</v>
          </cell>
          <cell r="AS193" t="str">
            <v>0</v>
          </cell>
          <cell r="AT193" t="str">
            <v>0</v>
          </cell>
          <cell r="AU193" t="str">
            <v>0</v>
          </cell>
          <cell r="AV193" t="str">
            <v>0</v>
          </cell>
          <cell r="AW193" t="str">
            <v>0</v>
          </cell>
          <cell r="AX193" t="str">
            <v>0</v>
          </cell>
          <cell r="AY193" t="str">
            <v>0</v>
          </cell>
          <cell r="AZ193" t="str">
            <v>0</v>
          </cell>
          <cell r="BA193" t="str">
            <v>0</v>
          </cell>
          <cell r="BB193" t="str">
            <v>0</v>
          </cell>
          <cell r="BC193" t="str">
            <v>0</v>
          </cell>
          <cell r="BD193" t="str">
            <v>0</v>
          </cell>
          <cell r="BE193" t="str">
            <v>0</v>
          </cell>
          <cell r="BF193" t="str">
            <v>0</v>
          </cell>
          <cell r="BG193" t="str">
            <v>0</v>
          </cell>
          <cell r="BH193" t="str">
            <v>0</v>
          </cell>
          <cell r="BI193" t="str">
            <v>0</v>
          </cell>
          <cell r="BJ193" t="str">
            <v>0</v>
          </cell>
          <cell r="BK193" t="str">
            <v>0</v>
          </cell>
          <cell r="BL193" t="str">
            <v>0</v>
          </cell>
          <cell r="BM193" t="str">
            <v>0</v>
          </cell>
          <cell r="BN193" t="str">
            <v>0</v>
          </cell>
          <cell r="BO193" t="str">
            <v>0</v>
          </cell>
          <cell r="BP193" t="str">
            <v>0</v>
          </cell>
          <cell r="BQ193" t="str">
            <v>0</v>
          </cell>
          <cell r="BR193" t="str">
            <v>0</v>
          </cell>
          <cell r="BS193" t="str">
            <v>0</v>
          </cell>
          <cell r="BT193" t="str">
            <v>0</v>
          </cell>
          <cell r="BU193" t="str">
            <v>0</v>
          </cell>
          <cell r="BV193" t="str">
            <v>0</v>
          </cell>
          <cell r="BW193" t="str">
            <v>0</v>
          </cell>
          <cell r="BX193" t="str">
            <v>0</v>
          </cell>
          <cell r="BY193" t="str">
            <v>0</v>
          </cell>
          <cell r="BZ193" t="str">
            <v>0</v>
          </cell>
          <cell r="CA193" t="str">
            <v>0</v>
          </cell>
          <cell r="CB193" t="str">
            <v>0</v>
          </cell>
          <cell r="CC193" t="str">
            <v>0</v>
          </cell>
          <cell r="CD193" t="str">
            <v>0</v>
          </cell>
          <cell r="CE193" t="str">
            <v>0</v>
          </cell>
          <cell r="CF193" t="str">
            <v>0</v>
          </cell>
          <cell r="CG193" t="str">
            <v>0</v>
          </cell>
          <cell r="CH193" t="str">
            <v>0</v>
          </cell>
          <cell r="CI193" t="str">
            <v>0</v>
          </cell>
          <cell r="CJ193" t="str">
            <v>0</v>
          </cell>
          <cell r="CK193" t="str">
            <v>0</v>
          </cell>
          <cell r="CL193" t="str">
            <v>0</v>
          </cell>
          <cell r="CM193" t="str">
            <v>0</v>
          </cell>
          <cell r="CN193" t="str">
            <v>0</v>
          </cell>
          <cell r="CO193" t="str">
            <v>0</v>
          </cell>
          <cell r="CP193" t="str">
            <v>0</v>
          </cell>
          <cell r="CQ193" t="str">
            <v>0</v>
          </cell>
          <cell r="CR193" t="str">
            <v>0</v>
          </cell>
          <cell r="CS193" t="str">
            <v>0</v>
          </cell>
          <cell r="CT193" t="str">
            <v>0</v>
          </cell>
          <cell r="CU193" t="str">
            <v>0</v>
          </cell>
          <cell r="CV193" t="str">
            <v>0</v>
          </cell>
          <cell r="CW193" t="str">
            <v>0</v>
          </cell>
          <cell r="CX193" t="str">
            <v>0</v>
          </cell>
          <cell r="CY193" t="str">
            <v>0</v>
          </cell>
          <cell r="CZ193" t="str">
            <v>0</v>
          </cell>
          <cell r="DA193" t="str">
            <v>0</v>
          </cell>
          <cell r="DB193" t="str">
            <v>0</v>
          </cell>
          <cell r="DC193" t="str">
            <v>0</v>
          </cell>
          <cell r="DD193" t="str">
            <v>0</v>
          </cell>
          <cell r="DE193" t="str">
            <v>0</v>
          </cell>
          <cell r="DF193" t="str">
            <v>0</v>
          </cell>
          <cell r="DG193" t="str">
            <v>0</v>
          </cell>
          <cell r="DH193" t="str">
            <v>0</v>
          </cell>
          <cell r="DI193" t="str">
            <v>0</v>
          </cell>
          <cell r="DJ193" t="str">
            <v>0</v>
          </cell>
          <cell r="DK193" t="str">
            <v>0</v>
          </cell>
          <cell r="DL193" t="str">
            <v>0</v>
          </cell>
          <cell r="DM193" t="str">
            <v>0</v>
          </cell>
          <cell r="DN193" t="str">
            <v>0</v>
          </cell>
          <cell r="DO193" t="str">
            <v>0</v>
          </cell>
          <cell r="DP193" t="str">
            <v>0</v>
          </cell>
        </row>
        <row r="194">
          <cell r="C194"/>
          <cell r="D194" t="str">
            <v>0</v>
          </cell>
          <cell r="E194" t="str">
            <v>0</v>
          </cell>
          <cell r="F194" t="str">
            <v>0</v>
          </cell>
          <cell r="G194" t="str">
            <v>0</v>
          </cell>
          <cell r="H194" t="str">
            <v>0</v>
          </cell>
          <cell r="I194" t="str">
            <v>0</v>
          </cell>
          <cell r="J194" t="str">
            <v>0</v>
          </cell>
          <cell r="K194" t="str">
            <v>0</v>
          </cell>
          <cell r="L194" t="str">
            <v>0</v>
          </cell>
          <cell r="M194" t="str">
            <v>0</v>
          </cell>
          <cell r="N194" t="str">
            <v>0</v>
          </cell>
          <cell r="O194" t="str">
            <v>0</v>
          </cell>
          <cell r="P194" t="str">
            <v>0</v>
          </cell>
          <cell r="Q194" t="str">
            <v>0</v>
          </cell>
          <cell r="R194" t="str">
            <v>0</v>
          </cell>
          <cell r="S194" t="str">
            <v>0</v>
          </cell>
          <cell r="T194" t="str">
            <v>0</v>
          </cell>
          <cell r="U194" t="str">
            <v>0</v>
          </cell>
          <cell r="V194" t="str">
            <v>0</v>
          </cell>
          <cell r="W194" t="str">
            <v>0</v>
          </cell>
          <cell r="X194" t="str">
            <v>0</v>
          </cell>
          <cell r="Y194" t="str">
            <v>0</v>
          </cell>
          <cell r="Z194" t="str">
            <v>0</v>
          </cell>
          <cell r="AA194" t="str">
            <v>0</v>
          </cell>
          <cell r="AB194" t="str">
            <v>0</v>
          </cell>
          <cell r="AC194" t="str">
            <v>0</v>
          </cell>
          <cell r="AD194" t="str">
            <v>0</v>
          </cell>
          <cell r="AE194" t="str">
            <v>0</v>
          </cell>
          <cell r="AF194" t="str">
            <v>0</v>
          </cell>
          <cell r="AG194" t="str">
            <v>0</v>
          </cell>
          <cell r="AH194" t="str">
            <v>0</v>
          </cell>
          <cell r="AI194" t="str">
            <v>0</v>
          </cell>
          <cell r="AJ194" t="str">
            <v>0</v>
          </cell>
          <cell r="AK194" t="str">
            <v>0</v>
          </cell>
          <cell r="AL194" t="str">
            <v>0</v>
          </cell>
          <cell r="AM194" t="str">
            <v>0</v>
          </cell>
          <cell r="AN194" t="str">
            <v>0</v>
          </cell>
          <cell r="AO194" t="str">
            <v>0</v>
          </cell>
          <cell r="AP194" t="str">
            <v>0</v>
          </cell>
          <cell r="AQ194" t="str">
            <v>0</v>
          </cell>
          <cell r="AR194" t="str">
            <v>0</v>
          </cell>
          <cell r="AS194" t="str">
            <v>0</v>
          </cell>
          <cell r="AT194" t="str">
            <v>0</v>
          </cell>
          <cell r="AU194" t="str">
            <v>0</v>
          </cell>
          <cell r="AV194" t="str">
            <v>0</v>
          </cell>
          <cell r="AW194" t="str">
            <v>0</v>
          </cell>
          <cell r="AX194" t="str">
            <v>0</v>
          </cell>
          <cell r="AY194" t="str">
            <v>0</v>
          </cell>
          <cell r="AZ194" t="str">
            <v>0</v>
          </cell>
          <cell r="BA194" t="str">
            <v>0</v>
          </cell>
          <cell r="BB194" t="str">
            <v>0</v>
          </cell>
          <cell r="BC194" t="str">
            <v>0</v>
          </cell>
          <cell r="BD194" t="str">
            <v>0</v>
          </cell>
          <cell r="BE194" t="str">
            <v>0</v>
          </cell>
          <cell r="BF194" t="str">
            <v>0</v>
          </cell>
          <cell r="BG194" t="str">
            <v>0</v>
          </cell>
          <cell r="BH194" t="str">
            <v>0</v>
          </cell>
          <cell r="BI194" t="str">
            <v>0</v>
          </cell>
          <cell r="BJ194" t="str">
            <v>0</v>
          </cell>
          <cell r="BK194" t="str">
            <v>0</v>
          </cell>
          <cell r="BL194" t="str">
            <v>0</v>
          </cell>
          <cell r="BM194" t="str">
            <v>0</v>
          </cell>
          <cell r="BN194" t="str">
            <v>0</v>
          </cell>
          <cell r="BO194" t="str">
            <v>0</v>
          </cell>
          <cell r="BP194" t="str">
            <v>0</v>
          </cell>
          <cell r="BQ194" t="str">
            <v>0</v>
          </cell>
          <cell r="BR194" t="str">
            <v>0</v>
          </cell>
          <cell r="BS194" t="str">
            <v>0</v>
          </cell>
          <cell r="BT194" t="str">
            <v>0</v>
          </cell>
          <cell r="BU194" t="str">
            <v>0</v>
          </cell>
          <cell r="BV194" t="str">
            <v>0</v>
          </cell>
          <cell r="BW194" t="str">
            <v>0</v>
          </cell>
          <cell r="BX194" t="str">
            <v>0</v>
          </cell>
          <cell r="BY194" t="str">
            <v>0</v>
          </cell>
          <cell r="BZ194" t="str">
            <v>0</v>
          </cell>
          <cell r="CA194" t="str">
            <v>0</v>
          </cell>
          <cell r="CB194" t="str">
            <v>0</v>
          </cell>
          <cell r="CC194" t="str">
            <v>0</v>
          </cell>
          <cell r="CD194" t="str">
            <v>0</v>
          </cell>
          <cell r="CE194" t="str">
            <v>0</v>
          </cell>
          <cell r="CF194" t="str">
            <v>0</v>
          </cell>
          <cell r="CG194" t="str">
            <v>0</v>
          </cell>
          <cell r="CH194" t="str">
            <v>0</v>
          </cell>
          <cell r="CI194" t="str">
            <v>0</v>
          </cell>
          <cell r="CJ194" t="str">
            <v>0</v>
          </cell>
          <cell r="CK194" t="str">
            <v>0</v>
          </cell>
          <cell r="CL194" t="str">
            <v>0</v>
          </cell>
          <cell r="CM194" t="str">
            <v>0</v>
          </cell>
          <cell r="CN194" t="str">
            <v>0</v>
          </cell>
          <cell r="CO194" t="str">
            <v>0</v>
          </cell>
          <cell r="CP194" t="str">
            <v>0</v>
          </cell>
          <cell r="CQ194" t="str">
            <v>0</v>
          </cell>
          <cell r="CR194" t="str">
            <v>0</v>
          </cell>
          <cell r="CS194" t="str">
            <v>0</v>
          </cell>
          <cell r="CT194" t="str">
            <v>0</v>
          </cell>
          <cell r="CU194" t="str">
            <v>0</v>
          </cell>
          <cell r="CV194" t="str">
            <v>0</v>
          </cell>
          <cell r="CW194" t="str">
            <v>0</v>
          </cell>
          <cell r="CX194" t="str">
            <v>0</v>
          </cell>
          <cell r="CY194" t="str">
            <v>0</v>
          </cell>
          <cell r="CZ194" t="str">
            <v>0</v>
          </cell>
          <cell r="DA194" t="str">
            <v>0</v>
          </cell>
          <cell r="DB194" t="str">
            <v>0</v>
          </cell>
          <cell r="DC194" t="str">
            <v>0</v>
          </cell>
          <cell r="DD194" t="str">
            <v>0</v>
          </cell>
          <cell r="DE194" t="str">
            <v>0</v>
          </cell>
          <cell r="DF194" t="str">
            <v>0</v>
          </cell>
          <cell r="DG194" t="str">
            <v>0</v>
          </cell>
          <cell r="DH194" t="str">
            <v>0</v>
          </cell>
          <cell r="DI194" t="str">
            <v>0</v>
          </cell>
          <cell r="DJ194" t="str">
            <v>0</v>
          </cell>
          <cell r="DK194" t="str">
            <v>0</v>
          </cell>
          <cell r="DL194" t="str">
            <v>0</v>
          </cell>
          <cell r="DM194" t="str">
            <v>0</v>
          </cell>
          <cell r="DN194" t="str">
            <v>0</v>
          </cell>
          <cell r="DO194" t="str">
            <v>0</v>
          </cell>
          <cell r="DP194" t="str">
            <v>0</v>
          </cell>
        </row>
        <row r="195">
          <cell r="C195"/>
          <cell r="D195" t="str">
            <v>0</v>
          </cell>
          <cell r="E195" t="str">
            <v>0</v>
          </cell>
          <cell r="F195" t="str">
            <v>0</v>
          </cell>
          <cell r="G195" t="str">
            <v>0</v>
          </cell>
          <cell r="H195" t="str">
            <v>0</v>
          </cell>
          <cell r="I195" t="str">
            <v>0</v>
          </cell>
          <cell r="J195" t="str">
            <v>0</v>
          </cell>
          <cell r="K195" t="str">
            <v>0</v>
          </cell>
          <cell r="L195" t="str">
            <v>0</v>
          </cell>
          <cell r="M195" t="str">
            <v>0</v>
          </cell>
          <cell r="N195" t="str">
            <v>0</v>
          </cell>
          <cell r="O195" t="str">
            <v>0</v>
          </cell>
          <cell r="P195" t="str">
            <v>0</v>
          </cell>
          <cell r="Q195" t="str">
            <v>0</v>
          </cell>
          <cell r="R195" t="str">
            <v>0</v>
          </cell>
          <cell r="S195" t="str">
            <v>0</v>
          </cell>
          <cell r="T195" t="str">
            <v>0</v>
          </cell>
          <cell r="U195" t="str">
            <v>0</v>
          </cell>
          <cell r="V195" t="str">
            <v>0</v>
          </cell>
          <cell r="W195" t="str">
            <v>0</v>
          </cell>
          <cell r="X195" t="str">
            <v>0</v>
          </cell>
          <cell r="Y195" t="str">
            <v>0</v>
          </cell>
          <cell r="Z195" t="str">
            <v>0</v>
          </cell>
          <cell r="AA195" t="str">
            <v>0</v>
          </cell>
          <cell r="AB195" t="str">
            <v>0</v>
          </cell>
          <cell r="AC195" t="str">
            <v>0</v>
          </cell>
          <cell r="AD195" t="str">
            <v>0</v>
          </cell>
          <cell r="AE195" t="str">
            <v>0</v>
          </cell>
          <cell r="AF195" t="str">
            <v>0</v>
          </cell>
          <cell r="AG195" t="str">
            <v>0</v>
          </cell>
          <cell r="AH195" t="str">
            <v>0</v>
          </cell>
          <cell r="AI195" t="str">
            <v>0</v>
          </cell>
          <cell r="AJ195" t="str">
            <v>0</v>
          </cell>
          <cell r="AK195" t="str">
            <v>0</v>
          </cell>
          <cell r="AL195" t="str">
            <v>0</v>
          </cell>
          <cell r="AM195" t="str">
            <v>0</v>
          </cell>
          <cell r="AN195" t="str">
            <v>0</v>
          </cell>
          <cell r="AO195" t="str">
            <v>0</v>
          </cell>
          <cell r="AP195" t="str">
            <v>0</v>
          </cell>
          <cell r="AQ195" t="str">
            <v>0</v>
          </cell>
          <cell r="AR195" t="str">
            <v>0</v>
          </cell>
          <cell r="AS195" t="str">
            <v>0</v>
          </cell>
          <cell r="AT195" t="str">
            <v>0</v>
          </cell>
          <cell r="AU195" t="str">
            <v>0</v>
          </cell>
          <cell r="AV195" t="str">
            <v>0</v>
          </cell>
          <cell r="AW195" t="str">
            <v>0</v>
          </cell>
          <cell r="AX195" t="str">
            <v>0</v>
          </cell>
          <cell r="AY195" t="str">
            <v>0</v>
          </cell>
          <cell r="AZ195" t="str">
            <v>0</v>
          </cell>
          <cell r="BA195" t="str">
            <v>0</v>
          </cell>
          <cell r="BB195" t="str">
            <v>0</v>
          </cell>
          <cell r="BC195" t="str">
            <v>0</v>
          </cell>
          <cell r="BD195" t="str">
            <v>0</v>
          </cell>
          <cell r="BE195" t="str">
            <v>0</v>
          </cell>
          <cell r="BF195" t="str">
            <v>0</v>
          </cell>
          <cell r="BG195" t="str">
            <v>0</v>
          </cell>
          <cell r="BH195" t="str">
            <v>0</v>
          </cell>
          <cell r="BI195" t="str">
            <v>0</v>
          </cell>
          <cell r="BJ195" t="str">
            <v>0</v>
          </cell>
          <cell r="BK195" t="str">
            <v>0</v>
          </cell>
          <cell r="BL195" t="str">
            <v>0</v>
          </cell>
          <cell r="BM195" t="str">
            <v>0</v>
          </cell>
          <cell r="BN195" t="str">
            <v>0</v>
          </cell>
          <cell r="BO195" t="str">
            <v>0</v>
          </cell>
          <cell r="BP195" t="str">
            <v>0</v>
          </cell>
          <cell r="BQ195" t="str">
            <v>0</v>
          </cell>
          <cell r="BR195" t="str">
            <v>0</v>
          </cell>
          <cell r="BS195" t="str">
            <v>0</v>
          </cell>
          <cell r="BT195" t="str">
            <v>0</v>
          </cell>
          <cell r="BU195" t="str">
            <v>0</v>
          </cell>
          <cell r="BV195" t="str">
            <v>0</v>
          </cell>
          <cell r="BW195" t="str">
            <v>0</v>
          </cell>
          <cell r="BX195" t="str">
            <v>0</v>
          </cell>
          <cell r="BY195" t="str">
            <v>0</v>
          </cell>
          <cell r="BZ195" t="str">
            <v>0</v>
          </cell>
          <cell r="CA195" t="str">
            <v>0</v>
          </cell>
          <cell r="CB195" t="str">
            <v>0</v>
          </cell>
          <cell r="CC195" t="str">
            <v>0</v>
          </cell>
          <cell r="CD195" t="str">
            <v>0</v>
          </cell>
          <cell r="CE195" t="str">
            <v>0</v>
          </cell>
          <cell r="CF195" t="str">
            <v>0</v>
          </cell>
          <cell r="CG195" t="str">
            <v>0</v>
          </cell>
          <cell r="CH195" t="str">
            <v>0</v>
          </cell>
          <cell r="CI195" t="str">
            <v>0</v>
          </cell>
          <cell r="CJ195" t="str">
            <v>0</v>
          </cell>
          <cell r="CK195" t="str">
            <v>0</v>
          </cell>
          <cell r="CL195" t="str">
            <v>0</v>
          </cell>
          <cell r="CM195" t="str">
            <v>0</v>
          </cell>
          <cell r="CN195" t="str">
            <v>0</v>
          </cell>
          <cell r="CO195" t="str">
            <v>0</v>
          </cell>
          <cell r="CP195" t="str">
            <v>0</v>
          </cell>
          <cell r="CQ195" t="str">
            <v>0</v>
          </cell>
          <cell r="CR195" t="str">
            <v>0</v>
          </cell>
          <cell r="CS195" t="str">
            <v>0</v>
          </cell>
          <cell r="CT195" t="str">
            <v>0</v>
          </cell>
          <cell r="CU195" t="str">
            <v>0</v>
          </cell>
          <cell r="CV195" t="str">
            <v>0</v>
          </cell>
          <cell r="CW195" t="str">
            <v>0</v>
          </cell>
          <cell r="CX195" t="str">
            <v>0</v>
          </cell>
          <cell r="CY195" t="str">
            <v>0</v>
          </cell>
          <cell r="CZ195" t="str">
            <v>0</v>
          </cell>
          <cell r="DA195" t="str">
            <v>0</v>
          </cell>
          <cell r="DB195" t="str">
            <v>0</v>
          </cell>
          <cell r="DC195" t="str">
            <v>0</v>
          </cell>
          <cell r="DD195" t="str">
            <v>0</v>
          </cell>
          <cell r="DE195" t="str">
            <v>0</v>
          </cell>
          <cell r="DF195" t="str">
            <v>0</v>
          </cell>
          <cell r="DG195" t="str">
            <v>0</v>
          </cell>
          <cell r="DH195" t="str">
            <v>0</v>
          </cell>
          <cell r="DI195" t="str">
            <v>0</v>
          </cell>
          <cell r="DJ195" t="str">
            <v>0</v>
          </cell>
          <cell r="DK195" t="str">
            <v>0</v>
          </cell>
          <cell r="DL195" t="str">
            <v>0</v>
          </cell>
          <cell r="DM195" t="str">
            <v>0</v>
          </cell>
          <cell r="DN195" t="str">
            <v>0</v>
          </cell>
          <cell r="DO195" t="str">
            <v>0</v>
          </cell>
          <cell r="DP195" t="str">
            <v>0</v>
          </cell>
        </row>
        <row r="196">
          <cell r="C196"/>
          <cell r="D196" t="str">
            <v>0</v>
          </cell>
          <cell r="E196" t="str">
            <v>0</v>
          </cell>
          <cell r="F196" t="str">
            <v>0</v>
          </cell>
          <cell r="G196" t="str">
            <v>0</v>
          </cell>
          <cell r="H196" t="str">
            <v>0</v>
          </cell>
          <cell r="I196" t="str">
            <v>0</v>
          </cell>
          <cell r="J196" t="str">
            <v>0</v>
          </cell>
          <cell r="K196" t="str">
            <v>0</v>
          </cell>
          <cell r="L196" t="str">
            <v>0</v>
          </cell>
          <cell r="M196" t="str">
            <v>0</v>
          </cell>
          <cell r="N196" t="str">
            <v>0</v>
          </cell>
          <cell r="O196" t="str">
            <v>0</v>
          </cell>
          <cell r="P196" t="str">
            <v>0</v>
          </cell>
          <cell r="Q196" t="str">
            <v>0</v>
          </cell>
          <cell r="R196" t="str">
            <v>0</v>
          </cell>
          <cell r="S196" t="str">
            <v>0</v>
          </cell>
          <cell r="T196" t="str">
            <v>0</v>
          </cell>
          <cell r="U196" t="str">
            <v>0</v>
          </cell>
          <cell r="V196" t="str">
            <v>0</v>
          </cell>
          <cell r="W196" t="str">
            <v>0</v>
          </cell>
          <cell r="X196" t="str">
            <v>0</v>
          </cell>
          <cell r="Y196" t="str">
            <v>0</v>
          </cell>
          <cell r="Z196" t="str">
            <v>0</v>
          </cell>
          <cell r="AA196" t="str">
            <v>0</v>
          </cell>
          <cell r="AB196" t="str">
            <v>0</v>
          </cell>
          <cell r="AC196" t="str">
            <v>0</v>
          </cell>
          <cell r="AD196" t="str">
            <v>0</v>
          </cell>
          <cell r="AE196" t="str">
            <v>0</v>
          </cell>
          <cell r="AF196" t="str">
            <v>0</v>
          </cell>
          <cell r="AG196" t="str">
            <v>0</v>
          </cell>
          <cell r="AH196" t="str">
            <v>0</v>
          </cell>
          <cell r="AI196" t="str">
            <v>0</v>
          </cell>
          <cell r="AJ196" t="str">
            <v>0</v>
          </cell>
          <cell r="AK196" t="str">
            <v>0</v>
          </cell>
          <cell r="AL196" t="str">
            <v>0</v>
          </cell>
          <cell r="AM196" t="str">
            <v>0</v>
          </cell>
          <cell r="AN196" t="str">
            <v>0</v>
          </cell>
          <cell r="AO196" t="str">
            <v>0</v>
          </cell>
          <cell r="AP196" t="str">
            <v>0</v>
          </cell>
          <cell r="AQ196" t="str">
            <v>0</v>
          </cell>
          <cell r="AR196" t="str">
            <v>0</v>
          </cell>
          <cell r="AS196" t="str">
            <v>0</v>
          </cell>
          <cell r="AT196" t="str">
            <v>0</v>
          </cell>
          <cell r="AU196" t="str">
            <v>0</v>
          </cell>
          <cell r="AV196" t="str">
            <v>0</v>
          </cell>
          <cell r="AW196" t="str">
            <v>0</v>
          </cell>
          <cell r="AX196" t="str">
            <v>0</v>
          </cell>
          <cell r="AY196" t="str">
            <v>0</v>
          </cell>
          <cell r="AZ196" t="str">
            <v>0</v>
          </cell>
          <cell r="BA196" t="str">
            <v>0</v>
          </cell>
          <cell r="BB196" t="str">
            <v>0</v>
          </cell>
          <cell r="BC196" t="str">
            <v>0</v>
          </cell>
          <cell r="BD196" t="str">
            <v>0</v>
          </cell>
          <cell r="BE196" t="str">
            <v>0</v>
          </cell>
          <cell r="BF196" t="str">
            <v>0</v>
          </cell>
          <cell r="BG196" t="str">
            <v>0</v>
          </cell>
          <cell r="BH196" t="str">
            <v>0</v>
          </cell>
          <cell r="BI196" t="str">
            <v>0</v>
          </cell>
          <cell r="BJ196" t="str">
            <v>0</v>
          </cell>
          <cell r="BK196" t="str">
            <v>0</v>
          </cell>
          <cell r="BL196" t="str">
            <v>0</v>
          </cell>
          <cell r="BM196" t="str">
            <v>0</v>
          </cell>
          <cell r="BN196" t="str">
            <v>0</v>
          </cell>
          <cell r="BO196" t="str">
            <v>0</v>
          </cell>
          <cell r="BP196" t="str">
            <v>0</v>
          </cell>
          <cell r="BQ196" t="str">
            <v>0</v>
          </cell>
          <cell r="BR196" t="str">
            <v>0</v>
          </cell>
          <cell r="BS196" t="str">
            <v>0</v>
          </cell>
          <cell r="BT196" t="str">
            <v>0</v>
          </cell>
          <cell r="BU196" t="str">
            <v>0</v>
          </cell>
          <cell r="BV196" t="str">
            <v>0</v>
          </cell>
          <cell r="BW196" t="str">
            <v>0</v>
          </cell>
          <cell r="BX196" t="str">
            <v>0</v>
          </cell>
          <cell r="BY196" t="str">
            <v>0</v>
          </cell>
          <cell r="BZ196" t="str">
            <v>0</v>
          </cell>
          <cell r="CA196" t="str">
            <v>0</v>
          </cell>
          <cell r="CB196" t="str">
            <v>0</v>
          </cell>
          <cell r="CC196" t="str">
            <v>0</v>
          </cell>
          <cell r="CD196" t="str">
            <v>0</v>
          </cell>
          <cell r="CE196" t="str">
            <v>0</v>
          </cell>
          <cell r="CF196" t="str">
            <v>0</v>
          </cell>
          <cell r="CG196" t="str">
            <v>0</v>
          </cell>
          <cell r="CH196" t="str">
            <v>0</v>
          </cell>
          <cell r="CI196" t="str">
            <v>0</v>
          </cell>
          <cell r="CJ196" t="str">
            <v>0</v>
          </cell>
          <cell r="CK196" t="str">
            <v>0</v>
          </cell>
          <cell r="CL196" t="str">
            <v>0</v>
          </cell>
          <cell r="CM196" t="str">
            <v>0</v>
          </cell>
          <cell r="CN196" t="str">
            <v>0</v>
          </cell>
          <cell r="CO196" t="str">
            <v>0</v>
          </cell>
          <cell r="CP196" t="str">
            <v>0</v>
          </cell>
          <cell r="CQ196" t="str">
            <v>0</v>
          </cell>
          <cell r="CR196" t="str">
            <v>0</v>
          </cell>
          <cell r="CS196" t="str">
            <v>0</v>
          </cell>
          <cell r="CT196" t="str">
            <v>0</v>
          </cell>
          <cell r="CU196" t="str">
            <v>0</v>
          </cell>
          <cell r="CV196" t="str">
            <v>0</v>
          </cell>
          <cell r="CW196" t="str">
            <v>0</v>
          </cell>
          <cell r="CX196" t="str">
            <v>0</v>
          </cell>
          <cell r="CY196" t="str">
            <v>0</v>
          </cell>
          <cell r="CZ196" t="str">
            <v>0</v>
          </cell>
          <cell r="DA196" t="str">
            <v>0</v>
          </cell>
          <cell r="DB196" t="str">
            <v>0</v>
          </cell>
          <cell r="DC196" t="str">
            <v>0</v>
          </cell>
          <cell r="DD196" t="str">
            <v>0</v>
          </cell>
          <cell r="DE196" t="str">
            <v>0</v>
          </cell>
          <cell r="DF196" t="str">
            <v>0</v>
          </cell>
          <cell r="DG196" t="str">
            <v>0</v>
          </cell>
          <cell r="DH196" t="str">
            <v>0</v>
          </cell>
          <cell r="DI196" t="str">
            <v>0</v>
          </cell>
          <cell r="DJ196" t="str">
            <v>0</v>
          </cell>
          <cell r="DK196" t="str">
            <v>0</v>
          </cell>
          <cell r="DL196" t="str">
            <v>0</v>
          </cell>
          <cell r="DM196" t="str">
            <v>0</v>
          </cell>
          <cell r="DN196" t="str">
            <v>0</v>
          </cell>
          <cell r="DO196" t="str">
            <v>0</v>
          </cell>
          <cell r="DP196" t="str">
            <v>0</v>
          </cell>
        </row>
        <row r="197">
          <cell r="C197"/>
          <cell r="D197" t="str">
            <v>0</v>
          </cell>
          <cell r="E197" t="str">
            <v>0</v>
          </cell>
          <cell r="F197" t="str">
            <v>0</v>
          </cell>
          <cell r="G197" t="str">
            <v>0</v>
          </cell>
          <cell r="H197" t="str">
            <v>0</v>
          </cell>
          <cell r="I197" t="str">
            <v>0</v>
          </cell>
          <cell r="J197" t="str">
            <v>0</v>
          </cell>
          <cell r="K197" t="str">
            <v>0</v>
          </cell>
          <cell r="L197" t="str">
            <v>0</v>
          </cell>
          <cell r="M197" t="str">
            <v>0</v>
          </cell>
          <cell r="N197" t="str">
            <v>0</v>
          </cell>
          <cell r="O197" t="str">
            <v>0</v>
          </cell>
          <cell r="P197" t="str">
            <v>0</v>
          </cell>
          <cell r="Q197" t="str">
            <v>0</v>
          </cell>
          <cell r="R197" t="str">
            <v>0</v>
          </cell>
          <cell r="S197" t="str">
            <v>0</v>
          </cell>
          <cell r="T197" t="str">
            <v>0</v>
          </cell>
          <cell r="U197" t="str">
            <v>0</v>
          </cell>
          <cell r="V197" t="str">
            <v>0</v>
          </cell>
          <cell r="W197" t="str">
            <v>0</v>
          </cell>
          <cell r="X197" t="str">
            <v>0</v>
          </cell>
          <cell r="Y197" t="str">
            <v>0</v>
          </cell>
          <cell r="Z197" t="str">
            <v>0</v>
          </cell>
          <cell r="AA197" t="str">
            <v>0</v>
          </cell>
          <cell r="AB197" t="str">
            <v>0</v>
          </cell>
          <cell r="AC197" t="str">
            <v>0</v>
          </cell>
          <cell r="AD197" t="str">
            <v>0</v>
          </cell>
          <cell r="AE197" t="str">
            <v>0</v>
          </cell>
          <cell r="AF197" t="str">
            <v>0</v>
          </cell>
          <cell r="AG197" t="str">
            <v>0</v>
          </cell>
          <cell r="AH197" t="str">
            <v>0</v>
          </cell>
          <cell r="AI197" t="str">
            <v>0</v>
          </cell>
          <cell r="AJ197" t="str">
            <v>0</v>
          </cell>
          <cell r="AK197" t="str">
            <v>0</v>
          </cell>
          <cell r="AL197" t="str">
            <v>0</v>
          </cell>
          <cell r="AM197" t="str">
            <v>0</v>
          </cell>
          <cell r="AN197" t="str">
            <v>0</v>
          </cell>
          <cell r="AO197" t="str">
            <v>0</v>
          </cell>
          <cell r="AP197" t="str">
            <v>0</v>
          </cell>
          <cell r="AQ197" t="str">
            <v>0</v>
          </cell>
          <cell r="AR197" t="str">
            <v>0</v>
          </cell>
          <cell r="AS197" t="str">
            <v>0</v>
          </cell>
          <cell r="AT197" t="str">
            <v>0</v>
          </cell>
          <cell r="AU197" t="str">
            <v>0</v>
          </cell>
          <cell r="AV197" t="str">
            <v>0</v>
          </cell>
          <cell r="AW197" t="str">
            <v>0</v>
          </cell>
          <cell r="AX197" t="str">
            <v>0</v>
          </cell>
          <cell r="AY197" t="str">
            <v>0</v>
          </cell>
          <cell r="AZ197" t="str">
            <v>0</v>
          </cell>
          <cell r="BA197" t="str">
            <v>0</v>
          </cell>
          <cell r="BB197" t="str">
            <v>0</v>
          </cell>
          <cell r="BC197" t="str">
            <v>0</v>
          </cell>
          <cell r="BD197" t="str">
            <v>0</v>
          </cell>
          <cell r="BE197" t="str">
            <v>0</v>
          </cell>
          <cell r="BF197" t="str">
            <v>0</v>
          </cell>
          <cell r="BG197" t="str">
            <v>0</v>
          </cell>
          <cell r="BH197" t="str">
            <v>0</v>
          </cell>
          <cell r="BI197" t="str">
            <v>0</v>
          </cell>
          <cell r="BJ197" t="str">
            <v>0</v>
          </cell>
          <cell r="BK197" t="str">
            <v>0</v>
          </cell>
          <cell r="BL197" t="str">
            <v>0</v>
          </cell>
          <cell r="BM197" t="str">
            <v>0</v>
          </cell>
          <cell r="BN197" t="str">
            <v>0</v>
          </cell>
          <cell r="BO197" t="str">
            <v>0</v>
          </cell>
          <cell r="BP197" t="str">
            <v>0</v>
          </cell>
          <cell r="BQ197" t="str">
            <v>0</v>
          </cell>
          <cell r="BR197" t="str">
            <v>0</v>
          </cell>
          <cell r="BS197" t="str">
            <v>0</v>
          </cell>
          <cell r="BT197" t="str">
            <v>0</v>
          </cell>
          <cell r="BU197" t="str">
            <v>0</v>
          </cell>
          <cell r="BV197" t="str">
            <v>0</v>
          </cell>
          <cell r="BW197" t="str">
            <v>0</v>
          </cell>
          <cell r="BX197" t="str">
            <v>0</v>
          </cell>
          <cell r="BY197" t="str">
            <v>0</v>
          </cell>
          <cell r="BZ197" t="str">
            <v>0</v>
          </cell>
          <cell r="CA197" t="str">
            <v>0</v>
          </cell>
          <cell r="CB197" t="str">
            <v>0</v>
          </cell>
          <cell r="CC197" t="str">
            <v>0</v>
          </cell>
          <cell r="CD197" t="str">
            <v>0</v>
          </cell>
          <cell r="CE197" t="str">
            <v>0</v>
          </cell>
          <cell r="CF197" t="str">
            <v>0</v>
          </cell>
          <cell r="CG197" t="str">
            <v>0</v>
          </cell>
          <cell r="CH197" t="str">
            <v>0</v>
          </cell>
          <cell r="CI197" t="str">
            <v>0</v>
          </cell>
          <cell r="CJ197" t="str">
            <v>0</v>
          </cell>
          <cell r="CK197" t="str">
            <v>0</v>
          </cell>
          <cell r="CL197" t="str">
            <v>0</v>
          </cell>
          <cell r="CM197" t="str">
            <v>0</v>
          </cell>
          <cell r="CN197" t="str">
            <v>0</v>
          </cell>
          <cell r="CO197" t="str">
            <v>0</v>
          </cell>
          <cell r="CP197" t="str">
            <v>0</v>
          </cell>
          <cell r="CQ197" t="str">
            <v>0</v>
          </cell>
          <cell r="CR197" t="str">
            <v>0</v>
          </cell>
          <cell r="CS197" t="str">
            <v>0</v>
          </cell>
          <cell r="CT197" t="str">
            <v>0</v>
          </cell>
          <cell r="CU197" t="str">
            <v>0</v>
          </cell>
          <cell r="CV197" t="str">
            <v>0</v>
          </cell>
          <cell r="CW197" t="str">
            <v>0</v>
          </cell>
          <cell r="CX197" t="str">
            <v>0</v>
          </cell>
          <cell r="CY197" t="str">
            <v>0</v>
          </cell>
          <cell r="CZ197" t="str">
            <v>0</v>
          </cell>
          <cell r="DA197" t="str">
            <v>0</v>
          </cell>
          <cell r="DB197" t="str">
            <v>0</v>
          </cell>
          <cell r="DC197" t="str">
            <v>0</v>
          </cell>
          <cell r="DD197" t="str">
            <v>0</v>
          </cell>
          <cell r="DE197" t="str">
            <v>0</v>
          </cell>
          <cell r="DF197" t="str">
            <v>0</v>
          </cell>
          <cell r="DG197" t="str">
            <v>0</v>
          </cell>
          <cell r="DH197" t="str">
            <v>0</v>
          </cell>
          <cell r="DI197" t="str">
            <v>0</v>
          </cell>
          <cell r="DJ197" t="str">
            <v>0</v>
          </cell>
          <cell r="DK197" t="str">
            <v>0</v>
          </cell>
          <cell r="DL197" t="str">
            <v>0</v>
          </cell>
          <cell r="DM197" t="str">
            <v>0</v>
          </cell>
          <cell r="DN197" t="str">
            <v>0</v>
          </cell>
          <cell r="DO197" t="str">
            <v>0</v>
          </cell>
          <cell r="DP197" t="str">
            <v>0</v>
          </cell>
        </row>
        <row r="198">
          <cell r="C198"/>
          <cell r="D198" t="str">
            <v>0</v>
          </cell>
          <cell r="E198" t="str">
            <v>0</v>
          </cell>
          <cell r="F198" t="str">
            <v>0</v>
          </cell>
          <cell r="G198" t="str">
            <v>0</v>
          </cell>
          <cell r="H198" t="str">
            <v>0</v>
          </cell>
          <cell r="I198" t="str">
            <v>0</v>
          </cell>
          <cell r="J198" t="str">
            <v>0</v>
          </cell>
          <cell r="K198" t="str">
            <v>0</v>
          </cell>
          <cell r="L198" t="str">
            <v>0</v>
          </cell>
          <cell r="M198" t="str">
            <v>0</v>
          </cell>
          <cell r="N198" t="str">
            <v>0</v>
          </cell>
          <cell r="O198" t="str">
            <v>0</v>
          </cell>
          <cell r="P198" t="str">
            <v>0</v>
          </cell>
          <cell r="Q198" t="str">
            <v>0</v>
          </cell>
          <cell r="R198" t="str">
            <v>0</v>
          </cell>
          <cell r="S198" t="str">
            <v>0</v>
          </cell>
          <cell r="T198" t="str">
            <v>0</v>
          </cell>
          <cell r="U198" t="str">
            <v>0</v>
          </cell>
          <cell r="V198" t="str">
            <v>0</v>
          </cell>
          <cell r="W198" t="str">
            <v>0</v>
          </cell>
          <cell r="X198" t="str">
            <v>0</v>
          </cell>
          <cell r="Y198" t="str">
            <v>0</v>
          </cell>
          <cell r="Z198" t="str">
            <v>0</v>
          </cell>
          <cell r="AA198" t="str">
            <v>0</v>
          </cell>
          <cell r="AB198" t="str">
            <v>0</v>
          </cell>
          <cell r="AC198" t="str">
            <v>0</v>
          </cell>
          <cell r="AD198" t="str">
            <v>0</v>
          </cell>
          <cell r="AE198" t="str">
            <v>0</v>
          </cell>
          <cell r="AF198" t="str">
            <v>0</v>
          </cell>
          <cell r="AG198" t="str">
            <v>0</v>
          </cell>
          <cell r="AH198" t="str">
            <v>0</v>
          </cell>
          <cell r="AI198" t="str">
            <v>0</v>
          </cell>
          <cell r="AJ198" t="str">
            <v>0</v>
          </cell>
          <cell r="AK198" t="str">
            <v>0</v>
          </cell>
          <cell r="AL198" t="str">
            <v>0</v>
          </cell>
          <cell r="AM198" t="str">
            <v>0</v>
          </cell>
          <cell r="AN198" t="str">
            <v>0</v>
          </cell>
          <cell r="AO198" t="str">
            <v>0</v>
          </cell>
          <cell r="AP198" t="str">
            <v>0</v>
          </cell>
          <cell r="AQ198" t="str">
            <v>0</v>
          </cell>
          <cell r="AR198" t="str">
            <v>0</v>
          </cell>
          <cell r="AS198" t="str">
            <v>0</v>
          </cell>
          <cell r="AT198" t="str">
            <v>0</v>
          </cell>
          <cell r="AU198" t="str">
            <v>0</v>
          </cell>
          <cell r="AV198" t="str">
            <v>0</v>
          </cell>
          <cell r="AW198" t="str">
            <v>0</v>
          </cell>
          <cell r="AX198" t="str">
            <v>0</v>
          </cell>
          <cell r="AY198" t="str">
            <v>0</v>
          </cell>
          <cell r="AZ198" t="str">
            <v>0</v>
          </cell>
          <cell r="BA198" t="str">
            <v>0</v>
          </cell>
          <cell r="BB198" t="str">
            <v>0</v>
          </cell>
          <cell r="BC198" t="str">
            <v>0</v>
          </cell>
          <cell r="BD198" t="str">
            <v>0</v>
          </cell>
          <cell r="BE198" t="str">
            <v>0</v>
          </cell>
          <cell r="BF198" t="str">
            <v>0</v>
          </cell>
          <cell r="BG198" t="str">
            <v>0</v>
          </cell>
          <cell r="BH198" t="str">
            <v>0</v>
          </cell>
          <cell r="BI198" t="str">
            <v>0</v>
          </cell>
          <cell r="BJ198" t="str">
            <v>0</v>
          </cell>
          <cell r="BK198" t="str">
            <v>0</v>
          </cell>
          <cell r="BL198" t="str">
            <v>0</v>
          </cell>
          <cell r="BM198" t="str">
            <v>0</v>
          </cell>
          <cell r="BN198" t="str">
            <v>0</v>
          </cell>
          <cell r="BO198" t="str">
            <v>0</v>
          </cell>
          <cell r="BP198" t="str">
            <v>0</v>
          </cell>
          <cell r="BQ198" t="str">
            <v>0</v>
          </cell>
          <cell r="BR198" t="str">
            <v>0</v>
          </cell>
          <cell r="BS198" t="str">
            <v>0</v>
          </cell>
          <cell r="BT198" t="str">
            <v>0</v>
          </cell>
          <cell r="BU198" t="str">
            <v>0</v>
          </cell>
          <cell r="BV198" t="str">
            <v>0</v>
          </cell>
          <cell r="BW198" t="str">
            <v>0</v>
          </cell>
          <cell r="BX198" t="str">
            <v>0</v>
          </cell>
          <cell r="BY198" t="str">
            <v>0</v>
          </cell>
          <cell r="BZ198" t="str">
            <v>0</v>
          </cell>
          <cell r="CA198" t="str">
            <v>0</v>
          </cell>
          <cell r="CB198" t="str">
            <v>0</v>
          </cell>
          <cell r="CC198" t="str">
            <v>0</v>
          </cell>
          <cell r="CD198" t="str">
            <v>0</v>
          </cell>
          <cell r="CE198" t="str">
            <v>0</v>
          </cell>
          <cell r="CF198" t="str">
            <v>0</v>
          </cell>
          <cell r="CG198" t="str">
            <v>0</v>
          </cell>
          <cell r="CH198" t="str">
            <v>0</v>
          </cell>
          <cell r="CI198" t="str">
            <v>0</v>
          </cell>
          <cell r="CJ198" t="str">
            <v>0</v>
          </cell>
          <cell r="CK198" t="str">
            <v>0</v>
          </cell>
          <cell r="CL198" t="str">
            <v>0</v>
          </cell>
          <cell r="CM198" t="str">
            <v>0</v>
          </cell>
          <cell r="CN198" t="str">
            <v>0</v>
          </cell>
          <cell r="CO198" t="str">
            <v>0</v>
          </cell>
          <cell r="CP198" t="str">
            <v>0</v>
          </cell>
          <cell r="CQ198" t="str">
            <v>0</v>
          </cell>
          <cell r="CR198" t="str">
            <v>0</v>
          </cell>
          <cell r="CS198" t="str">
            <v>0</v>
          </cell>
          <cell r="CT198" t="str">
            <v>0</v>
          </cell>
          <cell r="CU198" t="str">
            <v>0</v>
          </cell>
          <cell r="CV198" t="str">
            <v>0</v>
          </cell>
          <cell r="CW198" t="str">
            <v>0</v>
          </cell>
          <cell r="CX198" t="str">
            <v>0</v>
          </cell>
          <cell r="CY198" t="str">
            <v>0</v>
          </cell>
          <cell r="CZ198" t="str">
            <v>0</v>
          </cell>
          <cell r="DA198" t="str">
            <v>0</v>
          </cell>
          <cell r="DB198" t="str">
            <v>0</v>
          </cell>
          <cell r="DC198" t="str">
            <v>0</v>
          </cell>
          <cell r="DD198" t="str">
            <v>0</v>
          </cell>
          <cell r="DE198" t="str">
            <v>0</v>
          </cell>
          <cell r="DF198" t="str">
            <v>0</v>
          </cell>
          <cell r="DG198" t="str">
            <v>0</v>
          </cell>
          <cell r="DH198" t="str">
            <v>0</v>
          </cell>
          <cell r="DI198" t="str">
            <v>0</v>
          </cell>
          <cell r="DJ198" t="str">
            <v>0</v>
          </cell>
          <cell r="DK198" t="str">
            <v>0</v>
          </cell>
          <cell r="DL198" t="str">
            <v>0</v>
          </cell>
          <cell r="DM198" t="str">
            <v>0</v>
          </cell>
          <cell r="DN198" t="str">
            <v>0</v>
          </cell>
          <cell r="DO198" t="str">
            <v>0</v>
          </cell>
          <cell r="DP198" t="str">
            <v>0</v>
          </cell>
        </row>
        <row r="199">
          <cell r="C199"/>
          <cell r="D199" t="str">
            <v>0</v>
          </cell>
          <cell r="E199" t="str">
            <v>0</v>
          </cell>
          <cell r="F199" t="str">
            <v>0</v>
          </cell>
          <cell r="G199" t="str">
            <v>0</v>
          </cell>
          <cell r="H199" t="str">
            <v>0</v>
          </cell>
          <cell r="I199" t="str">
            <v>0</v>
          </cell>
          <cell r="J199" t="str">
            <v>0</v>
          </cell>
          <cell r="K199" t="str">
            <v>0</v>
          </cell>
          <cell r="L199" t="str">
            <v>0</v>
          </cell>
          <cell r="M199" t="str">
            <v>0</v>
          </cell>
          <cell r="N199" t="str">
            <v>0</v>
          </cell>
          <cell r="O199" t="str">
            <v>0</v>
          </cell>
          <cell r="P199" t="str">
            <v>0</v>
          </cell>
          <cell r="Q199" t="str">
            <v>0</v>
          </cell>
          <cell r="R199" t="str">
            <v>0</v>
          </cell>
          <cell r="S199" t="str">
            <v>0</v>
          </cell>
          <cell r="T199" t="str">
            <v>0</v>
          </cell>
          <cell r="U199" t="str">
            <v>0</v>
          </cell>
          <cell r="V199" t="str">
            <v>0</v>
          </cell>
          <cell r="W199" t="str">
            <v>0</v>
          </cell>
          <cell r="X199" t="str">
            <v>0</v>
          </cell>
          <cell r="Y199" t="str">
            <v>0</v>
          </cell>
          <cell r="Z199" t="str">
            <v>0</v>
          </cell>
          <cell r="AA199" t="str">
            <v>0</v>
          </cell>
          <cell r="AB199" t="str">
            <v>0</v>
          </cell>
          <cell r="AC199" t="str">
            <v>0</v>
          </cell>
          <cell r="AD199" t="str">
            <v>0</v>
          </cell>
          <cell r="AE199" t="str">
            <v>0</v>
          </cell>
          <cell r="AF199" t="str">
            <v>0</v>
          </cell>
          <cell r="AG199" t="str">
            <v>0</v>
          </cell>
          <cell r="AH199" t="str">
            <v>0</v>
          </cell>
          <cell r="AI199" t="str">
            <v>0</v>
          </cell>
          <cell r="AJ199" t="str">
            <v>0</v>
          </cell>
          <cell r="AK199" t="str">
            <v>0</v>
          </cell>
          <cell r="AL199" t="str">
            <v>0</v>
          </cell>
          <cell r="AM199" t="str">
            <v>0</v>
          </cell>
          <cell r="AN199" t="str">
            <v>0</v>
          </cell>
          <cell r="AO199" t="str">
            <v>0</v>
          </cell>
          <cell r="AP199" t="str">
            <v>0</v>
          </cell>
          <cell r="AQ199" t="str">
            <v>0</v>
          </cell>
          <cell r="AR199" t="str">
            <v>0</v>
          </cell>
          <cell r="AS199" t="str">
            <v>0</v>
          </cell>
          <cell r="AT199" t="str">
            <v>0</v>
          </cell>
          <cell r="AU199" t="str">
            <v>0</v>
          </cell>
          <cell r="AV199" t="str">
            <v>0</v>
          </cell>
          <cell r="AW199" t="str">
            <v>0</v>
          </cell>
          <cell r="AX199" t="str">
            <v>0</v>
          </cell>
          <cell r="AY199" t="str">
            <v>0</v>
          </cell>
          <cell r="AZ199" t="str">
            <v>0</v>
          </cell>
          <cell r="BA199" t="str">
            <v>0</v>
          </cell>
          <cell r="BB199" t="str">
            <v>0</v>
          </cell>
          <cell r="BC199" t="str">
            <v>0</v>
          </cell>
          <cell r="BD199" t="str">
            <v>0</v>
          </cell>
          <cell r="BE199" t="str">
            <v>0</v>
          </cell>
          <cell r="BF199" t="str">
            <v>0</v>
          </cell>
          <cell r="BG199" t="str">
            <v>0</v>
          </cell>
          <cell r="BH199" t="str">
            <v>0</v>
          </cell>
          <cell r="BI199" t="str">
            <v>0</v>
          </cell>
          <cell r="BJ199" t="str">
            <v>0</v>
          </cell>
          <cell r="BK199" t="str">
            <v>0</v>
          </cell>
          <cell r="BL199" t="str">
            <v>0</v>
          </cell>
          <cell r="BM199" t="str">
            <v>0</v>
          </cell>
          <cell r="BN199" t="str">
            <v>0</v>
          </cell>
          <cell r="BO199" t="str">
            <v>0</v>
          </cell>
          <cell r="BP199" t="str">
            <v>0</v>
          </cell>
          <cell r="BQ199" t="str">
            <v>0</v>
          </cell>
          <cell r="BR199" t="str">
            <v>0</v>
          </cell>
          <cell r="BS199" t="str">
            <v>0</v>
          </cell>
          <cell r="BT199" t="str">
            <v>0</v>
          </cell>
          <cell r="BU199" t="str">
            <v>0</v>
          </cell>
          <cell r="BV199" t="str">
            <v>0</v>
          </cell>
          <cell r="BW199" t="str">
            <v>0</v>
          </cell>
          <cell r="BX199" t="str">
            <v>0</v>
          </cell>
          <cell r="BY199" t="str">
            <v>0</v>
          </cell>
          <cell r="BZ199" t="str">
            <v>0</v>
          </cell>
          <cell r="CA199" t="str">
            <v>0</v>
          </cell>
          <cell r="CB199" t="str">
            <v>0</v>
          </cell>
          <cell r="CC199" t="str">
            <v>0</v>
          </cell>
          <cell r="CD199" t="str">
            <v>0</v>
          </cell>
          <cell r="CE199" t="str">
            <v>0</v>
          </cell>
          <cell r="CF199" t="str">
            <v>0</v>
          </cell>
          <cell r="CG199" t="str">
            <v>0</v>
          </cell>
          <cell r="CH199" t="str">
            <v>0</v>
          </cell>
          <cell r="CI199" t="str">
            <v>0</v>
          </cell>
          <cell r="CJ199" t="str">
            <v>0</v>
          </cell>
          <cell r="CK199" t="str">
            <v>0</v>
          </cell>
          <cell r="CL199" t="str">
            <v>0</v>
          </cell>
          <cell r="CM199" t="str">
            <v>0</v>
          </cell>
          <cell r="CN199" t="str">
            <v>0</v>
          </cell>
          <cell r="CO199" t="str">
            <v>0</v>
          </cell>
          <cell r="CP199" t="str">
            <v>0</v>
          </cell>
          <cell r="CQ199" t="str">
            <v>0</v>
          </cell>
          <cell r="CR199" t="str">
            <v>0</v>
          </cell>
          <cell r="CS199" t="str">
            <v>0</v>
          </cell>
          <cell r="CT199" t="str">
            <v>0</v>
          </cell>
          <cell r="CU199" t="str">
            <v>0</v>
          </cell>
          <cell r="CV199" t="str">
            <v>0</v>
          </cell>
          <cell r="CW199" t="str">
            <v>0</v>
          </cell>
          <cell r="CX199" t="str">
            <v>0</v>
          </cell>
          <cell r="CY199" t="str">
            <v>0</v>
          </cell>
          <cell r="CZ199" t="str">
            <v>0</v>
          </cell>
          <cell r="DA199" t="str">
            <v>0</v>
          </cell>
          <cell r="DB199" t="str">
            <v>0</v>
          </cell>
          <cell r="DC199" t="str">
            <v>0</v>
          </cell>
          <cell r="DD199" t="str">
            <v>0</v>
          </cell>
          <cell r="DE199" t="str">
            <v>0</v>
          </cell>
          <cell r="DF199" t="str">
            <v>0</v>
          </cell>
          <cell r="DG199" t="str">
            <v>0</v>
          </cell>
          <cell r="DH199" t="str">
            <v>0</v>
          </cell>
          <cell r="DI199" t="str">
            <v>0</v>
          </cell>
          <cell r="DJ199" t="str">
            <v>0</v>
          </cell>
          <cell r="DK199" t="str">
            <v>0</v>
          </cell>
          <cell r="DL199" t="str">
            <v>0</v>
          </cell>
          <cell r="DM199" t="str">
            <v>0</v>
          </cell>
          <cell r="DN199" t="str">
            <v>0</v>
          </cell>
          <cell r="DO199" t="str">
            <v>0</v>
          </cell>
          <cell r="DP199" t="str">
            <v>0</v>
          </cell>
        </row>
        <row r="200">
          <cell r="C200"/>
          <cell r="D200" t="str">
            <v>0</v>
          </cell>
          <cell r="E200" t="str">
            <v>0</v>
          </cell>
          <cell r="F200" t="str">
            <v>0</v>
          </cell>
          <cell r="G200" t="str">
            <v>0</v>
          </cell>
          <cell r="H200" t="str">
            <v>0</v>
          </cell>
          <cell r="I200" t="str">
            <v>0</v>
          </cell>
          <cell r="J200" t="str">
            <v>0</v>
          </cell>
          <cell r="K200" t="str">
            <v>0</v>
          </cell>
          <cell r="L200" t="str">
            <v>0</v>
          </cell>
          <cell r="M200" t="str">
            <v>0</v>
          </cell>
          <cell r="N200" t="str">
            <v>0</v>
          </cell>
          <cell r="O200" t="str">
            <v>0</v>
          </cell>
          <cell r="P200" t="str">
            <v>0</v>
          </cell>
          <cell r="Q200" t="str">
            <v>0</v>
          </cell>
          <cell r="R200" t="str">
            <v>0</v>
          </cell>
          <cell r="S200" t="str">
            <v>0</v>
          </cell>
          <cell r="T200" t="str">
            <v>0</v>
          </cell>
          <cell r="U200" t="str">
            <v>0</v>
          </cell>
          <cell r="V200" t="str">
            <v>0</v>
          </cell>
          <cell r="W200" t="str">
            <v>0</v>
          </cell>
          <cell r="X200" t="str">
            <v>0</v>
          </cell>
          <cell r="Y200" t="str">
            <v>0</v>
          </cell>
          <cell r="Z200" t="str">
            <v>0</v>
          </cell>
          <cell r="AA200" t="str">
            <v>0</v>
          </cell>
          <cell r="AB200" t="str">
            <v>0</v>
          </cell>
          <cell r="AC200" t="str">
            <v>0</v>
          </cell>
          <cell r="AD200" t="str">
            <v>0</v>
          </cell>
          <cell r="AE200" t="str">
            <v>0</v>
          </cell>
          <cell r="AF200" t="str">
            <v>0</v>
          </cell>
          <cell r="AG200" t="str">
            <v>0</v>
          </cell>
          <cell r="AH200" t="str">
            <v>0</v>
          </cell>
          <cell r="AI200" t="str">
            <v>0</v>
          </cell>
          <cell r="AJ200" t="str">
            <v>0</v>
          </cell>
          <cell r="AK200" t="str">
            <v>0</v>
          </cell>
          <cell r="AL200" t="str">
            <v>0</v>
          </cell>
          <cell r="AM200" t="str">
            <v>0</v>
          </cell>
          <cell r="AN200" t="str">
            <v>0</v>
          </cell>
          <cell r="AO200" t="str">
            <v>0</v>
          </cell>
          <cell r="AP200" t="str">
            <v>0</v>
          </cell>
          <cell r="AQ200" t="str">
            <v>0</v>
          </cell>
          <cell r="AR200" t="str">
            <v>0</v>
          </cell>
          <cell r="AS200" t="str">
            <v>0</v>
          </cell>
          <cell r="AT200" t="str">
            <v>0</v>
          </cell>
          <cell r="AU200" t="str">
            <v>0</v>
          </cell>
          <cell r="AV200" t="str">
            <v>0</v>
          </cell>
          <cell r="AW200" t="str">
            <v>0</v>
          </cell>
          <cell r="AX200" t="str">
            <v>0</v>
          </cell>
          <cell r="AY200" t="str">
            <v>0</v>
          </cell>
          <cell r="AZ200" t="str">
            <v>0</v>
          </cell>
          <cell r="BA200" t="str">
            <v>0</v>
          </cell>
          <cell r="BB200" t="str">
            <v>0</v>
          </cell>
          <cell r="BC200" t="str">
            <v>0</v>
          </cell>
          <cell r="BD200" t="str">
            <v>0</v>
          </cell>
          <cell r="BE200" t="str">
            <v>0</v>
          </cell>
          <cell r="BF200" t="str">
            <v>0</v>
          </cell>
          <cell r="BG200" t="str">
            <v>0</v>
          </cell>
          <cell r="BH200" t="str">
            <v>0</v>
          </cell>
          <cell r="BI200" t="str">
            <v>0</v>
          </cell>
          <cell r="BJ200" t="str">
            <v>0</v>
          </cell>
          <cell r="BK200" t="str">
            <v>0</v>
          </cell>
          <cell r="BL200" t="str">
            <v>0</v>
          </cell>
          <cell r="BM200" t="str">
            <v>0</v>
          </cell>
          <cell r="BN200" t="str">
            <v>0</v>
          </cell>
          <cell r="BO200" t="str">
            <v>0</v>
          </cell>
          <cell r="BP200" t="str">
            <v>0</v>
          </cell>
          <cell r="BQ200" t="str">
            <v>0</v>
          </cell>
          <cell r="BR200" t="str">
            <v>0</v>
          </cell>
          <cell r="BS200" t="str">
            <v>0</v>
          </cell>
          <cell r="BT200" t="str">
            <v>0</v>
          </cell>
          <cell r="BU200" t="str">
            <v>0</v>
          </cell>
          <cell r="BV200" t="str">
            <v>0</v>
          </cell>
          <cell r="BW200" t="str">
            <v>0</v>
          </cell>
          <cell r="BX200" t="str">
            <v>0</v>
          </cell>
          <cell r="BY200" t="str">
            <v>0</v>
          </cell>
          <cell r="BZ200" t="str">
            <v>0</v>
          </cell>
          <cell r="CA200" t="str">
            <v>0</v>
          </cell>
          <cell r="CB200" t="str">
            <v>0</v>
          </cell>
          <cell r="CC200" t="str">
            <v>0</v>
          </cell>
          <cell r="CD200" t="str">
            <v>0</v>
          </cell>
          <cell r="CE200" t="str">
            <v>0</v>
          </cell>
          <cell r="CF200" t="str">
            <v>0</v>
          </cell>
          <cell r="CG200" t="str">
            <v>0</v>
          </cell>
          <cell r="CH200" t="str">
            <v>0</v>
          </cell>
          <cell r="CI200" t="str">
            <v>0</v>
          </cell>
          <cell r="CJ200" t="str">
            <v>0</v>
          </cell>
          <cell r="CK200" t="str">
            <v>0</v>
          </cell>
          <cell r="CL200" t="str">
            <v>0</v>
          </cell>
          <cell r="CM200" t="str">
            <v>0</v>
          </cell>
          <cell r="CN200" t="str">
            <v>0</v>
          </cell>
          <cell r="CO200" t="str">
            <v>0</v>
          </cell>
          <cell r="CP200" t="str">
            <v>0</v>
          </cell>
          <cell r="CQ200" t="str">
            <v>0</v>
          </cell>
          <cell r="CR200" t="str">
            <v>0</v>
          </cell>
          <cell r="CS200" t="str">
            <v>0</v>
          </cell>
          <cell r="CT200" t="str">
            <v>0</v>
          </cell>
          <cell r="CU200" t="str">
            <v>0</v>
          </cell>
          <cell r="CV200" t="str">
            <v>0</v>
          </cell>
          <cell r="CW200" t="str">
            <v>0</v>
          </cell>
          <cell r="CX200" t="str">
            <v>0</v>
          </cell>
          <cell r="CY200" t="str">
            <v>0</v>
          </cell>
          <cell r="CZ200" t="str">
            <v>0</v>
          </cell>
          <cell r="DA200" t="str">
            <v>0</v>
          </cell>
          <cell r="DB200" t="str">
            <v>0</v>
          </cell>
          <cell r="DC200" t="str">
            <v>0</v>
          </cell>
          <cell r="DD200" t="str">
            <v>0</v>
          </cell>
          <cell r="DE200" t="str">
            <v>0</v>
          </cell>
          <cell r="DF200" t="str">
            <v>0</v>
          </cell>
          <cell r="DG200" t="str">
            <v>0</v>
          </cell>
          <cell r="DH200" t="str">
            <v>0</v>
          </cell>
          <cell r="DI200" t="str">
            <v>0</v>
          </cell>
          <cell r="DJ200" t="str">
            <v>0</v>
          </cell>
          <cell r="DK200" t="str">
            <v>0</v>
          </cell>
          <cell r="DL200" t="str">
            <v>0</v>
          </cell>
          <cell r="DM200" t="str">
            <v>0</v>
          </cell>
          <cell r="DN200" t="str">
            <v>0</v>
          </cell>
          <cell r="DO200" t="str">
            <v>0</v>
          </cell>
          <cell r="DP200" t="str">
            <v>0</v>
          </cell>
        </row>
        <row r="201">
          <cell r="C201"/>
          <cell r="D201" t="str">
            <v>0</v>
          </cell>
          <cell r="E201" t="str">
            <v>0</v>
          </cell>
          <cell r="F201" t="str">
            <v>0</v>
          </cell>
          <cell r="G201" t="str">
            <v>0</v>
          </cell>
          <cell r="H201" t="str">
            <v>0</v>
          </cell>
          <cell r="I201" t="str">
            <v>0</v>
          </cell>
          <cell r="J201" t="str">
            <v>0</v>
          </cell>
          <cell r="K201" t="str">
            <v>0</v>
          </cell>
          <cell r="L201" t="str">
            <v>0</v>
          </cell>
          <cell r="M201" t="str">
            <v>0</v>
          </cell>
          <cell r="N201" t="str">
            <v>0</v>
          </cell>
          <cell r="O201" t="str">
            <v>0</v>
          </cell>
          <cell r="P201" t="str">
            <v>0</v>
          </cell>
          <cell r="Q201" t="str">
            <v>0</v>
          </cell>
          <cell r="R201" t="str">
            <v>0</v>
          </cell>
          <cell r="S201" t="str">
            <v>0</v>
          </cell>
          <cell r="T201" t="str">
            <v>0</v>
          </cell>
          <cell r="U201" t="str">
            <v>0</v>
          </cell>
          <cell r="V201" t="str">
            <v>0</v>
          </cell>
          <cell r="W201" t="str">
            <v>0</v>
          </cell>
          <cell r="X201" t="str">
            <v>0</v>
          </cell>
          <cell r="Y201" t="str">
            <v>0</v>
          </cell>
          <cell r="Z201" t="str">
            <v>0</v>
          </cell>
          <cell r="AA201" t="str">
            <v>0</v>
          </cell>
          <cell r="AB201" t="str">
            <v>0</v>
          </cell>
          <cell r="AC201" t="str">
            <v>0</v>
          </cell>
          <cell r="AD201" t="str">
            <v>0</v>
          </cell>
          <cell r="AE201" t="str">
            <v>0</v>
          </cell>
          <cell r="AF201" t="str">
            <v>0</v>
          </cell>
          <cell r="AG201" t="str">
            <v>0</v>
          </cell>
          <cell r="AH201" t="str">
            <v>0</v>
          </cell>
          <cell r="AI201" t="str">
            <v>0</v>
          </cell>
          <cell r="AJ201" t="str">
            <v>0</v>
          </cell>
          <cell r="AK201" t="str">
            <v>0</v>
          </cell>
          <cell r="AL201" t="str">
            <v>0</v>
          </cell>
          <cell r="AM201" t="str">
            <v>0</v>
          </cell>
          <cell r="AN201" t="str">
            <v>0</v>
          </cell>
          <cell r="AO201" t="str">
            <v>0</v>
          </cell>
          <cell r="AP201" t="str">
            <v>0</v>
          </cell>
          <cell r="AQ201" t="str">
            <v>0</v>
          </cell>
          <cell r="AR201" t="str">
            <v>0</v>
          </cell>
          <cell r="AS201" t="str">
            <v>0</v>
          </cell>
          <cell r="AT201" t="str">
            <v>0</v>
          </cell>
          <cell r="AU201" t="str">
            <v>0</v>
          </cell>
          <cell r="AV201" t="str">
            <v>0</v>
          </cell>
          <cell r="AW201" t="str">
            <v>0</v>
          </cell>
          <cell r="AX201" t="str">
            <v>0</v>
          </cell>
          <cell r="AY201" t="str">
            <v>0</v>
          </cell>
          <cell r="AZ201" t="str">
            <v>0</v>
          </cell>
          <cell r="BA201" t="str">
            <v>0</v>
          </cell>
          <cell r="BB201" t="str">
            <v>0</v>
          </cell>
          <cell r="BC201" t="str">
            <v>0</v>
          </cell>
          <cell r="BD201" t="str">
            <v>0</v>
          </cell>
          <cell r="BE201" t="str">
            <v>0</v>
          </cell>
          <cell r="BF201" t="str">
            <v>0</v>
          </cell>
          <cell r="BG201" t="str">
            <v>0</v>
          </cell>
          <cell r="BH201" t="str">
            <v>0</v>
          </cell>
          <cell r="BI201" t="str">
            <v>0</v>
          </cell>
          <cell r="BJ201" t="str">
            <v>0</v>
          </cell>
          <cell r="BK201" t="str">
            <v>0</v>
          </cell>
          <cell r="BL201" t="str">
            <v>0</v>
          </cell>
          <cell r="BM201" t="str">
            <v>0</v>
          </cell>
          <cell r="BN201" t="str">
            <v>0</v>
          </cell>
          <cell r="BO201" t="str">
            <v>0</v>
          </cell>
          <cell r="BP201" t="str">
            <v>0</v>
          </cell>
          <cell r="BQ201" t="str">
            <v>0</v>
          </cell>
          <cell r="BR201" t="str">
            <v>0</v>
          </cell>
          <cell r="BS201" t="str">
            <v>0</v>
          </cell>
          <cell r="BT201" t="str">
            <v>0</v>
          </cell>
          <cell r="BU201" t="str">
            <v>0</v>
          </cell>
          <cell r="BV201" t="str">
            <v>0</v>
          </cell>
          <cell r="BW201" t="str">
            <v>0</v>
          </cell>
          <cell r="BX201" t="str">
            <v>0</v>
          </cell>
          <cell r="BY201" t="str">
            <v>0</v>
          </cell>
          <cell r="BZ201" t="str">
            <v>0</v>
          </cell>
          <cell r="CA201" t="str">
            <v>0</v>
          </cell>
          <cell r="CB201" t="str">
            <v>0</v>
          </cell>
          <cell r="CC201" t="str">
            <v>0</v>
          </cell>
          <cell r="CD201" t="str">
            <v>0</v>
          </cell>
          <cell r="CE201" t="str">
            <v>0</v>
          </cell>
          <cell r="CF201" t="str">
            <v>0</v>
          </cell>
          <cell r="CG201" t="str">
            <v>0</v>
          </cell>
          <cell r="CH201" t="str">
            <v>0</v>
          </cell>
          <cell r="CI201" t="str">
            <v>0</v>
          </cell>
          <cell r="CJ201" t="str">
            <v>0</v>
          </cell>
          <cell r="CK201" t="str">
            <v>0</v>
          </cell>
          <cell r="CL201" t="str">
            <v>0</v>
          </cell>
          <cell r="CM201" t="str">
            <v>0</v>
          </cell>
          <cell r="CN201" t="str">
            <v>0</v>
          </cell>
          <cell r="CO201" t="str">
            <v>0</v>
          </cell>
          <cell r="CP201" t="str">
            <v>0</v>
          </cell>
          <cell r="CQ201" t="str">
            <v>0</v>
          </cell>
          <cell r="CR201" t="str">
            <v>0</v>
          </cell>
          <cell r="CS201" t="str">
            <v>0</v>
          </cell>
          <cell r="CT201" t="str">
            <v>0</v>
          </cell>
          <cell r="CU201" t="str">
            <v>0</v>
          </cell>
          <cell r="CV201" t="str">
            <v>0</v>
          </cell>
          <cell r="CW201" t="str">
            <v>0</v>
          </cell>
          <cell r="CX201" t="str">
            <v>0</v>
          </cell>
          <cell r="CY201" t="str">
            <v>0</v>
          </cell>
          <cell r="CZ201" t="str">
            <v>0</v>
          </cell>
          <cell r="DA201" t="str">
            <v>0</v>
          </cell>
          <cell r="DB201" t="str">
            <v>0</v>
          </cell>
          <cell r="DC201" t="str">
            <v>0</v>
          </cell>
          <cell r="DD201" t="str">
            <v>0</v>
          </cell>
          <cell r="DE201" t="str">
            <v>0</v>
          </cell>
          <cell r="DF201" t="str">
            <v>0</v>
          </cell>
          <cell r="DG201" t="str">
            <v>0</v>
          </cell>
          <cell r="DH201" t="str">
            <v>0</v>
          </cell>
          <cell r="DI201" t="str">
            <v>0</v>
          </cell>
          <cell r="DJ201" t="str">
            <v>0</v>
          </cell>
          <cell r="DK201" t="str">
            <v>0</v>
          </cell>
          <cell r="DL201" t="str">
            <v>0</v>
          </cell>
          <cell r="DM201" t="str">
            <v>0</v>
          </cell>
          <cell r="DN201" t="str">
            <v>0</v>
          </cell>
          <cell r="DO201" t="str">
            <v>0</v>
          </cell>
          <cell r="DP201" t="str">
            <v>0</v>
          </cell>
        </row>
        <row r="202">
          <cell r="C202"/>
          <cell r="D202" t="str">
            <v>0</v>
          </cell>
          <cell r="E202" t="str">
            <v>0</v>
          </cell>
          <cell r="F202" t="str">
            <v>0</v>
          </cell>
          <cell r="G202" t="str">
            <v>0</v>
          </cell>
          <cell r="H202" t="str">
            <v>0</v>
          </cell>
          <cell r="I202" t="str">
            <v>0</v>
          </cell>
          <cell r="J202" t="str">
            <v>0</v>
          </cell>
          <cell r="K202" t="str">
            <v>0</v>
          </cell>
          <cell r="L202" t="str">
            <v>0</v>
          </cell>
          <cell r="M202" t="str">
            <v>0</v>
          </cell>
          <cell r="N202" t="str">
            <v>0</v>
          </cell>
          <cell r="O202" t="str">
            <v>0</v>
          </cell>
          <cell r="P202" t="str">
            <v>0</v>
          </cell>
          <cell r="Q202" t="str">
            <v>0</v>
          </cell>
          <cell r="R202" t="str">
            <v>0</v>
          </cell>
          <cell r="S202" t="str">
            <v>0</v>
          </cell>
          <cell r="T202" t="str">
            <v>0</v>
          </cell>
          <cell r="U202" t="str">
            <v>0</v>
          </cell>
          <cell r="V202" t="str">
            <v>0</v>
          </cell>
          <cell r="W202" t="str">
            <v>0</v>
          </cell>
          <cell r="X202" t="str">
            <v>0</v>
          </cell>
          <cell r="Y202" t="str">
            <v>0</v>
          </cell>
          <cell r="Z202" t="str">
            <v>0</v>
          </cell>
          <cell r="AA202" t="str">
            <v>0</v>
          </cell>
          <cell r="AB202" t="str">
            <v>0</v>
          </cell>
          <cell r="AC202" t="str">
            <v>0</v>
          </cell>
          <cell r="AD202" t="str">
            <v>0</v>
          </cell>
          <cell r="AE202" t="str">
            <v>0</v>
          </cell>
          <cell r="AF202" t="str">
            <v>0</v>
          </cell>
          <cell r="AG202" t="str">
            <v>0</v>
          </cell>
          <cell r="AH202" t="str">
            <v>0</v>
          </cell>
          <cell r="AI202" t="str">
            <v>0</v>
          </cell>
          <cell r="AJ202" t="str">
            <v>0</v>
          </cell>
          <cell r="AK202" t="str">
            <v>0</v>
          </cell>
          <cell r="AL202" t="str">
            <v>0</v>
          </cell>
          <cell r="AM202" t="str">
            <v>0</v>
          </cell>
          <cell r="AN202" t="str">
            <v>0</v>
          </cell>
          <cell r="AO202" t="str">
            <v>0</v>
          </cell>
          <cell r="AP202" t="str">
            <v>0</v>
          </cell>
          <cell r="AQ202" t="str">
            <v>0</v>
          </cell>
          <cell r="AR202" t="str">
            <v>0</v>
          </cell>
          <cell r="AS202" t="str">
            <v>0</v>
          </cell>
          <cell r="AT202" t="str">
            <v>0</v>
          </cell>
          <cell r="AU202" t="str">
            <v>0</v>
          </cell>
          <cell r="AV202" t="str">
            <v>0</v>
          </cell>
          <cell r="AW202" t="str">
            <v>0</v>
          </cell>
          <cell r="AX202" t="str">
            <v>0</v>
          </cell>
          <cell r="AY202" t="str">
            <v>0</v>
          </cell>
          <cell r="AZ202" t="str">
            <v>0</v>
          </cell>
          <cell r="BA202" t="str">
            <v>0</v>
          </cell>
          <cell r="BB202" t="str">
            <v>0</v>
          </cell>
          <cell r="BC202" t="str">
            <v>0</v>
          </cell>
          <cell r="BD202" t="str">
            <v>0</v>
          </cell>
          <cell r="BE202" t="str">
            <v>0</v>
          </cell>
          <cell r="BF202" t="str">
            <v>0</v>
          </cell>
          <cell r="BG202" t="str">
            <v>0</v>
          </cell>
          <cell r="BH202" t="str">
            <v>0</v>
          </cell>
          <cell r="BI202" t="str">
            <v>0</v>
          </cell>
          <cell r="BJ202" t="str">
            <v>0</v>
          </cell>
          <cell r="BK202" t="str">
            <v>0</v>
          </cell>
          <cell r="BL202" t="str">
            <v>0</v>
          </cell>
          <cell r="BM202" t="str">
            <v>0</v>
          </cell>
          <cell r="BN202" t="str">
            <v>0</v>
          </cell>
          <cell r="BO202" t="str">
            <v>0</v>
          </cell>
          <cell r="BP202" t="str">
            <v>0</v>
          </cell>
          <cell r="BQ202" t="str">
            <v>0</v>
          </cell>
          <cell r="BR202" t="str">
            <v>0</v>
          </cell>
          <cell r="BS202" t="str">
            <v>0</v>
          </cell>
          <cell r="BT202" t="str">
            <v>0</v>
          </cell>
          <cell r="BU202" t="str">
            <v>0</v>
          </cell>
          <cell r="BV202" t="str">
            <v>0</v>
          </cell>
          <cell r="BW202" t="str">
            <v>0</v>
          </cell>
          <cell r="BX202" t="str">
            <v>0</v>
          </cell>
          <cell r="BY202" t="str">
            <v>0</v>
          </cell>
          <cell r="BZ202" t="str">
            <v>0</v>
          </cell>
          <cell r="CA202" t="str">
            <v>0</v>
          </cell>
          <cell r="CB202" t="str">
            <v>0</v>
          </cell>
          <cell r="CC202" t="str">
            <v>0</v>
          </cell>
          <cell r="CD202" t="str">
            <v>0</v>
          </cell>
          <cell r="CE202" t="str">
            <v>0</v>
          </cell>
          <cell r="CF202" t="str">
            <v>0</v>
          </cell>
          <cell r="CG202" t="str">
            <v>0</v>
          </cell>
          <cell r="CH202" t="str">
            <v>0</v>
          </cell>
          <cell r="CI202" t="str">
            <v>0</v>
          </cell>
          <cell r="CJ202" t="str">
            <v>0</v>
          </cell>
          <cell r="CK202" t="str">
            <v>0</v>
          </cell>
          <cell r="CL202" t="str">
            <v>0</v>
          </cell>
          <cell r="CM202" t="str">
            <v>0</v>
          </cell>
          <cell r="CN202" t="str">
            <v>0</v>
          </cell>
          <cell r="CO202" t="str">
            <v>0</v>
          </cell>
          <cell r="CP202" t="str">
            <v>0</v>
          </cell>
          <cell r="CQ202" t="str">
            <v>0</v>
          </cell>
          <cell r="CR202" t="str">
            <v>0</v>
          </cell>
          <cell r="CS202" t="str">
            <v>0</v>
          </cell>
          <cell r="CT202" t="str">
            <v>0</v>
          </cell>
          <cell r="CU202" t="str">
            <v>0</v>
          </cell>
          <cell r="CV202" t="str">
            <v>0</v>
          </cell>
          <cell r="CW202" t="str">
            <v>0</v>
          </cell>
          <cell r="CX202" t="str">
            <v>0</v>
          </cell>
          <cell r="CY202" t="str">
            <v>0</v>
          </cell>
          <cell r="CZ202" t="str">
            <v>0</v>
          </cell>
          <cell r="DA202" t="str">
            <v>0</v>
          </cell>
          <cell r="DB202" t="str">
            <v>0</v>
          </cell>
          <cell r="DC202" t="str">
            <v>0</v>
          </cell>
          <cell r="DD202" t="str">
            <v>0</v>
          </cell>
          <cell r="DE202" t="str">
            <v>0</v>
          </cell>
          <cell r="DF202" t="str">
            <v>0</v>
          </cell>
          <cell r="DG202" t="str">
            <v>0</v>
          </cell>
          <cell r="DH202" t="str">
            <v>0</v>
          </cell>
          <cell r="DI202" t="str">
            <v>0</v>
          </cell>
          <cell r="DJ202" t="str">
            <v>0</v>
          </cell>
          <cell r="DK202" t="str">
            <v>0</v>
          </cell>
          <cell r="DL202" t="str">
            <v>0</v>
          </cell>
          <cell r="DM202" t="str">
            <v>0</v>
          </cell>
          <cell r="DN202" t="str">
            <v>0</v>
          </cell>
          <cell r="DO202" t="str">
            <v>0</v>
          </cell>
          <cell r="DP202" t="str">
            <v>0</v>
          </cell>
        </row>
        <row r="203">
          <cell r="C203"/>
          <cell r="D203" t="str">
            <v>0</v>
          </cell>
          <cell r="E203" t="str">
            <v>0</v>
          </cell>
          <cell r="F203" t="str">
            <v>0</v>
          </cell>
          <cell r="G203" t="str">
            <v>0</v>
          </cell>
          <cell r="H203" t="str">
            <v>0</v>
          </cell>
          <cell r="I203" t="str">
            <v>0</v>
          </cell>
          <cell r="J203" t="str">
            <v>0</v>
          </cell>
          <cell r="K203" t="str">
            <v>0</v>
          </cell>
          <cell r="L203" t="str">
            <v>0</v>
          </cell>
          <cell r="M203" t="str">
            <v>0</v>
          </cell>
          <cell r="N203" t="str">
            <v>0</v>
          </cell>
          <cell r="O203" t="str">
            <v>0</v>
          </cell>
          <cell r="P203" t="str">
            <v>0</v>
          </cell>
          <cell r="Q203" t="str">
            <v>0</v>
          </cell>
          <cell r="R203" t="str">
            <v>0</v>
          </cell>
          <cell r="S203" t="str">
            <v>0</v>
          </cell>
          <cell r="T203" t="str">
            <v>0</v>
          </cell>
          <cell r="U203" t="str">
            <v>0</v>
          </cell>
          <cell r="V203" t="str">
            <v>0</v>
          </cell>
          <cell r="W203" t="str">
            <v>0</v>
          </cell>
          <cell r="X203" t="str">
            <v>0</v>
          </cell>
          <cell r="Y203" t="str">
            <v>0</v>
          </cell>
          <cell r="Z203" t="str">
            <v>0</v>
          </cell>
          <cell r="AA203" t="str">
            <v>0</v>
          </cell>
          <cell r="AB203" t="str">
            <v>0</v>
          </cell>
          <cell r="AC203" t="str">
            <v>0</v>
          </cell>
          <cell r="AD203" t="str">
            <v>0</v>
          </cell>
          <cell r="AE203" t="str">
            <v>0</v>
          </cell>
          <cell r="AF203" t="str">
            <v>0</v>
          </cell>
          <cell r="AG203" t="str">
            <v>0</v>
          </cell>
          <cell r="AH203" t="str">
            <v>0</v>
          </cell>
          <cell r="AI203" t="str">
            <v>0</v>
          </cell>
          <cell r="AJ203" t="str">
            <v>0</v>
          </cell>
          <cell r="AK203" t="str">
            <v>0</v>
          </cell>
          <cell r="AL203" t="str">
            <v>0</v>
          </cell>
          <cell r="AM203" t="str">
            <v>0</v>
          </cell>
          <cell r="AN203" t="str">
            <v>0</v>
          </cell>
          <cell r="AO203" t="str">
            <v>0</v>
          </cell>
          <cell r="AP203" t="str">
            <v>0</v>
          </cell>
          <cell r="AQ203" t="str">
            <v>0</v>
          </cell>
          <cell r="AR203" t="str">
            <v>0</v>
          </cell>
          <cell r="AS203" t="str">
            <v>0</v>
          </cell>
          <cell r="AT203" t="str">
            <v>0</v>
          </cell>
          <cell r="AU203" t="str">
            <v>0</v>
          </cell>
          <cell r="AV203" t="str">
            <v>0</v>
          </cell>
          <cell r="AW203" t="str">
            <v>0</v>
          </cell>
          <cell r="AX203" t="str">
            <v>0</v>
          </cell>
          <cell r="AY203" t="str">
            <v>0</v>
          </cell>
          <cell r="AZ203" t="str">
            <v>0</v>
          </cell>
          <cell r="BA203" t="str">
            <v>0</v>
          </cell>
          <cell r="BB203" t="str">
            <v>0</v>
          </cell>
          <cell r="BC203" t="str">
            <v>0</v>
          </cell>
          <cell r="BD203" t="str">
            <v>0</v>
          </cell>
          <cell r="BE203" t="str">
            <v>0</v>
          </cell>
          <cell r="BF203" t="str">
            <v>0</v>
          </cell>
          <cell r="BG203" t="str">
            <v>0</v>
          </cell>
          <cell r="BH203" t="str">
            <v>0</v>
          </cell>
          <cell r="BI203" t="str">
            <v>0</v>
          </cell>
          <cell r="BJ203" t="str">
            <v>0</v>
          </cell>
          <cell r="BK203" t="str">
            <v>0</v>
          </cell>
          <cell r="BL203" t="str">
            <v>0</v>
          </cell>
          <cell r="BM203" t="str">
            <v>0</v>
          </cell>
          <cell r="BN203" t="str">
            <v>0</v>
          </cell>
          <cell r="BO203" t="str">
            <v>0</v>
          </cell>
          <cell r="BP203" t="str">
            <v>0</v>
          </cell>
          <cell r="BQ203" t="str">
            <v>0</v>
          </cell>
          <cell r="BR203" t="str">
            <v>0</v>
          </cell>
          <cell r="BS203" t="str">
            <v>0</v>
          </cell>
          <cell r="BT203" t="str">
            <v>0</v>
          </cell>
          <cell r="BU203" t="str">
            <v>0</v>
          </cell>
          <cell r="BV203" t="str">
            <v>0</v>
          </cell>
          <cell r="BW203" t="str">
            <v>0</v>
          </cell>
          <cell r="BX203" t="str">
            <v>0</v>
          </cell>
          <cell r="BY203" t="str">
            <v>0</v>
          </cell>
          <cell r="BZ203" t="str">
            <v>0</v>
          </cell>
          <cell r="CA203" t="str">
            <v>0</v>
          </cell>
          <cell r="CB203" t="str">
            <v>0</v>
          </cell>
          <cell r="CC203" t="str">
            <v>0</v>
          </cell>
          <cell r="CD203" t="str">
            <v>0</v>
          </cell>
          <cell r="CE203" t="str">
            <v>0</v>
          </cell>
          <cell r="CF203" t="str">
            <v>0</v>
          </cell>
          <cell r="CG203" t="str">
            <v>0</v>
          </cell>
          <cell r="CH203" t="str">
            <v>0</v>
          </cell>
          <cell r="CI203" t="str">
            <v>0</v>
          </cell>
          <cell r="CJ203" t="str">
            <v>0</v>
          </cell>
          <cell r="CK203" t="str">
            <v>0</v>
          </cell>
          <cell r="CL203" t="str">
            <v>0</v>
          </cell>
          <cell r="CM203" t="str">
            <v>0</v>
          </cell>
          <cell r="CN203" t="str">
            <v>0</v>
          </cell>
          <cell r="CO203" t="str">
            <v>0</v>
          </cell>
          <cell r="CP203" t="str">
            <v>0</v>
          </cell>
          <cell r="CQ203" t="str">
            <v>0</v>
          </cell>
          <cell r="CR203" t="str">
            <v>0</v>
          </cell>
          <cell r="CS203" t="str">
            <v>0</v>
          </cell>
          <cell r="CT203" t="str">
            <v>0</v>
          </cell>
          <cell r="CU203" t="str">
            <v>0</v>
          </cell>
          <cell r="CV203" t="str">
            <v>0</v>
          </cell>
          <cell r="CW203" t="str">
            <v>0</v>
          </cell>
          <cell r="CX203" t="str">
            <v>0</v>
          </cell>
          <cell r="CY203" t="str">
            <v>0</v>
          </cell>
          <cell r="CZ203" t="str">
            <v>0</v>
          </cell>
          <cell r="DA203" t="str">
            <v>0</v>
          </cell>
          <cell r="DB203" t="str">
            <v>0</v>
          </cell>
          <cell r="DC203" t="str">
            <v>0</v>
          </cell>
          <cell r="DD203" t="str">
            <v>0</v>
          </cell>
          <cell r="DE203" t="str">
            <v>0</v>
          </cell>
          <cell r="DF203" t="str">
            <v>0</v>
          </cell>
          <cell r="DG203" t="str">
            <v>0</v>
          </cell>
          <cell r="DH203" t="str">
            <v>0</v>
          </cell>
          <cell r="DI203" t="str">
            <v>0</v>
          </cell>
          <cell r="DJ203" t="str">
            <v>0</v>
          </cell>
          <cell r="DK203" t="str">
            <v>0</v>
          </cell>
          <cell r="DL203" t="str">
            <v>0</v>
          </cell>
          <cell r="DM203" t="str">
            <v>0</v>
          </cell>
          <cell r="DN203" t="str">
            <v>0</v>
          </cell>
          <cell r="DO203" t="str">
            <v>0</v>
          </cell>
          <cell r="DP203" t="str">
            <v>0</v>
          </cell>
        </row>
        <row r="204">
          <cell r="C204"/>
          <cell r="D204" t="str">
            <v>0</v>
          </cell>
          <cell r="E204" t="str">
            <v>0</v>
          </cell>
          <cell r="F204" t="str">
            <v>0</v>
          </cell>
          <cell r="G204" t="str">
            <v>0</v>
          </cell>
          <cell r="H204" t="str">
            <v>0</v>
          </cell>
          <cell r="I204" t="str">
            <v>0</v>
          </cell>
          <cell r="J204" t="str">
            <v>0</v>
          </cell>
          <cell r="K204" t="str">
            <v>0</v>
          </cell>
          <cell r="L204" t="str">
            <v>0</v>
          </cell>
          <cell r="M204" t="str">
            <v>0</v>
          </cell>
          <cell r="N204" t="str">
            <v>0</v>
          </cell>
          <cell r="O204" t="str">
            <v>0</v>
          </cell>
          <cell r="P204" t="str">
            <v>0</v>
          </cell>
          <cell r="Q204" t="str">
            <v>0</v>
          </cell>
          <cell r="R204" t="str">
            <v>0</v>
          </cell>
          <cell r="S204" t="str">
            <v>0</v>
          </cell>
          <cell r="T204" t="str">
            <v>0</v>
          </cell>
          <cell r="U204" t="str">
            <v>0</v>
          </cell>
          <cell r="V204" t="str">
            <v>0</v>
          </cell>
          <cell r="W204" t="str">
            <v>0</v>
          </cell>
          <cell r="X204" t="str">
            <v>0</v>
          </cell>
          <cell r="Y204" t="str">
            <v>0</v>
          </cell>
          <cell r="Z204" t="str">
            <v>0</v>
          </cell>
          <cell r="AA204" t="str">
            <v>0</v>
          </cell>
          <cell r="AB204" t="str">
            <v>0</v>
          </cell>
          <cell r="AC204" t="str">
            <v>0</v>
          </cell>
          <cell r="AD204" t="str">
            <v>0</v>
          </cell>
          <cell r="AE204" t="str">
            <v>0</v>
          </cell>
          <cell r="AF204" t="str">
            <v>0</v>
          </cell>
          <cell r="AG204" t="str">
            <v>0</v>
          </cell>
          <cell r="AH204" t="str">
            <v>0</v>
          </cell>
          <cell r="AI204" t="str">
            <v>0</v>
          </cell>
          <cell r="AJ204" t="str">
            <v>0</v>
          </cell>
          <cell r="AK204" t="str">
            <v>0</v>
          </cell>
          <cell r="AL204" t="str">
            <v>0</v>
          </cell>
          <cell r="AM204" t="str">
            <v>0</v>
          </cell>
          <cell r="AN204" t="str">
            <v>0</v>
          </cell>
          <cell r="AO204" t="str">
            <v>0</v>
          </cell>
          <cell r="AP204" t="str">
            <v>0</v>
          </cell>
          <cell r="AQ204" t="str">
            <v>0</v>
          </cell>
          <cell r="AR204" t="str">
            <v>0</v>
          </cell>
          <cell r="AS204" t="str">
            <v>0</v>
          </cell>
          <cell r="AT204" t="str">
            <v>0</v>
          </cell>
          <cell r="AU204" t="str">
            <v>0</v>
          </cell>
          <cell r="AV204" t="str">
            <v>0</v>
          </cell>
          <cell r="AW204" t="str">
            <v>0</v>
          </cell>
          <cell r="AX204" t="str">
            <v>0</v>
          </cell>
          <cell r="AY204" t="str">
            <v>0</v>
          </cell>
          <cell r="AZ204" t="str">
            <v>0</v>
          </cell>
          <cell r="BA204" t="str">
            <v>0</v>
          </cell>
          <cell r="BB204" t="str">
            <v>0</v>
          </cell>
          <cell r="BC204" t="str">
            <v>0</v>
          </cell>
          <cell r="BD204" t="str">
            <v>0</v>
          </cell>
          <cell r="BE204" t="str">
            <v>0</v>
          </cell>
          <cell r="BF204" t="str">
            <v>0</v>
          </cell>
          <cell r="BG204" t="str">
            <v>0</v>
          </cell>
          <cell r="BH204" t="str">
            <v>0</v>
          </cell>
          <cell r="BI204" t="str">
            <v>0</v>
          </cell>
          <cell r="BJ204" t="str">
            <v>0</v>
          </cell>
          <cell r="BK204" t="str">
            <v>0</v>
          </cell>
          <cell r="BL204" t="str">
            <v>0</v>
          </cell>
          <cell r="BM204" t="str">
            <v>0</v>
          </cell>
          <cell r="BN204" t="str">
            <v>0</v>
          </cell>
          <cell r="BO204" t="str">
            <v>0</v>
          </cell>
          <cell r="BP204" t="str">
            <v>0</v>
          </cell>
          <cell r="BQ204" t="str">
            <v>0</v>
          </cell>
          <cell r="BR204" t="str">
            <v>0</v>
          </cell>
          <cell r="BS204" t="str">
            <v>0</v>
          </cell>
          <cell r="BT204" t="str">
            <v>0</v>
          </cell>
          <cell r="BU204" t="str">
            <v>0</v>
          </cell>
          <cell r="BV204" t="str">
            <v>0</v>
          </cell>
          <cell r="BW204" t="str">
            <v>0</v>
          </cell>
          <cell r="BX204" t="str">
            <v>0</v>
          </cell>
          <cell r="BY204" t="str">
            <v>0</v>
          </cell>
          <cell r="BZ204" t="str">
            <v>0</v>
          </cell>
          <cell r="CA204" t="str">
            <v>0</v>
          </cell>
          <cell r="CB204" t="str">
            <v>0</v>
          </cell>
          <cell r="CC204" t="str">
            <v>0</v>
          </cell>
          <cell r="CD204" t="str">
            <v>0</v>
          </cell>
          <cell r="CE204" t="str">
            <v>0</v>
          </cell>
          <cell r="CF204" t="str">
            <v>0</v>
          </cell>
          <cell r="CG204" t="str">
            <v>0</v>
          </cell>
          <cell r="CH204" t="str">
            <v>0</v>
          </cell>
          <cell r="CI204" t="str">
            <v>0</v>
          </cell>
          <cell r="CJ204" t="str">
            <v>0</v>
          </cell>
          <cell r="CK204" t="str">
            <v>0</v>
          </cell>
          <cell r="CL204" t="str">
            <v>0</v>
          </cell>
          <cell r="CM204" t="str">
            <v>0</v>
          </cell>
          <cell r="CN204" t="str">
            <v>0</v>
          </cell>
          <cell r="CO204" t="str">
            <v>0</v>
          </cell>
          <cell r="CP204" t="str">
            <v>0</v>
          </cell>
          <cell r="CQ204" t="str">
            <v>0</v>
          </cell>
          <cell r="CR204" t="str">
            <v>0</v>
          </cell>
          <cell r="CS204" t="str">
            <v>0</v>
          </cell>
          <cell r="CT204" t="str">
            <v>0</v>
          </cell>
          <cell r="CU204" t="str">
            <v>0</v>
          </cell>
          <cell r="CV204" t="str">
            <v>0</v>
          </cell>
          <cell r="CW204" t="str">
            <v>0</v>
          </cell>
          <cell r="CX204" t="str">
            <v>0</v>
          </cell>
          <cell r="CY204" t="str">
            <v>0</v>
          </cell>
          <cell r="CZ204" t="str">
            <v>0</v>
          </cell>
          <cell r="DA204" t="str">
            <v>0</v>
          </cell>
          <cell r="DB204" t="str">
            <v>0</v>
          </cell>
          <cell r="DC204" t="str">
            <v>0</v>
          </cell>
          <cell r="DD204" t="str">
            <v>0</v>
          </cell>
          <cell r="DE204" t="str">
            <v>0</v>
          </cell>
          <cell r="DF204" t="str">
            <v>0</v>
          </cell>
          <cell r="DG204" t="str">
            <v>0</v>
          </cell>
          <cell r="DH204" t="str">
            <v>0</v>
          </cell>
          <cell r="DI204" t="str">
            <v>0</v>
          </cell>
          <cell r="DJ204" t="str">
            <v>0</v>
          </cell>
          <cell r="DK204" t="str">
            <v>0</v>
          </cell>
          <cell r="DL204" t="str">
            <v>0</v>
          </cell>
          <cell r="DM204" t="str">
            <v>0</v>
          </cell>
          <cell r="DN204" t="str">
            <v>0</v>
          </cell>
          <cell r="DO204" t="str">
            <v>0</v>
          </cell>
          <cell r="DP204" t="str">
            <v>0</v>
          </cell>
        </row>
        <row r="205">
          <cell r="C205"/>
          <cell r="D205" t="str">
            <v>0</v>
          </cell>
          <cell r="E205" t="str">
            <v>0</v>
          </cell>
          <cell r="F205" t="str">
            <v>0</v>
          </cell>
          <cell r="G205" t="str">
            <v>0</v>
          </cell>
          <cell r="H205" t="str">
            <v>0</v>
          </cell>
          <cell r="I205" t="str">
            <v>0</v>
          </cell>
          <cell r="J205" t="str">
            <v>0</v>
          </cell>
          <cell r="K205" t="str">
            <v>0</v>
          </cell>
          <cell r="L205" t="str">
            <v>0</v>
          </cell>
          <cell r="M205" t="str">
            <v>0</v>
          </cell>
          <cell r="N205" t="str">
            <v>0</v>
          </cell>
          <cell r="O205" t="str">
            <v>0</v>
          </cell>
          <cell r="P205" t="str">
            <v>0</v>
          </cell>
          <cell r="Q205" t="str">
            <v>0</v>
          </cell>
          <cell r="R205" t="str">
            <v>0</v>
          </cell>
          <cell r="S205" t="str">
            <v>0</v>
          </cell>
          <cell r="T205" t="str">
            <v>0</v>
          </cell>
          <cell r="U205" t="str">
            <v>0</v>
          </cell>
          <cell r="V205" t="str">
            <v>0</v>
          </cell>
          <cell r="W205" t="str">
            <v>0</v>
          </cell>
          <cell r="X205" t="str">
            <v>0</v>
          </cell>
          <cell r="Y205" t="str">
            <v>0</v>
          </cell>
          <cell r="Z205" t="str">
            <v>0</v>
          </cell>
          <cell r="AA205" t="str">
            <v>0</v>
          </cell>
          <cell r="AB205" t="str">
            <v>0</v>
          </cell>
          <cell r="AC205" t="str">
            <v>0</v>
          </cell>
          <cell r="AD205" t="str">
            <v>0</v>
          </cell>
          <cell r="AE205" t="str">
            <v>0</v>
          </cell>
          <cell r="AF205" t="str">
            <v>0</v>
          </cell>
          <cell r="AG205" t="str">
            <v>0</v>
          </cell>
          <cell r="AH205" t="str">
            <v>0</v>
          </cell>
          <cell r="AI205" t="str">
            <v>0</v>
          </cell>
          <cell r="AJ205" t="str">
            <v>0</v>
          </cell>
          <cell r="AK205" t="str">
            <v>0</v>
          </cell>
          <cell r="AL205" t="str">
            <v>0</v>
          </cell>
          <cell r="AM205" t="str">
            <v>0</v>
          </cell>
          <cell r="AN205" t="str">
            <v>0</v>
          </cell>
          <cell r="AO205" t="str">
            <v>0</v>
          </cell>
          <cell r="AP205" t="str">
            <v>0</v>
          </cell>
          <cell r="AQ205" t="str">
            <v>0</v>
          </cell>
          <cell r="AR205" t="str">
            <v>0</v>
          </cell>
          <cell r="AS205" t="str">
            <v>0</v>
          </cell>
          <cell r="AT205" t="str">
            <v>0</v>
          </cell>
          <cell r="AU205" t="str">
            <v>0</v>
          </cell>
          <cell r="AV205" t="str">
            <v>0</v>
          </cell>
          <cell r="AW205" t="str">
            <v>0</v>
          </cell>
          <cell r="AX205" t="str">
            <v>0</v>
          </cell>
          <cell r="AY205" t="str">
            <v>0</v>
          </cell>
          <cell r="AZ205" t="str">
            <v>0</v>
          </cell>
          <cell r="BA205" t="str">
            <v>0</v>
          </cell>
          <cell r="BB205" t="str">
            <v>0</v>
          </cell>
          <cell r="BC205" t="str">
            <v>0</v>
          </cell>
          <cell r="BD205" t="str">
            <v>0</v>
          </cell>
          <cell r="BE205" t="str">
            <v>0</v>
          </cell>
          <cell r="BF205" t="str">
            <v>0</v>
          </cell>
          <cell r="BG205" t="str">
            <v>0</v>
          </cell>
          <cell r="BH205" t="str">
            <v>0</v>
          </cell>
          <cell r="BI205" t="str">
            <v>0</v>
          </cell>
          <cell r="BJ205" t="str">
            <v>0</v>
          </cell>
          <cell r="BK205" t="str">
            <v>0</v>
          </cell>
          <cell r="BL205" t="str">
            <v>0</v>
          </cell>
          <cell r="BM205" t="str">
            <v>0</v>
          </cell>
          <cell r="BN205" t="str">
            <v>0</v>
          </cell>
          <cell r="BO205" t="str">
            <v>0</v>
          </cell>
          <cell r="BP205" t="str">
            <v>0</v>
          </cell>
          <cell r="BQ205" t="str">
            <v>0</v>
          </cell>
          <cell r="BR205" t="str">
            <v>0</v>
          </cell>
          <cell r="BS205" t="str">
            <v>0</v>
          </cell>
          <cell r="BT205" t="str">
            <v>0</v>
          </cell>
          <cell r="BU205" t="str">
            <v>0</v>
          </cell>
          <cell r="BV205" t="str">
            <v>0</v>
          </cell>
          <cell r="BW205" t="str">
            <v>0</v>
          </cell>
          <cell r="BX205" t="str">
            <v>0</v>
          </cell>
          <cell r="BY205" t="str">
            <v>0</v>
          </cell>
          <cell r="BZ205" t="str">
            <v>0</v>
          </cell>
          <cell r="CA205" t="str">
            <v>0</v>
          </cell>
          <cell r="CB205" t="str">
            <v>0</v>
          </cell>
          <cell r="CC205" t="str">
            <v>0</v>
          </cell>
          <cell r="CD205" t="str">
            <v>0</v>
          </cell>
          <cell r="CE205" t="str">
            <v>0</v>
          </cell>
          <cell r="CF205" t="str">
            <v>0</v>
          </cell>
          <cell r="CG205" t="str">
            <v>0</v>
          </cell>
          <cell r="CH205" t="str">
            <v>0</v>
          </cell>
          <cell r="CI205" t="str">
            <v>0</v>
          </cell>
          <cell r="CJ205" t="str">
            <v>0</v>
          </cell>
          <cell r="CK205" t="str">
            <v>0</v>
          </cell>
          <cell r="CL205" t="str">
            <v>0</v>
          </cell>
          <cell r="CM205" t="str">
            <v>0</v>
          </cell>
          <cell r="CN205" t="str">
            <v>0</v>
          </cell>
          <cell r="CO205" t="str">
            <v>0</v>
          </cell>
          <cell r="CP205" t="str">
            <v>0</v>
          </cell>
          <cell r="CQ205" t="str">
            <v>0</v>
          </cell>
          <cell r="CR205" t="str">
            <v>0</v>
          </cell>
          <cell r="CS205" t="str">
            <v>0</v>
          </cell>
          <cell r="CT205" t="str">
            <v>0</v>
          </cell>
          <cell r="CU205" t="str">
            <v>0</v>
          </cell>
          <cell r="CV205" t="str">
            <v>0</v>
          </cell>
          <cell r="CW205" t="str">
            <v>0</v>
          </cell>
          <cell r="CX205" t="str">
            <v>0</v>
          </cell>
          <cell r="CY205" t="str">
            <v>0</v>
          </cell>
          <cell r="CZ205" t="str">
            <v>0</v>
          </cell>
          <cell r="DA205" t="str">
            <v>0</v>
          </cell>
          <cell r="DB205" t="str">
            <v>0</v>
          </cell>
          <cell r="DC205" t="str">
            <v>0</v>
          </cell>
          <cell r="DD205" t="str">
            <v>0</v>
          </cell>
          <cell r="DE205" t="str">
            <v>0</v>
          </cell>
          <cell r="DF205" t="str">
            <v>0</v>
          </cell>
          <cell r="DG205" t="str">
            <v>0</v>
          </cell>
          <cell r="DH205" t="str">
            <v>0</v>
          </cell>
          <cell r="DI205" t="str">
            <v>0</v>
          </cell>
          <cell r="DJ205" t="str">
            <v>0</v>
          </cell>
          <cell r="DK205" t="str">
            <v>0</v>
          </cell>
          <cell r="DL205" t="str">
            <v>0</v>
          </cell>
          <cell r="DM205" t="str">
            <v>0</v>
          </cell>
          <cell r="DN205" t="str">
            <v>0</v>
          </cell>
          <cell r="DO205" t="str">
            <v>0</v>
          </cell>
          <cell r="DP205" t="str">
            <v>0</v>
          </cell>
        </row>
        <row r="206">
          <cell r="C206"/>
          <cell r="D206" t="str">
            <v>0</v>
          </cell>
          <cell r="E206" t="str">
            <v>0</v>
          </cell>
          <cell r="F206" t="str">
            <v>0</v>
          </cell>
          <cell r="G206" t="str">
            <v>0</v>
          </cell>
          <cell r="H206" t="str">
            <v>0</v>
          </cell>
          <cell r="I206" t="str">
            <v>0</v>
          </cell>
          <cell r="J206" t="str">
            <v>0</v>
          </cell>
          <cell r="K206" t="str">
            <v>0</v>
          </cell>
          <cell r="L206" t="str">
            <v>0</v>
          </cell>
          <cell r="M206" t="str">
            <v>0</v>
          </cell>
          <cell r="N206" t="str">
            <v>0</v>
          </cell>
          <cell r="O206" t="str">
            <v>0</v>
          </cell>
          <cell r="P206" t="str">
            <v>0</v>
          </cell>
          <cell r="Q206" t="str">
            <v>0</v>
          </cell>
          <cell r="R206" t="str">
            <v>0</v>
          </cell>
          <cell r="S206" t="str">
            <v>0</v>
          </cell>
          <cell r="T206" t="str">
            <v>0</v>
          </cell>
          <cell r="U206" t="str">
            <v>0</v>
          </cell>
          <cell r="V206" t="str">
            <v>0</v>
          </cell>
          <cell r="W206" t="str">
            <v>0</v>
          </cell>
          <cell r="X206" t="str">
            <v>0</v>
          </cell>
          <cell r="Y206" t="str">
            <v>0</v>
          </cell>
          <cell r="Z206" t="str">
            <v>0</v>
          </cell>
          <cell r="AA206" t="str">
            <v>0</v>
          </cell>
          <cell r="AB206" t="str">
            <v>0</v>
          </cell>
          <cell r="AC206" t="str">
            <v>0</v>
          </cell>
          <cell r="AD206" t="str">
            <v>0</v>
          </cell>
          <cell r="AE206" t="str">
            <v>0</v>
          </cell>
          <cell r="AF206" t="str">
            <v>0</v>
          </cell>
          <cell r="AG206" t="str">
            <v>0</v>
          </cell>
          <cell r="AH206" t="str">
            <v>0</v>
          </cell>
          <cell r="AI206" t="str">
            <v>0</v>
          </cell>
          <cell r="AJ206" t="str">
            <v>0</v>
          </cell>
          <cell r="AK206" t="str">
            <v>0</v>
          </cell>
          <cell r="AL206" t="str">
            <v>0</v>
          </cell>
          <cell r="AM206" t="str">
            <v>0</v>
          </cell>
          <cell r="AN206" t="str">
            <v>0</v>
          </cell>
          <cell r="AO206" t="str">
            <v>0</v>
          </cell>
          <cell r="AP206" t="str">
            <v>0</v>
          </cell>
          <cell r="AQ206" t="str">
            <v>0</v>
          </cell>
          <cell r="AR206" t="str">
            <v>0</v>
          </cell>
          <cell r="AS206" t="str">
            <v>0</v>
          </cell>
          <cell r="AT206" t="str">
            <v>0</v>
          </cell>
          <cell r="AU206" t="str">
            <v>0</v>
          </cell>
          <cell r="AV206" t="str">
            <v>0</v>
          </cell>
          <cell r="AW206" t="str">
            <v>0</v>
          </cell>
          <cell r="AX206" t="str">
            <v>0</v>
          </cell>
          <cell r="AY206" t="str">
            <v>0</v>
          </cell>
          <cell r="AZ206" t="str">
            <v>0</v>
          </cell>
          <cell r="BA206" t="str">
            <v>0</v>
          </cell>
          <cell r="BB206" t="str">
            <v>0</v>
          </cell>
          <cell r="BC206" t="str">
            <v>0</v>
          </cell>
          <cell r="BD206" t="str">
            <v>0</v>
          </cell>
          <cell r="BE206" t="str">
            <v>0</v>
          </cell>
          <cell r="BF206" t="str">
            <v>0</v>
          </cell>
          <cell r="BG206" t="str">
            <v>0</v>
          </cell>
          <cell r="BH206" t="str">
            <v>0</v>
          </cell>
          <cell r="BI206" t="str">
            <v>0</v>
          </cell>
          <cell r="BJ206" t="str">
            <v>0</v>
          </cell>
          <cell r="BK206" t="str">
            <v>0</v>
          </cell>
          <cell r="BL206" t="str">
            <v>0</v>
          </cell>
          <cell r="BM206" t="str">
            <v>0</v>
          </cell>
          <cell r="BN206" t="str">
            <v>0</v>
          </cell>
          <cell r="BO206" t="str">
            <v>0</v>
          </cell>
          <cell r="BP206" t="str">
            <v>0</v>
          </cell>
          <cell r="BQ206" t="str">
            <v>0</v>
          </cell>
          <cell r="BR206" t="str">
            <v>0</v>
          </cell>
          <cell r="BS206" t="str">
            <v>0</v>
          </cell>
          <cell r="BT206" t="str">
            <v>0</v>
          </cell>
          <cell r="BU206" t="str">
            <v>0</v>
          </cell>
          <cell r="BV206" t="str">
            <v>0</v>
          </cell>
          <cell r="BW206" t="str">
            <v>0</v>
          </cell>
          <cell r="BX206" t="str">
            <v>0</v>
          </cell>
          <cell r="BY206" t="str">
            <v>0</v>
          </cell>
          <cell r="BZ206" t="str">
            <v>0</v>
          </cell>
          <cell r="CA206" t="str">
            <v>0</v>
          </cell>
          <cell r="CB206" t="str">
            <v>0</v>
          </cell>
          <cell r="CC206" t="str">
            <v>0</v>
          </cell>
          <cell r="CD206" t="str">
            <v>0</v>
          </cell>
          <cell r="CE206" t="str">
            <v>0</v>
          </cell>
          <cell r="CF206" t="str">
            <v>0</v>
          </cell>
          <cell r="CG206" t="str">
            <v>0</v>
          </cell>
          <cell r="CH206" t="str">
            <v>0</v>
          </cell>
          <cell r="CI206" t="str">
            <v>0</v>
          </cell>
          <cell r="CJ206" t="str">
            <v>0</v>
          </cell>
          <cell r="CK206" t="str">
            <v>0</v>
          </cell>
          <cell r="CL206" t="str">
            <v>0</v>
          </cell>
          <cell r="CM206" t="str">
            <v>0</v>
          </cell>
          <cell r="CN206" t="str">
            <v>0</v>
          </cell>
          <cell r="CO206" t="str">
            <v>0</v>
          </cell>
          <cell r="CP206" t="str">
            <v>0</v>
          </cell>
          <cell r="CQ206" t="str">
            <v>0</v>
          </cell>
          <cell r="CR206" t="str">
            <v>0</v>
          </cell>
          <cell r="CS206" t="str">
            <v>0</v>
          </cell>
          <cell r="CT206" t="str">
            <v>0</v>
          </cell>
          <cell r="CU206" t="str">
            <v>0</v>
          </cell>
          <cell r="CV206" t="str">
            <v>0</v>
          </cell>
          <cell r="CW206" t="str">
            <v>0</v>
          </cell>
          <cell r="CX206" t="str">
            <v>0</v>
          </cell>
          <cell r="CY206" t="str">
            <v>0</v>
          </cell>
          <cell r="CZ206" t="str">
            <v>0</v>
          </cell>
          <cell r="DA206" t="str">
            <v>0</v>
          </cell>
          <cell r="DB206" t="str">
            <v>0</v>
          </cell>
          <cell r="DC206" t="str">
            <v>0</v>
          </cell>
          <cell r="DD206" t="str">
            <v>0</v>
          </cell>
          <cell r="DE206" t="str">
            <v>0</v>
          </cell>
          <cell r="DF206" t="str">
            <v>0</v>
          </cell>
          <cell r="DG206" t="str">
            <v>0</v>
          </cell>
          <cell r="DH206" t="str">
            <v>0</v>
          </cell>
          <cell r="DI206" t="str">
            <v>0</v>
          </cell>
          <cell r="DJ206" t="str">
            <v>0</v>
          </cell>
          <cell r="DK206" t="str">
            <v>0</v>
          </cell>
          <cell r="DL206" t="str">
            <v>0</v>
          </cell>
          <cell r="DM206" t="str">
            <v>0</v>
          </cell>
          <cell r="DN206" t="str">
            <v>0</v>
          </cell>
          <cell r="DO206" t="str">
            <v>0</v>
          </cell>
          <cell r="DP206" t="str">
            <v>0</v>
          </cell>
        </row>
        <row r="207">
          <cell r="C207"/>
          <cell r="D207" t="str">
            <v>0</v>
          </cell>
          <cell r="E207" t="str">
            <v>0</v>
          </cell>
          <cell r="F207" t="str">
            <v>0</v>
          </cell>
          <cell r="G207" t="str">
            <v>0</v>
          </cell>
          <cell r="H207" t="str">
            <v>0</v>
          </cell>
          <cell r="I207" t="str">
            <v>0</v>
          </cell>
          <cell r="J207" t="str">
            <v>0</v>
          </cell>
          <cell r="K207" t="str">
            <v>0</v>
          </cell>
          <cell r="L207" t="str">
            <v>0</v>
          </cell>
          <cell r="M207" t="str">
            <v>0</v>
          </cell>
          <cell r="N207" t="str">
            <v>0</v>
          </cell>
          <cell r="O207" t="str">
            <v>0</v>
          </cell>
          <cell r="P207" t="str">
            <v>0</v>
          </cell>
          <cell r="Q207" t="str">
            <v>0</v>
          </cell>
          <cell r="R207" t="str">
            <v>0</v>
          </cell>
          <cell r="S207" t="str">
            <v>0</v>
          </cell>
          <cell r="T207" t="str">
            <v>0</v>
          </cell>
          <cell r="U207" t="str">
            <v>0</v>
          </cell>
          <cell r="V207" t="str">
            <v>0</v>
          </cell>
          <cell r="W207" t="str">
            <v>0</v>
          </cell>
          <cell r="X207" t="str">
            <v>0</v>
          </cell>
          <cell r="Y207" t="str">
            <v>0</v>
          </cell>
          <cell r="Z207" t="str">
            <v>0</v>
          </cell>
          <cell r="AA207" t="str">
            <v>0</v>
          </cell>
          <cell r="AB207" t="str">
            <v>0</v>
          </cell>
          <cell r="AC207" t="str">
            <v>0</v>
          </cell>
          <cell r="AD207" t="str">
            <v>0</v>
          </cell>
          <cell r="AE207" t="str">
            <v>0</v>
          </cell>
          <cell r="AF207" t="str">
            <v>0</v>
          </cell>
          <cell r="AG207" t="str">
            <v>0</v>
          </cell>
          <cell r="AH207" t="str">
            <v>0</v>
          </cell>
          <cell r="AI207" t="str">
            <v>0</v>
          </cell>
          <cell r="AJ207" t="str">
            <v>0</v>
          </cell>
          <cell r="AK207" t="str">
            <v>0</v>
          </cell>
          <cell r="AL207" t="str">
            <v>0</v>
          </cell>
          <cell r="AM207" t="str">
            <v>0</v>
          </cell>
          <cell r="AN207" t="str">
            <v>0</v>
          </cell>
          <cell r="AO207" t="str">
            <v>0</v>
          </cell>
          <cell r="AP207" t="str">
            <v>0</v>
          </cell>
          <cell r="AQ207" t="str">
            <v>0</v>
          </cell>
          <cell r="AR207" t="str">
            <v>0</v>
          </cell>
          <cell r="AS207" t="str">
            <v>0</v>
          </cell>
          <cell r="AT207" t="str">
            <v>0</v>
          </cell>
          <cell r="AU207" t="str">
            <v>0</v>
          </cell>
          <cell r="AV207" t="str">
            <v>0</v>
          </cell>
          <cell r="AW207" t="str">
            <v>0</v>
          </cell>
          <cell r="AX207" t="str">
            <v>0</v>
          </cell>
          <cell r="AY207" t="str">
            <v>0</v>
          </cell>
          <cell r="AZ207" t="str">
            <v>0</v>
          </cell>
          <cell r="BA207" t="str">
            <v>0</v>
          </cell>
          <cell r="BB207" t="str">
            <v>0</v>
          </cell>
          <cell r="BC207" t="str">
            <v>0</v>
          </cell>
          <cell r="BD207" t="str">
            <v>0</v>
          </cell>
          <cell r="BE207" t="str">
            <v>0</v>
          </cell>
          <cell r="BF207" t="str">
            <v>0</v>
          </cell>
          <cell r="BG207" t="str">
            <v>0</v>
          </cell>
          <cell r="BH207" t="str">
            <v>0</v>
          </cell>
          <cell r="BI207" t="str">
            <v>0</v>
          </cell>
          <cell r="BJ207" t="str">
            <v>0</v>
          </cell>
          <cell r="BK207" t="str">
            <v>0</v>
          </cell>
          <cell r="BL207" t="str">
            <v>0</v>
          </cell>
          <cell r="BM207" t="str">
            <v>0</v>
          </cell>
          <cell r="BN207" t="str">
            <v>0</v>
          </cell>
          <cell r="BO207" t="str">
            <v>0</v>
          </cell>
          <cell r="BP207" t="str">
            <v>0</v>
          </cell>
          <cell r="BQ207" t="str">
            <v>0</v>
          </cell>
          <cell r="BR207" t="str">
            <v>0</v>
          </cell>
          <cell r="BS207" t="str">
            <v>0</v>
          </cell>
          <cell r="BT207" t="str">
            <v>0</v>
          </cell>
          <cell r="BU207" t="str">
            <v>0</v>
          </cell>
          <cell r="BV207" t="str">
            <v>0</v>
          </cell>
          <cell r="BW207" t="str">
            <v>0</v>
          </cell>
          <cell r="BX207" t="str">
            <v>0</v>
          </cell>
          <cell r="BY207" t="str">
            <v>0</v>
          </cell>
          <cell r="BZ207" t="str">
            <v>0</v>
          </cell>
          <cell r="CA207" t="str">
            <v>0</v>
          </cell>
          <cell r="CB207" t="str">
            <v>0</v>
          </cell>
          <cell r="CC207" t="str">
            <v>0</v>
          </cell>
          <cell r="CD207" t="str">
            <v>0</v>
          </cell>
          <cell r="CE207" t="str">
            <v>0</v>
          </cell>
          <cell r="CF207" t="str">
            <v>0</v>
          </cell>
          <cell r="CG207" t="str">
            <v>0</v>
          </cell>
          <cell r="CH207" t="str">
            <v>0</v>
          </cell>
          <cell r="CI207" t="str">
            <v>0</v>
          </cell>
          <cell r="CJ207" t="str">
            <v>0</v>
          </cell>
          <cell r="CK207" t="str">
            <v>0</v>
          </cell>
          <cell r="CL207" t="str">
            <v>0</v>
          </cell>
          <cell r="CM207" t="str">
            <v>0</v>
          </cell>
          <cell r="CN207" t="str">
            <v>0</v>
          </cell>
          <cell r="CO207" t="str">
            <v>0</v>
          </cell>
          <cell r="CP207" t="str">
            <v>0</v>
          </cell>
          <cell r="CQ207" t="str">
            <v>0</v>
          </cell>
          <cell r="CR207" t="str">
            <v>0</v>
          </cell>
          <cell r="CS207" t="str">
            <v>0</v>
          </cell>
          <cell r="CT207" t="str">
            <v>0</v>
          </cell>
          <cell r="CU207" t="str">
            <v>0</v>
          </cell>
          <cell r="CV207" t="str">
            <v>0</v>
          </cell>
          <cell r="CW207" t="str">
            <v>0</v>
          </cell>
          <cell r="CX207" t="str">
            <v>0</v>
          </cell>
          <cell r="CY207" t="str">
            <v>0</v>
          </cell>
          <cell r="CZ207" t="str">
            <v>0</v>
          </cell>
          <cell r="DA207" t="str">
            <v>0</v>
          </cell>
          <cell r="DB207" t="str">
            <v>0</v>
          </cell>
          <cell r="DC207" t="str">
            <v>0</v>
          </cell>
          <cell r="DD207" t="str">
            <v>0</v>
          </cell>
          <cell r="DE207" t="str">
            <v>0</v>
          </cell>
          <cell r="DF207" t="str">
            <v>0</v>
          </cell>
          <cell r="DG207" t="str">
            <v>0</v>
          </cell>
          <cell r="DH207" t="str">
            <v>0</v>
          </cell>
          <cell r="DI207" t="str">
            <v>0</v>
          </cell>
          <cell r="DJ207" t="str">
            <v>0</v>
          </cell>
          <cell r="DK207" t="str">
            <v>0</v>
          </cell>
          <cell r="DL207" t="str">
            <v>0</v>
          </cell>
          <cell r="DM207" t="str">
            <v>0</v>
          </cell>
          <cell r="DN207" t="str">
            <v>0</v>
          </cell>
          <cell r="DO207" t="str">
            <v>0</v>
          </cell>
          <cell r="DP207" t="str">
            <v>0</v>
          </cell>
        </row>
        <row r="208">
          <cell r="C208"/>
          <cell r="D208" t="str">
            <v>0</v>
          </cell>
          <cell r="E208" t="str">
            <v>0</v>
          </cell>
          <cell r="F208" t="str">
            <v>0</v>
          </cell>
          <cell r="G208" t="str">
            <v>0</v>
          </cell>
          <cell r="H208" t="str">
            <v>0</v>
          </cell>
          <cell r="I208" t="str">
            <v>0</v>
          </cell>
          <cell r="J208" t="str">
            <v>0</v>
          </cell>
          <cell r="K208" t="str">
            <v>0</v>
          </cell>
          <cell r="L208" t="str">
            <v>0</v>
          </cell>
          <cell r="M208" t="str">
            <v>0</v>
          </cell>
          <cell r="N208" t="str">
            <v>0</v>
          </cell>
          <cell r="O208" t="str">
            <v>0</v>
          </cell>
          <cell r="P208" t="str">
            <v>0</v>
          </cell>
          <cell r="Q208" t="str">
            <v>0</v>
          </cell>
          <cell r="R208" t="str">
            <v>0</v>
          </cell>
          <cell r="S208" t="str">
            <v>0</v>
          </cell>
          <cell r="T208" t="str">
            <v>0</v>
          </cell>
          <cell r="U208" t="str">
            <v>0</v>
          </cell>
          <cell r="V208" t="str">
            <v>0</v>
          </cell>
          <cell r="W208" t="str">
            <v>0</v>
          </cell>
          <cell r="X208" t="str">
            <v>0</v>
          </cell>
          <cell r="Y208" t="str">
            <v>0</v>
          </cell>
          <cell r="Z208" t="str">
            <v>0</v>
          </cell>
          <cell r="AA208" t="str">
            <v>0</v>
          </cell>
          <cell r="AB208" t="str">
            <v>0</v>
          </cell>
          <cell r="AC208" t="str">
            <v>0</v>
          </cell>
          <cell r="AD208" t="str">
            <v>0</v>
          </cell>
          <cell r="AE208" t="str">
            <v>0</v>
          </cell>
          <cell r="AF208" t="str">
            <v>0</v>
          </cell>
          <cell r="AG208" t="str">
            <v>0</v>
          </cell>
          <cell r="AH208" t="str">
            <v>0</v>
          </cell>
          <cell r="AI208" t="str">
            <v>0</v>
          </cell>
          <cell r="AJ208" t="str">
            <v>0</v>
          </cell>
          <cell r="AK208" t="str">
            <v>0</v>
          </cell>
          <cell r="AL208" t="str">
            <v>0</v>
          </cell>
          <cell r="AM208" t="str">
            <v>0</v>
          </cell>
          <cell r="AN208" t="str">
            <v>0</v>
          </cell>
          <cell r="AO208" t="str">
            <v>0</v>
          </cell>
          <cell r="AP208" t="str">
            <v>0</v>
          </cell>
          <cell r="AQ208" t="str">
            <v>0</v>
          </cell>
          <cell r="AR208" t="str">
            <v>0</v>
          </cell>
          <cell r="AS208" t="str">
            <v>0</v>
          </cell>
          <cell r="AT208" t="str">
            <v>0</v>
          </cell>
          <cell r="AU208" t="str">
            <v>0</v>
          </cell>
          <cell r="AV208" t="str">
            <v>0</v>
          </cell>
          <cell r="AW208" t="str">
            <v>0</v>
          </cell>
          <cell r="AX208" t="str">
            <v>0</v>
          </cell>
          <cell r="AY208" t="str">
            <v>0</v>
          </cell>
          <cell r="AZ208" t="str">
            <v>0</v>
          </cell>
          <cell r="BA208" t="str">
            <v>0</v>
          </cell>
          <cell r="BB208" t="str">
            <v>0</v>
          </cell>
          <cell r="BC208" t="str">
            <v>0</v>
          </cell>
          <cell r="BD208" t="str">
            <v>0</v>
          </cell>
          <cell r="BE208" t="str">
            <v>0</v>
          </cell>
          <cell r="BF208" t="str">
            <v>0</v>
          </cell>
          <cell r="BG208" t="str">
            <v>0</v>
          </cell>
          <cell r="BH208" t="str">
            <v>0</v>
          </cell>
          <cell r="BI208" t="str">
            <v>0</v>
          </cell>
          <cell r="BJ208" t="str">
            <v>0</v>
          </cell>
          <cell r="BK208" t="str">
            <v>0</v>
          </cell>
          <cell r="BL208" t="str">
            <v>0</v>
          </cell>
          <cell r="BM208" t="str">
            <v>0</v>
          </cell>
          <cell r="BN208" t="str">
            <v>0</v>
          </cell>
          <cell r="BO208" t="str">
            <v>0</v>
          </cell>
          <cell r="BP208" t="str">
            <v>0</v>
          </cell>
          <cell r="BQ208" t="str">
            <v>0</v>
          </cell>
          <cell r="BR208" t="str">
            <v>0</v>
          </cell>
          <cell r="BS208" t="str">
            <v>0</v>
          </cell>
          <cell r="BT208" t="str">
            <v>0</v>
          </cell>
          <cell r="BU208" t="str">
            <v>0</v>
          </cell>
          <cell r="BV208" t="str">
            <v>0</v>
          </cell>
          <cell r="BW208" t="str">
            <v>0</v>
          </cell>
          <cell r="BX208" t="str">
            <v>0</v>
          </cell>
          <cell r="BY208" t="str">
            <v>0</v>
          </cell>
          <cell r="BZ208" t="str">
            <v>0</v>
          </cell>
          <cell r="CA208" t="str">
            <v>0</v>
          </cell>
          <cell r="CB208" t="str">
            <v>0</v>
          </cell>
          <cell r="CC208" t="str">
            <v>0</v>
          </cell>
          <cell r="CD208" t="str">
            <v>0</v>
          </cell>
          <cell r="CE208" t="str">
            <v>0</v>
          </cell>
          <cell r="CF208" t="str">
            <v>0</v>
          </cell>
          <cell r="CG208" t="str">
            <v>0</v>
          </cell>
          <cell r="CH208" t="str">
            <v>0</v>
          </cell>
          <cell r="CI208" t="str">
            <v>0</v>
          </cell>
          <cell r="CJ208" t="str">
            <v>0</v>
          </cell>
          <cell r="CK208" t="str">
            <v>0</v>
          </cell>
          <cell r="CL208" t="str">
            <v>0</v>
          </cell>
          <cell r="CM208" t="str">
            <v>0</v>
          </cell>
          <cell r="CN208" t="str">
            <v>0</v>
          </cell>
          <cell r="CO208" t="str">
            <v>0</v>
          </cell>
          <cell r="CP208" t="str">
            <v>0</v>
          </cell>
          <cell r="CQ208" t="str">
            <v>0</v>
          </cell>
          <cell r="CR208" t="str">
            <v>0</v>
          </cell>
          <cell r="CS208" t="str">
            <v>0</v>
          </cell>
          <cell r="CT208" t="str">
            <v>0</v>
          </cell>
          <cell r="CU208" t="str">
            <v>0</v>
          </cell>
          <cell r="CV208" t="str">
            <v>0</v>
          </cell>
          <cell r="CW208" t="str">
            <v>0</v>
          </cell>
          <cell r="CX208" t="str">
            <v>0</v>
          </cell>
          <cell r="CY208" t="str">
            <v>0</v>
          </cell>
          <cell r="CZ208" t="str">
            <v>0</v>
          </cell>
          <cell r="DA208" t="str">
            <v>0</v>
          </cell>
          <cell r="DB208" t="str">
            <v>0</v>
          </cell>
          <cell r="DC208" t="str">
            <v>0</v>
          </cell>
          <cell r="DD208" t="str">
            <v>0</v>
          </cell>
          <cell r="DE208" t="str">
            <v>0</v>
          </cell>
          <cell r="DF208" t="str">
            <v>0</v>
          </cell>
          <cell r="DG208" t="str">
            <v>0</v>
          </cell>
          <cell r="DH208" t="str">
            <v>0</v>
          </cell>
          <cell r="DI208" t="str">
            <v>0</v>
          </cell>
          <cell r="DJ208" t="str">
            <v>0</v>
          </cell>
          <cell r="DK208" t="str">
            <v>0</v>
          </cell>
          <cell r="DL208" t="str">
            <v>0</v>
          </cell>
          <cell r="DM208" t="str">
            <v>0</v>
          </cell>
          <cell r="DN208" t="str">
            <v>0</v>
          </cell>
          <cell r="DO208" t="str">
            <v>0</v>
          </cell>
          <cell r="DP208" t="str">
            <v>0</v>
          </cell>
        </row>
        <row r="209">
          <cell r="C209"/>
          <cell r="D209" t="str">
            <v>0</v>
          </cell>
          <cell r="E209" t="str">
            <v>0</v>
          </cell>
          <cell r="F209" t="str">
            <v>0</v>
          </cell>
          <cell r="G209" t="str">
            <v>0</v>
          </cell>
          <cell r="H209" t="str">
            <v>0</v>
          </cell>
          <cell r="I209" t="str">
            <v>0</v>
          </cell>
          <cell r="J209" t="str">
            <v>0</v>
          </cell>
          <cell r="K209" t="str">
            <v>0</v>
          </cell>
          <cell r="L209" t="str">
            <v>0</v>
          </cell>
          <cell r="M209" t="str">
            <v>0</v>
          </cell>
          <cell r="N209" t="str">
            <v>0</v>
          </cell>
          <cell r="O209" t="str">
            <v>0</v>
          </cell>
          <cell r="P209" t="str">
            <v>0</v>
          </cell>
          <cell r="Q209" t="str">
            <v>0</v>
          </cell>
          <cell r="R209" t="str">
            <v>0</v>
          </cell>
          <cell r="S209" t="str">
            <v>0</v>
          </cell>
          <cell r="T209" t="str">
            <v>0</v>
          </cell>
          <cell r="U209" t="str">
            <v>0</v>
          </cell>
          <cell r="V209" t="str">
            <v>0</v>
          </cell>
          <cell r="W209" t="str">
            <v>0</v>
          </cell>
          <cell r="X209" t="str">
            <v>0</v>
          </cell>
          <cell r="Y209" t="str">
            <v>0</v>
          </cell>
          <cell r="Z209" t="str">
            <v>0</v>
          </cell>
          <cell r="AA209" t="str">
            <v>0</v>
          </cell>
          <cell r="AB209" t="str">
            <v>0</v>
          </cell>
          <cell r="AC209" t="str">
            <v>0</v>
          </cell>
          <cell r="AD209" t="str">
            <v>0</v>
          </cell>
          <cell r="AE209" t="str">
            <v>0</v>
          </cell>
          <cell r="AF209" t="str">
            <v>0</v>
          </cell>
          <cell r="AG209" t="str">
            <v>0</v>
          </cell>
          <cell r="AH209" t="str">
            <v>0</v>
          </cell>
          <cell r="AI209" t="str">
            <v>0</v>
          </cell>
          <cell r="AJ209" t="str">
            <v>0</v>
          </cell>
          <cell r="AK209" t="str">
            <v>0</v>
          </cell>
          <cell r="AL209" t="str">
            <v>0</v>
          </cell>
          <cell r="AM209" t="str">
            <v>0</v>
          </cell>
          <cell r="AN209" t="str">
            <v>0</v>
          </cell>
          <cell r="AO209" t="str">
            <v>0</v>
          </cell>
          <cell r="AP209" t="str">
            <v>0</v>
          </cell>
          <cell r="AQ209" t="str">
            <v>0</v>
          </cell>
          <cell r="AR209" t="str">
            <v>0</v>
          </cell>
          <cell r="AS209" t="str">
            <v>0</v>
          </cell>
          <cell r="AT209" t="str">
            <v>0</v>
          </cell>
          <cell r="AU209" t="str">
            <v>0</v>
          </cell>
          <cell r="AV209" t="str">
            <v>0</v>
          </cell>
          <cell r="AW209" t="str">
            <v>0</v>
          </cell>
          <cell r="AX209" t="str">
            <v>0</v>
          </cell>
          <cell r="AY209" t="str">
            <v>0</v>
          </cell>
          <cell r="AZ209" t="str">
            <v>0</v>
          </cell>
          <cell r="BA209" t="str">
            <v>0</v>
          </cell>
          <cell r="BB209" t="str">
            <v>0</v>
          </cell>
          <cell r="BC209" t="str">
            <v>0</v>
          </cell>
          <cell r="BD209" t="str">
            <v>0</v>
          </cell>
          <cell r="BE209" t="str">
            <v>0</v>
          </cell>
          <cell r="BF209" t="str">
            <v>0</v>
          </cell>
          <cell r="BG209" t="str">
            <v>0</v>
          </cell>
          <cell r="BH209" t="str">
            <v>0</v>
          </cell>
          <cell r="BI209" t="str">
            <v>0</v>
          </cell>
          <cell r="BJ209" t="str">
            <v>0</v>
          </cell>
          <cell r="BK209" t="str">
            <v>0</v>
          </cell>
          <cell r="BL209" t="str">
            <v>0</v>
          </cell>
          <cell r="BM209" t="str">
            <v>0</v>
          </cell>
          <cell r="BN209" t="str">
            <v>0</v>
          </cell>
          <cell r="BO209" t="str">
            <v>0</v>
          </cell>
          <cell r="BP209" t="str">
            <v>0</v>
          </cell>
          <cell r="BQ209" t="str">
            <v>0</v>
          </cell>
          <cell r="BR209" t="str">
            <v>0</v>
          </cell>
          <cell r="BS209" t="str">
            <v>0</v>
          </cell>
          <cell r="BT209" t="str">
            <v>0</v>
          </cell>
          <cell r="BU209" t="str">
            <v>0</v>
          </cell>
          <cell r="BV209" t="str">
            <v>0</v>
          </cell>
          <cell r="BW209" t="str">
            <v>0</v>
          </cell>
          <cell r="BX209" t="str">
            <v>0</v>
          </cell>
          <cell r="BY209" t="str">
            <v>0</v>
          </cell>
          <cell r="BZ209" t="str">
            <v>0</v>
          </cell>
          <cell r="CA209" t="str">
            <v>0</v>
          </cell>
          <cell r="CB209" t="str">
            <v>0</v>
          </cell>
          <cell r="CC209" t="str">
            <v>0</v>
          </cell>
          <cell r="CD209" t="str">
            <v>0</v>
          </cell>
          <cell r="CE209" t="str">
            <v>0</v>
          </cell>
          <cell r="CF209" t="str">
            <v>0</v>
          </cell>
          <cell r="CG209" t="str">
            <v>0</v>
          </cell>
          <cell r="CH209" t="str">
            <v>0</v>
          </cell>
          <cell r="CI209" t="str">
            <v>0</v>
          </cell>
          <cell r="CJ209" t="str">
            <v>0</v>
          </cell>
          <cell r="CK209" t="str">
            <v>0</v>
          </cell>
          <cell r="CL209" t="str">
            <v>0</v>
          </cell>
          <cell r="CM209" t="str">
            <v>0</v>
          </cell>
          <cell r="CN209" t="str">
            <v>0</v>
          </cell>
          <cell r="CO209" t="str">
            <v>0</v>
          </cell>
          <cell r="CP209" t="str">
            <v>0</v>
          </cell>
          <cell r="CQ209" t="str">
            <v>0</v>
          </cell>
          <cell r="CR209" t="str">
            <v>0</v>
          </cell>
          <cell r="CS209" t="str">
            <v>0</v>
          </cell>
          <cell r="CT209" t="str">
            <v>0</v>
          </cell>
          <cell r="CU209" t="str">
            <v>0</v>
          </cell>
          <cell r="CV209" t="str">
            <v>0</v>
          </cell>
          <cell r="CW209" t="str">
            <v>0</v>
          </cell>
          <cell r="CX209" t="str">
            <v>0</v>
          </cell>
          <cell r="CY209" t="str">
            <v>0</v>
          </cell>
          <cell r="CZ209" t="str">
            <v>0</v>
          </cell>
          <cell r="DA209" t="str">
            <v>0</v>
          </cell>
          <cell r="DB209" t="str">
            <v>0</v>
          </cell>
          <cell r="DC209" t="str">
            <v>0</v>
          </cell>
          <cell r="DD209" t="str">
            <v>0</v>
          </cell>
          <cell r="DE209" t="str">
            <v>0</v>
          </cell>
          <cell r="DF209" t="str">
            <v>0</v>
          </cell>
          <cell r="DG209" t="str">
            <v>0</v>
          </cell>
          <cell r="DH209" t="str">
            <v>0</v>
          </cell>
          <cell r="DI209" t="str">
            <v>0</v>
          </cell>
          <cell r="DJ209" t="str">
            <v>0</v>
          </cell>
          <cell r="DK209" t="str">
            <v>0</v>
          </cell>
          <cell r="DL209" t="str">
            <v>0</v>
          </cell>
          <cell r="DM209" t="str">
            <v>0</v>
          </cell>
          <cell r="DN209" t="str">
            <v>0</v>
          </cell>
          <cell r="DO209" t="str">
            <v>0</v>
          </cell>
          <cell r="DP209" t="str">
            <v>0</v>
          </cell>
        </row>
        <row r="210">
          <cell r="C210"/>
          <cell r="D210" t="str">
            <v>0</v>
          </cell>
          <cell r="E210" t="str">
            <v>0</v>
          </cell>
          <cell r="F210" t="str">
            <v>0</v>
          </cell>
          <cell r="G210" t="str">
            <v>0</v>
          </cell>
          <cell r="H210" t="str">
            <v>0</v>
          </cell>
          <cell r="I210" t="str">
            <v>0</v>
          </cell>
          <cell r="J210" t="str">
            <v>0</v>
          </cell>
          <cell r="K210" t="str">
            <v>0</v>
          </cell>
          <cell r="L210" t="str">
            <v>0</v>
          </cell>
          <cell r="M210" t="str">
            <v>0</v>
          </cell>
          <cell r="N210" t="str">
            <v>0</v>
          </cell>
          <cell r="O210" t="str">
            <v>0</v>
          </cell>
          <cell r="P210" t="str">
            <v>0</v>
          </cell>
          <cell r="Q210" t="str">
            <v>0</v>
          </cell>
          <cell r="R210" t="str">
            <v>0</v>
          </cell>
          <cell r="S210" t="str">
            <v>0</v>
          </cell>
          <cell r="T210" t="str">
            <v>0</v>
          </cell>
          <cell r="U210" t="str">
            <v>0</v>
          </cell>
          <cell r="V210" t="str">
            <v>0</v>
          </cell>
          <cell r="W210" t="str">
            <v>0</v>
          </cell>
          <cell r="X210" t="str">
            <v>0</v>
          </cell>
          <cell r="Y210" t="str">
            <v>0</v>
          </cell>
          <cell r="Z210" t="str">
            <v>0</v>
          </cell>
          <cell r="AA210" t="str">
            <v>0</v>
          </cell>
          <cell r="AB210" t="str">
            <v>0</v>
          </cell>
          <cell r="AC210" t="str">
            <v>0</v>
          </cell>
          <cell r="AD210" t="str">
            <v>0</v>
          </cell>
          <cell r="AE210" t="str">
            <v>0</v>
          </cell>
          <cell r="AF210" t="str">
            <v>0</v>
          </cell>
          <cell r="AG210" t="str">
            <v>0</v>
          </cell>
          <cell r="AH210" t="str">
            <v>0</v>
          </cell>
          <cell r="AI210" t="str">
            <v>0</v>
          </cell>
          <cell r="AJ210" t="str">
            <v>0</v>
          </cell>
          <cell r="AK210" t="str">
            <v>0</v>
          </cell>
          <cell r="AL210" t="str">
            <v>0</v>
          </cell>
          <cell r="AM210" t="str">
            <v>0</v>
          </cell>
          <cell r="AN210" t="str">
            <v>0</v>
          </cell>
          <cell r="AO210" t="str">
            <v>0</v>
          </cell>
          <cell r="AP210" t="str">
            <v>0</v>
          </cell>
          <cell r="AQ210" t="str">
            <v>0</v>
          </cell>
          <cell r="AR210" t="str">
            <v>0</v>
          </cell>
          <cell r="AS210" t="str">
            <v>0</v>
          </cell>
          <cell r="AT210" t="str">
            <v>0</v>
          </cell>
          <cell r="AU210" t="str">
            <v>0</v>
          </cell>
          <cell r="AV210" t="str">
            <v>0</v>
          </cell>
          <cell r="AW210" t="str">
            <v>0</v>
          </cell>
          <cell r="AX210" t="str">
            <v>0</v>
          </cell>
          <cell r="AY210" t="str">
            <v>0</v>
          </cell>
          <cell r="AZ210" t="str">
            <v>0</v>
          </cell>
          <cell r="BA210" t="str">
            <v>0</v>
          </cell>
          <cell r="BB210" t="str">
            <v>0</v>
          </cell>
          <cell r="BC210" t="str">
            <v>0</v>
          </cell>
          <cell r="BD210" t="str">
            <v>0</v>
          </cell>
          <cell r="BE210" t="str">
            <v>0</v>
          </cell>
          <cell r="BF210" t="str">
            <v>0</v>
          </cell>
          <cell r="BG210" t="str">
            <v>0</v>
          </cell>
          <cell r="BH210" t="str">
            <v>0</v>
          </cell>
          <cell r="BI210" t="str">
            <v>0</v>
          </cell>
          <cell r="BJ210" t="str">
            <v>0</v>
          </cell>
          <cell r="BK210" t="str">
            <v>0</v>
          </cell>
          <cell r="BL210" t="str">
            <v>0</v>
          </cell>
          <cell r="BM210" t="str">
            <v>0</v>
          </cell>
          <cell r="BN210" t="str">
            <v>0</v>
          </cell>
          <cell r="BO210" t="str">
            <v>0</v>
          </cell>
          <cell r="BP210" t="str">
            <v>0</v>
          </cell>
          <cell r="BQ210" t="str">
            <v>0</v>
          </cell>
          <cell r="BR210" t="str">
            <v>0</v>
          </cell>
          <cell r="BS210" t="str">
            <v>0</v>
          </cell>
          <cell r="BT210" t="str">
            <v>0</v>
          </cell>
          <cell r="BU210" t="str">
            <v>0</v>
          </cell>
          <cell r="BV210" t="str">
            <v>0</v>
          </cell>
          <cell r="BW210" t="str">
            <v>0</v>
          </cell>
          <cell r="BX210" t="str">
            <v>0</v>
          </cell>
          <cell r="BY210" t="str">
            <v>0</v>
          </cell>
          <cell r="BZ210" t="str">
            <v>0</v>
          </cell>
          <cell r="CA210" t="str">
            <v>0</v>
          </cell>
          <cell r="CB210" t="str">
            <v>0</v>
          </cell>
          <cell r="CC210" t="str">
            <v>0</v>
          </cell>
          <cell r="CD210" t="str">
            <v>0</v>
          </cell>
          <cell r="CE210" t="str">
            <v>0</v>
          </cell>
          <cell r="CF210" t="str">
            <v>0</v>
          </cell>
          <cell r="CG210" t="str">
            <v>0</v>
          </cell>
          <cell r="CH210" t="str">
            <v>0</v>
          </cell>
          <cell r="CI210" t="str">
            <v>0</v>
          </cell>
          <cell r="CJ210" t="str">
            <v>0</v>
          </cell>
          <cell r="CK210" t="str">
            <v>0</v>
          </cell>
          <cell r="CL210" t="str">
            <v>0</v>
          </cell>
          <cell r="CM210" t="str">
            <v>0</v>
          </cell>
          <cell r="CN210" t="str">
            <v>0</v>
          </cell>
          <cell r="CO210" t="str">
            <v>0</v>
          </cell>
          <cell r="CP210" t="str">
            <v>0</v>
          </cell>
          <cell r="CQ210" t="str">
            <v>0</v>
          </cell>
          <cell r="CR210" t="str">
            <v>0</v>
          </cell>
          <cell r="CS210" t="str">
            <v>0</v>
          </cell>
          <cell r="CT210" t="str">
            <v>0</v>
          </cell>
          <cell r="CU210" t="str">
            <v>0</v>
          </cell>
          <cell r="CV210" t="str">
            <v>0</v>
          </cell>
          <cell r="CW210" t="str">
            <v>0</v>
          </cell>
          <cell r="CX210" t="str">
            <v>0</v>
          </cell>
          <cell r="CY210" t="str">
            <v>0</v>
          </cell>
          <cell r="CZ210" t="str">
            <v>0</v>
          </cell>
          <cell r="DA210" t="str">
            <v>0</v>
          </cell>
          <cell r="DB210" t="str">
            <v>0</v>
          </cell>
          <cell r="DC210" t="str">
            <v>0</v>
          </cell>
          <cell r="DD210" t="str">
            <v>0</v>
          </cell>
          <cell r="DE210" t="str">
            <v>0</v>
          </cell>
          <cell r="DF210" t="str">
            <v>0</v>
          </cell>
          <cell r="DG210" t="str">
            <v>0</v>
          </cell>
          <cell r="DH210" t="str">
            <v>0</v>
          </cell>
          <cell r="DI210" t="str">
            <v>0</v>
          </cell>
          <cell r="DJ210" t="str">
            <v>0</v>
          </cell>
          <cell r="DK210" t="str">
            <v>0</v>
          </cell>
          <cell r="DL210" t="str">
            <v>0</v>
          </cell>
          <cell r="DM210" t="str">
            <v>0</v>
          </cell>
          <cell r="DN210" t="str">
            <v>0</v>
          </cell>
          <cell r="DO210" t="str">
            <v>0</v>
          </cell>
          <cell r="DP210" t="str">
            <v>0</v>
          </cell>
        </row>
        <row r="211">
          <cell r="C211"/>
          <cell r="D211" t="str">
            <v>0</v>
          </cell>
          <cell r="E211" t="str">
            <v>0</v>
          </cell>
          <cell r="F211" t="str">
            <v>0</v>
          </cell>
          <cell r="G211" t="str">
            <v>0</v>
          </cell>
          <cell r="H211" t="str">
            <v>0</v>
          </cell>
          <cell r="I211" t="str">
            <v>0</v>
          </cell>
          <cell r="J211" t="str">
            <v>0</v>
          </cell>
          <cell r="K211" t="str">
            <v>0</v>
          </cell>
          <cell r="L211" t="str">
            <v>0</v>
          </cell>
          <cell r="M211" t="str">
            <v>0</v>
          </cell>
          <cell r="N211" t="str">
            <v>0</v>
          </cell>
          <cell r="O211" t="str">
            <v>0</v>
          </cell>
          <cell r="P211" t="str">
            <v>0</v>
          </cell>
          <cell r="Q211" t="str">
            <v>0</v>
          </cell>
          <cell r="R211" t="str">
            <v>0</v>
          </cell>
          <cell r="S211" t="str">
            <v>0</v>
          </cell>
          <cell r="T211" t="str">
            <v>0</v>
          </cell>
          <cell r="U211" t="str">
            <v>0</v>
          </cell>
          <cell r="V211" t="str">
            <v>0</v>
          </cell>
          <cell r="W211" t="str">
            <v>0</v>
          </cell>
          <cell r="X211" t="str">
            <v>0</v>
          </cell>
          <cell r="Y211" t="str">
            <v>0</v>
          </cell>
          <cell r="Z211" t="str">
            <v>0</v>
          </cell>
          <cell r="AA211" t="str">
            <v>0</v>
          </cell>
          <cell r="AB211" t="str">
            <v>0</v>
          </cell>
          <cell r="AC211" t="str">
            <v>0</v>
          </cell>
          <cell r="AD211" t="str">
            <v>0</v>
          </cell>
          <cell r="AE211" t="str">
            <v>0</v>
          </cell>
          <cell r="AF211" t="str">
            <v>0</v>
          </cell>
          <cell r="AG211" t="str">
            <v>0</v>
          </cell>
          <cell r="AH211" t="str">
            <v>0</v>
          </cell>
          <cell r="AI211" t="str">
            <v>0</v>
          </cell>
          <cell r="AJ211" t="str">
            <v>0</v>
          </cell>
          <cell r="AK211" t="str">
            <v>0</v>
          </cell>
          <cell r="AL211" t="str">
            <v>0</v>
          </cell>
          <cell r="AM211" t="str">
            <v>0</v>
          </cell>
          <cell r="AN211" t="str">
            <v>0</v>
          </cell>
          <cell r="AO211" t="str">
            <v>0</v>
          </cell>
          <cell r="AP211" t="str">
            <v>0</v>
          </cell>
          <cell r="AQ211" t="str">
            <v>0</v>
          </cell>
          <cell r="AR211" t="str">
            <v>0</v>
          </cell>
          <cell r="AS211" t="str">
            <v>0</v>
          </cell>
          <cell r="AT211" t="str">
            <v>0</v>
          </cell>
          <cell r="AU211" t="str">
            <v>0</v>
          </cell>
          <cell r="AV211" t="str">
            <v>0</v>
          </cell>
          <cell r="AW211" t="str">
            <v>0</v>
          </cell>
          <cell r="AX211" t="str">
            <v>0</v>
          </cell>
          <cell r="AY211" t="str">
            <v>0</v>
          </cell>
          <cell r="AZ211" t="str">
            <v>0</v>
          </cell>
          <cell r="BA211" t="str">
            <v>0</v>
          </cell>
          <cell r="BB211" t="str">
            <v>0</v>
          </cell>
          <cell r="BC211" t="str">
            <v>0</v>
          </cell>
          <cell r="BD211" t="str">
            <v>0</v>
          </cell>
          <cell r="BE211" t="str">
            <v>0</v>
          </cell>
          <cell r="BF211" t="str">
            <v>0</v>
          </cell>
          <cell r="BG211" t="str">
            <v>0</v>
          </cell>
          <cell r="BH211" t="str">
            <v>0</v>
          </cell>
          <cell r="BI211" t="str">
            <v>0</v>
          </cell>
          <cell r="BJ211" t="str">
            <v>0</v>
          </cell>
          <cell r="BK211" t="str">
            <v>0</v>
          </cell>
          <cell r="BL211" t="str">
            <v>0</v>
          </cell>
          <cell r="BM211" t="str">
            <v>0</v>
          </cell>
          <cell r="BN211" t="str">
            <v>0</v>
          </cell>
          <cell r="BO211" t="str">
            <v>0</v>
          </cell>
          <cell r="BP211" t="str">
            <v>0</v>
          </cell>
          <cell r="BQ211" t="str">
            <v>0</v>
          </cell>
          <cell r="BR211" t="str">
            <v>0</v>
          </cell>
          <cell r="BS211" t="str">
            <v>0</v>
          </cell>
          <cell r="BT211" t="str">
            <v>0</v>
          </cell>
          <cell r="BU211" t="str">
            <v>0</v>
          </cell>
          <cell r="BV211" t="str">
            <v>0</v>
          </cell>
          <cell r="BW211" t="str">
            <v>0</v>
          </cell>
          <cell r="BX211" t="str">
            <v>0</v>
          </cell>
          <cell r="BY211" t="str">
            <v>0</v>
          </cell>
          <cell r="BZ211" t="str">
            <v>0</v>
          </cell>
          <cell r="CA211" t="str">
            <v>0</v>
          </cell>
          <cell r="CB211" t="str">
            <v>0</v>
          </cell>
          <cell r="CC211" t="str">
            <v>0</v>
          </cell>
          <cell r="CD211" t="str">
            <v>0</v>
          </cell>
          <cell r="CE211" t="str">
            <v>0</v>
          </cell>
          <cell r="CF211" t="str">
            <v>0</v>
          </cell>
          <cell r="CG211" t="str">
            <v>0</v>
          </cell>
          <cell r="CH211" t="str">
            <v>0</v>
          </cell>
          <cell r="CI211" t="str">
            <v>0</v>
          </cell>
          <cell r="CJ211" t="str">
            <v>0</v>
          </cell>
          <cell r="CK211" t="str">
            <v>0</v>
          </cell>
          <cell r="CL211" t="str">
            <v>0</v>
          </cell>
          <cell r="CM211" t="str">
            <v>0</v>
          </cell>
          <cell r="CN211" t="str">
            <v>0</v>
          </cell>
          <cell r="CO211" t="str">
            <v>0</v>
          </cell>
          <cell r="CP211" t="str">
            <v>0</v>
          </cell>
          <cell r="CQ211" t="str">
            <v>0</v>
          </cell>
          <cell r="CR211" t="str">
            <v>0</v>
          </cell>
          <cell r="CS211" t="str">
            <v>0</v>
          </cell>
          <cell r="CT211" t="str">
            <v>0</v>
          </cell>
          <cell r="CU211" t="str">
            <v>0</v>
          </cell>
          <cell r="CV211" t="str">
            <v>0</v>
          </cell>
          <cell r="CW211" t="str">
            <v>0</v>
          </cell>
          <cell r="CX211" t="str">
            <v>0</v>
          </cell>
          <cell r="CY211" t="str">
            <v>0</v>
          </cell>
          <cell r="CZ211" t="str">
            <v>0</v>
          </cell>
          <cell r="DA211" t="str">
            <v>0</v>
          </cell>
          <cell r="DB211" t="str">
            <v>0</v>
          </cell>
          <cell r="DC211" t="str">
            <v>0</v>
          </cell>
          <cell r="DD211" t="str">
            <v>0</v>
          </cell>
          <cell r="DE211" t="str">
            <v>0</v>
          </cell>
          <cell r="DF211" t="str">
            <v>0</v>
          </cell>
          <cell r="DG211" t="str">
            <v>0</v>
          </cell>
          <cell r="DH211" t="str">
            <v>0</v>
          </cell>
          <cell r="DI211" t="str">
            <v>0</v>
          </cell>
          <cell r="DJ211" t="str">
            <v>0</v>
          </cell>
          <cell r="DK211" t="str">
            <v>0</v>
          </cell>
          <cell r="DL211" t="str">
            <v>0</v>
          </cell>
          <cell r="DM211" t="str">
            <v>0</v>
          </cell>
          <cell r="DN211" t="str">
            <v>0</v>
          </cell>
          <cell r="DO211" t="str">
            <v>0</v>
          </cell>
          <cell r="DP211" t="str">
            <v>0</v>
          </cell>
        </row>
        <row r="212">
          <cell r="C212"/>
          <cell r="D212" t="str">
            <v>0</v>
          </cell>
          <cell r="E212" t="str">
            <v>0</v>
          </cell>
          <cell r="F212" t="str">
            <v>0</v>
          </cell>
          <cell r="G212" t="str">
            <v>0</v>
          </cell>
          <cell r="H212" t="str">
            <v>0</v>
          </cell>
          <cell r="I212" t="str">
            <v>0</v>
          </cell>
          <cell r="J212" t="str">
            <v>0</v>
          </cell>
          <cell r="K212" t="str">
            <v>0</v>
          </cell>
          <cell r="L212" t="str">
            <v>0</v>
          </cell>
          <cell r="M212" t="str">
            <v>0</v>
          </cell>
          <cell r="N212" t="str">
            <v>0</v>
          </cell>
          <cell r="O212" t="str">
            <v>0</v>
          </cell>
          <cell r="P212" t="str">
            <v>0</v>
          </cell>
          <cell r="Q212" t="str">
            <v>0</v>
          </cell>
          <cell r="R212" t="str">
            <v>0</v>
          </cell>
          <cell r="S212" t="str">
            <v>0</v>
          </cell>
          <cell r="T212" t="str">
            <v>0</v>
          </cell>
          <cell r="U212" t="str">
            <v>0</v>
          </cell>
          <cell r="V212" t="str">
            <v>0</v>
          </cell>
          <cell r="W212" t="str">
            <v>0</v>
          </cell>
          <cell r="X212" t="str">
            <v>0</v>
          </cell>
          <cell r="Y212" t="str">
            <v>0</v>
          </cell>
          <cell r="Z212" t="str">
            <v>0</v>
          </cell>
          <cell r="AA212" t="str">
            <v>0</v>
          </cell>
          <cell r="AB212" t="str">
            <v>0</v>
          </cell>
          <cell r="AC212" t="str">
            <v>0</v>
          </cell>
          <cell r="AD212" t="str">
            <v>0</v>
          </cell>
          <cell r="AE212" t="str">
            <v>0</v>
          </cell>
          <cell r="AF212" t="str">
            <v>0</v>
          </cell>
          <cell r="AG212" t="str">
            <v>0</v>
          </cell>
          <cell r="AH212" t="str">
            <v>0</v>
          </cell>
          <cell r="AI212" t="str">
            <v>0</v>
          </cell>
          <cell r="AJ212" t="str">
            <v>0</v>
          </cell>
          <cell r="AK212" t="str">
            <v>0</v>
          </cell>
          <cell r="AL212" t="str">
            <v>0</v>
          </cell>
          <cell r="AM212" t="str">
            <v>0</v>
          </cell>
          <cell r="AN212" t="str">
            <v>0</v>
          </cell>
          <cell r="AO212" t="str">
            <v>0</v>
          </cell>
          <cell r="AP212" t="str">
            <v>0</v>
          </cell>
          <cell r="AQ212" t="str">
            <v>0</v>
          </cell>
          <cell r="AR212" t="str">
            <v>0</v>
          </cell>
          <cell r="AS212" t="str">
            <v>0</v>
          </cell>
          <cell r="AT212" t="str">
            <v>0</v>
          </cell>
          <cell r="AU212" t="str">
            <v>0</v>
          </cell>
          <cell r="AV212" t="str">
            <v>0</v>
          </cell>
          <cell r="AW212" t="str">
            <v>0</v>
          </cell>
          <cell r="AX212" t="str">
            <v>0</v>
          </cell>
          <cell r="AY212" t="str">
            <v>0</v>
          </cell>
          <cell r="AZ212" t="str">
            <v>0</v>
          </cell>
          <cell r="BA212" t="str">
            <v>0</v>
          </cell>
          <cell r="BB212" t="str">
            <v>0</v>
          </cell>
          <cell r="BC212" t="str">
            <v>0</v>
          </cell>
          <cell r="BD212" t="str">
            <v>0</v>
          </cell>
          <cell r="BE212" t="str">
            <v>0</v>
          </cell>
          <cell r="BF212" t="str">
            <v>0</v>
          </cell>
          <cell r="BG212" t="str">
            <v>0</v>
          </cell>
          <cell r="BH212" t="str">
            <v>0</v>
          </cell>
          <cell r="BI212" t="str">
            <v>0</v>
          </cell>
          <cell r="BJ212" t="str">
            <v>0</v>
          </cell>
          <cell r="BK212" t="str">
            <v>0</v>
          </cell>
          <cell r="BL212" t="str">
            <v>0</v>
          </cell>
          <cell r="BM212" t="str">
            <v>0</v>
          </cell>
          <cell r="BN212" t="str">
            <v>0</v>
          </cell>
          <cell r="BO212" t="str">
            <v>0</v>
          </cell>
          <cell r="BP212" t="str">
            <v>0</v>
          </cell>
          <cell r="BQ212" t="str">
            <v>0</v>
          </cell>
          <cell r="BR212" t="str">
            <v>0</v>
          </cell>
          <cell r="BS212" t="str">
            <v>0</v>
          </cell>
          <cell r="BT212" t="str">
            <v>0</v>
          </cell>
          <cell r="BU212" t="str">
            <v>0</v>
          </cell>
          <cell r="BV212" t="str">
            <v>0</v>
          </cell>
          <cell r="BW212" t="str">
            <v>0</v>
          </cell>
          <cell r="BX212" t="str">
            <v>0</v>
          </cell>
          <cell r="BY212" t="str">
            <v>0</v>
          </cell>
          <cell r="BZ212" t="str">
            <v>0</v>
          </cell>
          <cell r="CA212" t="str">
            <v>0</v>
          </cell>
          <cell r="CB212" t="str">
            <v>0</v>
          </cell>
          <cell r="CC212" t="str">
            <v>0</v>
          </cell>
          <cell r="CD212" t="str">
            <v>0</v>
          </cell>
          <cell r="CE212" t="str">
            <v>0</v>
          </cell>
          <cell r="CF212" t="str">
            <v>0</v>
          </cell>
          <cell r="CG212" t="str">
            <v>0</v>
          </cell>
          <cell r="CH212" t="str">
            <v>0</v>
          </cell>
          <cell r="CI212" t="str">
            <v>0</v>
          </cell>
          <cell r="CJ212" t="str">
            <v>0</v>
          </cell>
          <cell r="CK212" t="str">
            <v>0</v>
          </cell>
          <cell r="CL212" t="str">
            <v>0</v>
          </cell>
          <cell r="CM212" t="str">
            <v>0</v>
          </cell>
          <cell r="CN212" t="str">
            <v>0</v>
          </cell>
          <cell r="CO212" t="str">
            <v>0</v>
          </cell>
          <cell r="CP212" t="str">
            <v>0</v>
          </cell>
          <cell r="CQ212" t="str">
            <v>0</v>
          </cell>
          <cell r="CR212" t="str">
            <v>0</v>
          </cell>
          <cell r="CS212" t="str">
            <v>0</v>
          </cell>
          <cell r="CT212" t="str">
            <v>0</v>
          </cell>
          <cell r="CU212" t="str">
            <v>0</v>
          </cell>
          <cell r="CV212" t="str">
            <v>0</v>
          </cell>
          <cell r="CW212" t="str">
            <v>0</v>
          </cell>
          <cell r="CX212" t="str">
            <v>0</v>
          </cell>
          <cell r="CY212" t="str">
            <v>0</v>
          </cell>
          <cell r="CZ212" t="str">
            <v>0</v>
          </cell>
          <cell r="DA212" t="str">
            <v>0</v>
          </cell>
          <cell r="DB212" t="str">
            <v>0</v>
          </cell>
          <cell r="DC212" t="str">
            <v>0</v>
          </cell>
          <cell r="DD212" t="str">
            <v>0</v>
          </cell>
          <cell r="DE212" t="str">
            <v>0</v>
          </cell>
          <cell r="DF212" t="str">
            <v>0</v>
          </cell>
          <cell r="DG212" t="str">
            <v>0</v>
          </cell>
          <cell r="DH212" t="str">
            <v>0</v>
          </cell>
          <cell r="DI212" t="str">
            <v>0</v>
          </cell>
          <cell r="DJ212" t="str">
            <v>0</v>
          </cell>
          <cell r="DK212" t="str">
            <v>0</v>
          </cell>
          <cell r="DL212" t="str">
            <v>0</v>
          </cell>
          <cell r="DM212" t="str">
            <v>0</v>
          </cell>
          <cell r="DN212" t="str">
            <v>0</v>
          </cell>
          <cell r="DO212" t="str">
            <v>0</v>
          </cell>
          <cell r="DP212" t="str">
            <v>0</v>
          </cell>
        </row>
        <row r="213">
          <cell r="C213"/>
          <cell r="D213" t="str">
            <v>0</v>
          </cell>
          <cell r="E213" t="str">
            <v>0</v>
          </cell>
          <cell r="F213" t="str">
            <v>0</v>
          </cell>
          <cell r="G213" t="str">
            <v>0</v>
          </cell>
          <cell r="H213" t="str">
            <v>0</v>
          </cell>
          <cell r="I213" t="str">
            <v>0</v>
          </cell>
          <cell r="J213" t="str">
            <v>0</v>
          </cell>
          <cell r="K213" t="str">
            <v>0</v>
          </cell>
          <cell r="L213" t="str">
            <v>0</v>
          </cell>
          <cell r="M213" t="str">
            <v>0</v>
          </cell>
          <cell r="N213" t="str">
            <v>0</v>
          </cell>
          <cell r="O213" t="str">
            <v>0</v>
          </cell>
          <cell r="P213" t="str">
            <v>0</v>
          </cell>
          <cell r="Q213" t="str">
            <v>0</v>
          </cell>
          <cell r="R213" t="str">
            <v>0</v>
          </cell>
          <cell r="S213" t="str">
            <v>0</v>
          </cell>
          <cell r="T213" t="str">
            <v>0</v>
          </cell>
          <cell r="U213" t="str">
            <v>0</v>
          </cell>
          <cell r="V213" t="str">
            <v>0</v>
          </cell>
          <cell r="W213" t="str">
            <v>0</v>
          </cell>
          <cell r="X213" t="str">
            <v>0</v>
          </cell>
          <cell r="Y213" t="str">
            <v>0</v>
          </cell>
          <cell r="Z213" t="str">
            <v>0</v>
          </cell>
          <cell r="AA213" t="str">
            <v>0</v>
          </cell>
          <cell r="AB213" t="str">
            <v>0</v>
          </cell>
          <cell r="AC213" t="str">
            <v>0</v>
          </cell>
          <cell r="AD213" t="str">
            <v>0</v>
          </cell>
          <cell r="AE213" t="str">
            <v>0</v>
          </cell>
          <cell r="AF213" t="str">
            <v>0</v>
          </cell>
          <cell r="AG213" t="str">
            <v>0</v>
          </cell>
          <cell r="AH213" t="str">
            <v>0</v>
          </cell>
          <cell r="AI213" t="str">
            <v>0</v>
          </cell>
          <cell r="AJ213" t="str">
            <v>0</v>
          </cell>
          <cell r="AK213" t="str">
            <v>0</v>
          </cell>
          <cell r="AL213" t="str">
            <v>0</v>
          </cell>
          <cell r="AM213" t="str">
            <v>0</v>
          </cell>
          <cell r="AN213" t="str">
            <v>0</v>
          </cell>
          <cell r="AO213" t="str">
            <v>0</v>
          </cell>
          <cell r="AP213" t="str">
            <v>0</v>
          </cell>
          <cell r="AQ213" t="str">
            <v>0</v>
          </cell>
          <cell r="AR213" t="str">
            <v>0</v>
          </cell>
          <cell r="AS213" t="str">
            <v>0</v>
          </cell>
          <cell r="AT213" t="str">
            <v>0</v>
          </cell>
          <cell r="AU213" t="str">
            <v>0</v>
          </cell>
          <cell r="AV213" t="str">
            <v>0</v>
          </cell>
          <cell r="AW213" t="str">
            <v>0</v>
          </cell>
          <cell r="AX213" t="str">
            <v>0</v>
          </cell>
          <cell r="AY213" t="str">
            <v>0</v>
          </cell>
          <cell r="AZ213" t="str">
            <v>0</v>
          </cell>
          <cell r="BA213" t="str">
            <v>0</v>
          </cell>
          <cell r="BB213" t="str">
            <v>0</v>
          </cell>
          <cell r="BC213" t="str">
            <v>0</v>
          </cell>
          <cell r="BD213" t="str">
            <v>0</v>
          </cell>
          <cell r="BE213" t="str">
            <v>0</v>
          </cell>
          <cell r="BF213" t="str">
            <v>0</v>
          </cell>
          <cell r="BG213" t="str">
            <v>0</v>
          </cell>
          <cell r="BH213" t="str">
            <v>0</v>
          </cell>
          <cell r="BI213" t="str">
            <v>0</v>
          </cell>
          <cell r="BJ213" t="str">
            <v>0</v>
          </cell>
          <cell r="BK213" t="str">
            <v>0</v>
          </cell>
          <cell r="BL213" t="str">
            <v>0</v>
          </cell>
          <cell r="BM213" t="str">
            <v>0</v>
          </cell>
          <cell r="BN213" t="str">
            <v>0</v>
          </cell>
          <cell r="BO213" t="str">
            <v>0</v>
          </cell>
          <cell r="BP213" t="str">
            <v>0</v>
          </cell>
          <cell r="BQ213" t="str">
            <v>0</v>
          </cell>
          <cell r="BR213" t="str">
            <v>0</v>
          </cell>
          <cell r="BS213" t="str">
            <v>0</v>
          </cell>
          <cell r="BT213" t="str">
            <v>0</v>
          </cell>
          <cell r="BU213" t="str">
            <v>0</v>
          </cell>
          <cell r="BV213" t="str">
            <v>0</v>
          </cell>
          <cell r="BW213" t="str">
            <v>0</v>
          </cell>
          <cell r="BX213" t="str">
            <v>0</v>
          </cell>
          <cell r="BY213" t="str">
            <v>0</v>
          </cell>
          <cell r="BZ213" t="str">
            <v>0</v>
          </cell>
          <cell r="CA213" t="str">
            <v>0</v>
          </cell>
          <cell r="CB213" t="str">
            <v>0</v>
          </cell>
          <cell r="CC213" t="str">
            <v>0</v>
          </cell>
          <cell r="CD213" t="str">
            <v>0</v>
          </cell>
          <cell r="CE213" t="str">
            <v>0</v>
          </cell>
          <cell r="CF213" t="str">
            <v>0</v>
          </cell>
          <cell r="CG213" t="str">
            <v>0</v>
          </cell>
          <cell r="CH213" t="str">
            <v>0</v>
          </cell>
          <cell r="CI213" t="str">
            <v>0</v>
          </cell>
          <cell r="CJ213" t="str">
            <v>0</v>
          </cell>
          <cell r="CK213" t="str">
            <v>0</v>
          </cell>
          <cell r="CL213" t="str">
            <v>0</v>
          </cell>
          <cell r="CM213" t="str">
            <v>0</v>
          </cell>
          <cell r="CN213" t="str">
            <v>0</v>
          </cell>
          <cell r="CO213" t="str">
            <v>0</v>
          </cell>
          <cell r="CP213" t="str">
            <v>0</v>
          </cell>
          <cell r="CQ213" t="str">
            <v>0</v>
          </cell>
          <cell r="CR213" t="str">
            <v>0</v>
          </cell>
          <cell r="CS213" t="str">
            <v>0</v>
          </cell>
          <cell r="CT213" t="str">
            <v>0</v>
          </cell>
          <cell r="CU213" t="str">
            <v>0</v>
          </cell>
          <cell r="CV213" t="str">
            <v>0</v>
          </cell>
          <cell r="CW213" t="str">
            <v>0</v>
          </cell>
          <cell r="CX213" t="str">
            <v>0</v>
          </cell>
          <cell r="CY213" t="str">
            <v>0</v>
          </cell>
          <cell r="CZ213" t="str">
            <v>0</v>
          </cell>
          <cell r="DA213" t="str">
            <v>0</v>
          </cell>
          <cell r="DB213" t="str">
            <v>0</v>
          </cell>
          <cell r="DC213" t="str">
            <v>0</v>
          </cell>
          <cell r="DD213" t="str">
            <v>0</v>
          </cell>
          <cell r="DE213" t="str">
            <v>0</v>
          </cell>
          <cell r="DF213" t="str">
            <v>0</v>
          </cell>
          <cell r="DG213" t="str">
            <v>0</v>
          </cell>
          <cell r="DH213" t="str">
            <v>0</v>
          </cell>
          <cell r="DI213" t="str">
            <v>0</v>
          </cell>
          <cell r="DJ213" t="str">
            <v>0</v>
          </cell>
          <cell r="DK213" t="str">
            <v>0</v>
          </cell>
          <cell r="DL213" t="str">
            <v>0</v>
          </cell>
          <cell r="DM213" t="str">
            <v>0</v>
          </cell>
          <cell r="DN213" t="str">
            <v>0</v>
          </cell>
          <cell r="DO213" t="str">
            <v>0</v>
          </cell>
          <cell r="DP213" t="str">
            <v>0</v>
          </cell>
        </row>
        <row r="214">
          <cell r="C214"/>
          <cell r="D214" t="str">
            <v>0</v>
          </cell>
          <cell r="E214" t="str">
            <v>0</v>
          </cell>
          <cell r="F214" t="str">
            <v>0</v>
          </cell>
          <cell r="G214" t="str">
            <v>0</v>
          </cell>
          <cell r="H214" t="str">
            <v>0</v>
          </cell>
          <cell r="I214" t="str">
            <v>0</v>
          </cell>
          <cell r="J214" t="str">
            <v>0</v>
          </cell>
          <cell r="K214" t="str">
            <v>0</v>
          </cell>
          <cell r="L214" t="str">
            <v>0</v>
          </cell>
          <cell r="M214" t="str">
            <v>0</v>
          </cell>
          <cell r="N214" t="str">
            <v>0</v>
          </cell>
          <cell r="O214" t="str">
            <v>0</v>
          </cell>
          <cell r="P214" t="str">
            <v>0</v>
          </cell>
          <cell r="Q214" t="str">
            <v>0</v>
          </cell>
          <cell r="R214" t="str">
            <v>0</v>
          </cell>
          <cell r="S214" t="str">
            <v>0</v>
          </cell>
          <cell r="T214" t="str">
            <v>0</v>
          </cell>
          <cell r="U214" t="str">
            <v>0</v>
          </cell>
          <cell r="V214" t="str">
            <v>0</v>
          </cell>
          <cell r="W214" t="str">
            <v>0</v>
          </cell>
          <cell r="X214" t="str">
            <v>0</v>
          </cell>
          <cell r="Y214" t="str">
            <v>0</v>
          </cell>
          <cell r="Z214" t="str">
            <v>0</v>
          </cell>
          <cell r="AA214" t="str">
            <v>0</v>
          </cell>
          <cell r="AB214" t="str">
            <v>0</v>
          </cell>
          <cell r="AC214" t="str">
            <v>0</v>
          </cell>
          <cell r="AD214" t="str">
            <v>0</v>
          </cell>
          <cell r="AE214" t="str">
            <v>0</v>
          </cell>
          <cell r="AF214" t="str">
            <v>0</v>
          </cell>
          <cell r="AG214" t="str">
            <v>0</v>
          </cell>
          <cell r="AH214" t="str">
            <v>0</v>
          </cell>
          <cell r="AI214" t="str">
            <v>0</v>
          </cell>
          <cell r="AJ214" t="str">
            <v>0</v>
          </cell>
          <cell r="AK214" t="str">
            <v>0</v>
          </cell>
          <cell r="AL214" t="str">
            <v>0</v>
          </cell>
          <cell r="AM214" t="str">
            <v>0</v>
          </cell>
          <cell r="AN214" t="str">
            <v>0</v>
          </cell>
          <cell r="AO214" t="str">
            <v>0</v>
          </cell>
          <cell r="AP214" t="str">
            <v>0</v>
          </cell>
          <cell r="AQ214" t="str">
            <v>0</v>
          </cell>
          <cell r="AR214" t="str">
            <v>0</v>
          </cell>
          <cell r="AS214" t="str">
            <v>0</v>
          </cell>
          <cell r="AT214" t="str">
            <v>0</v>
          </cell>
          <cell r="AU214" t="str">
            <v>0</v>
          </cell>
          <cell r="AV214" t="str">
            <v>0</v>
          </cell>
          <cell r="AW214" t="str">
            <v>0</v>
          </cell>
          <cell r="AX214" t="str">
            <v>0</v>
          </cell>
          <cell r="AY214" t="str">
            <v>0</v>
          </cell>
          <cell r="AZ214" t="str">
            <v>0</v>
          </cell>
          <cell r="BA214" t="str">
            <v>0</v>
          </cell>
          <cell r="BB214" t="str">
            <v>0</v>
          </cell>
          <cell r="BC214" t="str">
            <v>0</v>
          </cell>
          <cell r="BD214" t="str">
            <v>0</v>
          </cell>
          <cell r="BE214" t="str">
            <v>0</v>
          </cell>
          <cell r="BF214" t="str">
            <v>0</v>
          </cell>
          <cell r="BG214" t="str">
            <v>0</v>
          </cell>
          <cell r="BH214" t="str">
            <v>0</v>
          </cell>
          <cell r="BI214" t="str">
            <v>0</v>
          </cell>
          <cell r="BJ214" t="str">
            <v>0</v>
          </cell>
          <cell r="BK214" t="str">
            <v>0</v>
          </cell>
          <cell r="BL214" t="str">
            <v>0</v>
          </cell>
          <cell r="BM214" t="str">
            <v>0</v>
          </cell>
          <cell r="BN214" t="str">
            <v>0</v>
          </cell>
          <cell r="BO214" t="str">
            <v>0</v>
          </cell>
          <cell r="BP214" t="str">
            <v>0</v>
          </cell>
          <cell r="BQ214" t="str">
            <v>0</v>
          </cell>
          <cell r="BR214" t="str">
            <v>0</v>
          </cell>
          <cell r="BS214" t="str">
            <v>0</v>
          </cell>
          <cell r="BT214" t="str">
            <v>0</v>
          </cell>
          <cell r="BU214" t="str">
            <v>0</v>
          </cell>
          <cell r="BV214" t="str">
            <v>0</v>
          </cell>
          <cell r="BW214" t="str">
            <v>0</v>
          </cell>
          <cell r="BX214" t="str">
            <v>0</v>
          </cell>
          <cell r="BY214" t="str">
            <v>0</v>
          </cell>
          <cell r="BZ214" t="str">
            <v>0</v>
          </cell>
          <cell r="CA214" t="str">
            <v>0</v>
          </cell>
          <cell r="CB214" t="str">
            <v>0</v>
          </cell>
          <cell r="CC214" t="str">
            <v>0</v>
          </cell>
          <cell r="CD214" t="str">
            <v>0</v>
          </cell>
          <cell r="CE214" t="str">
            <v>0</v>
          </cell>
          <cell r="CF214" t="str">
            <v>0</v>
          </cell>
          <cell r="CG214" t="str">
            <v>0</v>
          </cell>
          <cell r="CH214" t="str">
            <v>0</v>
          </cell>
          <cell r="CI214" t="str">
            <v>0</v>
          </cell>
          <cell r="CJ214" t="str">
            <v>0</v>
          </cell>
          <cell r="CK214" t="str">
            <v>0</v>
          </cell>
          <cell r="CL214" t="str">
            <v>0</v>
          </cell>
          <cell r="CM214" t="str">
            <v>0</v>
          </cell>
          <cell r="CN214" t="str">
            <v>0</v>
          </cell>
          <cell r="CO214" t="str">
            <v>0</v>
          </cell>
          <cell r="CP214" t="str">
            <v>0</v>
          </cell>
          <cell r="CQ214" t="str">
            <v>0</v>
          </cell>
          <cell r="CR214" t="str">
            <v>0</v>
          </cell>
          <cell r="CS214" t="str">
            <v>0</v>
          </cell>
          <cell r="CT214" t="str">
            <v>0</v>
          </cell>
          <cell r="CU214" t="str">
            <v>0</v>
          </cell>
          <cell r="CV214" t="str">
            <v>0</v>
          </cell>
          <cell r="CW214" t="str">
            <v>0</v>
          </cell>
          <cell r="CX214" t="str">
            <v>0</v>
          </cell>
          <cell r="CY214" t="str">
            <v>0</v>
          </cell>
          <cell r="CZ214" t="str">
            <v>0</v>
          </cell>
          <cell r="DA214" t="str">
            <v>0</v>
          </cell>
          <cell r="DB214" t="str">
            <v>0</v>
          </cell>
          <cell r="DC214" t="str">
            <v>0</v>
          </cell>
          <cell r="DD214" t="str">
            <v>0</v>
          </cell>
          <cell r="DE214" t="str">
            <v>0</v>
          </cell>
          <cell r="DF214" t="str">
            <v>0</v>
          </cell>
          <cell r="DG214" t="str">
            <v>0</v>
          </cell>
          <cell r="DH214" t="str">
            <v>0</v>
          </cell>
          <cell r="DI214" t="str">
            <v>0</v>
          </cell>
          <cell r="DJ214" t="str">
            <v>0</v>
          </cell>
          <cell r="DK214" t="str">
            <v>0</v>
          </cell>
          <cell r="DL214" t="str">
            <v>0</v>
          </cell>
          <cell r="DM214" t="str">
            <v>0</v>
          </cell>
          <cell r="DN214" t="str">
            <v>0</v>
          </cell>
          <cell r="DO214" t="str">
            <v>0</v>
          </cell>
          <cell r="DP214" t="str">
            <v>0</v>
          </cell>
        </row>
        <row r="215">
          <cell r="C215"/>
          <cell r="D215" t="str">
            <v>0</v>
          </cell>
          <cell r="E215" t="str">
            <v>0</v>
          </cell>
          <cell r="F215" t="str">
            <v>0</v>
          </cell>
          <cell r="G215" t="str">
            <v>0</v>
          </cell>
          <cell r="H215" t="str">
            <v>0</v>
          </cell>
          <cell r="I215" t="str">
            <v>0</v>
          </cell>
          <cell r="J215" t="str">
            <v>0</v>
          </cell>
          <cell r="K215" t="str">
            <v>0</v>
          </cell>
          <cell r="L215" t="str">
            <v>0</v>
          </cell>
          <cell r="M215" t="str">
            <v>0</v>
          </cell>
          <cell r="N215" t="str">
            <v>0</v>
          </cell>
          <cell r="O215" t="str">
            <v>0</v>
          </cell>
          <cell r="P215" t="str">
            <v>0</v>
          </cell>
          <cell r="Q215" t="str">
            <v>0</v>
          </cell>
          <cell r="R215" t="str">
            <v>0</v>
          </cell>
          <cell r="S215" t="str">
            <v>0</v>
          </cell>
          <cell r="T215" t="str">
            <v>0</v>
          </cell>
          <cell r="U215" t="str">
            <v>0</v>
          </cell>
          <cell r="V215" t="str">
            <v>0</v>
          </cell>
          <cell r="W215" t="str">
            <v>0</v>
          </cell>
          <cell r="X215" t="str">
            <v>0</v>
          </cell>
          <cell r="Y215" t="str">
            <v>0</v>
          </cell>
          <cell r="Z215" t="str">
            <v>0</v>
          </cell>
          <cell r="AA215" t="str">
            <v>0</v>
          </cell>
          <cell r="AB215" t="str">
            <v>0</v>
          </cell>
          <cell r="AC215" t="str">
            <v>0</v>
          </cell>
          <cell r="AD215" t="str">
            <v>0</v>
          </cell>
          <cell r="AE215" t="str">
            <v>0</v>
          </cell>
          <cell r="AF215" t="str">
            <v>0</v>
          </cell>
          <cell r="AG215" t="str">
            <v>0</v>
          </cell>
          <cell r="AH215" t="str">
            <v>0</v>
          </cell>
          <cell r="AI215" t="str">
            <v>0</v>
          </cell>
          <cell r="AJ215" t="str">
            <v>0</v>
          </cell>
          <cell r="AK215" t="str">
            <v>0</v>
          </cell>
          <cell r="AL215" t="str">
            <v>0</v>
          </cell>
          <cell r="AM215" t="str">
            <v>0</v>
          </cell>
          <cell r="AN215" t="str">
            <v>0</v>
          </cell>
          <cell r="AO215" t="str">
            <v>0</v>
          </cell>
          <cell r="AP215" t="str">
            <v>0</v>
          </cell>
          <cell r="AQ215" t="str">
            <v>0</v>
          </cell>
          <cell r="AR215" t="str">
            <v>0</v>
          </cell>
          <cell r="AS215" t="str">
            <v>0</v>
          </cell>
          <cell r="AT215" t="str">
            <v>0</v>
          </cell>
          <cell r="AU215" t="str">
            <v>0</v>
          </cell>
          <cell r="AV215" t="str">
            <v>0</v>
          </cell>
          <cell r="AW215" t="str">
            <v>0</v>
          </cell>
          <cell r="AX215" t="str">
            <v>0</v>
          </cell>
          <cell r="AY215" t="str">
            <v>0</v>
          </cell>
          <cell r="AZ215" t="str">
            <v>0</v>
          </cell>
          <cell r="BA215" t="str">
            <v>0</v>
          </cell>
          <cell r="BB215" t="str">
            <v>0</v>
          </cell>
          <cell r="BC215" t="str">
            <v>0</v>
          </cell>
          <cell r="BD215" t="str">
            <v>0</v>
          </cell>
          <cell r="BE215" t="str">
            <v>0</v>
          </cell>
          <cell r="BF215" t="str">
            <v>0</v>
          </cell>
          <cell r="BG215" t="str">
            <v>0</v>
          </cell>
          <cell r="BH215" t="str">
            <v>0</v>
          </cell>
          <cell r="BI215" t="str">
            <v>0</v>
          </cell>
          <cell r="BJ215" t="str">
            <v>0</v>
          </cell>
          <cell r="BK215" t="str">
            <v>0</v>
          </cell>
          <cell r="BL215" t="str">
            <v>0</v>
          </cell>
          <cell r="BM215" t="str">
            <v>0</v>
          </cell>
          <cell r="BN215" t="str">
            <v>0</v>
          </cell>
          <cell r="BO215" t="str">
            <v>0</v>
          </cell>
          <cell r="BP215" t="str">
            <v>0</v>
          </cell>
          <cell r="BQ215" t="str">
            <v>0</v>
          </cell>
          <cell r="BR215" t="str">
            <v>0</v>
          </cell>
          <cell r="BS215" t="str">
            <v>0</v>
          </cell>
          <cell r="BT215" t="str">
            <v>0</v>
          </cell>
          <cell r="BU215" t="str">
            <v>0</v>
          </cell>
          <cell r="BV215" t="str">
            <v>0</v>
          </cell>
          <cell r="BW215" t="str">
            <v>0</v>
          </cell>
          <cell r="BX215" t="str">
            <v>0</v>
          </cell>
          <cell r="BY215" t="str">
            <v>0</v>
          </cell>
          <cell r="BZ215" t="str">
            <v>0</v>
          </cell>
          <cell r="CA215" t="str">
            <v>0</v>
          </cell>
          <cell r="CB215" t="str">
            <v>0</v>
          </cell>
          <cell r="CC215" t="str">
            <v>0</v>
          </cell>
          <cell r="CD215" t="str">
            <v>0</v>
          </cell>
          <cell r="CE215" t="str">
            <v>0</v>
          </cell>
          <cell r="CF215" t="str">
            <v>0</v>
          </cell>
          <cell r="CG215" t="str">
            <v>0</v>
          </cell>
          <cell r="CH215" t="str">
            <v>0</v>
          </cell>
          <cell r="CI215" t="str">
            <v>0</v>
          </cell>
          <cell r="CJ215" t="str">
            <v>0</v>
          </cell>
          <cell r="CK215" t="str">
            <v>0</v>
          </cell>
          <cell r="CL215" t="str">
            <v>0</v>
          </cell>
          <cell r="CM215" t="str">
            <v>0</v>
          </cell>
          <cell r="CN215" t="str">
            <v>0</v>
          </cell>
          <cell r="CO215" t="str">
            <v>0</v>
          </cell>
          <cell r="CP215" t="str">
            <v>0</v>
          </cell>
          <cell r="CQ215" t="str">
            <v>0</v>
          </cell>
          <cell r="CR215" t="str">
            <v>0</v>
          </cell>
          <cell r="CS215" t="str">
            <v>0</v>
          </cell>
          <cell r="CT215" t="str">
            <v>0</v>
          </cell>
          <cell r="CU215" t="str">
            <v>0</v>
          </cell>
          <cell r="CV215" t="str">
            <v>0</v>
          </cell>
          <cell r="CW215" t="str">
            <v>0</v>
          </cell>
          <cell r="CX215" t="str">
            <v>0</v>
          </cell>
          <cell r="CY215" t="str">
            <v>0</v>
          </cell>
          <cell r="CZ215" t="str">
            <v>0</v>
          </cell>
          <cell r="DA215" t="str">
            <v>0</v>
          </cell>
          <cell r="DB215" t="str">
            <v>0</v>
          </cell>
          <cell r="DC215" t="str">
            <v>0</v>
          </cell>
          <cell r="DD215" t="str">
            <v>0</v>
          </cell>
          <cell r="DE215" t="str">
            <v>0</v>
          </cell>
          <cell r="DF215" t="str">
            <v>0</v>
          </cell>
          <cell r="DG215" t="str">
            <v>0</v>
          </cell>
          <cell r="DH215" t="str">
            <v>0</v>
          </cell>
          <cell r="DI215" t="str">
            <v>0</v>
          </cell>
          <cell r="DJ215" t="str">
            <v>0</v>
          </cell>
          <cell r="DK215" t="str">
            <v>0</v>
          </cell>
          <cell r="DL215" t="str">
            <v>0</v>
          </cell>
          <cell r="DM215" t="str">
            <v>0</v>
          </cell>
          <cell r="DN215" t="str">
            <v>0</v>
          </cell>
          <cell r="DO215" t="str">
            <v>0</v>
          </cell>
          <cell r="DP215" t="str">
            <v>0</v>
          </cell>
        </row>
        <row r="216">
          <cell r="C216"/>
          <cell r="D216" t="str">
            <v>0</v>
          </cell>
          <cell r="E216" t="str">
            <v>0</v>
          </cell>
          <cell r="F216" t="str">
            <v>0</v>
          </cell>
          <cell r="G216" t="str">
            <v>0</v>
          </cell>
          <cell r="H216" t="str">
            <v>0</v>
          </cell>
          <cell r="I216" t="str">
            <v>0</v>
          </cell>
          <cell r="J216" t="str">
            <v>0</v>
          </cell>
          <cell r="K216" t="str">
            <v>0</v>
          </cell>
          <cell r="L216" t="str">
            <v>0</v>
          </cell>
          <cell r="M216" t="str">
            <v>0</v>
          </cell>
          <cell r="N216" t="str">
            <v>0</v>
          </cell>
          <cell r="O216" t="str">
            <v>0</v>
          </cell>
          <cell r="P216" t="str">
            <v>0</v>
          </cell>
          <cell r="Q216" t="str">
            <v>0</v>
          </cell>
          <cell r="R216" t="str">
            <v>0</v>
          </cell>
          <cell r="S216" t="str">
            <v>0</v>
          </cell>
          <cell r="T216" t="str">
            <v>0</v>
          </cell>
          <cell r="U216" t="str">
            <v>0</v>
          </cell>
          <cell r="V216" t="str">
            <v>0</v>
          </cell>
          <cell r="W216" t="str">
            <v>0</v>
          </cell>
          <cell r="X216" t="str">
            <v>0</v>
          </cell>
          <cell r="Y216" t="str">
            <v>0</v>
          </cell>
          <cell r="Z216" t="str">
            <v>0</v>
          </cell>
          <cell r="AA216" t="str">
            <v>0</v>
          </cell>
          <cell r="AB216" t="str">
            <v>0</v>
          </cell>
          <cell r="AC216" t="str">
            <v>0</v>
          </cell>
          <cell r="AD216" t="str">
            <v>0</v>
          </cell>
          <cell r="AE216" t="str">
            <v>0</v>
          </cell>
          <cell r="AF216" t="str">
            <v>0</v>
          </cell>
          <cell r="AG216" t="str">
            <v>0</v>
          </cell>
          <cell r="AH216" t="str">
            <v>0</v>
          </cell>
          <cell r="AI216" t="str">
            <v>0</v>
          </cell>
          <cell r="AJ216" t="str">
            <v>0</v>
          </cell>
          <cell r="AK216" t="str">
            <v>0</v>
          </cell>
          <cell r="AL216" t="str">
            <v>0</v>
          </cell>
          <cell r="AM216" t="str">
            <v>0</v>
          </cell>
          <cell r="AN216" t="str">
            <v>0</v>
          </cell>
          <cell r="AO216" t="str">
            <v>0</v>
          </cell>
          <cell r="AP216" t="str">
            <v>0</v>
          </cell>
          <cell r="AQ216" t="str">
            <v>0</v>
          </cell>
          <cell r="AR216" t="str">
            <v>0</v>
          </cell>
          <cell r="AS216" t="str">
            <v>0</v>
          </cell>
          <cell r="AT216" t="str">
            <v>0</v>
          </cell>
          <cell r="AU216" t="str">
            <v>0</v>
          </cell>
          <cell r="AV216" t="str">
            <v>0</v>
          </cell>
          <cell r="AW216" t="str">
            <v>0</v>
          </cell>
          <cell r="AX216" t="str">
            <v>0</v>
          </cell>
          <cell r="AY216" t="str">
            <v>0</v>
          </cell>
          <cell r="AZ216" t="str">
            <v>0</v>
          </cell>
          <cell r="BA216" t="str">
            <v>0</v>
          </cell>
          <cell r="BB216" t="str">
            <v>0</v>
          </cell>
          <cell r="BC216" t="str">
            <v>0</v>
          </cell>
          <cell r="BD216" t="str">
            <v>0</v>
          </cell>
          <cell r="BE216" t="str">
            <v>0</v>
          </cell>
          <cell r="BF216" t="str">
            <v>0</v>
          </cell>
          <cell r="BG216" t="str">
            <v>0</v>
          </cell>
          <cell r="BH216" t="str">
            <v>0</v>
          </cell>
          <cell r="BI216" t="str">
            <v>0</v>
          </cell>
          <cell r="BJ216" t="str">
            <v>0</v>
          </cell>
          <cell r="BK216" t="str">
            <v>0</v>
          </cell>
          <cell r="BL216" t="str">
            <v>0</v>
          </cell>
          <cell r="BM216" t="str">
            <v>0</v>
          </cell>
          <cell r="BN216" t="str">
            <v>0</v>
          </cell>
          <cell r="BO216" t="str">
            <v>0</v>
          </cell>
          <cell r="BP216" t="str">
            <v>0</v>
          </cell>
          <cell r="BQ216" t="str">
            <v>0</v>
          </cell>
          <cell r="BR216" t="str">
            <v>0</v>
          </cell>
          <cell r="BS216" t="str">
            <v>0</v>
          </cell>
          <cell r="BT216" t="str">
            <v>0</v>
          </cell>
          <cell r="BU216" t="str">
            <v>0</v>
          </cell>
          <cell r="BV216" t="str">
            <v>0</v>
          </cell>
          <cell r="BW216" t="str">
            <v>0</v>
          </cell>
          <cell r="BX216" t="str">
            <v>0</v>
          </cell>
          <cell r="BY216" t="str">
            <v>0</v>
          </cell>
          <cell r="BZ216" t="str">
            <v>0</v>
          </cell>
          <cell r="CA216" t="str">
            <v>0</v>
          </cell>
          <cell r="CB216" t="str">
            <v>0</v>
          </cell>
          <cell r="CC216" t="str">
            <v>0</v>
          </cell>
          <cell r="CD216" t="str">
            <v>0</v>
          </cell>
          <cell r="CE216" t="str">
            <v>0</v>
          </cell>
          <cell r="CF216" t="str">
            <v>0</v>
          </cell>
          <cell r="CG216" t="str">
            <v>0</v>
          </cell>
          <cell r="CH216" t="str">
            <v>0</v>
          </cell>
          <cell r="CI216" t="str">
            <v>0</v>
          </cell>
          <cell r="CJ216" t="str">
            <v>0</v>
          </cell>
          <cell r="CK216" t="str">
            <v>0</v>
          </cell>
          <cell r="CL216" t="str">
            <v>0</v>
          </cell>
          <cell r="CM216" t="str">
            <v>0</v>
          </cell>
          <cell r="CN216" t="str">
            <v>0</v>
          </cell>
          <cell r="CO216" t="str">
            <v>0</v>
          </cell>
          <cell r="CP216" t="str">
            <v>0</v>
          </cell>
          <cell r="CQ216" t="str">
            <v>0</v>
          </cell>
          <cell r="CR216" t="str">
            <v>0</v>
          </cell>
          <cell r="CS216" t="str">
            <v>0</v>
          </cell>
          <cell r="CT216" t="str">
            <v>0</v>
          </cell>
          <cell r="CU216" t="str">
            <v>0</v>
          </cell>
          <cell r="CV216" t="str">
            <v>0</v>
          </cell>
          <cell r="CW216" t="str">
            <v>0</v>
          </cell>
          <cell r="CX216" t="str">
            <v>0</v>
          </cell>
          <cell r="CY216" t="str">
            <v>0</v>
          </cell>
          <cell r="CZ216" t="str">
            <v>0</v>
          </cell>
          <cell r="DA216" t="str">
            <v>0</v>
          </cell>
          <cell r="DB216" t="str">
            <v>0</v>
          </cell>
          <cell r="DC216" t="str">
            <v>0</v>
          </cell>
          <cell r="DD216" t="str">
            <v>0</v>
          </cell>
          <cell r="DE216" t="str">
            <v>0</v>
          </cell>
          <cell r="DF216" t="str">
            <v>0</v>
          </cell>
          <cell r="DG216" t="str">
            <v>0</v>
          </cell>
          <cell r="DH216" t="str">
            <v>0</v>
          </cell>
          <cell r="DI216" t="str">
            <v>0</v>
          </cell>
          <cell r="DJ216" t="str">
            <v>0</v>
          </cell>
          <cell r="DK216" t="str">
            <v>0</v>
          </cell>
          <cell r="DL216" t="str">
            <v>0</v>
          </cell>
          <cell r="DM216" t="str">
            <v>0</v>
          </cell>
          <cell r="DN216" t="str">
            <v>0</v>
          </cell>
          <cell r="DO216" t="str">
            <v>0</v>
          </cell>
          <cell r="DP216" t="str">
            <v>0</v>
          </cell>
        </row>
        <row r="217">
          <cell r="C217"/>
          <cell r="D217" t="str">
            <v>0</v>
          </cell>
          <cell r="E217" t="str">
            <v>0</v>
          </cell>
          <cell r="F217" t="str">
            <v>0</v>
          </cell>
          <cell r="G217" t="str">
            <v>0</v>
          </cell>
          <cell r="H217" t="str">
            <v>0</v>
          </cell>
          <cell r="I217" t="str">
            <v>0</v>
          </cell>
          <cell r="J217" t="str">
            <v>0</v>
          </cell>
          <cell r="K217" t="str">
            <v>0</v>
          </cell>
          <cell r="L217" t="str">
            <v>0</v>
          </cell>
          <cell r="M217" t="str">
            <v>0</v>
          </cell>
          <cell r="N217" t="str">
            <v>0</v>
          </cell>
          <cell r="O217" t="str">
            <v>0</v>
          </cell>
          <cell r="P217" t="str">
            <v>0</v>
          </cell>
          <cell r="Q217" t="str">
            <v>0</v>
          </cell>
          <cell r="R217" t="str">
            <v>0</v>
          </cell>
          <cell r="S217" t="str">
            <v>0</v>
          </cell>
          <cell r="T217" t="str">
            <v>0</v>
          </cell>
          <cell r="U217" t="str">
            <v>0</v>
          </cell>
          <cell r="V217" t="str">
            <v>0</v>
          </cell>
          <cell r="W217" t="str">
            <v>0</v>
          </cell>
          <cell r="X217" t="str">
            <v>0</v>
          </cell>
          <cell r="Y217" t="str">
            <v>0</v>
          </cell>
          <cell r="Z217" t="str">
            <v>0</v>
          </cell>
          <cell r="AA217" t="str">
            <v>0</v>
          </cell>
          <cell r="AB217" t="str">
            <v>0</v>
          </cell>
          <cell r="AC217" t="str">
            <v>0</v>
          </cell>
          <cell r="AD217" t="str">
            <v>0</v>
          </cell>
          <cell r="AE217" t="str">
            <v>0</v>
          </cell>
          <cell r="AF217" t="str">
            <v>0</v>
          </cell>
          <cell r="AG217" t="str">
            <v>0</v>
          </cell>
          <cell r="AH217" t="str">
            <v>0</v>
          </cell>
          <cell r="AI217" t="str">
            <v>0</v>
          </cell>
          <cell r="AJ217" t="str">
            <v>0</v>
          </cell>
          <cell r="AK217" t="str">
            <v>0</v>
          </cell>
          <cell r="AL217" t="str">
            <v>0</v>
          </cell>
          <cell r="AM217" t="str">
            <v>0</v>
          </cell>
          <cell r="AN217" t="str">
            <v>0</v>
          </cell>
          <cell r="AO217" t="str">
            <v>0</v>
          </cell>
          <cell r="AP217" t="str">
            <v>0</v>
          </cell>
          <cell r="AQ217" t="str">
            <v>0</v>
          </cell>
          <cell r="AR217" t="str">
            <v>0</v>
          </cell>
          <cell r="AS217" t="str">
            <v>0</v>
          </cell>
          <cell r="AT217" t="str">
            <v>0</v>
          </cell>
          <cell r="AU217" t="str">
            <v>0</v>
          </cell>
          <cell r="AV217" t="str">
            <v>0</v>
          </cell>
          <cell r="AW217" t="str">
            <v>0</v>
          </cell>
          <cell r="AX217" t="str">
            <v>0</v>
          </cell>
          <cell r="AY217" t="str">
            <v>0</v>
          </cell>
          <cell r="AZ217" t="str">
            <v>0</v>
          </cell>
          <cell r="BA217" t="str">
            <v>0</v>
          </cell>
          <cell r="BB217" t="str">
            <v>0</v>
          </cell>
          <cell r="BC217" t="str">
            <v>0</v>
          </cell>
          <cell r="BD217" t="str">
            <v>0</v>
          </cell>
          <cell r="BE217" t="str">
            <v>0</v>
          </cell>
          <cell r="BF217" t="str">
            <v>0</v>
          </cell>
          <cell r="BG217" t="str">
            <v>0</v>
          </cell>
          <cell r="BH217" t="str">
            <v>0</v>
          </cell>
          <cell r="BI217" t="str">
            <v>0</v>
          </cell>
          <cell r="BJ217" t="str">
            <v>0</v>
          </cell>
          <cell r="BK217" t="str">
            <v>0</v>
          </cell>
          <cell r="BL217" t="str">
            <v>0</v>
          </cell>
          <cell r="BM217" t="str">
            <v>0</v>
          </cell>
          <cell r="BN217" t="str">
            <v>0</v>
          </cell>
          <cell r="BO217" t="str">
            <v>0</v>
          </cell>
          <cell r="BP217" t="str">
            <v>0</v>
          </cell>
          <cell r="BQ217" t="str">
            <v>0</v>
          </cell>
          <cell r="BR217" t="str">
            <v>0</v>
          </cell>
          <cell r="BS217" t="str">
            <v>0</v>
          </cell>
          <cell r="BT217" t="str">
            <v>0</v>
          </cell>
          <cell r="BU217" t="str">
            <v>0</v>
          </cell>
          <cell r="BV217" t="str">
            <v>0</v>
          </cell>
          <cell r="BW217" t="str">
            <v>0</v>
          </cell>
          <cell r="BX217" t="str">
            <v>0</v>
          </cell>
          <cell r="BY217" t="str">
            <v>0</v>
          </cell>
          <cell r="BZ217" t="str">
            <v>0</v>
          </cell>
          <cell r="CA217" t="str">
            <v>0</v>
          </cell>
          <cell r="CB217" t="str">
            <v>0</v>
          </cell>
          <cell r="CC217" t="str">
            <v>0</v>
          </cell>
          <cell r="CD217" t="str">
            <v>0</v>
          </cell>
          <cell r="CE217" t="str">
            <v>0</v>
          </cell>
          <cell r="CF217" t="str">
            <v>0</v>
          </cell>
          <cell r="CG217" t="str">
            <v>0</v>
          </cell>
          <cell r="CH217" t="str">
            <v>0</v>
          </cell>
          <cell r="CI217" t="str">
            <v>0</v>
          </cell>
          <cell r="CJ217" t="str">
            <v>0</v>
          </cell>
          <cell r="CK217" t="str">
            <v>0</v>
          </cell>
          <cell r="CL217" t="str">
            <v>0</v>
          </cell>
          <cell r="CM217" t="str">
            <v>0</v>
          </cell>
          <cell r="CN217" t="str">
            <v>0</v>
          </cell>
          <cell r="CO217" t="str">
            <v>0</v>
          </cell>
          <cell r="CP217" t="str">
            <v>0</v>
          </cell>
          <cell r="CQ217" t="str">
            <v>0</v>
          </cell>
          <cell r="CR217" t="str">
            <v>0</v>
          </cell>
          <cell r="CS217" t="str">
            <v>0</v>
          </cell>
          <cell r="CT217" t="str">
            <v>0</v>
          </cell>
          <cell r="CU217" t="str">
            <v>0</v>
          </cell>
          <cell r="CV217" t="str">
            <v>0</v>
          </cell>
          <cell r="CW217" t="str">
            <v>0</v>
          </cell>
          <cell r="CX217" t="str">
            <v>0</v>
          </cell>
          <cell r="CY217" t="str">
            <v>0</v>
          </cell>
          <cell r="CZ217" t="str">
            <v>0</v>
          </cell>
          <cell r="DA217" t="str">
            <v>0</v>
          </cell>
          <cell r="DB217" t="str">
            <v>0</v>
          </cell>
          <cell r="DC217" t="str">
            <v>0</v>
          </cell>
          <cell r="DD217" t="str">
            <v>0</v>
          </cell>
          <cell r="DE217" t="str">
            <v>0</v>
          </cell>
          <cell r="DF217" t="str">
            <v>0</v>
          </cell>
          <cell r="DG217" t="str">
            <v>0</v>
          </cell>
          <cell r="DH217" t="str">
            <v>0</v>
          </cell>
          <cell r="DI217" t="str">
            <v>0</v>
          </cell>
          <cell r="DJ217" t="str">
            <v>0</v>
          </cell>
          <cell r="DK217" t="str">
            <v>0</v>
          </cell>
          <cell r="DL217" t="str">
            <v>0</v>
          </cell>
          <cell r="DM217" t="str">
            <v>0</v>
          </cell>
          <cell r="DN217" t="str">
            <v>0</v>
          </cell>
          <cell r="DO217" t="str">
            <v>0</v>
          </cell>
          <cell r="DP217" t="str">
            <v>0</v>
          </cell>
        </row>
        <row r="218">
          <cell r="C218"/>
          <cell r="D218" t="str">
            <v>0</v>
          </cell>
          <cell r="E218" t="str">
            <v>0</v>
          </cell>
          <cell r="F218" t="str">
            <v>0</v>
          </cell>
          <cell r="G218" t="str">
            <v>0</v>
          </cell>
          <cell r="H218" t="str">
            <v>0</v>
          </cell>
          <cell r="I218" t="str">
            <v>0</v>
          </cell>
          <cell r="J218" t="str">
            <v>0</v>
          </cell>
          <cell r="K218" t="str">
            <v>0</v>
          </cell>
          <cell r="L218" t="str">
            <v>0</v>
          </cell>
          <cell r="M218" t="str">
            <v>0</v>
          </cell>
          <cell r="N218" t="str">
            <v>0</v>
          </cell>
          <cell r="O218" t="str">
            <v>0</v>
          </cell>
          <cell r="P218" t="str">
            <v>0</v>
          </cell>
          <cell r="Q218" t="str">
            <v>0</v>
          </cell>
          <cell r="R218" t="str">
            <v>0</v>
          </cell>
          <cell r="S218" t="str">
            <v>0</v>
          </cell>
          <cell r="T218" t="str">
            <v>0</v>
          </cell>
          <cell r="U218" t="str">
            <v>0</v>
          </cell>
          <cell r="V218" t="str">
            <v>0</v>
          </cell>
          <cell r="W218" t="str">
            <v>0</v>
          </cell>
          <cell r="X218" t="str">
            <v>0</v>
          </cell>
          <cell r="Y218" t="str">
            <v>0</v>
          </cell>
          <cell r="Z218" t="str">
            <v>0</v>
          </cell>
          <cell r="AA218" t="str">
            <v>0</v>
          </cell>
          <cell r="AB218" t="str">
            <v>0</v>
          </cell>
          <cell r="AC218" t="str">
            <v>0</v>
          </cell>
          <cell r="AD218" t="str">
            <v>0</v>
          </cell>
          <cell r="AE218" t="str">
            <v>0</v>
          </cell>
          <cell r="AF218" t="str">
            <v>0</v>
          </cell>
          <cell r="AG218" t="str">
            <v>0</v>
          </cell>
          <cell r="AH218" t="str">
            <v>0</v>
          </cell>
          <cell r="AI218" t="str">
            <v>0</v>
          </cell>
          <cell r="AJ218" t="str">
            <v>0</v>
          </cell>
          <cell r="AK218" t="str">
            <v>0</v>
          </cell>
          <cell r="AL218" t="str">
            <v>0</v>
          </cell>
          <cell r="AM218" t="str">
            <v>0</v>
          </cell>
          <cell r="AN218" t="str">
            <v>0</v>
          </cell>
          <cell r="AO218" t="str">
            <v>0</v>
          </cell>
          <cell r="AP218" t="str">
            <v>0</v>
          </cell>
          <cell r="AQ218" t="str">
            <v>0</v>
          </cell>
          <cell r="AR218" t="str">
            <v>0</v>
          </cell>
          <cell r="AS218" t="str">
            <v>0</v>
          </cell>
          <cell r="AT218" t="str">
            <v>0</v>
          </cell>
          <cell r="AU218" t="str">
            <v>0</v>
          </cell>
          <cell r="AV218" t="str">
            <v>0</v>
          </cell>
          <cell r="AW218" t="str">
            <v>0</v>
          </cell>
          <cell r="AX218" t="str">
            <v>0</v>
          </cell>
          <cell r="AY218" t="str">
            <v>0</v>
          </cell>
          <cell r="AZ218" t="str">
            <v>0</v>
          </cell>
          <cell r="BA218" t="str">
            <v>0</v>
          </cell>
          <cell r="BB218" t="str">
            <v>0</v>
          </cell>
          <cell r="BC218" t="str">
            <v>0</v>
          </cell>
          <cell r="BD218" t="str">
            <v>0</v>
          </cell>
          <cell r="BE218" t="str">
            <v>0</v>
          </cell>
          <cell r="BF218" t="str">
            <v>0</v>
          </cell>
          <cell r="BG218" t="str">
            <v>0</v>
          </cell>
          <cell r="BH218" t="str">
            <v>0</v>
          </cell>
          <cell r="BI218" t="str">
            <v>0</v>
          </cell>
          <cell r="BJ218" t="str">
            <v>0</v>
          </cell>
          <cell r="BK218" t="str">
            <v>0</v>
          </cell>
          <cell r="BL218" t="str">
            <v>0</v>
          </cell>
          <cell r="BM218" t="str">
            <v>0</v>
          </cell>
          <cell r="BN218" t="str">
            <v>0</v>
          </cell>
          <cell r="BO218" t="str">
            <v>0</v>
          </cell>
          <cell r="BP218" t="str">
            <v>0</v>
          </cell>
          <cell r="BQ218" t="str">
            <v>0</v>
          </cell>
          <cell r="BR218" t="str">
            <v>0</v>
          </cell>
          <cell r="BS218" t="str">
            <v>0</v>
          </cell>
          <cell r="BT218" t="str">
            <v>0</v>
          </cell>
          <cell r="BU218" t="str">
            <v>0</v>
          </cell>
          <cell r="BV218" t="str">
            <v>0</v>
          </cell>
          <cell r="BW218" t="str">
            <v>0</v>
          </cell>
          <cell r="BX218" t="str">
            <v>0</v>
          </cell>
          <cell r="BY218" t="str">
            <v>0</v>
          </cell>
          <cell r="BZ218" t="str">
            <v>0</v>
          </cell>
          <cell r="CA218" t="str">
            <v>0</v>
          </cell>
          <cell r="CB218" t="str">
            <v>0</v>
          </cell>
          <cell r="CC218" t="str">
            <v>0</v>
          </cell>
          <cell r="CD218" t="str">
            <v>0</v>
          </cell>
          <cell r="CE218" t="str">
            <v>0</v>
          </cell>
          <cell r="CF218" t="str">
            <v>0</v>
          </cell>
          <cell r="CG218" t="str">
            <v>0</v>
          </cell>
          <cell r="CH218" t="str">
            <v>0</v>
          </cell>
          <cell r="CI218" t="str">
            <v>0</v>
          </cell>
          <cell r="CJ218" t="str">
            <v>0</v>
          </cell>
          <cell r="CK218" t="str">
            <v>0</v>
          </cell>
          <cell r="CL218" t="str">
            <v>0</v>
          </cell>
          <cell r="CM218" t="str">
            <v>0</v>
          </cell>
          <cell r="CN218" t="str">
            <v>0</v>
          </cell>
          <cell r="CO218" t="str">
            <v>0</v>
          </cell>
          <cell r="CP218" t="str">
            <v>0</v>
          </cell>
          <cell r="CQ218" t="str">
            <v>0</v>
          </cell>
          <cell r="CR218" t="str">
            <v>0</v>
          </cell>
          <cell r="CS218" t="str">
            <v>0</v>
          </cell>
          <cell r="CT218" t="str">
            <v>0</v>
          </cell>
          <cell r="CU218" t="str">
            <v>0</v>
          </cell>
          <cell r="CV218" t="str">
            <v>0</v>
          </cell>
          <cell r="CW218" t="str">
            <v>0</v>
          </cell>
          <cell r="CX218" t="str">
            <v>0</v>
          </cell>
          <cell r="CY218" t="str">
            <v>0</v>
          </cell>
          <cell r="CZ218" t="str">
            <v>0</v>
          </cell>
          <cell r="DA218" t="str">
            <v>0</v>
          </cell>
          <cell r="DB218" t="str">
            <v>0</v>
          </cell>
          <cell r="DC218" t="str">
            <v>0</v>
          </cell>
          <cell r="DD218" t="str">
            <v>0</v>
          </cell>
          <cell r="DE218" t="str">
            <v>0</v>
          </cell>
          <cell r="DF218" t="str">
            <v>0</v>
          </cell>
          <cell r="DG218" t="str">
            <v>0</v>
          </cell>
          <cell r="DH218" t="str">
            <v>0</v>
          </cell>
          <cell r="DI218" t="str">
            <v>0</v>
          </cell>
          <cell r="DJ218" t="str">
            <v>0</v>
          </cell>
          <cell r="DK218" t="str">
            <v>0</v>
          </cell>
          <cell r="DL218" t="str">
            <v>0</v>
          </cell>
          <cell r="DM218" t="str">
            <v>0</v>
          </cell>
          <cell r="DN218" t="str">
            <v>0</v>
          </cell>
          <cell r="DO218" t="str">
            <v>0</v>
          </cell>
          <cell r="DP218" t="str">
            <v>0</v>
          </cell>
        </row>
        <row r="219">
          <cell r="C219"/>
          <cell r="D219" t="str">
            <v>0</v>
          </cell>
          <cell r="E219" t="str">
            <v>0</v>
          </cell>
          <cell r="F219" t="str">
            <v>0</v>
          </cell>
          <cell r="G219" t="str">
            <v>0</v>
          </cell>
          <cell r="H219" t="str">
            <v>0</v>
          </cell>
          <cell r="I219" t="str">
            <v>0</v>
          </cell>
          <cell r="J219" t="str">
            <v>0</v>
          </cell>
          <cell r="K219" t="str">
            <v>0</v>
          </cell>
          <cell r="L219" t="str">
            <v>0</v>
          </cell>
          <cell r="M219" t="str">
            <v>0</v>
          </cell>
          <cell r="N219" t="str">
            <v>0</v>
          </cell>
          <cell r="O219" t="str">
            <v>0</v>
          </cell>
          <cell r="P219" t="str">
            <v>0</v>
          </cell>
          <cell r="Q219" t="str">
            <v>0</v>
          </cell>
          <cell r="R219" t="str">
            <v>0</v>
          </cell>
          <cell r="S219" t="str">
            <v>0</v>
          </cell>
          <cell r="T219" t="str">
            <v>0</v>
          </cell>
          <cell r="U219" t="str">
            <v>0</v>
          </cell>
          <cell r="V219" t="str">
            <v>0</v>
          </cell>
          <cell r="W219" t="str">
            <v>0</v>
          </cell>
          <cell r="X219" t="str">
            <v>0</v>
          </cell>
          <cell r="Y219" t="str">
            <v>0</v>
          </cell>
          <cell r="Z219" t="str">
            <v>0</v>
          </cell>
          <cell r="AA219" t="str">
            <v>0</v>
          </cell>
          <cell r="AB219" t="str">
            <v>0</v>
          </cell>
          <cell r="AC219" t="str">
            <v>0</v>
          </cell>
          <cell r="AD219" t="str">
            <v>0</v>
          </cell>
          <cell r="AE219" t="str">
            <v>0</v>
          </cell>
          <cell r="AF219" t="str">
            <v>0</v>
          </cell>
          <cell r="AG219" t="str">
            <v>0</v>
          </cell>
          <cell r="AH219" t="str">
            <v>0</v>
          </cell>
          <cell r="AI219" t="str">
            <v>0</v>
          </cell>
          <cell r="AJ219" t="str">
            <v>0</v>
          </cell>
          <cell r="AK219" t="str">
            <v>0</v>
          </cell>
          <cell r="AL219" t="str">
            <v>0</v>
          </cell>
          <cell r="AM219" t="str">
            <v>0</v>
          </cell>
          <cell r="AN219" t="str">
            <v>0</v>
          </cell>
          <cell r="AO219" t="str">
            <v>0</v>
          </cell>
          <cell r="AP219" t="str">
            <v>0</v>
          </cell>
          <cell r="AQ219" t="str">
            <v>0</v>
          </cell>
          <cell r="AR219" t="str">
            <v>0</v>
          </cell>
          <cell r="AS219" t="str">
            <v>0</v>
          </cell>
          <cell r="AT219" t="str">
            <v>0</v>
          </cell>
          <cell r="AU219" t="str">
            <v>0</v>
          </cell>
          <cell r="AV219" t="str">
            <v>0</v>
          </cell>
          <cell r="AW219" t="str">
            <v>0</v>
          </cell>
          <cell r="AX219" t="str">
            <v>0</v>
          </cell>
          <cell r="AY219" t="str">
            <v>0</v>
          </cell>
          <cell r="AZ219" t="str">
            <v>0</v>
          </cell>
          <cell r="BA219" t="str">
            <v>0</v>
          </cell>
          <cell r="BB219" t="str">
            <v>0</v>
          </cell>
          <cell r="BC219" t="str">
            <v>0</v>
          </cell>
          <cell r="BD219" t="str">
            <v>0</v>
          </cell>
          <cell r="BE219" t="str">
            <v>0</v>
          </cell>
          <cell r="BF219" t="str">
            <v>0</v>
          </cell>
          <cell r="BG219" t="str">
            <v>0</v>
          </cell>
          <cell r="BH219" t="str">
            <v>0</v>
          </cell>
          <cell r="BI219" t="str">
            <v>0</v>
          </cell>
          <cell r="BJ219" t="str">
            <v>0</v>
          </cell>
          <cell r="BK219" t="str">
            <v>0</v>
          </cell>
          <cell r="BL219" t="str">
            <v>0</v>
          </cell>
          <cell r="BM219" t="str">
            <v>0</v>
          </cell>
          <cell r="BN219" t="str">
            <v>0</v>
          </cell>
          <cell r="BO219" t="str">
            <v>0</v>
          </cell>
          <cell r="BP219" t="str">
            <v>0</v>
          </cell>
          <cell r="BQ219" t="str">
            <v>0</v>
          </cell>
          <cell r="BR219" t="str">
            <v>0</v>
          </cell>
          <cell r="BS219" t="str">
            <v>0</v>
          </cell>
          <cell r="BT219" t="str">
            <v>0</v>
          </cell>
          <cell r="BU219" t="str">
            <v>0</v>
          </cell>
          <cell r="BV219" t="str">
            <v>0</v>
          </cell>
          <cell r="BW219" t="str">
            <v>0</v>
          </cell>
          <cell r="BX219" t="str">
            <v>0</v>
          </cell>
          <cell r="BY219" t="str">
            <v>0</v>
          </cell>
          <cell r="BZ219" t="str">
            <v>0</v>
          </cell>
          <cell r="CA219" t="str">
            <v>0</v>
          </cell>
          <cell r="CB219" t="str">
            <v>0</v>
          </cell>
          <cell r="CC219" t="str">
            <v>0</v>
          </cell>
          <cell r="CD219" t="str">
            <v>0</v>
          </cell>
          <cell r="CE219" t="str">
            <v>0</v>
          </cell>
          <cell r="CF219" t="str">
            <v>0</v>
          </cell>
          <cell r="CG219" t="str">
            <v>0</v>
          </cell>
          <cell r="CH219" t="str">
            <v>0</v>
          </cell>
          <cell r="CI219" t="str">
            <v>0</v>
          </cell>
          <cell r="CJ219" t="str">
            <v>0</v>
          </cell>
          <cell r="CK219" t="str">
            <v>0</v>
          </cell>
          <cell r="CL219" t="str">
            <v>0</v>
          </cell>
          <cell r="CM219" t="str">
            <v>0</v>
          </cell>
          <cell r="CN219" t="str">
            <v>0</v>
          </cell>
          <cell r="CO219" t="str">
            <v>0</v>
          </cell>
          <cell r="CP219" t="str">
            <v>0</v>
          </cell>
          <cell r="CQ219" t="str">
            <v>0</v>
          </cell>
          <cell r="CR219" t="str">
            <v>0</v>
          </cell>
          <cell r="CS219" t="str">
            <v>0</v>
          </cell>
          <cell r="CT219" t="str">
            <v>0</v>
          </cell>
          <cell r="CU219" t="str">
            <v>0</v>
          </cell>
          <cell r="CV219" t="str">
            <v>0</v>
          </cell>
          <cell r="CW219" t="str">
            <v>0</v>
          </cell>
          <cell r="CX219" t="str">
            <v>0</v>
          </cell>
          <cell r="CY219" t="str">
            <v>0</v>
          </cell>
          <cell r="CZ219" t="str">
            <v>0</v>
          </cell>
          <cell r="DA219" t="str">
            <v>0</v>
          </cell>
          <cell r="DB219" t="str">
            <v>0</v>
          </cell>
          <cell r="DC219" t="str">
            <v>0</v>
          </cell>
          <cell r="DD219" t="str">
            <v>0</v>
          </cell>
          <cell r="DE219" t="str">
            <v>0</v>
          </cell>
          <cell r="DF219" t="str">
            <v>0</v>
          </cell>
          <cell r="DG219" t="str">
            <v>0</v>
          </cell>
          <cell r="DH219" t="str">
            <v>0</v>
          </cell>
          <cell r="DI219" t="str">
            <v>0</v>
          </cell>
          <cell r="DJ219" t="str">
            <v>0</v>
          </cell>
          <cell r="DK219" t="str">
            <v>0</v>
          </cell>
          <cell r="DL219" t="str">
            <v>0</v>
          </cell>
          <cell r="DM219" t="str">
            <v>0</v>
          </cell>
          <cell r="DN219" t="str">
            <v>0</v>
          </cell>
          <cell r="DO219" t="str">
            <v>0</v>
          </cell>
          <cell r="DP219" t="str">
            <v>0</v>
          </cell>
        </row>
        <row r="220">
          <cell r="C220"/>
          <cell r="D220" t="str">
            <v>0</v>
          </cell>
          <cell r="E220" t="str">
            <v>0</v>
          </cell>
          <cell r="F220" t="str">
            <v>0</v>
          </cell>
          <cell r="G220" t="str">
            <v>0</v>
          </cell>
          <cell r="H220" t="str">
            <v>0</v>
          </cell>
          <cell r="I220" t="str">
            <v>0</v>
          </cell>
          <cell r="J220" t="str">
            <v>0</v>
          </cell>
          <cell r="K220" t="str">
            <v>0</v>
          </cell>
          <cell r="L220" t="str">
            <v>0</v>
          </cell>
          <cell r="M220" t="str">
            <v>0</v>
          </cell>
          <cell r="N220" t="str">
            <v>0</v>
          </cell>
          <cell r="O220" t="str">
            <v>0</v>
          </cell>
          <cell r="P220" t="str">
            <v>0</v>
          </cell>
          <cell r="Q220" t="str">
            <v>0</v>
          </cell>
          <cell r="R220" t="str">
            <v>0</v>
          </cell>
          <cell r="S220" t="str">
            <v>0</v>
          </cell>
          <cell r="T220" t="str">
            <v>0</v>
          </cell>
          <cell r="U220" t="str">
            <v>0</v>
          </cell>
          <cell r="V220" t="str">
            <v>0</v>
          </cell>
          <cell r="W220" t="str">
            <v>0</v>
          </cell>
          <cell r="X220" t="str">
            <v>0</v>
          </cell>
          <cell r="Y220" t="str">
            <v>0</v>
          </cell>
          <cell r="Z220" t="str">
            <v>0</v>
          </cell>
          <cell r="AA220" t="str">
            <v>0</v>
          </cell>
          <cell r="AB220" t="str">
            <v>0</v>
          </cell>
          <cell r="AC220" t="str">
            <v>0</v>
          </cell>
          <cell r="AD220" t="str">
            <v>0</v>
          </cell>
          <cell r="AE220" t="str">
            <v>0</v>
          </cell>
          <cell r="AF220" t="str">
            <v>0</v>
          </cell>
          <cell r="AG220" t="str">
            <v>0</v>
          </cell>
          <cell r="AH220" t="str">
            <v>0</v>
          </cell>
          <cell r="AI220" t="str">
            <v>0</v>
          </cell>
          <cell r="AJ220" t="str">
            <v>0</v>
          </cell>
          <cell r="AK220" t="str">
            <v>0</v>
          </cell>
          <cell r="AL220" t="str">
            <v>0</v>
          </cell>
          <cell r="AM220" t="str">
            <v>0</v>
          </cell>
          <cell r="AN220" t="str">
            <v>0</v>
          </cell>
          <cell r="AO220" t="str">
            <v>0</v>
          </cell>
          <cell r="AP220" t="str">
            <v>0</v>
          </cell>
          <cell r="AQ220" t="str">
            <v>0</v>
          </cell>
          <cell r="AR220" t="str">
            <v>0</v>
          </cell>
          <cell r="AS220" t="str">
            <v>0</v>
          </cell>
          <cell r="AT220" t="str">
            <v>0</v>
          </cell>
          <cell r="AU220" t="str">
            <v>0</v>
          </cell>
          <cell r="AV220" t="str">
            <v>0</v>
          </cell>
          <cell r="AW220" t="str">
            <v>0</v>
          </cell>
          <cell r="AX220" t="str">
            <v>0</v>
          </cell>
          <cell r="AY220" t="str">
            <v>0</v>
          </cell>
          <cell r="AZ220" t="str">
            <v>0</v>
          </cell>
          <cell r="BA220" t="str">
            <v>0</v>
          </cell>
          <cell r="BB220" t="str">
            <v>0</v>
          </cell>
          <cell r="BC220" t="str">
            <v>0</v>
          </cell>
          <cell r="BD220" t="str">
            <v>0</v>
          </cell>
          <cell r="BE220" t="str">
            <v>0</v>
          </cell>
          <cell r="BF220" t="str">
            <v>0</v>
          </cell>
          <cell r="BG220" t="str">
            <v>0</v>
          </cell>
          <cell r="BH220" t="str">
            <v>0</v>
          </cell>
          <cell r="BI220" t="str">
            <v>0</v>
          </cell>
          <cell r="BJ220" t="str">
            <v>0</v>
          </cell>
          <cell r="BK220" t="str">
            <v>0</v>
          </cell>
          <cell r="BL220" t="str">
            <v>0</v>
          </cell>
          <cell r="BM220" t="str">
            <v>0</v>
          </cell>
          <cell r="BN220" t="str">
            <v>0</v>
          </cell>
          <cell r="BO220" t="str">
            <v>0</v>
          </cell>
          <cell r="BP220" t="str">
            <v>0</v>
          </cell>
          <cell r="BQ220" t="str">
            <v>0</v>
          </cell>
          <cell r="BR220" t="str">
            <v>0</v>
          </cell>
          <cell r="BS220" t="str">
            <v>0</v>
          </cell>
          <cell r="BT220" t="str">
            <v>0</v>
          </cell>
          <cell r="BU220" t="str">
            <v>0</v>
          </cell>
          <cell r="BV220" t="str">
            <v>0</v>
          </cell>
          <cell r="BW220" t="str">
            <v>0</v>
          </cell>
          <cell r="BX220" t="str">
            <v>0</v>
          </cell>
          <cell r="BY220" t="str">
            <v>0</v>
          </cell>
          <cell r="BZ220" t="str">
            <v>0</v>
          </cell>
          <cell r="CA220" t="str">
            <v>0</v>
          </cell>
          <cell r="CB220" t="str">
            <v>0</v>
          </cell>
          <cell r="CC220" t="str">
            <v>0</v>
          </cell>
          <cell r="CD220" t="str">
            <v>0</v>
          </cell>
          <cell r="CE220" t="str">
            <v>0</v>
          </cell>
          <cell r="CF220" t="str">
            <v>0</v>
          </cell>
          <cell r="CG220" t="str">
            <v>0</v>
          </cell>
          <cell r="CH220" t="str">
            <v>0</v>
          </cell>
          <cell r="CI220" t="str">
            <v>0</v>
          </cell>
          <cell r="CJ220" t="str">
            <v>0</v>
          </cell>
          <cell r="CK220" t="str">
            <v>0</v>
          </cell>
          <cell r="CL220" t="str">
            <v>0</v>
          </cell>
          <cell r="CM220" t="str">
            <v>0</v>
          </cell>
          <cell r="CN220" t="str">
            <v>0</v>
          </cell>
          <cell r="CO220" t="str">
            <v>0</v>
          </cell>
          <cell r="CP220" t="str">
            <v>0</v>
          </cell>
          <cell r="CQ220" t="str">
            <v>0</v>
          </cell>
          <cell r="CR220" t="str">
            <v>0</v>
          </cell>
          <cell r="CS220" t="str">
            <v>0</v>
          </cell>
          <cell r="CT220" t="str">
            <v>0</v>
          </cell>
          <cell r="CU220" t="str">
            <v>0</v>
          </cell>
          <cell r="CV220" t="str">
            <v>0</v>
          </cell>
          <cell r="CW220" t="str">
            <v>0</v>
          </cell>
          <cell r="CX220" t="str">
            <v>0</v>
          </cell>
          <cell r="CY220" t="str">
            <v>0</v>
          </cell>
          <cell r="CZ220" t="str">
            <v>0</v>
          </cell>
          <cell r="DA220" t="str">
            <v>0</v>
          </cell>
          <cell r="DB220" t="str">
            <v>0</v>
          </cell>
          <cell r="DC220" t="str">
            <v>0</v>
          </cell>
          <cell r="DD220" t="str">
            <v>0</v>
          </cell>
          <cell r="DE220" t="str">
            <v>0</v>
          </cell>
          <cell r="DF220" t="str">
            <v>0</v>
          </cell>
          <cell r="DG220" t="str">
            <v>0</v>
          </cell>
          <cell r="DH220" t="str">
            <v>0</v>
          </cell>
          <cell r="DI220" t="str">
            <v>0</v>
          </cell>
          <cell r="DJ220" t="str">
            <v>0</v>
          </cell>
          <cell r="DK220" t="str">
            <v>0</v>
          </cell>
          <cell r="DL220" t="str">
            <v>0</v>
          </cell>
          <cell r="DM220" t="str">
            <v>0</v>
          </cell>
          <cell r="DN220" t="str">
            <v>0</v>
          </cell>
          <cell r="DO220" t="str">
            <v>0</v>
          </cell>
          <cell r="DP220" t="str">
            <v>0</v>
          </cell>
        </row>
        <row r="221">
          <cell r="C221"/>
          <cell r="D221" t="str">
            <v>0</v>
          </cell>
          <cell r="E221" t="str">
            <v>0</v>
          </cell>
          <cell r="F221" t="str">
            <v>0</v>
          </cell>
          <cell r="G221" t="str">
            <v>0</v>
          </cell>
          <cell r="H221" t="str">
            <v>0</v>
          </cell>
          <cell r="I221" t="str">
            <v>0</v>
          </cell>
          <cell r="J221" t="str">
            <v>0</v>
          </cell>
          <cell r="K221" t="str">
            <v>0</v>
          </cell>
          <cell r="L221" t="str">
            <v>0</v>
          </cell>
          <cell r="M221" t="str">
            <v>0</v>
          </cell>
          <cell r="N221" t="str">
            <v>0</v>
          </cell>
          <cell r="O221" t="str">
            <v>0</v>
          </cell>
          <cell r="P221" t="str">
            <v>0</v>
          </cell>
          <cell r="Q221" t="str">
            <v>0</v>
          </cell>
          <cell r="R221" t="str">
            <v>0</v>
          </cell>
          <cell r="S221" t="str">
            <v>0</v>
          </cell>
          <cell r="T221" t="str">
            <v>0</v>
          </cell>
          <cell r="U221" t="str">
            <v>0</v>
          </cell>
          <cell r="V221" t="str">
            <v>0</v>
          </cell>
          <cell r="W221" t="str">
            <v>0</v>
          </cell>
          <cell r="X221" t="str">
            <v>0</v>
          </cell>
          <cell r="Y221" t="str">
            <v>0</v>
          </cell>
          <cell r="Z221" t="str">
            <v>0</v>
          </cell>
          <cell r="AA221" t="str">
            <v>0</v>
          </cell>
          <cell r="AB221" t="str">
            <v>0</v>
          </cell>
          <cell r="AC221" t="str">
            <v>0</v>
          </cell>
          <cell r="AD221" t="str">
            <v>0</v>
          </cell>
          <cell r="AE221" t="str">
            <v>0</v>
          </cell>
          <cell r="AF221" t="str">
            <v>0</v>
          </cell>
          <cell r="AG221" t="str">
            <v>0</v>
          </cell>
          <cell r="AH221" t="str">
            <v>0</v>
          </cell>
          <cell r="AI221" t="str">
            <v>0</v>
          </cell>
          <cell r="AJ221" t="str">
            <v>0</v>
          </cell>
          <cell r="AK221" t="str">
            <v>0</v>
          </cell>
          <cell r="AL221" t="str">
            <v>0</v>
          </cell>
          <cell r="AM221" t="str">
            <v>0</v>
          </cell>
          <cell r="AN221" t="str">
            <v>0</v>
          </cell>
          <cell r="AO221" t="str">
            <v>0</v>
          </cell>
          <cell r="AP221" t="str">
            <v>0</v>
          </cell>
          <cell r="AQ221" t="str">
            <v>0</v>
          </cell>
          <cell r="AR221" t="str">
            <v>0</v>
          </cell>
          <cell r="AS221" t="str">
            <v>0</v>
          </cell>
          <cell r="AT221" t="str">
            <v>0</v>
          </cell>
          <cell r="AU221" t="str">
            <v>0</v>
          </cell>
          <cell r="AV221" t="str">
            <v>0</v>
          </cell>
          <cell r="AW221" t="str">
            <v>0</v>
          </cell>
          <cell r="AX221" t="str">
            <v>0</v>
          </cell>
          <cell r="AY221" t="str">
            <v>0</v>
          </cell>
          <cell r="AZ221" t="str">
            <v>0</v>
          </cell>
          <cell r="BA221" t="str">
            <v>0</v>
          </cell>
          <cell r="BB221" t="str">
            <v>0</v>
          </cell>
          <cell r="BC221" t="str">
            <v>0</v>
          </cell>
          <cell r="BD221" t="str">
            <v>0</v>
          </cell>
          <cell r="BE221" t="str">
            <v>0</v>
          </cell>
          <cell r="BF221" t="str">
            <v>0</v>
          </cell>
          <cell r="BG221" t="str">
            <v>0</v>
          </cell>
          <cell r="BH221" t="str">
            <v>0</v>
          </cell>
          <cell r="BI221" t="str">
            <v>0</v>
          </cell>
          <cell r="BJ221" t="str">
            <v>0</v>
          </cell>
          <cell r="BK221" t="str">
            <v>0</v>
          </cell>
          <cell r="BL221" t="str">
            <v>0</v>
          </cell>
          <cell r="BM221" t="str">
            <v>0</v>
          </cell>
          <cell r="BN221" t="str">
            <v>0</v>
          </cell>
          <cell r="BO221" t="str">
            <v>0</v>
          </cell>
          <cell r="BP221" t="str">
            <v>0</v>
          </cell>
          <cell r="BQ221" t="str">
            <v>0</v>
          </cell>
          <cell r="BR221" t="str">
            <v>0</v>
          </cell>
          <cell r="BS221" t="str">
            <v>0</v>
          </cell>
          <cell r="BT221" t="str">
            <v>0</v>
          </cell>
          <cell r="BU221" t="str">
            <v>0</v>
          </cell>
          <cell r="BV221" t="str">
            <v>0</v>
          </cell>
          <cell r="BW221" t="str">
            <v>0</v>
          </cell>
          <cell r="BX221" t="str">
            <v>0</v>
          </cell>
          <cell r="BY221" t="str">
            <v>0</v>
          </cell>
          <cell r="BZ221" t="str">
            <v>0</v>
          </cell>
          <cell r="CA221" t="str">
            <v>0</v>
          </cell>
          <cell r="CB221" t="str">
            <v>0</v>
          </cell>
          <cell r="CC221" t="str">
            <v>0</v>
          </cell>
          <cell r="CD221" t="str">
            <v>0</v>
          </cell>
          <cell r="CE221" t="str">
            <v>0</v>
          </cell>
          <cell r="CF221" t="str">
            <v>0</v>
          </cell>
          <cell r="CG221" t="str">
            <v>0</v>
          </cell>
          <cell r="CH221" t="str">
            <v>0</v>
          </cell>
          <cell r="CI221" t="str">
            <v>0</v>
          </cell>
          <cell r="CJ221" t="str">
            <v>0</v>
          </cell>
          <cell r="CK221" t="str">
            <v>0</v>
          </cell>
          <cell r="CL221" t="str">
            <v>0</v>
          </cell>
          <cell r="CM221" t="str">
            <v>0</v>
          </cell>
          <cell r="CN221" t="str">
            <v>0</v>
          </cell>
          <cell r="CO221" t="str">
            <v>0</v>
          </cell>
          <cell r="CP221" t="str">
            <v>0</v>
          </cell>
          <cell r="CQ221" t="str">
            <v>0</v>
          </cell>
          <cell r="CR221" t="str">
            <v>0</v>
          </cell>
          <cell r="CS221" t="str">
            <v>0</v>
          </cell>
          <cell r="CT221" t="str">
            <v>0</v>
          </cell>
          <cell r="CU221" t="str">
            <v>0</v>
          </cell>
          <cell r="CV221" t="str">
            <v>0</v>
          </cell>
          <cell r="CW221" t="str">
            <v>0</v>
          </cell>
          <cell r="CX221" t="str">
            <v>0</v>
          </cell>
          <cell r="CY221" t="str">
            <v>0</v>
          </cell>
          <cell r="CZ221" t="str">
            <v>0</v>
          </cell>
          <cell r="DA221" t="str">
            <v>0</v>
          </cell>
          <cell r="DB221" t="str">
            <v>0</v>
          </cell>
          <cell r="DC221" t="str">
            <v>0</v>
          </cell>
          <cell r="DD221" t="str">
            <v>0</v>
          </cell>
          <cell r="DE221" t="str">
            <v>0</v>
          </cell>
          <cell r="DF221" t="str">
            <v>0</v>
          </cell>
          <cell r="DG221" t="str">
            <v>0</v>
          </cell>
          <cell r="DH221" t="str">
            <v>0</v>
          </cell>
          <cell r="DI221" t="str">
            <v>0</v>
          </cell>
          <cell r="DJ221" t="str">
            <v>0</v>
          </cell>
          <cell r="DK221" t="str">
            <v>0</v>
          </cell>
          <cell r="DL221" t="str">
            <v>0</v>
          </cell>
          <cell r="DM221" t="str">
            <v>0</v>
          </cell>
          <cell r="DN221" t="str">
            <v>0</v>
          </cell>
          <cell r="DO221" t="str">
            <v>0</v>
          </cell>
          <cell r="DP221" t="str">
            <v>0</v>
          </cell>
        </row>
        <row r="222">
          <cell r="C222"/>
          <cell r="D222" t="str">
            <v>0</v>
          </cell>
          <cell r="E222" t="str">
            <v>0</v>
          </cell>
          <cell r="F222" t="str">
            <v>0</v>
          </cell>
          <cell r="G222" t="str">
            <v>0</v>
          </cell>
          <cell r="H222" t="str">
            <v>0</v>
          </cell>
          <cell r="I222" t="str">
            <v>0</v>
          </cell>
          <cell r="J222" t="str">
            <v>0</v>
          </cell>
          <cell r="K222" t="str">
            <v>0</v>
          </cell>
          <cell r="L222" t="str">
            <v>0</v>
          </cell>
          <cell r="M222" t="str">
            <v>0</v>
          </cell>
          <cell r="N222" t="str">
            <v>0</v>
          </cell>
          <cell r="O222" t="str">
            <v>0</v>
          </cell>
          <cell r="P222" t="str">
            <v>0</v>
          </cell>
          <cell r="Q222" t="str">
            <v>0</v>
          </cell>
          <cell r="R222" t="str">
            <v>0</v>
          </cell>
          <cell r="S222" t="str">
            <v>0</v>
          </cell>
          <cell r="T222" t="str">
            <v>0</v>
          </cell>
          <cell r="U222" t="str">
            <v>0</v>
          </cell>
          <cell r="V222" t="str">
            <v>0</v>
          </cell>
          <cell r="W222" t="str">
            <v>0</v>
          </cell>
          <cell r="X222" t="str">
            <v>0</v>
          </cell>
          <cell r="Y222" t="str">
            <v>0</v>
          </cell>
          <cell r="Z222" t="str">
            <v>0</v>
          </cell>
          <cell r="AA222" t="str">
            <v>0</v>
          </cell>
          <cell r="AB222" t="str">
            <v>0</v>
          </cell>
          <cell r="AC222" t="str">
            <v>0</v>
          </cell>
          <cell r="AD222" t="str">
            <v>0</v>
          </cell>
          <cell r="AE222" t="str">
            <v>0</v>
          </cell>
          <cell r="AF222" t="str">
            <v>0</v>
          </cell>
          <cell r="AG222" t="str">
            <v>0</v>
          </cell>
          <cell r="AH222" t="str">
            <v>0</v>
          </cell>
          <cell r="AI222" t="str">
            <v>0</v>
          </cell>
          <cell r="AJ222" t="str">
            <v>0</v>
          </cell>
          <cell r="AK222" t="str">
            <v>0</v>
          </cell>
          <cell r="AL222" t="str">
            <v>0</v>
          </cell>
          <cell r="AM222" t="str">
            <v>0</v>
          </cell>
          <cell r="AN222" t="str">
            <v>0</v>
          </cell>
          <cell r="AO222" t="str">
            <v>0</v>
          </cell>
          <cell r="AP222" t="str">
            <v>0</v>
          </cell>
          <cell r="AQ222" t="str">
            <v>0</v>
          </cell>
          <cell r="AR222" t="str">
            <v>0</v>
          </cell>
          <cell r="AS222" t="str">
            <v>0</v>
          </cell>
          <cell r="AT222" t="str">
            <v>0</v>
          </cell>
          <cell r="AU222" t="str">
            <v>0</v>
          </cell>
          <cell r="AV222" t="str">
            <v>0</v>
          </cell>
          <cell r="AW222" t="str">
            <v>0</v>
          </cell>
          <cell r="AX222" t="str">
            <v>0</v>
          </cell>
          <cell r="AY222" t="str">
            <v>0</v>
          </cell>
          <cell r="AZ222" t="str">
            <v>0</v>
          </cell>
          <cell r="BA222" t="str">
            <v>0</v>
          </cell>
          <cell r="BB222" t="str">
            <v>0</v>
          </cell>
          <cell r="BC222" t="str">
            <v>0</v>
          </cell>
          <cell r="BD222" t="str">
            <v>0</v>
          </cell>
          <cell r="BE222" t="str">
            <v>0</v>
          </cell>
          <cell r="BF222" t="str">
            <v>0</v>
          </cell>
          <cell r="BG222" t="str">
            <v>0</v>
          </cell>
          <cell r="BH222" t="str">
            <v>0</v>
          </cell>
          <cell r="BI222" t="str">
            <v>0</v>
          </cell>
          <cell r="BJ222" t="str">
            <v>0</v>
          </cell>
          <cell r="BK222" t="str">
            <v>0</v>
          </cell>
          <cell r="BL222" t="str">
            <v>0</v>
          </cell>
          <cell r="BM222" t="str">
            <v>0</v>
          </cell>
          <cell r="BN222" t="str">
            <v>0</v>
          </cell>
          <cell r="BO222" t="str">
            <v>0</v>
          </cell>
          <cell r="BP222" t="str">
            <v>0</v>
          </cell>
          <cell r="BQ222" t="str">
            <v>0</v>
          </cell>
          <cell r="BR222" t="str">
            <v>0</v>
          </cell>
          <cell r="BS222" t="str">
            <v>0</v>
          </cell>
          <cell r="BT222" t="str">
            <v>0</v>
          </cell>
          <cell r="BU222" t="str">
            <v>0</v>
          </cell>
          <cell r="BV222" t="str">
            <v>0</v>
          </cell>
          <cell r="BW222" t="str">
            <v>0</v>
          </cell>
          <cell r="BX222" t="str">
            <v>0</v>
          </cell>
          <cell r="BY222" t="str">
            <v>0</v>
          </cell>
          <cell r="BZ222" t="str">
            <v>0</v>
          </cell>
          <cell r="CA222" t="str">
            <v>0</v>
          </cell>
          <cell r="CB222" t="str">
            <v>0</v>
          </cell>
          <cell r="CC222" t="str">
            <v>0</v>
          </cell>
          <cell r="CD222" t="str">
            <v>0</v>
          </cell>
          <cell r="CE222" t="str">
            <v>0</v>
          </cell>
          <cell r="CF222" t="str">
            <v>0</v>
          </cell>
          <cell r="CG222" t="str">
            <v>0</v>
          </cell>
          <cell r="CH222" t="str">
            <v>0</v>
          </cell>
          <cell r="CI222" t="str">
            <v>0</v>
          </cell>
          <cell r="CJ222" t="str">
            <v>0</v>
          </cell>
          <cell r="CK222" t="str">
            <v>0</v>
          </cell>
          <cell r="CL222" t="str">
            <v>0</v>
          </cell>
          <cell r="CM222" t="str">
            <v>0</v>
          </cell>
          <cell r="CN222" t="str">
            <v>0</v>
          </cell>
          <cell r="CO222" t="str">
            <v>0</v>
          </cell>
          <cell r="CP222" t="str">
            <v>0</v>
          </cell>
          <cell r="CQ222" t="str">
            <v>0</v>
          </cell>
          <cell r="CR222" t="str">
            <v>0</v>
          </cell>
          <cell r="CS222" t="str">
            <v>0</v>
          </cell>
          <cell r="CT222" t="str">
            <v>0</v>
          </cell>
          <cell r="CU222" t="str">
            <v>0</v>
          </cell>
          <cell r="CV222" t="str">
            <v>0</v>
          </cell>
          <cell r="CW222" t="str">
            <v>0</v>
          </cell>
          <cell r="CX222" t="str">
            <v>0</v>
          </cell>
          <cell r="CY222" t="str">
            <v>0</v>
          </cell>
          <cell r="CZ222" t="str">
            <v>0</v>
          </cell>
          <cell r="DA222" t="str">
            <v>0</v>
          </cell>
          <cell r="DB222" t="str">
            <v>0</v>
          </cell>
          <cell r="DC222" t="str">
            <v>0</v>
          </cell>
          <cell r="DD222" t="str">
            <v>0</v>
          </cell>
          <cell r="DE222" t="str">
            <v>0</v>
          </cell>
          <cell r="DF222" t="str">
            <v>0</v>
          </cell>
          <cell r="DG222" t="str">
            <v>0</v>
          </cell>
          <cell r="DH222" t="str">
            <v>0</v>
          </cell>
          <cell r="DI222" t="str">
            <v>0</v>
          </cell>
          <cell r="DJ222" t="str">
            <v>0</v>
          </cell>
          <cell r="DK222" t="str">
            <v>0</v>
          </cell>
          <cell r="DL222" t="str">
            <v>0</v>
          </cell>
          <cell r="DM222" t="str">
            <v>0</v>
          </cell>
          <cell r="DN222" t="str">
            <v>0</v>
          </cell>
          <cell r="DO222" t="str">
            <v>0</v>
          </cell>
          <cell r="DP222" t="str">
            <v>0</v>
          </cell>
        </row>
        <row r="223">
          <cell r="C223"/>
          <cell r="D223" t="str">
            <v>0</v>
          </cell>
          <cell r="E223" t="str">
            <v>0</v>
          </cell>
          <cell r="F223" t="str">
            <v>0</v>
          </cell>
          <cell r="G223" t="str">
            <v>0</v>
          </cell>
          <cell r="H223" t="str">
            <v>0</v>
          </cell>
          <cell r="I223" t="str">
            <v>0</v>
          </cell>
          <cell r="J223" t="str">
            <v>0</v>
          </cell>
          <cell r="K223" t="str">
            <v>0</v>
          </cell>
          <cell r="L223" t="str">
            <v>0</v>
          </cell>
          <cell r="M223" t="str">
            <v>0</v>
          </cell>
          <cell r="N223" t="str">
            <v>0</v>
          </cell>
          <cell r="O223" t="str">
            <v>0</v>
          </cell>
          <cell r="P223" t="str">
            <v>0</v>
          </cell>
          <cell r="Q223" t="str">
            <v>0</v>
          </cell>
          <cell r="R223" t="str">
            <v>0</v>
          </cell>
          <cell r="S223" t="str">
            <v>0</v>
          </cell>
          <cell r="T223" t="str">
            <v>0</v>
          </cell>
          <cell r="U223" t="str">
            <v>0</v>
          </cell>
          <cell r="V223" t="str">
            <v>0</v>
          </cell>
          <cell r="W223" t="str">
            <v>0</v>
          </cell>
          <cell r="X223" t="str">
            <v>0</v>
          </cell>
          <cell r="Y223" t="str">
            <v>0</v>
          </cell>
          <cell r="Z223" t="str">
            <v>0</v>
          </cell>
          <cell r="AA223" t="str">
            <v>0</v>
          </cell>
          <cell r="AB223" t="str">
            <v>0</v>
          </cell>
          <cell r="AC223" t="str">
            <v>0</v>
          </cell>
          <cell r="AD223" t="str">
            <v>0</v>
          </cell>
          <cell r="AE223" t="str">
            <v>0</v>
          </cell>
          <cell r="AF223" t="str">
            <v>0</v>
          </cell>
          <cell r="AG223" t="str">
            <v>0</v>
          </cell>
          <cell r="AH223" t="str">
            <v>0</v>
          </cell>
          <cell r="AI223" t="str">
            <v>0</v>
          </cell>
          <cell r="AJ223" t="str">
            <v>0</v>
          </cell>
          <cell r="AK223" t="str">
            <v>0</v>
          </cell>
          <cell r="AL223" t="str">
            <v>0</v>
          </cell>
          <cell r="AM223" t="str">
            <v>0</v>
          </cell>
          <cell r="AN223" t="str">
            <v>0</v>
          </cell>
          <cell r="AO223" t="str">
            <v>0</v>
          </cell>
          <cell r="AP223" t="str">
            <v>0</v>
          </cell>
          <cell r="AQ223" t="str">
            <v>0</v>
          </cell>
          <cell r="AR223" t="str">
            <v>0</v>
          </cell>
          <cell r="AS223" t="str">
            <v>0</v>
          </cell>
          <cell r="AT223" t="str">
            <v>0</v>
          </cell>
          <cell r="AU223" t="str">
            <v>0</v>
          </cell>
          <cell r="AV223" t="str">
            <v>0</v>
          </cell>
          <cell r="AW223" t="str">
            <v>0</v>
          </cell>
          <cell r="AX223" t="str">
            <v>0</v>
          </cell>
          <cell r="AY223" t="str">
            <v>0</v>
          </cell>
          <cell r="AZ223" t="str">
            <v>0</v>
          </cell>
          <cell r="BA223" t="str">
            <v>0</v>
          </cell>
          <cell r="BB223" t="str">
            <v>0</v>
          </cell>
          <cell r="BC223" t="str">
            <v>0</v>
          </cell>
          <cell r="BD223" t="str">
            <v>0</v>
          </cell>
          <cell r="BE223" t="str">
            <v>0</v>
          </cell>
          <cell r="BF223" t="str">
            <v>0</v>
          </cell>
          <cell r="BG223" t="str">
            <v>0</v>
          </cell>
          <cell r="BH223" t="str">
            <v>0</v>
          </cell>
          <cell r="BI223" t="str">
            <v>0</v>
          </cell>
          <cell r="BJ223" t="str">
            <v>0</v>
          </cell>
          <cell r="BK223" t="str">
            <v>0</v>
          </cell>
          <cell r="BL223" t="str">
            <v>0</v>
          </cell>
          <cell r="BM223" t="str">
            <v>0</v>
          </cell>
          <cell r="BN223" t="str">
            <v>0</v>
          </cell>
          <cell r="BO223" t="str">
            <v>0</v>
          </cell>
          <cell r="BP223" t="str">
            <v>0</v>
          </cell>
          <cell r="BQ223" t="str">
            <v>0</v>
          </cell>
          <cell r="BR223" t="str">
            <v>0</v>
          </cell>
          <cell r="BS223" t="str">
            <v>0</v>
          </cell>
          <cell r="BT223" t="str">
            <v>0</v>
          </cell>
          <cell r="BU223" t="str">
            <v>0</v>
          </cell>
          <cell r="BV223" t="str">
            <v>0</v>
          </cell>
          <cell r="BW223" t="str">
            <v>0</v>
          </cell>
          <cell r="BX223" t="str">
            <v>0</v>
          </cell>
          <cell r="BY223" t="str">
            <v>0</v>
          </cell>
          <cell r="BZ223" t="str">
            <v>0</v>
          </cell>
          <cell r="CA223" t="str">
            <v>0</v>
          </cell>
          <cell r="CB223" t="str">
            <v>0</v>
          </cell>
          <cell r="CC223" t="str">
            <v>0</v>
          </cell>
          <cell r="CD223" t="str">
            <v>0</v>
          </cell>
          <cell r="CE223" t="str">
            <v>0</v>
          </cell>
          <cell r="CF223" t="str">
            <v>0</v>
          </cell>
          <cell r="CG223" t="str">
            <v>0</v>
          </cell>
          <cell r="CH223" t="str">
            <v>0</v>
          </cell>
          <cell r="CI223" t="str">
            <v>0</v>
          </cell>
          <cell r="CJ223" t="str">
            <v>0</v>
          </cell>
          <cell r="CK223" t="str">
            <v>0</v>
          </cell>
          <cell r="CL223" t="str">
            <v>0</v>
          </cell>
          <cell r="CM223" t="str">
            <v>0</v>
          </cell>
          <cell r="CN223" t="str">
            <v>0</v>
          </cell>
          <cell r="CO223" t="str">
            <v>0</v>
          </cell>
          <cell r="CP223" t="str">
            <v>0</v>
          </cell>
          <cell r="CQ223" t="str">
            <v>0</v>
          </cell>
          <cell r="CR223" t="str">
            <v>0</v>
          </cell>
          <cell r="CS223" t="str">
            <v>0</v>
          </cell>
          <cell r="CT223" t="str">
            <v>0</v>
          </cell>
          <cell r="CU223" t="str">
            <v>0</v>
          </cell>
          <cell r="CV223" t="str">
            <v>0</v>
          </cell>
          <cell r="CW223" t="str">
            <v>0</v>
          </cell>
          <cell r="CX223" t="str">
            <v>0</v>
          </cell>
          <cell r="CY223" t="str">
            <v>0</v>
          </cell>
          <cell r="CZ223" t="str">
            <v>0</v>
          </cell>
          <cell r="DA223" t="str">
            <v>0</v>
          </cell>
          <cell r="DB223" t="str">
            <v>0</v>
          </cell>
          <cell r="DC223" t="str">
            <v>0</v>
          </cell>
          <cell r="DD223" t="str">
            <v>0</v>
          </cell>
          <cell r="DE223" t="str">
            <v>0</v>
          </cell>
          <cell r="DF223" t="str">
            <v>0</v>
          </cell>
          <cell r="DG223" t="str">
            <v>0</v>
          </cell>
          <cell r="DH223" t="str">
            <v>0</v>
          </cell>
          <cell r="DI223" t="str">
            <v>0</v>
          </cell>
          <cell r="DJ223" t="str">
            <v>0</v>
          </cell>
          <cell r="DK223" t="str">
            <v>0</v>
          </cell>
          <cell r="DL223" t="str">
            <v>0</v>
          </cell>
          <cell r="DM223" t="str">
            <v>0</v>
          </cell>
          <cell r="DN223" t="str">
            <v>0</v>
          </cell>
          <cell r="DO223" t="str">
            <v>0</v>
          </cell>
          <cell r="DP223" t="str">
            <v>0</v>
          </cell>
        </row>
        <row r="224">
          <cell r="C224"/>
          <cell r="D224" t="str">
            <v>0</v>
          </cell>
          <cell r="E224" t="str">
            <v>0</v>
          </cell>
          <cell r="F224" t="str">
            <v>0</v>
          </cell>
          <cell r="G224" t="str">
            <v>0</v>
          </cell>
          <cell r="H224" t="str">
            <v>0</v>
          </cell>
          <cell r="I224" t="str">
            <v>0</v>
          </cell>
          <cell r="J224" t="str">
            <v>0</v>
          </cell>
          <cell r="K224" t="str">
            <v>0</v>
          </cell>
          <cell r="L224" t="str">
            <v>0</v>
          </cell>
          <cell r="M224" t="str">
            <v>0</v>
          </cell>
          <cell r="N224" t="str">
            <v>0</v>
          </cell>
          <cell r="O224" t="str">
            <v>0</v>
          </cell>
          <cell r="P224" t="str">
            <v>0</v>
          </cell>
          <cell r="Q224" t="str">
            <v>0</v>
          </cell>
          <cell r="R224" t="str">
            <v>0</v>
          </cell>
          <cell r="S224" t="str">
            <v>0</v>
          </cell>
          <cell r="T224" t="str">
            <v>0</v>
          </cell>
          <cell r="U224" t="str">
            <v>0</v>
          </cell>
          <cell r="V224" t="str">
            <v>0</v>
          </cell>
          <cell r="W224" t="str">
            <v>0</v>
          </cell>
          <cell r="X224" t="str">
            <v>0</v>
          </cell>
          <cell r="Y224" t="str">
            <v>0</v>
          </cell>
          <cell r="Z224" t="str">
            <v>0</v>
          </cell>
          <cell r="AA224" t="str">
            <v>0</v>
          </cell>
          <cell r="AB224" t="str">
            <v>0</v>
          </cell>
          <cell r="AC224" t="str">
            <v>0</v>
          </cell>
          <cell r="AD224" t="str">
            <v>0</v>
          </cell>
          <cell r="AE224" t="str">
            <v>0</v>
          </cell>
          <cell r="AF224" t="str">
            <v>0</v>
          </cell>
          <cell r="AG224" t="str">
            <v>0</v>
          </cell>
          <cell r="AH224" t="str">
            <v>0</v>
          </cell>
          <cell r="AI224" t="str">
            <v>0</v>
          </cell>
          <cell r="AJ224" t="str">
            <v>0</v>
          </cell>
          <cell r="AK224" t="str">
            <v>0</v>
          </cell>
          <cell r="AL224" t="str">
            <v>0</v>
          </cell>
          <cell r="AM224" t="str">
            <v>0</v>
          </cell>
          <cell r="AN224" t="str">
            <v>0</v>
          </cell>
          <cell r="AO224" t="str">
            <v>0</v>
          </cell>
          <cell r="AP224" t="str">
            <v>0</v>
          </cell>
          <cell r="AQ224" t="str">
            <v>0</v>
          </cell>
          <cell r="AR224" t="str">
            <v>0</v>
          </cell>
          <cell r="AS224" t="str">
            <v>0</v>
          </cell>
          <cell r="AT224" t="str">
            <v>0</v>
          </cell>
          <cell r="AU224" t="str">
            <v>0</v>
          </cell>
          <cell r="AV224" t="str">
            <v>0</v>
          </cell>
          <cell r="AW224" t="str">
            <v>0</v>
          </cell>
          <cell r="AX224" t="str">
            <v>0</v>
          </cell>
          <cell r="AY224" t="str">
            <v>0</v>
          </cell>
          <cell r="AZ224" t="str">
            <v>0</v>
          </cell>
          <cell r="BA224" t="str">
            <v>0</v>
          </cell>
          <cell r="BB224" t="str">
            <v>0</v>
          </cell>
          <cell r="BC224" t="str">
            <v>0</v>
          </cell>
          <cell r="BD224" t="str">
            <v>0</v>
          </cell>
          <cell r="BE224" t="str">
            <v>0</v>
          </cell>
          <cell r="BF224" t="str">
            <v>0</v>
          </cell>
          <cell r="BG224" t="str">
            <v>0</v>
          </cell>
          <cell r="BH224" t="str">
            <v>0</v>
          </cell>
          <cell r="BI224" t="str">
            <v>0</v>
          </cell>
          <cell r="BJ224" t="str">
            <v>0</v>
          </cell>
          <cell r="BK224" t="str">
            <v>0</v>
          </cell>
          <cell r="BL224" t="str">
            <v>0</v>
          </cell>
          <cell r="BM224" t="str">
            <v>0</v>
          </cell>
          <cell r="BN224" t="str">
            <v>0</v>
          </cell>
          <cell r="BO224" t="str">
            <v>0</v>
          </cell>
          <cell r="BP224" t="str">
            <v>0</v>
          </cell>
          <cell r="BQ224" t="str">
            <v>0</v>
          </cell>
          <cell r="BR224" t="str">
            <v>0</v>
          </cell>
          <cell r="BS224" t="str">
            <v>0</v>
          </cell>
          <cell r="BT224" t="str">
            <v>0</v>
          </cell>
          <cell r="BU224" t="str">
            <v>0</v>
          </cell>
          <cell r="BV224" t="str">
            <v>0</v>
          </cell>
          <cell r="BW224" t="str">
            <v>0</v>
          </cell>
          <cell r="BX224" t="str">
            <v>0</v>
          </cell>
          <cell r="BY224" t="str">
            <v>0</v>
          </cell>
          <cell r="BZ224" t="str">
            <v>0</v>
          </cell>
          <cell r="CA224" t="str">
            <v>0</v>
          </cell>
          <cell r="CB224" t="str">
            <v>0</v>
          </cell>
          <cell r="CC224" t="str">
            <v>0</v>
          </cell>
          <cell r="CD224" t="str">
            <v>0</v>
          </cell>
          <cell r="CE224" t="str">
            <v>0</v>
          </cell>
          <cell r="CF224" t="str">
            <v>0</v>
          </cell>
          <cell r="CG224" t="str">
            <v>0</v>
          </cell>
          <cell r="CH224" t="str">
            <v>0</v>
          </cell>
          <cell r="CI224" t="str">
            <v>0</v>
          </cell>
          <cell r="CJ224" t="str">
            <v>0</v>
          </cell>
          <cell r="CK224" t="str">
            <v>0</v>
          </cell>
          <cell r="CL224" t="str">
            <v>0</v>
          </cell>
          <cell r="CM224" t="str">
            <v>0</v>
          </cell>
          <cell r="CN224" t="str">
            <v>0</v>
          </cell>
          <cell r="CO224" t="str">
            <v>0</v>
          </cell>
          <cell r="CP224" t="str">
            <v>0</v>
          </cell>
          <cell r="CQ224" t="str">
            <v>0</v>
          </cell>
          <cell r="CR224" t="str">
            <v>0</v>
          </cell>
          <cell r="CS224" t="str">
            <v>0</v>
          </cell>
          <cell r="CT224" t="str">
            <v>0</v>
          </cell>
          <cell r="CU224" t="str">
            <v>0</v>
          </cell>
          <cell r="CV224" t="str">
            <v>0</v>
          </cell>
          <cell r="CW224" t="str">
            <v>0</v>
          </cell>
          <cell r="CX224" t="str">
            <v>0</v>
          </cell>
          <cell r="CY224" t="str">
            <v>0</v>
          </cell>
          <cell r="CZ224" t="str">
            <v>0</v>
          </cell>
          <cell r="DA224" t="str">
            <v>0</v>
          </cell>
          <cell r="DB224" t="str">
            <v>0</v>
          </cell>
          <cell r="DC224" t="str">
            <v>0</v>
          </cell>
          <cell r="DD224" t="str">
            <v>0</v>
          </cell>
          <cell r="DE224" t="str">
            <v>0</v>
          </cell>
          <cell r="DF224" t="str">
            <v>0</v>
          </cell>
          <cell r="DG224" t="str">
            <v>0</v>
          </cell>
          <cell r="DH224" t="str">
            <v>0</v>
          </cell>
          <cell r="DI224" t="str">
            <v>0</v>
          </cell>
          <cell r="DJ224" t="str">
            <v>0</v>
          </cell>
          <cell r="DK224" t="str">
            <v>0</v>
          </cell>
          <cell r="DL224" t="str">
            <v>0</v>
          </cell>
          <cell r="DM224" t="str">
            <v>0</v>
          </cell>
          <cell r="DN224" t="str">
            <v>0</v>
          </cell>
          <cell r="DO224" t="str">
            <v>0</v>
          </cell>
          <cell r="DP224" t="str">
            <v>0</v>
          </cell>
        </row>
        <row r="225">
          <cell r="C225"/>
          <cell r="D225" t="str">
            <v>0</v>
          </cell>
          <cell r="E225" t="str">
            <v>0</v>
          </cell>
          <cell r="F225" t="str">
            <v>0</v>
          </cell>
          <cell r="G225" t="str">
            <v>0</v>
          </cell>
          <cell r="H225" t="str">
            <v>0</v>
          </cell>
          <cell r="I225" t="str">
            <v>0</v>
          </cell>
          <cell r="J225" t="str">
            <v>0</v>
          </cell>
          <cell r="K225" t="str">
            <v>0</v>
          </cell>
          <cell r="L225" t="str">
            <v>0</v>
          </cell>
          <cell r="M225" t="str">
            <v>0</v>
          </cell>
          <cell r="N225" t="str">
            <v>0</v>
          </cell>
          <cell r="O225" t="str">
            <v>0</v>
          </cell>
          <cell r="P225" t="str">
            <v>0</v>
          </cell>
          <cell r="Q225" t="str">
            <v>0</v>
          </cell>
          <cell r="R225" t="str">
            <v>0</v>
          </cell>
          <cell r="S225" t="str">
            <v>0</v>
          </cell>
          <cell r="T225" t="str">
            <v>0</v>
          </cell>
          <cell r="U225" t="str">
            <v>0</v>
          </cell>
          <cell r="V225" t="str">
            <v>0</v>
          </cell>
          <cell r="W225" t="str">
            <v>0</v>
          </cell>
          <cell r="X225" t="str">
            <v>0</v>
          </cell>
          <cell r="Y225" t="str">
            <v>0</v>
          </cell>
          <cell r="Z225" t="str">
            <v>0</v>
          </cell>
          <cell r="AA225" t="str">
            <v>0</v>
          </cell>
          <cell r="AB225" t="str">
            <v>0</v>
          </cell>
          <cell r="AC225" t="str">
            <v>0</v>
          </cell>
          <cell r="AD225" t="str">
            <v>0</v>
          </cell>
          <cell r="AE225" t="str">
            <v>0</v>
          </cell>
          <cell r="AF225" t="str">
            <v>0</v>
          </cell>
          <cell r="AG225" t="str">
            <v>0</v>
          </cell>
          <cell r="AH225" t="str">
            <v>0</v>
          </cell>
          <cell r="AI225" t="str">
            <v>0</v>
          </cell>
          <cell r="AJ225" t="str">
            <v>0</v>
          </cell>
          <cell r="AK225" t="str">
            <v>0</v>
          </cell>
          <cell r="AL225" t="str">
            <v>0</v>
          </cell>
          <cell r="AM225" t="str">
            <v>0</v>
          </cell>
          <cell r="AN225" t="str">
            <v>0</v>
          </cell>
          <cell r="AO225" t="str">
            <v>0</v>
          </cell>
          <cell r="AP225" t="str">
            <v>0</v>
          </cell>
          <cell r="AQ225" t="str">
            <v>0</v>
          </cell>
          <cell r="AR225" t="str">
            <v>0</v>
          </cell>
          <cell r="AS225" t="str">
            <v>0</v>
          </cell>
          <cell r="AT225" t="str">
            <v>0</v>
          </cell>
          <cell r="AU225" t="str">
            <v>0</v>
          </cell>
          <cell r="AV225" t="str">
            <v>0</v>
          </cell>
          <cell r="AW225" t="str">
            <v>0</v>
          </cell>
          <cell r="AX225" t="str">
            <v>0</v>
          </cell>
          <cell r="AY225" t="str">
            <v>0</v>
          </cell>
          <cell r="AZ225" t="str">
            <v>0</v>
          </cell>
          <cell r="BA225" t="str">
            <v>0</v>
          </cell>
          <cell r="BB225" t="str">
            <v>0</v>
          </cell>
          <cell r="BC225" t="str">
            <v>0</v>
          </cell>
          <cell r="BD225" t="str">
            <v>0</v>
          </cell>
          <cell r="BE225" t="str">
            <v>0</v>
          </cell>
          <cell r="BF225" t="str">
            <v>0</v>
          </cell>
          <cell r="BG225" t="str">
            <v>0</v>
          </cell>
          <cell r="BH225" t="str">
            <v>0</v>
          </cell>
          <cell r="BI225" t="str">
            <v>0</v>
          </cell>
          <cell r="BJ225" t="str">
            <v>0</v>
          </cell>
          <cell r="BK225" t="str">
            <v>0</v>
          </cell>
          <cell r="BL225" t="str">
            <v>0</v>
          </cell>
          <cell r="BM225" t="str">
            <v>0</v>
          </cell>
          <cell r="BN225" t="str">
            <v>0</v>
          </cell>
          <cell r="BO225" t="str">
            <v>0</v>
          </cell>
          <cell r="BP225" t="str">
            <v>0</v>
          </cell>
          <cell r="BQ225" t="str">
            <v>0</v>
          </cell>
          <cell r="BR225" t="str">
            <v>0</v>
          </cell>
          <cell r="BS225" t="str">
            <v>0</v>
          </cell>
          <cell r="BT225" t="str">
            <v>0</v>
          </cell>
          <cell r="BU225" t="str">
            <v>0</v>
          </cell>
          <cell r="BV225" t="str">
            <v>0</v>
          </cell>
          <cell r="BW225" t="str">
            <v>0</v>
          </cell>
          <cell r="BX225" t="str">
            <v>0</v>
          </cell>
          <cell r="BY225" t="str">
            <v>0</v>
          </cell>
          <cell r="BZ225" t="str">
            <v>0</v>
          </cell>
          <cell r="CA225" t="str">
            <v>0</v>
          </cell>
          <cell r="CB225" t="str">
            <v>0</v>
          </cell>
          <cell r="CC225" t="str">
            <v>0</v>
          </cell>
          <cell r="CD225" t="str">
            <v>0</v>
          </cell>
          <cell r="CE225" t="str">
            <v>0</v>
          </cell>
          <cell r="CF225" t="str">
            <v>0</v>
          </cell>
          <cell r="CG225" t="str">
            <v>0</v>
          </cell>
          <cell r="CH225" t="str">
            <v>0</v>
          </cell>
          <cell r="CI225" t="str">
            <v>0</v>
          </cell>
          <cell r="CJ225" t="str">
            <v>0</v>
          </cell>
          <cell r="CK225" t="str">
            <v>0</v>
          </cell>
          <cell r="CL225" t="str">
            <v>0</v>
          </cell>
          <cell r="CM225" t="str">
            <v>0</v>
          </cell>
          <cell r="CN225" t="str">
            <v>0</v>
          </cell>
          <cell r="CO225" t="str">
            <v>0</v>
          </cell>
          <cell r="CP225" t="str">
            <v>0</v>
          </cell>
          <cell r="CQ225" t="str">
            <v>0</v>
          </cell>
          <cell r="CR225" t="str">
            <v>0</v>
          </cell>
          <cell r="CS225" t="str">
            <v>0</v>
          </cell>
          <cell r="CT225" t="str">
            <v>0</v>
          </cell>
          <cell r="CU225" t="str">
            <v>0</v>
          </cell>
          <cell r="CV225" t="str">
            <v>0</v>
          </cell>
          <cell r="CW225" t="str">
            <v>0</v>
          </cell>
          <cell r="CX225" t="str">
            <v>0</v>
          </cell>
          <cell r="CY225" t="str">
            <v>0</v>
          </cell>
          <cell r="CZ225" t="str">
            <v>0</v>
          </cell>
          <cell r="DA225" t="str">
            <v>0</v>
          </cell>
          <cell r="DB225" t="str">
            <v>0</v>
          </cell>
          <cell r="DC225" t="str">
            <v>0</v>
          </cell>
          <cell r="DD225" t="str">
            <v>0</v>
          </cell>
          <cell r="DE225" t="str">
            <v>0</v>
          </cell>
          <cell r="DF225" t="str">
            <v>0</v>
          </cell>
          <cell r="DG225" t="str">
            <v>0</v>
          </cell>
          <cell r="DH225" t="str">
            <v>0</v>
          </cell>
          <cell r="DI225" t="str">
            <v>0</v>
          </cell>
          <cell r="DJ225" t="str">
            <v>0</v>
          </cell>
          <cell r="DK225" t="str">
            <v>0</v>
          </cell>
          <cell r="DL225" t="str">
            <v>0</v>
          </cell>
          <cell r="DM225" t="str">
            <v>0</v>
          </cell>
          <cell r="DN225" t="str">
            <v>0</v>
          </cell>
          <cell r="DO225" t="str">
            <v>0</v>
          </cell>
          <cell r="DP225" t="str">
            <v>0</v>
          </cell>
        </row>
        <row r="226">
          <cell r="C226"/>
          <cell r="D226" t="str">
            <v>0</v>
          </cell>
          <cell r="E226" t="str">
            <v>0</v>
          </cell>
          <cell r="F226" t="str">
            <v>0</v>
          </cell>
          <cell r="G226" t="str">
            <v>0</v>
          </cell>
          <cell r="H226" t="str">
            <v>0</v>
          </cell>
          <cell r="I226" t="str">
            <v>0</v>
          </cell>
          <cell r="J226" t="str">
            <v>0</v>
          </cell>
          <cell r="K226" t="str">
            <v>0</v>
          </cell>
          <cell r="L226" t="str">
            <v>0</v>
          </cell>
          <cell r="M226" t="str">
            <v>0</v>
          </cell>
          <cell r="N226" t="str">
            <v>0</v>
          </cell>
          <cell r="O226" t="str">
            <v>0</v>
          </cell>
          <cell r="P226" t="str">
            <v>0</v>
          </cell>
          <cell r="Q226" t="str">
            <v>0</v>
          </cell>
          <cell r="R226" t="str">
            <v>0</v>
          </cell>
          <cell r="S226" t="str">
            <v>0</v>
          </cell>
          <cell r="T226" t="str">
            <v>0</v>
          </cell>
          <cell r="U226" t="str">
            <v>0</v>
          </cell>
          <cell r="V226" t="str">
            <v>0</v>
          </cell>
          <cell r="W226" t="str">
            <v>0</v>
          </cell>
          <cell r="X226" t="str">
            <v>0</v>
          </cell>
          <cell r="Y226" t="str">
            <v>0</v>
          </cell>
          <cell r="Z226" t="str">
            <v>0</v>
          </cell>
          <cell r="AA226" t="str">
            <v>0</v>
          </cell>
          <cell r="AB226" t="str">
            <v>0</v>
          </cell>
          <cell r="AC226" t="str">
            <v>0</v>
          </cell>
          <cell r="AD226" t="str">
            <v>0</v>
          </cell>
          <cell r="AE226" t="str">
            <v>0</v>
          </cell>
          <cell r="AF226" t="str">
            <v>0</v>
          </cell>
          <cell r="AG226" t="str">
            <v>0</v>
          </cell>
          <cell r="AH226" t="str">
            <v>0</v>
          </cell>
          <cell r="AI226" t="str">
            <v>0</v>
          </cell>
          <cell r="AJ226" t="str">
            <v>0</v>
          </cell>
          <cell r="AK226" t="str">
            <v>0</v>
          </cell>
          <cell r="AL226" t="str">
            <v>0</v>
          </cell>
          <cell r="AM226" t="str">
            <v>0</v>
          </cell>
          <cell r="AN226" t="str">
            <v>0</v>
          </cell>
          <cell r="AO226" t="str">
            <v>0</v>
          </cell>
          <cell r="AP226" t="str">
            <v>0</v>
          </cell>
          <cell r="AQ226" t="str">
            <v>0</v>
          </cell>
          <cell r="AR226" t="str">
            <v>0</v>
          </cell>
          <cell r="AS226" t="str">
            <v>0</v>
          </cell>
          <cell r="AT226" t="str">
            <v>0</v>
          </cell>
          <cell r="AU226" t="str">
            <v>0</v>
          </cell>
          <cell r="AV226" t="str">
            <v>0</v>
          </cell>
          <cell r="AW226" t="str">
            <v>0</v>
          </cell>
          <cell r="AX226" t="str">
            <v>0</v>
          </cell>
          <cell r="AY226" t="str">
            <v>0</v>
          </cell>
          <cell r="AZ226" t="str">
            <v>0</v>
          </cell>
          <cell r="BA226" t="str">
            <v>0</v>
          </cell>
          <cell r="BB226" t="str">
            <v>0</v>
          </cell>
          <cell r="BC226" t="str">
            <v>0</v>
          </cell>
          <cell r="BD226" t="str">
            <v>0</v>
          </cell>
          <cell r="BE226" t="str">
            <v>0</v>
          </cell>
          <cell r="BF226" t="str">
            <v>0</v>
          </cell>
          <cell r="BG226" t="str">
            <v>0</v>
          </cell>
          <cell r="BH226" t="str">
            <v>0</v>
          </cell>
          <cell r="BI226" t="str">
            <v>0</v>
          </cell>
          <cell r="BJ226" t="str">
            <v>0</v>
          </cell>
          <cell r="BK226" t="str">
            <v>0</v>
          </cell>
          <cell r="BL226" t="str">
            <v>0</v>
          </cell>
          <cell r="BM226" t="str">
            <v>0</v>
          </cell>
          <cell r="BN226" t="str">
            <v>0</v>
          </cell>
          <cell r="BO226" t="str">
            <v>0</v>
          </cell>
          <cell r="BP226" t="str">
            <v>0</v>
          </cell>
          <cell r="BQ226" t="str">
            <v>0</v>
          </cell>
          <cell r="BR226" t="str">
            <v>0</v>
          </cell>
          <cell r="BS226" t="str">
            <v>0</v>
          </cell>
          <cell r="BT226" t="str">
            <v>0</v>
          </cell>
          <cell r="BU226" t="str">
            <v>0</v>
          </cell>
          <cell r="BV226" t="str">
            <v>0</v>
          </cell>
          <cell r="BW226" t="str">
            <v>0</v>
          </cell>
          <cell r="BX226" t="str">
            <v>0</v>
          </cell>
          <cell r="BY226" t="str">
            <v>0</v>
          </cell>
          <cell r="BZ226" t="str">
            <v>0</v>
          </cell>
          <cell r="CA226" t="str">
            <v>0</v>
          </cell>
          <cell r="CB226" t="str">
            <v>0</v>
          </cell>
          <cell r="CC226" t="str">
            <v>0</v>
          </cell>
          <cell r="CD226" t="str">
            <v>0</v>
          </cell>
          <cell r="CE226" t="str">
            <v>0</v>
          </cell>
          <cell r="CF226" t="str">
            <v>0</v>
          </cell>
          <cell r="CG226" t="str">
            <v>0</v>
          </cell>
          <cell r="CH226" t="str">
            <v>0</v>
          </cell>
          <cell r="CI226" t="str">
            <v>0</v>
          </cell>
          <cell r="CJ226" t="str">
            <v>0</v>
          </cell>
          <cell r="CK226" t="str">
            <v>0</v>
          </cell>
          <cell r="CL226" t="str">
            <v>0</v>
          </cell>
          <cell r="CM226" t="str">
            <v>0</v>
          </cell>
          <cell r="CN226" t="str">
            <v>0</v>
          </cell>
          <cell r="CO226" t="str">
            <v>0</v>
          </cell>
          <cell r="CP226" t="str">
            <v>0</v>
          </cell>
          <cell r="CQ226" t="str">
            <v>0</v>
          </cell>
          <cell r="CR226" t="str">
            <v>0</v>
          </cell>
          <cell r="CS226" t="str">
            <v>0</v>
          </cell>
          <cell r="CT226" t="str">
            <v>0</v>
          </cell>
          <cell r="CU226" t="str">
            <v>0</v>
          </cell>
          <cell r="CV226" t="str">
            <v>0</v>
          </cell>
          <cell r="CW226" t="str">
            <v>0</v>
          </cell>
          <cell r="CX226" t="str">
            <v>0</v>
          </cell>
          <cell r="CY226" t="str">
            <v>0</v>
          </cell>
          <cell r="CZ226" t="str">
            <v>0</v>
          </cell>
          <cell r="DA226" t="str">
            <v>0</v>
          </cell>
          <cell r="DB226" t="str">
            <v>0</v>
          </cell>
          <cell r="DC226" t="str">
            <v>0</v>
          </cell>
          <cell r="DD226" t="str">
            <v>0</v>
          </cell>
          <cell r="DE226" t="str">
            <v>0</v>
          </cell>
          <cell r="DF226" t="str">
            <v>0</v>
          </cell>
          <cell r="DG226" t="str">
            <v>0</v>
          </cell>
          <cell r="DH226" t="str">
            <v>0</v>
          </cell>
          <cell r="DI226" t="str">
            <v>0</v>
          </cell>
          <cell r="DJ226" t="str">
            <v>0</v>
          </cell>
          <cell r="DK226" t="str">
            <v>0</v>
          </cell>
          <cell r="DL226" t="str">
            <v>0</v>
          </cell>
          <cell r="DM226" t="str">
            <v>0</v>
          </cell>
          <cell r="DN226" t="str">
            <v>0</v>
          </cell>
          <cell r="DO226" t="str">
            <v>0</v>
          </cell>
          <cell r="DP226" t="str">
            <v>0</v>
          </cell>
        </row>
        <row r="227">
          <cell r="C227"/>
          <cell r="D227" t="str">
            <v>0</v>
          </cell>
          <cell r="E227" t="str">
            <v>0</v>
          </cell>
          <cell r="F227" t="str">
            <v>0</v>
          </cell>
          <cell r="G227" t="str">
            <v>0</v>
          </cell>
          <cell r="H227" t="str">
            <v>0</v>
          </cell>
          <cell r="I227" t="str">
            <v>0</v>
          </cell>
          <cell r="J227" t="str">
            <v>0</v>
          </cell>
          <cell r="K227" t="str">
            <v>0</v>
          </cell>
          <cell r="L227" t="str">
            <v>0</v>
          </cell>
          <cell r="M227" t="str">
            <v>0</v>
          </cell>
          <cell r="N227" t="str">
            <v>0</v>
          </cell>
          <cell r="O227" t="str">
            <v>0</v>
          </cell>
          <cell r="P227" t="str">
            <v>0</v>
          </cell>
          <cell r="Q227" t="str">
            <v>0</v>
          </cell>
          <cell r="R227" t="str">
            <v>0</v>
          </cell>
          <cell r="S227" t="str">
            <v>0</v>
          </cell>
          <cell r="T227" t="str">
            <v>0</v>
          </cell>
          <cell r="U227" t="str">
            <v>0</v>
          </cell>
          <cell r="V227" t="str">
            <v>0</v>
          </cell>
          <cell r="W227" t="str">
            <v>0</v>
          </cell>
          <cell r="X227" t="str">
            <v>0</v>
          </cell>
          <cell r="Y227" t="str">
            <v>0</v>
          </cell>
          <cell r="Z227" t="str">
            <v>0</v>
          </cell>
          <cell r="AA227" t="str">
            <v>0</v>
          </cell>
          <cell r="AB227" t="str">
            <v>0</v>
          </cell>
          <cell r="AC227" t="str">
            <v>0</v>
          </cell>
          <cell r="AD227" t="str">
            <v>0</v>
          </cell>
          <cell r="AE227" t="str">
            <v>0</v>
          </cell>
          <cell r="AF227" t="str">
            <v>0</v>
          </cell>
          <cell r="AG227" t="str">
            <v>0</v>
          </cell>
          <cell r="AH227" t="str">
            <v>0</v>
          </cell>
          <cell r="AI227" t="str">
            <v>0</v>
          </cell>
          <cell r="AJ227" t="str">
            <v>0</v>
          </cell>
          <cell r="AK227" t="str">
            <v>0</v>
          </cell>
          <cell r="AL227" t="str">
            <v>0</v>
          </cell>
          <cell r="AM227" t="str">
            <v>0</v>
          </cell>
          <cell r="AN227" t="str">
            <v>0</v>
          </cell>
          <cell r="AO227" t="str">
            <v>0</v>
          </cell>
          <cell r="AP227" t="str">
            <v>0</v>
          </cell>
          <cell r="AQ227" t="str">
            <v>0</v>
          </cell>
          <cell r="AR227" t="str">
            <v>0</v>
          </cell>
          <cell r="AS227" t="str">
            <v>0</v>
          </cell>
          <cell r="AT227" t="str">
            <v>0</v>
          </cell>
          <cell r="AU227" t="str">
            <v>0</v>
          </cell>
          <cell r="AV227" t="str">
            <v>0</v>
          </cell>
          <cell r="AW227" t="str">
            <v>0</v>
          </cell>
          <cell r="AX227" t="str">
            <v>0</v>
          </cell>
          <cell r="AY227" t="str">
            <v>0</v>
          </cell>
          <cell r="AZ227" t="str">
            <v>0</v>
          </cell>
          <cell r="BA227" t="str">
            <v>0</v>
          </cell>
          <cell r="BB227" t="str">
            <v>0</v>
          </cell>
          <cell r="BC227" t="str">
            <v>0</v>
          </cell>
          <cell r="BD227" t="str">
            <v>0</v>
          </cell>
          <cell r="BE227" t="str">
            <v>0</v>
          </cell>
          <cell r="BF227" t="str">
            <v>0</v>
          </cell>
          <cell r="BG227" t="str">
            <v>0</v>
          </cell>
          <cell r="BH227" t="str">
            <v>0</v>
          </cell>
          <cell r="BI227" t="str">
            <v>0</v>
          </cell>
          <cell r="BJ227" t="str">
            <v>0</v>
          </cell>
          <cell r="BK227" t="str">
            <v>0</v>
          </cell>
          <cell r="BL227" t="str">
            <v>0</v>
          </cell>
          <cell r="BM227" t="str">
            <v>0</v>
          </cell>
          <cell r="BN227" t="str">
            <v>0</v>
          </cell>
          <cell r="BO227" t="str">
            <v>0</v>
          </cell>
          <cell r="BP227" t="str">
            <v>0</v>
          </cell>
          <cell r="BQ227" t="str">
            <v>0</v>
          </cell>
          <cell r="BR227" t="str">
            <v>0</v>
          </cell>
          <cell r="BS227" t="str">
            <v>0</v>
          </cell>
          <cell r="BT227" t="str">
            <v>0</v>
          </cell>
          <cell r="BU227" t="str">
            <v>0</v>
          </cell>
          <cell r="BV227" t="str">
            <v>0</v>
          </cell>
          <cell r="BW227" t="str">
            <v>0</v>
          </cell>
          <cell r="BX227" t="str">
            <v>0</v>
          </cell>
          <cell r="BY227" t="str">
            <v>0</v>
          </cell>
          <cell r="BZ227" t="str">
            <v>0</v>
          </cell>
          <cell r="CA227" t="str">
            <v>0</v>
          </cell>
          <cell r="CB227" t="str">
            <v>0</v>
          </cell>
          <cell r="CC227" t="str">
            <v>0</v>
          </cell>
          <cell r="CD227" t="str">
            <v>0</v>
          </cell>
          <cell r="CE227" t="str">
            <v>0</v>
          </cell>
          <cell r="CF227" t="str">
            <v>0</v>
          </cell>
          <cell r="CG227" t="str">
            <v>0</v>
          </cell>
          <cell r="CH227" t="str">
            <v>0</v>
          </cell>
          <cell r="CI227" t="str">
            <v>0</v>
          </cell>
          <cell r="CJ227" t="str">
            <v>0</v>
          </cell>
          <cell r="CK227" t="str">
            <v>0</v>
          </cell>
          <cell r="CL227" t="str">
            <v>0</v>
          </cell>
          <cell r="CM227" t="str">
            <v>0</v>
          </cell>
          <cell r="CN227" t="str">
            <v>0</v>
          </cell>
          <cell r="CO227" t="str">
            <v>0</v>
          </cell>
          <cell r="CP227" t="str">
            <v>0</v>
          </cell>
          <cell r="CQ227" t="str">
            <v>0</v>
          </cell>
          <cell r="CR227" t="str">
            <v>0</v>
          </cell>
          <cell r="CS227" t="str">
            <v>0</v>
          </cell>
          <cell r="CT227" t="str">
            <v>0</v>
          </cell>
          <cell r="CU227" t="str">
            <v>0</v>
          </cell>
          <cell r="CV227" t="str">
            <v>0</v>
          </cell>
          <cell r="CW227" t="str">
            <v>0</v>
          </cell>
          <cell r="CX227" t="str">
            <v>0</v>
          </cell>
          <cell r="CY227" t="str">
            <v>0</v>
          </cell>
          <cell r="CZ227" t="str">
            <v>0</v>
          </cell>
          <cell r="DA227" t="str">
            <v>0</v>
          </cell>
          <cell r="DB227" t="str">
            <v>0</v>
          </cell>
          <cell r="DC227" t="str">
            <v>0</v>
          </cell>
          <cell r="DD227" t="str">
            <v>0</v>
          </cell>
          <cell r="DE227" t="str">
            <v>0</v>
          </cell>
          <cell r="DF227" t="str">
            <v>0</v>
          </cell>
          <cell r="DG227" t="str">
            <v>0</v>
          </cell>
          <cell r="DH227" t="str">
            <v>0</v>
          </cell>
          <cell r="DI227" t="str">
            <v>0</v>
          </cell>
          <cell r="DJ227" t="str">
            <v>0</v>
          </cell>
          <cell r="DK227" t="str">
            <v>0</v>
          </cell>
          <cell r="DL227" t="str">
            <v>0</v>
          </cell>
          <cell r="DM227" t="str">
            <v>0</v>
          </cell>
          <cell r="DN227" t="str">
            <v>0</v>
          </cell>
          <cell r="DO227" t="str">
            <v>0</v>
          </cell>
          <cell r="DP227" t="str">
            <v>0</v>
          </cell>
        </row>
        <row r="228">
          <cell r="C228"/>
          <cell r="D228" t="str">
            <v>0</v>
          </cell>
          <cell r="E228" t="str">
            <v>0</v>
          </cell>
          <cell r="F228" t="str">
            <v>0</v>
          </cell>
          <cell r="G228" t="str">
            <v>0</v>
          </cell>
          <cell r="H228" t="str">
            <v>0</v>
          </cell>
          <cell r="I228" t="str">
            <v>0</v>
          </cell>
          <cell r="J228" t="str">
            <v>0</v>
          </cell>
          <cell r="K228" t="str">
            <v>0</v>
          </cell>
          <cell r="L228" t="str">
            <v>0</v>
          </cell>
          <cell r="M228" t="str">
            <v>0</v>
          </cell>
          <cell r="N228" t="str">
            <v>0</v>
          </cell>
          <cell r="O228" t="str">
            <v>0</v>
          </cell>
          <cell r="P228" t="str">
            <v>0</v>
          </cell>
          <cell r="Q228" t="str">
            <v>0</v>
          </cell>
          <cell r="R228" t="str">
            <v>0</v>
          </cell>
          <cell r="S228" t="str">
            <v>0</v>
          </cell>
          <cell r="T228" t="str">
            <v>0</v>
          </cell>
          <cell r="U228" t="str">
            <v>0</v>
          </cell>
          <cell r="V228" t="str">
            <v>0</v>
          </cell>
          <cell r="W228" t="str">
            <v>0</v>
          </cell>
          <cell r="X228" t="str">
            <v>0</v>
          </cell>
          <cell r="Y228" t="str">
            <v>0</v>
          </cell>
          <cell r="Z228" t="str">
            <v>0</v>
          </cell>
          <cell r="AA228" t="str">
            <v>0</v>
          </cell>
          <cell r="AB228" t="str">
            <v>0</v>
          </cell>
          <cell r="AC228" t="str">
            <v>0</v>
          </cell>
          <cell r="AD228" t="str">
            <v>0</v>
          </cell>
          <cell r="AE228" t="str">
            <v>0</v>
          </cell>
          <cell r="AF228" t="str">
            <v>0</v>
          </cell>
          <cell r="AG228" t="str">
            <v>0</v>
          </cell>
          <cell r="AH228" t="str">
            <v>0</v>
          </cell>
          <cell r="AI228" t="str">
            <v>0</v>
          </cell>
          <cell r="AJ228" t="str">
            <v>0</v>
          </cell>
          <cell r="AK228" t="str">
            <v>0</v>
          </cell>
          <cell r="AL228" t="str">
            <v>0</v>
          </cell>
          <cell r="AM228" t="str">
            <v>0</v>
          </cell>
          <cell r="AN228" t="str">
            <v>0</v>
          </cell>
          <cell r="AO228" t="str">
            <v>0</v>
          </cell>
          <cell r="AP228" t="str">
            <v>0</v>
          </cell>
          <cell r="AQ228" t="str">
            <v>0</v>
          </cell>
          <cell r="AR228" t="str">
            <v>0</v>
          </cell>
          <cell r="AS228" t="str">
            <v>0</v>
          </cell>
          <cell r="AT228" t="str">
            <v>0</v>
          </cell>
          <cell r="AU228" t="str">
            <v>0</v>
          </cell>
          <cell r="AV228" t="str">
            <v>0</v>
          </cell>
          <cell r="AW228" t="str">
            <v>0</v>
          </cell>
          <cell r="AX228" t="str">
            <v>0</v>
          </cell>
          <cell r="AY228" t="str">
            <v>0</v>
          </cell>
          <cell r="AZ228" t="str">
            <v>0</v>
          </cell>
          <cell r="BA228" t="str">
            <v>0</v>
          </cell>
          <cell r="BB228" t="str">
            <v>0</v>
          </cell>
          <cell r="BC228" t="str">
            <v>0</v>
          </cell>
          <cell r="BD228" t="str">
            <v>0</v>
          </cell>
          <cell r="BE228" t="str">
            <v>0</v>
          </cell>
          <cell r="BF228" t="str">
            <v>0</v>
          </cell>
          <cell r="BG228" t="str">
            <v>0</v>
          </cell>
          <cell r="BH228" t="str">
            <v>0</v>
          </cell>
          <cell r="BI228" t="str">
            <v>0</v>
          </cell>
          <cell r="BJ228" t="str">
            <v>0</v>
          </cell>
          <cell r="BK228" t="str">
            <v>0</v>
          </cell>
          <cell r="BL228" t="str">
            <v>0</v>
          </cell>
          <cell r="BM228" t="str">
            <v>0</v>
          </cell>
          <cell r="BN228" t="str">
            <v>0</v>
          </cell>
          <cell r="BO228" t="str">
            <v>0</v>
          </cell>
          <cell r="BP228" t="str">
            <v>0</v>
          </cell>
          <cell r="BQ228" t="str">
            <v>0</v>
          </cell>
          <cell r="BR228" t="str">
            <v>0</v>
          </cell>
          <cell r="BS228" t="str">
            <v>0</v>
          </cell>
          <cell r="BT228" t="str">
            <v>0</v>
          </cell>
          <cell r="BU228" t="str">
            <v>0</v>
          </cell>
          <cell r="BV228" t="str">
            <v>0</v>
          </cell>
          <cell r="BW228" t="str">
            <v>0</v>
          </cell>
          <cell r="BX228" t="str">
            <v>0</v>
          </cell>
          <cell r="BY228" t="str">
            <v>0</v>
          </cell>
          <cell r="BZ228" t="str">
            <v>0</v>
          </cell>
          <cell r="CA228" t="str">
            <v>0</v>
          </cell>
          <cell r="CB228" t="str">
            <v>0</v>
          </cell>
          <cell r="CC228" t="str">
            <v>0</v>
          </cell>
          <cell r="CD228" t="str">
            <v>0</v>
          </cell>
          <cell r="CE228" t="str">
            <v>0</v>
          </cell>
          <cell r="CF228" t="str">
            <v>0</v>
          </cell>
          <cell r="CG228" t="str">
            <v>0</v>
          </cell>
          <cell r="CH228" t="str">
            <v>0</v>
          </cell>
          <cell r="CI228" t="str">
            <v>0</v>
          </cell>
          <cell r="CJ228" t="str">
            <v>0</v>
          </cell>
          <cell r="CK228" t="str">
            <v>0</v>
          </cell>
          <cell r="CL228" t="str">
            <v>0</v>
          </cell>
          <cell r="CM228" t="str">
            <v>0</v>
          </cell>
          <cell r="CN228" t="str">
            <v>0</v>
          </cell>
          <cell r="CO228" t="str">
            <v>0</v>
          </cell>
          <cell r="CP228" t="str">
            <v>0</v>
          </cell>
          <cell r="CQ228" t="str">
            <v>0</v>
          </cell>
          <cell r="CR228" t="str">
            <v>0</v>
          </cell>
          <cell r="CS228" t="str">
            <v>0</v>
          </cell>
          <cell r="CT228" t="str">
            <v>0</v>
          </cell>
          <cell r="CU228" t="str">
            <v>0</v>
          </cell>
          <cell r="CV228" t="str">
            <v>0</v>
          </cell>
          <cell r="CW228" t="str">
            <v>0</v>
          </cell>
          <cell r="CX228" t="str">
            <v>0</v>
          </cell>
          <cell r="CY228" t="str">
            <v>0</v>
          </cell>
          <cell r="CZ228" t="str">
            <v>0</v>
          </cell>
          <cell r="DA228" t="str">
            <v>0</v>
          </cell>
          <cell r="DB228" t="str">
            <v>0</v>
          </cell>
          <cell r="DC228" t="str">
            <v>0</v>
          </cell>
          <cell r="DD228" t="str">
            <v>0</v>
          </cell>
          <cell r="DE228" t="str">
            <v>0</v>
          </cell>
          <cell r="DF228" t="str">
            <v>0</v>
          </cell>
          <cell r="DG228" t="str">
            <v>0</v>
          </cell>
          <cell r="DH228" t="str">
            <v>0</v>
          </cell>
          <cell r="DI228" t="str">
            <v>0</v>
          </cell>
          <cell r="DJ228" t="str">
            <v>0</v>
          </cell>
          <cell r="DK228" t="str">
            <v>0</v>
          </cell>
          <cell r="DL228" t="str">
            <v>0</v>
          </cell>
          <cell r="DM228" t="str">
            <v>0</v>
          </cell>
          <cell r="DN228" t="str">
            <v>0</v>
          </cell>
          <cell r="DO228" t="str">
            <v>0</v>
          </cell>
          <cell r="DP228" t="str">
            <v>0</v>
          </cell>
        </row>
        <row r="229">
          <cell r="C229"/>
          <cell r="D229" t="str">
            <v>0</v>
          </cell>
          <cell r="E229" t="str">
            <v>0</v>
          </cell>
          <cell r="F229" t="str">
            <v>0</v>
          </cell>
          <cell r="G229" t="str">
            <v>0</v>
          </cell>
          <cell r="H229" t="str">
            <v>0</v>
          </cell>
          <cell r="I229" t="str">
            <v>0</v>
          </cell>
          <cell r="J229" t="str">
            <v>0</v>
          </cell>
          <cell r="K229" t="str">
            <v>0</v>
          </cell>
          <cell r="L229" t="str">
            <v>0</v>
          </cell>
          <cell r="M229" t="str">
            <v>0</v>
          </cell>
          <cell r="N229" t="str">
            <v>0</v>
          </cell>
          <cell r="O229" t="str">
            <v>0</v>
          </cell>
          <cell r="P229" t="str">
            <v>0</v>
          </cell>
          <cell r="Q229" t="str">
            <v>0</v>
          </cell>
          <cell r="R229" t="str">
            <v>0</v>
          </cell>
          <cell r="S229" t="str">
            <v>0</v>
          </cell>
          <cell r="T229" t="str">
            <v>0</v>
          </cell>
          <cell r="U229" t="str">
            <v>0</v>
          </cell>
          <cell r="V229" t="str">
            <v>0</v>
          </cell>
          <cell r="W229" t="str">
            <v>0</v>
          </cell>
          <cell r="X229" t="str">
            <v>0</v>
          </cell>
          <cell r="Y229" t="str">
            <v>0</v>
          </cell>
          <cell r="Z229" t="str">
            <v>0</v>
          </cell>
          <cell r="AA229" t="str">
            <v>0</v>
          </cell>
          <cell r="AB229" t="str">
            <v>0</v>
          </cell>
          <cell r="AC229" t="str">
            <v>0</v>
          </cell>
          <cell r="AD229" t="str">
            <v>0</v>
          </cell>
          <cell r="AE229" t="str">
            <v>0</v>
          </cell>
          <cell r="AF229" t="str">
            <v>0</v>
          </cell>
          <cell r="AG229" t="str">
            <v>0</v>
          </cell>
          <cell r="AH229" t="str">
            <v>0</v>
          </cell>
          <cell r="AI229" t="str">
            <v>0</v>
          </cell>
          <cell r="AJ229" t="str">
            <v>0</v>
          </cell>
          <cell r="AK229" t="str">
            <v>0</v>
          </cell>
          <cell r="AL229" t="str">
            <v>0</v>
          </cell>
          <cell r="AM229" t="str">
            <v>0</v>
          </cell>
          <cell r="AN229" t="str">
            <v>0</v>
          </cell>
          <cell r="AO229" t="str">
            <v>0</v>
          </cell>
          <cell r="AP229" t="str">
            <v>0</v>
          </cell>
          <cell r="AQ229" t="str">
            <v>0</v>
          </cell>
          <cell r="AR229" t="str">
            <v>0</v>
          </cell>
          <cell r="AS229" t="str">
            <v>0</v>
          </cell>
          <cell r="AT229" t="str">
            <v>0</v>
          </cell>
          <cell r="AU229" t="str">
            <v>0</v>
          </cell>
          <cell r="AV229" t="str">
            <v>0</v>
          </cell>
          <cell r="AW229" t="str">
            <v>0</v>
          </cell>
          <cell r="AX229" t="str">
            <v>0</v>
          </cell>
          <cell r="AY229" t="str">
            <v>0</v>
          </cell>
          <cell r="AZ229" t="str">
            <v>0</v>
          </cell>
          <cell r="BA229" t="str">
            <v>0</v>
          </cell>
          <cell r="BB229" t="str">
            <v>0</v>
          </cell>
          <cell r="BC229" t="str">
            <v>0</v>
          </cell>
          <cell r="BD229" t="str">
            <v>0</v>
          </cell>
          <cell r="BE229" t="str">
            <v>0</v>
          </cell>
          <cell r="BF229" t="str">
            <v>0</v>
          </cell>
          <cell r="BG229" t="str">
            <v>0</v>
          </cell>
          <cell r="BH229" t="str">
            <v>0</v>
          </cell>
          <cell r="BI229" t="str">
            <v>0</v>
          </cell>
          <cell r="BJ229" t="str">
            <v>0</v>
          </cell>
          <cell r="BK229" t="str">
            <v>0</v>
          </cell>
          <cell r="BL229" t="str">
            <v>0</v>
          </cell>
          <cell r="BM229" t="str">
            <v>0</v>
          </cell>
          <cell r="BN229" t="str">
            <v>0</v>
          </cell>
          <cell r="BO229" t="str">
            <v>0</v>
          </cell>
          <cell r="BP229" t="str">
            <v>0</v>
          </cell>
          <cell r="BQ229" t="str">
            <v>0</v>
          </cell>
          <cell r="BR229" t="str">
            <v>0</v>
          </cell>
          <cell r="BS229" t="str">
            <v>0</v>
          </cell>
          <cell r="BT229" t="str">
            <v>0</v>
          </cell>
          <cell r="BU229" t="str">
            <v>0</v>
          </cell>
          <cell r="BV229" t="str">
            <v>0</v>
          </cell>
          <cell r="BW229" t="str">
            <v>0</v>
          </cell>
          <cell r="BX229" t="str">
            <v>0</v>
          </cell>
          <cell r="BY229" t="str">
            <v>0</v>
          </cell>
          <cell r="BZ229" t="str">
            <v>0</v>
          </cell>
          <cell r="CA229" t="str">
            <v>0</v>
          </cell>
          <cell r="CB229" t="str">
            <v>0</v>
          </cell>
          <cell r="CC229" t="str">
            <v>0</v>
          </cell>
          <cell r="CD229" t="str">
            <v>0</v>
          </cell>
          <cell r="CE229" t="str">
            <v>0</v>
          </cell>
          <cell r="CF229" t="str">
            <v>0</v>
          </cell>
          <cell r="CG229" t="str">
            <v>0</v>
          </cell>
          <cell r="CH229" t="str">
            <v>0</v>
          </cell>
          <cell r="CI229" t="str">
            <v>0</v>
          </cell>
          <cell r="CJ229" t="str">
            <v>0</v>
          </cell>
          <cell r="CK229" t="str">
            <v>0</v>
          </cell>
          <cell r="CL229" t="str">
            <v>0</v>
          </cell>
          <cell r="CM229" t="str">
            <v>0</v>
          </cell>
          <cell r="CN229" t="str">
            <v>0</v>
          </cell>
          <cell r="CO229" t="str">
            <v>0</v>
          </cell>
          <cell r="CP229" t="str">
            <v>0</v>
          </cell>
          <cell r="CQ229" t="str">
            <v>0</v>
          </cell>
          <cell r="CR229" t="str">
            <v>0</v>
          </cell>
          <cell r="CS229" t="str">
            <v>0</v>
          </cell>
          <cell r="CT229" t="str">
            <v>0</v>
          </cell>
          <cell r="CU229" t="str">
            <v>0</v>
          </cell>
          <cell r="CV229" t="str">
            <v>0</v>
          </cell>
          <cell r="CW229" t="str">
            <v>0</v>
          </cell>
          <cell r="CX229" t="str">
            <v>0</v>
          </cell>
          <cell r="CY229" t="str">
            <v>0</v>
          </cell>
          <cell r="CZ229" t="str">
            <v>0</v>
          </cell>
          <cell r="DA229" t="str">
            <v>0</v>
          </cell>
          <cell r="DB229" t="str">
            <v>0</v>
          </cell>
          <cell r="DC229" t="str">
            <v>0</v>
          </cell>
          <cell r="DD229" t="str">
            <v>0</v>
          </cell>
          <cell r="DE229" t="str">
            <v>0</v>
          </cell>
          <cell r="DF229" t="str">
            <v>0</v>
          </cell>
          <cell r="DG229" t="str">
            <v>0</v>
          </cell>
          <cell r="DH229" t="str">
            <v>0</v>
          </cell>
          <cell r="DI229" t="str">
            <v>0</v>
          </cell>
          <cell r="DJ229" t="str">
            <v>0</v>
          </cell>
          <cell r="DK229" t="str">
            <v>0</v>
          </cell>
          <cell r="DL229" t="str">
            <v>0</v>
          </cell>
          <cell r="DM229" t="str">
            <v>0</v>
          </cell>
          <cell r="DN229" t="str">
            <v>0</v>
          </cell>
          <cell r="DO229" t="str">
            <v>0</v>
          </cell>
          <cell r="DP229" t="str">
            <v>0</v>
          </cell>
        </row>
        <row r="230">
          <cell r="C230"/>
          <cell r="D230" t="str">
            <v>0</v>
          </cell>
          <cell r="E230" t="str">
            <v>0</v>
          </cell>
          <cell r="F230" t="str">
            <v>0</v>
          </cell>
          <cell r="G230" t="str">
            <v>0</v>
          </cell>
          <cell r="H230" t="str">
            <v>0</v>
          </cell>
          <cell r="I230" t="str">
            <v>0</v>
          </cell>
          <cell r="J230" t="str">
            <v>0</v>
          </cell>
          <cell r="K230" t="str">
            <v>0</v>
          </cell>
          <cell r="L230" t="str">
            <v>0</v>
          </cell>
          <cell r="M230" t="str">
            <v>0</v>
          </cell>
          <cell r="N230" t="str">
            <v>0</v>
          </cell>
          <cell r="O230" t="str">
            <v>0</v>
          </cell>
          <cell r="P230" t="str">
            <v>0</v>
          </cell>
          <cell r="Q230" t="str">
            <v>0</v>
          </cell>
          <cell r="R230" t="str">
            <v>0</v>
          </cell>
          <cell r="S230" t="str">
            <v>0</v>
          </cell>
          <cell r="T230" t="str">
            <v>0</v>
          </cell>
          <cell r="U230" t="str">
            <v>0</v>
          </cell>
          <cell r="V230" t="str">
            <v>0</v>
          </cell>
          <cell r="W230" t="str">
            <v>0</v>
          </cell>
          <cell r="X230" t="str">
            <v>0</v>
          </cell>
          <cell r="Y230" t="str">
            <v>0</v>
          </cell>
          <cell r="Z230" t="str">
            <v>0</v>
          </cell>
          <cell r="AA230" t="str">
            <v>0</v>
          </cell>
          <cell r="AB230" t="str">
            <v>0</v>
          </cell>
          <cell r="AC230" t="str">
            <v>0</v>
          </cell>
          <cell r="AD230" t="str">
            <v>0</v>
          </cell>
          <cell r="AE230" t="str">
            <v>0</v>
          </cell>
          <cell r="AF230" t="str">
            <v>0</v>
          </cell>
          <cell r="AG230" t="str">
            <v>0</v>
          </cell>
          <cell r="AH230" t="str">
            <v>0</v>
          </cell>
          <cell r="AI230" t="str">
            <v>0</v>
          </cell>
          <cell r="AJ230" t="str">
            <v>0</v>
          </cell>
          <cell r="AK230" t="str">
            <v>0</v>
          </cell>
          <cell r="AL230" t="str">
            <v>0</v>
          </cell>
          <cell r="AM230" t="str">
            <v>0</v>
          </cell>
          <cell r="AN230" t="str">
            <v>0</v>
          </cell>
          <cell r="AO230" t="str">
            <v>0</v>
          </cell>
          <cell r="AP230" t="str">
            <v>0</v>
          </cell>
          <cell r="AQ230" t="str">
            <v>0</v>
          </cell>
          <cell r="AR230" t="str">
            <v>0</v>
          </cell>
          <cell r="AS230" t="str">
            <v>0</v>
          </cell>
          <cell r="AT230" t="str">
            <v>0</v>
          </cell>
          <cell r="AU230" t="str">
            <v>0</v>
          </cell>
          <cell r="AV230" t="str">
            <v>0</v>
          </cell>
          <cell r="AW230" t="str">
            <v>0</v>
          </cell>
          <cell r="AX230" t="str">
            <v>0</v>
          </cell>
          <cell r="AY230" t="str">
            <v>0</v>
          </cell>
          <cell r="AZ230" t="str">
            <v>0</v>
          </cell>
          <cell r="BA230" t="str">
            <v>0</v>
          </cell>
          <cell r="BB230" t="str">
            <v>0</v>
          </cell>
          <cell r="BC230" t="str">
            <v>0</v>
          </cell>
          <cell r="BD230" t="str">
            <v>0</v>
          </cell>
          <cell r="BE230" t="str">
            <v>0</v>
          </cell>
          <cell r="BF230" t="str">
            <v>0</v>
          </cell>
          <cell r="BG230" t="str">
            <v>0</v>
          </cell>
          <cell r="BH230" t="str">
            <v>0</v>
          </cell>
          <cell r="BI230" t="str">
            <v>0</v>
          </cell>
          <cell r="BJ230" t="str">
            <v>0</v>
          </cell>
          <cell r="BK230" t="str">
            <v>0</v>
          </cell>
          <cell r="BL230" t="str">
            <v>0</v>
          </cell>
          <cell r="BM230" t="str">
            <v>0</v>
          </cell>
          <cell r="BN230" t="str">
            <v>0</v>
          </cell>
          <cell r="BO230" t="str">
            <v>0</v>
          </cell>
          <cell r="BP230" t="str">
            <v>0</v>
          </cell>
          <cell r="BQ230" t="str">
            <v>0</v>
          </cell>
          <cell r="BR230" t="str">
            <v>0</v>
          </cell>
          <cell r="BS230" t="str">
            <v>0</v>
          </cell>
          <cell r="BT230" t="str">
            <v>0</v>
          </cell>
          <cell r="BU230" t="str">
            <v>0</v>
          </cell>
          <cell r="BV230" t="str">
            <v>0</v>
          </cell>
          <cell r="BW230" t="str">
            <v>0</v>
          </cell>
          <cell r="BX230" t="str">
            <v>0</v>
          </cell>
          <cell r="BY230" t="str">
            <v>0</v>
          </cell>
          <cell r="BZ230" t="str">
            <v>0</v>
          </cell>
          <cell r="CA230" t="str">
            <v>0</v>
          </cell>
          <cell r="CB230" t="str">
            <v>0</v>
          </cell>
          <cell r="CC230" t="str">
            <v>0</v>
          </cell>
          <cell r="CD230" t="str">
            <v>0</v>
          </cell>
          <cell r="CE230" t="str">
            <v>0</v>
          </cell>
          <cell r="CF230" t="str">
            <v>0</v>
          </cell>
          <cell r="CG230" t="str">
            <v>0</v>
          </cell>
          <cell r="CH230" t="str">
            <v>0</v>
          </cell>
          <cell r="CI230" t="str">
            <v>0</v>
          </cell>
          <cell r="CJ230" t="str">
            <v>0</v>
          </cell>
          <cell r="CK230" t="str">
            <v>0</v>
          </cell>
          <cell r="CL230" t="str">
            <v>0</v>
          </cell>
          <cell r="CM230" t="str">
            <v>0</v>
          </cell>
          <cell r="CN230" t="str">
            <v>0</v>
          </cell>
          <cell r="CO230" t="str">
            <v>0</v>
          </cell>
          <cell r="CP230" t="str">
            <v>0</v>
          </cell>
          <cell r="CQ230" t="str">
            <v>0</v>
          </cell>
          <cell r="CR230" t="str">
            <v>0</v>
          </cell>
          <cell r="CS230" t="str">
            <v>0</v>
          </cell>
          <cell r="CT230" t="str">
            <v>0</v>
          </cell>
          <cell r="CU230" t="str">
            <v>0</v>
          </cell>
          <cell r="CV230" t="str">
            <v>0</v>
          </cell>
          <cell r="CW230" t="str">
            <v>0</v>
          </cell>
          <cell r="CX230" t="str">
            <v>0</v>
          </cell>
          <cell r="CY230" t="str">
            <v>0</v>
          </cell>
          <cell r="CZ230" t="str">
            <v>0</v>
          </cell>
          <cell r="DA230" t="str">
            <v>0</v>
          </cell>
          <cell r="DB230" t="str">
            <v>0</v>
          </cell>
          <cell r="DC230" t="str">
            <v>0</v>
          </cell>
          <cell r="DD230" t="str">
            <v>0</v>
          </cell>
          <cell r="DE230" t="str">
            <v>0</v>
          </cell>
          <cell r="DF230" t="str">
            <v>0</v>
          </cell>
          <cell r="DG230" t="str">
            <v>0</v>
          </cell>
          <cell r="DH230" t="str">
            <v>0</v>
          </cell>
          <cell r="DI230" t="str">
            <v>0</v>
          </cell>
          <cell r="DJ230" t="str">
            <v>0</v>
          </cell>
          <cell r="DK230" t="str">
            <v>0</v>
          </cell>
          <cell r="DL230" t="str">
            <v>0</v>
          </cell>
          <cell r="DM230" t="str">
            <v>0</v>
          </cell>
          <cell r="DN230" t="str">
            <v>0</v>
          </cell>
          <cell r="DO230" t="str">
            <v>0</v>
          </cell>
          <cell r="DP230" t="str">
            <v>0</v>
          </cell>
        </row>
        <row r="231">
          <cell r="C231"/>
          <cell r="D231" t="str">
            <v>0</v>
          </cell>
          <cell r="E231" t="str">
            <v>0</v>
          </cell>
          <cell r="F231" t="str">
            <v>0</v>
          </cell>
          <cell r="G231" t="str">
            <v>0</v>
          </cell>
          <cell r="H231" t="str">
            <v>0</v>
          </cell>
          <cell r="I231" t="str">
            <v>0</v>
          </cell>
          <cell r="J231" t="str">
            <v>0</v>
          </cell>
          <cell r="K231" t="str">
            <v>0</v>
          </cell>
          <cell r="L231" t="str">
            <v>0</v>
          </cell>
          <cell r="M231" t="str">
            <v>0</v>
          </cell>
          <cell r="N231" t="str">
            <v>0</v>
          </cell>
          <cell r="O231" t="str">
            <v>0</v>
          </cell>
          <cell r="P231" t="str">
            <v>0</v>
          </cell>
          <cell r="Q231" t="str">
            <v>0</v>
          </cell>
          <cell r="R231" t="str">
            <v>0</v>
          </cell>
          <cell r="S231" t="str">
            <v>0</v>
          </cell>
          <cell r="T231" t="str">
            <v>0</v>
          </cell>
          <cell r="U231" t="str">
            <v>0</v>
          </cell>
          <cell r="V231" t="str">
            <v>0</v>
          </cell>
          <cell r="W231" t="str">
            <v>0</v>
          </cell>
          <cell r="X231" t="str">
            <v>0</v>
          </cell>
          <cell r="Y231" t="str">
            <v>0</v>
          </cell>
          <cell r="Z231" t="str">
            <v>0</v>
          </cell>
          <cell r="AA231" t="str">
            <v>0</v>
          </cell>
          <cell r="AB231" t="str">
            <v>0</v>
          </cell>
          <cell r="AC231" t="str">
            <v>0</v>
          </cell>
          <cell r="AD231" t="str">
            <v>0</v>
          </cell>
          <cell r="AE231" t="str">
            <v>0</v>
          </cell>
          <cell r="AF231" t="str">
            <v>0</v>
          </cell>
          <cell r="AG231" t="str">
            <v>0</v>
          </cell>
          <cell r="AH231" t="str">
            <v>0</v>
          </cell>
          <cell r="AI231" t="str">
            <v>0</v>
          </cell>
          <cell r="AJ231" t="str">
            <v>0</v>
          </cell>
          <cell r="AK231" t="str">
            <v>0</v>
          </cell>
          <cell r="AL231" t="str">
            <v>0</v>
          </cell>
          <cell r="AM231" t="str">
            <v>0</v>
          </cell>
          <cell r="AN231" t="str">
            <v>0</v>
          </cell>
          <cell r="AO231" t="str">
            <v>0</v>
          </cell>
          <cell r="AP231" t="str">
            <v>0</v>
          </cell>
          <cell r="AQ231" t="str">
            <v>0</v>
          </cell>
          <cell r="AR231" t="str">
            <v>0</v>
          </cell>
          <cell r="AS231" t="str">
            <v>0</v>
          </cell>
          <cell r="AT231" t="str">
            <v>0</v>
          </cell>
          <cell r="AU231" t="str">
            <v>0</v>
          </cell>
          <cell r="AV231" t="str">
            <v>0</v>
          </cell>
          <cell r="AW231" t="str">
            <v>0</v>
          </cell>
          <cell r="AX231" t="str">
            <v>0</v>
          </cell>
          <cell r="AY231" t="str">
            <v>0</v>
          </cell>
          <cell r="AZ231" t="str">
            <v>0</v>
          </cell>
          <cell r="BA231" t="str">
            <v>0</v>
          </cell>
          <cell r="BB231" t="str">
            <v>0</v>
          </cell>
          <cell r="BC231" t="str">
            <v>0</v>
          </cell>
          <cell r="BD231" t="str">
            <v>0</v>
          </cell>
          <cell r="BE231" t="str">
            <v>0</v>
          </cell>
          <cell r="BF231" t="str">
            <v>0</v>
          </cell>
          <cell r="BG231" t="str">
            <v>0</v>
          </cell>
          <cell r="BH231" t="str">
            <v>0</v>
          </cell>
          <cell r="BI231" t="str">
            <v>0</v>
          </cell>
          <cell r="BJ231" t="str">
            <v>0</v>
          </cell>
          <cell r="BK231" t="str">
            <v>0</v>
          </cell>
          <cell r="BL231" t="str">
            <v>0</v>
          </cell>
          <cell r="BM231" t="str">
            <v>0</v>
          </cell>
          <cell r="BN231" t="str">
            <v>0</v>
          </cell>
          <cell r="BO231" t="str">
            <v>0</v>
          </cell>
          <cell r="BP231" t="str">
            <v>0</v>
          </cell>
          <cell r="BQ231" t="str">
            <v>0</v>
          </cell>
          <cell r="BR231" t="str">
            <v>0</v>
          </cell>
          <cell r="BS231" t="str">
            <v>0</v>
          </cell>
          <cell r="BT231" t="str">
            <v>0</v>
          </cell>
          <cell r="BU231" t="str">
            <v>0</v>
          </cell>
          <cell r="BV231" t="str">
            <v>0</v>
          </cell>
          <cell r="BW231" t="str">
            <v>0</v>
          </cell>
          <cell r="BX231" t="str">
            <v>0</v>
          </cell>
          <cell r="BY231" t="str">
            <v>0</v>
          </cell>
          <cell r="BZ231" t="str">
            <v>0</v>
          </cell>
          <cell r="CA231" t="str">
            <v>0</v>
          </cell>
          <cell r="CB231" t="str">
            <v>0</v>
          </cell>
          <cell r="CC231" t="str">
            <v>0</v>
          </cell>
          <cell r="CD231" t="str">
            <v>0</v>
          </cell>
          <cell r="CE231" t="str">
            <v>0</v>
          </cell>
          <cell r="CF231" t="str">
            <v>0</v>
          </cell>
          <cell r="CG231" t="str">
            <v>0</v>
          </cell>
          <cell r="CH231" t="str">
            <v>0</v>
          </cell>
          <cell r="CI231" t="str">
            <v>0</v>
          </cell>
          <cell r="CJ231" t="str">
            <v>0</v>
          </cell>
          <cell r="CK231" t="str">
            <v>0</v>
          </cell>
          <cell r="CL231" t="str">
            <v>0</v>
          </cell>
          <cell r="CM231" t="str">
            <v>0</v>
          </cell>
          <cell r="CN231" t="str">
            <v>0</v>
          </cell>
          <cell r="CO231" t="str">
            <v>0</v>
          </cell>
          <cell r="CP231" t="str">
            <v>0</v>
          </cell>
          <cell r="CQ231" t="str">
            <v>0</v>
          </cell>
          <cell r="CR231" t="str">
            <v>0</v>
          </cell>
          <cell r="CS231" t="str">
            <v>0</v>
          </cell>
          <cell r="CT231" t="str">
            <v>0</v>
          </cell>
          <cell r="CU231" t="str">
            <v>0</v>
          </cell>
          <cell r="CV231" t="str">
            <v>0</v>
          </cell>
          <cell r="CW231" t="str">
            <v>0</v>
          </cell>
          <cell r="CX231" t="str">
            <v>0</v>
          </cell>
          <cell r="CY231" t="str">
            <v>0</v>
          </cell>
          <cell r="CZ231" t="str">
            <v>0</v>
          </cell>
          <cell r="DA231" t="str">
            <v>0</v>
          </cell>
          <cell r="DB231" t="str">
            <v>0</v>
          </cell>
          <cell r="DC231" t="str">
            <v>0</v>
          </cell>
          <cell r="DD231" t="str">
            <v>0</v>
          </cell>
          <cell r="DE231" t="str">
            <v>0</v>
          </cell>
          <cell r="DF231" t="str">
            <v>0</v>
          </cell>
          <cell r="DG231" t="str">
            <v>0</v>
          </cell>
          <cell r="DH231" t="str">
            <v>0</v>
          </cell>
          <cell r="DI231" t="str">
            <v>0</v>
          </cell>
          <cell r="DJ231" t="str">
            <v>0</v>
          </cell>
          <cell r="DK231" t="str">
            <v>0</v>
          </cell>
          <cell r="DL231" t="str">
            <v>0</v>
          </cell>
          <cell r="DM231" t="str">
            <v>0</v>
          </cell>
          <cell r="DN231" t="str">
            <v>0</v>
          </cell>
          <cell r="DO231" t="str">
            <v>0</v>
          </cell>
          <cell r="DP231" t="str">
            <v>0</v>
          </cell>
        </row>
        <row r="232">
          <cell r="C232"/>
          <cell r="D232" t="str">
            <v>0</v>
          </cell>
          <cell r="E232" t="str">
            <v>0</v>
          </cell>
          <cell r="F232" t="str">
            <v>0</v>
          </cell>
          <cell r="G232" t="str">
            <v>0</v>
          </cell>
          <cell r="H232" t="str">
            <v>0</v>
          </cell>
          <cell r="I232" t="str">
            <v>0</v>
          </cell>
          <cell r="J232" t="str">
            <v>0</v>
          </cell>
          <cell r="K232" t="str">
            <v>0</v>
          </cell>
          <cell r="L232" t="str">
            <v>0</v>
          </cell>
          <cell r="M232" t="str">
            <v>0</v>
          </cell>
          <cell r="N232" t="str">
            <v>0</v>
          </cell>
          <cell r="O232" t="str">
            <v>0</v>
          </cell>
          <cell r="P232" t="str">
            <v>0</v>
          </cell>
          <cell r="Q232" t="str">
            <v>0</v>
          </cell>
          <cell r="R232" t="str">
            <v>0</v>
          </cell>
          <cell r="S232" t="str">
            <v>0</v>
          </cell>
          <cell r="T232" t="str">
            <v>0</v>
          </cell>
          <cell r="U232" t="str">
            <v>0</v>
          </cell>
          <cell r="V232" t="str">
            <v>0</v>
          </cell>
          <cell r="W232" t="str">
            <v>0</v>
          </cell>
          <cell r="X232" t="str">
            <v>0</v>
          </cell>
          <cell r="Y232" t="str">
            <v>0</v>
          </cell>
          <cell r="Z232" t="str">
            <v>0</v>
          </cell>
          <cell r="AA232" t="str">
            <v>0</v>
          </cell>
          <cell r="AB232" t="str">
            <v>0</v>
          </cell>
          <cell r="AC232" t="str">
            <v>0</v>
          </cell>
          <cell r="AD232" t="str">
            <v>0</v>
          </cell>
          <cell r="AE232" t="str">
            <v>0</v>
          </cell>
          <cell r="AF232" t="str">
            <v>0</v>
          </cell>
          <cell r="AG232" t="str">
            <v>0</v>
          </cell>
          <cell r="AH232" t="str">
            <v>0</v>
          </cell>
          <cell r="AI232" t="str">
            <v>0</v>
          </cell>
          <cell r="AJ232" t="str">
            <v>0</v>
          </cell>
          <cell r="AK232" t="str">
            <v>0</v>
          </cell>
          <cell r="AL232" t="str">
            <v>0</v>
          </cell>
          <cell r="AM232" t="str">
            <v>0</v>
          </cell>
          <cell r="AN232" t="str">
            <v>0</v>
          </cell>
          <cell r="AO232" t="str">
            <v>0</v>
          </cell>
          <cell r="AP232" t="str">
            <v>0</v>
          </cell>
          <cell r="AQ232" t="str">
            <v>0</v>
          </cell>
          <cell r="AR232" t="str">
            <v>0</v>
          </cell>
          <cell r="AS232" t="str">
            <v>0</v>
          </cell>
          <cell r="AT232" t="str">
            <v>0</v>
          </cell>
          <cell r="AU232" t="str">
            <v>0</v>
          </cell>
          <cell r="AV232" t="str">
            <v>0</v>
          </cell>
          <cell r="AW232" t="str">
            <v>0</v>
          </cell>
          <cell r="AX232" t="str">
            <v>0</v>
          </cell>
          <cell r="AY232" t="str">
            <v>0</v>
          </cell>
          <cell r="AZ232" t="str">
            <v>0</v>
          </cell>
          <cell r="BA232" t="str">
            <v>0</v>
          </cell>
          <cell r="BB232" t="str">
            <v>0</v>
          </cell>
          <cell r="BC232" t="str">
            <v>0</v>
          </cell>
          <cell r="BD232" t="str">
            <v>0</v>
          </cell>
          <cell r="BE232" t="str">
            <v>0</v>
          </cell>
          <cell r="BF232" t="str">
            <v>0</v>
          </cell>
          <cell r="BG232" t="str">
            <v>0</v>
          </cell>
          <cell r="BH232" t="str">
            <v>0</v>
          </cell>
          <cell r="BI232" t="str">
            <v>0</v>
          </cell>
          <cell r="BJ232" t="str">
            <v>0</v>
          </cell>
          <cell r="BK232" t="str">
            <v>0</v>
          </cell>
          <cell r="BL232" t="str">
            <v>0</v>
          </cell>
          <cell r="BM232" t="str">
            <v>0</v>
          </cell>
          <cell r="BN232" t="str">
            <v>0</v>
          </cell>
          <cell r="BO232" t="str">
            <v>0</v>
          </cell>
          <cell r="BP232" t="str">
            <v>0</v>
          </cell>
          <cell r="BQ232" t="str">
            <v>0</v>
          </cell>
          <cell r="BR232" t="str">
            <v>0</v>
          </cell>
          <cell r="BS232" t="str">
            <v>0</v>
          </cell>
          <cell r="BT232" t="str">
            <v>0</v>
          </cell>
          <cell r="BU232" t="str">
            <v>0</v>
          </cell>
          <cell r="BV232" t="str">
            <v>0</v>
          </cell>
          <cell r="BW232" t="str">
            <v>0</v>
          </cell>
          <cell r="BX232" t="str">
            <v>0</v>
          </cell>
          <cell r="BY232" t="str">
            <v>0</v>
          </cell>
          <cell r="BZ232" t="str">
            <v>0</v>
          </cell>
          <cell r="CA232" t="str">
            <v>0</v>
          </cell>
          <cell r="CB232" t="str">
            <v>0</v>
          </cell>
          <cell r="CC232" t="str">
            <v>0</v>
          </cell>
          <cell r="CD232" t="str">
            <v>0</v>
          </cell>
          <cell r="CE232" t="str">
            <v>0</v>
          </cell>
          <cell r="CF232" t="str">
            <v>0</v>
          </cell>
          <cell r="CG232" t="str">
            <v>0</v>
          </cell>
          <cell r="CH232" t="str">
            <v>0</v>
          </cell>
          <cell r="CI232" t="str">
            <v>0</v>
          </cell>
          <cell r="CJ232" t="str">
            <v>0</v>
          </cell>
          <cell r="CK232" t="str">
            <v>0</v>
          </cell>
          <cell r="CL232" t="str">
            <v>0</v>
          </cell>
          <cell r="CM232" t="str">
            <v>0</v>
          </cell>
          <cell r="CN232" t="str">
            <v>0</v>
          </cell>
          <cell r="CO232" t="str">
            <v>0</v>
          </cell>
          <cell r="CP232" t="str">
            <v>0</v>
          </cell>
          <cell r="CQ232" t="str">
            <v>0</v>
          </cell>
          <cell r="CR232" t="str">
            <v>0</v>
          </cell>
          <cell r="CS232" t="str">
            <v>0</v>
          </cell>
          <cell r="CT232" t="str">
            <v>0</v>
          </cell>
          <cell r="CU232" t="str">
            <v>0</v>
          </cell>
          <cell r="CV232" t="str">
            <v>0</v>
          </cell>
          <cell r="CW232" t="str">
            <v>0</v>
          </cell>
          <cell r="CX232" t="str">
            <v>0</v>
          </cell>
          <cell r="CY232" t="str">
            <v>0</v>
          </cell>
          <cell r="CZ232" t="str">
            <v>0</v>
          </cell>
          <cell r="DA232" t="str">
            <v>0</v>
          </cell>
          <cell r="DB232" t="str">
            <v>0</v>
          </cell>
          <cell r="DC232" t="str">
            <v>0</v>
          </cell>
          <cell r="DD232" t="str">
            <v>0</v>
          </cell>
          <cell r="DE232" t="str">
            <v>0</v>
          </cell>
          <cell r="DF232" t="str">
            <v>0</v>
          </cell>
          <cell r="DG232" t="str">
            <v>0</v>
          </cell>
          <cell r="DH232" t="str">
            <v>0</v>
          </cell>
          <cell r="DI232" t="str">
            <v>0</v>
          </cell>
          <cell r="DJ232" t="str">
            <v>0</v>
          </cell>
          <cell r="DK232" t="str">
            <v>0</v>
          </cell>
          <cell r="DL232" t="str">
            <v>0</v>
          </cell>
          <cell r="DM232" t="str">
            <v>0</v>
          </cell>
          <cell r="DN232" t="str">
            <v>0</v>
          </cell>
          <cell r="DO232" t="str">
            <v>0</v>
          </cell>
          <cell r="DP232" t="str">
            <v>0</v>
          </cell>
        </row>
        <row r="233">
          <cell r="C233"/>
          <cell r="D233" t="str">
            <v>0</v>
          </cell>
          <cell r="E233" t="str">
            <v>0</v>
          </cell>
          <cell r="F233" t="str">
            <v>0</v>
          </cell>
          <cell r="G233" t="str">
            <v>0</v>
          </cell>
          <cell r="H233" t="str">
            <v>0</v>
          </cell>
          <cell r="I233" t="str">
            <v>0</v>
          </cell>
          <cell r="J233" t="str">
            <v>0</v>
          </cell>
          <cell r="K233" t="str">
            <v>0</v>
          </cell>
          <cell r="L233" t="str">
            <v>0</v>
          </cell>
          <cell r="M233" t="str">
            <v>0</v>
          </cell>
          <cell r="N233" t="str">
            <v>0</v>
          </cell>
          <cell r="O233" t="str">
            <v>0</v>
          </cell>
          <cell r="P233" t="str">
            <v>0</v>
          </cell>
          <cell r="Q233" t="str">
            <v>0</v>
          </cell>
          <cell r="R233" t="str">
            <v>0</v>
          </cell>
          <cell r="S233" t="str">
            <v>0</v>
          </cell>
          <cell r="T233" t="str">
            <v>0</v>
          </cell>
          <cell r="U233" t="str">
            <v>0</v>
          </cell>
          <cell r="V233" t="str">
            <v>0</v>
          </cell>
          <cell r="W233" t="str">
            <v>0</v>
          </cell>
          <cell r="X233" t="str">
            <v>0</v>
          </cell>
          <cell r="Y233" t="str">
            <v>0</v>
          </cell>
          <cell r="Z233" t="str">
            <v>0</v>
          </cell>
          <cell r="AA233" t="str">
            <v>0</v>
          </cell>
          <cell r="AB233" t="str">
            <v>0</v>
          </cell>
          <cell r="AC233" t="str">
            <v>0</v>
          </cell>
          <cell r="AD233" t="str">
            <v>0</v>
          </cell>
          <cell r="AE233" t="str">
            <v>0</v>
          </cell>
          <cell r="AF233" t="str">
            <v>0</v>
          </cell>
          <cell r="AG233" t="str">
            <v>0</v>
          </cell>
          <cell r="AH233" t="str">
            <v>0</v>
          </cell>
          <cell r="AI233" t="str">
            <v>0</v>
          </cell>
          <cell r="AJ233" t="str">
            <v>0</v>
          </cell>
          <cell r="AK233" t="str">
            <v>0</v>
          </cell>
          <cell r="AL233" t="str">
            <v>0</v>
          </cell>
          <cell r="AM233" t="str">
            <v>0</v>
          </cell>
          <cell r="AN233" t="str">
            <v>0</v>
          </cell>
          <cell r="AO233" t="str">
            <v>0</v>
          </cell>
          <cell r="AP233" t="str">
            <v>0</v>
          </cell>
          <cell r="AQ233" t="str">
            <v>0</v>
          </cell>
          <cell r="AR233" t="str">
            <v>0</v>
          </cell>
          <cell r="AS233" t="str">
            <v>0</v>
          </cell>
          <cell r="AT233" t="str">
            <v>0</v>
          </cell>
          <cell r="AU233" t="str">
            <v>0</v>
          </cell>
          <cell r="AV233" t="str">
            <v>0</v>
          </cell>
          <cell r="AW233" t="str">
            <v>0</v>
          </cell>
          <cell r="AX233" t="str">
            <v>0</v>
          </cell>
          <cell r="AY233" t="str">
            <v>0</v>
          </cell>
          <cell r="AZ233" t="str">
            <v>0</v>
          </cell>
          <cell r="BA233" t="str">
            <v>0</v>
          </cell>
          <cell r="BB233" t="str">
            <v>0</v>
          </cell>
          <cell r="BC233" t="str">
            <v>0</v>
          </cell>
          <cell r="BD233" t="str">
            <v>0</v>
          </cell>
          <cell r="BE233" t="str">
            <v>0</v>
          </cell>
          <cell r="BF233" t="str">
            <v>0</v>
          </cell>
          <cell r="BG233" t="str">
            <v>0</v>
          </cell>
          <cell r="BH233" t="str">
            <v>0</v>
          </cell>
          <cell r="BI233" t="str">
            <v>0</v>
          </cell>
          <cell r="BJ233" t="str">
            <v>0</v>
          </cell>
          <cell r="BK233" t="str">
            <v>0</v>
          </cell>
          <cell r="BL233" t="str">
            <v>0</v>
          </cell>
          <cell r="BM233" t="str">
            <v>0</v>
          </cell>
          <cell r="BN233" t="str">
            <v>0</v>
          </cell>
          <cell r="BO233" t="str">
            <v>0</v>
          </cell>
          <cell r="BP233" t="str">
            <v>0</v>
          </cell>
          <cell r="BQ233" t="str">
            <v>0</v>
          </cell>
          <cell r="BR233" t="str">
            <v>0</v>
          </cell>
          <cell r="BS233" t="str">
            <v>0</v>
          </cell>
          <cell r="BT233" t="str">
            <v>0</v>
          </cell>
          <cell r="BU233" t="str">
            <v>0</v>
          </cell>
          <cell r="BV233" t="str">
            <v>0</v>
          </cell>
          <cell r="BW233" t="str">
            <v>0</v>
          </cell>
          <cell r="BX233" t="str">
            <v>0</v>
          </cell>
          <cell r="BY233" t="str">
            <v>0</v>
          </cell>
          <cell r="BZ233" t="str">
            <v>0</v>
          </cell>
          <cell r="CA233" t="str">
            <v>0</v>
          </cell>
          <cell r="CB233" t="str">
            <v>0</v>
          </cell>
          <cell r="CC233" t="str">
            <v>0</v>
          </cell>
          <cell r="CD233" t="str">
            <v>0</v>
          </cell>
          <cell r="CE233" t="str">
            <v>0</v>
          </cell>
          <cell r="CF233" t="str">
            <v>0</v>
          </cell>
          <cell r="CG233" t="str">
            <v>0</v>
          </cell>
          <cell r="CH233" t="str">
            <v>0</v>
          </cell>
          <cell r="CI233" t="str">
            <v>0</v>
          </cell>
          <cell r="CJ233" t="str">
            <v>0</v>
          </cell>
          <cell r="CK233" t="str">
            <v>0</v>
          </cell>
          <cell r="CL233" t="str">
            <v>0</v>
          </cell>
          <cell r="CM233" t="str">
            <v>0</v>
          </cell>
          <cell r="CN233" t="str">
            <v>0</v>
          </cell>
          <cell r="CO233" t="str">
            <v>0</v>
          </cell>
          <cell r="CP233" t="str">
            <v>0</v>
          </cell>
          <cell r="CQ233" t="str">
            <v>0</v>
          </cell>
          <cell r="CR233" t="str">
            <v>0</v>
          </cell>
          <cell r="CS233" t="str">
            <v>0</v>
          </cell>
          <cell r="CT233" t="str">
            <v>0</v>
          </cell>
          <cell r="CU233" t="str">
            <v>0</v>
          </cell>
          <cell r="CV233" t="str">
            <v>0</v>
          </cell>
          <cell r="CW233" t="str">
            <v>0</v>
          </cell>
          <cell r="CX233" t="str">
            <v>0</v>
          </cell>
          <cell r="CY233" t="str">
            <v>0</v>
          </cell>
          <cell r="CZ233" t="str">
            <v>0</v>
          </cell>
          <cell r="DA233" t="str">
            <v>0</v>
          </cell>
          <cell r="DB233" t="str">
            <v>0</v>
          </cell>
          <cell r="DC233" t="str">
            <v>0</v>
          </cell>
          <cell r="DD233" t="str">
            <v>0</v>
          </cell>
          <cell r="DE233" t="str">
            <v>0</v>
          </cell>
          <cell r="DF233" t="str">
            <v>0</v>
          </cell>
          <cell r="DG233" t="str">
            <v>0</v>
          </cell>
          <cell r="DH233" t="str">
            <v>0</v>
          </cell>
          <cell r="DI233" t="str">
            <v>0</v>
          </cell>
          <cell r="DJ233" t="str">
            <v>0</v>
          </cell>
          <cell r="DK233" t="str">
            <v>0</v>
          </cell>
          <cell r="DL233" t="str">
            <v>0</v>
          </cell>
          <cell r="DM233" t="str">
            <v>0</v>
          </cell>
          <cell r="DN233" t="str">
            <v>0</v>
          </cell>
          <cell r="DO233" t="str">
            <v>0</v>
          </cell>
          <cell r="DP233" t="str">
            <v>0</v>
          </cell>
        </row>
        <row r="234">
          <cell r="C234"/>
          <cell r="D234" t="str">
            <v>0</v>
          </cell>
          <cell r="E234" t="str">
            <v>0</v>
          </cell>
          <cell r="F234" t="str">
            <v>0</v>
          </cell>
          <cell r="G234" t="str">
            <v>0</v>
          </cell>
          <cell r="H234" t="str">
            <v>0</v>
          </cell>
          <cell r="I234" t="str">
            <v>0</v>
          </cell>
          <cell r="J234" t="str">
            <v>0</v>
          </cell>
          <cell r="K234" t="str">
            <v>0</v>
          </cell>
          <cell r="L234" t="str">
            <v>0</v>
          </cell>
          <cell r="M234" t="str">
            <v>0</v>
          </cell>
          <cell r="N234" t="str">
            <v>0</v>
          </cell>
          <cell r="O234" t="str">
            <v>0</v>
          </cell>
          <cell r="P234" t="str">
            <v>0</v>
          </cell>
          <cell r="Q234" t="str">
            <v>0</v>
          </cell>
          <cell r="R234" t="str">
            <v>0</v>
          </cell>
          <cell r="S234" t="str">
            <v>0</v>
          </cell>
          <cell r="T234" t="str">
            <v>0</v>
          </cell>
          <cell r="U234" t="str">
            <v>0</v>
          </cell>
          <cell r="V234" t="str">
            <v>0</v>
          </cell>
          <cell r="W234" t="str">
            <v>0</v>
          </cell>
          <cell r="X234" t="str">
            <v>0</v>
          </cell>
          <cell r="Y234" t="str">
            <v>0</v>
          </cell>
          <cell r="Z234" t="str">
            <v>0</v>
          </cell>
          <cell r="AA234" t="str">
            <v>0</v>
          </cell>
          <cell r="AB234" t="str">
            <v>0</v>
          </cell>
          <cell r="AC234" t="str">
            <v>0</v>
          </cell>
          <cell r="AD234" t="str">
            <v>0</v>
          </cell>
          <cell r="AE234" t="str">
            <v>0</v>
          </cell>
          <cell r="AF234" t="str">
            <v>0</v>
          </cell>
          <cell r="AG234" t="str">
            <v>0</v>
          </cell>
          <cell r="AH234" t="str">
            <v>0</v>
          </cell>
          <cell r="AI234" t="str">
            <v>0</v>
          </cell>
          <cell r="AJ234" t="str">
            <v>0</v>
          </cell>
          <cell r="AK234" t="str">
            <v>0</v>
          </cell>
          <cell r="AL234" t="str">
            <v>0</v>
          </cell>
          <cell r="AM234" t="str">
            <v>0</v>
          </cell>
          <cell r="AN234" t="str">
            <v>0</v>
          </cell>
          <cell r="AO234" t="str">
            <v>0</v>
          </cell>
          <cell r="AP234" t="str">
            <v>0</v>
          </cell>
          <cell r="AQ234" t="str">
            <v>0</v>
          </cell>
          <cell r="AR234" t="str">
            <v>0</v>
          </cell>
          <cell r="AS234" t="str">
            <v>0</v>
          </cell>
          <cell r="AT234" t="str">
            <v>0</v>
          </cell>
          <cell r="AU234" t="str">
            <v>0</v>
          </cell>
          <cell r="AV234" t="str">
            <v>0</v>
          </cell>
          <cell r="AW234" t="str">
            <v>0</v>
          </cell>
          <cell r="AX234" t="str">
            <v>0</v>
          </cell>
          <cell r="AY234" t="str">
            <v>0</v>
          </cell>
          <cell r="AZ234" t="str">
            <v>0</v>
          </cell>
          <cell r="BA234" t="str">
            <v>0</v>
          </cell>
          <cell r="BB234" t="str">
            <v>0</v>
          </cell>
          <cell r="BC234" t="str">
            <v>0</v>
          </cell>
          <cell r="BD234" t="str">
            <v>0</v>
          </cell>
          <cell r="BE234" t="str">
            <v>0</v>
          </cell>
          <cell r="BF234" t="str">
            <v>0</v>
          </cell>
          <cell r="BG234" t="str">
            <v>0</v>
          </cell>
          <cell r="BH234" t="str">
            <v>0</v>
          </cell>
          <cell r="BI234" t="str">
            <v>0</v>
          </cell>
          <cell r="BJ234" t="str">
            <v>0</v>
          </cell>
          <cell r="BK234" t="str">
            <v>0</v>
          </cell>
          <cell r="BL234" t="str">
            <v>0</v>
          </cell>
          <cell r="BM234" t="str">
            <v>0</v>
          </cell>
          <cell r="BN234" t="str">
            <v>0</v>
          </cell>
          <cell r="BO234" t="str">
            <v>0</v>
          </cell>
          <cell r="BP234" t="str">
            <v>0</v>
          </cell>
          <cell r="BQ234" t="str">
            <v>0</v>
          </cell>
          <cell r="BR234" t="str">
            <v>0</v>
          </cell>
          <cell r="BS234" t="str">
            <v>0</v>
          </cell>
          <cell r="BT234" t="str">
            <v>0</v>
          </cell>
          <cell r="BU234" t="str">
            <v>0</v>
          </cell>
          <cell r="BV234" t="str">
            <v>0</v>
          </cell>
          <cell r="BW234" t="str">
            <v>0</v>
          </cell>
          <cell r="BX234" t="str">
            <v>0</v>
          </cell>
          <cell r="BY234" t="str">
            <v>0</v>
          </cell>
          <cell r="BZ234" t="str">
            <v>0</v>
          </cell>
          <cell r="CA234" t="str">
            <v>0</v>
          </cell>
          <cell r="CB234" t="str">
            <v>0</v>
          </cell>
          <cell r="CC234" t="str">
            <v>0</v>
          </cell>
          <cell r="CD234" t="str">
            <v>0</v>
          </cell>
          <cell r="CE234" t="str">
            <v>0</v>
          </cell>
          <cell r="CF234" t="str">
            <v>0</v>
          </cell>
          <cell r="CG234" t="str">
            <v>0</v>
          </cell>
          <cell r="CH234" t="str">
            <v>0</v>
          </cell>
          <cell r="CI234" t="str">
            <v>0</v>
          </cell>
          <cell r="CJ234" t="str">
            <v>0</v>
          </cell>
          <cell r="CK234" t="str">
            <v>0</v>
          </cell>
          <cell r="CL234" t="str">
            <v>0</v>
          </cell>
          <cell r="CM234" t="str">
            <v>0</v>
          </cell>
          <cell r="CN234" t="str">
            <v>0</v>
          </cell>
          <cell r="CO234" t="str">
            <v>0</v>
          </cell>
          <cell r="CP234" t="str">
            <v>0</v>
          </cell>
          <cell r="CQ234" t="str">
            <v>0</v>
          </cell>
          <cell r="CR234" t="str">
            <v>0</v>
          </cell>
          <cell r="CS234" t="str">
            <v>0</v>
          </cell>
          <cell r="CT234" t="str">
            <v>0</v>
          </cell>
          <cell r="CU234" t="str">
            <v>0</v>
          </cell>
          <cell r="CV234" t="str">
            <v>0</v>
          </cell>
          <cell r="CW234" t="str">
            <v>0</v>
          </cell>
          <cell r="CX234" t="str">
            <v>0</v>
          </cell>
          <cell r="CY234" t="str">
            <v>0</v>
          </cell>
          <cell r="CZ234" t="str">
            <v>0</v>
          </cell>
          <cell r="DA234" t="str">
            <v>0</v>
          </cell>
          <cell r="DB234" t="str">
            <v>0</v>
          </cell>
          <cell r="DC234" t="str">
            <v>0</v>
          </cell>
          <cell r="DD234" t="str">
            <v>0</v>
          </cell>
          <cell r="DE234" t="str">
            <v>0</v>
          </cell>
          <cell r="DF234" t="str">
            <v>0</v>
          </cell>
          <cell r="DG234" t="str">
            <v>0</v>
          </cell>
          <cell r="DH234" t="str">
            <v>0</v>
          </cell>
          <cell r="DI234" t="str">
            <v>0</v>
          </cell>
          <cell r="DJ234" t="str">
            <v>0</v>
          </cell>
          <cell r="DK234" t="str">
            <v>0</v>
          </cell>
          <cell r="DL234" t="str">
            <v>0</v>
          </cell>
          <cell r="DM234" t="str">
            <v>0</v>
          </cell>
          <cell r="DN234" t="str">
            <v>0</v>
          </cell>
          <cell r="DO234" t="str">
            <v>0</v>
          </cell>
          <cell r="DP234" t="str">
            <v>0</v>
          </cell>
        </row>
        <row r="235">
          <cell r="C235"/>
          <cell r="D235" t="str">
            <v>0</v>
          </cell>
          <cell r="E235" t="str">
            <v>0</v>
          </cell>
          <cell r="F235" t="str">
            <v>0</v>
          </cell>
          <cell r="G235" t="str">
            <v>0</v>
          </cell>
          <cell r="H235" t="str">
            <v>0</v>
          </cell>
          <cell r="I235" t="str">
            <v>0</v>
          </cell>
          <cell r="J235" t="str">
            <v>0</v>
          </cell>
          <cell r="K235" t="str">
            <v>0</v>
          </cell>
          <cell r="L235" t="str">
            <v>0</v>
          </cell>
          <cell r="M235" t="str">
            <v>0</v>
          </cell>
          <cell r="N235" t="str">
            <v>0</v>
          </cell>
          <cell r="O235" t="str">
            <v>0</v>
          </cell>
          <cell r="P235" t="str">
            <v>0</v>
          </cell>
          <cell r="Q235" t="str">
            <v>0</v>
          </cell>
          <cell r="R235" t="str">
            <v>0</v>
          </cell>
          <cell r="S235" t="str">
            <v>0</v>
          </cell>
          <cell r="T235" t="str">
            <v>0</v>
          </cell>
          <cell r="U235" t="str">
            <v>0</v>
          </cell>
          <cell r="V235" t="str">
            <v>0</v>
          </cell>
          <cell r="W235" t="str">
            <v>0</v>
          </cell>
          <cell r="X235" t="str">
            <v>0</v>
          </cell>
          <cell r="Y235" t="str">
            <v>0</v>
          </cell>
          <cell r="Z235" t="str">
            <v>0</v>
          </cell>
          <cell r="AA235" t="str">
            <v>0</v>
          </cell>
          <cell r="AB235" t="str">
            <v>0</v>
          </cell>
          <cell r="AC235" t="str">
            <v>0</v>
          </cell>
          <cell r="AD235" t="str">
            <v>0</v>
          </cell>
          <cell r="AE235" t="str">
            <v>0</v>
          </cell>
          <cell r="AF235" t="str">
            <v>0</v>
          </cell>
          <cell r="AG235" t="str">
            <v>0</v>
          </cell>
          <cell r="AH235" t="str">
            <v>0</v>
          </cell>
          <cell r="AI235" t="str">
            <v>0</v>
          </cell>
          <cell r="AJ235" t="str">
            <v>0</v>
          </cell>
          <cell r="AK235" t="str">
            <v>0</v>
          </cell>
          <cell r="AL235" t="str">
            <v>0</v>
          </cell>
          <cell r="AM235" t="str">
            <v>0</v>
          </cell>
          <cell r="AN235" t="str">
            <v>0</v>
          </cell>
          <cell r="AO235" t="str">
            <v>0</v>
          </cell>
          <cell r="AP235" t="str">
            <v>0</v>
          </cell>
          <cell r="AQ235" t="str">
            <v>0</v>
          </cell>
          <cell r="AR235" t="str">
            <v>0</v>
          </cell>
          <cell r="AS235" t="str">
            <v>0</v>
          </cell>
          <cell r="AT235" t="str">
            <v>0</v>
          </cell>
          <cell r="AU235" t="str">
            <v>0</v>
          </cell>
          <cell r="AV235" t="str">
            <v>0</v>
          </cell>
          <cell r="AW235" t="str">
            <v>0</v>
          </cell>
          <cell r="AX235" t="str">
            <v>0</v>
          </cell>
          <cell r="AY235" t="str">
            <v>0</v>
          </cell>
          <cell r="AZ235" t="str">
            <v>0</v>
          </cell>
          <cell r="BA235" t="str">
            <v>0</v>
          </cell>
          <cell r="BB235" t="str">
            <v>0</v>
          </cell>
          <cell r="BC235" t="str">
            <v>0</v>
          </cell>
          <cell r="BD235" t="str">
            <v>0</v>
          </cell>
          <cell r="BE235" t="str">
            <v>0</v>
          </cell>
          <cell r="BF235" t="str">
            <v>0</v>
          </cell>
          <cell r="BG235" t="str">
            <v>0</v>
          </cell>
          <cell r="BH235" t="str">
            <v>0</v>
          </cell>
          <cell r="BI235" t="str">
            <v>0</v>
          </cell>
          <cell r="BJ235" t="str">
            <v>0</v>
          </cell>
          <cell r="BK235" t="str">
            <v>0</v>
          </cell>
          <cell r="BL235" t="str">
            <v>0</v>
          </cell>
          <cell r="BM235" t="str">
            <v>0</v>
          </cell>
          <cell r="BN235" t="str">
            <v>0</v>
          </cell>
          <cell r="BO235" t="str">
            <v>0</v>
          </cell>
          <cell r="BP235" t="str">
            <v>0</v>
          </cell>
          <cell r="BQ235" t="str">
            <v>0</v>
          </cell>
          <cell r="BR235" t="str">
            <v>0</v>
          </cell>
          <cell r="BS235" t="str">
            <v>0</v>
          </cell>
          <cell r="BT235" t="str">
            <v>0</v>
          </cell>
          <cell r="BU235" t="str">
            <v>0</v>
          </cell>
          <cell r="BV235" t="str">
            <v>0</v>
          </cell>
          <cell r="BW235" t="str">
            <v>0</v>
          </cell>
          <cell r="BX235" t="str">
            <v>0</v>
          </cell>
          <cell r="BY235" t="str">
            <v>0</v>
          </cell>
          <cell r="BZ235" t="str">
            <v>0</v>
          </cell>
          <cell r="CA235" t="str">
            <v>0</v>
          </cell>
          <cell r="CB235" t="str">
            <v>0</v>
          </cell>
          <cell r="CC235" t="str">
            <v>0</v>
          </cell>
          <cell r="CD235" t="str">
            <v>0</v>
          </cell>
          <cell r="CE235" t="str">
            <v>0</v>
          </cell>
          <cell r="CF235" t="str">
            <v>0</v>
          </cell>
          <cell r="CG235" t="str">
            <v>0</v>
          </cell>
          <cell r="CH235" t="str">
            <v>0</v>
          </cell>
          <cell r="CI235" t="str">
            <v>0</v>
          </cell>
          <cell r="CJ235" t="str">
            <v>0</v>
          </cell>
          <cell r="CK235" t="str">
            <v>0</v>
          </cell>
          <cell r="CL235" t="str">
            <v>0</v>
          </cell>
          <cell r="CM235" t="str">
            <v>0</v>
          </cell>
          <cell r="CN235" t="str">
            <v>0</v>
          </cell>
          <cell r="CO235" t="str">
            <v>0</v>
          </cell>
          <cell r="CP235" t="str">
            <v>0</v>
          </cell>
          <cell r="CQ235" t="str">
            <v>0</v>
          </cell>
          <cell r="CR235" t="str">
            <v>0</v>
          </cell>
          <cell r="CS235" t="str">
            <v>0</v>
          </cell>
          <cell r="CT235" t="str">
            <v>0</v>
          </cell>
          <cell r="CU235" t="str">
            <v>0</v>
          </cell>
          <cell r="CV235" t="str">
            <v>0</v>
          </cell>
          <cell r="CW235" t="str">
            <v>0</v>
          </cell>
          <cell r="CX235" t="str">
            <v>0</v>
          </cell>
          <cell r="CY235" t="str">
            <v>0</v>
          </cell>
          <cell r="CZ235" t="str">
            <v>0</v>
          </cell>
          <cell r="DA235" t="str">
            <v>0</v>
          </cell>
          <cell r="DB235" t="str">
            <v>0</v>
          </cell>
          <cell r="DC235" t="str">
            <v>0</v>
          </cell>
          <cell r="DD235" t="str">
            <v>0</v>
          </cell>
          <cell r="DE235" t="str">
            <v>0</v>
          </cell>
          <cell r="DF235" t="str">
            <v>0</v>
          </cell>
          <cell r="DG235" t="str">
            <v>0</v>
          </cell>
          <cell r="DH235" t="str">
            <v>0</v>
          </cell>
          <cell r="DI235" t="str">
            <v>0</v>
          </cell>
          <cell r="DJ235" t="str">
            <v>0</v>
          </cell>
          <cell r="DK235" t="str">
            <v>0</v>
          </cell>
          <cell r="DL235" t="str">
            <v>0</v>
          </cell>
          <cell r="DM235" t="str">
            <v>0</v>
          </cell>
          <cell r="DN235" t="str">
            <v>0</v>
          </cell>
          <cell r="DO235" t="str">
            <v>0</v>
          </cell>
          <cell r="DP235" t="str">
            <v>0</v>
          </cell>
        </row>
        <row r="236">
          <cell r="C236"/>
          <cell r="D236" t="str">
            <v>0</v>
          </cell>
          <cell r="E236" t="str">
            <v>0</v>
          </cell>
          <cell r="F236" t="str">
            <v>0</v>
          </cell>
          <cell r="G236" t="str">
            <v>0</v>
          </cell>
          <cell r="H236" t="str">
            <v>0</v>
          </cell>
          <cell r="I236" t="str">
            <v>0</v>
          </cell>
          <cell r="J236" t="str">
            <v>0</v>
          </cell>
          <cell r="K236" t="str">
            <v>0</v>
          </cell>
          <cell r="L236" t="str">
            <v>0</v>
          </cell>
          <cell r="M236" t="str">
            <v>0</v>
          </cell>
          <cell r="N236" t="str">
            <v>0</v>
          </cell>
          <cell r="O236" t="str">
            <v>0</v>
          </cell>
          <cell r="P236" t="str">
            <v>0</v>
          </cell>
          <cell r="Q236" t="str">
            <v>0</v>
          </cell>
          <cell r="R236" t="str">
            <v>0</v>
          </cell>
          <cell r="S236" t="str">
            <v>0</v>
          </cell>
          <cell r="T236" t="str">
            <v>0</v>
          </cell>
          <cell r="U236" t="str">
            <v>0</v>
          </cell>
          <cell r="V236" t="str">
            <v>0</v>
          </cell>
          <cell r="W236" t="str">
            <v>0</v>
          </cell>
          <cell r="X236" t="str">
            <v>0</v>
          </cell>
          <cell r="Y236" t="str">
            <v>0</v>
          </cell>
          <cell r="Z236" t="str">
            <v>0</v>
          </cell>
          <cell r="AA236" t="str">
            <v>0</v>
          </cell>
          <cell r="AB236" t="str">
            <v>0</v>
          </cell>
          <cell r="AC236" t="str">
            <v>0</v>
          </cell>
          <cell r="AD236" t="str">
            <v>0</v>
          </cell>
          <cell r="AE236" t="str">
            <v>0</v>
          </cell>
          <cell r="AF236" t="str">
            <v>0</v>
          </cell>
          <cell r="AG236" t="str">
            <v>0</v>
          </cell>
          <cell r="AH236" t="str">
            <v>0</v>
          </cell>
          <cell r="AI236" t="str">
            <v>0</v>
          </cell>
          <cell r="AJ236" t="str">
            <v>0</v>
          </cell>
          <cell r="AK236" t="str">
            <v>0</v>
          </cell>
          <cell r="AL236" t="str">
            <v>0</v>
          </cell>
          <cell r="AM236" t="str">
            <v>0</v>
          </cell>
          <cell r="AN236" t="str">
            <v>0</v>
          </cell>
          <cell r="AO236" t="str">
            <v>0</v>
          </cell>
          <cell r="AP236" t="str">
            <v>0</v>
          </cell>
          <cell r="AQ236" t="str">
            <v>0</v>
          </cell>
          <cell r="AR236" t="str">
            <v>0</v>
          </cell>
          <cell r="AS236" t="str">
            <v>0</v>
          </cell>
          <cell r="AT236" t="str">
            <v>0</v>
          </cell>
          <cell r="AU236" t="str">
            <v>0</v>
          </cell>
          <cell r="AV236" t="str">
            <v>0</v>
          </cell>
          <cell r="AW236" t="str">
            <v>0</v>
          </cell>
          <cell r="AX236" t="str">
            <v>0</v>
          </cell>
          <cell r="AY236" t="str">
            <v>0</v>
          </cell>
          <cell r="AZ236" t="str">
            <v>0</v>
          </cell>
          <cell r="BA236" t="str">
            <v>0</v>
          </cell>
          <cell r="BB236" t="str">
            <v>0</v>
          </cell>
          <cell r="BC236" t="str">
            <v>0</v>
          </cell>
          <cell r="BD236" t="str">
            <v>0</v>
          </cell>
          <cell r="BE236" t="str">
            <v>0</v>
          </cell>
          <cell r="BF236" t="str">
            <v>0</v>
          </cell>
          <cell r="BG236" t="str">
            <v>0</v>
          </cell>
          <cell r="BH236" t="str">
            <v>0</v>
          </cell>
          <cell r="BI236" t="str">
            <v>0</v>
          </cell>
          <cell r="BJ236" t="str">
            <v>0</v>
          </cell>
          <cell r="BK236" t="str">
            <v>0</v>
          </cell>
          <cell r="BL236" t="str">
            <v>0</v>
          </cell>
          <cell r="BM236" t="str">
            <v>0</v>
          </cell>
          <cell r="BN236" t="str">
            <v>0</v>
          </cell>
          <cell r="BO236" t="str">
            <v>0</v>
          </cell>
          <cell r="BP236" t="str">
            <v>0</v>
          </cell>
          <cell r="BQ236" t="str">
            <v>0</v>
          </cell>
          <cell r="BR236" t="str">
            <v>0</v>
          </cell>
          <cell r="BS236" t="str">
            <v>0</v>
          </cell>
          <cell r="BT236" t="str">
            <v>0</v>
          </cell>
          <cell r="BU236" t="str">
            <v>0</v>
          </cell>
          <cell r="BV236" t="str">
            <v>0</v>
          </cell>
          <cell r="BW236" t="str">
            <v>0</v>
          </cell>
          <cell r="BX236" t="str">
            <v>0</v>
          </cell>
          <cell r="BY236" t="str">
            <v>0</v>
          </cell>
          <cell r="BZ236" t="str">
            <v>0</v>
          </cell>
          <cell r="CA236" t="str">
            <v>0</v>
          </cell>
          <cell r="CB236" t="str">
            <v>0</v>
          </cell>
          <cell r="CC236" t="str">
            <v>0</v>
          </cell>
          <cell r="CD236" t="str">
            <v>0</v>
          </cell>
          <cell r="CE236" t="str">
            <v>0</v>
          </cell>
          <cell r="CF236" t="str">
            <v>0</v>
          </cell>
          <cell r="CG236" t="str">
            <v>0</v>
          </cell>
          <cell r="CH236" t="str">
            <v>0</v>
          </cell>
          <cell r="CI236" t="str">
            <v>0</v>
          </cell>
          <cell r="CJ236" t="str">
            <v>0</v>
          </cell>
          <cell r="CK236" t="str">
            <v>0</v>
          </cell>
          <cell r="CL236" t="str">
            <v>0</v>
          </cell>
          <cell r="CM236" t="str">
            <v>0</v>
          </cell>
          <cell r="CN236" t="str">
            <v>0</v>
          </cell>
          <cell r="CO236" t="str">
            <v>0</v>
          </cell>
          <cell r="CP236" t="str">
            <v>0</v>
          </cell>
          <cell r="CQ236" t="str">
            <v>0</v>
          </cell>
          <cell r="CR236" t="str">
            <v>0</v>
          </cell>
          <cell r="CS236" t="str">
            <v>0</v>
          </cell>
          <cell r="CT236" t="str">
            <v>0</v>
          </cell>
          <cell r="CU236" t="str">
            <v>0</v>
          </cell>
          <cell r="CV236" t="str">
            <v>0</v>
          </cell>
          <cell r="CW236" t="str">
            <v>0</v>
          </cell>
          <cell r="CX236" t="str">
            <v>0</v>
          </cell>
          <cell r="CY236" t="str">
            <v>0</v>
          </cell>
          <cell r="CZ236" t="str">
            <v>0</v>
          </cell>
          <cell r="DA236" t="str">
            <v>0</v>
          </cell>
          <cell r="DB236" t="str">
            <v>0</v>
          </cell>
          <cell r="DC236" t="str">
            <v>0</v>
          </cell>
          <cell r="DD236" t="str">
            <v>0</v>
          </cell>
          <cell r="DE236" t="str">
            <v>0</v>
          </cell>
          <cell r="DF236" t="str">
            <v>0</v>
          </cell>
          <cell r="DG236" t="str">
            <v>0</v>
          </cell>
          <cell r="DH236" t="str">
            <v>0</v>
          </cell>
          <cell r="DI236" t="str">
            <v>0</v>
          </cell>
          <cell r="DJ236" t="str">
            <v>0</v>
          </cell>
          <cell r="DK236" t="str">
            <v>0</v>
          </cell>
          <cell r="DL236" t="str">
            <v>0</v>
          </cell>
          <cell r="DM236" t="str">
            <v>0</v>
          </cell>
          <cell r="DN236" t="str">
            <v>0</v>
          </cell>
          <cell r="DO236" t="str">
            <v>0</v>
          </cell>
          <cell r="DP236" t="str">
            <v>0</v>
          </cell>
        </row>
        <row r="237">
          <cell r="C237"/>
          <cell r="D237" t="str">
            <v>0</v>
          </cell>
          <cell r="E237" t="str">
            <v>0</v>
          </cell>
          <cell r="F237" t="str">
            <v>0</v>
          </cell>
          <cell r="G237" t="str">
            <v>0</v>
          </cell>
          <cell r="H237" t="str">
            <v>0</v>
          </cell>
          <cell r="I237" t="str">
            <v>0</v>
          </cell>
          <cell r="J237" t="str">
            <v>0</v>
          </cell>
          <cell r="K237" t="str">
            <v>0</v>
          </cell>
          <cell r="L237" t="str">
            <v>0</v>
          </cell>
          <cell r="M237" t="str">
            <v>0</v>
          </cell>
          <cell r="N237" t="str">
            <v>0</v>
          </cell>
          <cell r="O237" t="str">
            <v>0</v>
          </cell>
          <cell r="P237" t="str">
            <v>0</v>
          </cell>
          <cell r="Q237" t="str">
            <v>0</v>
          </cell>
          <cell r="R237" t="str">
            <v>0</v>
          </cell>
          <cell r="S237" t="str">
            <v>0</v>
          </cell>
          <cell r="T237" t="str">
            <v>0</v>
          </cell>
          <cell r="U237" t="str">
            <v>0</v>
          </cell>
          <cell r="V237" t="str">
            <v>0</v>
          </cell>
          <cell r="W237" t="str">
            <v>0</v>
          </cell>
          <cell r="X237" t="str">
            <v>0</v>
          </cell>
          <cell r="Y237" t="str">
            <v>0</v>
          </cell>
          <cell r="Z237" t="str">
            <v>0</v>
          </cell>
          <cell r="AA237" t="str">
            <v>0</v>
          </cell>
          <cell r="AB237" t="str">
            <v>0</v>
          </cell>
          <cell r="AC237" t="str">
            <v>0</v>
          </cell>
          <cell r="AD237" t="str">
            <v>0</v>
          </cell>
          <cell r="AE237" t="str">
            <v>0</v>
          </cell>
          <cell r="AF237" t="str">
            <v>0</v>
          </cell>
          <cell r="AG237" t="str">
            <v>0</v>
          </cell>
          <cell r="AH237" t="str">
            <v>0</v>
          </cell>
          <cell r="AI237" t="str">
            <v>0</v>
          </cell>
          <cell r="AJ237" t="str">
            <v>0</v>
          </cell>
          <cell r="AK237" t="str">
            <v>0</v>
          </cell>
          <cell r="AL237" t="str">
            <v>0</v>
          </cell>
          <cell r="AM237" t="str">
            <v>0</v>
          </cell>
          <cell r="AN237" t="str">
            <v>0</v>
          </cell>
          <cell r="AO237" t="str">
            <v>0</v>
          </cell>
          <cell r="AP237" t="str">
            <v>0</v>
          </cell>
          <cell r="AQ237" t="str">
            <v>0</v>
          </cell>
          <cell r="AR237" t="str">
            <v>0</v>
          </cell>
          <cell r="AS237" t="str">
            <v>0</v>
          </cell>
          <cell r="AT237" t="str">
            <v>0</v>
          </cell>
          <cell r="AU237" t="str">
            <v>0</v>
          </cell>
          <cell r="AV237" t="str">
            <v>0</v>
          </cell>
          <cell r="AW237" t="str">
            <v>0</v>
          </cell>
          <cell r="AX237" t="str">
            <v>0</v>
          </cell>
          <cell r="AY237" t="str">
            <v>0</v>
          </cell>
          <cell r="AZ237" t="str">
            <v>0</v>
          </cell>
          <cell r="BA237" t="str">
            <v>0</v>
          </cell>
          <cell r="BB237" t="str">
            <v>0</v>
          </cell>
          <cell r="BC237" t="str">
            <v>0</v>
          </cell>
          <cell r="BD237" t="str">
            <v>0</v>
          </cell>
          <cell r="BE237" t="str">
            <v>0</v>
          </cell>
          <cell r="BF237" t="str">
            <v>0</v>
          </cell>
          <cell r="BG237" t="str">
            <v>0</v>
          </cell>
          <cell r="BH237" t="str">
            <v>0</v>
          </cell>
          <cell r="BI237" t="str">
            <v>0</v>
          </cell>
          <cell r="BJ237" t="str">
            <v>0</v>
          </cell>
          <cell r="BK237" t="str">
            <v>0</v>
          </cell>
          <cell r="BL237" t="str">
            <v>0</v>
          </cell>
          <cell r="BM237" t="str">
            <v>0</v>
          </cell>
          <cell r="BN237" t="str">
            <v>0</v>
          </cell>
          <cell r="BO237" t="str">
            <v>0</v>
          </cell>
          <cell r="BP237" t="str">
            <v>0</v>
          </cell>
          <cell r="BQ237" t="str">
            <v>0</v>
          </cell>
          <cell r="BR237" t="str">
            <v>0</v>
          </cell>
          <cell r="BS237" t="str">
            <v>0</v>
          </cell>
          <cell r="BT237" t="str">
            <v>0</v>
          </cell>
          <cell r="BU237" t="str">
            <v>0</v>
          </cell>
          <cell r="BV237" t="str">
            <v>0</v>
          </cell>
          <cell r="BW237" t="str">
            <v>0</v>
          </cell>
          <cell r="BX237" t="str">
            <v>0</v>
          </cell>
          <cell r="BY237" t="str">
            <v>0</v>
          </cell>
          <cell r="BZ237" t="str">
            <v>0</v>
          </cell>
          <cell r="CA237" t="str">
            <v>0</v>
          </cell>
          <cell r="CB237" t="str">
            <v>0</v>
          </cell>
          <cell r="CC237" t="str">
            <v>0</v>
          </cell>
          <cell r="CD237" t="str">
            <v>0</v>
          </cell>
          <cell r="CE237" t="str">
            <v>0</v>
          </cell>
          <cell r="CF237" t="str">
            <v>0</v>
          </cell>
          <cell r="CG237" t="str">
            <v>0</v>
          </cell>
          <cell r="CH237" t="str">
            <v>0</v>
          </cell>
          <cell r="CI237" t="str">
            <v>0</v>
          </cell>
          <cell r="CJ237" t="str">
            <v>0</v>
          </cell>
          <cell r="CK237" t="str">
            <v>0</v>
          </cell>
          <cell r="CL237" t="str">
            <v>0</v>
          </cell>
          <cell r="CM237" t="str">
            <v>0</v>
          </cell>
          <cell r="CN237" t="str">
            <v>0</v>
          </cell>
          <cell r="CO237" t="str">
            <v>0</v>
          </cell>
          <cell r="CP237" t="str">
            <v>0</v>
          </cell>
          <cell r="CQ237" t="str">
            <v>0</v>
          </cell>
          <cell r="CR237" t="str">
            <v>0</v>
          </cell>
          <cell r="CS237" t="str">
            <v>0</v>
          </cell>
          <cell r="CT237" t="str">
            <v>0</v>
          </cell>
          <cell r="CU237" t="str">
            <v>0</v>
          </cell>
          <cell r="CV237" t="str">
            <v>0</v>
          </cell>
          <cell r="CW237" t="str">
            <v>0</v>
          </cell>
          <cell r="CX237" t="str">
            <v>0</v>
          </cell>
          <cell r="CY237" t="str">
            <v>0</v>
          </cell>
          <cell r="CZ237" t="str">
            <v>0</v>
          </cell>
          <cell r="DA237" t="str">
            <v>0</v>
          </cell>
          <cell r="DB237" t="str">
            <v>0</v>
          </cell>
          <cell r="DC237" t="str">
            <v>0</v>
          </cell>
          <cell r="DD237" t="str">
            <v>0</v>
          </cell>
          <cell r="DE237" t="str">
            <v>0</v>
          </cell>
          <cell r="DF237" t="str">
            <v>0</v>
          </cell>
          <cell r="DG237" t="str">
            <v>0</v>
          </cell>
          <cell r="DH237" t="str">
            <v>0</v>
          </cell>
          <cell r="DI237" t="str">
            <v>0</v>
          </cell>
          <cell r="DJ237" t="str">
            <v>0</v>
          </cell>
          <cell r="DK237" t="str">
            <v>0</v>
          </cell>
          <cell r="DL237" t="str">
            <v>0</v>
          </cell>
          <cell r="DM237" t="str">
            <v>0</v>
          </cell>
          <cell r="DN237" t="str">
            <v>0</v>
          </cell>
          <cell r="DO237" t="str">
            <v>0</v>
          </cell>
          <cell r="DP237" t="str">
            <v>0</v>
          </cell>
        </row>
        <row r="238">
          <cell r="C238"/>
          <cell r="D238" t="str">
            <v>0</v>
          </cell>
          <cell r="E238" t="str">
            <v>0</v>
          </cell>
          <cell r="F238" t="str">
            <v>0</v>
          </cell>
          <cell r="G238" t="str">
            <v>0</v>
          </cell>
          <cell r="H238" t="str">
            <v>0</v>
          </cell>
          <cell r="I238" t="str">
            <v>0</v>
          </cell>
          <cell r="J238" t="str">
            <v>0</v>
          </cell>
          <cell r="K238" t="str">
            <v>0</v>
          </cell>
          <cell r="L238" t="str">
            <v>0</v>
          </cell>
          <cell r="M238" t="str">
            <v>0</v>
          </cell>
          <cell r="N238" t="str">
            <v>0</v>
          </cell>
          <cell r="O238" t="str">
            <v>0</v>
          </cell>
          <cell r="P238" t="str">
            <v>0</v>
          </cell>
          <cell r="Q238" t="str">
            <v>0</v>
          </cell>
          <cell r="R238" t="str">
            <v>0</v>
          </cell>
          <cell r="S238" t="str">
            <v>0</v>
          </cell>
          <cell r="T238" t="str">
            <v>0</v>
          </cell>
          <cell r="U238" t="str">
            <v>0</v>
          </cell>
          <cell r="V238" t="str">
            <v>0</v>
          </cell>
          <cell r="W238" t="str">
            <v>0</v>
          </cell>
          <cell r="X238" t="str">
            <v>0</v>
          </cell>
          <cell r="Y238" t="str">
            <v>0</v>
          </cell>
          <cell r="Z238" t="str">
            <v>0</v>
          </cell>
          <cell r="AA238" t="str">
            <v>0</v>
          </cell>
          <cell r="AB238" t="str">
            <v>0</v>
          </cell>
          <cell r="AC238" t="str">
            <v>0</v>
          </cell>
          <cell r="AD238" t="str">
            <v>0</v>
          </cell>
          <cell r="AE238" t="str">
            <v>0</v>
          </cell>
          <cell r="AF238" t="str">
            <v>0</v>
          </cell>
          <cell r="AG238" t="str">
            <v>0</v>
          </cell>
          <cell r="AH238" t="str">
            <v>0</v>
          </cell>
          <cell r="AI238" t="str">
            <v>0</v>
          </cell>
          <cell r="AJ238" t="str">
            <v>0</v>
          </cell>
          <cell r="AK238" t="str">
            <v>0</v>
          </cell>
          <cell r="AL238" t="str">
            <v>0</v>
          </cell>
          <cell r="AM238" t="str">
            <v>0</v>
          </cell>
          <cell r="AN238" t="str">
            <v>0</v>
          </cell>
          <cell r="AO238" t="str">
            <v>0</v>
          </cell>
          <cell r="AP238" t="str">
            <v>0</v>
          </cell>
          <cell r="AQ238" t="str">
            <v>0</v>
          </cell>
          <cell r="AR238" t="str">
            <v>0</v>
          </cell>
          <cell r="AS238" t="str">
            <v>0</v>
          </cell>
          <cell r="AT238" t="str">
            <v>0</v>
          </cell>
          <cell r="AU238" t="str">
            <v>0</v>
          </cell>
          <cell r="AV238" t="str">
            <v>0</v>
          </cell>
          <cell r="AW238" t="str">
            <v>0</v>
          </cell>
          <cell r="AX238" t="str">
            <v>0</v>
          </cell>
          <cell r="AY238" t="str">
            <v>0</v>
          </cell>
          <cell r="AZ238" t="str">
            <v>0</v>
          </cell>
          <cell r="BA238" t="str">
            <v>0</v>
          </cell>
          <cell r="BB238" t="str">
            <v>0</v>
          </cell>
          <cell r="BC238" t="str">
            <v>0</v>
          </cell>
          <cell r="BD238" t="str">
            <v>0</v>
          </cell>
          <cell r="BE238" t="str">
            <v>0</v>
          </cell>
          <cell r="BF238" t="str">
            <v>0</v>
          </cell>
          <cell r="BG238" t="str">
            <v>0</v>
          </cell>
          <cell r="BH238" t="str">
            <v>0</v>
          </cell>
          <cell r="BI238" t="str">
            <v>0</v>
          </cell>
          <cell r="BJ238" t="str">
            <v>0</v>
          </cell>
          <cell r="BK238" t="str">
            <v>0</v>
          </cell>
          <cell r="BL238" t="str">
            <v>0</v>
          </cell>
          <cell r="BM238" t="str">
            <v>0</v>
          </cell>
          <cell r="BN238" t="str">
            <v>0</v>
          </cell>
          <cell r="BO238" t="str">
            <v>0</v>
          </cell>
          <cell r="BP238" t="str">
            <v>0</v>
          </cell>
          <cell r="BQ238" t="str">
            <v>0</v>
          </cell>
          <cell r="BR238" t="str">
            <v>0</v>
          </cell>
          <cell r="BS238" t="str">
            <v>0</v>
          </cell>
          <cell r="BT238" t="str">
            <v>0</v>
          </cell>
          <cell r="BU238" t="str">
            <v>0</v>
          </cell>
          <cell r="BV238" t="str">
            <v>0</v>
          </cell>
          <cell r="BW238" t="str">
            <v>0</v>
          </cell>
          <cell r="BX238" t="str">
            <v>0</v>
          </cell>
          <cell r="BY238" t="str">
            <v>0</v>
          </cell>
          <cell r="BZ238" t="str">
            <v>0</v>
          </cell>
          <cell r="CA238" t="str">
            <v>0</v>
          </cell>
          <cell r="CB238" t="str">
            <v>0</v>
          </cell>
          <cell r="CC238" t="str">
            <v>0</v>
          </cell>
          <cell r="CD238" t="str">
            <v>0</v>
          </cell>
          <cell r="CE238" t="str">
            <v>0</v>
          </cell>
          <cell r="CF238" t="str">
            <v>0</v>
          </cell>
          <cell r="CG238" t="str">
            <v>0</v>
          </cell>
          <cell r="CH238" t="str">
            <v>0</v>
          </cell>
          <cell r="CI238" t="str">
            <v>0</v>
          </cell>
          <cell r="CJ238" t="str">
            <v>0</v>
          </cell>
          <cell r="CK238" t="str">
            <v>0</v>
          </cell>
          <cell r="CL238" t="str">
            <v>0</v>
          </cell>
          <cell r="CM238" t="str">
            <v>0</v>
          </cell>
          <cell r="CN238" t="str">
            <v>0</v>
          </cell>
          <cell r="CO238" t="str">
            <v>0</v>
          </cell>
          <cell r="CP238" t="str">
            <v>0</v>
          </cell>
          <cell r="CQ238" t="str">
            <v>0</v>
          </cell>
          <cell r="CR238" t="str">
            <v>0</v>
          </cell>
          <cell r="CS238" t="str">
            <v>0</v>
          </cell>
          <cell r="CT238" t="str">
            <v>0</v>
          </cell>
          <cell r="CU238" t="str">
            <v>0</v>
          </cell>
          <cell r="CV238" t="str">
            <v>0</v>
          </cell>
          <cell r="CW238" t="str">
            <v>0</v>
          </cell>
          <cell r="CX238" t="str">
            <v>0</v>
          </cell>
          <cell r="CY238" t="str">
            <v>0</v>
          </cell>
          <cell r="CZ238" t="str">
            <v>0</v>
          </cell>
          <cell r="DA238" t="str">
            <v>0</v>
          </cell>
          <cell r="DB238" t="str">
            <v>0</v>
          </cell>
          <cell r="DC238" t="str">
            <v>0</v>
          </cell>
          <cell r="DD238" t="str">
            <v>0</v>
          </cell>
          <cell r="DE238" t="str">
            <v>0</v>
          </cell>
          <cell r="DF238" t="str">
            <v>0</v>
          </cell>
          <cell r="DG238" t="str">
            <v>0</v>
          </cell>
          <cell r="DH238" t="str">
            <v>0</v>
          </cell>
          <cell r="DI238" t="str">
            <v>0</v>
          </cell>
          <cell r="DJ238" t="str">
            <v>0</v>
          </cell>
          <cell r="DK238" t="str">
            <v>0</v>
          </cell>
          <cell r="DL238" t="str">
            <v>0</v>
          </cell>
          <cell r="DM238" t="str">
            <v>0</v>
          </cell>
          <cell r="DN238" t="str">
            <v>0</v>
          </cell>
          <cell r="DO238" t="str">
            <v>0</v>
          </cell>
          <cell r="DP238" t="str">
            <v>0</v>
          </cell>
        </row>
        <row r="239">
          <cell r="C239"/>
          <cell r="D239" t="str">
            <v>0</v>
          </cell>
          <cell r="E239" t="str">
            <v>0</v>
          </cell>
          <cell r="F239" t="str">
            <v>0</v>
          </cell>
          <cell r="G239" t="str">
            <v>0</v>
          </cell>
          <cell r="H239" t="str">
            <v>0</v>
          </cell>
          <cell r="I239" t="str">
            <v>0</v>
          </cell>
          <cell r="J239" t="str">
            <v>0</v>
          </cell>
          <cell r="K239" t="str">
            <v>0</v>
          </cell>
          <cell r="L239" t="str">
            <v>0</v>
          </cell>
          <cell r="M239" t="str">
            <v>0</v>
          </cell>
          <cell r="N239" t="str">
            <v>0</v>
          </cell>
          <cell r="O239" t="str">
            <v>0</v>
          </cell>
          <cell r="P239" t="str">
            <v>0</v>
          </cell>
          <cell r="Q239" t="str">
            <v>0</v>
          </cell>
          <cell r="R239" t="str">
            <v>0</v>
          </cell>
          <cell r="S239" t="str">
            <v>0</v>
          </cell>
          <cell r="T239" t="str">
            <v>0</v>
          </cell>
          <cell r="U239" t="str">
            <v>0</v>
          </cell>
          <cell r="V239" t="str">
            <v>0</v>
          </cell>
          <cell r="W239" t="str">
            <v>0</v>
          </cell>
          <cell r="X239" t="str">
            <v>0</v>
          </cell>
          <cell r="Y239" t="str">
            <v>0</v>
          </cell>
          <cell r="Z239" t="str">
            <v>0</v>
          </cell>
          <cell r="AA239" t="str">
            <v>0</v>
          </cell>
          <cell r="AB239" t="str">
            <v>0</v>
          </cell>
          <cell r="AC239" t="str">
            <v>0</v>
          </cell>
          <cell r="AD239" t="str">
            <v>0</v>
          </cell>
          <cell r="AE239" t="str">
            <v>0</v>
          </cell>
          <cell r="AF239" t="str">
            <v>0</v>
          </cell>
          <cell r="AG239" t="str">
            <v>0</v>
          </cell>
          <cell r="AH239" t="str">
            <v>0</v>
          </cell>
          <cell r="AI239" t="str">
            <v>0</v>
          </cell>
          <cell r="AJ239" t="str">
            <v>0</v>
          </cell>
          <cell r="AK239" t="str">
            <v>0</v>
          </cell>
          <cell r="AL239" t="str">
            <v>0</v>
          </cell>
          <cell r="AM239" t="str">
            <v>0</v>
          </cell>
          <cell r="AN239" t="str">
            <v>0</v>
          </cell>
          <cell r="AO239" t="str">
            <v>0</v>
          </cell>
          <cell r="AP239" t="str">
            <v>0</v>
          </cell>
          <cell r="AQ239" t="str">
            <v>0</v>
          </cell>
          <cell r="AR239" t="str">
            <v>0</v>
          </cell>
          <cell r="AS239" t="str">
            <v>0</v>
          </cell>
          <cell r="AT239" t="str">
            <v>0</v>
          </cell>
          <cell r="AU239" t="str">
            <v>0</v>
          </cell>
          <cell r="AV239" t="str">
            <v>0</v>
          </cell>
          <cell r="AW239" t="str">
            <v>0</v>
          </cell>
          <cell r="AX239" t="str">
            <v>0</v>
          </cell>
          <cell r="AY239" t="str">
            <v>0</v>
          </cell>
          <cell r="AZ239" t="str">
            <v>0</v>
          </cell>
          <cell r="BA239" t="str">
            <v>0</v>
          </cell>
          <cell r="BB239" t="str">
            <v>0</v>
          </cell>
          <cell r="BC239" t="str">
            <v>0</v>
          </cell>
          <cell r="BD239" t="str">
            <v>0</v>
          </cell>
          <cell r="BE239" t="str">
            <v>0</v>
          </cell>
          <cell r="BF239" t="str">
            <v>0</v>
          </cell>
          <cell r="BG239" t="str">
            <v>0</v>
          </cell>
          <cell r="BH239" t="str">
            <v>0</v>
          </cell>
          <cell r="BI239" t="str">
            <v>0</v>
          </cell>
          <cell r="BJ239" t="str">
            <v>0</v>
          </cell>
          <cell r="BK239" t="str">
            <v>0</v>
          </cell>
          <cell r="BL239" t="str">
            <v>0</v>
          </cell>
          <cell r="BM239" t="str">
            <v>0</v>
          </cell>
          <cell r="BN239" t="str">
            <v>0</v>
          </cell>
          <cell r="BO239" t="str">
            <v>0</v>
          </cell>
          <cell r="BP239" t="str">
            <v>0</v>
          </cell>
          <cell r="BQ239" t="str">
            <v>0</v>
          </cell>
          <cell r="BR239" t="str">
            <v>0</v>
          </cell>
          <cell r="BS239" t="str">
            <v>0</v>
          </cell>
          <cell r="BT239" t="str">
            <v>0</v>
          </cell>
          <cell r="BU239" t="str">
            <v>0</v>
          </cell>
          <cell r="BV239" t="str">
            <v>0</v>
          </cell>
          <cell r="BW239" t="str">
            <v>0</v>
          </cell>
          <cell r="BX239" t="str">
            <v>0</v>
          </cell>
          <cell r="BY239" t="str">
            <v>0</v>
          </cell>
          <cell r="BZ239" t="str">
            <v>0</v>
          </cell>
          <cell r="CA239" t="str">
            <v>0</v>
          </cell>
          <cell r="CB239" t="str">
            <v>0</v>
          </cell>
          <cell r="CC239" t="str">
            <v>0</v>
          </cell>
          <cell r="CD239" t="str">
            <v>0</v>
          </cell>
          <cell r="CE239" t="str">
            <v>0</v>
          </cell>
          <cell r="CF239" t="str">
            <v>0</v>
          </cell>
          <cell r="CG239" t="str">
            <v>0</v>
          </cell>
          <cell r="CH239" t="str">
            <v>0</v>
          </cell>
          <cell r="CI239" t="str">
            <v>0</v>
          </cell>
          <cell r="CJ239" t="str">
            <v>0</v>
          </cell>
          <cell r="CK239" t="str">
            <v>0</v>
          </cell>
          <cell r="CL239" t="str">
            <v>0</v>
          </cell>
          <cell r="CM239" t="str">
            <v>0</v>
          </cell>
          <cell r="CN239" t="str">
            <v>0</v>
          </cell>
          <cell r="CO239" t="str">
            <v>0</v>
          </cell>
          <cell r="CP239" t="str">
            <v>0</v>
          </cell>
          <cell r="CQ239" t="str">
            <v>0</v>
          </cell>
          <cell r="CR239" t="str">
            <v>0</v>
          </cell>
          <cell r="CS239" t="str">
            <v>0</v>
          </cell>
          <cell r="CT239" t="str">
            <v>0</v>
          </cell>
          <cell r="CU239" t="str">
            <v>0</v>
          </cell>
          <cell r="CV239" t="str">
            <v>0</v>
          </cell>
          <cell r="CW239" t="str">
            <v>0</v>
          </cell>
          <cell r="CX239" t="str">
            <v>0</v>
          </cell>
          <cell r="CY239" t="str">
            <v>0</v>
          </cell>
          <cell r="CZ239" t="str">
            <v>0</v>
          </cell>
          <cell r="DA239" t="str">
            <v>0</v>
          </cell>
          <cell r="DB239" t="str">
            <v>0</v>
          </cell>
          <cell r="DC239" t="str">
            <v>0</v>
          </cell>
          <cell r="DD239" t="str">
            <v>0</v>
          </cell>
          <cell r="DE239" t="str">
            <v>0</v>
          </cell>
          <cell r="DF239" t="str">
            <v>0</v>
          </cell>
          <cell r="DG239" t="str">
            <v>0</v>
          </cell>
          <cell r="DH239" t="str">
            <v>0</v>
          </cell>
          <cell r="DI239" t="str">
            <v>0</v>
          </cell>
          <cell r="DJ239" t="str">
            <v>0</v>
          </cell>
          <cell r="DK239" t="str">
            <v>0</v>
          </cell>
          <cell r="DL239" t="str">
            <v>0</v>
          </cell>
          <cell r="DM239" t="str">
            <v>0</v>
          </cell>
          <cell r="DN239" t="str">
            <v>0</v>
          </cell>
          <cell r="DO239" t="str">
            <v>0</v>
          </cell>
          <cell r="DP239" t="str">
            <v>0</v>
          </cell>
        </row>
        <row r="240">
          <cell r="C240"/>
          <cell r="D240" t="str">
            <v>0</v>
          </cell>
          <cell r="E240" t="str">
            <v>0</v>
          </cell>
          <cell r="F240" t="str">
            <v>0</v>
          </cell>
          <cell r="G240" t="str">
            <v>0</v>
          </cell>
          <cell r="H240" t="str">
            <v>0</v>
          </cell>
          <cell r="I240" t="str">
            <v>0</v>
          </cell>
          <cell r="J240" t="str">
            <v>0</v>
          </cell>
          <cell r="K240" t="str">
            <v>0</v>
          </cell>
          <cell r="L240" t="str">
            <v>0</v>
          </cell>
          <cell r="M240" t="str">
            <v>0</v>
          </cell>
          <cell r="N240" t="str">
            <v>0</v>
          </cell>
          <cell r="O240" t="str">
            <v>0</v>
          </cell>
          <cell r="P240" t="str">
            <v>0</v>
          </cell>
          <cell r="Q240" t="str">
            <v>0</v>
          </cell>
          <cell r="R240" t="str">
            <v>0</v>
          </cell>
          <cell r="S240" t="str">
            <v>0</v>
          </cell>
          <cell r="T240" t="str">
            <v>0</v>
          </cell>
          <cell r="U240" t="str">
            <v>0</v>
          </cell>
          <cell r="V240" t="str">
            <v>0</v>
          </cell>
          <cell r="W240" t="str">
            <v>0</v>
          </cell>
          <cell r="X240" t="str">
            <v>0</v>
          </cell>
          <cell r="Y240" t="str">
            <v>0</v>
          </cell>
          <cell r="Z240" t="str">
            <v>0</v>
          </cell>
          <cell r="AA240" t="str">
            <v>0</v>
          </cell>
          <cell r="AB240" t="str">
            <v>0</v>
          </cell>
          <cell r="AC240" t="str">
            <v>0</v>
          </cell>
          <cell r="AD240" t="str">
            <v>0</v>
          </cell>
          <cell r="AE240" t="str">
            <v>0</v>
          </cell>
          <cell r="AF240" t="str">
            <v>0</v>
          </cell>
          <cell r="AG240" t="str">
            <v>0</v>
          </cell>
          <cell r="AH240" t="str">
            <v>0</v>
          </cell>
          <cell r="AI240" t="str">
            <v>0</v>
          </cell>
          <cell r="AJ240" t="str">
            <v>0</v>
          </cell>
          <cell r="AK240" t="str">
            <v>0</v>
          </cell>
          <cell r="AL240" t="str">
            <v>0</v>
          </cell>
          <cell r="AM240" t="str">
            <v>0</v>
          </cell>
          <cell r="AN240" t="str">
            <v>0</v>
          </cell>
          <cell r="AO240" t="str">
            <v>0</v>
          </cell>
          <cell r="AP240" t="str">
            <v>0</v>
          </cell>
          <cell r="AQ240" t="str">
            <v>0</v>
          </cell>
          <cell r="AR240" t="str">
            <v>0</v>
          </cell>
          <cell r="AS240" t="str">
            <v>0</v>
          </cell>
          <cell r="AT240" t="str">
            <v>0</v>
          </cell>
          <cell r="AU240" t="str">
            <v>0</v>
          </cell>
          <cell r="AV240" t="str">
            <v>0</v>
          </cell>
          <cell r="AW240" t="str">
            <v>0</v>
          </cell>
          <cell r="AX240" t="str">
            <v>0</v>
          </cell>
          <cell r="AY240" t="str">
            <v>0</v>
          </cell>
          <cell r="AZ240" t="str">
            <v>0</v>
          </cell>
          <cell r="BA240" t="str">
            <v>0</v>
          </cell>
          <cell r="BB240" t="str">
            <v>0</v>
          </cell>
          <cell r="BC240" t="str">
            <v>0</v>
          </cell>
          <cell r="BD240" t="str">
            <v>0</v>
          </cell>
          <cell r="BE240" t="str">
            <v>0</v>
          </cell>
          <cell r="BF240" t="str">
            <v>0</v>
          </cell>
          <cell r="BG240" t="str">
            <v>0</v>
          </cell>
          <cell r="BH240" t="str">
            <v>0</v>
          </cell>
          <cell r="BI240" t="str">
            <v>0</v>
          </cell>
          <cell r="BJ240" t="str">
            <v>0</v>
          </cell>
          <cell r="BK240" t="str">
            <v>0</v>
          </cell>
          <cell r="BL240" t="str">
            <v>0</v>
          </cell>
          <cell r="BM240" t="str">
            <v>0</v>
          </cell>
          <cell r="BN240" t="str">
            <v>0</v>
          </cell>
          <cell r="BO240" t="str">
            <v>0</v>
          </cell>
          <cell r="BP240" t="str">
            <v>0</v>
          </cell>
          <cell r="BQ240" t="str">
            <v>0</v>
          </cell>
          <cell r="BR240" t="str">
            <v>0</v>
          </cell>
          <cell r="BS240" t="str">
            <v>0</v>
          </cell>
          <cell r="BT240" t="str">
            <v>0</v>
          </cell>
          <cell r="BU240" t="str">
            <v>0</v>
          </cell>
          <cell r="BV240" t="str">
            <v>0</v>
          </cell>
          <cell r="BW240" t="str">
            <v>0</v>
          </cell>
          <cell r="BX240" t="str">
            <v>0</v>
          </cell>
          <cell r="BY240" t="str">
            <v>0</v>
          </cell>
          <cell r="BZ240" t="str">
            <v>0</v>
          </cell>
          <cell r="CA240" t="str">
            <v>0</v>
          </cell>
          <cell r="CB240" t="str">
            <v>0</v>
          </cell>
          <cell r="CC240" t="str">
            <v>0</v>
          </cell>
          <cell r="CD240" t="str">
            <v>0</v>
          </cell>
          <cell r="CE240" t="str">
            <v>0</v>
          </cell>
          <cell r="CF240" t="str">
            <v>0</v>
          </cell>
          <cell r="CG240" t="str">
            <v>0</v>
          </cell>
          <cell r="CH240" t="str">
            <v>0</v>
          </cell>
          <cell r="CI240" t="str">
            <v>0</v>
          </cell>
          <cell r="CJ240" t="str">
            <v>0</v>
          </cell>
          <cell r="CK240" t="str">
            <v>0</v>
          </cell>
          <cell r="CL240" t="str">
            <v>0</v>
          </cell>
          <cell r="CM240" t="str">
            <v>0</v>
          </cell>
          <cell r="CN240" t="str">
            <v>0</v>
          </cell>
          <cell r="CO240" t="str">
            <v>0</v>
          </cell>
          <cell r="CP240" t="str">
            <v>0</v>
          </cell>
          <cell r="CQ240" t="str">
            <v>0</v>
          </cell>
          <cell r="CR240" t="str">
            <v>0</v>
          </cell>
          <cell r="CS240" t="str">
            <v>0</v>
          </cell>
          <cell r="CT240" t="str">
            <v>0</v>
          </cell>
          <cell r="CU240" t="str">
            <v>0</v>
          </cell>
          <cell r="CV240" t="str">
            <v>0</v>
          </cell>
          <cell r="CW240" t="str">
            <v>0</v>
          </cell>
          <cell r="CX240" t="str">
            <v>0</v>
          </cell>
          <cell r="CY240" t="str">
            <v>0</v>
          </cell>
          <cell r="CZ240" t="str">
            <v>0</v>
          </cell>
          <cell r="DA240" t="str">
            <v>0</v>
          </cell>
          <cell r="DB240" t="str">
            <v>0</v>
          </cell>
          <cell r="DC240" t="str">
            <v>0</v>
          </cell>
          <cell r="DD240" t="str">
            <v>0</v>
          </cell>
          <cell r="DE240" t="str">
            <v>0</v>
          </cell>
          <cell r="DF240" t="str">
            <v>0</v>
          </cell>
          <cell r="DG240" t="str">
            <v>0</v>
          </cell>
          <cell r="DH240" t="str">
            <v>0</v>
          </cell>
          <cell r="DI240" t="str">
            <v>0</v>
          </cell>
          <cell r="DJ240" t="str">
            <v>0</v>
          </cell>
          <cell r="DK240" t="str">
            <v>0</v>
          </cell>
          <cell r="DL240" t="str">
            <v>0</v>
          </cell>
          <cell r="DM240" t="str">
            <v>0</v>
          </cell>
          <cell r="DN240" t="str">
            <v>0</v>
          </cell>
          <cell r="DO240" t="str">
            <v>0</v>
          </cell>
          <cell r="DP240" t="str">
            <v>0</v>
          </cell>
        </row>
        <row r="241">
          <cell r="C241"/>
          <cell r="D241" t="str">
            <v>0</v>
          </cell>
          <cell r="E241" t="str">
            <v>0</v>
          </cell>
          <cell r="F241" t="str">
            <v>0</v>
          </cell>
          <cell r="G241" t="str">
            <v>0</v>
          </cell>
          <cell r="H241" t="str">
            <v>0</v>
          </cell>
          <cell r="I241" t="str">
            <v>0</v>
          </cell>
          <cell r="J241" t="str">
            <v>0</v>
          </cell>
          <cell r="K241" t="str">
            <v>0</v>
          </cell>
          <cell r="L241" t="str">
            <v>0</v>
          </cell>
          <cell r="M241" t="str">
            <v>0</v>
          </cell>
          <cell r="N241" t="str">
            <v>0</v>
          </cell>
          <cell r="O241" t="str">
            <v>0</v>
          </cell>
          <cell r="P241" t="str">
            <v>0</v>
          </cell>
          <cell r="Q241" t="str">
            <v>0</v>
          </cell>
          <cell r="R241" t="str">
            <v>0</v>
          </cell>
          <cell r="S241" t="str">
            <v>0</v>
          </cell>
          <cell r="T241" t="str">
            <v>0</v>
          </cell>
          <cell r="U241" t="str">
            <v>0</v>
          </cell>
          <cell r="V241" t="str">
            <v>0</v>
          </cell>
          <cell r="W241" t="str">
            <v>0</v>
          </cell>
          <cell r="X241" t="str">
            <v>0</v>
          </cell>
          <cell r="Y241" t="str">
            <v>0</v>
          </cell>
          <cell r="Z241" t="str">
            <v>0</v>
          </cell>
          <cell r="AA241" t="str">
            <v>0</v>
          </cell>
          <cell r="AB241" t="str">
            <v>0</v>
          </cell>
          <cell r="AC241" t="str">
            <v>0</v>
          </cell>
          <cell r="AD241" t="str">
            <v>0</v>
          </cell>
          <cell r="AE241" t="str">
            <v>0</v>
          </cell>
          <cell r="AF241" t="str">
            <v>0</v>
          </cell>
          <cell r="AG241" t="str">
            <v>0</v>
          </cell>
          <cell r="AH241" t="str">
            <v>0</v>
          </cell>
          <cell r="AI241" t="str">
            <v>0</v>
          </cell>
          <cell r="AJ241" t="str">
            <v>0</v>
          </cell>
          <cell r="AK241" t="str">
            <v>0</v>
          </cell>
          <cell r="AL241" t="str">
            <v>0</v>
          </cell>
          <cell r="AM241" t="str">
            <v>0</v>
          </cell>
          <cell r="AN241" t="str">
            <v>0</v>
          </cell>
          <cell r="AO241" t="str">
            <v>0</v>
          </cell>
          <cell r="AP241" t="str">
            <v>0</v>
          </cell>
          <cell r="AQ241" t="str">
            <v>0</v>
          </cell>
          <cell r="AR241" t="str">
            <v>0</v>
          </cell>
          <cell r="AS241" t="str">
            <v>0</v>
          </cell>
          <cell r="AT241" t="str">
            <v>0</v>
          </cell>
          <cell r="AU241" t="str">
            <v>0</v>
          </cell>
          <cell r="AV241" t="str">
            <v>0</v>
          </cell>
          <cell r="AW241" t="str">
            <v>0</v>
          </cell>
          <cell r="AX241" t="str">
            <v>0</v>
          </cell>
          <cell r="AY241" t="str">
            <v>0</v>
          </cell>
          <cell r="AZ241" t="str">
            <v>0</v>
          </cell>
          <cell r="BA241" t="str">
            <v>0</v>
          </cell>
          <cell r="BB241" t="str">
            <v>0</v>
          </cell>
          <cell r="BC241" t="str">
            <v>0</v>
          </cell>
          <cell r="BD241" t="str">
            <v>0</v>
          </cell>
          <cell r="BE241" t="str">
            <v>0</v>
          </cell>
          <cell r="BF241" t="str">
            <v>0</v>
          </cell>
          <cell r="BG241" t="str">
            <v>0</v>
          </cell>
          <cell r="BH241" t="str">
            <v>0</v>
          </cell>
          <cell r="BI241" t="str">
            <v>0</v>
          </cell>
          <cell r="BJ241" t="str">
            <v>0</v>
          </cell>
          <cell r="BK241" t="str">
            <v>0</v>
          </cell>
          <cell r="BL241" t="str">
            <v>0</v>
          </cell>
          <cell r="BM241" t="str">
            <v>0</v>
          </cell>
          <cell r="BN241" t="str">
            <v>0</v>
          </cell>
          <cell r="BO241" t="str">
            <v>0</v>
          </cell>
          <cell r="BP241" t="str">
            <v>0</v>
          </cell>
          <cell r="BQ241" t="str">
            <v>0</v>
          </cell>
          <cell r="BR241" t="str">
            <v>0</v>
          </cell>
          <cell r="BS241" t="str">
            <v>0</v>
          </cell>
          <cell r="BT241" t="str">
            <v>0</v>
          </cell>
          <cell r="BU241" t="str">
            <v>0</v>
          </cell>
          <cell r="BV241" t="str">
            <v>0</v>
          </cell>
          <cell r="BW241" t="str">
            <v>0</v>
          </cell>
          <cell r="BX241" t="str">
            <v>0</v>
          </cell>
          <cell r="BY241" t="str">
            <v>0</v>
          </cell>
          <cell r="BZ241" t="str">
            <v>0</v>
          </cell>
          <cell r="CA241" t="str">
            <v>0</v>
          </cell>
          <cell r="CB241" t="str">
            <v>0</v>
          </cell>
          <cell r="CC241" t="str">
            <v>0</v>
          </cell>
          <cell r="CD241" t="str">
            <v>0</v>
          </cell>
          <cell r="CE241" t="str">
            <v>0</v>
          </cell>
          <cell r="CF241" t="str">
            <v>0</v>
          </cell>
          <cell r="CG241" t="str">
            <v>0</v>
          </cell>
          <cell r="CH241" t="str">
            <v>0</v>
          </cell>
          <cell r="CI241" t="str">
            <v>0</v>
          </cell>
          <cell r="CJ241" t="str">
            <v>0</v>
          </cell>
          <cell r="CK241" t="str">
            <v>0</v>
          </cell>
          <cell r="CL241" t="str">
            <v>0</v>
          </cell>
          <cell r="CM241" t="str">
            <v>0</v>
          </cell>
          <cell r="CN241" t="str">
            <v>0</v>
          </cell>
          <cell r="CO241" t="str">
            <v>0</v>
          </cell>
          <cell r="CP241" t="str">
            <v>0</v>
          </cell>
          <cell r="CQ241" t="str">
            <v>0</v>
          </cell>
          <cell r="CR241" t="str">
            <v>0</v>
          </cell>
          <cell r="CS241" t="str">
            <v>0</v>
          </cell>
          <cell r="CT241" t="str">
            <v>0</v>
          </cell>
          <cell r="CU241" t="str">
            <v>0</v>
          </cell>
          <cell r="CV241" t="str">
            <v>0</v>
          </cell>
          <cell r="CW241" t="str">
            <v>0</v>
          </cell>
          <cell r="CX241" t="str">
            <v>0</v>
          </cell>
          <cell r="CY241" t="str">
            <v>0</v>
          </cell>
          <cell r="CZ241" t="str">
            <v>0</v>
          </cell>
          <cell r="DA241" t="str">
            <v>0</v>
          </cell>
          <cell r="DB241" t="str">
            <v>0</v>
          </cell>
          <cell r="DC241" t="str">
            <v>0</v>
          </cell>
          <cell r="DD241" t="str">
            <v>0</v>
          </cell>
          <cell r="DE241" t="str">
            <v>0</v>
          </cell>
          <cell r="DF241" t="str">
            <v>0</v>
          </cell>
          <cell r="DG241" t="str">
            <v>0</v>
          </cell>
          <cell r="DH241" t="str">
            <v>0</v>
          </cell>
          <cell r="DI241" t="str">
            <v>0</v>
          </cell>
          <cell r="DJ241" t="str">
            <v>0</v>
          </cell>
          <cell r="DK241" t="str">
            <v>0</v>
          </cell>
          <cell r="DL241" t="str">
            <v>0</v>
          </cell>
          <cell r="DM241" t="str">
            <v>0</v>
          </cell>
          <cell r="DN241" t="str">
            <v>0</v>
          </cell>
          <cell r="DO241" t="str">
            <v>0</v>
          </cell>
          <cell r="DP241" t="str">
            <v>0</v>
          </cell>
        </row>
        <row r="242">
          <cell r="C242"/>
          <cell r="D242" t="str">
            <v>0</v>
          </cell>
          <cell r="E242" t="str">
            <v>0</v>
          </cell>
          <cell r="F242" t="str">
            <v>0</v>
          </cell>
          <cell r="G242" t="str">
            <v>0</v>
          </cell>
          <cell r="H242" t="str">
            <v>0</v>
          </cell>
          <cell r="I242" t="str">
            <v>0</v>
          </cell>
          <cell r="J242" t="str">
            <v>0</v>
          </cell>
          <cell r="K242" t="str">
            <v>0</v>
          </cell>
          <cell r="L242" t="str">
            <v>0</v>
          </cell>
          <cell r="M242" t="str">
            <v>0</v>
          </cell>
          <cell r="N242" t="str">
            <v>0</v>
          </cell>
          <cell r="O242" t="str">
            <v>0</v>
          </cell>
          <cell r="P242" t="str">
            <v>0</v>
          </cell>
          <cell r="Q242" t="str">
            <v>0</v>
          </cell>
          <cell r="R242" t="str">
            <v>0</v>
          </cell>
          <cell r="S242" t="str">
            <v>0</v>
          </cell>
          <cell r="T242" t="str">
            <v>0</v>
          </cell>
          <cell r="U242" t="str">
            <v>0</v>
          </cell>
          <cell r="V242" t="str">
            <v>0</v>
          </cell>
          <cell r="W242" t="str">
            <v>0</v>
          </cell>
          <cell r="X242" t="str">
            <v>0</v>
          </cell>
          <cell r="Y242" t="str">
            <v>0</v>
          </cell>
          <cell r="Z242" t="str">
            <v>0</v>
          </cell>
          <cell r="AA242" t="str">
            <v>0</v>
          </cell>
          <cell r="AB242" t="str">
            <v>0</v>
          </cell>
          <cell r="AC242" t="str">
            <v>0</v>
          </cell>
          <cell r="AD242" t="str">
            <v>0</v>
          </cell>
          <cell r="AE242" t="str">
            <v>0</v>
          </cell>
          <cell r="AF242" t="str">
            <v>0</v>
          </cell>
          <cell r="AG242" t="str">
            <v>0</v>
          </cell>
          <cell r="AH242" t="str">
            <v>0</v>
          </cell>
          <cell r="AI242" t="str">
            <v>0</v>
          </cell>
          <cell r="AJ242" t="str">
            <v>0</v>
          </cell>
          <cell r="AK242" t="str">
            <v>0</v>
          </cell>
          <cell r="AL242" t="str">
            <v>0</v>
          </cell>
          <cell r="AM242" t="str">
            <v>0</v>
          </cell>
          <cell r="AN242" t="str">
            <v>0</v>
          </cell>
          <cell r="AO242" t="str">
            <v>0</v>
          </cell>
          <cell r="AP242" t="str">
            <v>0</v>
          </cell>
          <cell r="AQ242" t="str">
            <v>0</v>
          </cell>
          <cell r="AR242" t="str">
            <v>0</v>
          </cell>
          <cell r="AS242" t="str">
            <v>0</v>
          </cell>
          <cell r="AT242" t="str">
            <v>0</v>
          </cell>
          <cell r="AU242" t="str">
            <v>0</v>
          </cell>
          <cell r="AV242" t="str">
            <v>0</v>
          </cell>
          <cell r="AW242" t="str">
            <v>0</v>
          </cell>
          <cell r="AX242" t="str">
            <v>0</v>
          </cell>
          <cell r="AY242" t="str">
            <v>0</v>
          </cell>
          <cell r="AZ242" t="str">
            <v>0</v>
          </cell>
          <cell r="BA242" t="str">
            <v>0</v>
          </cell>
          <cell r="BB242" t="str">
            <v>0</v>
          </cell>
          <cell r="BC242" t="str">
            <v>0</v>
          </cell>
          <cell r="BD242" t="str">
            <v>0</v>
          </cell>
          <cell r="BE242" t="str">
            <v>0</v>
          </cell>
          <cell r="BF242" t="str">
            <v>0</v>
          </cell>
          <cell r="BG242" t="str">
            <v>0</v>
          </cell>
          <cell r="BH242" t="str">
            <v>0</v>
          </cell>
          <cell r="BI242" t="str">
            <v>0</v>
          </cell>
          <cell r="BJ242" t="str">
            <v>0</v>
          </cell>
          <cell r="BK242" t="str">
            <v>0</v>
          </cell>
          <cell r="BL242" t="str">
            <v>0</v>
          </cell>
          <cell r="BM242" t="str">
            <v>0</v>
          </cell>
          <cell r="BN242" t="str">
            <v>0</v>
          </cell>
          <cell r="BO242" t="str">
            <v>0</v>
          </cell>
          <cell r="BP242" t="str">
            <v>0</v>
          </cell>
          <cell r="BQ242" t="str">
            <v>0</v>
          </cell>
          <cell r="BR242" t="str">
            <v>0</v>
          </cell>
          <cell r="BS242" t="str">
            <v>0</v>
          </cell>
          <cell r="BT242" t="str">
            <v>0</v>
          </cell>
          <cell r="BU242" t="str">
            <v>0</v>
          </cell>
          <cell r="BV242" t="str">
            <v>0</v>
          </cell>
          <cell r="BW242" t="str">
            <v>0</v>
          </cell>
          <cell r="BX242" t="str">
            <v>0</v>
          </cell>
          <cell r="BY242" t="str">
            <v>0</v>
          </cell>
          <cell r="BZ242" t="str">
            <v>0</v>
          </cell>
          <cell r="CA242" t="str">
            <v>0</v>
          </cell>
          <cell r="CB242" t="str">
            <v>0</v>
          </cell>
          <cell r="CC242" t="str">
            <v>0</v>
          </cell>
          <cell r="CD242" t="str">
            <v>0</v>
          </cell>
          <cell r="CE242" t="str">
            <v>0</v>
          </cell>
          <cell r="CF242" t="str">
            <v>0</v>
          </cell>
          <cell r="CG242" t="str">
            <v>0</v>
          </cell>
          <cell r="CH242" t="str">
            <v>0</v>
          </cell>
          <cell r="CI242" t="str">
            <v>0</v>
          </cell>
          <cell r="CJ242" t="str">
            <v>0</v>
          </cell>
          <cell r="CK242" t="str">
            <v>0</v>
          </cell>
          <cell r="CL242" t="str">
            <v>0</v>
          </cell>
          <cell r="CM242" t="str">
            <v>0</v>
          </cell>
          <cell r="CN242" t="str">
            <v>0</v>
          </cell>
          <cell r="CO242" t="str">
            <v>0</v>
          </cell>
          <cell r="CP242" t="str">
            <v>0</v>
          </cell>
          <cell r="CQ242" t="str">
            <v>0</v>
          </cell>
          <cell r="CR242" t="str">
            <v>0</v>
          </cell>
          <cell r="CS242" t="str">
            <v>0</v>
          </cell>
          <cell r="CT242" t="str">
            <v>0</v>
          </cell>
          <cell r="CU242" t="str">
            <v>0</v>
          </cell>
          <cell r="CV242" t="str">
            <v>0</v>
          </cell>
          <cell r="CW242" t="str">
            <v>0</v>
          </cell>
          <cell r="CX242" t="str">
            <v>0</v>
          </cell>
          <cell r="CY242" t="str">
            <v>0</v>
          </cell>
          <cell r="CZ242" t="str">
            <v>0</v>
          </cell>
          <cell r="DA242" t="str">
            <v>0</v>
          </cell>
          <cell r="DB242" t="str">
            <v>0</v>
          </cell>
          <cell r="DC242" t="str">
            <v>0</v>
          </cell>
          <cell r="DD242" t="str">
            <v>0</v>
          </cell>
          <cell r="DE242" t="str">
            <v>0</v>
          </cell>
          <cell r="DF242" t="str">
            <v>0</v>
          </cell>
          <cell r="DG242" t="str">
            <v>0</v>
          </cell>
          <cell r="DH242" t="str">
            <v>0</v>
          </cell>
          <cell r="DI242" t="str">
            <v>0</v>
          </cell>
          <cell r="DJ242" t="str">
            <v>0</v>
          </cell>
          <cell r="DK242" t="str">
            <v>0</v>
          </cell>
          <cell r="DL242" t="str">
            <v>0</v>
          </cell>
          <cell r="DM242" t="str">
            <v>0</v>
          </cell>
          <cell r="DN242" t="str">
            <v>0</v>
          </cell>
          <cell r="DO242" t="str">
            <v>0</v>
          </cell>
          <cell r="DP242" t="str">
            <v>0</v>
          </cell>
        </row>
        <row r="243">
          <cell r="C243"/>
          <cell r="D243" t="str">
            <v>0</v>
          </cell>
          <cell r="E243" t="str">
            <v>0</v>
          </cell>
          <cell r="F243" t="str">
            <v>0</v>
          </cell>
          <cell r="G243" t="str">
            <v>0</v>
          </cell>
          <cell r="H243" t="str">
            <v>0</v>
          </cell>
          <cell r="I243" t="str">
            <v>0</v>
          </cell>
          <cell r="J243" t="str">
            <v>0</v>
          </cell>
          <cell r="K243" t="str">
            <v>0</v>
          </cell>
          <cell r="L243" t="str">
            <v>0</v>
          </cell>
          <cell r="M243" t="str">
            <v>0</v>
          </cell>
          <cell r="N243" t="str">
            <v>0</v>
          </cell>
          <cell r="O243" t="str">
            <v>0</v>
          </cell>
          <cell r="P243" t="str">
            <v>0</v>
          </cell>
          <cell r="Q243" t="str">
            <v>0</v>
          </cell>
          <cell r="R243" t="str">
            <v>0</v>
          </cell>
          <cell r="S243" t="str">
            <v>0</v>
          </cell>
          <cell r="T243" t="str">
            <v>0</v>
          </cell>
          <cell r="U243" t="str">
            <v>0</v>
          </cell>
          <cell r="V243" t="str">
            <v>0</v>
          </cell>
          <cell r="W243" t="str">
            <v>0</v>
          </cell>
          <cell r="X243" t="str">
            <v>0</v>
          </cell>
          <cell r="Y243" t="str">
            <v>0</v>
          </cell>
          <cell r="Z243" t="str">
            <v>0</v>
          </cell>
          <cell r="AA243" t="str">
            <v>0</v>
          </cell>
          <cell r="AB243" t="str">
            <v>0</v>
          </cell>
          <cell r="AC243" t="str">
            <v>0</v>
          </cell>
          <cell r="AD243" t="str">
            <v>0</v>
          </cell>
          <cell r="AE243" t="str">
            <v>0</v>
          </cell>
          <cell r="AF243" t="str">
            <v>0</v>
          </cell>
          <cell r="AG243" t="str">
            <v>0</v>
          </cell>
          <cell r="AH243" t="str">
            <v>0</v>
          </cell>
          <cell r="AI243" t="str">
            <v>0</v>
          </cell>
          <cell r="AJ243" t="str">
            <v>0</v>
          </cell>
          <cell r="AK243" t="str">
            <v>0</v>
          </cell>
          <cell r="AL243" t="str">
            <v>0</v>
          </cell>
          <cell r="AM243" t="str">
            <v>0</v>
          </cell>
          <cell r="AN243" t="str">
            <v>0</v>
          </cell>
          <cell r="AO243" t="str">
            <v>0</v>
          </cell>
          <cell r="AP243" t="str">
            <v>0</v>
          </cell>
          <cell r="AQ243" t="str">
            <v>0</v>
          </cell>
          <cell r="AR243" t="str">
            <v>0</v>
          </cell>
          <cell r="AS243" t="str">
            <v>0</v>
          </cell>
          <cell r="AT243" t="str">
            <v>0</v>
          </cell>
          <cell r="AU243" t="str">
            <v>0</v>
          </cell>
          <cell r="AV243" t="str">
            <v>0</v>
          </cell>
          <cell r="AW243" t="str">
            <v>0</v>
          </cell>
          <cell r="AX243" t="str">
            <v>0</v>
          </cell>
          <cell r="AY243" t="str">
            <v>0</v>
          </cell>
          <cell r="AZ243" t="str">
            <v>0</v>
          </cell>
          <cell r="BA243" t="str">
            <v>0</v>
          </cell>
          <cell r="BB243" t="str">
            <v>0</v>
          </cell>
          <cell r="BC243" t="str">
            <v>0</v>
          </cell>
          <cell r="BD243" t="str">
            <v>0</v>
          </cell>
          <cell r="BE243" t="str">
            <v>0</v>
          </cell>
          <cell r="BF243" t="str">
            <v>0</v>
          </cell>
          <cell r="BG243" t="str">
            <v>0</v>
          </cell>
          <cell r="BH243" t="str">
            <v>0</v>
          </cell>
          <cell r="BI243" t="str">
            <v>0</v>
          </cell>
          <cell r="BJ243" t="str">
            <v>0</v>
          </cell>
          <cell r="BK243" t="str">
            <v>0</v>
          </cell>
          <cell r="BL243" t="str">
            <v>0</v>
          </cell>
          <cell r="BM243" t="str">
            <v>0</v>
          </cell>
          <cell r="BN243" t="str">
            <v>0</v>
          </cell>
          <cell r="BO243" t="str">
            <v>0</v>
          </cell>
          <cell r="BP243" t="str">
            <v>0</v>
          </cell>
          <cell r="BQ243" t="str">
            <v>0</v>
          </cell>
          <cell r="BR243" t="str">
            <v>0</v>
          </cell>
          <cell r="BS243" t="str">
            <v>0</v>
          </cell>
          <cell r="BT243" t="str">
            <v>0</v>
          </cell>
          <cell r="BU243" t="str">
            <v>0</v>
          </cell>
          <cell r="BV243" t="str">
            <v>0</v>
          </cell>
          <cell r="BW243" t="str">
            <v>0</v>
          </cell>
          <cell r="BX243" t="str">
            <v>0</v>
          </cell>
          <cell r="BY243" t="str">
            <v>0</v>
          </cell>
          <cell r="BZ243" t="str">
            <v>0</v>
          </cell>
          <cell r="CA243" t="str">
            <v>0</v>
          </cell>
          <cell r="CB243" t="str">
            <v>0</v>
          </cell>
          <cell r="CC243" t="str">
            <v>0</v>
          </cell>
          <cell r="CD243" t="str">
            <v>0</v>
          </cell>
          <cell r="CE243" t="str">
            <v>0</v>
          </cell>
          <cell r="CF243" t="str">
            <v>0</v>
          </cell>
          <cell r="CG243" t="str">
            <v>0</v>
          </cell>
          <cell r="CH243" t="str">
            <v>0</v>
          </cell>
          <cell r="CI243" t="str">
            <v>0</v>
          </cell>
          <cell r="CJ243" t="str">
            <v>0</v>
          </cell>
          <cell r="CK243" t="str">
            <v>0</v>
          </cell>
          <cell r="CL243" t="str">
            <v>0</v>
          </cell>
          <cell r="CM243" t="str">
            <v>0</v>
          </cell>
          <cell r="CN243" t="str">
            <v>0</v>
          </cell>
          <cell r="CO243" t="str">
            <v>0</v>
          </cell>
          <cell r="CP243" t="str">
            <v>0</v>
          </cell>
          <cell r="CQ243" t="str">
            <v>0</v>
          </cell>
          <cell r="CR243" t="str">
            <v>0</v>
          </cell>
          <cell r="CS243" t="str">
            <v>0</v>
          </cell>
          <cell r="CT243" t="str">
            <v>0</v>
          </cell>
          <cell r="CU243" t="str">
            <v>0</v>
          </cell>
          <cell r="CV243" t="str">
            <v>0</v>
          </cell>
          <cell r="CW243" t="str">
            <v>0</v>
          </cell>
          <cell r="CX243" t="str">
            <v>0</v>
          </cell>
          <cell r="CY243" t="str">
            <v>0</v>
          </cell>
          <cell r="CZ243" t="str">
            <v>0</v>
          </cell>
          <cell r="DA243" t="str">
            <v>0</v>
          </cell>
          <cell r="DB243" t="str">
            <v>0</v>
          </cell>
          <cell r="DC243" t="str">
            <v>0</v>
          </cell>
          <cell r="DD243" t="str">
            <v>0</v>
          </cell>
          <cell r="DE243" t="str">
            <v>0</v>
          </cell>
          <cell r="DF243" t="str">
            <v>0</v>
          </cell>
          <cell r="DG243" t="str">
            <v>0</v>
          </cell>
          <cell r="DH243" t="str">
            <v>0</v>
          </cell>
          <cell r="DI243" t="str">
            <v>0</v>
          </cell>
          <cell r="DJ243" t="str">
            <v>0</v>
          </cell>
          <cell r="DK243" t="str">
            <v>0</v>
          </cell>
          <cell r="DL243" t="str">
            <v>0</v>
          </cell>
          <cell r="DM243" t="str">
            <v>0</v>
          </cell>
          <cell r="DN243" t="str">
            <v>0</v>
          </cell>
          <cell r="DO243" t="str">
            <v>0</v>
          </cell>
          <cell r="DP243" t="str">
            <v>0</v>
          </cell>
        </row>
        <row r="244">
          <cell r="C244"/>
          <cell r="D244" t="str">
            <v>0</v>
          </cell>
          <cell r="E244" t="str">
            <v>0</v>
          </cell>
          <cell r="F244" t="str">
            <v>0</v>
          </cell>
          <cell r="G244" t="str">
            <v>0</v>
          </cell>
          <cell r="H244" t="str">
            <v>0</v>
          </cell>
          <cell r="I244" t="str">
            <v>0</v>
          </cell>
          <cell r="J244" t="str">
            <v>0</v>
          </cell>
          <cell r="K244" t="str">
            <v>0</v>
          </cell>
          <cell r="L244" t="str">
            <v>0</v>
          </cell>
          <cell r="M244" t="str">
            <v>0</v>
          </cell>
          <cell r="N244" t="str">
            <v>0</v>
          </cell>
          <cell r="O244" t="str">
            <v>0</v>
          </cell>
          <cell r="P244" t="str">
            <v>0</v>
          </cell>
          <cell r="Q244" t="str">
            <v>0</v>
          </cell>
          <cell r="R244" t="str">
            <v>0</v>
          </cell>
          <cell r="S244" t="str">
            <v>0</v>
          </cell>
          <cell r="T244" t="str">
            <v>0</v>
          </cell>
          <cell r="U244" t="str">
            <v>0</v>
          </cell>
          <cell r="V244" t="str">
            <v>0</v>
          </cell>
          <cell r="W244" t="str">
            <v>0</v>
          </cell>
          <cell r="X244" t="str">
            <v>0</v>
          </cell>
          <cell r="Y244" t="str">
            <v>0</v>
          </cell>
          <cell r="Z244" t="str">
            <v>0</v>
          </cell>
          <cell r="AA244" t="str">
            <v>0</v>
          </cell>
          <cell r="AB244" t="str">
            <v>0</v>
          </cell>
          <cell r="AC244" t="str">
            <v>0</v>
          </cell>
          <cell r="AD244" t="str">
            <v>0</v>
          </cell>
          <cell r="AE244" t="str">
            <v>0</v>
          </cell>
          <cell r="AF244" t="str">
            <v>0</v>
          </cell>
          <cell r="AG244" t="str">
            <v>0</v>
          </cell>
          <cell r="AH244" t="str">
            <v>0</v>
          </cell>
          <cell r="AI244" t="str">
            <v>0</v>
          </cell>
          <cell r="AJ244" t="str">
            <v>0</v>
          </cell>
          <cell r="AK244" t="str">
            <v>0</v>
          </cell>
          <cell r="AL244" t="str">
            <v>0</v>
          </cell>
          <cell r="AM244" t="str">
            <v>0</v>
          </cell>
          <cell r="AN244" t="str">
            <v>0</v>
          </cell>
          <cell r="AO244" t="str">
            <v>0</v>
          </cell>
          <cell r="AP244" t="str">
            <v>0</v>
          </cell>
          <cell r="AQ244" t="str">
            <v>0</v>
          </cell>
          <cell r="AR244" t="str">
            <v>0</v>
          </cell>
          <cell r="AS244" t="str">
            <v>0</v>
          </cell>
          <cell r="AT244" t="str">
            <v>0</v>
          </cell>
          <cell r="AU244" t="str">
            <v>0</v>
          </cell>
          <cell r="AV244" t="str">
            <v>0</v>
          </cell>
          <cell r="AW244" t="str">
            <v>0</v>
          </cell>
          <cell r="AX244" t="str">
            <v>0</v>
          </cell>
          <cell r="AY244" t="str">
            <v>0</v>
          </cell>
          <cell r="AZ244" t="str">
            <v>0</v>
          </cell>
          <cell r="BA244" t="str">
            <v>0</v>
          </cell>
          <cell r="BB244" t="str">
            <v>0</v>
          </cell>
          <cell r="BC244" t="str">
            <v>0</v>
          </cell>
          <cell r="BD244" t="str">
            <v>0</v>
          </cell>
          <cell r="BE244" t="str">
            <v>0</v>
          </cell>
          <cell r="BF244" t="str">
            <v>0</v>
          </cell>
          <cell r="BG244" t="str">
            <v>0</v>
          </cell>
          <cell r="BH244" t="str">
            <v>0</v>
          </cell>
          <cell r="BI244" t="str">
            <v>0</v>
          </cell>
          <cell r="BJ244" t="str">
            <v>0</v>
          </cell>
          <cell r="BK244" t="str">
            <v>0</v>
          </cell>
          <cell r="BL244" t="str">
            <v>0</v>
          </cell>
          <cell r="BM244" t="str">
            <v>0</v>
          </cell>
          <cell r="BN244" t="str">
            <v>0</v>
          </cell>
          <cell r="BO244" t="str">
            <v>0</v>
          </cell>
          <cell r="BP244" t="str">
            <v>0</v>
          </cell>
          <cell r="BQ244" t="str">
            <v>0</v>
          </cell>
          <cell r="BR244" t="str">
            <v>0</v>
          </cell>
          <cell r="BS244" t="str">
            <v>0</v>
          </cell>
          <cell r="BT244" t="str">
            <v>0</v>
          </cell>
          <cell r="BU244" t="str">
            <v>0</v>
          </cell>
          <cell r="BV244" t="str">
            <v>0</v>
          </cell>
          <cell r="BW244" t="str">
            <v>0</v>
          </cell>
          <cell r="BX244" t="str">
            <v>0</v>
          </cell>
          <cell r="BY244" t="str">
            <v>0</v>
          </cell>
          <cell r="BZ244" t="str">
            <v>0</v>
          </cell>
          <cell r="CA244" t="str">
            <v>0</v>
          </cell>
          <cell r="CB244" t="str">
            <v>0</v>
          </cell>
          <cell r="CC244" t="str">
            <v>0</v>
          </cell>
          <cell r="CD244" t="str">
            <v>0</v>
          </cell>
          <cell r="CE244" t="str">
            <v>0</v>
          </cell>
          <cell r="CF244" t="str">
            <v>0</v>
          </cell>
          <cell r="CG244" t="str">
            <v>0</v>
          </cell>
          <cell r="CH244" t="str">
            <v>0</v>
          </cell>
          <cell r="CI244" t="str">
            <v>0</v>
          </cell>
          <cell r="CJ244" t="str">
            <v>0</v>
          </cell>
          <cell r="CK244" t="str">
            <v>0</v>
          </cell>
          <cell r="CL244" t="str">
            <v>0</v>
          </cell>
          <cell r="CM244" t="str">
            <v>0</v>
          </cell>
          <cell r="CN244" t="str">
            <v>0</v>
          </cell>
          <cell r="CO244" t="str">
            <v>0</v>
          </cell>
          <cell r="CP244" t="str">
            <v>0</v>
          </cell>
          <cell r="CQ244" t="str">
            <v>0</v>
          </cell>
          <cell r="CR244" t="str">
            <v>0</v>
          </cell>
          <cell r="CS244" t="str">
            <v>0</v>
          </cell>
          <cell r="CT244" t="str">
            <v>0</v>
          </cell>
          <cell r="CU244" t="str">
            <v>0</v>
          </cell>
          <cell r="CV244" t="str">
            <v>0</v>
          </cell>
          <cell r="CW244" t="str">
            <v>0</v>
          </cell>
          <cell r="CX244" t="str">
            <v>0</v>
          </cell>
          <cell r="CY244" t="str">
            <v>0</v>
          </cell>
          <cell r="CZ244" t="str">
            <v>0</v>
          </cell>
          <cell r="DA244" t="str">
            <v>0</v>
          </cell>
          <cell r="DB244" t="str">
            <v>0</v>
          </cell>
          <cell r="DC244" t="str">
            <v>0</v>
          </cell>
          <cell r="DD244" t="str">
            <v>0</v>
          </cell>
          <cell r="DE244" t="str">
            <v>0</v>
          </cell>
          <cell r="DF244" t="str">
            <v>0</v>
          </cell>
          <cell r="DG244" t="str">
            <v>0</v>
          </cell>
          <cell r="DH244" t="str">
            <v>0</v>
          </cell>
          <cell r="DI244" t="str">
            <v>0</v>
          </cell>
          <cell r="DJ244" t="str">
            <v>0</v>
          </cell>
          <cell r="DK244" t="str">
            <v>0</v>
          </cell>
          <cell r="DL244" t="str">
            <v>0</v>
          </cell>
          <cell r="DM244" t="str">
            <v>0</v>
          </cell>
          <cell r="DN244" t="str">
            <v>0</v>
          </cell>
          <cell r="DO244" t="str">
            <v>0</v>
          </cell>
          <cell r="DP244" t="str">
            <v>0</v>
          </cell>
        </row>
        <row r="245">
          <cell r="C245"/>
          <cell r="D245" t="str">
            <v>0</v>
          </cell>
          <cell r="E245" t="str">
            <v>0</v>
          </cell>
          <cell r="F245" t="str">
            <v>0</v>
          </cell>
          <cell r="G245" t="str">
            <v>0</v>
          </cell>
          <cell r="H245" t="str">
            <v>0</v>
          </cell>
          <cell r="I245" t="str">
            <v>0</v>
          </cell>
          <cell r="J245" t="str">
            <v>0</v>
          </cell>
          <cell r="K245" t="str">
            <v>0</v>
          </cell>
          <cell r="L245" t="str">
            <v>0</v>
          </cell>
          <cell r="M245" t="str">
            <v>0</v>
          </cell>
          <cell r="N245" t="str">
            <v>0</v>
          </cell>
          <cell r="O245" t="str">
            <v>0</v>
          </cell>
          <cell r="P245" t="str">
            <v>0</v>
          </cell>
          <cell r="Q245" t="str">
            <v>0</v>
          </cell>
          <cell r="R245" t="str">
            <v>0</v>
          </cell>
          <cell r="S245" t="str">
            <v>0</v>
          </cell>
          <cell r="T245" t="str">
            <v>0</v>
          </cell>
          <cell r="U245" t="str">
            <v>0</v>
          </cell>
          <cell r="V245" t="str">
            <v>0</v>
          </cell>
          <cell r="W245" t="str">
            <v>0</v>
          </cell>
          <cell r="X245" t="str">
            <v>0</v>
          </cell>
          <cell r="Y245" t="str">
            <v>0</v>
          </cell>
          <cell r="Z245" t="str">
            <v>0</v>
          </cell>
          <cell r="AA245" t="str">
            <v>0</v>
          </cell>
          <cell r="AB245" t="str">
            <v>0</v>
          </cell>
          <cell r="AC245" t="str">
            <v>0</v>
          </cell>
          <cell r="AD245" t="str">
            <v>0</v>
          </cell>
          <cell r="AE245" t="str">
            <v>0</v>
          </cell>
          <cell r="AF245" t="str">
            <v>0</v>
          </cell>
          <cell r="AG245" t="str">
            <v>0</v>
          </cell>
          <cell r="AH245" t="str">
            <v>0</v>
          </cell>
          <cell r="AI245" t="str">
            <v>0</v>
          </cell>
          <cell r="AJ245" t="str">
            <v>0</v>
          </cell>
          <cell r="AK245" t="str">
            <v>0</v>
          </cell>
          <cell r="AL245" t="str">
            <v>0</v>
          </cell>
          <cell r="AM245" t="str">
            <v>0</v>
          </cell>
          <cell r="AN245" t="str">
            <v>0</v>
          </cell>
          <cell r="AO245" t="str">
            <v>0</v>
          </cell>
          <cell r="AP245" t="str">
            <v>0</v>
          </cell>
          <cell r="AQ245" t="str">
            <v>0</v>
          </cell>
          <cell r="AR245" t="str">
            <v>0</v>
          </cell>
          <cell r="AS245" t="str">
            <v>0</v>
          </cell>
          <cell r="AT245" t="str">
            <v>0</v>
          </cell>
          <cell r="AU245" t="str">
            <v>0</v>
          </cell>
          <cell r="AV245" t="str">
            <v>0</v>
          </cell>
          <cell r="AW245" t="str">
            <v>0</v>
          </cell>
          <cell r="AX245" t="str">
            <v>0</v>
          </cell>
          <cell r="AY245" t="str">
            <v>0</v>
          </cell>
          <cell r="AZ245" t="str">
            <v>0</v>
          </cell>
          <cell r="BA245" t="str">
            <v>0</v>
          </cell>
          <cell r="BB245" t="str">
            <v>0</v>
          </cell>
          <cell r="BC245" t="str">
            <v>0</v>
          </cell>
          <cell r="BD245" t="str">
            <v>0</v>
          </cell>
          <cell r="BE245" t="str">
            <v>0</v>
          </cell>
          <cell r="BF245" t="str">
            <v>0</v>
          </cell>
          <cell r="BG245" t="str">
            <v>0</v>
          </cell>
          <cell r="BH245" t="str">
            <v>0</v>
          </cell>
          <cell r="BI245" t="str">
            <v>0</v>
          </cell>
          <cell r="BJ245" t="str">
            <v>0</v>
          </cell>
          <cell r="BK245" t="str">
            <v>0</v>
          </cell>
          <cell r="BL245" t="str">
            <v>0</v>
          </cell>
          <cell r="BM245" t="str">
            <v>0</v>
          </cell>
          <cell r="BN245" t="str">
            <v>0</v>
          </cell>
          <cell r="BO245" t="str">
            <v>0</v>
          </cell>
          <cell r="BP245" t="str">
            <v>0</v>
          </cell>
          <cell r="BQ245" t="str">
            <v>0</v>
          </cell>
          <cell r="BR245" t="str">
            <v>0</v>
          </cell>
          <cell r="BS245" t="str">
            <v>0</v>
          </cell>
          <cell r="BT245" t="str">
            <v>0</v>
          </cell>
          <cell r="BU245" t="str">
            <v>0</v>
          </cell>
          <cell r="BV245" t="str">
            <v>0</v>
          </cell>
          <cell r="BW245" t="str">
            <v>0</v>
          </cell>
          <cell r="BX245" t="str">
            <v>0</v>
          </cell>
          <cell r="BY245" t="str">
            <v>0</v>
          </cell>
          <cell r="BZ245" t="str">
            <v>0</v>
          </cell>
          <cell r="CA245" t="str">
            <v>0</v>
          </cell>
          <cell r="CB245" t="str">
            <v>0</v>
          </cell>
          <cell r="CC245" t="str">
            <v>0</v>
          </cell>
          <cell r="CD245" t="str">
            <v>0</v>
          </cell>
          <cell r="CE245" t="str">
            <v>0</v>
          </cell>
          <cell r="CF245" t="str">
            <v>0</v>
          </cell>
          <cell r="CG245" t="str">
            <v>0</v>
          </cell>
          <cell r="CH245" t="str">
            <v>0</v>
          </cell>
          <cell r="CI245" t="str">
            <v>0</v>
          </cell>
          <cell r="CJ245" t="str">
            <v>0</v>
          </cell>
          <cell r="CK245" t="str">
            <v>0</v>
          </cell>
          <cell r="CL245" t="str">
            <v>0</v>
          </cell>
          <cell r="CM245" t="str">
            <v>0</v>
          </cell>
          <cell r="CN245" t="str">
            <v>0</v>
          </cell>
          <cell r="CO245" t="str">
            <v>0</v>
          </cell>
          <cell r="CP245" t="str">
            <v>0</v>
          </cell>
          <cell r="CQ245" t="str">
            <v>0</v>
          </cell>
          <cell r="CR245" t="str">
            <v>0</v>
          </cell>
          <cell r="CS245" t="str">
            <v>0</v>
          </cell>
          <cell r="CT245" t="str">
            <v>0</v>
          </cell>
          <cell r="CU245" t="str">
            <v>0</v>
          </cell>
          <cell r="CV245" t="str">
            <v>0</v>
          </cell>
          <cell r="CW245" t="str">
            <v>0</v>
          </cell>
          <cell r="CX245" t="str">
            <v>0</v>
          </cell>
          <cell r="CY245" t="str">
            <v>0</v>
          </cell>
          <cell r="CZ245" t="str">
            <v>0</v>
          </cell>
          <cell r="DA245" t="str">
            <v>0</v>
          </cell>
          <cell r="DB245" t="str">
            <v>0</v>
          </cell>
          <cell r="DC245" t="str">
            <v>0</v>
          </cell>
          <cell r="DD245" t="str">
            <v>0</v>
          </cell>
          <cell r="DE245" t="str">
            <v>0</v>
          </cell>
          <cell r="DF245" t="str">
            <v>0</v>
          </cell>
          <cell r="DG245" t="str">
            <v>0</v>
          </cell>
          <cell r="DH245" t="str">
            <v>0</v>
          </cell>
          <cell r="DI245" t="str">
            <v>0</v>
          </cell>
          <cell r="DJ245" t="str">
            <v>0</v>
          </cell>
          <cell r="DK245" t="str">
            <v>0</v>
          </cell>
          <cell r="DL245" t="str">
            <v>0</v>
          </cell>
          <cell r="DM245" t="str">
            <v>0</v>
          </cell>
          <cell r="DN245" t="str">
            <v>0</v>
          </cell>
          <cell r="DO245" t="str">
            <v>0</v>
          </cell>
          <cell r="DP245" t="str">
            <v>0</v>
          </cell>
        </row>
        <row r="246">
          <cell r="C246"/>
          <cell r="D246" t="str">
            <v>0</v>
          </cell>
          <cell r="E246" t="str">
            <v>0</v>
          </cell>
          <cell r="F246" t="str">
            <v>0</v>
          </cell>
          <cell r="G246" t="str">
            <v>0</v>
          </cell>
          <cell r="H246" t="str">
            <v>0</v>
          </cell>
          <cell r="I246" t="str">
            <v>0</v>
          </cell>
          <cell r="J246" t="str">
            <v>0</v>
          </cell>
          <cell r="K246" t="str">
            <v>0</v>
          </cell>
          <cell r="L246" t="str">
            <v>0</v>
          </cell>
          <cell r="M246" t="str">
            <v>0</v>
          </cell>
          <cell r="N246" t="str">
            <v>0</v>
          </cell>
          <cell r="O246" t="str">
            <v>0</v>
          </cell>
          <cell r="P246" t="str">
            <v>0</v>
          </cell>
          <cell r="Q246" t="str">
            <v>0</v>
          </cell>
          <cell r="R246" t="str">
            <v>0</v>
          </cell>
          <cell r="S246" t="str">
            <v>0</v>
          </cell>
          <cell r="T246" t="str">
            <v>0</v>
          </cell>
          <cell r="U246" t="str">
            <v>0</v>
          </cell>
          <cell r="V246" t="str">
            <v>0</v>
          </cell>
          <cell r="W246" t="str">
            <v>0</v>
          </cell>
          <cell r="X246" t="str">
            <v>0</v>
          </cell>
          <cell r="Y246" t="str">
            <v>0</v>
          </cell>
          <cell r="Z246" t="str">
            <v>0</v>
          </cell>
          <cell r="AA246" t="str">
            <v>0</v>
          </cell>
          <cell r="AB246" t="str">
            <v>0</v>
          </cell>
          <cell r="AC246" t="str">
            <v>0</v>
          </cell>
          <cell r="AD246" t="str">
            <v>0</v>
          </cell>
          <cell r="AE246" t="str">
            <v>0</v>
          </cell>
          <cell r="AF246" t="str">
            <v>0</v>
          </cell>
          <cell r="AG246" t="str">
            <v>0</v>
          </cell>
          <cell r="AH246" t="str">
            <v>0</v>
          </cell>
          <cell r="AI246" t="str">
            <v>0</v>
          </cell>
          <cell r="AJ246" t="str">
            <v>0</v>
          </cell>
          <cell r="AK246" t="str">
            <v>0</v>
          </cell>
          <cell r="AL246" t="str">
            <v>0</v>
          </cell>
          <cell r="AM246" t="str">
            <v>0</v>
          </cell>
          <cell r="AN246" t="str">
            <v>0</v>
          </cell>
          <cell r="AO246" t="str">
            <v>0</v>
          </cell>
          <cell r="AP246" t="str">
            <v>0</v>
          </cell>
          <cell r="AQ246" t="str">
            <v>0</v>
          </cell>
          <cell r="AR246" t="str">
            <v>0</v>
          </cell>
          <cell r="AS246" t="str">
            <v>0</v>
          </cell>
          <cell r="AT246" t="str">
            <v>0</v>
          </cell>
          <cell r="AU246" t="str">
            <v>0</v>
          </cell>
          <cell r="AV246" t="str">
            <v>0</v>
          </cell>
          <cell r="AW246" t="str">
            <v>0</v>
          </cell>
          <cell r="AX246" t="str">
            <v>0</v>
          </cell>
          <cell r="AY246" t="str">
            <v>0</v>
          </cell>
          <cell r="AZ246" t="str">
            <v>0</v>
          </cell>
          <cell r="BA246" t="str">
            <v>0</v>
          </cell>
          <cell r="BB246" t="str">
            <v>0</v>
          </cell>
          <cell r="BC246" t="str">
            <v>0</v>
          </cell>
          <cell r="BD246" t="str">
            <v>0</v>
          </cell>
          <cell r="BE246" t="str">
            <v>0</v>
          </cell>
          <cell r="BF246" t="str">
            <v>0</v>
          </cell>
          <cell r="BG246" t="str">
            <v>0</v>
          </cell>
          <cell r="BH246" t="str">
            <v>0</v>
          </cell>
          <cell r="BI246" t="str">
            <v>0</v>
          </cell>
          <cell r="BJ246" t="str">
            <v>0</v>
          </cell>
          <cell r="BK246" t="str">
            <v>0</v>
          </cell>
          <cell r="BL246" t="str">
            <v>0</v>
          </cell>
          <cell r="BM246" t="str">
            <v>0</v>
          </cell>
          <cell r="BN246" t="str">
            <v>0</v>
          </cell>
          <cell r="BO246" t="str">
            <v>0</v>
          </cell>
          <cell r="BP246" t="str">
            <v>0</v>
          </cell>
          <cell r="BQ246" t="str">
            <v>0</v>
          </cell>
          <cell r="BR246" t="str">
            <v>0</v>
          </cell>
          <cell r="BS246" t="str">
            <v>0</v>
          </cell>
          <cell r="BT246" t="str">
            <v>0</v>
          </cell>
          <cell r="BU246" t="str">
            <v>0</v>
          </cell>
          <cell r="BV246" t="str">
            <v>0</v>
          </cell>
          <cell r="BW246" t="str">
            <v>0</v>
          </cell>
          <cell r="BX246" t="str">
            <v>0</v>
          </cell>
          <cell r="BY246" t="str">
            <v>0</v>
          </cell>
          <cell r="BZ246" t="str">
            <v>0</v>
          </cell>
          <cell r="CA246" t="str">
            <v>0</v>
          </cell>
          <cell r="CB246" t="str">
            <v>0</v>
          </cell>
          <cell r="CC246" t="str">
            <v>0</v>
          </cell>
          <cell r="CD246" t="str">
            <v>0</v>
          </cell>
          <cell r="CE246" t="str">
            <v>0</v>
          </cell>
          <cell r="CF246" t="str">
            <v>0</v>
          </cell>
          <cell r="CG246" t="str">
            <v>0</v>
          </cell>
          <cell r="CH246" t="str">
            <v>0</v>
          </cell>
          <cell r="CI246" t="str">
            <v>0</v>
          </cell>
          <cell r="CJ246" t="str">
            <v>0</v>
          </cell>
          <cell r="CK246" t="str">
            <v>0</v>
          </cell>
          <cell r="CL246" t="str">
            <v>0</v>
          </cell>
          <cell r="CM246" t="str">
            <v>0</v>
          </cell>
          <cell r="CN246" t="str">
            <v>0</v>
          </cell>
          <cell r="CO246" t="str">
            <v>0</v>
          </cell>
          <cell r="CP246" t="str">
            <v>0</v>
          </cell>
          <cell r="CQ246" t="str">
            <v>0</v>
          </cell>
          <cell r="CR246" t="str">
            <v>0</v>
          </cell>
          <cell r="CS246" t="str">
            <v>0</v>
          </cell>
          <cell r="CT246" t="str">
            <v>0</v>
          </cell>
          <cell r="CU246" t="str">
            <v>0</v>
          </cell>
          <cell r="CV246" t="str">
            <v>0</v>
          </cell>
          <cell r="CW246" t="str">
            <v>0</v>
          </cell>
          <cell r="CX246" t="str">
            <v>0</v>
          </cell>
          <cell r="CY246" t="str">
            <v>0</v>
          </cell>
          <cell r="CZ246" t="str">
            <v>0</v>
          </cell>
          <cell r="DA246" t="str">
            <v>0</v>
          </cell>
          <cell r="DB246" t="str">
            <v>0</v>
          </cell>
          <cell r="DC246" t="str">
            <v>0</v>
          </cell>
          <cell r="DD246" t="str">
            <v>0</v>
          </cell>
          <cell r="DE246" t="str">
            <v>0</v>
          </cell>
          <cell r="DF246" t="str">
            <v>0</v>
          </cell>
          <cell r="DG246" t="str">
            <v>0</v>
          </cell>
          <cell r="DH246" t="str">
            <v>0</v>
          </cell>
          <cell r="DI246" t="str">
            <v>0</v>
          </cell>
          <cell r="DJ246" t="str">
            <v>0</v>
          </cell>
          <cell r="DK246" t="str">
            <v>0</v>
          </cell>
          <cell r="DL246" t="str">
            <v>0</v>
          </cell>
          <cell r="DM246" t="str">
            <v>0</v>
          </cell>
          <cell r="DN246" t="str">
            <v>0</v>
          </cell>
          <cell r="DO246" t="str">
            <v>0</v>
          </cell>
          <cell r="DP246" t="str">
            <v>0</v>
          </cell>
        </row>
        <row r="247">
          <cell r="C247"/>
          <cell r="D247" t="str">
            <v>0</v>
          </cell>
          <cell r="E247" t="str">
            <v>0</v>
          </cell>
          <cell r="F247" t="str">
            <v>0</v>
          </cell>
          <cell r="G247" t="str">
            <v>0</v>
          </cell>
          <cell r="H247" t="str">
            <v>0</v>
          </cell>
          <cell r="I247" t="str">
            <v>0</v>
          </cell>
          <cell r="J247" t="str">
            <v>0</v>
          </cell>
          <cell r="K247" t="str">
            <v>0</v>
          </cell>
          <cell r="L247" t="str">
            <v>0</v>
          </cell>
          <cell r="M247" t="str">
            <v>0</v>
          </cell>
          <cell r="N247" t="str">
            <v>0</v>
          </cell>
          <cell r="O247" t="str">
            <v>0</v>
          </cell>
          <cell r="P247" t="str">
            <v>0</v>
          </cell>
          <cell r="Q247" t="str">
            <v>0</v>
          </cell>
          <cell r="R247" t="str">
            <v>0</v>
          </cell>
          <cell r="S247" t="str">
            <v>0</v>
          </cell>
          <cell r="T247" t="str">
            <v>0</v>
          </cell>
          <cell r="U247" t="str">
            <v>0</v>
          </cell>
          <cell r="V247" t="str">
            <v>0</v>
          </cell>
          <cell r="W247" t="str">
            <v>0</v>
          </cell>
          <cell r="X247" t="str">
            <v>0</v>
          </cell>
          <cell r="Y247" t="str">
            <v>0</v>
          </cell>
          <cell r="Z247" t="str">
            <v>0</v>
          </cell>
          <cell r="AA247" t="str">
            <v>0</v>
          </cell>
          <cell r="AB247" t="str">
            <v>0</v>
          </cell>
          <cell r="AC247" t="str">
            <v>0</v>
          </cell>
          <cell r="AD247" t="str">
            <v>0</v>
          </cell>
          <cell r="AE247" t="str">
            <v>0</v>
          </cell>
          <cell r="AF247" t="str">
            <v>0</v>
          </cell>
          <cell r="AG247" t="str">
            <v>0</v>
          </cell>
          <cell r="AH247" t="str">
            <v>0</v>
          </cell>
          <cell r="AI247" t="str">
            <v>0</v>
          </cell>
          <cell r="AJ247" t="str">
            <v>0</v>
          </cell>
          <cell r="AK247" t="str">
            <v>0</v>
          </cell>
          <cell r="AL247" t="str">
            <v>0</v>
          </cell>
          <cell r="AM247" t="str">
            <v>0</v>
          </cell>
          <cell r="AN247" t="str">
            <v>0</v>
          </cell>
          <cell r="AO247" t="str">
            <v>0</v>
          </cell>
          <cell r="AP247" t="str">
            <v>0</v>
          </cell>
          <cell r="AQ247" t="str">
            <v>0</v>
          </cell>
          <cell r="AR247" t="str">
            <v>0</v>
          </cell>
          <cell r="AS247" t="str">
            <v>0</v>
          </cell>
          <cell r="AT247" t="str">
            <v>0</v>
          </cell>
          <cell r="AU247" t="str">
            <v>0</v>
          </cell>
          <cell r="AV247" t="str">
            <v>0</v>
          </cell>
          <cell r="AW247" t="str">
            <v>0</v>
          </cell>
          <cell r="AX247" t="str">
            <v>0</v>
          </cell>
          <cell r="AY247" t="str">
            <v>0</v>
          </cell>
          <cell r="AZ247" t="str">
            <v>0</v>
          </cell>
          <cell r="BA247" t="str">
            <v>0</v>
          </cell>
          <cell r="BB247" t="str">
            <v>0</v>
          </cell>
          <cell r="BC247" t="str">
            <v>0</v>
          </cell>
          <cell r="BD247" t="str">
            <v>0</v>
          </cell>
          <cell r="BE247" t="str">
            <v>0</v>
          </cell>
          <cell r="BF247" t="str">
            <v>0</v>
          </cell>
          <cell r="BG247" t="str">
            <v>0</v>
          </cell>
          <cell r="BH247" t="str">
            <v>0</v>
          </cell>
          <cell r="BI247" t="str">
            <v>0</v>
          </cell>
          <cell r="BJ247" t="str">
            <v>0</v>
          </cell>
          <cell r="BK247" t="str">
            <v>0</v>
          </cell>
          <cell r="BL247" t="str">
            <v>0</v>
          </cell>
          <cell r="BM247" t="str">
            <v>0</v>
          </cell>
          <cell r="BN247" t="str">
            <v>0</v>
          </cell>
          <cell r="BO247" t="str">
            <v>0</v>
          </cell>
          <cell r="BP247" t="str">
            <v>0</v>
          </cell>
          <cell r="BQ247" t="str">
            <v>0</v>
          </cell>
          <cell r="BR247" t="str">
            <v>0</v>
          </cell>
          <cell r="BS247" t="str">
            <v>0</v>
          </cell>
          <cell r="BT247" t="str">
            <v>0</v>
          </cell>
          <cell r="BU247" t="str">
            <v>0</v>
          </cell>
          <cell r="BV247" t="str">
            <v>0</v>
          </cell>
          <cell r="BW247" t="str">
            <v>0</v>
          </cell>
          <cell r="BX247" t="str">
            <v>0</v>
          </cell>
          <cell r="BY247" t="str">
            <v>0</v>
          </cell>
          <cell r="BZ247" t="str">
            <v>0</v>
          </cell>
          <cell r="CA247" t="str">
            <v>0</v>
          </cell>
          <cell r="CB247" t="str">
            <v>0</v>
          </cell>
          <cell r="CC247" t="str">
            <v>0</v>
          </cell>
          <cell r="CD247" t="str">
            <v>0</v>
          </cell>
          <cell r="CE247" t="str">
            <v>0</v>
          </cell>
          <cell r="CF247" t="str">
            <v>0</v>
          </cell>
          <cell r="CG247" t="str">
            <v>0</v>
          </cell>
          <cell r="CH247" t="str">
            <v>0</v>
          </cell>
          <cell r="CI247" t="str">
            <v>0</v>
          </cell>
          <cell r="CJ247" t="str">
            <v>0</v>
          </cell>
          <cell r="CK247" t="str">
            <v>0</v>
          </cell>
          <cell r="CL247" t="str">
            <v>0</v>
          </cell>
          <cell r="CM247" t="str">
            <v>0</v>
          </cell>
          <cell r="CN247" t="str">
            <v>0</v>
          </cell>
          <cell r="CO247" t="str">
            <v>0</v>
          </cell>
          <cell r="CP247" t="str">
            <v>0</v>
          </cell>
          <cell r="CQ247" t="str">
            <v>0</v>
          </cell>
          <cell r="CR247" t="str">
            <v>0</v>
          </cell>
          <cell r="CS247" t="str">
            <v>0</v>
          </cell>
          <cell r="CT247" t="str">
            <v>0</v>
          </cell>
          <cell r="CU247" t="str">
            <v>0</v>
          </cell>
          <cell r="CV247" t="str">
            <v>0</v>
          </cell>
          <cell r="CW247" t="str">
            <v>0</v>
          </cell>
          <cell r="CX247" t="str">
            <v>0</v>
          </cell>
          <cell r="CY247" t="str">
            <v>0</v>
          </cell>
          <cell r="CZ247" t="str">
            <v>0</v>
          </cell>
          <cell r="DA247" t="str">
            <v>0</v>
          </cell>
          <cell r="DB247" t="str">
            <v>0</v>
          </cell>
          <cell r="DC247" t="str">
            <v>0</v>
          </cell>
          <cell r="DD247" t="str">
            <v>0</v>
          </cell>
          <cell r="DE247" t="str">
            <v>0</v>
          </cell>
          <cell r="DF247" t="str">
            <v>0</v>
          </cell>
          <cell r="DG247" t="str">
            <v>0</v>
          </cell>
          <cell r="DH247" t="str">
            <v>0</v>
          </cell>
          <cell r="DI247" t="str">
            <v>0</v>
          </cell>
          <cell r="DJ247" t="str">
            <v>0</v>
          </cell>
          <cell r="DK247" t="str">
            <v>0</v>
          </cell>
          <cell r="DL247" t="str">
            <v>0</v>
          </cell>
          <cell r="DM247" t="str">
            <v>0</v>
          </cell>
          <cell r="DN247" t="str">
            <v>0</v>
          </cell>
          <cell r="DO247" t="str">
            <v>0</v>
          </cell>
          <cell r="DP247" t="str">
            <v>0</v>
          </cell>
        </row>
        <row r="248">
          <cell r="C248"/>
          <cell r="D248" t="str">
            <v>0</v>
          </cell>
          <cell r="E248" t="str">
            <v>0</v>
          </cell>
          <cell r="F248" t="str">
            <v>0</v>
          </cell>
          <cell r="G248" t="str">
            <v>0</v>
          </cell>
          <cell r="H248" t="str">
            <v>0</v>
          </cell>
          <cell r="I248" t="str">
            <v>0</v>
          </cell>
          <cell r="J248" t="str">
            <v>0</v>
          </cell>
          <cell r="K248" t="str">
            <v>0</v>
          </cell>
          <cell r="L248" t="str">
            <v>0</v>
          </cell>
          <cell r="M248" t="str">
            <v>0</v>
          </cell>
          <cell r="N248" t="str">
            <v>0</v>
          </cell>
          <cell r="O248" t="str">
            <v>0</v>
          </cell>
          <cell r="P248" t="str">
            <v>0</v>
          </cell>
          <cell r="Q248" t="str">
            <v>0</v>
          </cell>
          <cell r="R248" t="str">
            <v>0</v>
          </cell>
          <cell r="S248" t="str">
            <v>0</v>
          </cell>
          <cell r="T248" t="str">
            <v>0</v>
          </cell>
          <cell r="U248" t="str">
            <v>0</v>
          </cell>
          <cell r="V248" t="str">
            <v>0</v>
          </cell>
          <cell r="W248" t="str">
            <v>0</v>
          </cell>
          <cell r="X248" t="str">
            <v>0</v>
          </cell>
          <cell r="Y248" t="str">
            <v>0</v>
          </cell>
          <cell r="Z248" t="str">
            <v>0</v>
          </cell>
          <cell r="AA248" t="str">
            <v>0</v>
          </cell>
          <cell r="AB248" t="str">
            <v>0</v>
          </cell>
          <cell r="AC248" t="str">
            <v>0</v>
          </cell>
          <cell r="AD248" t="str">
            <v>0</v>
          </cell>
          <cell r="AE248" t="str">
            <v>0</v>
          </cell>
          <cell r="AF248" t="str">
            <v>0</v>
          </cell>
          <cell r="AG248" t="str">
            <v>0</v>
          </cell>
          <cell r="AH248" t="str">
            <v>0</v>
          </cell>
          <cell r="AI248" t="str">
            <v>0</v>
          </cell>
          <cell r="AJ248" t="str">
            <v>0</v>
          </cell>
          <cell r="AK248" t="str">
            <v>0</v>
          </cell>
          <cell r="AL248" t="str">
            <v>0</v>
          </cell>
          <cell r="AM248" t="str">
            <v>0</v>
          </cell>
          <cell r="AN248" t="str">
            <v>0</v>
          </cell>
          <cell r="AO248" t="str">
            <v>0</v>
          </cell>
          <cell r="AP248" t="str">
            <v>0</v>
          </cell>
          <cell r="AQ248" t="str">
            <v>0</v>
          </cell>
          <cell r="AR248" t="str">
            <v>0</v>
          </cell>
          <cell r="AS248" t="str">
            <v>0</v>
          </cell>
          <cell r="AT248" t="str">
            <v>0</v>
          </cell>
          <cell r="AU248" t="str">
            <v>0</v>
          </cell>
          <cell r="AV248" t="str">
            <v>0</v>
          </cell>
          <cell r="AW248" t="str">
            <v>0</v>
          </cell>
          <cell r="AX248" t="str">
            <v>0</v>
          </cell>
          <cell r="AY248" t="str">
            <v>0</v>
          </cell>
          <cell r="AZ248" t="str">
            <v>0</v>
          </cell>
          <cell r="BA248" t="str">
            <v>0</v>
          </cell>
          <cell r="BB248" t="str">
            <v>0</v>
          </cell>
          <cell r="BC248" t="str">
            <v>0</v>
          </cell>
          <cell r="BD248" t="str">
            <v>0</v>
          </cell>
          <cell r="BE248" t="str">
            <v>0</v>
          </cell>
          <cell r="BF248" t="str">
            <v>0</v>
          </cell>
          <cell r="BG248" t="str">
            <v>0</v>
          </cell>
          <cell r="BH248" t="str">
            <v>0</v>
          </cell>
          <cell r="BI248" t="str">
            <v>0</v>
          </cell>
          <cell r="BJ248" t="str">
            <v>0</v>
          </cell>
          <cell r="BK248" t="str">
            <v>0</v>
          </cell>
          <cell r="BL248" t="str">
            <v>0</v>
          </cell>
          <cell r="BM248" t="str">
            <v>0</v>
          </cell>
          <cell r="BN248" t="str">
            <v>0</v>
          </cell>
          <cell r="BO248" t="str">
            <v>0</v>
          </cell>
          <cell r="BP248" t="str">
            <v>0</v>
          </cell>
          <cell r="BQ248" t="str">
            <v>0</v>
          </cell>
          <cell r="BR248" t="str">
            <v>0</v>
          </cell>
          <cell r="BS248" t="str">
            <v>0</v>
          </cell>
          <cell r="BT248" t="str">
            <v>0</v>
          </cell>
          <cell r="BU248" t="str">
            <v>0</v>
          </cell>
          <cell r="BV248" t="str">
            <v>0</v>
          </cell>
          <cell r="BW248" t="str">
            <v>0</v>
          </cell>
          <cell r="BX248" t="str">
            <v>0</v>
          </cell>
          <cell r="BY248" t="str">
            <v>0</v>
          </cell>
          <cell r="BZ248" t="str">
            <v>0</v>
          </cell>
          <cell r="CA248" t="str">
            <v>0</v>
          </cell>
          <cell r="CB248" t="str">
            <v>0</v>
          </cell>
          <cell r="CC248" t="str">
            <v>0</v>
          </cell>
          <cell r="CD248" t="str">
            <v>0</v>
          </cell>
          <cell r="CE248" t="str">
            <v>0</v>
          </cell>
          <cell r="CF248" t="str">
            <v>0</v>
          </cell>
          <cell r="CG248" t="str">
            <v>0</v>
          </cell>
          <cell r="CH248" t="str">
            <v>0</v>
          </cell>
          <cell r="CI248" t="str">
            <v>0</v>
          </cell>
          <cell r="CJ248" t="str">
            <v>0</v>
          </cell>
          <cell r="CK248" t="str">
            <v>0</v>
          </cell>
          <cell r="CL248" t="str">
            <v>0</v>
          </cell>
          <cell r="CM248" t="str">
            <v>0</v>
          </cell>
          <cell r="CN248" t="str">
            <v>0</v>
          </cell>
          <cell r="CO248" t="str">
            <v>0</v>
          </cell>
          <cell r="CP248" t="str">
            <v>0</v>
          </cell>
          <cell r="CQ248" t="str">
            <v>0</v>
          </cell>
          <cell r="CR248" t="str">
            <v>0</v>
          </cell>
          <cell r="CS248" t="str">
            <v>0</v>
          </cell>
          <cell r="CT248" t="str">
            <v>0</v>
          </cell>
          <cell r="CU248" t="str">
            <v>0</v>
          </cell>
          <cell r="CV248" t="str">
            <v>0</v>
          </cell>
          <cell r="CW248" t="str">
            <v>0</v>
          </cell>
          <cell r="CX248" t="str">
            <v>0</v>
          </cell>
          <cell r="CY248" t="str">
            <v>0</v>
          </cell>
          <cell r="CZ248" t="str">
            <v>0</v>
          </cell>
          <cell r="DA248" t="str">
            <v>0</v>
          </cell>
          <cell r="DB248" t="str">
            <v>0</v>
          </cell>
          <cell r="DC248" t="str">
            <v>0</v>
          </cell>
          <cell r="DD248" t="str">
            <v>0</v>
          </cell>
          <cell r="DE248" t="str">
            <v>0</v>
          </cell>
          <cell r="DF248" t="str">
            <v>0</v>
          </cell>
          <cell r="DG248" t="str">
            <v>0</v>
          </cell>
          <cell r="DH248" t="str">
            <v>0</v>
          </cell>
          <cell r="DI248" t="str">
            <v>0</v>
          </cell>
          <cell r="DJ248" t="str">
            <v>0</v>
          </cell>
          <cell r="DK248" t="str">
            <v>0</v>
          </cell>
          <cell r="DL248" t="str">
            <v>0</v>
          </cell>
          <cell r="DM248" t="str">
            <v>0</v>
          </cell>
          <cell r="DN248" t="str">
            <v>0</v>
          </cell>
          <cell r="DO248" t="str">
            <v>0</v>
          </cell>
          <cell r="DP248" t="str">
            <v>0</v>
          </cell>
        </row>
        <row r="249">
          <cell r="C249"/>
          <cell r="D249" t="str">
            <v>0</v>
          </cell>
          <cell r="E249" t="str">
            <v>0</v>
          </cell>
          <cell r="F249" t="str">
            <v>0</v>
          </cell>
          <cell r="G249" t="str">
            <v>0</v>
          </cell>
          <cell r="H249" t="str">
            <v>0</v>
          </cell>
          <cell r="I249" t="str">
            <v>0</v>
          </cell>
          <cell r="J249" t="str">
            <v>0</v>
          </cell>
          <cell r="K249" t="str">
            <v>0</v>
          </cell>
          <cell r="L249" t="str">
            <v>0</v>
          </cell>
          <cell r="M249" t="str">
            <v>0</v>
          </cell>
          <cell r="N249" t="str">
            <v>0</v>
          </cell>
          <cell r="O249" t="str">
            <v>0</v>
          </cell>
          <cell r="P249" t="str">
            <v>0</v>
          </cell>
          <cell r="Q249" t="str">
            <v>0</v>
          </cell>
          <cell r="R249" t="str">
            <v>0</v>
          </cell>
          <cell r="S249" t="str">
            <v>0</v>
          </cell>
          <cell r="T249" t="str">
            <v>0</v>
          </cell>
          <cell r="U249" t="str">
            <v>0</v>
          </cell>
          <cell r="V249" t="str">
            <v>0</v>
          </cell>
          <cell r="W249" t="str">
            <v>0</v>
          </cell>
          <cell r="X249" t="str">
            <v>0</v>
          </cell>
          <cell r="Y249" t="str">
            <v>0</v>
          </cell>
          <cell r="Z249" t="str">
            <v>0</v>
          </cell>
          <cell r="AA249" t="str">
            <v>0</v>
          </cell>
          <cell r="AB249" t="str">
            <v>0</v>
          </cell>
          <cell r="AC249" t="str">
            <v>0</v>
          </cell>
          <cell r="AD249" t="str">
            <v>0</v>
          </cell>
          <cell r="AE249" t="str">
            <v>0</v>
          </cell>
          <cell r="AF249" t="str">
            <v>0</v>
          </cell>
          <cell r="AG249" t="str">
            <v>0</v>
          </cell>
          <cell r="AH249" t="str">
            <v>0</v>
          </cell>
          <cell r="AI249" t="str">
            <v>0</v>
          </cell>
          <cell r="AJ249" t="str">
            <v>0</v>
          </cell>
          <cell r="AK249" t="str">
            <v>0</v>
          </cell>
          <cell r="AL249" t="str">
            <v>0</v>
          </cell>
          <cell r="AM249" t="str">
            <v>0</v>
          </cell>
          <cell r="AN249" t="str">
            <v>0</v>
          </cell>
          <cell r="AO249" t="str">
            <v>0</v>
          </cell>
          <cell r="AP249" t="str">
            <v>0</v>
          </cell>
          <cell r="AQ249" t="str">
            <v>0</v>
          </cell>
          <cell r="AR249" t="str">
            <v>0</v>
          </cell>
          <cell r="AS249" t="str">
            <v>0</v>
          </cell>
          <cell r="AT249" t="str">
            <v>0</v>
          </cell>
          <cell r="AU249" t="str">
            <v>0</v>
          </cell>
          <cell r="AV249" t="str">
            <v>0</v>
          </cell>
          <cell r="AW249" t="str">
            <v>0</v>
          </cell>
          <cell r="AX249" t="str">
            <v>0</v>
          </cell>
          <cell r="AY249" t="str">
            <v>0</v>
          </cell>
          <cell r="AZ249" t="str">
            <v>0</v>
          </cell>
          <cell r="BA249" t="str">
            <v>0</v>
          </cell>
          <cell r="BB249" t="str">
            <v>0</v>
          </cell>
          <cell r="BC249" t="str">
            <v>0</v>
          </cell>
          <cell r="BD249" t="str">
            <v>0</v>
          </cell>
          <cell r="BE249" t="str">
            <v>0</v>
          </cell>
          <cell r="BF249" t="str">
            <v>0</v>
          </cell>
          <cell r="BG249" t="str">
            <v>0</v>
          </cell>
          <cell r="BH249" t="str">
            <v>0</v>
          </cell>
          <cell r="BI249" t="str">
            <v>0</v>
          </cell>
          <cell r="BJ249" t="str">
            <v>0</v>
          </cell>
          <cell r="BK249" t="str">
            <v>0</v>
          </cell>
          <cell r="BL249" t="str">
            <v>0</v>
          </cell>
          <cell r="BM249" t="str">
            <v>0</v>
          </cell>
          <cell r="BN249" t="str">
            <v>0</v>
          </cell>
          <cell r="BO249" t="str">
            <v>0</v>
          </cell>
          <cell r="BP249" t="str">
            <v>0</v>
          </cell>
          <cell r="BQ249" t="str">
            <v>0</v>
          </cell>
          <cell r="BR249" t="str">
            <v>0</v>
          </cell>
          <cell r="BS249" t="str">
            <v>0</v>
          </cell>
          <cell r="BT249" t="str">
            <v>0</v>
          </cell>
          <cell r="BU249" t="str">
            <v>0</v>
          </cell>
          <cell r="BV249" t="str">
            <v>0</v>
          </cell>
          <cell r="BW249" t="str">
            <v>0</v>
          </cell>
          <cell r="BX249" t="str">
            <v>0</v>
          </cell>
          <cell r="BY249" t="str">
            <v>0</v>
          </cell>
          <cell r="BZ249" t="str">
            <v>0</v>
          </cell>
          <cell r="CA249" t="str">
            <v>0</v>
          </cell>
          <cell r="CB249" t="str">
            <v>0</v>
          </cell>
          <cell r="CC249" t="str">
            <v>0</v>
          </cell>
          <cell r="CD249" t="str">
            <v>0</v>
          </cell>
          <cell r="CE249" t="str">
            <v>0</v>
          </cell>
          <cell r="CF249" t="str">
            <v>0</v>
          </cell>
          <cell r="CG249" t="str">
            <v>0</v>
          </cell>
          <cell r="CH249" t="str">
            <v>0</v>
          </cell>
          <cell r="CI249" t="str">
            <v>0</v>
          </cell>
          <cell r="CJ249" t="str">
            <v>0</v>
          </cell>
          <cell r="CK249" t="str">
            <v>0</v>
          </cell>
          <cell r="CL249" t="str">
            <v>0</v>
          </cell>
          <cell r="CM249" t="str">
            <v>0</v>
          </cell>
          <cell r="CN249" t="str">
            <v>0</v>
          </cell>
          <cell r="CO249" t="str">
            <v>0</v>
          </cell>
          <cell r="CP249" t="str">
            <v>0</v>
          </cell>
          <cell r="CQ249" t="str">
            <v>0</v>
          </cell>
          <cell r="CR249" t="str">
            <v>0</v>
          </cell>
          <cell r="CS249" t="str">
            <v>0</v>
          </cell>
          <cell r="CT249" t="str">
            <v>0</v>
          </cell>
          <cell r="CU249" t="str">
            <v>0</v>
          </cell>
          <cell r="CV249" t="str">
            <v>0</v>
          </cell>
          <cell r="CW249" t="str">
            <v>0</v>
          </cell>
          <cell r="CX249" t="str">
            <v>0</v>
          </cell>
          <cell r="CY249" t="str">
            <v>0</v>
          </cell>
          <cell r="CZ249" t="str">
            <v>0</v>
          </cell>
          <cell r="DA249" t="str">
            <v>0</v>
          </cell>
          <cell r="DB249" t="str">
            <v>0</v>
          </cell>
          <cell r="DC249" t="str">
            <v>0</v>
          </cell>
          <cell r="DD249" t="str">
            <v>0</v>
          </cell>
          <cell r="DE249" t="str">
            <v>0</v>
          </cell>
          <cell r="DF249" t="str">
            <v>0</v>
          </cell>
          <cell r="DG249" t="str">
            <v>0</v>
          </cell>
          <cell r="DH249" t="str">
            <v>0</v>
          </cell>
          <cell r="DI249" t="str">
            <v>0</v>
          </cell>
          <cell r="DJ249" t="str">
            <v>0</v>
          </cell>
          <cell r="DK249" t="str">
            <v>0</v>
          </cell>
          <cell r="DL249" t="str">
            <v>0</v>
          </cell>
          <cell r="DM249" t="str">
            <v>0</v>
          </cell>
          <cell r="DN249" t="str">
            <v>0</v>
          </cell>
          <cell r="DO249" t="str">
            <v>0</v>
          </cell>
          <cell r="DP249" t="str">
            <v>0</v>
          </cell>
        </row>
        <row r="250">
          <cell r="C250"/>
          <cell r="D250" t="str">
            <v>0</v>
          </cell>
          <cell r="E250" t="str">
            <v>0</v>
          </cell>
          <cell r="F250" t="str">
            <v>0</v>
          </cell>
          <cell r="G250" t="str">
            <v>0</v>
          </cell>
          <cell r="H250" t="str">
            <v>0</v>
          </cell>
          <cell r="I250" t="str">
            <v>0</v>
          </cell>
          <cell r="J250" t="str">
            <v>0</v>
          </cell>
          <cell r="K250" t="str">
            <v>0</v>
          </cell>
          <cell r="L250" t="str">
            <v>0</v>
          </cell>
          <cell r="M250" t="str">
            <v>0</v>
          </cell>
          <cell r="N250" t="str">
            <v>0</v>
          </cell>
          <cell r="O250" t="str">
            <v>0</v>
          </cell>
          <cell r="P250" t="str">
            <v>0</v>
          </cell>
          <cell r="Q250" t="str">
            <v>0</v>
          </cell>
          <cell r="R250" t="str">
            <v>0</v>
          </cell>
          <cell r="S250" t="str">
            <v>0</v>
          </cell>
          <cell r="T250" t="str">
            <v>0</v>
          </cell>
          <cell r="U250" t="str">
            <v>0</v>
          </cell>
          <cell r="V250" t="str">
            <v>0</v>
          </cell>
          <cell r="W250" t="str">
            <v>0</v>
          </cell>
          <cell r="X250" t="str">
            <v>0</v>
          </cell>
          <cell r="Y250" t="str">
            <v>0</v>
          </cell>
          <cell r="Z250" t="str">
            <v>0</v>
          </cell>
          <cell r="AA250" t="str">
            <v>0</v>
          </cell>
          <cell r="AB250" t="str">
            <v>0</v>
          </cell>
          <cell r="AC250" t="str">
            <v>0</v>
          </cell>
          <cell r="AD250" t="str">
            <v>0</v>
          </cell>
          <cell r="AE250" t="str">
            <v>0</v>
          </cell>
          <cell r="AF250" t="str">
            <v>0</v>
          </cell>
          <cell r="AG250" t="str">
            <v>0</v>
          </cell>
          <cell r="AH250" t="str">
            <v>0</v>
          </cell>
          <cell r="AI250" t="str">
            <v>0</v>
          </cell>
          <cell r="AJ250" t="str">
            <v>0</v>
          </cell>
          <cell r="AK250" t="str">
            <v>0</v>
          </cell>
          <cell r="AL250" t="str">
            <v>0</v>
          </cell>
          <cell r="AM250" t="str">
            <v>0</v>
          </cell>
          <cell r="AN250" t="str">
            <v>0</v>
          </cell>
          <cell r="AO250" t="str">
            <v>0</v>
          </cell>
          <cell r="AP250" t="str">
            <v>0</v>
          </cell>
          <cell r="AQ250" t="str">
            <v>0</v>
          </cell>
          <cell r="AR250" t="str">
            <v>0</v>
          </cell>
          <cell r="AS250" t="str">
            <v>0</v>
          </cell>
          <cell r="AT250" t="str">
            <v>0</v>
          </cell>
          <cell r="AU250" t="str">
            <v>0</v>
          </cell>
          <cell r="AV250" t="str">
            <v>0</v>
          </cell>
          <cell r="AW250" t="str">
            <v>0</v>
          </cell>
          <cell r="AX250" t="str">
            <v>0</v>
          </cell>
          <cell r="AY250" t="str">
            <v>0</v>
          </cell>
          <cell r="AZ250" t="str">
            <v>0</v>
          </cell>
          <cell r="BA250" t="str">
            <v>0</v>
          </cell>
          <cell r="BB250" t="str">
            <v>0</v>
          </cell>
          <cell r="BC250" t="str">
            <v>0</v>
          </cell>
          <cell r="BD250" t="str">
            <v>0</v>
          </cell>
          <cell r="BE250" t="str">
            <v>0</v>
          </cell>
          <cell r="BF250" t="str">
            <v>0</v>
          </cell>
          <cell r="BG250" t="str">
            <v>0</v>
          </cell>
          <cell r="BH250" t="str">
            <v>0</v>
          </cell>
          <cell r="BI250" t="str">
            <v>0</v>
          </cell>
          <cell r="BJ250" t="str">
            <v>0</v>
          </cell>
          <cell r="BK250" t="str">
            <v>0</v>
          </cell>
          <cell r="BL250" t="str">
            <v>0</v>
          </cell>
          <cell r="BM250" t="str">
            <v>0</v>
          </cell>
          <cell r="BN250" t="str">
            <v>0</v>
          </cell>
          <cell r="BO250" t="str">
            <v>0</v>
          </cell>
          <cell r="BP250" t="str">
            <v>0</v>
          </cell>
          <cell r="BQ250" t="str">
            <v>0</v>
          </cell>
          <cell r="BR250" t="str">
            <v>0</v>
          </cell>
          <cell r="BS250" t="str">
            <v>0</v>
          </cell>
          <cell r="BT250" t="str">
            <v>0</v>
          </cell>
          <cell r="BU250" t="str">
            <v>0</v>
          </cell>
          <cell r="BV250" t="str">
            <v>0</v>
          </cell>
          <cell r="BW250" t="str">
            <v>0</v>
          </cell>
          <cell r="BX250" t="str">
            <v>0</v>
          </cell>
          <cell r="BY250" t="str">
            <v>0</v>
          </cell>
          <cell r="BZ250" t="str">
            <v>0</v>
          </cell>
          <cell r="CA250" t="str">
            <v>0</v>
          </cell>
          <cell r="CB250" t="str">
            <v>0</v>
          </cell>
          <cell r="CC250" t="str">
            <v>0</v>
          </cell>
          <cell r="CD250" t="str">
            <v>0</v>
          </cell>
          <cell r="CE250" t="str">
            <v>0</v>
          </cell>
          <cell r="CF250" t="str">
            <v>0</v>
          </cell>
          <cell r="CG250" t="str">
            <v>0</v>
          </cell>
          <cell r="CH250" t="str">
            <v>0</v>
          </cell>
          <cell r="CI250" t="str">
            <v>0</v>
          </cell>
          <cell r="CJ250" t="str">
            <v>0</v>
          </cell>
          <cell r="CK250" t="str">
            <v>0</v>
          </cell>
          <cell r="CL250" t="str">
            <v>0</v>
          </cell>
          <cell r="CM250" t="str">
            <v>0</v>
          </cell>
          <cell r="CN250" t="str">
            <v>0</v>
          </cell>
          <cell r="CO250" t="str">
            <v>0</v>
          </cell>
          <cell r="CP250" t="str">
            <v>0</v>
          </cell>
          <cell r="CQ250" t="str">
            <v>0</v>
          </cell>
          <cell r="CR250" t="str">
            <v>0</v>
          </cell>
          <cell r="CS250" t="str">
            <v>0</v>
          </cell>
          <cell r="CT250" t="str">
            <v>0</v>
          </cell>
          <cell r="CU250" t="str">
            <v>0</v>
          </cell>
          <cell r="CV250" t="str">
            <v>0</v>
          </cell>
          <cell r="CW250" t="str">
            <v>0</v>
          </cell>
          <cell r="CX250" t="str">
            <v>0</v>
          </cell>
          <cell r="CY250" t="str">
            <v>0</v>
          </cell>
          <cell r="CZ250" t="str">
            <v>0</v>
          </cell>
          <cell r="DA250" t="str">
            <v>0</v>
          </cell>
          <cell r="DB250" t="str">
            <v>0</v>
          </cell>
          <cell r="DC250" t="str">
            <v>0</v>
          </cell>
          <cell r="DD250" t="str">
            <v>0</v>
          </cell>
          <cell r="DE250" t="str">
            <v>0</v>
          </cell>
          <cell r="DF250" t="str">
            <v>0</v>
          </cell>
          <cell r="DG250" t="str">
            <v>0</v>
          </cell>
          <cell r="DH250" t="str">
            <v>0</v>
          </cell>
          <cell r="DI250" t="str">
            <v>0</v>
          </cell>
          <cell r="DJ250" t="str">
            <v>0</v>
          </cell>
          <cell r="DK250" t="str">
            <v>0</v>
          </cell>
          <cell r="DL250" t="str">
            <v>0</v>
          </cell>
          <cell r="DM250" t="str">
            <v>0</v>
          </cell>
          <cell r="DN250" t="str">
            <v>0</v>
          </cell>
          <cell r="DO250" t="str">
            <v>0</v>
          </cell>
          <cell r="DP250" t="str">
            <v>0</v>
          </cell>
        </row>
        <row r="251">
          <cell r="C251"/>
          <cell r="D251" t="str">
            <v>0</v>
          </cell>
          <cell r="E251" t="str">
            <v>0</v>
          </cell>
          <cell r="F251" t="str">
            <v>0</v>
          </cell>
          <cell r="G251" t="str">
            <v>0</v>
          </cell>
          <cell r="H251" t="str">
            <v>0</v>
          </cell>
          <cell r="I251" t="str">
            <v>0</v>
          </cell>
          <cell r="J251" t="str">
            <v>0</v>
          </cell>
          <cell r="K251" t="str">
            <v>0</v>
          </cell>
          <cell r="L251" t="str">
            <v>0</v>
          </cell>
          <cell r="M251" t="str">
            <v>0</v>
          </cell>
          <cell r="N251" t="str">
            <v>0</v>
          </cell>
          <cell r="O251" t="str">
            <v>0</v>
          </cell>
          <cell r="P251" t="str">
            <v>0</v>
          </cell>
          <cell r="Q251" t="str">
            <v>0</v>
          </cell>
          <cell r="R251" t="str">
            <v>0</v>
          </cell>
          <cell r="S251" t="str">
            <v>0</v>
          </cell>
          <cell r="T251" t="str">
            <v>0</v>
          </cell>
          <cell r="U251" t="str">
            <v>0</v>
          </cell>
          <cell r="V251" t="str">
            <v>0</v>
          </cell>
          <cell r="W251" t="str">
            <v>0</v>
          </cell>
          <cell r="X251" t="str">
            <v>0</v>
          </cell>
          <cell r="Y251" t="str">
            <v>0</v>
          </cell>
          <cell r="Z251" t="str">
            <v>0</v>
          </cell>
          <cell r="AA251" t="str">
            <v>0</v>
          </cell>
          <cell r="AB251" t="str">
            <v>0</v>
          </cell>
          <cell r="AC251" t="str">
            <v>0</v>
          </cell>
          <cell r="AD251" t="str">
            <v>0</v>
          </cell>
          <cell r="AE251" t="str">
            <v>0</v>
          </cell>
          <cell r="AF251" t="str">
            <v>0</v>
          </cell>
          <cell r="AG251" t="str">
            <v>0</v>
          </cell>
          <cell r="AH251" t="str">
            <v>0</v>
          </cell>
          <cell r="AI251" t="str">
            <v>0</v>
          </cell>
          <cell r="AJ251" t="str">
            <v>0</v>
          </cell>
          <cell r="AK251" t="str">
            <v>0</v>
          </cell>
          <cell r="AL251" t="str">
            <v>0</v>
          </cell>
          <cell r="AM251" t="str">
            <v>0</v>
          </cell>
          <cell r="AN251" t="str">
            <v>0</v>
          </cell>
          <cell r="AO251" t="str">
            <v>0</v>
          </cell>
          <cell r="AP251" t="str">
            <v>0</v>
          </cell>
          <cell r="AQ251" t="str">
            <v>0</v>
          </cell>
          <cell r="AR251" t="str">
            <v>0</v>
          </cell>
          <cell r="AS251" t="str">
            <v>0</v>
          </cell>
          <cell r="AT251" t="str">
            <v>0</v>
          </cell>
          <cell r="AU251" t="str">
            <v>0</v>
          </cell>
          <cell r="AV251" t="str">
            <v>0</v>
          </cell>
          <cell r="AW251" t="str">
            <v>0</v>
          </cell>
          <cell r="AX251" t="str">
            <v>0</v>
          </cell>
          <cell r="AY251" t="str">
            <v>0</v>
          </cell>
          <cell r="AZ251" t="str">
            <v>0</v>
          </cell>
          <cell r="BA251" t="str">
            <v>0</v>
          </cell>
          <cell r="BB251" t="str">
            <v>0</v>
          </cell>
          <cell r="BC251" t="str">
            <v>0</v>
          </cell>
          <cell r="BD251" t="str">
            <v>0</v>
          </cell>
          <cell r="BE251" t="str">
            <v>0</v>
          </cell>
          <cell r="BF251" t="str">
            <v>0</v>
          </cell>
          <cell r="BG251" t="str">
            <v>0</v>
          </cell>
          <cell r="BH251" t="str">
            <v>0</v>
          </cell>
          <cell r="BI251" t="str">
            <v>0</v>
          </cell>
          <cell r="BJ251" t="str">
            <v>0</v>
          </cell>
          <cell r="BK251" t="str">
            <v>0</v>
          </cell>
          <cell r="BL251" t="str">
            <v>0</v>
          </cell>
          <cell r="BM251" t="str">
            <v>0</v>
          </cell>
          <cell r="BN251" t="str">
            <v>0</v>
          </cell>
          <cell r="BO251" t="str">
            <v>0</v>
          </cell>
          <cell r="BP251" t="str">
            <v>0</v>
          </cell>
          <cell r="BQ251" t="str">
            <v>0</v>
          </cell>
          <cell r="BR251" t="str">
            <v>0</v>
          </cell>
          <cell r="BS251" t="str">
            <v>0</v>
          </cell>
          <cell r="BT251" t="str">
            <v>0</v>
          </cell>
          <cell r="BU251" t="str">
            <v>0</v>
          </cell>
          <cell r="BV251" t="str">
            <v>0</v>
          </cell>
          <cell r="BW251" t="str">
            <v>0</v>
          </cell>
          <cell r="BX251" t="str">
            <v>0</v>
          </cell>
          <cell r="BY251" t="str">
            <v>0</v>
          </cell>
          <cell r="BZ251" t="str">
            <v>0</v>
          </cell>
          <cell r="CA251" t="str">
            <v>0</v>
          </cell>
          <cell r="CB251" t="str">
            <v>0</v>
          </cell>
          <cell r="CC251" t="str">
            <v>0</v>
          </cell>
          <cell r="CD251" t="str">
            <v>0</v>
          </cell>
          <cell r="CE251" t="str">
            <v>0</v>
          </cell>
          <cell r="CF251" t="str">
            <v>0</v>
          </cell>
          <cell r="CG251" t="str">
            <v>0</v>
          </cell>
          <cell r="CH251" t="str">
            <v>0</v>
          </cell>
          <cell r="CI251" t="str">
            <v>0</v>
          </cell>
          <cell r="CJ251" t="str">
            <v>0</v>
          </cell>
          <cell r="CK251" t="str">
            <v>0</v>
          </cell>
          <cell r="CL251" t="str">
            <v>0</v>
          </cell>
          <cell r="CM251" t="str">
            <v>0</v>
          </cell>
          <cell r="CN251" t="str">
            <v>0</v>
          </cell>
          <cell r="CO251" t="str">
            <v>0</v>
          </cell>
          <cell r="CP251" t="str">
            <v>0</v>
          </cell>
          <cell r="CQ251" t="str">
            <v>0</v>
          </cell>
          <cell r="CR251" t="str">
            <v>0</v>
          </cell>
          <cell r="CS251" t="str">
            <v>0</v>
          </cell>
          <cell r="CT251" t="str">
            <v>0</v>
          </cell>
          <cell r="CU251" t="str">
            <v>0</v>
          </cell>
          <cell r="CV251" t="str">
            <v>0</v>
          </cell>
          <cell r="CW251" t="str">
            <v>0</v>
          </cell>
          <cell r="CX251" t="str">
            <v>0</v>
          </cell>
          <cell r="CY251" t="str">
            <v>0</v>
          </cell>
          <cell r="CZ251" t="str">
            <v>0</v>
          </cell>
          <cell r="DA251" t="str">
            <v>0</v>
          </cell>
          <cell r="DB251" t="str">
            <v>0</v>
          </cell>
          <cell r="DC251" t="str">
            <v>0</v>
          </cell>
          <cell r="DD251" t="str">
            <v>0</v>
          </cell>
          <cell r="DE251" t="str">
            <v>0</v>
          </cell>
          <cell r="DF251" t="str">
            <v>0</v>
          </cell>
          <cell r="DG251" t="str">
            <v>0</v>
          </cell>
          <cell r="DH251" t="str">
            <v>0</v>
          </cell>
          <cell r="DI251" t="str">
            <v>0</v>
          </cell>
          <cell r="DJ251" t="str">
            <v>0</v>
          </cell>
          <cell r="DK251" t="str">
            <v>0</v>
          </cell>
          <cell r="DL251" t="str">
            <v>0</v>
          </cell>
          <cell r="DM251" t="str">
            <v>0</v>
          </cell>
          <cell r="DN251" t="str">
            <v>0</v>
          </cell>
          <cell r="DO251" t="str">
            <v>0</v>
          </cell>
          <cell r="DP251" t="str">
            <v>0</v>
          </cell>
        </row>
        <row r="252">
          <cell r="C252"/>
          <cell r="D252" t="str">
            <v>0</v>
          </cell>
          <cell r="E252" t="str">
            <v>0</v>
          </cell>
          <cell r="F252" t="str">
            <v>0</v>
          </cell>
          <cell r="G252" t="str">
            <v>0</v>
          </cell>
          <cell r="H252" t="str">
            <v>0</v>
          </cell>
          <cell r="I252" t="str">
            <v>0</v>
          </cell>
          <cell r="J252" t="str">
            <v>0</v>
          </cell>
          <cell r="K252" t="str">
            <v>0</v>
          </cell>
          <cell r="L252" t="str">
            <v>0</v>
          </cell>
          <cell r="M252" t="str">
            <v>0</v>
          </cell>
          <cell r="N252" t="str">
            <v>0</v>
          </cell>
          <cell r="O252" t="str">
            <v>0</v>
          </cell>
          <cell r="P252" t="str">
            <v>0</v>
          </cell>
          <cell r="Q252" t="str">
            <v>0</v>
          </cell>
          <cell r="R252" t="str">
            <v>0</v>
          </cell>
          <cell r="S252" t="str">
            <v>0</v>
          </cell>
          <cell r="T252" t="str">
            <v>0</v>
          </cell>
          <cell r="U252" t="str">
            <v>0</v>
          </cell>
          <cell r="V252" t="str">
            <v>0</v>
          </cell>
          <cell r="W252" t="str">
            <v>0</v>
          </cell>
          <cell r="X252" t="str">
            <v>0</v>
          </cell>
          <cell r="Y252" t="str">
            <v>0</v>
          </cell>
          <cell r="Z252" t="str">
            <v>0</v>
          </cell>
          <cell r="AA252" t="str">
            <v>0</v>
          </cell>
          <cell r="AB252" t="str">
            <v>0</v>
          </cell>
          <cell r="AC252" t="str">
            <v>0</v>
          </cell>
          <cell r="AD252" t="str">
            <v>0</v>
          </cell>
          <cell r="AE252" t="str">
            <v>0</v>
          </cell>
          <cell r="AF252" t="str">
            <v>0</v>
          </cell>
          <cell r="AG252" t="str">
            <v>0</v>
          </cell>
          <cell r="AH252" t="str">
            <v>0</v>
          </cell>
          <cell r="AI252" t="str">
            <v>0</v>
          </cell>
          <cell r="AJ252" t="str">
            <v>0</v>
          </cell>
          <cell r="AK252" t="str">
            <v>0</v>
          </cell>
          <cell r="AL252" t="str">
            <v>0</v>
          </cell>
          <cell r="AM252" t="str">
            <v>0</v>
          </cell>
          <cell r="AN252" t="str">
            <v>0</v>
          </cell>
          <cell r="AO252" t="str">
            <v>0</v>
          </cell>
          <cell r="AP252" t="str">
            <v>0</v>
          </cell>
          <cell r="AQ252" t="str">
            <v>0</v>
          </cell>
          <cell r="AR252" t="str">
            <v>0</v>
          </cell>
          <cell r="AS252" t="str">
            <v>0</v>
          </cell>
          <cell r="AT252" t="str">
            <v>0</v>
          </cell>
          <cell r="AU252" t="str">
            <v>0</v>
          </cell>
          <cell r="AV252" t="str">
            <v>0</v>
          </cell>
          <cell r="AW252" t="str">
            <v>0</v>
          </cell>
          <cell r="AX252" t="str">
            <v>0</v>
          </cell>
          <cell r="AY252" t="str">
            <v>0</v>
          </cell>
          <cell r="AZ252" t="str">
            <v>0</v>
          </cell>
          <cell r="BA252" t="str">
            <v>0</v>
          </cell>
          <cell r="BB252" t="str">
            <v>0</v>
          </cell>
          <cell r="BC252" t="str">
            <v>0</v>
          </cell>
          <cell r="BD252" t="str">
            <v>0</v>
          </cell>
          <cell r="BE252" t="str">
            <v>0</v>
          </cell>
          <cell r="BF252" t="str">
            <v>0</v>
          </cell>
          <cell r="BG252" t="str">
            <v>0</v>
          </cell>
          <cell r="BH252" t="str">
            <v>0</v>
          </cell>
          <cell r="BI252" t="str">
            <v>0</v>
          </cell>
          <cell r="BJ252" t="str">
            <v>0</v>
          </cell>
          <cell r="BK252" t="str">
            <v>0</v>
          </cell>
          <cell r="BL252" t="str">
            <v>0</v>
          </cell>
          <cell r="BM252" t="str">
            <v>0</v>
          </cell>
          <cell r="BN252" t="str">
            <v>0</v>
          </cell>
          <cell r="BO252" t="str">
            <v>0</v>
          </cell>
          <cell r="BP252" t="str">
            <v>0</v>
          </cell>
          <cell r="BQ252" t="str">
            <v>0</v>
          </cell>
          <cell r="BR252" t="str">
            <v>0</v>
          </cell>
          <cell r="BS252" t="str">
            <v>0</v>
          </cell>
          <cell r="BT252" t="str">
            <v>0</v>
          </cell>
          <cell r="BU252" t="str">
            <v>0</v>
          </cell>
          <cell r="BV252" t="str">
            <v>0</v>
          </cell>
          <cell r="BW252" t="str">
            <v>0</v>
          </cell>
          <cell r="BX252" t="str">
            <v>0</v>
          </cell>
          <cell r="BY252" t="str">
            <v>0</v>
          </cell>
          <cell r="BZ252" t="str">
            <v>0</v>
          </cell>
          <cell r="CA252" t="str">
            <v>0</v>
          </cell>
          <cell r="CB252" t="str">
            <v>0</v>
          </cell>
          <cell r="CC252" t="str">
            <v>0</v>
          </cell>
          <cell r="CD252" t="str">
            <v>0</v>
          </cell>
          <cell r="CE252" t="str">
            <v>0</v>
          </cell>
          <cell r="CF252" t="str">
            <v>0</v>
          </cell>
          <cell r="CG252" t="str">
            <v>0</v>
          </cell>
          <cell r="CH252" t="str">
            <v>0</v>
          </cell>
          <cell r="CI252" t="str">
            <v>0</v>
          </cell>
          <cell r="CJ252" t="str">
            <v>0</v>
          </cell>
          <cell r="CK252" t="str">
            <v>0</v>
          </cell>
          <cell r="CL252" t="str">
            <v>0</v>
          </cell>
          <cell r="CM252" t="str">
            <v>0</v>
          </cell>
          <cell r="CN252" t="str">
            <v>0</v>
          </cell>
          <cell r="CO252" t="str">
            <v>0</v>
          </cell>
          <cell r="CP252" t="str">
            <v>0</v>
          </cell>
          <cell r="CQ252" t="str">
            <v>0</v>
          </cell>
          <cell r="CR252" t="str">
            <v>0</v>
          </cell>
          <cell r="CS252" t="str">
            <v>0</v>
          </cell>
          <cell r="CT252" t="str">
            <v>0</v>
          </cell>
          <cell r="CU252" t="str">
            <v>0</v>
          </cell>
          <cell r="CV252" t="str">
            <v>0</v>
          </cell>
          <cell r="CW252" t="str">
            <v>0</v>
          </cell>
          <cell r="CX252" t="str">
            <v>0</v>
          </cell>
          <cell r="CY252" t="str">
            <v>0</v>
          </cell>
          <cell r="CZ252" t="str">
            <v>0</v>
          </cell>
          <cell r="DA252" t="str">
            <v>0</v>
          </cell>
          <cell r="DB252" t="str">
            <v>0</v>
          </cell>
          <cell r="DC252" t="str">
            <v>0</v>
          </cell>
          <cell r="DD252" t="str">
            <v>0</v>
          </cell>
          <cell r="DE252" t="str">
            <v>0</v>
          </cell>
          <cell r="DF252" t="str">
            <v>0</v>
          </cell>
          <cell r="DG252" t="str">
            <v>0</v>
          </cell>
          <cell r="DH252" t="str">
            <v>0</v>
          </cell>
          <cell r="DI252" t="str">
            <v>0</v>
          </cell>
          <cell r="DJ252" t="str">
            <v>0</v>
          </cell>
          <cell r="DK252" t="str">
            <v>0</v>
          </cell>
          <cell r="DL252" t="str">
            <v>0</v>
          </cell>
          <cell r="DM252" t="str">
            <v>0</v>
          </cell>
          <cell r="DN252" t="str">
            <v>0</v>
          </cell>
          <cell r="DO252" t="str">
            <v>0</v>
          </cell>
          <cell r="DP252" t="str">
            <v>0</v>
          </cell>
        </row>
        <row r="253">
          <cell r="C253"/>
          <cell r="D253" t="str">
            <v>0</v>
          </cell>
          <cell r="E253" t="str">
            <v>0</v>
          </cell>
          <cell r="F253" t="str">
            <v>0</v>
          </cell>
          <cell r="G253" t="str">
            <v>0</v>
          </cell>
          <cell r="H253" t="str">
            <v>0</v>
          </cell>
          <cell r="I253" t="str">
            <v>0</v>
          </cell>
          <cell r="J253" t="str">
            <v>0</v>
          </cell>
          <cell r="K253" t="str">
            <v>0</v>
          </cell>
          <cell r="L253" t="str">
            <v>0</v>
          </cell>
          <cell r="M253" t="str">
            <v>0</v>
          </cell>
          <cell r="N253" t="str">
            <v>0</v>
          </cell>
          <cell r="O253" t="str">
            <v>0</v>
          </cell>
          <cell r="P253" t="str">
            <v>0</v>
          </cell>
          <cell r="Q253" t="str">
            <v>0</v>
          </cell>
          <cell r="R253" t="str">
            <v>0</v>
          </cell>
          <cell r="S253" t="str">
            <v>0</v>
          </cell>
          <cell r="T253" t="str">
            <v>0</v>
          </cell>
          <cell r="U253" t="str">
            <v>0</v>
          </cell>
          <cell r="V253" t="str">
            <v>0</v>
          </cell>
          <cell r="W253" t="str">
            <v>0</v>
          </cell>
          <cell r="X253" t="str">
            <v>0</v>
          </cell>
          <cell r="Y253" t="str">
            <v>0</v>
          </cell>
          <cell r="Z253" t="str">
            <v>0</v>
          </cell>
          <cell r="AA253" t="str">
            <v>0</v>
          </cell>
          <cell r="AB253" t="str">
            <v>0</v>
          </cell>
          <cell r="AC253" t="str">
            <v>0</v>
          </cell>
          <cell r="AD253" t="str">
            <v>0</v>
          </cell>
          <cell r="AE253" t="str">
            <v>0</v>
          </cell>
          <cell r="AF253" t="str">
            <v>0</v>
          </cell>
          <cell r="AG253" t="str">
            <v>0</v>
          </cell>
          <cell r="AH253" t="str">
            <v>0</v>
          </cell>
          <cell r="AI253" t="str">
            <v>0</v>
          </cell>
          <cell r="AJ253" t="str">
            <v>0</v>
          </cell>
          <cell r="AK253" t="str">
            <v>0</v>
          </cell>
          <cell r="AL253" t="str">
            <v>0</v>
          </cell>
          <cell r="AM253" t="str">
            <v>0</v>
          </cell>
          <cell r="AN253" t="str">
            <v>0</v>
          </cell>
          <cell r="AO253" t="str">
            <v>0</v>
          </cell>
          <cell r="AP253" t="str">
            <v>0</v>
          </cell>
          <cell r="AQ253" t="str">
            <v>0</v>
          </cell>
          <cell r="AR253" t="str">
            <v>0</v>
          </cell>
          <cell r="AS253" t="str">
            <v>0</v>
          </cell>
          <cell r="AT253" t="str">
            <v>0</v>
          </cell>
          <cell r="AU253" t="str">
            <v>0</v>
          </cell>
          <cell r="AV253" t="str">
            <v>0</v>
          </cell>
          <cell r="AW253" t="str">
            <v>0</v>
          </cell>
          <cell r="AX253" t="str">
            <v>0</v>
          </cell>
          <cell r="AY253" t="str">
            <v>0</v>
          </cell>
          <cell r="AZ253" t="str">
            <v>0</v>
          </cell>
          <cell r="BA253" t="str">
            <v>0</v>
          </cell>
          <cell r="BB253" t="str">
            <v>0</v>
          </cell>
          <cell r="BC253" t="str">
            <v>0</v>
          </cell>
          <cell r="BD253" t="str">
            <v>0</v>
          </cell>
          <cell r="BE253" t="str">
            <v>0</v>
          </cell>
          <cell r="BF253" t="str">
            <v>0</v>
          </cell>
          <cell r="BG253" t="str">
            <v>0</v>
          </cell>
          <cell r="BH253" t="str">
            <v>0</v>
          </cell>
          <cell r="BI253" t="str">
            <v>0</v>
          </cell>
          <cell r="BJ253" t="str">
            <v>0</v>
          </cell>
          <cell r="BK253" t="str">
            <v>0</v>
          </cell>
          <cell r="BL253" t="str">
            <v>0</v>
          </cell>
          <cell r="BM253" t="str">
            <v>0</v>
          </cell>
          <cell r="BN253" t="str">
            <v>0</v>
          </cell>
          <cell r="BO253" t="str">
            <v>0</v>
          </cell>
          <cell r="BP253" t="str">
            <v>0</v>
          </cell>
          <cell r="BQ253" t="str">
            <v>0</v>
          </cell>
          <cell r="BR253" t="str">
            <v>0</v>
          </cell>
          <cell r="BS253" t="str">
            <v>0</v>
          </cell>
          <cell r="BT253" t="str">
            <v>0</v>
          </cell>
          <cell r="BU253" t="str">
            <v>0</v>
          </cell>
          <cell r="BV253" t="str">
            <v>0</v>
          </cell>
          <cell r="BW253" t="str">
            <v>0</v>
          </cell>
          <cell r="BX253" t="str">
            <v>0</v>
          </cell>
          <cell r="BY253" t="str">
            <v>0</v>
          </cell>
          <cell r="BZ253" t="str">
            <v>0</v>
          </cell>
          <cell r="CA253" t="str">
            <v>0</v>
          </cell>
          <cell r="CB253" t="str">
            <v>0</v>
          </cell>
          <cell r="CC253" t="str">
            <v>0</v>
          </cell>
          <cell r="CD253" t="str">
            <v>0</v>
          </cell>
          <cell r="CE253" t="str">
            <v>0</v>
          </cell>
          <cell r="CF253" t="str">
            <v>0</v>
          </cell>
          <cell r="CG253" t="str">
            <v>0</v>
          </cell>
          <cell r="CH253" t="str">
            <v>0</v>
          </cell>
          <cell r="CI253" t="str">
            <v>0</v>
          </cell>
          <cell r="CJ253" t="str">
            <v>0</v>
          </cell>
          <cell r="CK253" t="str">
            <v>0</v>
          </cell>
          <cell r="CL253" t="str">
            <v>0</v>
          </cell>
          <cell r="CM253" t="str">
            <v>0</v>
          </cell>
          <cell r="CN253" t="str">
            <v>0</v>
          </cell>
          <cell r="CO253" t="str">
            <v>0</v>
          </cell>
          <cell r="CP253" t="str">
            <v>0</v>
          </cell>
          <cell r="CQ253" t="str">
            <v>0</v>
          </cell>
          <cell r="CR253" t="str">
            <v>0</v>
          </cell>
          <cell r="CS253" t="str">
            <v>0</v>
          </cell>
          <cell r="CT253" t="str">
            <v>0</v>
          </cell>
          <cell r="CU253" t="str">
            <v>0</v>
          </cell>
          <cell r="CV253" t="str">
            <v>0</v>
          </cell>
          <cell r="CW253" t="str">
            <v>0</v>
          </cell>
          <cell r="CX253" t="str">
            <v>0</v>
          </cell>
          <cell r="CY253" t="str">
            <v>0</v>
          </cell>
          <cell r="CZ253" t="str">
            <v>0</v>
          </cell>
          <cell r="DA253" t="str">
            <v>0</v>
          </cell>
          <cell r="DB253" t="str">
            <v>0</v>
          </cell>
          <cell r="DC253" t="str">
            <v>0</v>
          </cell>
          <cell r="DD253" t="str">
            <v>0</v>
          </cell>
          <cell r="DE253" t="str">
            <v>0</v>
          </cell>
          <cell r="DF253" t="str">
            <v>0</v>
          </cell>
          <cell r="DG253" t="str">
            <v>0</v>
          </cell>
          <cell r="DH253" t="str">
            <v>0</v>
          </cell>
          <cell r="DI253" t="str">
            <v>0</v>
          </cell>
          <cell r="DJ253" t="str">
            <v>0</v>
          </cell>
          <cell r="DK253" t="str">
            <v>0</v>
          </cell>
          <cell r="DL253" t="str">
            <v>0</v>
          </cell>
          <cell r="DM253" t="str">
            <v>0</v>
          </cell>
          <cell r="DN253" t="str">
            <v>0</v>
          </cell>
          <cell r="DO253" t="str">
            <v>0</v>
          </cell>
          <cell r="DP253" t="str">
            <v>0</v>
          </cell>
        </row>
        <row r="254">
          <cell r="C254"/>
          <cell r="D254" t="str">
            <v>0</v>
          </cell>
          <cell r="E254" t="str">
            <v>0</v>
          </cell>
          <cell r="F254" t="str">
            <v>0</v>
          </cell>
          <cell r="G254" t="str">
            <v>0</v>
          </cell>
          <cell r="H254" t="str">
            <v>0</v>
          </cell>
          <cell r="I254" t="str">
            <v>0</v>
          </cell>
          <cell r="J254" t="str">
            <v>0</v>
          </cell>
          <cell r="K254" t="str">
            <v>0</v>
          </cell>
          <cell r="L254" t="str">
            <v>0</v>
          </cell>
          <cell r="M254" t="str">
            <v>0</v>
          </cell>
          <cell r="N254" t="str">
            <v>0</v>
          </cell>
          <cell r="O254" t="str">
            <v>0</v>
          </cell>
          <cell r="P254" t="str">
            <v>0</v>
          </cell>
          <cell r="Q254" t="str">
            <v>0</v>
          </cell>
          <cell r="R254" t="str">
            <v>0</v>
          </cell>
          <cell r="S254" t="str">
            <v>0</v>
          </cell>
          <cell r="T254" t="str">
            <v>0</v>
          </cell>
          <cell r="U254" t="str">
            <v>0</v>
          </cell>
          <cell r="V254" t="str">
            <v>0</v>
          </cell>
          <cell r="W254" t="str">
            <v>0</v>
          </cell>
          <cell r="X254" t="str">
            <v>0</v>
          </cell>
          <cell r="Y254" t="str">
            <v>0</v>
          </cell>
          <cell r="Z254" t="str">
            <v>0</v>
          </cell>
          <cell r="AA254" t="str">
            <v>0</v>
          </cell>
          <cell r="AB254" t="str">
            <v>0</v>
          </cell>
          <cell r="AC254" t="str">
            <v>0</v>
          </cell>
          <cell r="AD254" t="str">
            <v>0</v>
          </cell>
          <cell r="AE254" t="str">
            <v>0</v>
          </cell>
          <cell r="AF254" t="str">
            <v>0</v>
          </cell>
          <cell r="AG254" t="str">
            <v>0</v>
          </cell>
          <cell r="AH254" t="str">
            <v>0</v>
          </cell>
          <cell r="AI254" t="str">
            <v>0</v>
          </cell>
          <cell r="AJ254" t="str">
            <v>0</v>
          </cell>
          <cell r="AK254" t="str">
            <v>0</v>
          </cell>
          <cell r="AL254" t="str">
            <v>0</v>
          </cell>
          <cell r="AM254" t="str">
            <v>0</v>
          </cell>
          <cell r="AN254" t="str">
            <v>0</v>
          </cell>
          <cell r="AO254" t="str">
            <v>0</v>
          </cell>
          <cell r="AP254" t="str">
            <v>0</v>
          </cell>
          <cell r="AQ254" t="str">
            <v>0</v>
          </cell>
          <cell r="AR254" t="str">
            <v>0</v>
          </cell>
          <cell r="AS254" t="str">
            <v>0</v>
          </cell>
          <cell r="AT254" t="str">
            <v>0</v>
          </cell>
          <cell r="AU254" t="str">
            <v>0</v>
          </cell>
          <cell r="AV254" t="str">
            <v>0</v>
          </cell>
          <cell r="AW254" t="str">
            <v>0</v>
          </cell>
          <cell r="AX254" t="str">
            <v>0</v>
          </cell>
          <cell r="AY254" t="str">
            <v>0</v>
          </cell>
          <cell r="AZ254" t="str">
            <v>0</v>
          </cell>
          <cell r="BA254" t="str">
            <v>0</v>
          </cell>
          <cell r="BB254" t="str">
            <v>0</v>
          </cell>
          <cell r="BC254" t="str">
            <v>0</v>
          </cell>
          <cell r="BD254" t="str">
            <v>0</v>
          </cell>
          <cell r="BE254" t="str">
            <v>0</v>
          </cell>
          <cell r="BF254" t="str">
            <v>0</v>
          </cell>
          <cell r="BG254" t="str">
            <v>0</v>
          </cell>
          <cell r="BH254" t="str">
            <v>0</v>
          </cell>
          <cell r="BI254" t="str">
            <v>0</v>
          </cell>
          <cell r="BJ254" t="str">
            <v>0</v>
          </cell>
          <cell r="BK254" t="str">
            <v>0</v>
          </cell>
          <cell r="BL254" t="str">
            <v>0</v>
          </cell>
          <cell r="BM254" t="str">
            <v>0</v>
          </cell>
          <cell r="BN254" t="str">
            <v>0</v>
          </cell>
          <cell r="BO254" t="str">
            <v>0</v>
          </cell>
          <cell r="BP254" t="str">
            <v>0</v>
          </cell>
          <cell r="BQ254" t="str">
            <v>0</v>
          </cell>
          <cell r="BR254" t="str">
            <v>0</v>
          </cell>
          <cell r="BS254" t="str">
            <v>0</v>
          </cell>
          <cell r="BT254" t="str">
            <v>0</v>
          </cell>
          <cell r="BU254" t="str">
            <v>0</v>
          </cell>
          <cell r="BV254" t="str">
            <v>0</v>
          </cell>
          <cell r="BW254" t="str">
            <v>0</v>
          </cell>
          <cell r="BX254" t="str">
            <v>0</v>
          </cell>
          <cell r="BY254" t="str">
            <v>0</v>
          </cell>
          <cell r="BZ254" t="str">
            <v>0</v>
          </cell>
          <cell r="CA254" t="str">
            <v>0</v>
          </cell>
          <cell r="CB254" t="str">
            <v>0</v>
          </cell>
          <cell r="CC254" t="str">
            <v>0</v>
          </cell>
          <cell r="CD254" t="str">
            <v>0</v>
          </cell>
          <cell r="CE254" t="str">
            <v>0</v>
          </cell>
          <cell r="CF254" t="str">
            <v>0</v>
          </cell>
          <cell r="CG254" t="str">
            <v>0</v>
          </cell>
          <cell r="CH254" t="str">
            <v>0</v>
          </cell>
          <cell r="CI254" t="str">
            <v>0</v>
          </cell>
          <cell r="CJ254" t="str">
            <v>0</v>
          </cell>
          <cell r="CK254" t="str">
            <v>0</v>
          </cell>
          <cell r="CL254" t="str">
            <v>0</v>
          </cell>
          <cell r="CM254" t="str">
            <v>0</v>
          </cell>
          <cell r="CN254" t="str">
            <v>0</v>
          </cell>
          <cell r="CO254" t="str">
            <v>0</v>
          </cell>
          <cell r="CP254" t="str">
            <v>0</v>
          </cell>
          <cell r="CQ254" t="str">
            <v>0</v>
          </cell>
          <cell r="CR254" t="str">
            <v>0</v>
          </cell>
          <cell r="CS254" t="str">
            <v>0</v>
          </cell>
          <cell r="CT254" t="str">
            <v>0</v>
          </cell>
          <cell r="CU254" t="str">
            <v>0</v>
          </cell>
          <cell r="CV254" t="str">
            <v>0</v>
          </cell>
          <cell r="CW254" t="str">
            <v>0</v>
          </cell>
          <cell r="CX254" t="str">
            <v>0</v>
          </cell>
          <cell r="CY254" t="str">
            <v>0</v>
          </cell>
          <cell r="CZ254" t="str">
            <v>0</v>
          </cell>
          <cell r="DA254" t="str">
            <v>0</v>
          </cell>
          <cell r="DB254" t="str">
            <v>0</v>
          </cell>
          <cell r="DC254" t="str">
            <v>0</v>
          </cell>
          <cell r="DD254" t="str">
            <v>0</v>
          </cell>
          <cell r="DE254" t="str">
            <v>0</v>
          </cell>
          <cell r="DF254" t="str">
            <v>0</v>
          </cell>
          <cell r="DG254" t="str">
            <v>0</v>
          </cell>
          <cell r="DH254" t="str">
            <v>0</v>
          </cell>
          <cell r="DI254" t="str">
            <v>0</v>
          </cell>
          <cell r="DJ254" t="str">
            <v>0</v>
          </cell>
          <cell r="DK254" t="str">
            <v>0</v>
          </cell>
          <cell r="DL254" t="str">
            <v>0</v>
          </cell>
          <cell r="DM254" t="str">
            <v>0</v>
          </cell>
          <cell r="DN254" t="str">
            <v>0</v>
          </cell>
          <cell r="DO254" t="str">
            <v>0</v>
          </cell>
          <cell r="DP254" t="str">
            <v>0</v>
          </cell>
        </row>
        <row r="255">
          <cell r="C255"/>
          <cell r="D255" t="str">
            <v>0</v>
          </cell>
          <cell r="E255" t="str">
            <v>0</v>
          </cell>
          <cell r="F255" t="str">
            <v>0</v>
          </cell>
          <cell r="G255" t="str">
            <v>0</v>
          </cell>
          <cell r="H255" t="str">
            <v>0</v>
          </cell>
          <cell r="I255" t="str">
            <v>0</v>
          </cell>
          <cell r="J255" t="str">
            <v>0</v>
          </cell>
          <cell r="K255" t="str">
            <v>0</v>
          </cell>
          <cell r="L255" t="str">
            <v>0</v>
          </cell>
          <cell r="M255" t="str">
            <v>0</v>
          </cell>
          <cell r="N255" t="str">
            <v>0</v>
          </cell>
          <cell r="O255" t="str">
            <v>0</v>
          </cell>
          <cell r="P255" t="str">
            <v>0</v>
          </cell>
          <cell r="Q255" t="str">
            <v>0</v>
          </cell>
          <cell r="R255" t="str">
            <v>0</v>
          </cell>
          <cell r="S255" t="str">
            <v>0</v>
          </cell>
          <cell r="T255" t="str">
            <v>0</v>
          </cell>
          <cell r="U255" t="str">
            <v>0</v>
          </cell>
          <cell r="V255" t="str">
            <v>0</v>
          </cell>
          <cell r="W255" t="str">
            <v>0</v>
          </cell>
          <cell r="X255" t="str">
            <v>0</v>
          </cell>
          <cell r="Y255" t="str">
            <v>0</v>
          </cell>
          <cell r="Z255" t="str">
            <v>0</v>
          </cell>
          <cell r="AA255" t="str">
            <v>0</v>
          </cell>
          <cell r="AB255" t="str">
            <v>0</v>
          </cell>
          <cell r="AC255" t="str">
            <v>0</v>
          </cell>
          <cell r="AD255" t="str">
            <v>0</v>
          </cell>
          <cell r="AE255" t="str">
            <v>0</v>
          </cell>
          <cell r="AF255" t="str">
            <v>0</v>
          </cell>
          <cell r="AG255" t="str">
            <v>0</v>
          </cell>
          <cell r="AH255" t="str">
            <v>0</v>
          </cell>
          <cell r="AI255" t="str">
            <v>0</v>
          </cell>
          <cell r="AJ255" t="str">
            <v>0</v>
          </cell>
          <cell r="AK255" t="str">
            <v>0</v>
          </cell>
          <cell r="AL255" t="str">
            <v>0</v>
          </cell>
          <cell r="AM255" t="str">
            <v>0</v>
          </cell>
          <cell r="AN255" t="str">
            <v>0</v>
          </cell>
          <cell r="AO255" t="str">
            <v>0</v>
          </cell>
          <cell r="AP255" t="str">
            <v>0</v>
          </cell>
          <cell r="AQ255" t="str">
            <v>0</v>
          </cell>
          <cell r="AR255" t="str">
            <v>0</v>
          </cell>
          <cell r="AS255" t="str">
            <v>0</v>
          </cell>
          <cell r="AT255" t="str">
            <v>0</v>
          </cell>
          <cell r="AU255" t="str">
            <v>0</v>
          </cell>
          <cell r="AV255" t="str">
            <v>0</v>
          </cell>
          <cell r="AW255" t="str">
            <v>0</v>
          </cell>
          <cell r="AX255" t="str">
            <v>0</v>
          </cell>
          <cell r="AY255" t="str">
            <v>0</v>
          </cell>
          <cell r="AZ255" t="str">
            <v>0</v>
          </cell>
          <cell r="BA255" t="str">
            <v>0</v>
          </cell>
          <cell r="BB255" t="str">
            <v>0</v>
          </cell>
          <cell r="BC255" t="str">
            <v>0</v>
          </cell>
          <cell r="BD255" t="str">
            <v>0</v>
          </cell>
          <cell r="BE255" t="str">
            <v>0</v>
          </cell>
          <cell r="BF255" t="str">
            <v>0</v>
          </cell>
          <cell r="BG255" t="str">
            <v>0</v>
          </cell>
          <cell r="BH255" t="str">
            <v>0</v>
          </cell>
          <cell r="BI255" t="str">
            <v>0</v>
          </cell>
          <cell r="BJ255" t="str">
            <v>0</v>
          </cell>
          <cell r="BK255" t="str">
            <v>0</v>
          </cell>
          <cell r="BL255" t="str">
            <v>0</v>
          </cell>
          <cell r="BM255" t="str">
            <v>0</v>
          </cell>
          <cell r="BN255" t="str">
            <v>0</v>
          </cell>
          <cell r="BO255" t="str">
            <v>0</v>
          </cell>
          <cell r="BP255" t="str">
            <v>0</v>
          </cell>
          <cell r="BQ255" t="str">
            <v>0</v>
          </cell>
          <cell r="BR255" t="str">
            <v>0</v>
          </cell>
          <cell r="BS255" t="str">
            <v>0</v>
          </cell>
          <cell r="BT255" t="str">
            <v>0</v>
          </cell>
          <cell r="BU255" t="str">
            <v>0</v>
          </cell>
          <cell r="BV255" t="str">
            <v>0</v>
          </cell>
          <cell r="BW255" t="str">
            <v>0</v>
          </cell>
          <cell r="BX255" t="str">
            <v>0</v>
          </cell>
          <cell r="BY255" t="str">
            <v>0</v>
          </cell>
          <cell r="BZ255" t="str">
            <v>0</v>
          </cell>
          <cell r="CA255" t="str">
            <v>0</v>
          </cell>
          <cell r="CB255" t="str">
            <v>0</v>
          </cell>
          <cell r="CC255" t="str">
            <v>0</v>
          </cell>
          <cell r="CD255" t="str">
            <v>0</v>
          </cell>
          <cell r="CE255" t="str">
            <v>0</v>
          </cell>
          <cell r="CF255" t="str">
            <v>0</v>
          </cell>
          <cell r="CG255" t="str">
            <v>0</v>
          </cell>
          <cell r="CH255" t="str">
            <v>0</v>
          </cell>
          <cell r="CI255" t="str">
            <v>0</v>
          </cell>
          <cell r="CJ255" t="str">
            <v>0</v>
          </cell>
          <cell r="CK255" t="str">
            <v>0</v>
          </cell>
          <cell r="CL255" t="str">
            <v>0</v>
          </cell>
          <cell r="CM255" t="str">
            <v>0</v>
          </cell>
          <cell r="CN255" t="str">
            <v>0</v>
          </cell>
          <cell r="CO255" t="str">
            <v>0</v>
          </cell>
          <cell r="CP255" t="str">
            <v>0</v>
          </cell>
          <cell r="CQ255" t="str">
            <v>0</v>
          </cell>
          <cell r="CR255" t="str">
            <v>0</v>
          </cell>
          <cell r="CS255" t="str">
            <v>0</v>
          </cell>
          <cell r="CT255" t="str">
            <v>0</v>
          </cell>
          <cell r="CU255" t="str">
            <v>0</v>
          </cell>
          <cell r="CV255" t="str">
            <v>0</v>
          </cell>
          <cell r="CW255" t="str">
            <v>0</v>
          </cell>
          <cell r="CX255" t="str">
            <v>0</v>
          </cell>
          <cell r="CY255" t="str">
            <v>0</v>
          </cell>
          <cell r="CZ255" t="str">
            <v>0</v>
          </cell>
          <cell r="DA255" t="str">
            <v>0</v>
          </cell>
          <cell r="DB255" t="str">
            <v>0</v>
          </cell>
          <cell r="DC255" t="str">
            <v>0</v>
          </cell>
          <cell r="DD255" t="str">
            <v>0</v>
          </cell>
          <cell r="DE255" t="str">
            <v>0</v>
          </cell>
          <cell r="DF255" t="str">
            <v>0</v>
          </cell>
          <cell r="DG255" t="str">
            <v>0</v>
          </cell>
          <cell r="DH255" t="str">
            <v>0</v>
          </cell>
          <cell r="DI255" t="str">
            <v>0</v>
          </cell>
          <cell r="DJ255" t="str">
            <v>0</v>
          </cell>
          <cell r="DK255" t="str">
            <v>0</v>
          </cell>
          <cell r="DL255" t="str">
            <v>0</v>
          </cell>
          <cell r="DM255" t="str">
            <v>0</v>
          </cell>
          <cell r="DN255" t="str">
            <v>0</v>
          </cell>
          <cell r="DO255" t="str">
            <v>0</v>
          </cell>
          <cell r="DP255" t="str">
            <v>0</v>
          </cell>
        </row>
        <row r="256">
          <cell r="C256"/>
          <cell r="D256" t="str">
            <v>0</v>
          </cell>
          <cell r="E256" t="str">
            <v>0</v>
          </cell>
          <cell r="F256" t="str">
            <v>0</v>
          </cell>
          <cell r="G256" t="str">
            <v>0</v>
          </cell>
          <cell r="H256" t="str">
            <v>0</v>
          </cell>
          <cell r="I256" t="str">
            <v>0</v>
          </cell>
          <cell r="J256" t="str">
            <v>0</v>
          </cell>
          <cell r="K256" t="str">
            <v>0</v>
          </cell>
          <cell r="L256" t="str">
            <v>0</v>
          </cell>
          <cell r="M256" t="str">
            <v>0</v>
          </cell>
          <cell r="N256" t="str">
            <v>0</v>
          </cell>
          <cell r="O256" t="str">
            <v>0</v>
          </cell>
          <cell r="P256" t="str">
            <v>0</v>
          </cell>
          <cell r="Q256" t="str">
            <v>0</v>
          </cell>
          <cell r="R256" t="str">
            <v>0</v>
          </cell>
          <cell r="S256" t="str">
            <v>0</v>
          </cell>
          <cell r="T256" t="str">
            <v>0</v>
          </cell>
          <cell r="U256" t="str">
            <v>0</v>
          </cell>
          <cell r="V256" t="str">
            <v>0</v>
          </cell>
          <cell r="W256" t="str">
            <v>0</v>
          </cell>
          <cell r="X256" t="str">
            <v>0</v>
          </cell>
          <cell r="Y256" t="str">
            <v>0</v>
          </cell>
          <cell r="Z256" t="str">
            <v>0</v>
          </cell>
          <cell r="AA256" t="str">
            <v>0</v>
          </cell>
          <cell r="AB256" t="str">
            <v>0</v>
          </cell>
          <cell r="AC256" t="str">
            <v>0</v>
          </cell>
          <cell r="AD256" t="str">
            <v>0</v>
          </cell>
          <cell r="AE256" t="str">
            <v>0</v>
          </cell>
          <cell r="AF256" t="str">
            <v>0</v>
          </cell>
          <cell r="AG256" t="str">
            <v>0</v>
          </cell>
          <cell r="AH256" t="str">
            <v>0</v>
          </cell>
          <cell r="AI256" t="str">
            <v>0</v>
          </cell>
          <cell r="AJ256" t="str">
            <v>0</v>
          </cell>
          <cell r="AK256" t="str">
            <v>0</v>
          </cell>
          <cell r="AL256" t="str">
            <v>0</v>
          </cell>
          <cell r="AM256" t="str">
            <v>0</v>
          </cell>
          <cell r="AN256" t="str">
            <v>0</v>
          </cell>
          <cell r="AO256" t="str">
            <v>0</v>
          </cell>
          <cell r="AP256" t="str">
            <v>0</v>
          </cell>
          <cell r="AQ256" t="str">
            <v>0</v>
          </cell>
          <cell r="AR256" t="str">
            <v>0</v>
          </cell>
          <cell r="AS256" t="str">
            <v>0</v>
          </cell>
          <cell r="AT256" t="str">
            <v>0</v>
          </cell>
          <cell r="AU256" t="str">
            <v>0</v>
          </cell>
          <cell r="AV256" t="str">
            <v>0</v>
          </cell>
          <cell r="AW256" t="str">
            <v>0</v>
          </cell>
          <cell r="AX256" t="str">
            <v>0</v>
          </cell>
          <cell r="AY256" t="str">
            <v>0</v>
          </cell>
          <cell r="AZ256" t="str">
            <v>0</v>
          </cell>
          <cell r="BA256" t="str">
            <v>0</v>
          </cell>
          <cell r="BB256" t="str">
            <v>0</v>
          </cell>
          <cell r="BC256" t="str">
            <v>0</v>
          </cell>
          <cell r="BD256" t="str">
            <v>0</v>
          </cell>
          <cell r="BE256" t="str">
            <v>0</v>
          </cell>
          <cell r="BF256" t="str">
            <v>0</v>
          </cell>
          <cell r="BG256" t="str">
            <v>0</v>
          </cell>
          <cell r="BH256" t="str">
            <v>0</v>
          </cell>
          <cell r="BI256" t="str">
            <v>0</v>
          </cell>
          <cell r="BJ256" t="str">
            <v>0</v>
          </cell>
          <cell r="BK256" t="str">
            <v>0</v>
          </cell>
          <cell r="BL256" t="str">
            <v>0</v>
          </cell>
          <cell r="BM256" t="str">
            <v>0</v>
          </cell>
          <cell r="BN256" t="str">
            <v>0</v>
          </cell>
          <cell r="BO256" t="str">
            <v>0</v>
          </cell>
          <cell r="BP256" t="str">
            <v>0</v>
          </cell>
          <cell r="BQ256" t="str">
            <v>0</v>
          </cell>
          <cell r="BR256" t="str">
            <v>0</v>
          </cell>
          <cell r="BS256" t="str">
            <v>0</v>
          </cell>
          <cell r="BT256" t="str">
            <v>0</v>
          </cell>
          <cell r="BU256" t="str">
            <v>0</v>
          </cell>
          <cell r="BV256" t="str">
            <v>0</v>
          </cell>
          <cell r="BW256" t="str">
            <v>0</v>
          </cell>
          <cell r="BX256" t="str">
            <v>0</v>
          </cell>
          <cell r="BY256" t="str">
            <v>0</v>
          </cell>
          <cell r="BZ256" t="str">
            <v>0</v>
          </cell>
          <cell r="CA256" t="str">
            <v>0</v>
          </cell>
          <cell r="CB256" t="str">
            <v>0</v>
          </cell>
          <cell r="CC256" t="str">
            <v>0</v>
          </cell>
          <cell r="CD256" t="str">
            <v>0</v>
          </cell>
          <cell r="CE256" t="str">
            <v>0</v>
          </cell>
          <cell r="CF256" t="str">
            <v>0</v>
          </cell>
          <cell r="CG256" t="str">
            <v>0</v>
          </cell>
          <cell r="CH256" t="str">
            <v>0</v>
          </cell>
          <cell r="CI256" t="str">
            <v>0</v>
          </cell>
          <cell r="CJ256" t="str">
            <v>0</v>
          </cell>
          <cell r="CK256" t="str">
            <v>0</v>
          </cell>
          <cell r="CL256" t="str">
            <v>0</v>
          </cell>
          <cell r="CM256" t="str">
            <v>0</v>
          </cell>
          <cell r="CN256" t="str">
            <v>0</v>
          </cell>
          <cell r="CO256" t="str">
            <v>0</v>
          </cell>
          <cell r="CP256" t="str">
            <v>0</v>
          </cell>
          <cell r="CQ256" t="str">
            <v>0</v>
          </cell>
          <cell r="CR256" t="str">
            <v>0</v>
          </cell>
          <cell r="CS256" t="str">
            <v>0</v>
          </cell>
          <cell r="CT256" t="str">
            <v>0</v>
          </cell>
          <cell r="CU256" t="str">
            <v>0</v>
          </cell>
          <cell r="CV256" t="str">
            <v>0</v>
          </cell>
          <cell r="CW256" t="str">
            <v>0</v>
          </cell>
          <cell r="CX256" t="str">
            <v>0</v>
          </cell>
          <cell r="CY256" t="str">
            <v>0</v>
          </cell>
          <cell r="CZ256" t="str">
            <v>0</v>
          </cell>
          <cell r="DA256" t="str">
            <v>0</v>
          </cell>
          <cell r="DB256" t="str">
            <v>0</v>
          </cell>
          <cell r="DC256" t="str">
            <v>0</v>
          </cell>
          <cell r="DD256" t="str">
            <v>0</v>
          </cell>
          <cell r="DE256" t="str">
            <v>0</v>
          </cell>
          <cell r="DF256" t="str">
            <v>0</v>
          </cell>
          <cell r="DG256" t="str">
            <v>0</v>
          </cell>
          <cell r="DH256" t="str">
            <v>0</v>
          </cell>
          <cell r="DI256" t="str">
            <v>0</v>
          </cell>
          <cell r="DJ256" t="str">
            <v>0</v>
          </cell>
          <cell r="DK256" t="str">
            <v>0</v>
          </cell>
          <cell r="DL256" t="str">
            <v>0</v>
          </cell>
          <cell r="DM256" t="str">
            <v>0</v>
          </cell>
          <cell r="DN256" t="str">
            <v>0</v>
          </cell>
          <cell r="DO256" t="str">
            <v>0</v>
          </cell>
          <cell r="DP256" t="str">
            <v>0</v>
          </cell>
        </row>
        <row r="257">
          <cell r="C257"/>
          <cell r="D257" t="str">
            <v>0</v>
          </cell>
          <cell r="E257" t="str">
            <v>0</v>
          </cell>
          <cell r="F257" t="str">
            <v>0</v>
          </cell>
          <cell r="G257" t="str">
            <v>0</v>
          </cell>
          <cell r="H257" t="str">
            <v>0</v>
          </cell>
          <cell r="I257" t="str">
            <v>0</v>
          </cell>
          <cell r="J257" t="str">
            <v>0</v>
          </cell>
          <cell r="K257" t="str">
            <v>0</v>
          </cell>
          <cell r="L257" t="str">
            <v>0</v>
          </cell>
          <cell r="M257" t="str">
            <v>0</v>
          </cell>
          <cell r="N257" t="str">
            <v>0</v>
          </cell>
          <cell r="O257" t="str">
            <v>0</v>
          </cell>
          <cell r="P257" t="str">
            <v>0</v>
          </cell>
          <cell r="Q257" t="str">
            <v>0</v>
          </cell>
          <cell r="R257" t="str">
            <v>0</v>
          </cell>
          <cell r="S257" t="str">
            <v>0</v>
          </cell>
          <cell r="T257" t="str">
            <v>0</v>
          </cell>
          <cell r="U257" t="str">
            <v>0</v>
          </cell>
          <cell r="V257" t="str">
            <v>0</v>
          </cell>
          <cell r="W257" t="str">
            <v>0</v>
          </cell>
          <cell r="X257" t="str">
            <v>0</v>
          </cell>
          <cell r="Y257" t="str">
            <v>0</v>
          </cell>
          <cell r="Z257" t="str">
            <v>0</v>
          </cell>
          <cell r="AA257" t="str">
            <v>0</v>
          </cell>
          <cell r="AB257" t="str">
            <v>0</v>
          </cell>
          <cell r="AC257" t="str">
            <v>0</v>
          </cell>
          <cell r="AD257" t="str">
            <v>0</v>
          </cell>
          <cell r="AE257" t="str">
            <v>0</v>
          </cell>
          <cell r="AF257" t="str">
            <v>0</v>
          </cell>
          <cell r="AG257" t="str">
            <v>0</v>
          </cell>
          <cell r="AH257" t="str">
            <v>0</v>
          </cell>
          <cell r="AI257" t="str">
            <v>0</v>
          </cell>
          <cell r="AJ257" t="str">
            <v>0</v>
          </cell>
          <cell r="AK257" t="str">
            <v>0</v>
          </cell>
          <cell r="AL257" t="str">
            <v>0</v>
          </cell>
          <cell r="AM257" t="str">
            <v>0</v>
          </cell>
          <cell r="AN257" t="str">
            <v>0</v>
          </cell>
          <cell r="AO257" t="str">
            <v>0</v>
          </cell>
          <cell r="AP257" t="str">
            <v>0</v>
          </cell>
          <cell r="AQ257" t="str">
            <v>0</v>
          </cell>
          <cell r="AR257" t="str">
            <v>0</v>
          </cell>
          <cell r="AS257" t="str">
            <v>0</v>
          </cell>
          <cell r="AT257" t="str">
            <v>0</v>
          </cell>
          <cell r="AU257" t="str">
            <v>0</v>
          </cell>
          <cell r="AV257" t="str">
            <v>0</v>
          </cell>
          <cell r="AW257" t="str">
            <v>0</v>
          </cell>
          <cell r="AX257" t="str">
            <v>0</v>
          </cell>
          <cell r="AY257" t="str">
            <v>0</v>
          </cell>
          <cell r="AZ257" t="str">
            <v>0</v>
          </cell>
          <cell r="BA257" t="str">
            <v>0</v>
          </cell>
          <cell r="BB257" t="str">
            <v>0</v>
          </cell>
          <cell r="BC257" t="str">
            <v>0</v>
          </cell>
          <cell r="BD257" t="str">
            <v>0</v>
          </cell>
          <cell r="BE257" t="str">
            <v>0</v>
          </cell>
          <cell r="BF257" t="str">
            <v>0</v>
          </cell>
          <cell r="BG257" t="str">
            <v>0</v>
          </cell>
          <cell r="BH257" t="str">
            <v>0</v>
          </cell>
          <cell r="BI257" t="str">
            <v>0</v>
          </cell>
          <cell r="BJ257" t="str">
            <v>0</v>
          </cell>
          <cell r="BK257" t="str">
            <v>0</v>
          </cell>
          <cell r="BL257" t="str">
            <v>0</v>
          </cell>
          <cell r="BM257" t="str">
            <v>0</v>
          </cell>
          <cell r="BN257" t="str">
            <v>0</v>
          </cell>
          <cell r="BO257" t="str">
            <v>0</v>
          </cell>
          <cell r="BP257" t="str">
            <v>0</v>
          </cell>
          <cell r="BQ257" t="str">
            <v>0</v>
          </cell>
          <cell r="BR257" t="str">
            <v>0</v>
          </cell>
          <cell r="BS257" t="str">
            <v>0</v>
          </cell>
          <cell r="BT257" t="str">
            <v>0</v>
          </cell>
          <cell r="BU257" t="str">
            <v>0</v>
          </cell>
          <cell r="BV257" t="str">
            <v>0</v>
          </cell>
          <cell r="BW257" t="str">
            <v>0</v>
          </cell>
          <cell r="BX257" t="str">
            <v>0</v>
          </cell>
          <cell r="BY257" t="str">
            <v>0</v>
          </cell>
          <cell r="BZ257" t="str">
            <v>0</v>
          </cell>
          <cell r="CA257" t="str">
            <v>0</v>
          </cell>
          <cell r="CB257" t="str">
            <v>0</v>
          </cell>
          <cell r="CC257" t="str">
            <v>0</v>
          </cell>
          <cell r="CD257" t="str">
            <v>0</v>
          </cell>
          <cell r="CE257" t="str">
            <v>0</v>
          </cell>
          <cell r="CF257" t="str">
            <v>0</v>
          </cell>
          <cell r="CG257" t="str">
            <v>0</v>
          </cell>
          <cell r="CH257" t="str">
            <v>0</v>
          </cell>
          <cell r="CI257" t="str">
            <v>0</v>
          </cell>
          <cell r="CJ257" t="str">
            <v>0</v>
          </cell>
          <cell r="CK257" t="str">
            <v>0</v>
          </cell>
          <cell r="CL257" t="str">
            <v>0</v>
          </cell>
          <cell r="CM257" t="str">
            <v>0</v>
          </cell>
          <cell r="CN257" t="str">
            <v>0</v>
          </cell>
          <cell r="CO257" t="str">
            <v>0</v>
          </cell>
          <cell r="CP257" t="str">
            <v>0</v>
          </cell>
          <cell r="CQ257" t="str">
            <v>0</v>
          </cell>
          <cell r="CR257" t="str">
            <v>0</v>
          </cell>
          <cell r="CS257" t="str">
            <v>0</v>
          </cell>
          <cell r="CT257" t="str">
            <v>0</v>
          </cell>
          <cell r="CU257" t="str">
            <v>0</v>
          </cell>
          <cell r="CV257" t="str">
            <v>0</v>
          </cell>
          <cell r="CW257" t="str">
            <v>0</v>
          </cell>
          <cell r="CX257" t="str">
            <v>0</v>
          </cell>
          <cell r="CY257" t="str">
            <v>0</v>
          </cell>
          <cell r="CZ257" t="str">
            <v>0</v>
          </cell>
          <cell r="DA257" t="str">
            <v>0</v>
          </cell>
          <cell r="DB257" t="str">
            <v>0</v>
          </cell>
          <cell r="DC257" t="str">
            <v>0</v>
          </cell>
          <cell r="DD257" t="str">
            <v>0</v>
          </cell>
          <cell r="DE257" t="str">
            <v>0</v>
          </cell>
          <cell r="DF257" t="str">
            <v>0</v>
          </cell>
          <cell r="DG257" t="str">
            <v>0</v>
          </cell>
          <cell r="DH257" t="str">
            <v>0</v>
          </cell>
          <cell r="DI257" t="str">
            <v>0</v>
          </cell>
          <cell r="DJ257" t="str">
            <v>0</v>
          </cell>
          <cell r="DK257" t="str">
            <v>0</v>
          </cell>
          <cell r="DL257" t="str">
            <v>0</v>
          </cell>
          <cell r="DM257" t="str">
            <v>0</v>
          </cell>
          <cell r="DN257" t="str">
            <v>0</v>
          </cell>
          <cell r="DO257" t="str">
            <v>0</v>
          </cell>
          <cell r="DP257" t="str">
            <v>0</v>
          </cell>
        </row>
        <row r="258">
          <cell r="C258"/>
          <cell r="D258" t="str">
            <v>0</v>
          </cell>
          <cell r="E258" t="str">
            <v>0</v>
          </cell>
          <cell r="F258" t="str">
            <v>0</v>
          </cell>
          <cell r="G258" t="str">
            <v>0</v>
          </cell>
          <cell r="H258" t="str">
            <v>0</v>
          </cell>
          <cell r="I258" t="str">
            <v>0</v>
          </cell>
          <cell r="J258" t="str">
            <v>0</v>
          </cell>
          <cell r="K258" t="str">
            <v>0</v>
          </cell>
          <cell r="L258" t="str">
            <v>0</v>
          </cell>
          <cell r="M258" t="str">
            <v>0</v>
          </cell>
          <cell r="N258" t="str">
            <v>0</v>
          </cell>
          <cell r="O258" t="str">
            <v>0</v>
          </cell>
          <cell r="P258" t="str">
            <v>0</v>
          </cell>
          <cell r="Q258" t="str">
            <v>0</v>
          </cell>
          <cell r="R258" t="str">
            <v>0</v>
          </cell>
          <cell r="S258" t="str">
            <v>0</v>
          </cell>
          <cell r="T258" t="str">
            <v>0</v>
          </cell>
          <cell r="U258" t="str">
            <v>0</v>
          </cell>
          <cell r="V258" t="str">
            <v>0</v>
          </cell>
          <cell r="W258" t="str">
            <v>0</v>
          </cell>
          <cell r="X258" t="str">
            <v>0</v>
          </cell>
          <cell r="Y258" t="str">
            <v>0</v>
          </cell>
          <cell r="Z258" t="str">
            <v>0</v>
          </cell>
          <cell r="AA258" t="str">
            <v>0</v>
          </cell>
          <cell r="AB258" t="str">
            <v>0</v>
          </cell>
          <cell r="AC258" t="str">
            <v>0</v>
          </cell>
          <cell r="AD258" t="str">
            <v>0</v>
          </cell>
          <cell r="AE258" t="str">
            <v>0</v>
          </cell>
          <cell r="AF258" t="str">
            <v>0</v>
          </cell>
          <cell r="AG258" t="str">
            <v>0</v>
          </cell>
          <cell r="AH258" t="str">
            <v>0</v>
          </cell>
          <cell r="AI258" t="str">
            <v>0</v>
          </cell>
          <cell r="AJ258" t="str">
            <v>0</v>
          </cell>
          <cell r="AK258" t="str">
            <v>0</v>
          </cell>
          <cell r="AL258" t="str">
            <v>0</v>
          </cell>
          <cell r="AM258" t="str">
            <v>0</v>
          </cell>
          <cell r="AN258" t="str">
            <v>0</v>
          </cell>
          <cell r="AO258" t="str">
            <v>0</v>
          </cell>
          <cell r="AP258" t="str">
            <v>0</v>
          </cell>
          <cell r="AQ258" t="str">
            <v>0</v>
          </cell>
          <cell r="AR258" t="str">
            <v>0</v>
          </cell>
          <cell r="AS258" t="str">
            <v>0</v>
          </cell>
          <cell r="AT258" t="str">
            <v>0</v>
          </cell>
          <cell r="AU258" t="str">
            <v>0</v>
          </cell>
          <cell r="AV258" t="str">
            <v>0</v>
          </cell>
          <cell r="AW258" t="str">
            <v>0</v>
          </cell>
          <cell r="AX258" t="str">
            <v>0</v>
          </cell>
          <cell r="AY258" t="str">
            <v>0</v>
          </cell>
          <cell r="AZ258" t="str">
            <v>0</v>
          </cell>
          <cell r="BA258" t="str">
            <v>0</v>
          </cell>
          <cell r="BB258" t="str">
            <v>0</v>
          </cell>
          <cell r="BC258" t="str">
            <v>0</v>
          </cell>
          <cell r="BD258" t="str">
            <v>0</v>
          </cell>
          <cell r="BE258" t="str">
            <v>0</v>
          </cell>
          <cell r="BF258" t="str">
            <v>0</v>
          </cell>
          <cell r="BG258" t="str">
            <v>0</v>
          </cell>
          <cell r="BH258" t="str">
            <v>0</v>
          </cell>
          <cell r="BI258" t="str">
            <v>0</v>
          </cell>
          <cell r="BJ258" t="str">
            <v>0</v>
          </cell>
          <cell r="BK258" t="str">
            <v>0</v>
          </cell>
          <cell r="BL258" t="str">
            <v>0</v>
          </cell>
          <cell r="BM258" t="str">
            <v>0</v>
          </cell>
          <cell r="BN258" t="str">
            <v>0</v>
          </cell>
          <cell r="BO258" t="str">
            <v>0</v>
          </cell>
          <cell r="BP258" t="str">
            <v>0</v>
          </cell>
          <cell r="BQ258" t="str">
            <v>0</v>
          </cell>
          <cell r="BR258" t="str">
            <v>0</v>
          </cell>
          <cell r="BS258" t="str">
            <v>0</v>
          </cell>
          <cell r="BT258" t="str">
            <v>0</v>
          </cell>
          <cell r="BU258" t="str">
            <v>0</v>
          </cell>
          <cell r="BV258" t="str">
            <v>0</v>
          </cell>
          <cell r="BW258" t="str">
            <v>0</v>
          </cell>
          <cell r="BX258" t="str">
            <v>0</v>
          </cell>
          <cell r="BY258" t="str">
            <v>0</v>
          </cell>
          <cell r="BZ258" t="str">
            <v>0</v>
          </cell>
          <cell r="CA258" t="str">
            <v>0</v>
          </cell>
          <cell r="CB258" t="str">
            <v>0</v>
          </cell>
          <cell r="CC258" t="str">
            <v>0</v>
          </cell>
          <cell r="CD258" t="str">
            <v>0</v>
          </cell>
          <cell r="CE258" t="str">
            <v>0</v>
          </cell>
          <cell r="CF258" t="str">
            <v>0</v>
          </cell>
          <cell r="CG258" t="str">
            <v>0</v>
          </cell>
          <cell r="CH258" t="str">
            <v>0</v>
          </cell>
          <cell r="CI258" t="str">
            <v>0</v>
          </cell>
          <cell r="CJ258" t="str">
            <v>0</v>
          </cell>
          <cell r="CK258" t="str">
            <v>0</v>
          </cell>
          <cell r="CL258" t="str">
            <v>0</v>
          </cell>
          <cell r="CM258" t="str">
            <v>0</v>
          </cell>
          <cell r="CN258" t="str">
            <v>0</v>
          </cell>
          <cell r="CO258" t="str">
            <v>0</v>
          </cell>
          <cell r="CP258" t="str">
            <v>0</v>
          </cell>
          <cell r="CQ258" t="str">
            <v>0</v>
          </cell>
          <cell r="CR258" t="str">
            <v>0</v>
          </cell>
          <cell r="CS258" t="str">
            <v>0</v>
          </cell>
          <cell r="CT258" t="str">
            <v>0</v>
          </cell>
          <cell r="CU258" t="str">
            <v>0</v>
          </cell>
          <cell r="CV258" t="str">
            <v>0</v>
          </cell>
          <cell r="CW258" t="str">
            <v>0</v>
          </cell>
          <cell r="CX258" t="str">
            <v>0</v>
          </cell>
          <cell r="CY258" t="str">
            <v>0</v>
          </cell>
          <cell r="CZ258" t="str">
            <v>0</v>
          </cell>
          <cell r="DA258" t="str">
            <v>0</v>
          </cell>
          <cell r="DB258" t="str">
            <v>0</v>
          </cell>
          <cell r="DC258" t="str">
            <v>0</v>
          </cell>
          <cell r="DD258" t="str">
            <v>0</v>
          </cell>
          <cell r="DE258" t="str">
            <v>0</v>
          </cell>
          <cell r="DF258" t="str">
            <v>0</v>
          </cell>
          <cell r="DG258" t="str">
            <v>0</v>
          </cell>
          <cell r="DH258" t="str">
            <v>0</v>
          </cell>
          <cell r="DI258" t="str">
            <v>0</v>
          </cell>
          <cell r="DJ258" t="str">
            <v>0</v>
          </cell>
          <cell r="DK258" t="str">
            <v>0</v>
          </cell>
          <cell r="DL258" t="str">
            <v>0</v>
          </cell>
          <cell r="DM258" t="str">
            <v>0</v>
          </cell>
          <cell r="DN258" t="str">
            <v>0</v>
          </cell>
          <cell r="DO258" t="str">
            <v>0</v>
          </cell>
          <cell r="DP258" t="str">
            <v>0</v>
          </cell>
        </row>
        <row r="259">
          <cell r="C259"/>
          <cell r="D259" t="str">
            <v>0</v>
          </cell>
          <cell r="E259" t="str">
            <v>0</v>
          </cell>
          <cell r="F259" t="str">
            <v>0</v>
          </cell>
          <cell r="G259" t="str">
            <v>0</v>
          </cell>
          <cell r="H259" t="str">
            <v>0</v>
          </cell>
          <cell r="I259" t="str">
            <v>0</v>
          </cell>
          <cell r="J259" t="str">
            <v>0</v>
          </cell>
          <cell r="K259" t="str">
            <v>0</v>
          </cell>
          <cell r="L259" t="str">
            <v>0</v>
          </cell>
          <cell r="M259" t="str">
            <v>0</v>
          </cell>
          <cell r="N259" t="str">
            <v>0</v>
          </cell>
          <cell r="O259" t="str">
            <v>0</v>
          </cell>
          <cell r="P259" t="str">
            <v>0</v>
          </cell>
          <cell r="Q259" t="str">
            <v>0</v>
          </cell>
          <cell r="R259" t="str">
            <v>0</v>
          </cell>
          <cell r="S259" t="str">
            <v>0</v>
          </cell>
          <cell r="T259" t="str">
            <v>0</v>
          </cell>
          <cell r="U259" t="str">
            <v>0</v>
          </cell>
          <cell r="V259" t="str">
            <v>0</v>
          </cell>
          <cell r="W259" t="str">
            <v>0</v>
          </cell>
          <cell r="X259" t="str">
            <v>0</v>
          </cell>
          <cell r="Y259" t="str">
            <v>0</v>
          </cell>
          <cell r="Z259" t="str">
            <v>0</v>
          </cell>
          <cell r="AA259" t="str">
            <v>0</v>
          </cell>
          <cell r="AB259" t="str">
            <v>0</v>
          </cell>
          <cell r="AC259" t="str">
            <v>0</v>
          </cell>
          <cell r="AD259" t="str">
            <v>0</v>
          </cell>
          <cell r="AE259" t="str">
            <v>0</v>
          </cell>
          <cell r="AF259" t="str">
            <v>0</v>
          </cell>
          <cell r="AG259" t="str">
            <v>0</v>
          </cell>
          <cell r="AH259" t="str">
            <v>0</v>
          </cell>
          <cell r="AI259" t="str">
            <v>0</v>
          </cell>
          <cell r="AJ259" t="str">
            <v>0</v>
          </cell>
          <cell r="AK259" t="str">
            <v>0</v>
          </cell>
          <cell r="AL259" t="str">
            <v>0</v>
          </cell>
          <cell r="AM259" t="str">
            <v>0</v>
          </cell>
          <cell r="AN259" t="str">
            <v>0</v>
          </cell>
          <cell r="AO259" t="str">
            <v>0</v>
          </cell>
          <cell r="AP259" t="str">
            <v>0</v>
          </cell>
          <cell r="AQ259" t="str">
            <v>0</v>
          </cell>
          <cell r="AR259" t="str">
            <v>0</v>
          </cell>
          <cell r="AS259" t="str">
            <v>0</v>
          </cell>
          <cell r="AT259" t="str">
            <v>0</v>
          </cell>
          <cell r="AU259" t="str">
            <v>0</v>
          </cell>
          <cell r="AV259" t="str">
            <v>0</v>
          </cell>
          <cell r="AW259" t="str">
            <v>0</v>
          </cell>
          <cell r="AX259" t="str">
            <v>0</v>
          </cell>
          <cell r="AY259" t="str">
            <v>0</v>
          </cell>
          <cell r="AZ259" t="str">
            <v>0</v>
          </cell>
          <cell r="BA259" t="str">
            <v>0</v>
          </cell>
          <cell r="BB259" t="str">
            <v>0</v>
          </cell>
          <cell r="BC259" t="str">
            <v>0</v>
          </cell>
          <cell r="BD259" t="str">
            <v>0</v>
          </cell>
          <cell r="BE259" t="str">
            <v>0</v>
          </cell>
          <cell r="BF259" t="str">
            <v>0</v>
          </cell>
          <cell r="BG259" t="str">
            <v>0</v>
          </cell>
          <cell r="BH259" t="str">
            <v>0</v>
          </cell>
          <cell r="BI259" t="str">
            <v>0</v>
          </cell>
          <cell r="BJ259" t="str">
            <v>0</v>
          </cell>
          <cell r="BK259" t="str">
            <v>0</v>
          </cell>
          <cell r="BL259" t="str">
            <v>0</v>
          </cell>
          <cell r="BM259" t="str">
            <v>0</v>
          </cell>
          <cell r="BN259" t="str">
            <v>0</v>
          </cell>
          <cell r="BO259" t="str">
            <v>0</v>
          </cell>
          <cell r="BP259" t="str">
            <v>0</v>
          </cell>
          <cell r="BQ259" t="str">
            <v>0</v>
          </cell>
          <cell r="BR259" t="str">
            <v>0</v>
          </cell>
          <cell r="BS259" t="str">
            <v>0</v>
          </cell>
          <cell r="BT259" t="str">
            <v>0</v>
          </cell>
          <cell r="BU259" t="str">
            <v>0</v>
          </cell>
          <cell r="BV259" t="str">
            <v>0</v>
          </cell>
          <cell r="BW259" t="str">
            <v>0</v>
          </cell>
          <cell r="BX259" t="str">
            <v>0</v>
          </cell>
          <cell r="BY259" t="str">
            <v>0</v>
          </cell>
          <cell r="BZ259" t="str">
            <v>0</v>
          </cell>
          <cell r="CA259" t="str">
            <v>0</v>
          </cell>
          <cell r="CB259" t="str">
            <v>0</v>
          </cell>
          <cell r="CC259" t="str">
            <v>0</v>
          </cell>
          <cell r="CD259" t="str">
            <v>0</v>
          </cell>
          <cell r="CE259" t="str">
            <v>0</v>
          </cell>
          <cell r="CF259" t="str">
            <v>0</v>
          </cell>
          <cell r="CG259" t="str">
            <v>0</v>
          </cell>
          <cell r="CH259" t="str">
            <v>0</v>
          </cell>
          <cell r="CI259" t="str">
            <v>0</v>
          </cell>
          <cell r="CJ259" t="str">
            <v>0</v>
          </cell>
          <cell r="CK259" t="str">
            <v>0</v>
          </cell>
          <cell r="CL259" t="str">
            <v>0</v>
          </cell>
          <cell r="CM259" t="str">
            <v>0</v>
          </cell>
          <cell r="CN259" t="str">
            <v>0</v>
          </cell>
          <cell r="CO259" t="str">
            <v>0</v>
          </cell>
          <cell r="CP259" t="str">
            <v>0</v>
          </cell>
          <cell r="CQ259" t="str">
            <v>0</v>
          </cell>
          <cell r="CR259" t="str">
            <v>0</v>
          </cell>
          <cell r="CS259" t="str">
            <v>0</v>
          </cell>
          <cell r="CT259" t="str">
            <v>0</v>
          </cell>
          <cell r="CU259" t="str">
            <v>0</v>
          </cell>
          <cell r="CV259" t="str">
            <v>0</v>
          </cell>
          <cell r="CW259" t="str">
            <v>0</v>
          </cell>
          <cell r="CX259" t="str">
            <v>0</v>
          </cell>
          <cell r="CY259" t="str">
            <v>0</v>
          </cell>
          <cell r="CZ259" t="str">
            <v>0</v>
          </cell>
          <cell r="DA259" t="str">
            <v>0</v>
          </cell>
          <cell r="DB259" t="str">
            <v>0</v>
          </cell>
          <cell r="DC259" t="str">
            <v>0</v>
          </cell>
          <cell r="DD259" t="str">
            <v>0</v>
          </cell>
          <cell r="DE259" t="str">
            <v>0</v>
          </cell>
          <cell r="DF259" t="str">
            <v>0</v>
          </cell>
          <cell r="DG259" t="str">
            <v>0</v>
          </cell>
          <cell r="DH259" t="str">
            <v>0</v>
          </cell>
          <cell r="DI259" t="str">
            <v>0</v>
          </cell>
          <cell r="DJ259" t="str">
            <v>0</v>
          </cell>
          <cell r="DK259" t="str">
            <v>0</v>
          </cell>
          <cell r="DL259" t="str">
            <v>0</v>
          </cell>
          <cell r="DM259" t="str">
            <v>0</v>
          </cell>
          <cell r="DN259" t="str">
            <v>0</v>
          </cell>
          <cell r="DO259" t="str">
            <v>0</v>
          </cell>
          <cell r="DP259" t="str">
            <v>0</v>
          </cell>
        </row>
        <row r="260">
          <cell r="C260"/>
          <cell r="D260" t="str">
            <v>0</v>
          </cell>
          <cell r="E260" t="str">
            <v>0</v>
          </cell>
          <cell r="F260" t="str">
            <v>0</v>
          </cell>
          <cell r="G260" t="str">
            <v>0</v>
          </cell>
          <cell r="H260" t="str">
            <v>0</v>
          </cell>
          <cell r="I260" t="str">
            <v>0</v>
          </cell>
          <cell r="J260" t="str">
            <v>0</v>
          </cell>
          <cell r="K260" t="str">
            <v>0</v>
          </cell>
          <cell r="L260" t="str">
            <v>0</v>
          </cell>
          <cell r="M260" t="str">
            <v>0</v>
          </cell>
          <cell r="N260" t="str">
            <v>0</v>
          </cell>
          <cell r="O260" t="str">
            <v>0</v>
          </cell>
          <cell r="P260" t="str">
            <v>0</v>
          </cell>
          <cell r="Q260" t="str">
            <v>0</v>
          </cell>
          <cell r="R260" t="str">
            <v>0</v>
          </cell>
          <cell r="S260" t="str">
            <v>0</v>
          </cell>
          <cell r="T260" t="str">
            <v>0</v>
          </cell>
          <cell r="U260" t="str">
            <v>0</v>
          </cell>
          <cell r="V260" t="str">
            <v>0</v>
          </cell>
          <cell r="W260" t="str">
            <v>0</v>
          </cell>
          <cell r="X260" t="str">
            <v>0</v>
          </cell>
          <cell r="Y260" t="str">
            <v>0</v>
          </cell>
          <cell r="Z260" t="str">
            <v>0</v>
          </cell>
          <cell r="AA260" t="str">
            <v>0</v>
          </cell>
          <cell r="AB260" t="str">
            <v>0</v>
          </cell>
          <cell r="AC260" t="str">
            <v>0</v>
          </cell>
          <cell r="AD260" t="str">
            <v>0</v>
          </cell>
          <cell r="AE260" t="str">
            <v>0</v>
          </cell>
          <cell r="AF260" t="str">
            <v>0</v>
          </cell>
          <cell r="AG260" t="str">
            <v>0</v>
          </cell>
          <cell r="AH260" t="str">
            <v>0</v>
          </cell>
          <cell r="AI260" t="str">
            <v>0</v>
          </cell>
          <cell r="AJ260" t="str">
            <v>0</v>
          </cell>
          <cell r="AK260" t="str">
            <v>0</v>
          </cell>
          <cell r="AL260" t="str">
            <v>0</v>
          </cell>
          <cell r="AM260" t="str">
            <v>0</v>
          </cell>
          <cell r="AN260" t="str">
            <v>0</v>
          </cell>
          <cell r="AO260" t="str">
            <v>0</v>
          </cell>
          <cell r="AP260" t="str">
            <v>0</v>
          </cell>
          <cell r="AQ260" t="str">
            <v>0</v>
          </cell>
          <cell r="AR260" t="str">
            <v>0</v>
          </cell>
          <cell r="AS260" t="str">
            <v>0</v>
          </cell>
          <cell r="AT260" t="str">
            <v>0</v>
          </cell>
          <cell r="AU260" t="str">
            <v>0</v>
          </cell>
          <cell r="AV260" t="str">
            <v>0</v>
          </cell>
          <cell r="AW260" t="str">
            <v>0</v>
          </cell>
          <cell r="AX260" t="str">
            <v>0</v>
          </cell>
          <cell r="AY260" t="str">
            <v>0</v>
          </cell>
          <cell r="AZ260" t="str">
            <v>0</v>
          </cell>
          <cell r="BA260" t="str">
            <v>0</v>
          </cell>
          <cell r="BB260" t="str">
            <v>0</v>
          </cell>
          <cell r="BC260" t="str">
            <v>0</v>
          </cell>
          <cell r="BD260" t="str">
            <v>0</v>
          </cell>
          <cell r="BE260" t="str">
            <v>0</v>
          </cell>
          <cell r="BF260" t="str">
            <v>0</v>
          </cell>
          <cell r="BG260" t="str">
            <v>0</v>
          </cell>
          <cell r="BH260" t="str">
            <v>0</v>
          </cell>
          <cell r="BI260" t="str">
            <v>0</v>
          </cell>
          <cell r="BJ260" t="str">
            <v>0</v>
          </cell>
          <cell r="BK260" t="str">
            <v>0</v>
          </cell>
          <cell r="BL260" t="str">
            <v>0</v>
          </cell>
          <cell r="BM260" t="str">
            <v>0</v>
          </cell>
          <cell r="BN260" t="str">
            <v>0</v>
          </cell>
          <cell r="BO260" t="str">
            <v>0</v>
          </cell>
          <cell r="BP260" t="str">
            <v>0</v>
          </cell>
          <cell r="BQ260" t="str">
            <v>0</v>
          </cell>
          <cell r="BR260" t="str">
            <v>0</v>
          </cell>
          <cell r="BS260" t="str">
            <v>0</v>
          </cell>
          <cell r="BT260" t="str">
            <v>0</v>
          </cell>
          <cell r="BU260" t="str">
            <v>0</v>
          </cell>
          <cell r="BV260" t="str">
            <v>0</v>
          </cell>
          <cell r="BW260" t="str">
            <v>0</v>
          </cell>
          <cell r="BX260" t="str">
            <v>0</v>
          </cell>
          <cell r="BY260" t="str">
            <v>0</v>
          </cell>
          <cell r="BZ260" t="str">
            <v>0</v>
          </cell>
          <cell r="CA260" t="str">
            <v>0</v>
          </cell>
          <cell r="CB260" t="str">
            <v>0</v>
          </cell>
          <cell r="CC260" t="str">
            <v>0</v>
          </cell>
          <cell r="CD260" t="str">
            <v>0</v>
          </cell>
          <cell r="CE260" t="str">
            <v>0</v>
          </cell>
          <cell r="CF260" t="str">
            <v>0</v>
          </cell>
          <cell r="CG260" t="str">
            <v>0</v>
          </cell>
          <cell r="CH260" t="str">
            <v>0</v>
          </cell>
          <cell r="CI260" t="str">
            <v>0</v>
          </cell>
          <cell r="CJ260" t="str">
            <v>0</v>
          </cell>
          <cell r="CK260" t="str">
            <v>0</v>
          </cell>
          <cell r="CL260" t="str">
            <v>0</v>
          </cell>
          <cell r="CM260" t="str">
            <v>0</v>
          </cell>
          <cell r="CN260" t="str">
            <v>0</v>
          </cell>
          <cell r="CO260" t="str">
            <v>0</v>
          </cell>
          <cell r="CP260" t="str">
            <v>0</v>
          </cell>
          <cell r="CQ260" t="str">
            <v>0</v>
          </cell>
          <cell r="CR260" t="str">
            <v>0</v>
          </cell>
          <cell r="CS260" t="str">
            <v>0</v>
          </cell>
          <cell r="CT260" t="str">
            <v>0</v>
          </cell>
          <cell r="CU260" t="str">
            <v>0</v>
          </cell>
          <cell r="CV260" t="str">
            <v>0</v>
          </cell>
          <cell r="CW260" t="str">
            <v>0</v>
          </cell>
          <cell r="CX260" t="str">
            <v>0</v>
          </cell>
          <cell r="CY260" t="str">
            <v>0</v>
          </cell>
          <cell r="CZ260" t="str">
            <v>0</v>
          </cell>
          <cell r="DA260" t="str">
            <v>0</v>
          </cell>
          <cell r="DB260" t="str">
            <v>0</v>
          </cell>
          <cell r="DC260" t="str">
            <v>0</v>
          </cell>
          <cell r="DD260" t="str">
            <v>0</v>
          </cell>
          <cell r="DE260" t="str">
            <v>0</v>
          </cell>
          <cell r="DF260" t="str">
            <v>0</v>
          </cell>
          <cell r="DG260" t="str">
            <v>0</v>
          </cell>
          <cell r="DH260" t="str">
            <v>0</v>
          </cell>
          <cell r="DI260" t="str">
            <v>0</v>
          </cell>
          <cell r="DJ260" t="str">
            <v>0</v>
          </cell>
          <cell r="DK260" t="str">
            <v>0</v>
          </cell>
          <cell r="DL260" t="str">
            <v>0</v>
          </cell>
          <cell r="DM260" t="str">
            <v>0</v>
          </cell>
          <cell r="DN260" t="str">
            <v>0</v>
          </cell>
          <cell r="DO260" t="str">
            <v>0</v>
          </cell>
          <cell r="DP260" t="str">
            <v>0</v>
          </cell>
        </row>
        <row r="261">
          <cell r="C261"/>
          <cell r="D261" t="str">
            <v>0</v>
          </cell>
          <cell r="E261" t="str">
            <v>0</v>
          </cell>
          <cell r="F261" t="str">
            <v>0</v>
          </cell>
          <cell r="G261" t="str">
            <v>0</v>
          </cell>
          <cell r="H261" t="str">
            <v>0</v>
          </cell>
          <cell r="I261" t="str">
            <v>0</v>
          </cell>
          <cell r="J261" t="str">
            <v>0</v>
          </cell>
          <cell r="K261" t="str">
            <v>0</v>
          </cell>
          <cell r="L261" t="str">
            <v>0</v>
          </cell>
          <cell r="M261" t="str">
            <v>0</v>
          </cell>
          <cell r="N261" t="str">
            <v>0</v>
          </cell>
          <cell r="O261" t="str">
            <v>0</v>
          </cell>
          <cell r="P261" t="str">
            <v>0</v>
          </cell>
          <cell r="Q261" t="str">
            <v>0</v>
          </cell>
          <cell r="R261" t="str">
            <v>0</v>
          </cell>
          <cell r="S261" t="str">
            <v>0</v>
          </cell>
          <cell r="T261" t="str">
            <v>0</v>
          </cell>
          <cell r="U261" t="str">
            <v>0</v>
          </cell>
          <cell r="V261" t="str">
            <v>0</v>
          </cell>
          <cell r="W261" t="str">
            <v>0</v>
          </cell>
          <cell r="X261" t="str">
            <v>0</v>
          </cell>
          <cell r="Y261" t="str">
            <v>0</v>
          </cell>
          <cell r="Z261" t="str">
            <v>0</v>
          </cell>
          <cell r="AA261" t="str">
            <v>0</v>
          </cell>
          <cell r="AB261" t="str">
            <v>0</v>
          </cell>
          <cell r="AC261" t="str">
            <v>0</v>
          </cell>
          <cell r="AD261" t="str">
            <v>0</v>
          </cell>
          <cell r="AE261" t="str">
            <v>0</v>
          </cell>
          <cell r="AF261" t="str">
            <v>0</v>
          </cell>
          <cell r="AG261" t="str">
            <v>0</v>
          </cell>
          <cell r="AH261" t="str">
            <v>0</v>
          </cell>
          <cell r="AI261" t="str">
            <v>0</v>
          </cell>
          <cell r="AJ261" t="str">
            <v>0</v>
          </cell>
          <cell r="AK261" t="str">
            <v>0</v>
          </cell>
          <cell r="AL261" t="str">
            <v>0</v>
          </cell>
          <cell r="AM261" t="str">
            <v>0</v>
          </cell>
          <cell r="AN261" t="str">
            <v>0</v>
          </cell>
          <cell r="AO261" t="str">
            <v>0</v>
          </cell>
          <cell r="AP261" t="str">
            <v>0</v>
          </cell>
          <cell r="AQ261" t="str">
            <v>0</v>
          </cell>
          <cell r="AR261" t="str">
            <v>0</v>
          </cell>
          <cell r="AS261" t="str">
            <v>0</v>
          </cell>
          <cell r="AT261" t="str">
            <v>0</v>
          </cell>
          <cell r="AU261" t="str">
            <v>0</v>
          </cell>
          <cell r="AV261" t="str">
            <v>0</v>
          </cell>
          <cell r="AW261" t="str">
            <v>0</v>
          </cell>
          <cell r="AX261" t="str">
            <v>0</v>
          </cell>
          <cell r="AY261" t="str">
            <v>0</v>
          </cell>
          <cell r="AZ261" t="str">
            <v>0</v>
          </cell>
          <cell r="BA261" t="str">
            <v>0</v>
          </cell>
          <cell r="BB261" t="str">
            <v>0</v>
          </cell>
          <cell r="BC261" t="str">
            <v>0</v>
          </cell>
          <cell r="BD261" t="str">
            <v>0</v>
          </cell>
          <cell r="BE261" t="str">
            <v>0</v>
          </cell>
          <cell r="BF261" t="str">
            <v>0</v>
          </cell>
          <cell r="BG261" t="str">
            <v>0</v>
          </cell>
          <cell r="BH261" t="str">
            <v>0</v>
          </cell>
          <cell r="BI261" t="str">
            <v>0</v>
          </cell>
          <cell r="BJ261" t="str">
            <v>0</v>
          </cell>
          <cell r="BK261" t="str">
            <v>0</v>
          </cell>
          <cell r="BL261" t="str">
            <v>0</v>
          </cell>
          <cell r="BM261" t="str">
            <v>0</v>
          </cell>
          <cell r="BN261" t="str">
            <v>0</v>
          </cell>
          <cell r="BO261" t="str">
            <v>0</v>
          </cell>
          <cell r="BP261" t="str">
            <v>0</v>
          </cell>
          <cell r="BQ261" t="str">
            <v>0</v>
          </cell>
          <cell r="BR261" t="str">
            <v>0</v>
          </cell>
          <cell r="BS261" t="str">
            <v>0</v>
          </cell>
          <cell r="BT261" t="str">
            <v>0</v>
          </cell>
          <cell r="BU261" t="str">
            <v>0</v>
          </cell>
          <cell r="BV261" t="str">
            <v>0</v>
          </cell>
          <cell r="BW261" t="str">
            <v>0</v>
          </cell>
          <cell r="BX261" t="str">
            <v>0</v>
          </cell>
          <cell r="BY261" t="str">
            <v>0</v>
          </cell>
          <cell r="BZ261" t="str">
            <v>0</v>
          </cell>
          <cell r="CA261" t="str">
            <v>0</v>
          </cell>
          <cell r="CB261" t="str">
            <v>0</v>
          </cell>
          <cell r="CC261" t="str">
            <v>0</v>
          </cell>
          <cell r="CD261" t="str">
            <v>0</v>
          </cell>
          <cell r="CE261" t="str">
            <v>0</v>
          </cell>
          <cell r="CF261" t="str">
            <v>0</v>
          </cell>
          <cell r="CG261" t="str">
            <v>0</v>
          </cell>
          <cell r="CH261" t="str">
            <v>0</v>
          </cell>
          <cell r="CI261" t="str">
            <v>0</v>
          </cell>
          <cell r="CJ261" t="str">
            <v>0</v>
          </cell>
          <cell r="CK261" t="str">
            <v>0</v>
          </cell>
          <cell r="CL261" t="str">
            <v>0</v>
          </cell>
          <cell r="CM261" t="str">
            <v>0</v>
          </cell>
          <cell r="CN261" t="str">
            <v>0</v>
          </cell>
          <cell r="CO261" t="str">
            <v>0</v>
          </cell>
          <cell r="CP261" t="str">
            <v>0</v>
          </cell>
          <cell r="CQ261" t="str">
            <v>0</v>
          </cell>
          <cell r="CR261" t="str">
            <v>0</v>
          </cell>
          <cell r="CS261" t="str">
            <v>0</v>
          </cell>
          <cell r="CT261" t="str">
            <v>0</v>
          </cell>
          <cell r="CU261" t="str">
            <v>0</v>
          </cell>
          <cell r="CV261" t="str">
            <v>0</v>
          </cell>
          <cell r="CW261" t="str">
            <v>0</v>
          </cell>
          <cell r="CX261" t="str">
            <v>0</v>
          </cell>
          <cell r="CY261" t="str">
            <v>0</v>
          </cell>
          <cell r="CZ261" t="str">
            <v>0</v>
          </cell>
          <cell r="DA261" t="str">
            <v>0</v>
          </cell>
          <cell r="DB261" t="str">
            <v>0</v>
          </cell>
          <cell r="DC261" t="str">
            <v>0</v>
          </cell>
          <cell r="DD261" t="str">
            <v>0</v>
          </cell>
          <cell r="DE261" t="str">
            <v>0</v>
          </cell>
          <cell r="DF261" t="str">
            <v>0</v>
          </cell>
          <cell r="DG261" t="str">
            <v>0</v>
          </cell>
          <cell r="DH261" t="str">
            <v>0</v>
          </cell>
          <cell r="DI261" t="str">
            <v>0</v>
          </cell>
          <cell r="DJ261" t="str">
            <v>0</v>
          </cell>
          <cell r="DK261" t="str">
            <v>0</v>
          </cell>
          <cell r="DL261" t="str">
            <v>0</v>
          </cell>
          <cell r="DM261" t="str">
            <v>0</v>
          </cell>
          <cell r="DN261" t="str">
            <v>0</v>
          </cell>
          <cell r="DO261" t="str">
            <v>0</v>
          </cell>
          <cell r="DP261" t="str">
            <v>0</v>
          </cell>
        </row>
        <row r="262">
          <cell r="C262"/>
          <cell r="D262" t="str">
            <v>0</v>
          </cell>
          <cell r="E262" t="str">
            <v>0</v>
          </cell>
          <cell r="F262" t="str">
            <v>0</v>
          </cell>
          <cell r="G262" t="str">
            <v>0</v>
          </cell>
          <cell r="H262" t="str">
            <v>0</v>
          </cell>
          <cell r="I262" t="str">
            <v>0</v>
          </cell>
          <cell r="J262" t="str">
            <v>0</v>
          </cell>
          <cell r="K262" t="str">
            <v>0</v>
          </cell>
          <cell r="L262" t="str">
            <v>0</v>
          </cell>
          <cell r="M262" t="str">
            <v>0</v>
          </cell>
          <cell r="N262" t="str">
            <v>0</v>
          </cell>
          <cell r="O262" t="str">
            <v>0</v>
          </cell>
          <cell r="P262" t="str">
            <v>0</v>
          </cell>
          <cell r="Q262" t="str">
            <v>0</v>
          </cell>
          <cell r="R262" t="str">
            <v>0</v>
          </cell>
          <cell r="S262" t="str">
            <v>0</v>
          </cell>
          <cell r="T262" t="str">
            <v>0</v>
          </cell>
          <cell r="U262" t="str">
            <v>0</v>
          </cell>
          <cell r="V262" t="str">
            <v>0</v>
          </cell>
          <cell r="W262" t="str">
            <v>0</v>
          </cell>
          <cell r="X262" t="str">
            <v>0</v>
          </cell>
          <cell r="Y262" t="str">
            <v>0</v>
          </cell>
          <cell r="Z262" t="str">
            <v>0</v>
          </cell>
          <cell r="AA262" t="str">
            <v>0</v>
          </cell>
          <cell r="AB262" t="str">
            <v>0</v>
          </cell>
          <cell r="AC262" t="str">
            <v>0</v>
          </cell>
          <cell r="AD262" t="str">
            <v>0</v>
          </cell>
          <cell r="AE262" t="str">
            <v>0</v>
          </cell>
          <cell r="AF262" t="str">
            <v>0</v>
          </cell>
          <cell r="AG262" t="str">
            <v>0</v>
          </cell>
          <cell r="AH262" t="str">
            <v>0</v>
          </cell>
          <cell r="AI262" t="str">
            <v>0</v>
          </cell>
          <cell r="AJ262" t="str">
            <v>0</v>
          </cell>
          <cell r="AK262" t="str">
            <v>0</v>
          </cell>
          <cell r="AL262" t="str">
            <v>0</v>
          </cell>
          <cell r="AM262" t="str">
            <v>0</v>
          </cell>
          <cell r="AN262" t="str">
            <v>0</v>
          </cell>
          <cell r="AO262" t="str">
            <v>0</v>
          </cell>
          <cell r="AP262" t="str">
            <v>0</v>
          </cell>
          <cell r="AQ262" t="str">
            <v>0</v>
          </cell>
          <cell r="AR262" t="str">
            <v>0</v>
          </cell>
          <cell r="AS262" t="str">
            <v>0</v>
          </cell>
          <cell r="AT262" t="str">
            <v>0</v>
          </cell>
          <cell r="AU262" t="str">
            <v>0</v>
          </cell>
          <cell r="AV262" t="str">
            <v>0</v>
          </cell>
          <cell r="AW262" t="str">
            <v>0</v>
          </cell>
          <cell r="AX262" t="str">
            <v>0</v>
          </cell>
          <cell r="AY262" t="str">
            <v>0</v>
          </cell>
          <cell r="AZ262" t="str">
            <v>0</v>
          </cell>
          <cell r="BA262" t="str">
            <v>0</v>
          </cell>
          <cell r="BB262" t="str">
            <v>0</v>
          </cell>
          <cell r="BC262" t="str">
            <v>0</v>
          </cell>
          <cell r="BD262" t="str">
            <v>0</v>
          </cell>
          <cell r="BE262" t="str">
            <v>0</v>
          </cell>
          <cell r="BF262" t="str">
            <v>0</v>
          </cell>
          <cell r="BG262" t="str">
            <v>0</v>
          </cell>
          <cell r="BH262" t="str">
            <v>0</v>
          </cell>
          <cell r="BI262" t="str">
            <v>0</v>
          </cell>
          <cell r="BJ262" t="str">
            <v>0</v>
          </cell>
          <cell r="BK262" t="str">
            <v>0</v>
          </cell>
          <cell r="BL262" t="str">
            <v>0</v>
          </cell>
          <cell r="BM262" t="str">
            <v>0</v>
          </cell>
          <cell r="BN262" t="str">
            <v>0</v>
          </cell>
          <cell r="BO262" t="str">
            <v>0</v>
          </cell>
          <cell r="BP262" t="str">
            <v>0</v>
          </cell>
          <cell r="BQ262" t="str">
            <v>0</v>
          </cell>
          <cell r="BR262" t="str">
            <v>0</v>
          </cell>
          <cell r="BS262" t="str">
            <v>0</v>
          </cell>
          <cell r="BT262" t="str">
            <v>0</v>
          </cell>
          <cell r="BU262" t="str">
            <v>0</v>
          </cell>
          <cell r="BV262" t="str">
            <v>0</v>
          </cell>
          <cell r="BW262" t="str">
            <v>0</v>
          </cell>
          <cell r="BX262" t="str">
            <v>0</v>
          </cell>
          <cell r="BY262" t="str">
            <v>0</v>
          </cell>
          <cell r="BZ262" t="str">
            <v>0</v>
          </cell>
          <cell r="CA262" t="str">
            <v>0</v>
          </cell>
          <cell r="CB262" t="str">
            <v>0</v>
          </cell>
          <cell r="CC262" t="str">
            <v>0</v>
          </cell>
          <cell r="CD262" t="str">
            <v>0</v>
          </cell>
          <cell r="CE262" t="str">
            <v>0</v>
          </cell>
          <cell r="CF262" t="str">
            <v>0</v>
          </cell>
          <cell r="CG262" t="str">
            <v>0</v>
          </cell>
          <cell r="CH262" t="str">
            <v>0</v>
          </cell>
          <cell r="CI262" t="str">
            <v>0</v>
          </cell>
          <cell r="CJ262" t="str">
            <v>0</v>
          </cell>
          <cell r="CK262" t="str">
            <v>0</v>
          </cell>
          <cell r="CL262" t="str">
            <v>0</v>
          </cell>
          <cell r="CM262" t="str">
            <v>0</v>
          </cell>
          <cell r="CN262" t="str">
            <v>0</v>
          </cell>
          <cell r="CO262" t="str">
            <v>0</v>
          </cell>
          <cell r="CP262" t="str">
            <v>0</v>
          </cell>
          <cell r="CQ262" t="str">
            <v>0</v>
          </cell>
          <cell r="CR262" t="str">
            <v>0</v>
          </cell>
          <cell r="CS262" t="str">
            <v>0</v>
          </cell>
          <cell r="CT262" t="str">
            <v>0</v>
          </cell>
          <cell r="CU262" t="str">
            <v>0</v>
          </cell>
          <cell r="CV262" t="str">
            <v>0</v>
          </cell>
          <cell r="CW262" t="str">
            <v>0</v>
          </cell>
          <cell r="CX262" t="str">
            <v>0</v>
          </cell>
          <cell r="CY262" t="str">
            <v>0</v>
          </cell>
          <cell r="CZ262" t="str">
            <v>0</v>
          </cell>
          <cell r="DA262" t="str">
            <v>0</v>
          </cell>
          <cell r="DB262" t="str">
            <v>0</v>
          </cell>
          <cell r="DC262" t="str">
            <v>0</v>
          </cell>
          <cell r="DD262" t="str">
            <v>0</v>
          </cell>
          <cell r="DE262" t="str">
            <v>0</v>
          </cell>
          <cell r="DF262" t="str">
            <v>0</v>
          </cell>
          <cell r="DG262" t="str">
            <v>0</v>
          </cell>
          <cell r="DH262" t="str">
            <v>0</v>
          </cell>
          <cell r="DI262" t="str">
            <v>0</v>
          </cell>
          <cell r="DJ262" t="str">
            <v>0</v>
          </cell>
          <cell r="DK262" t="str">
            <v>0</v>
          </cell>
          <cell r="DL262" t="str">
            <v>0</v>
          </cell>
          <cell r="DM262" t="str">
            <v>0</v>
          </cell>
          <cell r="DN262" t="str">
            <v>0</v>
          </cell>
          <cell r="DO262" t="str">
            <v>0</v>
          </cell>
          <cell r="DP262" t="str">
            <v>0</v>
          </cell>
        </row>
        <row r="263">
          <cell r="C263"/>
          <cell r="D263" t="str">
            <v>0</v>
          </cell>
          <cell r="E263" t="str">
            <v>0</v>
          </cell>
          <cell r="F263" t="str">
            <v>0</v>
          </cell>
          <cell r="G263" t="str">
            <v>0</v>
          </cell>
          <cell r="H263" t="str">
            <v>0</v>
          </cell>
          <cell r="I263" t="str">
            <v>0</v>
          </cell>
          <cell r="J263" t="str">
            <v>0</v>
          </cell>
          <cell r="K263" t="str">
            <v>0</v>
          </cell>
          <cell r="L263" t="str">
            <v>0</v>
          </cell>
          <cell r="M263" t="str">
            <v>0</v>
          </cell>
          <cell r="N263" t="str">
            <v>0</v>
          </cell>
          <cell r="O263" t="str">
            <v>0</v>
          </cell>
          <cell r="P263" t="str">
            <v>0</v>
          </cell>
          <cell r="Q263" t="str">
            <v>0</v>
          </cell>
          <cell r="R263" t="str">
            <v>0</v>
          </cell>
          <cell r="S263" t="str">
            <v>0</v>
          </cell>
          <cell r="T263" t="str">
            <v>0</v>
          </cell>
          <cell r="U263" t="str">
            <v>0</v>
          </cell>
          <cell r="V263" t="str">
            <v>0</v>
          </cell>
          <cell r="W263" t="str">
            <v>0</v>
          </cell>
          <cell r="X263" t="str">
            <v>0</v>
          </cell>
          <cell r="Y263" t="str">
            <v>0</v>
          </cell>
          <cell r="Z263" t="str">
            <v>0</v>
          </cell>
          <cell r="AA263" t="str">
            <v>0</v>
          </cell>
          <cell r="AB263" t="str">
            <v>0</v>
          </cell>
          <cell r="AC263" t="str">
            <v>0</v>
          </cell>
          <cell r="AD263" t="str">
            <v>0</v>
          </cell>
          <cell r="AE263" t="str">
            <v>0</v>
          </cell>
          <cell r="AF263" t="str">
            <v>0</v>
          </cell>
          <cell r="AG263" t="str">
            <v>0</v>
          </cell>
          <cell r="AH263" t="str">
            <v>0</v>
          </cell>
          <cell r="AI263" t="str">
            <v>0</v>
          </cell>
          <cell r="AJ263" t="str">
            <v>0</v>
          </cell>
          <cell r="AK263" t="str">
            <v>0</v>
          </cell>
          <cell r="AL263" t="str">
            <v>0</v>
          </cell>
          <cell r="AM263" t="str">
            <v>0</v>
          </cell>
          <cell r="AN263" t="str">
            <v>0</v>
          </cell>
          <cell r="AO263" t="str">
            <v>0</v>
          </cell>
          <cell r="AP263" t="str">
            <v>0</v>
          </cell>
          <cell r="AQ263" t="str">
            <v>0</v>
          </cell>
          <cell r="AR263" t="str">
            <v>0</v>
          </cell>
          <cell r="AS263" t="str">
            <v>0</v>
          </cell>
          <cell r="AT263" t="str">
            <v>0</v>
          </cell>
          <cell r="AU263" t="str">
            <v>0</v>
          </cell>
          <cell r="AV263" t="str">
            <v>0</v>
          </cell>
          <cell r="AW263" t="str">
            <v>0</v>
          </cell>
          <cell r="AX263" t="str">
            <v>0</v>
          </cell>
          <cell r="AY263" t="str">
            <v>0</v>
          </cell>
          <cell r="AZ263" t="str">
            <v>0</v>
          </cell>
          <cell r="BA263" t="str">
            <v>0</v>
          </cell>
          <cell r="BB263" t="str">
            <v>0</v>
          </cell>
          <cell r="BC263" t="str">
            <v>0</v>
          </cell>
          <cell r="BD263" t="str">
            <v>0</v>
          </cell>
          <cell r="BE263" t="str">
            <v>0</v>
          </cell>
          <cell r="BF263" t="str">
            <v>0</v>
          </cell>
          <cell r="BG263" t="str">
            <v>0</v>
          </cell>
          <cell r="BH263" t="str">
            <v>0</v>
          </cell>
          <cell r="BI263" t="str">
            <v>0</v>
          </cell>
          <cell r="BJ263" t="str">
            <v>0</v>
          </cell>
          <cell r="BK263" t="str">
            <v>0</v>
          </cell>
          <cell r="BL263" t="str">
            <v>0</v>
          </cell>
          <cell r="BM263" t="str">
            <v>0</v>
          </cell>
          <cell r="BN263" t="str">
            <v>0</v>
          </cell>
          <cell r="BO263" t="str">
            <v>0</v>
          </cell>
          <cell r="BP263" t="str">
            <v>0</v>
          </cell>
          <cell r="BQ263" t="str">
            <v>0</v>
          </cell>
          <cell r="BR263" t="str">
            <v>0</v>
          </cell>
          <cell r="BS263" t="str">
            <v>0</v>
          </cell>
          <cell r="BT263" t="str">
            <v>0</v>
          </cell>
          <cell r="BU263" t="str">
            <v>0</v>
          </cell>
          <cell r="BV263" t="str">
            <v>0</v>
          </cell>
          <cell r="BW263" t="str">
            <v>0</v>
          </cell>
          <cell r="BX263" t="str">
            <v>0</v>
          </cell>
          <cell r="BY263" t="str">
            <v>0</v>
          </cell>
          <cell r="BZ263" t="str">
            <v>0</v>
          </cell>
          <cell r="CA263" t="str">
            <v>0</v>
          </cell>
          <cell r="CB263" t="str">
            <v>0</v>
          </cell>
          <cell r="CC263" t="str">
            <v>0</v>
          </cell>
          <cell r="CD263" t="str">
            <v>0</v>
          </cell>
          <cell r="CE263" t="str">
            <v>0</v>
          </cell>
          <cell r="CF263" t="str">
            <v>0</v>
          </cell>
          <cell r="CG263" t="str">
            <v>0</v>
          </cell>
          <cell r="CH263" t="str">
            <v>0</v>
          </cell>
          <cell r="CI263" t="str">
            <v>0</v>
          </cell>
          <cell r="CJ263" t="str">
            <v>0</v>
          </cell>
          <cell r="CK263" t="str">
            <v>0</v>
          </cell>
          <cell r="CL263" t="str">
            <v>0</v>
          </cell>
          <cell r="CM263" t="str">
            <v>0</v>
          </cell>
          <cell r="CN263" t="str">
            <v>0</v>
          </cell>
          <cell r="CO263" t="str">
            <v>0</v>
          </cell>
          <cell r="CP263" t="str">
            <v>0</v>
          </cell>
          <cell r="CQ263" t="str">
            <v>0</v>
          </cell>
          <cell r="CR263" t="str">
            <v>0</v>
          </cell>
          <cell r="CS263" t="str">
            <v>0</v>
          </cell>
          <cell r="CT263" t="str">
            <v>0</v>
          </cell>
          <cell r="CU263" t="str">
            <v>0</v>
          </cell>
          <cell r="CV263" t="str">
            <v>0</v>
          </cell>
          <cell r="CW263" t="str">
            <v>0</v>
          </cell>
          <cell r="CX263" t="str">
            <v>0</v>
          </cell>
          <cell r="CY263" t="str">
            <v>0</v>
          </cell>
          <cell r="CZ263" t="str">
            <v>0</v>
          </cell>
          <cell r="DA263" t="str">
            <v>0</v>
          </cell>
          <cell r="DB263" t="str">
            <v>0</v>
          </cell>
          <cell r="DC263" t="str">
            <v>0</v>
          </cell>
          <cell r="DD263" t="str">
            <v>0</v>
          </cell>
          <cell r="DE263" t="str">
            <v>0</v>
          </cell>
          <cell r="DF263" t="str">
            <v>0</v>
          </cell>
          <cell r="DG263" t="str">
            <v>0</v>
          </cell>
          <cell r="DH263" t="str">
            <v>0</v>
          </cell>
          <cell r="DI263" t="str">
            <v>0</v>
          </cell>
          <cell r="DJ263" t="str">
            <v>0</v>
          </cell>
          <cell r="DK263" t="str">
            <v>0</v>
          </cell>
          <cell r="DL263" t="str">
            <v>0</v>
          </cell>
          <cell r="DM263" t="str">
            <v>0</v>
          </cell>
          <cell r="DN263" t="str">
            <v>0</v>
          </cell>
          <cell r="DO263" t="str">
            <v>0</v>
          </cell>
          <cell r="DP263" t="str">
            <v>0</v>
          </cell>
        </row>
        <row r="264">
          <cell r="C264"/>
          <cell r="D264" t="str">
            <v>0</v>
          </cell>
          <cell r="E264" t="str">
            <v>0</v>
          </cell>
          <cell r="F264" t="str">
            <v>0</v>
          </cell>
          <cell r="G264" t="str">
            <v>0</v>
          </cell>
          <cell r="H264" t="str">
            <v>0</v>
          </cell>
          <cell r="I264" t="str">
            <v>0</v>
          </cell>
          <cell r="J264" t="str">
            <v>0</v>
          </cell>
          <cell r="K264" t="str">
            <v>0</v>
          </cell>
          <cell r="L264" t="str">
            <v>0</v>
          </cell>
          <cell r="M264" t="str">
            <v>0</v>
          </cell>
          <cell r="N264" t="str">
            <v>0</v>
          </cell>
          <cell r="O264" t="str">
            <v>0</v>
          </cell>
          <cell r="P264" t="str">
            <v>0</v>
          </cell>
          <cell r="Q264" t="str">
            <v>0</v>
          </cell>
          <cell r="R264" t="str">
            <v>0</v>
          </cell>
          <cell r="S264" t="str">
            <v>0</v>
          </cell>
          <cell r="T264" t="str">
            <v>0</v>
          </cell>
          <cell r="U264" t="str">
            <v>0</v>
          </cell>
          <cell r="V264" t="str">
            <v>0</v>
          </cell>
          <cell r="W264" t="str">
            <v>0</v>
          </cell>
          <cell r="X264" t="str">
            <v>0</v>
          </cell>
          <cell r="Y264" t="str">
            <v>0</v>
          </cell>
          <cell r="Z264" t="str">
            <v>0</v>
          </cell>
          <cell r="AA264" t="str">
            <v>0</v>
          </cell>
          <cell r="AB264" t="str">
            <v>0</v>
          </cell>
          <cell r="AC264" t="str">
            <v>0</v>
          </cell>
          <cell r="AD264" t="str">
            <v>0</v>
          </cell>
          <cell r="AE264" t="str">
            <v>0</v>
          </cell>
          <cell r="AF264" t="str">
            <v>0</v>
          </cell>
          <cell r="AG264" t="str">
            <v>0</v>
          </cell>
          <cell r="AH264" t="str">
            <v>0</v>
          </cell>
          <cell r="AI264" t="str">
            <v>0</v>
          </cell>
          <cell r="AJ264" t="str">
            <v>0</v>
          </cell>
          <cell r="AK264" t="str">
            <v>0</v>
          </cell>
          <cell r="AL264" t="str">
            <v>0</v>
          </cell>
          <cell r="AM264" t="str">
            <v>0</v>
          </cell>
          <cell r="AN264" t="str">
            <v>0</v>
          </cell>
          <cell r="AO264" t="str">
            <v>0</v>
          </cell>
          <cell r="AP264" t="str">
            <v>0</v>
          </cell>
          <cell r="AQ264" t="str">
            <v>0</v>
          </cell>
          <cell r="AR264" t="str">
            <v>0</v>
          </cell>
          <cell r="AS264" t="str">
            <v>0</v>
          </cell>
          <cell r="AT264" t="str">
            <v>0</v>
          </cell>
          <cell r="AU264" t="str">
            <v>0</v>
          </cell>
          <cell r="AV264" t="str">
            <v>0</v>
          </cell>
          <cell r="AW264" t="str">
            <v>0</v>
          </cell>
          <cell r="AX264" t="str">
            <v>0</v>
          </cell>
          <cell r="AY264" t="str">
            <v>0</v>
          </cell>
          <cell r="AZ264" t="str">
            <v>0</v>
          </cell>
          <cell r="BA264" t="str">
            <v>0</v>
          </cell>
          <cell r="BB264" t="str">
            <v>0</v>
          </cell>
          <cell r="BC264" t="str">
            <v>0</v>
          </cell>
          <cell r="BD264" t="str">
            <v>0</v>
          </cell>
          <cell r="BE264" t="str">
            <v>0</v>
          </cell>
          <cell r="BF264" t="str">
            <v>0</v>
          </cell>
          <cell r="BG264" t="str">
            <v>0</v>
          </cell>
          <cell r="BH264" t="str">
            <v>0</v>
          </cell>
          <cell r="BI264" t="str">
            <v>0</v>
          </cell>
          <cell r="BJ264" t="str">
            <v>0</v>
          </cell>
          <cell r="BK264" t="str">
            <v>0</v>
          </cell>
          <cell r="BL264" t="str">
            <v>0</v>
          </cell>
          <cell r="BM264" t="str">
            <v>0</v>
          </cell>
          <cell r="BN264" t="str">
            <v>0</v>
          </cell>
          <cell r="BO264" t="str">
            <v>0</v>
          </cell>
          <cell r="BP264" t="str">
            <v>0</v>
          </cell>
          <cell r="BQ264" t="str">
            <v>0</v>
          </cell>
          <cell r="BR264" t="str">
            <v>0</v>
          </cell>
          <cell r="BS264" t="str">
            <v>0</v>
          </cell>
          <cell r="BT264" t="str">
            <v>0</v>
          </cell>
          <cell r="BU264" t="str">
            <v>0</v>
          </cell>
          <cell r="BV264" t="str">
            <v>0</v>
          </cell>
          <cell r="BW264" t="str">
            <v>0</v>
          </cell>
          <cell r="BX264" t="str">
            <v>0</v>
          </cell>
          <cell r="BY264" t="str">
            <v>0</v>
          </cell>
          <cell r="BZ264" t="str">
            <v>0</v>
          </cell>
          <cell r="CA264" t="str">
            <v>0</v>
          </cell>
          <cell r="CB264" t="str">
            <v>0</v>
          </cell>
          <cell r="CC264" t="str">
            <v>0</v>
          </cell>
          <cell r="CD264" t="str">
            <v>0</v>
          </cell>
          <cell r="CE264" t="str">
            <v>0</v>
          </cell>
          <cell r="CF264" t="str">
            <v>0</v>
          </cell>
          <cell r="CG264" t="str">
            <v>0</v>
          </cell>
          <cell r="CH264" t="str">
            <v>0</v>
          </cell>
          <cell r="CI264" t="str">
            <v>0</v>
          </cell>
          <cell r="CJ264" t="str">
            <v>0</v>
          </cell>
          <cell r="CK264" t="str">
            <v>0</v>
          </cell>
          <cell r="CL264" t="str">
            <v>0</v>
          </cell>
          <cell r="CM264" t="str">
            <v>0</v>
          </cell>
          <cell r="CN264" t="str">
            <v>0</v>
          </cell>
          <cell r="CO264" t="str">
            <v>0</v>
          </cell>
          <cell r="CP264" t="str">
            <v>0</v>
          </cell>
          <cell r="CQ264" t="str">
            <v>0</v>
          </cell>
          <cell r="CR264" t="str">
            <v>0</v>
          </cell>
          <cell r="CS264" t="str">
            <v>0</v>
          </cell>
          <cell r="CT264" t="str">
            <v>0</v>
          </cell>
          <cell r="CU264" t="str">
            <v>0</v>
          </cell>
          <cell r="CV264" t="str">
            <v>0</v>
          </cell>
          <cell r="CW264" t="str">
            <v>0</v>
          </cell>
          <cell r="CX264" t="str">
            <v>0</v>
          </cell>
          <cell r="CY264" t="str">
            <v>0</v>
          </cell>
          <cell r="CZ264" t="str">
            <v>0</v>
          </cell>
          <cell r="DA264" t="str">
            <v>0</v>
          </cell>
          <cell r="DB264" t="str">
            <v>0</v>
          </cell>
          <cell r="DC264" t="str">
            <v>0</v>
          </cell>
          <cell r="DD264" t="str">
            <v>0</v>
          </cell>
          <cell r="DE264" t="str">
            <v>0</v>
          </cell>
          <cell r="DF264" t="str">
            <v>0</v>
          </cell>
          <cell r="DG264" t="str">
            <v>0</v>
          </cell>
          <cell r="DH264" t="str">
            <v>0</v>
          </cell>
          <cell r="DI264" t="str">
            <v>0</v>
          </cell>
          <cell r="DJ264" t="str">
            <v>0</v>
          </cell>
          <cell r="DK264" t="str">
            <v>0</v>
          </cell>
          <cell r="DL264" t="str">
            <v>0</v>
          </cell>
          <cell r="DM264" t="str">
            <v>0</v>
          </cell>
          <cell r="DN264" t="str">
            <v>0</v>
          </cell>
          <cell r="DO264" t="str">
            <v>0</v>
          </cell>
          <cell r="DP264" t="str">
            <v>0</v>
          </cell>
        </row>
        <row r="265">
          <cell r="C265"/>
          <cell r="D265" t="str">
            <v>0</v>
          </cell>
          <cell r="E265" t="str">
            <v>0</v>
          </cell>
          <cell r="F265" t="str">
            <v>0</v>
          </cell>
          <cell r="G265" t="str">
            <v>0</v>
          </cell>
          <cell r="H265" t="str">
            <v>0</v>
          </cell>
          <cell r="I265" t="str">
            <v>0</v>
          </cell>
          <cell r="J265" t="str">
            <v>0</v>
          </cell>
          <cell r="K265" t="str">
            <v>0</v>
          </cell>
          <cell r="L265" t="str">
            <v>0</v>
          </cell>
          <cell r="M265" t="str">
            <v>0</v>
          </cell>
          <cell r="N265" t="str">
            <v>0</v>
          </cell>
          <cell r="O265" t="str">
            <v>0</v>
          </cell>
          <cell r="P265" t="str">
            <v>0</v>
          </cell>
          <cell r="Q265" t="str">
            <v>0</v>
          </cell>
          <cell r="R265" t="str">
            <v>0</v>
          </cell>
          <cell r="S265" t="str">
            <v>0</v>
          </cell>
          <cell r="T265" t="str">
            <v>0</v>
          </cell>
          <cell r="U265" t="str">
            <v>0</v>
          </cell>
          <cell r="V265" t="str">
            <v>0</v>
          </cell>
          <cell r="W265" t="str">
            <v>0</v>
          </cell>
          <cell r="X265" t="str">
            <v>0</v>
          </cell>
          <cell r="Y265" t="str">
            <v>0</v>
          </cell>
          <cell r="Z265" t="str">
            <v>0</v>
          </cell>
          <cell r="AA265" t="str">
            <v>0</v>
          </cell>
          <cell r="AB265" t="str">
            <v>0</v>
          </cell>
          <cell r="AC265" t="str">
            <v>0</v>
          </cell>
          <cell r="AD265" t="str">
            <v>0</v>
          </cell>
          <cell r="AE265" t="str">
            <v>0</v>
          </cell>
          <cell r="AF265" t="str">
            <v>0</v>
          </cell>
          <cell r="AG265" t="str">
            <v>0</v>
          </cell>
          <cell r="AH265" t="str">
            <v>0</v>
          </cell>
          <cell r="AI265" t="str">
            <v>0</v>
          </cell>
          <cell r="AJ265" t="str">
            <v>0</v>
          </cell>
          <cell r="AK265" t="str">
            <v>0</v>
          </cell>
          <cell r="AL265" t="str">
            <v>0</v>
          </cell>
          <cell r="AM265" t="str">
            <v>0</v>
          </cell>
          <cell r="AN265" t="str">
            <v>0</v>
          </cell>
          <cell r="AO265" t="str">
            <v>0</v>
          </cell>
          <cell r="AP265" t="str">
            <v>0</v>
          </cell>
          <cell r="AQ265" t="str">
            <v>0</v>
          </cell>
          <cell r="AR265" t="str">
            <v>0</v>
          </cell>
          <cell r="AS265" t="str">
            <v>0</v>
          </cell>
          <cell r="AT265" t="str">
            <v>0</v>
          </cell>
          <cell r="AU265" t="str">
            <v>0</v>
          </cell>
          <cell r="AV265" t="str">
            <v>0</v>
          </cell>
          <cell r="AW265" t="str">
            <v>0</v>
          </cell>
          <cell r="AX265" t="str">
            <v>0</v>
          </cell>
          <cell r="AY265" t="str">
            <v>0</v>
          </cell>
          <cell r="AZ265" t="str">
            <v>0</v>
          </cell>
          <cell r="BA265" t="str">
            <v>0</v>
          </cell>
          <cell r="BB265" t="str">
            <v>0</v>
          </cell>
          <cell r="BC265" t="str">
            <v>0</v>
          </cell>
          <cell r="BD265" t="str">
            <v>0</v>
          </cell>
          <cell r="BE265" t="str">
            <v>0</v>
          </cell>
          <cell r="BF265" t="str">
            <v>0</v>
          </cell>
          <cell r="BG265" t="str">
            <v>0</v>
          </cell>
          <cell r="BH265" t="str">
            <v>0</v>
          </cell>
          <cell r="BI265" t="str">
            <v>0</v>
          </cell>
          <cell r="BJ265" t="str">
            <v>0</v>
          </cell>
          <cell r="BK265" t="str">
            <v>0</v>
          </cell>
          <cell r="BL265" t="str">
            <v>0</v>
          </cell>
          <cell r="BM265" t="str">
            <v>0</v>
          </cell>
          <cell r="BN265" t="str">
            <v>0</v>
          </cell>
          <cell r="BO265" t="str">
            <v>0</v>
          </cell>
          <cell r="BP265" t="str">
            <v>0</v>
          </cell>
          <cell r="BQ265" t="str">
            <v>0</v>
          </cell>
          <cell r="BR265" t="str">
            <v>0</v>
          </cell>
          <cell r="BS265" t="str">
            <v>0</v>
          </cell>
          <cell r="BT265" t="str">
            <v>0</v>
          </cell>
          <cell r="BU265" t="str">
            <v>0</v>
          </cell>
          <cell r="BV265" t="str">
            <v>0</v>
          </cell>
          <cell r="BW265" t="str">
            <v>0</v>
          </cell>
          <cell r="BX265" t="str">
            <v>0</v>
          </cell>
          <cell r="BY265" t="str">
            <v>0</v>
          </cell>
          <cell r="BZ265" t="str">
            <v>0</v>
          </cell>
          <cell r="CA265" t="str">
            <v>0</v>
          </cell>
          <cell r="CB265" t="str">
            <v>0</v>
          </cell>
          <cell r="CC265" t="str">
            <v>0</v>
          </cell>
          <cell r="CD265" t="str">
            <v>0</v>
          </cell>
          <cell r="CE265" t="str">
            <v>0</v>
          </cell>
          <cell r="CF265" t="str">
            <v>0</v>
          </cell>
          <cell r="CG265" t="str">
            <v>0</v>
          </cell>
          <cell r="CH265" t="str">
            <v>0</v>
          </cell>
          <cell r="CI265" t="str">
            <v>0</v>
          </cell>
          <cell r="CJ265" t="str">
            <v>0</v>
          </cell>
          <cell r="CK265" t="str">
            <v>0</v>
          </cell>
          <cell r="CL265" t="str">
            <v>0</v>
          </cell>
          <cell r="CM265" t="str">
            <v>0</v>
          </cell>
          <cell r="CN265" t="str">
            <v>0</v>
          </cell>
          <cell r="CO265" t="str">
            <v>0</v>
          </cell>
          <cell r="CP265" t="str">
            <v>0</v>
          </cell>
          <cell r="CQ265" t="str">
            <v>0</v>
          </cell>
          <cell r="CR265" t="str">
            <v>0</v>
          </cell>
          <cell r="CS265" t="str">
            <v>0</v>
          </cell>
          <cell r="CT265" t="str">
            <v>0</v>
          </cell>
          <cell r="CU265" t="str">
            <v>0</v>
          </cell>
          <cell r="CV265" t="str">
            <v>0</v>
          </cell>
          <cell r="CW265" t="str">
            <v>0</v>
          </cell>
          <cell r="CX265" t="str">
            <v>0</v>
          </cell>
          <cell r="CY265" t="str">
            <v>0</v>
          </cell>
          <cell r="CZ265" t="str">
            <v>0</v>
          </cell>
          <cell r="DA265" t="str">
            <v>0</v>
          </cell>
          <cell r="DB265" t="str">
            <v>0</v>
          </cell>
          <cell r="DC265" t="str">
            <v>0</v>
          </cell>
          <cell r="DD265" t="str">
            <v>0</v>
          </cell>
          <cell r="DE265" t="str">
            <v>0</v>
          </cell>
          <cell r="DF265" t="str">
            <v>0</v>
          </cell>
          <cell r="DG265" t="str">
            <v>0</v>
          </cell>
          <cell r="DH265" t="str">
            <v>0</v>
          </cell>
          <cell r="DI265" t="str">
            <v>0</v>
          </cell>
          <cell r="DJ265" t="str">
            <v>0</v>
          </cell>
          <cell r="DK265" t="str">
            <v>0</v>
          </cell>
          <cell r="DL265" t="str">
            <v>0</v>
          </cell>
          <cell r="DM265" t="str">
            <v>0</v>
          </cell>
          <cell r="DN265" t="str">
            <v>0</v>
          </cell>
          <cell r="DO265" t="str">
            <v>0</v>
          </cell>
          <cell r="DP265" t="str">
            <v>0</v>
          </cell>
        </row>
        <row r="266">
          <cell r="C266"/>
          <cell r="D266" t="str">
            <v>0</v>
          </cell>
          <cell r="E266" t="str">
            <v>0</v>
          </cell>
          <cell r="F266" t="str">
            <v>0</v>
          </cell>
          <cell r="G266" t="str">
            <v>0</v>
          </cell>
          <cell r="H266" t="str">
            <v>0</v>
          </cell>
          <cell r="I266" t="str">
            <v>0</v>
          </cell>
          <cell r="J266" t="str">
            <v>0</v>
          </cell>
          <cell r="K266" t="str">
            <v>0</v>
          </cell>
          <cell r="L266" t="str">
            <v>0</v>
          </cell>
          <cell r="M266" t="str">
            <v>0</v>
          </cell>
          <cell r="N266" t="str">
            <v>0</v>
          </cell>
          <cell r="O266" t="str">
            <v>0</v>
          </cell>
          <cell r="P266" t="str">
            <v>0</v>
          </cell>
          <cell r="Q266" t="str">
            <v>0</v>
          </cell>
          <cell r="R266" t="str">
            <v>0</v>
          </cell>
          <cell r="S266" t="str">
            <v>0</v>
          </cell>
          <cell r="T266" t="str">
            <v>0</v>
          </cell>
          <cell r="U266" t="str">
            <v>0</v>
          </cell>
          <cell r="V266" t="str">
            <v>0</v>
          </cell>
          <cell r="W266" t="str">
            <v>0</v>
          </cell>
          <cell r="X266" t="str">
            <v>0</v>
          </cell>
          <cell r="Y266" t="str">
            <v>0</v>
          </cell>
          <cell r="Z266" t="str">
            <v>0</v>
          </cell>
          <cell r="AA266" t="str">
            <v>0</v>
          </cell>
          <cell r="AB266" t="str">
            <v>0</v>
          </cell>
          <cell r="AC266" t="str">
            <v>0</v>
          </cell>
          <cell r="AD266" t="str">
            <v>0</v>
          </cell>
          <cell r="AE266" t="str">
            <v>0</v>
          </cell>
          <cell r="AF266" t="str">
            <v>0</v>
          </cell>
          <cell r="AG266" t="str">
            <v>0</v>
          </cell>
          <cell r="AH266" t="str">
            <v>0</v>
          </cell>
          <cell r="AI266" t="str">
            <v>0</v>
          </cell>
          <cell r="AJ266" t="str">
            <v>0</v>
          </cell>
          <cell r="AK266" t="str">
            <v>0</v>
          </cell>
          <cell r="AL266" t="str">
            <v>0</v>
          </cell>
          <cell r="AM266" t="str">
            <v>0</v>
          </cell>
          <cell r="AN266" t="str">
            <v>0</v>
          </cell>
          <cell r="AO266" t="str">
            <v>0</v>
          </cell>
          <cell r="AP266" t="str">
            <v>0</v>
          </cell>
          <cell r="AQ266" t="str">
            <v>0</v>
          </cell>
          <cell r="AR266" t="str">
            <v>0</v>
          </cell>
          <cell r="AS266" t="str">
            <v>0</v>
          </cell>
          <cell r="AT266" t="str">
            <v>0</v>
          </cell>
          <cell r="AU266" t="str">
            <v>0</v>
          </cell>
          <cell r="AV266" t="str">
            <v>0</v>
          </cell>
          <cell r="AW266" t="str">
            <v>0</v>
          </cell>
          <cell r="AX266" t="str">
            <v>0</v>
          </cell>
          <cell r="AY266" t="str">
            <v>0</v>
          </cell>
          <cell r="AZ266" t="str">
            <v>0</v>
          </cell>
          <cell r="BA266" t="str">
            <v>0</v>
          </cell>
          <cell r="BB266" t="str">
            <v>0</v>
          </cell>
          <cell r="BC266" t="str">
            <v>0</v>
          </cell>
          <cell r="BD266" t="str">
            <v>0</v>
          </cell>
          <cell r="BE266" t="str">
            <v>0</v>
          </cell>
          <cell r="BF266" t="str">
            <v>0</v>
          </cell>
          <cell r="BG266" t="str">
            <v>0</v>
          </cell>
          <cell r="BH266" t="str">
            <v>0</v>
          </cell>
          <cell r="BI266" t="str">
            <v>0</v>
          </cell>
          <cell r="BJ266" t="str">
            <v>0</v>
          </cell>
          <cell r="BK266" t="str">
            <v>0</v>
          </cell>
          <cell r="BL266" t="str">
            <v>0</v>
          </cell>
          <cell r="BM266" t="str">
            <v>0</v>
          </cell>
          <cell r="BN266" t="str">
            <v>0</v>
          </cell>
          <cell r="BO266" t="str">
            <v>0</v>
          </cell>
          <cell r="BP266" t="str">
            <v>0</v>
          </cell>
          <cell r="BQ266" t="str">
            <v>0</v>
          </cell>
          <cell r="BR266" t="str">
            <v>0</v>
          </cell>
          <cell r="BS266" t="str">
            <v>0</v>
          </cell>
          <cell r="BT266" t="str">
            <v>0</v>
          </cell>
          <cell r="BU266" t="str">
            <v>0</v>
          </cell>
          <cell r="BV266" t="str">
            <v>0</v>
          </cell>
          <cell r="BW266" t="str">
            <v>0</v>
          </cell>
          <cell r="BX266" t="str">
            <v>0</v>
          </cell>
          <cell r="BY266" t="str">
            <v>0</v>
          </cell>
          <cell r="BZ266" t="str">
            <v>0</v>
          </cell>
          <cell r="CA266" t="str">
            <v>0</v>
          </cell>
          <cell r="CB266" t="str">
            <v>0</v>
          </cell>
          <cell r="CC266" t="str">
            <v>0</v>
          </cell>
          <cell r="CD266" t="str">
            <v>0</v>
          </cell>
          <cell r="CE266" t="str">
            <v>0</v>
          </cell>
          <cell r="CF266" t="str">
            <v>0</v>
          </cell>
          <cell r="CG266" t="str">
            <v>0</v>
          </cell>
          <cell r="CH266" t="str">
            <v>0</v>
          </cell>
          <cell r="CI266" t="str">
            <v>0</v>
          </cell>
          <cell r="CJ266" t="str">
            <v>0</v>
          </cell>
          <cell r="CK266" t="str">
            <v>0</v>
          </cell>
          <cell r="CL266" t="str">
            <v>0</v>
          </cell>
          <cell r="CM266" t="str">
            <v>0</v>
          </cell>
          <cell r="CN266" t="str">
            <v>0</v>
          </cell>
          <cell r="CO266" t="str">
            <v>0</v>
          </cell>
          <cell r="CP266" t="str">
            <v>0</v>
          </cell>
          <cell r="CQ266" t="str">
            <v>0</v>
          </cell>
          <cell r="CR266" t="str">
            <v>0</v>
          </cell>
          <cell r="CS266" t="str">
            <v>0</v>
          </cell>
          <cell r="CT266" t="str">
            <v>0</v>
          </cell>
          <cell r="CU266" t="str">
            <v>0</v>
          </cell>
          <cell r="CV266" t="str">
            <v>0</v>
          </cell>
          <cell r="CW266" t="str">
            <v>0</v>
          </cell>
          <cell r="CX266" t="str">
            <v>0</v>
          </cell>
          <cell r="CY266" t="str">
            <v>0</v>
          </cell>
          <cell r="CZ266" t="str">
            <v>0</v>
          </cell>
          <cell r="DA266" t="str">
            <v>0</v>
          </cell>
          <cell r="DB266" t="str">
            <v>0</v>
          </cell>
          <cell r="DC266" t="str">
            <v>0</v>
          </cell>
          <cell r="DD266" t="str">
            <v>0</v>
          </cell>
          <cell r="DE266" t="str">
            <v>0</v>
          </cell>
          <cell r="DF266" t="str">
            <v>0</v>
          </cell>
          <cell r="DG266" t="str">
            <v>0</v>
          </cell>
          <cell r="DH266" t="str">
            <v>0</v>
          </cell>
          <cell r="DI266" t="str">
            <v>0</v>
          </cell>
          <cell r="DJ266" t="str">
            <v>0</v>
          </cell>
          <cell r="DK266" t="str">
            <v>0</v>
          </cell>
          <cell r="DL266" t="str">
            <v>0</v>
          </cell>
          <cell r="DM266" t="str">
            <v>0</v>
          </cell>
          <cell r="DN266" t="str">
            <v>0</v>
          </cell>
          <cell r="DO266" t="str">
            <v>0</v>
          </cell>
          <cell r="DP266" t="str">
            <v>0</v>
          </cell>
        </row>
        <row r="267">
          <cell r="C267"/>
          <cell r="D267" t="str">
            <v>0</v>
          </cell>
          <cell r="E267" t="str">
            <v>0</v>
          </cell>
          <cell r="F267" t="str">
            <v>0</v>
          </cell>
          <cell r="G267" t="str">
            <v>0</v>
          </cell>
          <cell r="H267" t="str">
            <v>0</v>
          </cell>
          <cell r="I267" t="str">
            <v>0</v>
          </cell>
          <cell r="J267" t="str">
            <v>0</v>
          </cell>
          <cell r="K267" t="str">
            <v>0</v>
          </cell>
          <cell r="L267" t="str">
            <v>0</v>
          </cell>
          <cell r="M267" t="str">
            <v>0</v>
          </cell>
          <cell r="N267" t="str">
            <v>0</v>
          </cell>
          <cell r="O267" t="str">
            <v>0</v>
          </cell>
          <cell r="P267" t="str">
            <v>0</v>
          </cell>
          <cell r="Q267" t="str">
            <v>0</v>
          </cell>
          <cell r="R267" t="str">
            <v>0</v>
          </cell>
          <cell r="S267" t="str">
            <v>0</v>
          </cell>
          <cell r="T267" t="str">
            <v>0</v>
          </cell>
          <cell r="U267" t="str">
            <v>0</v>
          </cell>
          <cell r="V267" t="str">
            <v>0</v>
          </cell>
          <cell r="W267" t="str">
            <v>0</v>
          </cell>
          <cell r="X267" t="str">
            <v>0</v>
          </cell>
          <cell r="Y267" t="str">
            <v>0</v>
          </cell>
          <cell r="Z267" t="str">
            <v>0</v>
          </cell>
          <cell r="AA267" t="str">
            <v>0</v>
          </cell>
          <cell r="AB267" t="str">
            <v>0</v>
          </cell>
          <cell r="AC267" t="str">
            <v>0</v>
          </cell>
          <cell r="AD267" t="str">
            <v>0</v>
          </cell>
          <cell r="AE267" t="str">
            <v>0</v>
          </cell>
          <cell r="AF267" t="str">
            <v>0</v>
          </cell>
          <cell r="AG267" t="str">
            <v>0</v>
          </cell>
          <cell r="AH267" t="str">
            <v>0</v>
          </cell>
          <cell r="AI267" t="str">
            <v>0</v>
          </cell>
          <cell r="AJ267" t="str">
            <v>0</v>
          </cell>
          <cell r="AK267" t="str">
            <v>0</v>
          </cell>
          <cell r="AL267" t="str">
            <v>0</v>
          </cell>
          <cell r="AM267" t="str">
            <v>0</v>
          </cell>
          <cell r="AN267" t="str">
            <v>0</v>
          </cell>
          <cell r="AO267" t="str">
            <v>0</v>
          </cell>
          <cell r="AP267" t="str">
            <v>0</v>
          </cell>
          <cell r="AQ267" t="str">
            <v>0</v>
          </cell>
          <cell r="AR267" t="str">
            <v>0</v>
          </cell>
          <cell r="AS267" t="str">
            <v>0</v>
          </cell>
          <cell r="AT267" t="str">
            <v>0</v>
          </cell>
          <cell r="AU267" t="str">
            <v>0</v>
          </cell>
          <cell r="AV267" t="str">
            <v>0</v>
          </cell>
          <cell r="AW267" t="str">
            <v>0</v>
          </cell>
          <cell r="AX267" t="str">
            <v>0</v>
          </cell>
          <cell r="AY267" t="str">
            <v>0</v>
          </cell>
          <cell r="AZ267" t="str">
            <v>0</v>
          </cell>
          <cell r="BA267" t="str">
            <v>0</v>
          </cell>
          <cell r="BB267" t="str">
            <v>0</v>
          </cell>
          <cell r="BC267" t="str">
            <v>0</v>
          </cell>
          <cell r="BD267" t="str">
            <v>0</v>
          </cell>
          <cell r="BE267" t="str">
            <v>0</v>
          </cell>
          <cell r="BF267" t="str">
            <v>0</v>
          </cell>
          <cell r="BG267" t="str">
            <v>0</v>
          </cell>
          <cell r="BH267" t="str">
            <v>0</v>
          </cell>
          <cell r="BI267" t="str">
            <v>0</v>
          </cell>
          <cell r="BJ267" t="str">
            <v>0</v>
          </cell>
          <cell r="BK267" t="str">
            <v>0</v>
          </cell>
          <cell r="BL267" t="str">
            <v>0</v>
          </cell>
          <cell r="BM267" t="str">
            <v>0</v>
          </cell>
          <cell r="BN267" t="str">
            <v>0</v>
          </cell>
          <cell r="BO267" t="str">
            <v>0</v>
          </cell>
          <cell r="BP267" t="str">
            <v>0</v>
          </cell>
          <cell r="BQ267" t="str">
            <v>0</v>
          </cell>
          <cell r="BR267" t="str">
            <v>0</v>
          </cell>
          <cell r="BS267" t="str">
            <v>0</v>
          </cell>
          <cell r="BT267" t="str">
            <v>0</v>
          </cell>
          <cell r="BU267" t="str">
            <v>0</v>
          </cell>
          <cell r="BV267" t="str">
            <v>0</v>
          </cell>
          <cell r="BW267" t="str">
            <v>0</v>
          </cell>
          <cell r="BX267" t="str">
            <v>0</v>
          </cell>
          <cell r="BY267" t="str">
            <v>0</v>
          </cell>
          <cell r="BZ267" t="str">
            <v>0</v>
          </cell>
          <cell r="CA267" t="str">
            <v>0</v>
          </cell>
          <cell r="CB267" t="str">
            <v>0</v>
          </cell>
          <cell r="CC267" t="str">
            <v>0</v>
          </cell>
          <cell r="CD267" t="str">
            <v>0</v>
          </cell>
          <cell r="CE267" t="str">
            <v>0</v>
          </cell>
          <cell r="CF267" t="str">
            <v>0</v>
          </cell>
          <cell r="CG267" t="str">
            <v>0</v>
          </cell>
          <cell r="CH267" t="str">
            <v>0</v>
          </cell>
          <cell r="CI267" t="str">
            <v>0</v>
          </cell>
          <cell r="CJ267" t="str">
            <v>0</v>
          </cell>
          <cell r="CK267" t="str">
            <v>0</v>
          </cell>
          <cell r="CL267" t="str">
            <v>0</v>
          </cell>
          <cell r="CM267" t="str">
            <v>0</v>
          </cell>
          <cell r="CN267" t="str">
            <v>0</v>
          </cell>
          <cell r="CO267" t="str">
            <v>0</v>
          </cell>
          <cell r="CP267" t="str">
            <v>0</v>
          </cell>
          <cell r="CQ267" t="str">
            <v>0</v>
          </cell>
          <cell r="CR267" t="str">
            <v>0</v>
          </cell>
          <cell r="CS267" t="str">
            <v>0</v>
          </cell>
          <cell r="CT267" t="str">
            <v>0</v>
          </cell>
          <cell r="CU267" t="str">
            <v>0</v>
          </cell>
          <cell r="CV267" t="str">
            <v>0</v>
          </cell>
          <cell r="CW267" t="str">
            <v>0</v>
          </cell>
          <cell r="CX267" t="str">
            <v>0</v>
          </cell>
          <cell r="CY267" t="str">
            <v>0</v>
          </cell>
          <cell r="CZ267" t="str">
            <v>0</v>
          </cell>
          <cell r="DA267" t="str">
            <v>0</v>
          </cell>
          <cell r="DB267" t="str">
            <v>0</v>
          </cell>
          <cell r="DC267" t="str">
            <v>0</v>
          </cell>
          <cell r="DD267" t="str">
            <v>0</v>
          </cell>
          <cell r="DE267" t="str">
            <v>0</v>
          </cell>
          <cell r="DF267" t="str">
            <v>0</v>
          </cell>
          <cell r="DG267" t="str">
            <v>0</v>
          </cell>
          <cell r="DH267" t="str">
            <v>0</v>
          </cell>
          <cell r="DI267" t="str">
            <v>0</v>
          </cell>
          <cell r="DJ267" t="str">
            <v>0</v>
          </cell>
          <cell r="DK267" t="str">
            <v>0</v>
          </cell>
          <cell r="DL267" t="str">
            <v>0</v>
          </cell>
          <cell r="DM267" t="str">
            <v>0</v>
          </cell>
          <cell r="DN267" t="str">
            <v>0</v>
          </cell>
          <cell r="DO267" t="str">
            <v>0</v>
          </cell>
          <cell r="DP267" t="str">
            <v>0</v>
          </cell>
        </row>
        <row r="268">
          <cell r="C268"/>
          <cell r="D268" t="str">
            <v>0</v>
          </cell>
          <cell r="E268" t="str">
            <v>0</v>
          </cell>
          <cell r="F268" t="str">
            <v>0</v>
          </cell>
          <cell r="G268" t="str">
            <v>0</v>
          </cell>
          <cell r="H268" t="str">
            <v>0</v>
          </cell>
          <cell r="I268" t="str">
            <v>0</v>
          </cell>
          <cell r="J268" t="str">
            <v>0</v>
          </cell>
          <cell r="K268" t="str">
            <v>0</v>
          </cell>
          <cell r="L268" t="str">
            <v>0</v>
          </cell>
          <cell r="M268" t="str">
            <v>0</v>
          </cell>
          <cell r="N268" t="str">
            <v>0</v>
          </cell>
          <cell r="O268" t="str">
            <v>0</v>
          </cell>
          <cell r="P268" t="str">
            <v>0</v>
          </cell>
          <cell r="Q268" t="str">
            <v>0</v>
          </cell>
          <cell r="R268" t="str">
            <v>0</v>
          </cell>
          <cell r="S268" t="str">
            <v>0</v>
          </cell>
          <cell r="T268" t="str">
            <v>0</v>
          </cell>
          <cell r="U268" t="str">
            <v>0</v>
          </cell>
          <cell r="V268" t="str">
            <v>0</v>
          </cell>
          <cell r="W268" t="str">
            <v>0</v>
          </cell>
          <cell r="X268" t="str">
            <v>0</v>
          </cell>
          <cell r="Y268" t="str">
            <v>0</v>
          </cell>
          <cell r="Z268" t="str">
            <v>0</v>
          </cell>
          <cell r="AA268" t="str">
            <v>0</v>
          </cell>
          <cell r="AB268" t="str">
            <v>0</v>
          </cell>
          <cell r="AC268" t="str">
            <v>0</v>
          </cell>
          <cell r="AD268" t="str">
            <v>0</v>
          </cell>
          <cell r="AE268" t="str">
            <v>0</v>
          </cell>
          <cell r="AF268" t="str">
            <v>0</v>
          </cell>
          <cell r="AG268" t="str">
            <v>0</v>
          </cell>
          <cell r="AH268" t="str">
            <v>0</v>
          </cell>
          <cell r="AI268" t="str">
            <v>0</v>
          </cell>
          <cell r="AJ268" t="str">
            <v>0</v>
          </cell>
          <cell r="AK268" t="str">
            <v>0</v>
          </cell>
          <cell r="AL268" t="str">
            <v>0</v>
          </cell>
          <cell r="AM268" t="str">
            <v>0</v>
          </cell>
          <cell r="AN268" t="str">
            <v>0</v>
          </cell>
          <cell r="AO268" t="str">
            <v>0</v>
          </cell>
          <cell r="AP268" t="str">
            <v>0</v>
          </cell>
          <cell r="AQ268" t="str">
            <v>0</v>
          </cell>
          <cell r="AR268" t="str">
            <v>0</v>
          </cell>
          <cell r="AS268" t="str">
            <v>0</v>
          </cell>
          <cell r="AT268" t="str">
            <v>0</v>
          </cell>
          <cell r="AU268" t="str">
            <v>0</v>
          </cell>
          <cell r="AV268" t="str">
            <v>0</v>
          </cell>
          <cell r="AW268" t="str">
            <v>0</v>
          </cell>
          <cell r="AX268" t="str">
            <v>0</v>
          </cell>
          <cell r="AY268" t="str">
            <v>0</v>
          </cell>
          <cell r="AZ268" t="str">
            <v>0</v>
          </cell>
          <cell r="BA268" t="str">
            <v>0</v>
          </cell>
          <cell r="BB268" t="str">
            <v>0</v>
          </cell>
          <cell r="BC268" t="str">
            <v>0</v>
          </cell>
          <cell r="BD268" t="str">
            <v>0</v>
          </cell>
          <cell r="BE268" t="str">
            <v>0</v>
          </cell>
          <cell r="BF268" t="str">
            <v>0</v>
          </cell>
          <cell r="BG268" t="str">
            <v>0</v>
          </cell>
          <cell r="BH268" t="str">
            <v>0</v>
          </cell>
          <cell r="BI268" t="str">
            <v>0</v>
          </cell>
          <cell r="BJ268" t="str">
            <v>0</v>
          </cell>
          <cell r="BK268" t="str">
            <v>0</v>
          </cell>
          <cell r="BL268" t="str">
            <v>0</v>
          </cell>
          <cell r="BM268" t="str">
            <v>0</v>
          </cell>
          <cell r="BN268" t="str">
            <v>0</v>
          </cell>
          <cell r="BO268" t="str">
            <v>0</v>
          </cell>
          <cell r="BP268" t="str">
            <v>0</v>
          </cell>
          <cell r="BQ268" t="str">
            <v>0</v>
          </cell>
          <cell r="BR268" t="str">
            <v>0</v>
          </cell>
          <cell r="BS268" t="str">
            <v>0</v>
          </cell>
          <cell r="BT268" t="str">
            <v>0</v>
          </cell>
          <cell r="BU268" t="str">
            <v>0</v>
          </cell>
          <cell r="BV268" t="str">
            <v>0</v>
          </cell>
          <cell r="BW268" t="str">
            <v>0</v>
          </cell>
          <cell r="BX268" t="str">
            <v>0</v>
          </cell>
          <cell r="BY268" t="str">
            <v>0</v>
          </cell>
          <cell r="BZ268" t="str">
            <v>0</v>
          </cell>
          <cell r="CA268" t="str">
            <v>0</v>
          </cell>
          <cell r="CB268" t="str">
            <v>0</v>
          </cell>
          <cell r="CC268" t="str">
            <v>0</v>
          </cell>
          <cell r="CD268" t="str">
            <v>0</v>
          </cell>
          <cell r="CE268" t="str">
            <v>0</v>
          </cell>
          <cell r="CF268" t="str">
            <v>0</v>
          </cell>
          <cell r="CG268" t="str">
            <v>0</v>
          </cell>
          <cell r="CH268" t="str">
            <v>0</v>
          </cell>
          <cell r="CI268" t="str">
            <v>0</v>
          </cell>
          <cell r="CJ268" t="str">
            <v>0</v>
          </cell>
          <cell r="CK268" t="str">
            <v>0</v>
          </cell>
          <cell r="CL268" t="str">
            <v>0</v>
          </cell>
          <cell r="CM268" t="str">
            <v>0</v>
          </cell>
          <cell r="CN268" t="str">
            <v>0</v>
          </cell>
          <cell r="CO268" t="str">
            <v>0</v>
          </cell>
          <cell r="CP268" t="str">
            <v>0</v>
          </cell>
          <cell r="CQ268" t="str">
            <v>0</v>
          </cell>
          <cell r="CR268" t="str">
            <v>0</v>
          </cell>
          <cell r="CS268" t="str">
            <v>0</v>
          </cell>
          <cell r="CT268" t="str">
            <v>0</v>
          </cell>
          <cell r="CU268" t="str">
            <v>0</v>
          </cell>
          <cell r="CV268" t="str">
            <v>0</v>
          </cell>
          <cell r="CW268" t="str">
            <v>0</v>
          </cell>
          <cell r="CX268" t="str">
            <v>0</v>
          </cell>
          <cell r="CY268" t="str">
            <v>0</v>
          </cell>
          <cell r="CZ268" t="str">
            <v>0</v>
          </cell>
          <cell r="DA268" t="str">
            <v>0</v>
          </cell>
          <cell r="DB268" t="str">
            <v>0</v>
          </cell>
          <cell r="DC268" t="str">
            <v>0</v>
          </cell>
          <cell r="DD268" t="str">
            <v>0</v>
          </cell>
          <cell r="DE268" t="str">
            <v>0</v>
          </cell>
          <cell r="DF268" t="str">
            <v>0</v>
          </cell>
          <cell r="DG268" t="str">
            <v>0</v>
          </cell>
          <cell r="DH268" t="str">
            <v>0</v>
          </cell>
          <cell r="DI268" t="str">
            <v>0</v>
          </cell>
          <cell r="DJ268" t="str">
            <v>0</v>
          </cell>
          <cell r="DK268" t="str">
            <v>0</v>
          </cell>
          <cell r="DL268" t="str">
            <v>0</v>
          </cell>
          <cell r="DM268" t="str">
            <v>0</v>
          </cell>
          <cell r="DN268" t="str">
            <v>0</v>
          </cell>
          <cell r="DO268" t="str">
            <v>0</v>
          </cell>
          <cell r="DP268" t="str">
            <v>0</v>
          </cell>
        </row>
        <row r="269">
          <cell r="C269"/>
          <cell r="D269" t="str">
            <v>0</v>
          </cell>
          <cell r="E269" t="str">
            <v>0</v>
          </cell>
          <cell r="F269" t="str">
            <v>0</v>
          </cell>
          <cell r="G269" t="str">
            <v>0</v>
          </cell>
          <cell r="H269" t="str">
            <v>0</v>
          </cell>
          <cell r="I269" t="str">
            <v>0</v>
          </cell>
          <cell r="J269" t="str">
            <v>0</v>
          </cell>
          <cell r="K269" t="str">
            <v>0</v>
          </cell>
          <cell r="L269" t="str">
            <v>0</v>
          </cell>
          <cell r="M269" t="str">
            <v>0</v>
          </cell>
          <cell r="N269" t="str">
            <v>0</v>
          </cell>
          <cell r="O269" t="str">
            <v>0</v>
          </cell>
          <cell r="P269" t="str">
            <v>0</v>
          </cell>
          <cell r="Q269" t="str">
            <v>0</v>
          </cell>
          <cell r="R269" t="str">
            <v>0</v>
          </cell>
          <cell r="S269" t="str">
            <v>0</v>
          </cell>
          <cell r="T269" t="str">
            <v>0</v>
          </cell>
          <cell r="U269" t="str">
            <v>0</v>
          </cell>
          <cell r="V269" t="str">
            <v>0</v>
          </cell>
          <cell r="W269" t="str">
            <v>0</v>
          </cell>
          <cell r="X269" t="str">
            <v>0</v>
          </cell>
          <cell r="Y269" t="str">
            <v>0</v>
          </cell>
          <cell r="Z269" t="str">
            <v>0</v>
          </cell>
          <cell r="AA269" t="str">
            <v>0</v>
          </cell>
          <cell r="AB269" t="str">
            <v>0</v>
          </cell>
          <cell r="AC269" t="str">
            <v>0</v>
          </cell>
          <cell r="AD269" t="str">
            <v>0</v>
          </cell>
          <cell r="AE269" t="str">
            <v>0</v>
          </cell>
          <cell r="AF269" t="str">
            <v>0</v>
          </cell>
          <cell r="AG269" t="str">
            <v>0</v>
          </cell>
          <cell r="AH269" t="str">
            <v>0</v>
          </cell>
          <cell r="AI269" t="str">
            <v>0</v>
          </cell>
          <cell r="AJ269" t="str">
            <v>0</v>
          </cell>
          <cell r="AK269" t="str">
            <v>0</v>
          </cell>
          <cell r="AL269" t="str">
            <v>0</v>
          </cell>
          <cell r="AM269" t="str">
            <v>0</v>
          </cell>
          <cell r="AN269" t="str">
            <v>0</v>
          </cell>
          <cell r="AO269" t="str">
            <v>0</v>
          </cell>
          <cell r="AP269" t="str">
            <v>0</v>
          </cell>
          <cell r="AQ269" t="str">
            <v>0</v>
          </cell>
          <cell r="AR269" t="str">
            <v>0</v>
          </cell>
          <cell r="AS269" t="str">
            <v>0</v>
          </cell>
          <cell r="AT269" t="str">
            <v>0</v>
          </cell>
          <cell r="AU269" t="str">
            <v>0</v>
          </cell>
          <cell r="AV269" t="str">
            <v>0</v>
          </cell>
          <cell r="AW269" t="str">
            <v>0</v>
          </cell>
          <cell r="AX269" t="str">
            <v>0</v>
          </cell>
          <cell r="AY269" t="str">
            <v>0</v>
          </cell>
          <cell r="AZ269" t="str">
            <v>0</v>
          </cell>
          <cell r="BA269" t="str">
            <v>0</v>
          </cell>
          <cell r="BB269" t="str">
            <v>0</v>
          </cell>
          <cell r="BC269" t="str">
            <v>0</v>
          </cell>
          <cell r="BD269" t="str">
            <v>0</v>
          </cell>
          <cell r="BE269" t="str">
            <v>0</v>
          </cell>
          <cell r="BF269" t="str">
            <v>0</v>
          </cell>
          <cell r="BG269" t="str">
            <v>0</v>
          </cell>
          <cell r="BH269" t="str">
            <v>0</v>
          </cell>
          <cell r="BI269" t="str">
            <v>0</v>
          </cell>
          <cell r="BJ269" t="str">
            <v>0</v>
          </cell>
          <cell r="BK269" t="str">
            <v>0</v>
          </cell>
          <cell r="BL269" t="str">
            <v>0</v>
          </cell>
          <cell r="BM269" t="str">
            <v>0</v>
          </cell>
          <cell r="BN269" t="str">
            <v>0</v>
          </cell>
          <cell r="BO269" t="str">
            <v>0</v>
          </cell>
          <cell r="BP269" t="str">
            <v>0</v>
          </cell>
          <cell r="BQ269" t="str">
            <v>0</v>
          </cell>
          <cell r="BR269" t="str">
            <v>0</v>
          </cell>
          <cell r="BS269" t="str">
            <v>0</v>
          </cell>
          <cell r="BT269" t="str">
            <v>0</v>
          </cell>
          <cell r="BU269" t="str">
            <v>0</v>
          </cell>
          <cell r="BV269" t="str">
            <v>0</v>
          </cell>
          <cell r="BW269" t="str">
            <v>0</v>
          </cell>
          <cell r="BX269" t="str">
            <v>0</v>
          </cell>
          <cell r="BY269" t="str">
            <v>0</v>
          </cell>
          <cell r="BZ269" t="str">
            <v>0</v>
          </cell>
          <cell r="CA269" t="str">
            <v>0</v>
          </cell>
          <cell r="CB269" t="str">
            <v>0</v>
          </cell>
          <cell r="CC269" t="str">
            <v>0</v>
          </cell>
          <cell r="CD269" t="str">
            <v>0</v>
          </cell>
          <cell r="CE269" t="str">
            <v>0</v>
          </cell>
          <cell r="CF269" t="str">
            <v>0</v>
          </cell>
          <cell r="CG269" t="str">
            <v>0</v>
          </cell>
          <cell r="CH269" t="str">
            <v>0</v>
          </cell>
          <cell r="CI269" t="str">
            <v>0</v>
          </cell>
          <cell r="CJ269" t="str">
            <v>0</v>
          </cell>
          <cell r="CK269" t="str">
            <v>0</v>
          </cell>
          <cell r="CL269" t="str">
            <v>0</v>
          </cell>
          <cell r="CM269" t="str">
            <v>0</v>
          </cell>
          <cell r="CN269" t="str">
            <v>0</v>
          </cell>
          <cell r="CO269" t="str">
            <v>0</v>
          </cell>
          <cell r="CP269" t="str">
            <v>0</v>
          </cell>
          <cell r="CQ269" t="str">
            <v>0</v>
          </cell>
          <cell r="CR269" t="str">
            <v>0</v>
          </cell>
          <cell r="CS269" t="str">
            <v>0</v>
          </cell>
          <cell r="CT269" t="str">
            <v>0</v>
          </cell>
          <cell r="CU269" t="str">
            <v>0</v>
          </cell>
          <cell r="CV269" t="str">
            <v>0</v>
          </cell>
          <cell r="CW269" t="str">
            <v>0</v>
          </cell>
          <cell r="CX269" t="str">
            <v>0</v>
          </cell>
          <cell r="CY269" t="str">
            <v>0</v>
          </cell>
          <cell r="CZ269" t="str">
            <v>0</v>
          </cell>
          <cell r="DA269" t="str">
            <v>0</v>
          </cell>
          <cell r="DB269" t="str">
            <v>0</v>
          </cell>
          <cell r="DC269" t="str">
            <v>0</v>
          </cell>
          <cell r="DD269" t="str">
            <v>0</v>
          </cell>
          <cell r="DE269" t="str">
            <v>0</v>
          </cell>
          <cell r="DF269" t="str">
            <v>0</v>
          </cell>
          <cell r="DG269" t="str">
            <v>0</v>
          </cell>
          <cell r="DH269" t="str">
            <v>0</v>
          </cell>
          <cell r="DI269" t="str">
            <v>0</v>
          </cell>
          <cell r="DJ269" t="str">
            <v>0</v>
          </cell>
          <cell r="DK269" t="str">
            <v>0</v>
          </cell>
          <cell r="DL269" t="str">
            <v>0</v>
          </cell>
          <cell r="DM269" t="str">
            <v>0</v>
          </cell>
          <cell r="DN269" t="str">
            <v>0</v>
          </cell>
          <cell r="DO269" t="str">
            <v>0</v>
          </cell>
          <cell r="DP269" t="str">
            <v>0</v>
          </cell>
        </row>
        <row r="270">
          <cell r="C270"/>
          <cell r="D270" t="str">
            <v>0</v>
          </cell>
          <cell r="E270" t="str">
            <v>0</v>
          </cell>
          <cell r="F270" t="str">
            <v>0</v>
          </cell>
          <cell r="G270" t="str">
            <v>0</v>
          </cell>
          <cell r="H270" t="str">
            <v>0</v>
          </cell>
          <cell r="I270" t="str">
            <v>0</v>
          </cell>
          <cell r="J270" t="str">
            <v>0</v>
          </cell>
          <cell r="K270" t="str">
            <v>0</v>
          </cell>
          <cell r="L270" t="str">
            <v>0</v>
          </cell>
          <cell r="M270" t="str">
            <v>0</v>
          </cell>
          <cell r="N270" t="str">
            <v>0</v>
          </cell>
          <cell r="O270" t="str">
            <v>0</v>
          </cell>
          <cell r="P270" t="str">
            <v>0</v>
          </cell>
          <cell r="Q270" t="str">
            <v>0</v>
          </cell>
          <cell r="R270" t="str">
            <v>0</v>
          </cell>
          <cell r="S270" t="str">
            <v>0</v>
          </cell>
          <cell r="T270" t="str">
            <v>0</v>
          </cell>
          <cell r="U270" t="str">
            <v>0</v>
          </cell>
          <cell r="V270" t="str">
            <v>0</v>
          </cell>
          <cell r="W270" t="str">
            <v>0</v>
          </cell>
          <cell r="X270" t="str">
            <v>0</v>
          </cell>
          <cell r="Y270" t="str">
            <v>0</v>
          </cell>
          <cell r="Z270" t="str">
            <v>0</v>
          </cell>
          <cell r="AA270" t="str">
            <v>0</v>
          </cell>
          <cell r="AB270" t="str">
            <v>0</v>
          </cell>
          <cell r="AC270" t="str">
            <v>0</v>
          </cell>
          <cell r="AD270" t="str">
            <v>0</v>
          </cell>
          <cell r="AE270" t="str">
            <v>0</v>
          </cell>
          <cell r="AF270" t="str">
            <v>0</v>
          </cell>
          <cell r="AG270" t="str">
            <v>0</v>
          </cell>
          <cell r="AH270" t="str">
            <v>0</v>
          </cell>
          <cell r="AI270" t="str">
            <v>0</v>
          </cell>
          <cell r="AJ270" t="str">
            <v>0</v>
          </cell>
          <cell r="AK270" t="str">
            <v>0</v>
          </cell>
          <cell r="AL270" t="str">
            <v>0</v>
          </cell>
          <cell r="AM270" t="str">
            <v>0</v>
          </cell>
          <cell r="AN270" t="str">
            <v>0</v>
          </cell>
          <cell r="AO270" t="str">
            <v>0</v>
          </cell>
          <cell r="AP270" t="str">
            <v>0</v>
          </cell>
          <cell r="AQ270" t="str">
            <v>0</v>
          </cell>
          <cell r="AR270" t="str">
            <v>0</v>
          </cell>
          <cell r="AS270" t="str">
            <v>0</v>
          </cell>
          <cell r="AT270" t="str">
            <v>0</v>
          </cell>
          <cell r="AU270" t="str">
            <v>0</v>
          </cell>
          <cell r="AV270" t="str">
            <v>0</v>
          </cell>
          <cell r="AW270" t="str">
            <v>0</v>
          </cell>
          <cell r="AX270" t="str">
            <v>0</v>
          </cell>
          <cell r="AY270" t="str">
            <v>0</v>
          </cell>
          <cell r="AZ270" t="str">
            <v>0</v>
          </cell>
          <cell r="BA270" t="str">
            <v>0</v>
          </cell>
          <cell r="BB270" t="str">
            <v>0</v>
          </cell>
          <cell r="BC270" t="str">
            <v>0</v>
          </cell>
          <cell r="BD270" t="str">
            <v>0</v>
          </cell>
          <cell r="BE270" t="str">
            <v>0</v>
          </cell>
          <cell r="BF270" t="str">
            <v>0</v>
          </cell>
          <cell r="BG270" t="str">
            <v>0</v>
          </cell>
          <cell r="BH270" t="str">
            <v>0</v>
          </cell>
          <cell r="BI270" t="str">
            <v>0</v>
          </cell>
          <cell r="BJ270" t="str">
            <v>0</v>
          </cell>
          <cell r="BK270" t="str">
            <v>0</v>
          </cell>
          <cell r="BL270" t="str">
            <v>0</v>
          </cell>
          <cell r="BM270" t="str">
            <v>0</v>
          </cell>
          <cell r="BN270" t="str">
            <v>0</v>
          </cell>
          <cell r="BO270" t="str">
            <v>0</v>
          </cell>
          <cell r="BP270" t="str">
            <v>0</v>
          </cell>
          <cell r="BQ270" t="str">
            <v>0</v>
          </cell>
          <cell r="BR270" t="str">
            <v>0</v>
          </cell>
          <cell r="BS270" t="str">
            <v>0</v>
          </cell>
          <cell r="BT270" t="str">
            <v>0</v>
          </cell>
          <cell r="BU270" t="str">
            <v>0</v>
          </cell>
          <cell r="BV270" t="str">
            <v>0</v>
          </cell>
          <cell r="BW270" t="str">
            <v>0</v>
          </cell>
          <cell r="BX270" t="str">
            <v>0</v>
          </cell>
          <cell r="BY270" t="str">
            <v>0</v>
          </cell>
          <cell r="BZ270" t="str">
            <v>0</v>
          </cell>
          <cell r="CA270" t="str">
            <v>0</v>
          </cell>
          <cell r="CB270" t="str">
            <v>0</v>
          </cell>
          <cell r="CC270" t="str">
            <v>0</v>
          </cell>
          <cell r="CD270" t="str">
            <v>0</v>
          </cell>
          <cell r="CE270" t="str">
            <v>0</v>
          </cell>
          <cell r="CF270" t="str">
            <v>0</v>
          </cell>
          <cell r="CG270" t="str">
            <v>0</v>
          </cell>
          <cell r="CH270" t="str">
            <v>0</v>
          </cell>
          <cell r="CI270" t="str">
            <v>0</v>
          </cell>
          <cell r="CJ270" t="str">
            <v>0</v>
          </cell>
          <cell r="CK270" t="str">
            <v>0</v>
          </cell>
          <cell r="CL270" t="str">
            <v>0</v>
          </cell>
          <cell r="CM270" t="str">
            <v>0</v>
          </cell>
          <cell r="CN270" t="str">
            <v>0</v>
          </cell>
          <cell r="CO270" t="str">
            <v>0</v>
          </cell>
          <cell r="CP270" t="str">
            <v>0</v>
          </cell>
          <cell r="CQ270" t="str">
            <v>0</v>
          </cell>
          <cell r="CR270" t="str">
            <v>0</v>
          </cell>
          <cell r="CS270" t="str">
            <v>0</v>
          </cell>
          <cell r="CT270" t="str">
            <v>0</v>
          </cell>
          <cell r="CU270" t="str">
            <v>0</v>
          </cell>
          <cell r="CV270" t="str">
            <v>0</v>
          </cell>
          <cell r="CW270" t="str">
            <v>0</v>
          </cell>
          <cell r="CX270" t="str">
            <v>0</v>
          </cell>
          <cell r="CY270" t="str">
            <v>0</v>
          </cell>
          <cell r="CZ270" t="str">
            <v>0</v>
          </cell>
          <cell r="DA270" t="str">
            <v>0</v>
          </cell>
          <cell r="DB270" t="str">
            <v>0</v>
          </cell>
          <cell r="DC270" t="str">
            <v>0</v>
          </cell>
          <cell r="DD270" t="str">
            <v>0</v>
          </cell>
          <cell r="DE270" t="str">
            <v>0</v>
          </cell>
          <cell r="DF270" t="str">
            <v>0</v>
          </cell>
          <cell r="DG270" t="str">
            <v>0</v>
          </cell>
          <cell r="DH270" t="str">
            <v>0</v>
          </cell>
          <cell r="DI270" t="str">
            <v>0</v>
          </cell>
          <cell r="DJ270" t="str">
            <v>0</v>
          </cell>
          <cell r="DK270" t="str">
            <v>0</v>
          </cell>
          <cell r="DL270" t="str">
            <v>0</v>
          </cell>
          <cell r="DM270" t="str">
            <v>0</v>
          </cell>
          <cell r="DN270" t="str">
            <v>0</v>
          </cell>
          <cell r="DO270" t="str">
            <v>0</v>
          </cell>
          <cell r="DP270" t="str">
            <v>0</v>
          </cell>
        </row>
        <row r="271">
          <cell r="C271"/>
          <cell r="D271" t="str">
            <v>0</v>
          </cell>
          <cell r="E271" t="str">
            <v>0</v>
          </cell>
          <cell r="F271" t="str">
            <v>0</v>
          </cell>
          <cell r="G271" t="str">
            <v>0</v>
          </cell>
          <cell r="H271" t="str">
            <v>0</v>
          </cell>
          <cell r="I271" t="str">
            <v>0</v>
          </cell>
          <cell r="J271" t="str">
            <v>0</v>
          </cell>
          <cell r="K271" t="str">
            <v>0</v>
          </cell>
          <cell r="L271" t="str">
            <v>0</v>
          </cell>
          <cell r="M271" t="str">
            <v>0</v>
          </cell>
          <cell r="N271" t="str">
            <v>0</v>
          </cell>
          <cell r="O271" t="str">
            <v>0</v>
          </cell>
          <cell r="P271" t="str">
            <v>0</v>
          </cell>
          <cell r="Q271" t="str">
            <v>0</v>
          </cell>
          <cell r="R271" t="str">
            <v>0</v>
          </cell>
          <cell r="S271" t="str">
            <v>0</v>
          </cell>
          <cell r="T271" t="str">
            <v>0</v>
          </cell>
          <cell r="U271" t="str">
            <v>0</v>
          </cell>
          <cell r="V271" t="str">
            <v>0</v>
          </cell>
          <cell r="W271" t="str">
            <v>0</v>
          </cell>
          <cell r="X271" t="str">
            <v>0</v>
          </cell>
          <cell r="Y271" t="str">
            <v>0</v>
          </cell>
          <cell r="Z271" t="str">
            <v>0</v>
          </cell>
          <cell r="AA271" t="str">
            <v>0</v>
          </cell>
          <cell r="AB271" t="str">
            <v>0</v>
          </cell>
          <cell r="AC271" t="str">
            <v>0</v>
          </cell>
          <cell r="AD271" t="str">
            <v>0</v>
          </cell>
          <cell r="AE271" t="str">
            <v>0</v>
          </cell>
          <cell r="AF271" t="str">
            <v>0</v>
          </cell>
          <cell r="AG271" t="str">
            <v>0</v>
          </cell>
          <cell r="AH271" t="str">
            <v>0</v>
          </cell>
          <cell r="AI271" t="str">
            <v>0</v>
          </cell>
          <cell r="AJ271" t="str">
            <v>0</v>
          </cell>
          <cell r="AK271" t="str">
            <v>0</v>
          </cell>
          <cell r="AL271" t="str">
            <v>0</v>
          </cell>
          <cell r="AM271" t="str">
            <v>0</v>
          </cell>
          <cell r="AN271" t="str">
            <v>0</v>
          </cell>
          <cell r="AO271" t="str">
            <v>0</v>
          </cell>
          <cell r="AP271" t="str">
            <v>0</v>
          </cell>
          <cell r="AQ271" t="str">
            <v>0</v>
          </cell>
          <cell r="AR271" t="str">
            <v>0</v>
          </cell>
          <cell r="AS271" t="str">
            <v>0</v>
          </cell>
          <cell r="AT271" t="str">
            <v>0</v>
          </cell>
          <cell r="AU271" t="str">
            <v>0</v>
          </cell>
          <cell r="AV271" t="str">
            <v>0</v>
          </cell>
          <cell r="AW271" t="str">
            <v>0</v>
          </cell>
          <cell r="AX271" t="str">
            <v>0</v>
          </cell>
          <cell r="AY271" t="str">
            <v>0</v>
          </cell>
          <cell r="AZ271" t="str">
            <v>0</v>
          </cell>
          <cell r="BA271" t="str">
            <v>0</v>
          </cell>
          <cell r="BB271" t="str">
            <v>0</v>
          </cell>
          <cell r="BC271" t="str">
            <v>0</v>
          </cell>
          <cell r="BD271" t="str">
            <v>0</v>
          </cell>
          <cell r="BE271" t="str">
            <v>0</v>
          </cell>
          <cell r="BF271" t="str">
            <v>0</v>
          </cell>
          <cell r="BG271" t="str">
            <v>0</v>
          </cell>
          <cell r="BH271" t="str">
            <v>0</v>
          </cell>
          <cell r="BI271" t="str">
            <v>0</v>
          </cell>
          <cell r="BJ271" t="str">
            <v>0</v>
          </cell>
          <cell r="BK271" t="str">
            <v>0</v>
          </cell>
          <cell r="BL271" t="str">
            <v>0</v>
          </cell>
          <cell r="BM271" t="str">
            <v>0</v>
          </cell>
          <cell r="BN271" t="str">
            <v>0</v>
          </cell>
          <cell r="BO271" t="str">
            <v>0</v>
          </cell>
          <cell r="BP271" t="str">
            <v>0</v>
          </cell>
          <cell r="BQ271" t="str">
            <v>0</v>
          </cell>
          <cell r="BR271" t="str">
            <v>0</v>
          </cell>
          <cell r="BS271" t="str">
            <v>0</v>
          </cell>
          <cell r="BT271" t="str">
            <v>0</v>
          </cell>
          <cell r="BU271" t="str">
            <v>0</v>
          </cell>
          <cell r="BV271" t="str">
            <v>0</v>
          </cell>
          <cell r="BW271" t="str">
            <v>0</v>
          </cell>
          <cell r="BX271" t="str">
            <v>0</v>
          </cell>
          <cell r="BY271" t="str">
            <v>0</v>
          </cell>
          <cell r="BZ271" t="str">
            <v>0</v>
          </cell>
          <cell r="CA271" t="str">
            <v>0</v>
          </cell>
          <cell r="CB271" t="str">
            <v>0</v>
          </cell>
          <cell r="CC271" t="str">
            <v>0</v>
          </cell>
          <cell r="CD271" t="str">
            <v>0</v>
          </cell>
          <cell r="CE271" t="str">
            <v>0</v>
          </cell>
          <cell r="CF271" t="str">
            <v>0</v>
          </cell>
          <cell r="CG271" t="str">
            <v>0</v>
          </cell>
          <cell r="CH271" t="str">
            <v>0</v>
          </cell>
          <cell r="CI271" t="str">
            <v>0</v>
          </cell>
          <cell r="CJ271" t="str">
            <v>0</v>
          </cell>
          <cell r="CK271" t="str">
            <v>0</v>
          </cell>
          <cell r="CL271" t="str">
            <v>0</v>
          </cell>
          <cell r="CM271" t="str">
            <v>0</v>
          </cell>
          <cell r="CN271" t="str">
            <v>0</v>
          </cell>
          <cell r="CO271" t="str">
            <v>0</v>
          </cell>
          <cell r="CP271" t="str">
            <v>0</v>
          </cell>
          <cell r="CQ271" t="str">
            <v>0</v>
          </cell>
          <cell r="CR271" t="str">
            <v>0</v>
          </cell>
          <cell r="CS271" t="str">
            <v>0</v>
          </cell>
          <cell r="CT271" t="str">
            <v>0</v>
          </cell>
          <cell r="CU271" t="str">
            <v>0</v>
          </cell>
          <cell r="CV271" t="str">
            <v>0</v>
          </cell>
          <cell r="CW271" t="str">
            <v>0</v>
          </cell>
          <cell r="CX271" t="str">
            <v>0</v>
          </cell>
          <cell r="CY271" t="str">
            <v>0</v>
          </cell>
          <cell r="CZ271" t="str">
            <v>0</v>
          </cell>
          <cell r="DA271" t="str">
            <v>0</v>
          </cell>
          <cell r="DB271" t="str">
            <v>0</v>
          </cell>
          <cell r="DC271" t="str">
            <v>0</v>
          </cell>
          <cell r="DD271" t="str">
            <v>0</v>
          </cell>
          <cell r="DE271" t="str">
            <v>0</v>
          </cell>
          <cell r="DF271" t="str">
            <v>0</v>
          </cell>
          <cell r="DG271" t="str">
            <v>0</v>
          </cell>
          <cell r="DH271" t="str">
            <v>0</v>
          </cell>
          <cell r="DI271" t="str">
            <v>0</v>
          </cell>
          <cell r="DJ271" t="str">
            <v>0</v>
          </cell>
          <cell r="DK271" t="str">
            <v>0</v>
          </cell>
          <cell r="DL271" t="str">
            <v>0</v>
          </cell>
          <cell r="DM271" t="str">
            <v>0</v>
          </cell>
          <cell r="DN271" t="str">
            <v>0</v>
          </cell>
          <cell r="DO271" t="str">
            <v>0</v>
          </cell>
          <cell r="DP271" t="str">
            <v>0</v>
          </cell>
        </row>
        <row r="272">
          <cell r="C272"/>
          <cell r="D272" t="str">
            <v>0</v>
          </cell>
          <cell r="E272" t="str">
            <v>0</v>
          </cell>
          <cell r="F272" t="str">
            <v>0</v>
          </cell>
          <cell r="G272" t="str">
            <v>0</v>
          </cell>
          <cell r="H272" t="str">
            <v>0</v>
          </cell>
          <cell r="I272" t="str">
            <v>0</v>
          </cell>
          <cell r="J272" t="str">
            <v>0</v>
          </cell>
          <cell r="K272" t="str">
            <v>0</v>
          </cell>
          <cell r="L272" t="str">
            <v>0</v>
          </cell>
          <cell r="M272" t="str">
            <v>0</v>
          </cell>
          <cell r="N272" t="str">
            <v>0</v>
          </cell>
          <cell r="O272" t="str">
            <v>0</v>
          </cell>
          <cell r="P272" t="str">
            <v>0</v>
          </cell>
          <cell r="Q272" t="str">
            <v>0</v>
          </cell>
          <cell r="R272" t="str">
            <v>0</v>
          </cell>
          <cell r="S272" t="str">
            <v>0</v>
          </cell>
          <cell r="T272" t="str">
            <v>0</v>
          </cell>
          <cell r="U272" t="str">
            <v>0</v>
          </cell>
          <cell r="V272" t="str">
            <v>0</v>
          </cell>
          <cell r="W272" t="str">
            <v>0</v>
          </cell>
          <cell r="X272" t="str">
            <v>0</v>
          </cell>
          <cell r="Y272" t="str">
            <v>0</v>
          </cell>
          <cell r="Z272" t="str">
            <v>0</v>
          </cell>
          <cell r="AA272" t="str">
            <v>0</v>
          </cell>
          <cell r="AB272" t="str">
            <v>0</v>
          </cell>
          <cell r="AC272" t="str">
            <v>0</v>
          </cell>
          <cell r="AD272" t="str">
            <v>0</v>
          </cell>
          <cell r="AE272" t="str">
            <v>0</v>
          </cell>
          <cell r="AF272" t="str">
            <v>0</v>
          </cell>
          <cell r="AG272" t="str">
            <v>0</v>
          </cell>
          <cell r="AH272" t="str">
            <v>0</v>
          </cell>
          <cell r="AI272" t="str">
            <v>0</v>
          </cell>
          <cell r="AJ272" t="str">
            <v>0</v>
          </cell>
          <cell r="AK272" t="str">
            <v>0</v>
          </cell>
          <cell r="AL272" t="str">
            <v>0</v>
          </cell>
          <cell r="AM272" t="str">
            <v>0</v>
          </cell>
          <cell r="AN272" t="str">
            <v>0</v>
          </cell>
          <cell r="AO272" t="str">
            <v>0</v>
          </cell>
          <cell r="AP272" t="str">
            <v>0</v>
          </cell>
          <cell r="AQ272" t="str">
            <v>0</v>
          </cell>
          <cell r="AR272" t="str">
            <v>0</v>
          </cell>
          <cell r="AS272" t="str">
            <v>0</v>
          </cell>
          <cell r="AT272" t="str">
            <v>0</v>
          </cell>
          <cell r="AU272" t="str">
            <v>0</v>
          </cell>
          <cell r="AV272" t="str">
            <v>0</v>
          </cell>
          <cell r="AW272" t="str">
            <v>0</v>
          </cell>
          <cell r="AX272" t="str">
            <v>0</v>
          </cell>
          <cell r="AY272" t="str">
            <v>0</v>
          </cell>
          <cell r="AZ272" t="str">
            <v>0</v>
          </cell>
          <cell r="BA272" t="str">
            <v>0</v>
          </cell>
          <cell r="BB272" t="str">
            <v>0</v>
          </cell>
          <cell r="BC272" t="str">
            <v>0</v>
          </cell>
          <cell r="BD272" t="str">
            <v>0</v>
          </cell>
          <cell r="BE272" t="str">
            <v>0</v>
          </cell>
          <cell r="BF272" t="str">
            <v>0</v>
          </cell>
          <cell r="BG272" t="str">
            <v>0</v>
          </cell>
          <cell r="BH272" t="str">
            <v>0</v>
          </cell>
          <cell r="BI272" t="str">
            <v>0</v>
          </cell>
          <cell r="BJ272" t="str">
            <v>0</v>
          </cell>
          <cell r="BK272" t="str">
            <v>0</v>
          </cell>
          <cell r="BL272" t="str">
            <v>0</v>
          </cell>
          <cell r="BM272" t="str">
            <v>0</v>
          </cell>
          <cell r="BN272" t="str">
            <v>0</v>
          </cell>
          <cell r="BO272" t="str">
            <v>0</v>
          </cell>
          <cell r="BP272" t="str">
            <v>0</v>
          </cell>
          <cell r="BQ272" t="str">
            <v>0</v>
          </cell>
          <cell r="BR272" t="str">
            <v>0</v>
          </cell>
          <cell r="BS272" t="str">
            <v>0</v>
          </cell>
          <cell r="BT272" t="str">
            <v>0</v>
          </cell>
          <cell r="BU272" t="str">
            <v>0</v>
          </cell>
          <cell r="BV272" t="str">
            <v>0</v>
          </cell>
          <cell r="BW272" t="str">
            <v>0</v>
          </cell>
          <cell r="BX272" t="str">
            <v>0</v>
          </cell>
          <cell r="BY272" t="str">
            <v>0</v>
          </cell>
          <cell r="BZ272" t="str">
            <v>0</v>
          </cell>
          <cell r="CA272" t="str">
            <v>0</v>
          </cell>
          <cell r="CB272" t="str">
            <v>0</v>
          </cell>
          <cell r="CC272" t="str">
            <v>0</v>
          </cell>
          <cell r="CD272" t="str">
            <v>0</v>
          </cell>
          <cell r="CE272" t="str">
            <v>0</v>
          </cell>
          <cell r="CF272" t="str">
            <v>0</v>
          </cell>
          <cell r="CG272" t="str">
            <v>0</v>
          </cell>
          <cell r="CH272" t="str">
            <v>0</v>
          </cell>
          <cell r="CI272" t="str">
            <v>0</v>
          </cell>
          <cell r="CJ272" t="str">
            <v>0</v>
          </cell>
          <cell r="CK272" t="str">
            <v>0</v>
          </cell>
          <cell r="CL272" t="str">
            <v>0</v>
          </cell>
          <cell r="CM272" t="str">
            <v>0</v>
          </cell>
          <cell r="CN272" t="str">
            <v>0</v>
          </cell>
          <cell r="CO272" t="str">
            <v>0</v>
          </cell>
          <cell r="CP272" t="str">
            <v>0</v>
          </cell>
          <cell r="CQ272" t="str">
            <v>0</v>
          </cell>
          <cell r="CR272" t="str">
            <v>0</v>
          </cell>
          <cell r="CS272" t="str">
            <v>0</v>
          </cell>
          <cell r="CT272" t="str">
            <v>0</v>
          </cell>
          <cell r="CU272" t="str">
            <v>0</v>
          </cell>
          <cell r="CV272" t="str">
            <v>0</v>
          </cell>
          <cell r="CW272" t="str">
            <v>0</v>
          </cell>
          <cell r="CX272" t="str">
            <v>0</v>
          </cell>
          <cell r="CY272" t="str">
            <v>0</v>
          </cell>
          <cell r="CZ272" t="str">
            <v>0</v>
          </cell>
          <cell r="DA272" t="str">
            <v>0</v>
          </cell>
          <cell r="DB272" t="str">
            <v>0</v>
          </cell>
          <cell r="DC272" t="str">
            <v>0</v>
          </cell>
          <cell r="DD272" t="str">
            <v>0</v>
          </cell>
          <cell r="DE272" t="str">
            <v>0</v>
          </cell>
          <cell r="DF272" t="str">
            <v>0</v>
          </cell>
          <cell r="DG272" t="str">
            <v>0</v>
          </cell>
          <cell r="DH272" t="str">
            <v>0</v>
          </cell>
          <cell r="DI272" t="str">
            <v>0</v>
          </cell>
          <cell r="DJ272" t="str">
            <v>0</v>
          </cell>
          <cell r="DK272" t="str">
            <v>0</v>
          </cell>
          <cell r="DL272" t="str">
            <v>0</v>
          </cell>
          <cell r="DM272" t="str">
            <v>0</v>
          </cell>
          <cell r="DN272" t="str">
            <v>0</v>
          </cell>
          <cell r="DO272" t="str">
            <v>0</v>
          </cell>
          <cell r="DP272" t="str">
            <v>0</v>
          </cell>
        </row>
        <row r="273">
          <cell r="C273"/>
          <cell r="D273" t="str">
            <v>0</v>
          </cell>
          <cell r="E273" t="str">
            <v>0</v>
          </cell>
          <cell r="F273" t="str">
            <v>0</v>
          </cell>
          <cell r="G273" t="str">
            <v>0</v>
          </cell>
          <cell r="H273" t="str">
            <v>0</v>
          </cell>
          <cell r="I273" t="str">
            <v>0</v>
          </cell>
          <cell r="J273" t="str">
            <v>0</v>
          </cell>
          <cell r="K273" t="str">
            <v>0</v>
          </cell>
          <cell r="L273" t="str">
            <v>0</v>
          </cell>
          <cell r="M273" t="str">
            <v>0</v>
          </cell>
          <cell r="N273" t="str">
            <v>0</v>
          </cell>
          <cell r="O273" t="str">
            <v>0</v>
          </cell>
          <cell r="P273" t="str">
            <v>0</v>
          </cell>
          <cell r="Q273" t="str">
            <v>0</v>
          </cell>
          <cell r="R273" t="str">
            <v>0</v>
          </cell>
          <cell r="S273" t="str">
            <v>0</v>
          </cell>
          <cell r="T273" t="str">
            <v>0</v>
          </cell>
          <cell r="U273" t="str">
            <v>0</v>
          </cell>
          <cell r="V273" t="str">
            <v>0</v>
          </cell>
          <cell r="W273" t="str">
            <v>0</v>
          </cell>
          <cell r="X273" t="str">
            <v>0</v>
          </cell>
          <cell r="Y273" t="str">
            <v>0</v>
          </cell>
          <cell r="Z273" t="str">
            <v>0</v>
          </cell>
          <cell r="AA273" t="str">
            <v>0</v>
          </cell>
          <cell r="AB273" t="str">
            <v>0</v>
          </cell>
          <cell r="AC273" t="str">
            <v>0</v>
          </cell>
          <cell r="AD273" t="str">
            <v>0</v>
          </cell>
          <cell r="AE273" t="str">
            <v>0</v>
          </cell>
          <cell r="AF273" t="str">
            <v>0</v>
          </cell>
          <cell r="AG273" t="str">
            <v>0</v>
          </cell>
          <cell r="AH273" t="str">
            <v>0</v>
          </cell>
          <cell r="AI273" t="str">
            <v>0</v>
          </cell>
          <cell r="AJ273" t="str">
            <v>0</v>
          </cell>
          <cell r="AK273" t="str">
            <v>0</v>
          </cell>
          <cell r="AL273" t="str">
            <v>0</v>
          </cell>
          <cell r="AM273" t="str">
            <v>0</v>
          </cell>
          <cell r="AN273" t="str">
            <v>0</v>
          </cell>
          <cell r="AO273" t="str">
            <v>0</v>
          </cell>
          <cell r="AP273" t="str">
            <v>0</v>
          </cell>
          <cell r="AQ273" t="str">
            <v>0</v>
          </cell>
          <cell r="AR273" t="str">
            <v>0</v>
          </cell>
          <cell r="AS273" t="str">
            <v>0</v>
          </cell>
          <cell r="AT273" t="str">
            <v>0</v>
          </cell>
          <cell r="AU273" t="str">
            <v>0</v>
          </cell>
          <cell r="AV273" t="str">
            <v>0</v>
          </cell>
          <cell r="AW273" t="str">
            <v>0</v>
          </cell>
          <cell r="AX273" t="str">
            <v>0</v>
          </cell>
          <cell r="AY273" t="str">
            <v>0</v>
          </cell>
          <cell r="AZ273" t="str">
            <v>0</v>
          </cell>
          <cell r="BA273" t="str">
            <v>0</v>
          </cell>
          <cell r="BB273" t="str">
            <v>0</v>
          </cell>
          <cell r="BC273" t="str">
            <v>0</v>
          </cell>
          <cell r="BD273" t="str">
            <v>0</v>
          </cell>
          <cell r="BE273" t="str">
            <v>0</v>
          </cell>
          <cell r="BF273" t="str">
            <v>0</v>
          </cell>
          <cell r="BG273" t="str">
            <v>0</v>
          </cell>
          <cell r="BH273" t="str">
            <v>0</v>
          </cell>
          <cell r="BI273" t="str">
            <v>0</v>
          </cell>
          <cell r="BJ273" t="str">
            <v>0</v>
          </cell>
          <cell r="BK273" t="str">
            <v>0</v>
          </cell>
          <cell r="BL273" t="str">
            <v>0</v>
          </cell>
          <cell r="BM273" t="str">
            <v>0</v>
          </cell>
          <cell r="BN273" t="str">
            <v>0</v>
          </cell>
          <cell r="BO273" t="str">
            <v>0</v>
          </cell>
          <cell r="BP273" t="str">
            <v>0</v>
          </cell>
          <cell r="BQ273" t="str">
            <v>0</v>
          </cell>
          <cell r="BR273" t="str">
            <v>0</v>
          </cell>
          <cell r="BS273" t="str">
            <v>0</v>
          </cell>
          <cell r="BT273" t="str">
            <v>0</v>
          </cell>
          <cell r="BU273" t="str">
            <v>0</v>
          </cell>
          <cell r="BV273" t="str">
            <v>0</v>
          </cell>
          <cell r="BW273" t="str">
            <v>0</v>
          </cell>
          <cell r="BX273" t="str">
            <v>0</v>
          </cell>
          <cell r="BY273" t="str">
            <v>0</v>
          </cell>
          <cell r="BZ273" t="str">
            <v>0</v>
          </cell>
          <cell r="CA273" t="str">
            <v>0</v>
          </cell>
          <cell r="CB273" t="str">
            <v>0</v>
          </cell>
          <cell r="CC273" t="str">
            <v>0</v>
          </cell>
          <cell r="CD273" t="str">
            <v>0</v>
          </cell>
          <cell r="CE273" t="str">
            <v>0</v>
          </cell>
          <cell r="CF273" t="str">
            <v>0</v>
          </cell>
          <cell r="CG273" t="str">
            <v>0</v>
          </cell>
          <cell r="CH273" t="str">
            <v>0</v>
          </cell>
          <cell r="CI273" t="str">
            <v>0</v>
          </cell>
          <cell r="CJ273" t="str">
            <v>0</v>
          </cell>
          <cell r="CK273" t="str">
            <v>0</v>
          </cell>
          <cell r="CL273" t="str">
            <v>0</v>
          </cell>
          <cell r="CM273" t="str">
            <v>0</v>
          </cell>
          <cell r="CN273" t="str">
            <v>0</v>
          </cell>
          <cell r="CO273" t="str">
            <v>0</v>
          </cell>
          <cell r="CP273" t="str">
            <v>0</v>
          </cell>
          <cell r="CQ273" t="str">
            <v>0</v>
          </cell>
          <cell r="CR273" t="str">
            <v>0</v>
          </cell>
          <cell r="CS273" t="str">
            <v>0</v>
          </cell>
          <cell r="CT273" t="str">
            <v>0</v>
          </cell>
          <cell r="CU273" t="str">
            <v>0</v>
          </cell>
          <cell r="CV273" t="str">
            <v>0</v>
          </cell>
          <cell r="CW273" t="str">
            <v>0</v>
          </cell>
          <cell r="CX273" t="str">
            <v>0</v>
          </cell>
          <cell r="CY273" t="str">
            <v>0</v>
          </cell>
          <cell r="CZ273" t="str">
            <v>0</v>
          </cell>
          <cell r="DA273" t="str">
            <v>0</v>
          </cell>
          <cell r="DB273" t="str">
            <v>0</v>
          </cell>
          <cell r="DC273" t="str">
            <v>0</v>
          </cell>
          <cell r="DD273" t="str">
            <v>0</v>
          </cell>
          <cell r="DE273" t="str">
            <v>0</v>
          </cell>
          <cell r="DF273" t="str">
            <v>0</v>
          </cell>
          <cell r="DG273" t="str">
            <v>0</v>
          </cell>
          <cell r="DH273" t="str">
            <v>0</v>
          </cell>
          <cell r="DI273" t="str">
            <v>0</v>
          </cell>
          <cell r="DJ273" t="str">
            <v>0</v>
          </cell>
          <cell r="DK273" t="str">
            <v>0</v>
          </cell>
          <cell r="DL273" t="str">
            <v>0</v>
          </cell>
          <cell r="DM273" t="str">
            <v>0</v>
          </cell>
          <cell r="DN273" t="str">
            <v>0</v>
          </cell>
          <cell r="DO273" t="str">
            <v>0</v>
          </cell>
          <cell r="DP273" t="str">
            <v>0</v>
          </cell>
        </row>
        <row r="274">
          <cell r="C274"/>
          <cell r="D274" t="str">
            <v>0</v>
          </cell>
          <cell r="E274" t="str">
            <v>0</v>
          </cell>
          <cell r="F274" t="str">
            <v>0</v>
          </cell>
          <cell r="G274" t="str">
            <v>0</v>
          </cell>
          <cell r="H274" t="str">
            <v>0</v>
          </cell>
          <cell r="I274" t="str">
            <v>0</v>
          </cell>
          <cell r="J274" t="str">
            <v>0</v>
          </cell>
          <cell r="K274" t="str">
            <v>0</v>
          </cell>
          <cell r="L274" t="str">
            <v>0</v>
          </cell>
          <cell r="M274" t="str">
            <v>0</v>
          </cell>
          <cell r="N274" t="str">
            <v>0</v>
          </cell>
          <cell r="O274" t="str">
            <v>0</v>
          </cell>
          <cell r="P274" t="str">
            <v>0</v>
          </cell>
          <cell r="Q274" t="str">
            <v>0</v>
          </cell>
          <cell r="R274" t="str">
            <v>0</v>
          </cell>
          <cell r="S274" t="str">
            <v>0</v>
          </cell>
          <cell r="T274" t="str">
            <v>0</v>
          </cell>
          <cell r="U274" t="str">
            <v>0</v>
          </cell>
          <cell r="V274" t="str">
            <v>0</v>
          </cell>
          <cell r="W274" t="str">
            <v>0</v>
          </cell>
          <cell r="X274" t="str">
            <v>0</v>
          </cell>
          <cell r="Y274" t="str">
            <v>0</v>
          </cell>
          <cell r="Z274" t="str">
            <v>0</v>
          </cell>
          <cell r="AA274" t="str">
            <v>0</v>
          </cell>
          <cell r="AB274" t="str">
            <v>0</v>
          </cell>
          <cell r="AC274" t="str">
            <v>0</v>
          </cell>
          <cell r="AD274" t="str">
            <v>0</v>
          </cell>
          <cell r="AE274" t="str">
            <v>0</v>
          </cell>
          <cell r="AF274" t="str">
            <v>0</v>
          </cell>
          <cell r="AG274" t="str">
            <v>0</v>
          </cell>
          <cell r="AH274" t="str">
            <v>0</v>
          </cell>
          <cell r="AI274" t="str">
            <v>0</v>
          </cell>
          <cell r="AJ274" t="str">
            <v>0</v>
          </cell>
          <cell r="AK274" t="str">
            <v>0</v>
          </cell>
          <cell r="AL274" t="str">
            <v>0</v>
          </cell>
          <cell r="AM274" t="str">
            <v>0</v>
          </cell>
          <cell r="AN274" t="str">
            <v>0</v>
          </cell>
          <cell r="AO274" t="str">
            <v>0</v>
          </cell>
          <cell r="AP274" t="str">
            <v>0</v>
          </cell>
          <cell r="AQ274" t="str">
            <v>0</v>
          </cell>
          <cell r="AR274" t="str">
            <v>0</v>
          </cell>
          <cell r="AS274" t="str">
            <v>0</v>
          </cell>
          <cell r="AT274" t="str">
            <v>0</v>
          </cell>
          <cell r="AU274" t="str">
            <v>0</v>
          </cell>
          <cell r="AV274" t="str">
            <v>0</v>
          </cell>
          <cell r="AW274" t="str">
            <v>0</v>
          </cell>
          <cell r="AX274" t="str">
            <v>0</v>
          </cell>
          <cell r="AY274" t="str">
            <v>0</v>
          </cell>
          <cell r="AZ274" t="str">
            <v>0</v>
          </cell>
          <cell r="BA274" t="str">
            <v>0</v>
          </cell>
          <cell r="BB274" t="str">
            <v>0</v>
          </cell>
          <cell r="BC274" t="str">
            <v>0</v>
          </cell>
          <cell r="BD274" t="str">
            <v>0</v>
          </cell>
          <cell r="BE274" t="str">
            <v>0</v>
          </cell>
          <cell r="BF274" t="str">
            <v>0</v>
          </cell>
          <cell r="BG274" t="str">
            <v>0</v>
          </cell>
          <cell r="BH274" t="str">
            <v>0</v>
          </cell>
          <cell r="BI274" t="str">
            <v>0</v>
          </cell>
          <cell r="BJ274" t="str">
            <v>0</v>
          </cell>
          <cell r="BK274" t="str">
            <v>0</v>
          </cell>
          <cell r="BL274" t="str">
            <v>0</v>
          </cell>
          <cell r="BM274" t="str">
            <v>0</v>
          </cell>
          <cell r="BN274" t="str">
            <v>0</v>
          </cell>
          <cell r="BO274" t="str">
            <v>0</v>
          </cell>
          <cell r="BP274" t="str">
            <v>0</v>
          </cell>
          <cell r="BQ274" t="str">
            <v>0</v>
          </cell>
          <cell r="BR274" t="str">
            <v>0</v>
          </cell>
          <cell r="BS274" t="str">
            <v>0</v>
          </cell>
          <cell r="BT274" t="str">
            <v>0</v>
          </cell>
          <cell r="BU274" t="str">
            <v>0</v>
          </cell>
          <cell r="BV274" t="str">
            <v>0</v>
          </cell>
          <cell r="BW274" t="str">
            <v>0</v>
          </cell>
          <cell r="BX274" t="str">
            <v>0</v>
          </cell>
          <cell r="BY274" t="str">
            <v>0</v>
          </cell>
          <cell r="BZ274" t="str">
            <v>0</v>
          </cell>
          <cell r="CA274" t="str">
            <v>0</v>
          </cell>
          <cell r="CB274" t="str">
            <v>0</v>
          </cell>
          <cell r="CC274" t="str">
            <v>0</v>
          </cell>
          <cell r="CD274" t="str">
            <v>0</v>
          </cell>
          <cell r="CE274" t="str">
            <v>0</v>
          </cell>
          <cell r="CF274" t="str">
            <v>0</v>
          </cell>
          <cell r="CG274" t="str">
            <v>0</v>
          </cell>
          <cell r="CH274" t="str">
            <v>0</v>
          </cell>
          <cell r="CI274" t="str">
            <v>0</v>
          </cell>
          <cell r="CJ274" t="str">
            <v>0</v>
          </cell>
          <cell r="CK274" t="str">
            <v>0</v>
          </cell>
          <cell r="CL274" t="str">
            <v>0</v>
          </cell>
          <cell r="CM274" t="str">
            <v>0</v>
          </cell>
          <cell r="CN274" t="str">
            <v>0</v>
          </cell>
          <cell r="CO274" t="str">
            <v>0</v>
          </cell>
          <cell r="CP274" t="str">
            <v>0</v>
          </cell>
          <cell r="CQ274" t="str">
            <v>0</v>
          </cell>
          <cell r="CR274" t="str">
            <v>0</v>
          </cell>
          <cell r="CS274" t="str">
            <v>0</v>
          </cell>
          <cell r="CT274" t="str">
            <v>0</v>
          </cell>
          <cell r="CU274" t="str">
            <v>0</v>
          </cell>
          <cell r="CV274" t="str">
            <v>0</v>
          </cell>
          <cell r="CW274" t="str">
            <v>0</v>
          </cell>
          <cell r="CX274" t="str">
            <v>0</v>
          </cell>
          <cell r="CY274" t="str">
            <v>0</v>
          </cell>
          <cell r="CZ274" t="str">
            <v>0</v>
          </cell>
          <cell r="DA274" t="str">
            <v>0</v>
          </cell>
          <cell r="DB274" t="str">
            <v>0</v>
          </cell>
          <cell r="DC274" t="str">
            <v>0</v>
          </cell>
          <cell r="DD274" t="str">
            <v>0</v>
          </cell>
          <cell r="DE274" t="str">
            <v>0</v>
          </cell>
          <cell r="DF274" t="str">
            <v>0</v>
          </cell>
          <cell r="DG274" t="str">
            <v>0</v>
          </cell>
          <cell r="DH274" t="str">
            <v>0</v>
          </cell>
          <cell r="DI274" t="str">
            <v>0</v>
          </cell>
          <cell r="DJ274" t="str">
            <v>0</v>
          </cell>
          <cell r="DK274" t="str">
            <v>0</v>
          </cell>
          <cell r="DL274" t="str">
            <v>0</v>
          </cell>
          <cell r="DM274" t="str">
            <v>0</v>
          </cell>
          <cell r="DN274" t="str">
            <v>0</v>
          </cell>
          <cell r="DO274" t="str">
            <v>0</v>
          </cell>
          <cell r="DP274" t="str">
            <v>0</v>
          </cell>
        </row>
        <row r="275">
          <cell r="C275"/>
          <cell r="D275" t="str">
            <v>0</v>
          </cell>
          <cell r="E275" t="str">
            <v>0</v>
          </cell>
          <cell r="F275" t="str">
            <v>0</v>
          </cell>
          <cell r="G275" t="str">
            <v>0</v>
          </cell>
          <cell r="H275" t="str">
            <v>0</v>
          </cell>
          <cell r="I275" t="str">
            <v>0</v>
          </cell>
          <cell r="J275" t="str">
            <v>0</v>
          </cell>
          <cell r="K275" t="str">
            <v>0</v>
          </cell>
          <cell r="L275" t="str">
            <v>0</v>
          </cell>
          <cell r="M275" t="str">
            <v>0</v>
          </cell>
          <cell r="N275" t="str">
            <v>0</v>
          </cell>
          <cell r="O275" t="str">
            <v>0</v>
          </cell>
          <cell r="P275" t="str">
            <v>0</v>
          </cell>
          <cell r="Q275" t="str">
            <v>0</v>
          </cell>
          <cell r="R275" t="str">
            <v>0</v>
          </cell>
          <cell r="S275" t="str">
            <v>0</v>
          </cell>
          <cell r="T275" t="str">
            <v>0</v>
          </cell>
          <cell r="U275" t="str">
            <v>0</v>
          </cell>
          <cell r="V275" t="str">
            <v>0</v>
          </cell>
          <cell r="W275" t="str">
            <v>0</v>
          </cell>
          <cell r="X275" t="str">
            <v>0</v>
          </cell>
          <cell r="Y275" t="str">
            <v>0</v>
          </cell>
          <cell r="Z275" t="str">
            <v>0</v>
          </cell>
          <cell r="AA275" t="str">
            <v>0</v>
          </cell>
          <cell r="AB275" t="str">
            <v>0</v>
          </cell>
          <cell r="AC275" t="str">
            <v>0</v>
          </cell>
          <cell r="AD275" t="str">
            <v>0</v>
          </cell>
          <cell r="AE275" t="str">
            <v>0</v>
          </cell>
          <cell r="AF275" t="str">
            <v>0</v>
          </cell>
          <cell r="AG275" t="str">
            <v>0</v>
          </cell>
          <cell r="AH275" t="str">
            <v>0</v>
          </cell>
          <cell r="AI275" t="str">
            <v>0</v>
          </cell>
          <cell r="AJ275" t="str">
            <v>0</v>
          </cell>
          <cell r="AK275" t="str">
            <v>0</v>
          </cell>
          <cell r="AL275" t="str">
            <v>0</v>
          </cell>
          <cell r="AM275" t="str">
            <v>0</v>
          </cell>
          <cell r="AN275" t="str">
            <v>0</v>
          </cell>
          <cell r="AO275" t="str">
            <v>0</v>
          </cell>
          <cell r="AP275" t="str">
            <v>0</v>
          </cell>
          <cell r="AQ275" t="str">
            <v>0</v>
          </cell>
          <cell r="AR275" t="str">
            <v>0</v>
          </cell>
          <cell r="AS275" t="str">
            <v>0</v>
          </cell>
          <cell r="AT275" t="str">
            <v>0</v>
          </cell>
          <cell r="AU275" t="str">
            <v>0</v>
          </cell>
          <cell r="AV275" t="str">
            <v>0</v>
          </cell>
          <cell r="AW275" t="str">
            <v>0</v>
          </cell>
          <cell r="AX275" t="str">
            <v>0</v>
          </cell>
          <cell r="AY275" t="str">
            <v>0</v>
          </cell>
          <cell r="AZ275" t="str">
            <v>0</v>
          </cell>
          <cell r="BA275" t="str">
            <v>0</v>
          </cell>
          <cell r="BB275" t="str">
            <v>0</v>
          </cell>
          <cell r="BC275" t="str">
            <v>0</v>
          </cell>
          <cell r="BD275" t="str">
            <v>0</v>
          </cell>
          <cell r="BE275" t="str">
            <v>0</v>
          </cell>
          <cell r="BF275" t="str">
            <v>0</v>
          </cell>
          <cell r="BG275" t="str">
            <v>0</v>
          </cell>
          <cell r="BH275" t="str">
            <v>0</v>
          </cell>
          <cell r="BI275" t="str">
            <v>0</v>
          </cell>
          <cell r="BJ275" t="str">
            <v>0</v>
          </cell>
          <cell r="BK275" t="str">
            <v>0</v>
          </cell>
          <cell r="BL275" t="str">
            <v>0</v>
          </cell>
          <cell r="BM275" t="str">
            <v>0</v>
          </cell>
          <cell r="BN275" t="str">
            <v>0</v>
          </cell>
          <cell r="BO275" t="str">
            <v>0</v>
          </cell>
          <cell r="BP275" t="str">
            <v>0</v>
          </cell>
          <cell r="BQ275" t="str">
            <v>0</v>
          </cell>
          <cell r="BR275" t="str">
            <v>0</v>
          </cell>
          <cell r="BS275" t="str">
            <v>0</v>
          </cell>
          <cell r="BT275" t="str">
            <v>0</v>
          </cell>
          <cell r="BU275" t="str">
            <v>0</v>
          </cell>
          <cell r="BV275" t="str">
            <v>0</v>
          </cell>
          <cell r="BW275" t="str">
            <v>0</v>
          </cell>
          <cell r="BX275" t="str">
            <v>0</v>
          </cell>
          <cell r="BY275" t="str">
            <v>0</v>
          </cell>
          <cell r="BZ275" t="str">
            <v>0</v>
          </cell>
          <cell r="CA275" t="str">
            <v>0</v>
          </cell>
          <cell r="CB275" t="str">
            <v>0</v>
          </cell>
          <cell r="CC275" t="str">
            <v>0</v>
          </cell>
          <cell r="CD275" t="str">
            <v>0</v>
          </cell>
          <cell r="CE275" t="str">
            <v>0</v>
          </cell>
          <cell r="CF275" t="str">
            <v>0</v>
          </cell>
          <cell r="CG275" t="str">
            <v>0</v>
          </cell>
          <cell r="CH275" t="str">
            <v>0</v>
          </cell>
          <cell r="CI275" t="str">
            <v>0</v>
          </cell>
          <cell r="CJ275" t="str">
            <v>0</v>
          </cell>
          <cell r="CK275" t="str">
            <v>0</v>
          </cell>
          <cell r="CL275" t="str">
            <v>0</v>
          </cell>
          <cell r="CM275" t="str">
            <v>0</v>
          </cell>
          <cell r="CN275" t="str">
            <v>0</v>
          </cell>
          <cell r="CO275" t="str">
            <v>0</v>
          </cell>
          <cell r="CP275" t="str">
            <v>0</v>
          </cell>
          <cell r="CQ275" t="str">
            <v>0</v>
          </cell>
          <cell r="CR275" t="str">
            <v>0</v>
          </cell>
          <cell r="CS275" t="str">
            <v>0</v>
          </cell>
          <cell r="CT275" t="str">
            <v>0</v>
          </cell>
          <cell r="CU275" t="str">
            <v>0</v>
          </cell>
          <cell r="CV275" t="str">
            <v>0</v>
          </cell>
          <cell r="CW275" t="str">
            <v>0</v>
          </cell>
          <cell r="CX275" t="str">
            <v>0</v>
          </cell>
          <cell r="CY275" t="str">
            <v>0</v>
          </cell>
          <cell r="CZ275" t="str">
            <v>0</v>
          </cell>
          <cell r="DA275" t="str">
            <v>0</v>
          </cell>
          <cell r="DB275" t="str">
            <v>0</v>
          </cell>
          <cell r="DC275" t="str">
            <v>0</v>
          </cell>
          <cell r="DD275" t="str">
            <v>0</v>
          </cell>
          <cell r="DE275" t="str">
            <v>0</v>
          </cell>
          <cell r="DF275" t="str">
            <v>0</v>
          </cell>
          <cell r="DG275" t="str">
            <v>0</v>
          </cell>
          <cell r="DH275" t="str">
            <v>0</v>
          </cell>
          <cell r="DI275" t="str">
            <v>0</v>
          </cell>
          <cell r="DJ275" t="str">
            <v>0</v>
          </cell>
          <cell r="DK275" t="str">
            <v>0</v>
          </cell>
          <cell r="DL275" t="str">
            <v>0</v>
          </cell>
          <cell r="DM275" t="str">
            <v>0</v>
          </cell>
          <cell r="DN275" t="str">
            <v>0</v>
          </cell>
          <cell r="DO275" t="str">
            <v>0</v>
          </cell>
          <cell r="DP275" t="str">
            <v>0</v>
          </cell>
        </row>
        <row r="276">
          <cell r="C276"/>
          <cell r="D276" t="str">
            <v>0</v>
          </cell>
          <cell r="E276" t="str">
            <v>0</v>
          </cell>
          <cell r="F276" t="str">
            <v>0</v>
          </cell>
          <cell r="G276" t="str">
            <v>0</v>
          </cell>
          <cell r="H276" t="str">
            <v>0</v>
          </cell>
          <cell r="I276" t="str">
            <v>0</v>
          </cell>
          <cell r="J276" t="str">
            <v>0</v>
          </cell>
          <cell r="K276" t="str">
            <v>0</v>
          </cell>
          <cell r="L276" t="str">
            <v>0</v>
          </cell>
          <cell r="M276" t="str">
            <v>0</v>
          </cell>
          <cell r="N276" t="str">
            <v>0</v>
          </cell>
          <cell r="O276" t="str">
            <v>0</v>
          </cell>
          <cell r="P276" t="str">
            <v>0</v>
          </cell>
          <cell r="Q276" t="str">
            <v>0</v>
          </cell>
          <cell r="R276" t="str">
            <v>0</v>
          </cell>
          <cell r="S276" t="str">
            <v>0</v>
          </cell>
          <cell r="T276" t="str">
            <v>0</v>
          </cell>
          <cell r="U276" t="str">
            <v>0</v>
          </cell>
          <cell r="V276" t="str">
            <v>0</v>
          </cell>
          <cell r="W276" t="str">
            <v>0</v>
          </cell>
          <cell r="X276" t="str">
            <v>0</v>
          </cell>
          <cell r="Y276" t="str">
            <v>0</v>
          </cell>
          <cell r="Z276" t="str">
            <v>0</v>
          </cell>
          <cell r="AA276" t="str">
            <v>0</v>
          </cell>
          <cell r="AB276" t="str">
            <v>0</v>
          </cell>
          <cell r="AC276" t="str">
            <v>0</v>
          </cell>
          <cell r="AD276" t="str">
            <v>0</v>
          </cell>
          <cell r="AE276" t="str">
            <v>0</v>
          </cell>
          <cell r="AF276" t="str">
            <v>0</v>
          </cell>
          <cell r="AG276" t="str">
            <v>0</v>
          </cell>
          <cell r="AH276" t="str">
            <v>0</v>
          </cell>
          <cell r="AI276" t="str">
            <v>0</v>
          </cell>
          <cell r="AJ276" t="str">
            <v>0</v>
          </cell>
          <cell r="AK276" t="str">
            <v>0</v>
          </cell>
          <cell r="AL276" t="str">
            <v>0</v>
          </cell>
          <cell r="AM276" t="str">
            <v>0</v>
          </cell>
          <cell r="AN276" t="str">
            <v>0</v>
          </cell>
          <cell r="AO276" t="str">
            <v>0</v>
          </cell>
          <cell r="AP276" t="str">
            <v>0</v>
          </cell>
          <cell r="AQ276" t="str">
            <v>0</v>
          </cell>
          <cell r="AR276" t="str">
            <v>0</v>
          </cell>
          <cell r="AS276" t="str">
            <v>0</v>
          </cell>
          <cell r="AT276" t="str">
            <v>0</v>
          </cell>
          <cell r="AU276" t="str">
            <v>0</v>
          </cell>
          <cell r="AV276" t="str">
            <v>0</v>
          </cell>
          <cell r="AW276" t="str">
            <v>0</v>
          </cell>
          <cell r="AX276" t="str">
            <v>0</v>
          </cell>
          <cell r="AY276" t="str">
            <v>0</v>
          </cell>
          <cell r="AZ276" t="str">
            <v>0</v>
          </cell>
          <cell r="BA276" t="str">
            <v>0</v>
          </cell>
          <cell r="BB276" t="str">
            <v>0</v>
          </cell>
          <cell r="BC276" t="str">
            <v>0</v>
          </cell>
          <cell r="BD276" t="str">
            <v>0</v>
          </cell>
          <cell r="BE276" t="str">
            <v>0</v>
          </cell>
          <cell r="BF276" t="str">
            <v>0</v>
          </cell>
          <cell r="BG276" t="str">
            <v>0</v>
          </cell>
          <cell r="BH276" t="str">
            <v>0</v>
          </cell>
          <cell r="BI276" t="str">
            <v>0</v>
          </cell>
          <cell r="BJ276" t="str">
            <v>0</v>
          </cell>
          <cell r="BK276" t="str">
            <v>0</v>
          </cell>
          <cell r="BL276" t="str">
            <v>0</v>
          </cell>
          <cell r="BM276" t="str">
            <v>0</v>
          </cell>
          <cell r="BN276" t="str">
            <v>0</v>
          </cell>
          <cell r="BO276" t="str">
            <v>0</v>
          </cell>
          <cell r="BP276" t="str">
            <v>0</v>
          </cell>
          <cell r="BQ276" t="str">
            <v>0</v>
          </cell>
          <cell r="BR276" t="str">
            <v>0</v>
          </cell>
          <cell r="BS276" t="str">
            <v>0</v>
          </cell>
          <cell r="BT276" t="str">
            <v>0</v>
          </cell>
          <cell r="BU276" t="str">
            <v>0</v>
          </cell>
          <cell r="BV276" t="str">
            <v>0</v>
          </cell>
          <cell r="BW276" t="str">
            <v>0</v>
          </cell>
          <cell r="BX276" t="str">
            <v>0</v>
          </cell>
          <cell r="BY276" t="str">
            <v>0</v>
          </cell>
          <cell r="BZ276" t="str">
            <v>0</v>
          </cell>
          <cell r="CA276" t="str">
            <v>0</v>
          </cell>
          <cell r="CB276" t="str">
            <v>0</v>
          </cell>
          <cell r="CC276" t="str">
            <v>0</v>
          </cell>
          <cell r="CD276" t="str">
            <v>0</v>
          </cell>
          <cell r="CE276" t="str">
            <v>0</v>
          </cell>
          <cell r="CF276" t="str">
            <v>0</v>
          </cell>
          <cell r="CG276" t="str">
            <v>0</v>
          </cell>
          <cell r="CH276" t="str">
            <v>0</v>
          </cell>
          <cell r="CI276" t="str">
            <v>0</v>
          </cell>
          <cell r="CJ276" t="str">
            <v>0</v>
          </cell>
          <cell r="CK276" t="str">
            <v>0</v>
          </cell>
          <cell r="CL276" t="str">
            <v>0</v>
          </cell>
          <cell r="CM276" t="str">
            <v>0</v>
          </cell>
          <cell r="CN276" t="str">
            <v>0</v>
          </cell>
          <cell r="CO276" t="str">
            <v>0</v>
          </cell>
          <cell r="CP276" t="str">
            <v>0</v>
          </cell>
          <cell r="CQ276" t="str">
            <v>0</v>
          </cell>
          <cell r="CR276" t="str">
            <v>0</v>
          </cell>
          <cell r="CS276" t="str">
            <v>0</v>
          </cell>
          <cell r="CT276" t="str">
            <v>0</v>
          </cell>
          <cell r="CU276" t="str">
            <v>0</v>
          </cell>
          <cell r="CV276" t="str">
            <v>0</v>
          </cell>
          <cell r="CW276" t="str">
            <v>0</v>
          </cell>
          <cell r="CX276" t="str">
            <v>0</v>
          </cell>
          <cell r="CY276" t="str">
            <v>0</v>
          </cell>
          <cell r="CZ276" t="str">
            <v>0</v>
          </cell>
          <cell r="DA276" t="str">
            <v>0</v>
          </cell>
          <cell r="DB276" t="str">
            <v>0</v>
          </cell>
          <cell r="DC276" t="str">
            <v>0</v>
          </cell>
          <cell r="DD276" t="str">
            <v>0</v>
          </cell>
          <cell r="DE276" t="str">
            <v>0</v>
          </cell>
          <cell r="DF276" t="str">
            <v>0</v>
          </cell>
          <cell r="DG276" t="str">
            <v>0</v>
          </cell>
          <cell r="DH276" t="str">
            <v>0</v>
          </cell>
          <cell r="DI276" t="str">
            <v>0</v>
          </cell>
          <cell r="DJ276" t="str">
            <v>0</v>
          </cell>
          <cell r="DK276" t="str">
            <v>0</v>
          </cell>
          <cell r="DL276" t="str">
            <v>0</v>
          </cell>
          <cell r="DM276" t="str">
            <v>0</v>
          </cell>
          <cell r="DN276" t="str">
            <v>0</v>
          </cell>
          <cell r="DO276" t="str">
            <v>0</v>
          </cell>
          <cell r="DP276" t="str">
            <v>0</v>
          </cell>
        </row>
        <row r="277">
          <cell r="C277"/>
          <cell r="D277" t="str">
            <v>0</v>
          </cell>
          <cell r="E277" t="str">
            <v>0</v>
          </cell>
          <cell r="F277" t="str">
            <v>0</v>
          </cell>
          <cell r="G277" t="str">
            <v>0</v>
          </cell>
          <cell r="H277" t="str">
            <v>0</v>
          </cell>
          <cell r="I277" t="str">
            <v>0</v>
          </cell>
          <cell r="J277" t="str">
            <v>0</v>
          </cell>
          <cell r="K277" t="str">
            <v>0</v>
          </cell>
          <cell r="L277" t="str">
            <v>0</v>
          </cell>
          <cell r="M277" t="str">
            <v>0</v>
          </cell>
          <cell r="N277" t="str">
            <v>0</v>
          </cell>
          <cell r="O277" t="str">
            <v>0</v>
          </cell>
          <cell r="P277" t="str">
            <v>0</v>
          </cell>
          <cell r="Q277" t="str">
            <v>0</v>
          </cell>
          <cell r="R277" t="str">
            <v>0</v>
          </cell>
          <cell r="S277" t="str">
            <v>0</v>
          </cell>
          <cell r="T277" t="str">
            <v>0</v>
          </cell>
          <cell r="U277" t="str">
            <v>0</v>
          </cell>
          <cell r="V277" t="str">
            <v>0</v>
          </cell>
          <cell r="W277" t="str">
            <v>0</v>
          </cell>
          <cell r="X277" t="str">
            <v>0</v>
          </cell>
          <cell r="Y277" t="str">
            <v>0</v>
          </cell>
          <cell r="Z277" t="str">
            <v>0</v>
          </cell>
          <cell r="AA277" t="str">
            <v>0</v>
          </cell>
          <cell r="AB277" t="str">
            <v>0</v>
          </cell>
          <cell r="AC277" t="str">
            <v>0</v>
          </cell>
          <cell r="AD277" t="str">
            <v>0</v>
          </cell>
          <cell r="AE277" t="str">
            <v>0</v>
          </cell>
          <cell r="AF277" t="str">
            <v>0</v>
          </cell>
          <cell r="AG277" t="str">
            <v>0</v>
          </cell>
          <cell r="AH277" t="str">
            <v>0</v>
          </cell>
          <cell r="AI277" t="str">
            <v>0</v>
          </cell>
          <cell r="AJ277" t="str">
            <v>0</v>
          </cell>
          <cell r="AK277" t="str">
            <v>0</v>
          </cell>
          <cell r="AL277" t="str">
            <v>0</v>
          </cell>
          <cell r="AM277" t="str">
            <v>0</v>
          </cell>
          <cell r="AN277" t="str">
            <v>0</v>
          </cell>
          <cell r="AO277" t="str">
            <v>0</v>
          </cell>
          <cell r="AP277" t="str">
            <v>0</v>
          </cell>
          <cell r="AQ277" t="str">
            <v>0</v>
          </cell>
          <cell r="AR277" t="str">
            <v>0</v>
          </cell>
          <cell r="AS277" t="str">
            <v>0</v>
          </cell>
          <cell r="AT277" t="str">
            <v>0</v>
          </cell>
          <cell r="AU277" t="str">
            <v>0</v>
          </cell>
          <cell r="AV277" t="str">
            <v>0</v>
          </cell>
          <cell r="AW277" t="str">
            <v>0</v>
          </cell>
          <cell r="AX277" t="str">
            <v>0</v>
          </cell>
          <cell r="AY277" t="str">
            <v>0</v>
          </cell>
          <cell r="AZ277" t="str">
            <v>0</v>
          </cell>
          <cell r="BA277" t="str">
            <v>0</v>
          </cell>
          <cell r="BB277" t="str">
            <v>0</v>
          </cell>
          <cell r="BC277" t="str">
            <v>0</v>
          </cell>
          <cell r="BD277" t="str">
            <v>0</v>
          </cell>
          <cell r="BE277" t="str">
            <v>0</v>
          </cell>
          <cell r="BF277" t="str">
            <v>0</v>
          </cell>
          <cell r="BG277" t="str">
            <v>0</v>
          </cell>
          <cell r="BH277" t="str">
            <v>0</v>
          </cell>
          <cell r="BI277" t="str">
            <v>0</v>
          </cell>
          <cell r="BJ277" t="str">
            <v>0</v>
          </cell>
          <cell r="BK277" t="str">
            <v>0</v>
          </cell>
          <cell r="BL277" t="str">
            <v>0</v>
          </cell>
          <cell r="BM277" t="str">
            <v>0</v>
          </cell>
          <cell r="BN277" t="str">
            <v>0</v>
          </cell>
          <cell r="BO277" t="str">
            <v>0</v>
          </cell>
          <cell r="BP277" t="str">
            <v>0</v>
          </cell>
          <cell r="BQ277" t="str">
            <v>0</v>
          </cell>
          <cell r="BR277" t="str">
            <v>0</v>
          </cell>
          <cell r="BS277" t="str">
            <v>0</v>
          </cell>
          <cell r="BT277" t="str">
            <v>0</v>
          </cell>
          <cell r="BU277" t="str">
            <v>0</v>
          </cell>
          <cell r="BV277" t="str">
            <v>0</v>
          </cell>
          <cell r="BW277" t="str">
            <v>0</v>
          </cell>
          <cell r="BX277" t="str">
            <v>0</v>
          </cell>
          <cell r="BY277" t="str">
            <v>0</v>
          </cell>
          <cell r="BZ277" t="str">
            <v>0</v>
          </cell>
          <cell r="CA277" t="str">
            <v>0</v>
          </cell>
          <cell r="CB277" t="str">
            <v>0</v>
          </cell>
          <cell r="CC277" t="str">
            <v>0</v>
          </cell>
          <cell r="CD277" t="str">
            <v>0</v>
          </cell>
          <cell r="CE277" t="str">
            <v>0</v>
          </cell>
          <cell r="CF277" t="str">
            <v>0</v>
          </cell>
          <cell r="CG277" t="str">
            <v>0</v>
          </cell>
          <cell r="CH277" t="str">
            <v>0</v>
          </cell>
          <cell r="CI277" t="str">
            <v>0</v>
          </cell>
          <cell r="CJ277" t="str">
            <v>0</v>
          </cell>
          <cell r="CK277" t="str">
            <v>0</v>
          </cell>
          <cell r="CL277" t="str">
            <v>0</v>
          </cell>
          <cell r="CM277" t="str">
            <v>0</v>
          </cell>
          <cell r="CN277" t="str">
            <v>0</v>
          </cell>
          <cell r="CO277" t="str">
            <v>0</v>
          </cell>
          <cell r="CP277" t="str">
            <v>0</v>
          </cell>
          <cell r="CQ277" t="str">
            <v>0</v>
          </cell>
          <cell r="CR277" t="str">
            <v>0</v>
          </cell>
          <cell r="CS277" t="str">
            <v>0</v>
          </cell>
          <cell r="CT277" t="str">
            <v>0</v>
          </cell>
          <cell r="CU277" t="str">
            <v>0</v>
          </cell>
          <cell r="CV277" t="str">
            <v>0</v>
          </cell>
          <cell r="CW277" t="str">
            <v>0</v>
          </cell>
          <cell r="CX277" t="str">
            <v>0</v>
          </cell>
          <cell r="CY277" t="str">
            <v>0</v>
          </cell>
          <cell r="CZ277" t="str">
            <v>0</v>
          </cell>
          <cell r="DA277" t="str">
            <v>0</v>
          </cell>
          <cell r="DB277" t="str">
            <v>0</v>
          </cell>
          <cell r="DC277" t="str">
            <v>0</v>
          </cell>
          <cell r="DD277" t="str">
            <v>0</v>
          </cell>
          <cell r="DE277" t="str">
            <v>0</v>
          </cell>
          <cell r="DF277" t="str">
            <v>0</v>
          </cell>
          <cell r="DG277" t="str">
            <v>0</v>
          </cell>
          <cell r="DH277" t="str">
            <v>0</v>
          </cell>
          <cell r="DI277" t="str">
            <v>0</v>
          </cell>
          <cell r="DJ277" t="str">
            <v>0</v>
          </cell>
          <cell r="DK277" t="str">
            <v>0</v>
          </cell>
          <cell r="DL277" t="str">
            <v>0</v>
          </cell>
          <cell r="DM277" t="str">
            <v>0</v>
          </cell>
          <cell r="DN277" t="str">
            <v>0</v>
          </cell>
          <cell r="DO277" t="str">
            <v>0</v>
          </cell>
          <cell r="DP277" t="str">
            <v>0</v>
          </cell>
        </row>
        <row r="278">
          <cell r="C278"/>
          <cell r="D278" t="str">
            <v>0</v>
          </cell>
          <cell r="E278" t="str">
            <v>0</v>
          </cell>
          <cell r="F278" t="str">
            <v>0</v>
          </cell>
          <cell r="G278" t="str">
            <v>0</v>
          </cell>
          <cell r="H278" t="str">
            <v>0</v>
          </cell>
          <cell r="I278" t="str">
            <v>0</v>
          </cell>
          <cell r="J278" t="str">
            <v>0</v>
          </cell>
          <cell r="K278" t="str">
            <v>0</v>
          </cell>
          <cell r="L278" t="str">
            <v>0</v>
          </cell>
          <cell r="M278" t="str">
            <v>0</v>
          </cell>
          <cell r="N278" t="str">
            <v>0</v>
          </cell>
          <cell r="O278" t="str">
            <v>0</v>
          </cell>
          <cell r="P278" t="str">
            <v>0</v>
          </cell>
          <cell r="Q278" t="str">
            <v>0</v>
          </cell>
          <cell r="R278" t="str">
            <v>0</v>
          </cell>
          <cell r="S278" t="str">
            <v>0</v>
          </cell>
          <cell r="T278" t="str">
            <v>0</v>
          </cell>
          <cell r="U278" t="str">
            <v>0</v>
          </cell>
          <cell r="V278" t="str">
            <v>0</v>
          </cell>
          <cell r="W278" t="str">
            <v>0</v>
          </cell>
          <cell r="X278" t="str">
            <v>0</v>
          </cell>
          <cell r="Y278" t="str">
            <v>0</v>
          </cell>
          <cell r="Z278" t="str">
            <v>0</v>
          </cell>
          <cell r="AA278" t="str">
            <v>0</v>
          </cell>
          <cell r="AB278" t="str">
            <v>0</v>
          </cell>
          <cell r="AC278" t="str">
            <v>0</v>
          </cell>
          <cell r="AD278" t="str">
            <v>0</v>
          </cell>
          <cell r="AE278" t="str">
            <v>0</v>
          </cell>
          <cell r="AF278" t="str">
            <v>0</v>
          </cell>
          <cell r="AG278" t="str">
            <v>0</v>
          </cell>
          <cell r="AH278" t="str">
            <v>0</v>
          </cell>
          <cell r="AI278" t="str">
            <v>0</v>
          </cell>
          <cell r="AJ278" t="str">
            <v>0</v>
          </cell>
          <cell r="AK278" t="str">
            <v>0</v>
          </cell>
          <cell r="AL278" t="str">
            <v>0</v>
          </cell>
          <cell r="AM278" t="str">
            <v>0</v>
          </cell>
          <cell r="AN278" t="str">
            <v>0</v>
          </cell>
          <cell r="AO278" t="str">
            <v>0</v>
          </cell>
          <cell r="AP278" t="str">
            <v>0</v>
          </cell>
          <cell r="AQ278" t="str">
            <v>0</v>
          </cell>
          <cell r="AR278" t="str">
            <v>0</v>
          </cell>
          <cell r="AS278" t="str">
            <v>0</v>
          </cell>
          <cell r="AT278" t="str">
            <v>0</v>
          </cell>
          <cell r="AU278" t="str">
            <v>0</v>
          </cell>
          <cell r="AV278" t="str">
            <v>0</v>
          </cell>
          <cell r="AW278" t="str">
            <v>0</v>
          </cell>
          <cell r="AX278" t="str">
            <v>0</v>
          </cell>
          <cell r="AY278" t="str">
            <v>0</v>
          </cell>
          <cell r="AZ278" t="str">
            <v>0</v>
          </cell>
          <cell r="BA278" t="str">
            <v>0</v>
          </cell>
          <cell r="BB278" t="str">
            <v>0</v>
          </cell>
          <cell r="BC278" t="str">
            <v>0</v>
          </cell>
          <cell r="BD278" t="str">
            <v>0</v>
          </cell>
          <cell r="BE278" t="str">
            <v>0</v>
          </cell>
          <cell r="BF278" t="str">
            <v>0</v>
          </cell>
          <cell r="BG278" t="str">
            <v>0</v>
          </cell>
          <cell r="BH278" t="str">
            <v>0</v>
          </cell>
          <cell r="BI278" t="str">
            <v>0</v>
          </cell>
          <cell r="BJ278" t="str">
            <v>0</v>
          </cell>
          <cell r="BK278" t="str">
            <v>0</v>
          </cell>
          <cell r="BL278" t="str">
            <v>0</v>
          </cell>
          <cell r="BM278" t="str">
            <v>0</v>
          </cell>
          <cell r="BN278" t="str">
            <v>0</v>
          </cell>
          <cell r="BO278" t="str">
            <v>0</v>
          </cell>
          <cell r="BP278" t="str">
            <v>0</v>
          </cell>
          <cell r="BQ278" t="str">
            <v>0</v>
          </cell>
          <cell r="BR278" t="str">
            <v>0</v>
          </cell>
          <cell r="BS278" t="str">
            <v>0</v>
          </cell>
          <cell r="BT278" t="str">
            <v>0</v>
          </cell>
          <cell r="BU278" t="str">
            <v>0</v>
          </cell>
          <cell r="BV278" t="str">
            <v>0</v>
          </cell>
          <cell r="BW278" t="str">
            <v>0</v>
          </cell>
          <cell r="BX278" t="str">
            <v>0</v>
          </cell>
          <cell r="BY278" t="str">
            <v>0</v>
          </cell>
          <cell r="BZ278" t="str">
            <v>0</v>
          </cell>
          <cell r="CA278" t="str">
            <v>0</v>
          </cell>
          <cell r="CB278" t="str">
            <v>0</v>
          </cell>
          <cell r="CC278" t="str">
            <v>0</v>
          </cell>
          <cell r="CD278" t="str">
            <v>0</v>
          </cell>
          <cell r="CE278" t="str">
            <v>0</v>
          </cell>
          <cell r="CF278" t="str">
            <v>0</v>
          </cell>
          <cell r="CG278" t="str">
            <v>0</v>
          </cell>
          <cell r="CH278" t="str">
            <v>0</v>
          </cell>
          <cell r="CI278" t="str">
            <v>0</v>
          </cell>
          <cell r="CJ278" t="str">
            <v>0</v>
          </cell>
          <cell r="CK278" t="str">
            <v>0</v>
          </cell>
          <cell r="CL278" t="str">
            <v>0</v>
          </cell>
          <cell r="CM278" t="str">
            <v>0</v>
          </cell>
          <cell r="CN278" t="str">
            <v>0</v>
          </cell>
          <cell r="CO278" t="str">
            <v>0</v>
          </cell>
          <cell r="CP278" t="str">
            <v>0</v>
          </cell>
          <cell r="CQ278" t="str">
            <v>0</v>
          </cell>
          <cell r="CR278" t="str">
            <v>0</v>
          </cell>
          <cell r="CS278" t="str">
            <v>0</v>
          </cell>
          <cell r="CT278" t="str">
            <v>0</v>
          </cell>
          <cell r="CU278" t="str">
            <v>0</v>
          </cell>
          <cell r="CV278" t="str">
            <v>0</v>
          </cell>
          <cell r="CW278" t="str">
            <v>0</v>
          </cell>
          <cell r="CX278" t="str">
            <v>0</v>
          </cell>
          <cell r="CY278" t="str">
            <v>0</v>
          </cell>
          <cell r="CZ278" t="str">
            <v>0</v>
          </cell>
          <cell r="DA278" t="str">
            <v>0</v>
          </cell>
          <cell r="DB278" t="str">
            <v>0</v>
          </cell>
          <cell r="DC278" t="str">
            <v>0</v>
          </cell>
          <cell r="DD278" t="str">
            <v>0</v>
          </cell>
          <cell r="DE278" t="str">
            <v>0</v>
          </cell>
          <cell r="DF278" t="str">
            <v>0</v>
          </cell>
          <cell r="DG278" t="str">
            <v>0</v>
          </cell>
          <cell r="DH278" t="str">
            <v>0</v>
          </cell>
          <cell r="DI278" t="str">
            <v>0</v>
          </cell>
          <cell r="DJ278" t="str">
            <v>0</v>
          </cell>
          <cell r="DK278" t="str">
            <v>0</v>
          </cell>
          <cell r="DL278" t="str">
            <v>0</v>
          </cell>
          <cell r="DM278" t="str">
            <v>0</v>
          </cell>
          <cell r="DN278" t="str">
            <v>0</v>
          </cell>
          <cell r="DO278" t="str">
            <v>0</v>
          </cell>
          <cell r="DP278" t="str">
            <v>0</v>
          </cell>
        </row>
        <row r="279">
          <cell r="C279"/>
          <cell r="D279" t="str">
            <v>0</v>
          </cell>
          <cell r="E279" t="str">
            <v>0</v>
          </cell>
          <cell r="F279" t="str">
            <v>0</v>
          </cell>
          <cell r="G279" t="str">
            <v>0</v>
          </cell>
          <cell r="H279" t="str">
            <v>0</v>
          </cell>
          <cell r="I279" t="str">
            <v>0</v>
          </cell>
          <cell r="J279" t="str">
            <v>0</v>
          </cell>
          <cell r="K279" t="str">
            <v>0</v>
          </cell>
          <cell r="L279" t="str">
            <v>0</v>
          </cell>
          <cell r="M279" t="str">
            <v>0</v>
          </cell>
          <cell r="N279" t="str">
            <v>0</v>
          </cell>
          <cell r="O279" t="str">
            <v>0</v>
          </cell>
          <cell r="P279" t="str">
            <v>0</v>
          </cell>
          <cell r="Q279" t="str">
            <v>0</v>
          </cell>
          <cell r="R279" t="str">
            <v>0</v>
          </cell>
          <cell r="S279" t="str">
            <v>0</v>
          </cell>
          <cell r="T279" t="str">
            <v>0</v>
          </cell>
          <cell r="U279" t="str">
            <v>0</v>
          </cell>
          <cell r="V279" t="str">
            <v>0</v>
          </cell>
          <cell r="W279" t="str">
            <v>0</v>
          </cell>
          <cell r="X279" t="str">
            <v>0</v>
          </cell>
          <cell r="Y279" t="str">
            <v>0</v>
          </cell>
          <cell r="Z279" t="str">
            <v>0</v>
          </cell>
          <cell r="AA279" t="str">
            <v>0</v>
          </cell>
          <cell r="AB279" t="str">
            <v>0</v>
          </cell>
          <cell r="AC279" t="str">
            <v>0</v>
          </cell>
          <cell r="AD279" t="str">
            <v>0</v>
          </cell>
          <cell r="AE279" t="str">
            <v>0</v>
          </cell>
          <cell r="AF279" t="str">
            <v>0</v>
          </cell>
          <cell r="AG279" t="str">
            <v>0</v>
          </cell>
          <cell r="AH279" t="str">
            <v>0</v>
          </cell>
          <cell r="AI279" t="str">
            <v>0</v>
          </cell>
          <cell r="AJ279" t="str">
            <v>0</v>
          </cell>
          <cell r="AK279" t="str">
            <v>0</v>
          </cell>
          <cell r="AL279" t="str">
            <v>0</v>
          </cell>
          <cell r="AM279" t="str">
            <v>0</v>
          </cell>
          <cell r="AN279" t="str">
            <v>0</v>
          </cell>
          <cell r="AO279" t="str">
            <v>0</v>
          </cell>
          <cell r="AP279" t="str">
            <v>0</v>
          </cell>
          <cell r="AQ279" t="str">
            <v>0</v>
          </cell>
          <cell r="AR279" t="str">
            <v>0</v>
          </cell>
          <cell r="AS279" t="str">
            <v>0</v>
          </cell>
          <cell r="AT279" t="str">
            <v>0</v>
          </cell>
          <cell r="AU279" t="str">
            <v>0</v>
          </cell>
          <cell r="AV279" t="str">
            <v>0</v>
          </cell>
          <cell r="AW279" t="str">
            <v>0</v>
          </cell>
          <cell r="AX279" t="str">
            <v>0</v>
          </cell>
          <cell r="AY279" t="str">
            <v>0</v>
          </cell>
          <cell r="AZ279" t="str">
            <v>0</v>
          </cell>
          <cell r="BA279" t="str">
            <v>0</v>
          </cell>
          <cell r="BB279" t="str">
            <v>0</v>
          </cell>
          <cell r="BC279" t="str">
            <v>0</v>
          </cell>
          <cell r="BD279" t="str">
            <v>0</v>
          </cell>
          <cell r="BE279" t="str">
            <v>0</v>
          </cell>
          <cell r="BF279" t="str">
            <v>0</v>
          </cell>
          <cell r="BG279" t="str">
            <v>0</v>
          </cell>
          <cell r="BH279" t="str">
            <v>0</v>
          </cell>
          <cell r="BI279" t="str">
            <v>0</v>
          </cell>
          <cell r="BJ279" t="str">
            <v>0</v>
          </cell>
          <cell r="BK279" t="str">
            <v>0</v>
          </cell>
          <cell r="BL279" t="str">
            <v>0</v>
          </cell>
          <cell r="BM279" t="str">
            <v>0</v>
          </cell>
          <cell r="BN279" t="str">
            <v>0</v>
          </cell>
          <cell r="BO279" t="str">
            <v>0</v>
          </cell>
          <cell r="BP279" t="str">
            <v>0</v>
          </cell>
          <cell r="BQ279" t="str">
            <v>0</v>
          </cell>
          <cell r="BR279" t="str">
            <v>0</v>
          </cell>
          <cell r="BS279" t="str">
            <v>0</v>
          </cell>
          <cell r="BT279" t="str">
            <v>0</v>
          </cell>
          <cell r="BU279" t="str">
            <v>0</v>
          </cell>
          <cell r="BV279" t="str">
            <v>0</v>
          </cell>
          <cell r="BW279" t="str">
            <v>0</v>
          </cell>
          <cell r="BX279" t="str">
            <v>0</v>
          </cell>
          <cell r="BY279" t="str">
            <v>0</v>
          </cell>
          <cell r="BZ279" t="str">
            <v>0</v>
          </cell>
          <cell r="CA279" t="str">
            <v>0</v>
          </cell>
          <cell r="CB279" t="str">
            <v>0</v>
          </cell>
          <cell r="CC279" t="str">
            <v>0</v>
          </cell>
          <cell r="CD279" t="str">
            <v>0</v>
          </cell>
          <cell r="CE279" t="str">
            <v>0</v>
          </cell>
          <cell r="CF279" t="str">
            <v>0</v>
          </cell>
          <cell r="CG279" t="str">
            <v>0</v>
          </cell>
          <cell r="CH279" t="str">
            <v>0</v>
          </cell>
          <cell r="CI279" t="str">
            <v>0</v>
          </cell>
          <cell r="CJ279" t="str">
            <v>0</v>
          </cell>
          <cell r="CK279" t="str">
            <v>0</v>
          </cell>
          <cell r="CL279" t="str">
            <v>0</v>
          </cell>
          <cell r="CM279" t="str">
            <v>0</v>
          </cell>
          <cell r="CN279" t="str">
            <v>0</v>
          </cell>
          <cell r="CO279" t="str">
            <v>0</v>
          </cell>
          <cell r="CP279" t="str">
            <v>0</v>
          </cell>
          <cell r="CQ279" t="str">
            <v>0</v>
          </cell>
          <cell r="CR279" t="str">
            <v>0</v>
          </cell>
          <cell r="CS279" t="str">
            <v>0</v>
          </cell>
          <cell r="CT279" t="str">
            <v>0</v>
          </cell>
          <cell r="CU279" t="str">
            <v>0</v>
          </cell>
          <cell r="CV279" t="str">
            <v>0</v>
          </cell>
          <cell r="CW279" t="str">
            <v>0</v>
          </cell>
          <cell r="CX279" t="str">
            <v>0</v>
          </cell>
          <cell r="CY279" t="str">
            <v>0</v>
          </cell>
          <cell r="CZ279" t="str">
            <v>0</v>
          </cell>
          <cell r="DA279" t="str">
            <v>0</v>
          </cell>
          <cell r="DB279" t="str">
            <v>0</v>
          </cell>
          <cell r="DC279" t="str">
            <v>0</v>
          </cell>
          <cell r="DD279" t="str">
            <v>0</v>
          </cell>
          <cell r="DE279" t="str">
            <v>0</v>
          </cell>
          <cell r="DF279" t="str">
            <v>0</v>
          </cell>
          <cell r="DG279" t="str">
            <v>0</v>
          </cell>
          <cell r="DH279" t="str">
            <v>0</v>
          </cell>
          <cell r="DI279" t="str">
            <v>0</v>
          </cell>
          <cell r="DJ279" t="str">
            <v>0</v>
          </cell>
          <cell r="DK279" t="str">
            <v>0</v>
          </cell>
          <cell r="DL279" t="str">
            <v>0</v>
          </cell>
          <cell r="DM279" t="str">
            <v>0</v>
          </cell>
          <cell r="DN279" t="str">
            <v>0</v>
          </cell>
          <cell r="DO279" t="str">
            <v>0</v>
          </cell>
          <cell r="DP279" t="str">
            <v>0</v>
          </cell>
        </row>
        <row r="280">
          <cell r="C280"/>
          <cell r="D280" t="str">
            <v>0</v>
          </cell>
          <cell r="E280" t="str">
            <v>0</v>
          </cell>
          <cell r="F280" t="str">
            <v>0</v>
          </cell>
          <cell r="G280" t="str">
            <v>0</v>
          </cell>
          <cell r="H280" t="str">
            <v>0</v>
          </cell>
          <cell r="I280" t="str">
            <v>0</v>
          </cell>
          <cell r="J280" t="str">
            <v>0</v>
          </cell>
          <cell r="K280" t="str">
            <v>0</v>
          </cell>
          <cell r="L280" t="str">
            <v>0</v>
          </cell>
          <cell r="M280" t="str">
            <v>0</v>
          </cell>
          <cell r="N280" t="str">
            <v>0</v>
          </cell>
          <cell r="O280" t="str">
            <v>0</v>
          </cell>
          <cell r="P280" t="str">
            <v>0</v>
          </cell>
          <cell r="Q280" t="str">
            <v>0</v>
          </cell>
          <cell r="R280" t="str">
            <v>0</v>
          </cell>
          <cell r="S280" t="str">
            <v>0</v>
          </cell>
          <cell r="T280" t="str">
            <v>0</v>
          </cell>
          <cell r="U280" t="str">
            <v>0</v>
          </cell>
          <cell r="V280" t="str">
            <v>0</v>
          </cell>
          <cell r="W280" t="str">
            <v>0</v>
          </cell>
          <cell r="X280" t="str">
            <v>0</v>
          </cell>
          <cell r="Y280" t="str">
            <v>0</v>
          </cell>
          <cell r="Z280" t="str">
            <v>0</v>
          </cell>
          <cell r="AA280" t="str">
            <v>0</v>
          </cell>
          <cell r="AB280" t="str">
            <v>0</v>
          </cell>
          <cell r="AC280" t="str">
            <v>0</v>
          </cell>
          <cell r="AD280" t="str">
            <v>0</v>
          </cell>
          <cell r="AE280" t="str">
            <v>0</v>
          </cell>
          <cell r="AF280" t="str">
            <v>0</v>
          </cell>
          <cell r="AG280" t="str">
            <v>0</v>
          </cell>
          <cell r="AH280" t="str">
            <v>0</v>
          </cell>
          <cell r="AI280" t="str">
            <v>0</v>
          </cell>
          <cell r="AJ280" t="str">
            <v>0</v>
          </cell>
          <cell r="AK280" t="str">
            <v>0</v>
          </cell>
          <cell r="AL280" t="str">
            <v>0</v>
          </cell>
          <cell r="AM280" t="str">
            <v>0</v>
          </cell>
          <cell r="AN280" t="str">
            <v>0</v>
          </cell>
          <cell r="AO280" t="str">
            <v>0</v>
          </cell>
          <cell r="AP280" t="str">
            <v>0</v>
          </cell>
          <cell r="AQ280" t="str">
            <v>0</v>
          </cell>
          <cell r="AR280" t="str">
            <v>0</v>
          </cell>
          <cell r="AS280" t="str">
            <v>0</v>
          </cell>
          <cell r="AT280" t="str">
            <v>0</v>
          </cell>
          <cell r="AU280" t="str">
            <v>0</v>
          </cell>
          <cell r="AV280" t="str">
            <v>0</v>
          </cell>
          <cell r="AW280" t="str">
            <v>0</v>
          </cell>
          <cell r="AX280" t="str">
            <v>0</v>
          </cell>
          <cell r="AY280" t="str">
            <v>0</v>
          </cell>
          <cell r="AZ280" t="str">
            <v>0</v>
          </cell>
          <cell r="BA280" t="str">
            <v>0</v>
          </cell>
          <cell r="BB280" t="str">
            <v>0</v>
          </cell>
          <cell r="BC280" t="str">
            <v>0</v>
          </cell>
          <cell r="BD280" t="str">
            <v>0</v>
          </cell>
          <cell r="BE280" t="str">
            <v>0</v>
          </cell>
          <cell r="BF280" t="str">
            <v>0</v>
          </cell>
          <cell r="BG280" t="str">
            <v>0</v>
          </cell>
          <cell r="BH280" t="str">
            <v>0</v>
          </cell>
          <cell r="BI280" t="str">
            <v>0</v>
          </cell>
          <cell r="BJ280" t="str">
            <v>0</v>
          </cell>
          <cell r="BK280" t="str">
            <v>0</v>
          </cell>
          <cell r="BL280" t="str">
            <v>0</v>
          </cell>
          <cell r="BM280" t="str">
            <v>0</v>
          </cell>
          <cell r="BN280" t="str">
            <v>0</v>
          </cell>
          <cell r="BO280" t="str">
            <v>0</v>
          </cell>
          <cell r="BP280" t="str">
            <v>0</v>
          </cell>
          <cell r="BQ280" t="str">
            <v>0</v>
          </cell>
          <cell r="BR280" t="str">
            <v>0</v>
          </cell>
          <cell r="BS280" t="str">
            <v>0</v>
          </cell>
          <cell r="BT280" t="str">
            <v>0</v>
          </cell>
          <cell r="BU280" t="str">
            <v>0</v>
          </cell>
          <cell r="BV280" t="str">
            <v>0</v>
          </cell>
          <cell r="BW280" t="str">
            <v>0</v>
          </cell>
          <cell r="BX280" t="str">
            <v>0</v>
          </cell>
          <cell r="BY280" t="str">
            <v>0</v>
          </cell>
          <cell r="BZ280" t="str">
            <v>0</v>
          </cell>
          <cell r="CA280" t="str">
            <v>0</v>
          </cell>
          <cell r="CB280" t="str">
            <v>0</v>
          </cell>
          <cell r="CC280" t="str">
            <v>0</v>
          </cell>
          <cell r="CD280" t="str">
            <v>0</v>
          </cell>
          <cell r="CE280" t="str">
            <v>0</v>
          </cell>
          <cell r="CF280" t="str">
            <v>0</v>
          </cell>
          <cell r="CG280" t="str">
            <v>0</v>
          </cell>
          <cell r="CH280" t="str">
            <v>0</v>
          </cell>
          <cell r="CI280" t="str">
            <v>0</v>
          </cell>
          <cell r="CJ280" t="str">
            <v>0</v>
          </cell>
          <cell r="CK280" t="str">
            <v>0</v>
          </cell>
          <cell r="CL280" t="str">
            <v>0</v>
          </cell>
          <cell r="CM280" t="str">
            <v>0</v>
          </cell>
          <cell r="CN280" t="str">
            <v>0</v>
          </cell>
          <cell r="CO280" t="str">
            <v>0</v>
          </cell>
          <cell r="CP280" t="str">
            <v>0</v>
          </cell>
          <cell r="CQ280" t="str">
            <v>0</v>
          </cell>
          <cell r="CR280" t="str">
            <v>0</v>
          </cell>
          <cell r="CS280" t="str">
            <v>0</v>
          </cell>
          <cell r="CT280" t="str">
            <v>0</v>
          </cell>
          <cell r="CU280" t="str">
            <v>0</v>
          </cell>
          <cell r="CV280" t="str">
            <v>0</v>
          </cell>
          <cell r="CW280" t="str">
            <v>0</v>
          </cell>
          <cell r="CX280" t="str">
            <v>0</v>
          </cell>
          <cell r="CY280" t="str">
            <v>0</v>
          </cell>
          <cell r="CZ280" t="str">
            <v>0</v>
          </cell>
          <cell r="DA280" t="str">
            <v>0</v>
          </cell>
          <cell r="DB280" t="str">
            <v>0</v>
          </cell>
          <cell r="DC280" t="str">
            <v>0</v>
          </cell>
          <cell r="DD280" t="str">
            <v>0</v>
          </cell>
          <cell r="DE280" t="str">
            <v>0</v>
          </cell>
          <cell r="DF280" t="str">
            <v>0</v>
          </cell>
          <cell r="DG280" t="str">
            <v>0</v>
          </cell>
          <cell r="DH280" t="str">
            <v>0</v>
          </cell>
          <cell r="DI280" t="str">
            <v>0</v>
          </cell>
          <cell r="DJ280" t="str">
            <v>0</v>
          </cell>
          <cell r="DK280" t="str">
            <v>0</v>
          </cell>
          <cell r="DL280" t="str">
            <v>0</v>
          </cell>
          <cell r="DM280" t="str">
            <v>0</v>
          </cell>
          <cell r="DN280" t="str">
            <v>0</v>
          </cell>
          <cell r="DO280" t="str">
            <v>0</v>
          </cell>
          <cell r="DP280" t="str">
            <v>0</v>
          </cell>
        </row>
        <row r="281">
          <cell r="C281"/>
          <cell r="D281" t="str">
            <v>0</v>
          </cell>
          <cell r="E281" t="str">
            <v>0</v>
          </cell>
          <cell r="F281" t="str">
            <v>0</v>
          </cell>
          <cell r="G281" t="str">
            <v>0</v>
          </cell>
          <cell r="H281" t="str">
            <v>0</v>
          </cell>
          <cell r="I281" t="str">
            <v>0</v>
          </cell>
          <cell r="J281" t="str">
            <v>0</v>
          </cell>
          <cell r="K281" t="str">
            <v>0</v>
          </cell>
          <cell r="L281" t="str">
            <v>0</v>
          </cell>
          <cell r="M281" t="str">
            <v>0</v>
          </cell>
          <cell r="N281" t="str">
            <v>0</v>
          </cell>
          <cell r="O281" t="str">
            <v>0</v>
          </cell>
          <cell r="P281" t="str">
            <v>0</v>
          </cell>
          <cell r="Q281" t="str">
            <v>0</v>
          </cell>
          <cell r="R281" t="str">
            <v>0</v>
          </cell>
          <cell r="S281" t="str">
            <v>0</v>
          </cell>
          <cell r="T281" t="str">
            <v>0</v>
          </cell>
          <cell r="U281" t="str">
            <v>0</v>
          </cell>
          <cell r="V281" t="str">
            <v>0</v>
          </cell>
          <cell r="W281" t="str">
            <v>0</v>
          </cell>
          <cell r="X281" t="str">
            <v>0</v>
          </cell>
          <cell r="Y281" t="str">
            <v>0</v>
          </cell>
          <cell r="Z281" t="str">
            <v>0</v>
          </cell>
          <cell r="AA281" t="str">
            <v>0</v>
          </cell>
          <cell r="AB281" t="str">
            <v>0</v>
          </cell>
          <cell r="AC281" t="str">
            <v>0</v>
          </cell>
          <cell r="AD281" t="str">
            <v>0</v>
          </cell>
          <cell r="AE281" t="str">
            <v>0</v>
          </cell>
          <cell r="AF281" t="str">
            <v>0</v>
          </cell>
          <cell r="AG281" t="str">
            <v>0</v>
          </cell>
          <cell r="AH281" t="str">
            <v>0</v>
          </cell>
          <cell r="AI281" t="str">
            <v>0</v>
          </cell>
          <cell r="AJ281" t="str">
            <v>0</v>
          </cell>
          <cell r="AK281" t="str">
            <v>0</v>
          </cell>
          <cell r="AL281" t="str">
            <v>0</v>
          </cell>
          <cell r="AM281" t="str">
            <v>0</v>
          </cell>
          <cell r="AN281" t="str">
            <v>0</v>
          </cell>
          <cell r="AO281" t="str">
            <v>0</v>
          </cell>
          <cell r="AP281" t="str">
            <v>0</v>
          </cell>
          <cell r="AQ281" t="str">
            <v>0</v>
          </cell>
          <cell r="AR281" t="str">
            <v>0</v>
          </cell>
          <cell r="AS281" t="str">
            <v>0</v>
          </cell>
          <cell r="AT281" t="str">
            <v>0</v>
          </cell>
          <cell r="AU281" t="str">
            <v>0</v>
          </cell>
          <cell r="AV281" t="str">
            <v>0</v>
          </cell>
          <cell r="AW281" t="str">
            <v>0</v>
          </cell>
          <cell r="AX281" t="str">
            <v>0</v>
          </cell>
          <cell r="AY281" t="str">
            <v>0</v>
          </cell>
          <cell r="AZ281" t="str">
            <v>0</v>
          </cell>
          <cell r="BA281" t="str">
            <v>0</v>
          </cell>
          <cell r="BB281" t="str">
            <v>0</v>
          </cell>
          <cell r="BC281" t="str">
            <v>0</v>
          </cell>
          <cell r="BD281" t="str">
            <v>0</v>
          </cell>
          <cell r="BE281" t="str">
            <v>0</v>
          </cell>
          <cell r="BF281" t="str">
            <v>0</v>
          </cell>
          <cell r="BG281" t="str">
            <v>0</v>
          </cell>
          <cell r="BH281" t="str">
            <v>0</v>
          </cell>
          <cell r="BI281" t="str">
            <v>0</v>
          </cell>
          <cell r="BJ281" t="str">
            <v>0</v>
          </cell>
          <cell r="BK281" t="str">
            <v>0</v>
          </cell>
          <cell r="BL281" t="str">
            <v>0</v>
          </cell>
          <cell r="BM281" t="str">
            <v>0</v>
          </cell>
          <cell r="BN281" t="str">
            <v>0</v>
          </cell>
          <cell r="BO281" t="str">
            <v>0</v>
          </cell>
          <cell r="BP281" t="str">
            <v>0</v>
          </cell>
          <cell r="BQ281" t="str">
            <v>0</v>
          </cell>
          <cell r="BR281" t="str">
            <v>0</v>
          </cell>
          <cell r="BS281" t="str">
            <v>0</v>
          </cell>
          <cell r="BT281" t="str">
            <v>0</v>
          </cell>
          <cell r="BU281" t="str">
            <v>0</v>
          </cell>
          <cell r="BV281" t="str">
            <v>0</v>
          </cell>
          <cell r="BW281" t="str">
            <v>0</v>
          </cell>
          <cell r="BX281" t="str">
            <v>0</v>
          </cell>
          <cell r="BY281" t="str">
            <v>0</v>
          </cell>
          <cell r="BZ281" t="str">
            <v>0</v>
          </cell>
          <cell r="CA281" t="str">
            <v>0</v>
          </cell>
          <cell r="CB281" t="str">
            <v>0</v>
          </cell>
          <cell r="CC281" t="str">
            <v>0</v>
          </cell>
          <cell r="CD281" t="str">
            <v>0</v>
          </cell>
          <cell r="CE281" t="str">
            <v>0</v>
          </cell>
          <cell r="CF281" t="str">
            <v>0</v>
          </cell>
          <cell r="CG281" t="str">
            <v>0</v>
          </cell>
          <cell r="CH281" t="str">
            <v>0</v>
          </cell>
          <cell r="CI281" t="str">
            <v>0</v>
          </cell>
          <cell r="CJ281" t="str">
            <v>0</v>
          </cell>
          <cell r="CK281" t="str">
            <v>0</v>
          </cell>
          <cell r="CL281" t="str">
            <v>0</v>
          </cell>
          <cell r="CM281" t="str">
            <v>0</v>
          </cell>
          <cell r="CN281" t="str">
            <v>0</v>
          </cell>
          <cell r="CO281" t="str">
            <v>0</v>
          </cell>
          <cell r="CP281" t="str">
            <v>0</v>
          </cell>
          <cell r="CQ281" t="str">
            <v>0</v>
          </cell>
          <cell r="CR281" t="str">
            <v>0</v>
          </cell>
          <cell r="CS281" t="str">
            <v>0</v>
          </cell>
          <cell r="CT281" t="str">
            <v>0</v>
          </cell>
          <cell r="CU281" t="str">
            <v>0</v>
          </cell>
          <cell r="CV281" t="str">
            <v>0</v>
          </cell>
          <cell r="CW281" t="str">
            <v>0</v>
          </cell>
          <cell r="CX281" t="str">
            <v>0</v>
          </cell>
          <cell r="CY281" t="str">
            <v>0</v>
          </cell>
          <cell r="CZ281" t="str">
            <v>0</v>
          </cell>
          <cell r="DA281" t="str">
            <v>0</v>
          </cell>
          <cell r="DB281" t="str">
            <v>0</v>
          </cell>
          <cell r="DC281" t="str">
            <v>0</v>
          </cell>
          <cell r="DD281" t="str">
            <v>0</v>
          </cell>
          <cell r="DE281" t="str">
            <v>0</v>
          </cell>
          <cell r="DF281" t="str">
            <v>0</v>
          </cell>
          <cell r="DG281" t="str">
            <v>0</v>
          </cell>
          <cell r="DH281" t="str">
            <v>0</v>
          </cell>
          <cell r="DI281" t="str">
            <v>0</v>
          </cell>
          <cell r="DJ281" t="str">
            <v>0</v>
          </cell>
          <cell r="DK281" t="str">
            <v>0</v>
          </cell>
          <cell r="DL281" t="str">
            <v>0</v>
          </cell>
          <cell r="DM281" t="str">
            <v>0</v>
          </cell>
          <cell r="DN281" t="str">
            <v>0</v>
          </cell>
          <cell r="DO281" t="str">
            <v>0</v>
          </cell>
          <cell r="DP281" t="str">
            <v>0</v>
          </cell>
        </row>
        <row r="282">
          <cell r="C282"/>
          <cell r="D282" t="str">
            <v>0</v>
          </cell>
          <cell r="E282" t="str">
            <v>0</v>
          </cell>
          <cell r="F282" t="str">
            <v>0</v>
          </cell>
          <cell r="G282" t="str">
            <v>0</v>
          </cell>
          <cell r="H282" t="str">
            <v>0</v>
          </cell>
          <cell r="I282" t="str">
            <v>0</v>
          </cell>
          <cell r="J282" t="str">
            <v>0</v>
          </cell>
          <cell r="K282" t="str">
            <v>0</v>
          </cell>
          <cell r="L282" t="str">
            <v>0</v>
          </cell>
          <cell r="M282" t="str">
            <v>0</v>
          </cell>
          <cell r="N282" t="str">
            <v>0</v>
          </cell>
          <cell r="O282" t="str">
            <v>0</v>
          </cell>
          <cell r="P282" t="str">
            <v>0</v>
          </cell>
          <cell r="Q282" t="str">
            <v>0</v>
          </cell>
          <cell r="R282" t="str">
            <v>0</v>
          </cell>
          <cell r="S282" t="str">
            <v>0</v>
          </cell>
          <cell r="T282" t="str">
            <v>0</v>
          </cell>
          <cell r="U282" t="str">
            <v>0</v>
          </cell>
          <cell r="V282" t="str">
            <v>0</v>
          </cell>
          <cell r="W282" t="str">
            <v>0</v>
          </cell>
          <cell r="X282" t="str">
            <v>0</v>
          </cell>
          <cell r="Y282" t="str">
            <v>0</v>
          </cell>
          <cell r="Z282" t="str">
            <v>0</v>
          </cell>
          <cell r="AA282" t="str">
            <v>0</v>
          </cell>
          <cell r="AB282" t="str">
            <v>0</v>
          </cell>
          <cell r="AC282" t="str">
            <v>0</v>
          </cell>
          <cell r="AD282" t="str">
            <v>0</v>
          </cell>
          <cell r="AE282" t="str">
            <v>0</v>
          </cell>
          <cell r="AF282" t="str">
            <v>0</v>
          </cell>
          <cell r="AG282" t="str">
            <v>0</v>
          </cell>
          <cell r="AH282" t="str">
            <v>0</v>
          </cell>
          <cell r="AI282" t="str">
            <v>0</v>
          </cell>
          <cell r="AJ282" t="str">
            <v>0</v>
          </cell>
          <cell r="AK282" t="str">
            <v>0</v>
          </cell>
          <cell r="AL282" t="str">
            <v>0</v>
          </cell>
          <cell r="AM282" t="str">
            <v>0</v>
          </cell>
          <cell r="AN282" t="str">
            <v>0</v>
          </cell>
          <cell r="AO282" t="str">
            <v>0</v>
          </cell>
          <cell r="AP282" t="str">
            <v>0</v>
          </cell>
          <cell r="AQ282" t="str">
            <v>0</v>
          </cell>
          <cell r="AR282" t="str">
            <v>0</v>
          </cell>
          <cell r="AS282" t="str">
            <v>0</v>
          </cell>
          <cell r="AT282" t="str">
            <v>0</v>
          </cell>
          <cell r="AU282" t="str">
            <v>0</v>
          </cell>
          <cell r="AV282" t="str">
            <v>0</v>
          </cell>
          <cell r="AW282" t="str">
            <v>0</v>
          </cell>
          <cell r="AX282" t="str">
            <v>0</v>
          </cell>
          <cell r="AY282" t="str">
            <v>0</v>
          </cell>
          <cell r="AZ282" t="str">
            <v>0</v>
          </cell>
          <cell r="BA282" t="str">
            <v>0</v>
          </cell>
          <cell r="BB282" t="str">
            <v>0</v>
          </cell>
          <cell r="BC282" t="str">
            <v>0</v>
          </cell>
          <cell r="BD282" t="str">
            <v>0</v>
          </cell>
          <cell r="BE282" t="str">
            <v>0</v>
          </cell>
          <cell r="BF282" t="str">
            <v>0</v>
          </cell>
          <cell r="BG282" t="str">
            <v>0</v>
          </cell>
          <cell r="BH282" t="str">
            <v>0</v>
          </cell>
          <cell r="BI282" t="str">
            <v>0</v>
          </cell>
          <cell r="BJ282" t="str">
            <v>0</v>
          </cell>
          <cell r="BK282" t="str">
            <v>0</v>
          </cell>
          <cell r="BL282" t="str">
            <v>0</v>
          </cell>
          <cell r="BM282" t="str">
            <v>0</v>
          </cell>
          <cell r="BN282" t="str">
            <v>0</v>
          </cell>
          <cell r="BO282" t="str">
            <v>0</v>
          </cell>
          <cell r="BP282" t="str">
            <v>0</v>
          </cell>
          <cell r="BQ282" t="str">
            <v>0</v>
          </cell>
          <cell r="BR282" t="str">
            <v>0</v>
          </cell>
          <cell r="BS282" t="str">
            <v>0</v>
          </cell>
          <cell r="BT282" t="str">
            <v>0</v>
          </cell>
          <cell r="BU282" t="str">
            <v>0</v>
          </cell>
          <cell r="BV282" t="str">
            <v>0</v>
          </cell>
          <cell r="BW282" t="str">
            <v>0</v>
          </cell>
          <cell r="BX282" t="str">
            <v>0</v>
          </cell>
          <cell r="BY282" t="str">
            <v>0</v>
          </cell>
          <cell r="BZ282" t="str">
            <v>0</v>
          </cell>
          <cell r="CA282" t="str">
            <v>0</v>
          </cell>
          <cell r="CB282" t="str">
            <v>0</v>
          </cell>
          <cell r="CC282" t="str">
            <v>0</v>
          </cell>
          <cell r="CD282" t="str">
            <v>0</v>
          </cell>
          <cell r="CE282" t="str">
            <v>0</v>
          </cell>
          <cell r="CF282" t="str">
            <v>0</v>
          </cell>
          <cell r="CG282" t="str">
            <v>0</v>
          </cell>
          <cell r="CH282" t="str">
            <v>0</v>
          </cell>
          <cell r="CI282" t="str">
            <v>0</v>
          </cell>
          <cell r="CJ282" t="str">
            <v>0</v>
          </cell>
          <cell r="CK282" t="str">
            <v>0</v>
          </cell>
          <cell r="CL282" t="str">
            <v>0</v>
          </cell>
          <cell r="CM282" t="str">
            <v>0</v>
          </cell>
          <cell r="CN282" t="str">
            <v>0</v>
          </cell>
          <cell r="CO282" t="str">
            <v>0</v>
          </cell>
          <cell r="CP282" t="str">
            <v>0</v>
          </cell>
          <cell r="CQ282" t="str">
            <v>0</v>
          </cell>
          <cell r="CR282" t="str">
            <v>0</v>
          </cell>
          <cell r="CS282" t="str">
            <v>0</v>
          </cell>
          <cell r="CT282" t="str">
            <v>0</v>
          </cell>
          <cell r="CU282" t="str">
            <v>0</v>
          </cell>
          <cell r="CV282" t="str">
            <v>0</v>
          </cell>
          <cell r="CW282" t="str">
            <v>0</v>
          </cell>
          <cell r="CX282" t="str">
            <v>0</v>
          </cell>
          <cell r="CY282" t="str">
            <v>0</v>
          </cell>
          <cell r="CZ282" t="str">
            <v>0</v>
          </cell>
          <cell r="DA282" t="str">
            <v>0</v>
          </cell>
          <cell r="DB282" t="str">
            <v>0</v>
          </cell>
          <cell r="DC282" t="str">
            <v>0</v>
          </cell>
          <cell r="DD282" t="str">
            <v>0</v>
          </cell>
          <cell r="DE282" t="str">
            <v>0</v>
          </cell>
          <cell r="DF282" t="str">
            <v>0</v>
          </cell>
          <cell r="DG282" t="str">
            <v>0</v>
          </cell>
          <cell r="DH282" t="str">
            <v>0</v>
          </cell>
          <cell r="DI282" t="str">
            <v>0</v>
          </cell>
          <cell r="DJ282" t="str">
            <v>0</v>
          </cell>
          <cell r="DK282" t="str">
            <v>0</v>
          </cell>
          <cell r="DL282" t="str">
            <v>0</v>
          </cell>
          <cell r="DM282" t="str">
            <v>0</v>
          </cell>
          <cell r="DN282" t="str">
            <v>0</v>
          </cell>
          <cell r="DO282" t="str">
            <v>0</v>
          </cell>
          <cell r="DP282" t="str">
            <v>0</v>
          </cell>
        </row>
        <row r="283">
          <cell r="C283"/>
          <cell r="D283" t="str">
            <v>0</v>
          </cell>
          <cell r="E283" t="str">
            <v>0</v>
          </cell>
          <cell r="F283" t="str">
            <v>0</v>
          </cell>
          <cell r="G283" t="str">
            <v>0</v>
          </cell>
          <cell r="H283" t="str">
            <v>0</v>
          </cell>
          <cell r="I283" t="str">
            <v>0</v>
          </cell>
          <cell r="J283" t="str">
            <v>0</v>
          </cell>
          <cell r="K283" t="str">
            <v>0</v>
          </cell>
          <cell r="L283" t="str">
            <v>0</v>
          </cell>
          <cell r="M283" t="str">
            <v>0</v>
          </cell>
          <cell r="N283" t="str">
            <v>0</v>
          </cell>
          <cell r="O283" t="str">
            <v>0</v>
          </cell>
          <cell r="P283" t="str">
            <v>0</v>
          </cell>
          <cell r="Q283" t="str">
            <v>0</v>
          </cell>
          <cell r="R283" t="str">
            <v>0</v>
          </cell>
          <cell r="S283" t="str">
            <v>0</v>
          </cell>
          <cell r="T283" t="str">
            <v>0</v>
          </cell>
          <cell r="U283" t="str">
            <v>0</v>
          </cell>
          <cell r="V283" t="str">
            <v>0</v>
          </cell>
          <cell r="W283" t="str">
            <v>0</v>
          </cell>
          <cell r="X283" t="str">
            <v>0</v>
          </cell>
          <cell r="Y283" t="str">
            <v>0</v>
          </cell>
          <cell r="Z283" t="str">
            <v>0</v>
          </cell>
          <cell r="AA283" t="str">
            <v>0</v>
          </cell>
          <cell r="AB283" t="str">
            <v>0</v>
          </cell>
          <cell r="AC283" t="str">
            <v>0</v>
          </cell>
          <cell r="AD283" t="str">
            <v>0</v>
          </cell>
          <cell r="AE283" t="str">
            <v>0</v>
          </cell>
          <cell r="AF283" t="str">
            <v>0</v>
          </cell>
          <cell r="AG283" t="str">
            <v>0</v>
          </cell>
          <cell r="AH283" t="str">
            <v>0</v>
          </cell>
          <cell r="AI283" t="str">
            <v>0</v>
          </cell>
          <cell r="AJ283" t="str">
            <v>0</v>
          </cell>
          <cell r="AK283" t="str">
            <v>0</v>
          </cell>
          <cell r="AL283" t="str">
            <v>0</v>
          </cell>
          <cell r="AM283" t="str">
            <v>0</v>
          </cell>
          <cell r="AN283" t="str">
            <v>0</v>
          </cell>
          <cell r="AO283" t="str">
            <v>0</v>
          </cell>
          <cell r="AP283" t="str">
            <v>0</v>
          </cell>
          <cell r="AQ283" t="str">
            <v>0</v>
          </cell>
          <cell r="AR283" t="str">
            <v>0</v>
          </cell>
          <cell r="AS283" t="str">
            <v>0</v>
          </cell>
          <cell r="AT283" t="str">
            <v>0</v>
          </cell>
          <cell r="AU283" t="str">
            <v>0</v>
          </cell>
          <cell r="AV283" t="str">
            <v>0</v>
          </cell>
          <cell r="AW283" t="str">
            <v>0</v>
          </cell>
          <cell r="AX283" t="str">
            <v>0</v>
          </cell>
          <cell r="AY283" t="str">
            <v>0</v>
          </cell>
          <cell r="AZ283" t="str">
            <v>0</v>
          </cell>
          <cell r="BA283" t="str">
            <v>0</v>
          </cell>
          <cell r="BB283" t="str">
            <v>0</v>
          </cell>
          <cell r="BC283" t="str">
            <v>0</v>
          </cell>
          <cell r="BD283" t="str">
            <v>0</v>
          </cell>
          <cell r="BE283" t="str">
            <v>0</v>
          </cell>
          <cell r="BF283" t="str">
            <v>0</v>
          </cell>
          <cell r="BG283" t="str">
            <v>0</v>
          </cell>
          <cell r="BH283" t="str">
            <v>0</v>
          </cell>
          <cell r="BI283" t="str">
            <v>0</v>
          </cell>
          <cell r="BJ283" t="str">
            <v>0</v>
          </cell>
          <cell r="BK283" t="str">
            <v>0</v>
          </cell>
          <cell r="BL283" t="str">
            <v>0</v>
          </cell>
          <cell r="BM283" t="str">
            <v>0</v>
          </cell>
          <cell r="BN283" t="str">
            <v>0</v>
          </cell>
          <cell r="BO283" t="str">
            <v>0</v>
          </cell>
          <cell r="BP283" t="str">
            <v>0</v>
          </cell>
          <cell r="BQ283" t="str">
            <v>0</v>
          </cell>
          <cell r="BR283" t="str">
            <v>0</v>
          </cell>
          <cell r="BS283" t="str">
            <v>0</v>
          </cell>
          <cell r="BT283" t="str">
            <v>0</v>
          </cell>
          <cell r="BU283" t="str">
            <v>0</v>
          </cell>
          <cell r="BV283" t="str">
            <v>0</v>
          </cell>
          <cell r="BW283" t="str">
            <v>0</v>
          </cell>
          <cell r="BX283" t="str">
            <v>0</v>
          </cell>
          <cell r="BY283" t="str">
            <v>0</v>
          </cell>
          <cell r="BZ283" t="str">
            <v>0</v>
          </cell>
          <cell r="CA283" t="str">
            <v>0</v>
          </cell>
          <cell r="CB283" t="str">
            <v>0</v>
          </cell>
          <cell r="CC283" t="str">
            <v>0</v>
          </cell>
          <cell r="CD283" t="str">
            <v>0</v>
          </cell>
          <cell r="CE283" t="str">
            <v>0</v>
          </cell>
          <cell r="CF283" t="str">
            <v>0</v>
          </cell>
          <cell r="CG283" t="str">
            <v>0</v>
          </cell>
          <cell r="CH283" t="str">
            <v>0</v>
          </cell>
          <cell r="CI283" t="str">
            <v>0</v>
          </cell>
          <cell r="CJ283" t="str">
            <v>0</v>
          </cell>
          <cell r="CK283" t="str">
            <v>0</v>
          </cell>
          <cell r="CL283" t="str">
            <v>0</v>
          </cell>
          <cell r="CM283" t="str">
            <v>0</v>
          </cell>
          <cell r="CN283" t="str">
            <v>0</v>
          </cell>
          <cell r="CO283" t="str">
            <v>0</v>
          </cell>
          <cell r="CP283" t="str">
            <v>0</v>
          </cell>
          <cell r="CQ283" t="str">
            <v>0</v>
          </cell>
          <cell r="CR283" t="str">
            <v>0</v>
          </cell>
          <cell r="CS283" t="str">
            <v>0</v>
          </cell>
          <cell r="CT283" t="str">
            <v>0</v>
          </cell>
          <cell r="CU283" t="str">
            <v>0</v>
          </cell>
          <cell r="CV283" t="str">
            <v>0</v>
          </cell>
          <cell r="CW283" t="str">
            <v>0</v>
          </cell>
          <cell r="CX283" t="str">
            <v>0</v>
          </cell>
          <cell r="CY283" t="str">
            <v>0</v>
          </cell>
          <cell r="CZ283" t="str">
            <v>0</v>
          </cell>
          <cell r="DA283" t="str">
            <v>0</v>
          </cell>
          <cell r="DB283" t="str">
            <v>0</v>
          </cell>
          <cell r="DC283" t="str">
            <v>0</v>
          </cell>
          <cell r="DD283" t="str">
            <v>0</v>
          </cell>
          <cell r="DE283" t="str">
            <v>0</v>
          </cell>
          <cell r="DF283" t="str">
            <v>0</v>
          </cell>
          <cell r="DG283" t="str">
            <v>0</v>
          </cell>
          <cell r="DH283" t="str">
            <v>0</v>
          </cell>
          <cell r="DI283" t="str">
            <v>0</v>
          </cell>
          <cell r="DJ283" t="str">
            <v>0</v>
          </cell>
          <cell r="DK283" t="str">
            <v>0</v>
          </cell>
          <cell r="DL283" t="str">
            <v>0</v>
          </cell>
          <cell r="DM283" t="str">
            <v>0</v>
          </cell>
          <cell r="DN283" t="str">
            <v>0</v>
          </cell>
          <cell r="DO283" t="str">
            <v>0</v>
          </cell>
          <cell r="DP283" t="str">
            <v>0</v>
          </cell>
        </row>
        <row r="284">
          <cell r="C284"/>
          <cell r="D284" t="str">
            <v>0</v>
          </cell>
          <cell r="E284" t="str">
            <v>0</v>
          </cell>
          <cell r="F284" t="str">
            <v>0</v>
          </cell>
          <cell r="G284" t="str">
            <v>0</v>
          </cell>
          <cell r="H284" t="str">
            <v>0</v>
          </cell>
          <cell r="I284" t="str">
            <v>0</v>
          </cell>
          <cell r="J284" t="str">
            <v>0</v>
          </cell>
          <cell r="K284" t="str">
            <v>0</v>
          </cell>
          <cell r="L284" t="str">
            <v>0</v>
          </cell>
          <cell r="M284" t="str">
            <v>0</v>
          </cell>
          <cell r="N284" t="str">
            <v>0</v>
          </cell>
          <cell r="O284" t="str">
            <v>0</v>
          </cell>
          <cell r="P284" t="str">
            <v>0</v>
          </cell>
          <cell r="Q284" t="str">
            <v>0</v>
          </cell>
          <cell r="R284" t="str">
            <v>0</v>
          </cell>
          <cell r="S284" t="str">
            <v>0</v>
          </cell>
          <cell r="T284" t="str">
            <v>0</v>
          </cell>
          <cell r="U284" t="str">
            <v>0</v>
          </cell>
          <cell r="V284" t="str">
            <v>0</v>
          </cell>
          <cell r="W284" t="str">
            <v>0</v>
          </cell>
          <cell r="X284" t="str">
            <v>0</v>
          </cell>
          <cell r="Y284" t="str">
            <v>0</v>
          </cell>
          <cell r="Z284" t="str">
            <v>0</v>
          </cell>
          <cell r="AA284" t="str">
            <v>0</v>
          </cell>
          <cell r="AB284" t="str">
            <v>0</v>
          </cell>
          <cell r="AC284" t="str">
            <v>0</v>
          </cell>
          <cell r="AD284" t="str">
            <v>0</v>
          </cell>
          <cell r="AE284" t="str">
            <v>0</v>
          </cell>
          <cell r="AF284" t="str">
            <v>0</v>
          </cell>
          <cell r="AG284" t="str">
            <v>0</v>
          </cell>
          <cell r="AH284" t="str">
            <v>0</v>
          </cell>
          <cell r="AI284" t="str">
            <v>0</v>
          </cell>
          <cell r="AJ284" t="str">
            <v>0</v>
          </cell>
          <cell r="AK284" t="str">
            <v>0</v>
          </cell>
          <cell r="AL284" t="str">
            <v>0</v>
          </cell>
          <cell r="AM284" t="str">
            <v>0</v>
          </cell>
          <cell r="AN284" t="str">
            <v>0</v>
          </cell>
          <cell r="AO284" t="str">
            <v>0</v>
          </cell>
          <cell r="AP284" t="str">
            <v>0</v>
          </cell>
          <cell r="AQ284" t="str">
            <v>0</v>
          </cell>
          <cell r="AR284" t="str">
            <v>0</v>
          </cell>
          <cell r="AS284" t="str">
            <v>0</v>
          </cell>
          <cell r="AT284" t="str">
            <v>0</v>
          </cell>
          <cell r="AU284" t="str">
            <v>0</v>
          </cell>
          <cell r="AV284" t="str">
            <v>0</v>
          </cell>
          <cell r="AW284" t="str">
            <v>0</v>
          </cell>
          <cell r="AX284" t="str">
            <v>0</v>
          </cell>
          <cell r="AY284" t="str">
            <v>0</v>
          </cell>
          <cell r="AZ284" t="str">
            <v>0</v>
          </cell>
          <cell r="BA284" t="str">
            <v>0</v>
          </cell>
          <cell r="BB284" t="str">
            <v>0</v>
          </cell>
          <cell r="BC284" t="str">
            <v>0</v>
          </cell>
          <cell r="BD284" t="str">
            <v>0</v>
          </cell>
          <cell r="BE284" t="str">
            <v>0</v>
          </cell>
          <cell r="BF284" t="str">
            <v>0</v>
          </cell>
          <cell r="BG284" t="str">
            <v>0</v>
          </cell>
          <cell r="BH284" t="str">
            <v>0</v>
          </cell>
          <cell r="BI284" t="str">
            <v>0</v>
          </cell>
          <cell r="BJ284" t="str">
            <v>0</v>
          </cell>
          <cell r="BK284" t="str">
            <v>0</v>
          </cell>
          <cell r="BL284" t="str">
            <v>0</v>
          </cell>
          <cell r="BM284" t="str">
            <v>0</v>
          </cell>
          <cell r="BN284" t="str">
            <v>0</v>
          </cell>
          <cell r="BO284" t="str">
            <v>0</v>
          </cell>
          <cell r="BP284" t="str">
            <v>0</v>
          </cell>
          <cell r="BQ284" t="str">
            <v>0</v>
          </cell>
          <cell r="BR284" t="str">
            <v>0</v>
          </cell>
          <cell r="BS284" t="str">
            <v>0</v>
          </cell>
          <cell r="BT284" t="str">
            <v>0</v>
          </cell>
          <cell r="BU284" t="str">
            <v>0</v>
          </cell>
          <cell r="BV284" t="str">
            <v>0</v>
          </cell>
          <cell r="BW284" t="str">
            <v>0</v>
          </cell>
          <cell r="BX284" t="str">
            <v>0</v>
          </cell>
          <cell r="BY284" t="str">
            <v>0</v>
          </cell>
          <cell r="BZ284" t="str">
            <v>0</v>
          </cell>
          <cell r="CA284" t="str">
            <v>0</v>
          </cell>
          <cell r="CB284" t="str">
            <v>0</v>
          </cell>
          <cell r="CC284" t="str">
            <v>0</v>
          </cell>
          <cell r="CD284" t="str">
            <v>0</v>
          </cell>
          <cell r="CE284" t="str">
            <v>0</v>
          </cell>
          <cell r="CF284" t="str">
            <v>0</v>
          </cell>
          <cell r="CG284" t="str">
            <v>0</v>
          </cell>
          <cell r="CH284" t="str">
            <v>0</v>
          </cell>
          <cell r="CI284" t="str">
            <v>0</v>
          </cell>
          <cell r="CJ284" t="str">
            <v>0</v>
          </cell>
          <cell r="CK284" t="str">
            <v>0</v>
          </cell>
          <cell r="CL284" t="str">
            <v>0</v>
          </cell>
          <cell r="CM284" t="str">
            <v>0</v>
          </cell>
          <cell r="CN284" t="str">
            <v>0</v>
          </cell>
          <cell r="CO284" t="str">
            <v>0</v>
          </cell>
          <cell r="CP284" t="str">
            <v>0</v>
          </cell>
          <cell r="CQ284" t="str">
            <v>0</v>
          </cell>
          <cell r="CR284" t="str">
            <v>0</v>
          </cell>
          <cell r="CS284" t="str">
            <v>0</v>
          </cell>
          <cell r="CT284" t="str">
            <v>0</v>
          </cell>
          <cell r="CU284" t="str">
            <v>0</v>
          </cell>
          <cell r="CV284" t="str">
            <v>0</v>
          </cell>
          <cell r="CW284" t="str">
            <v>0</v>
          </cell>
          <cell r="CX284" t="str">
            <v>0</v>
          </cell>
          <cell r="CY284" t="str">
            <v>0</v>
          </cell>
          <cell r="CZ284" t="str">
            <v>0</v>
          </cell>
          <cell r="DA284" t="str">
            <v>0</v>
          </cell>
          <cell r="DB284" t="str">
            <v>0</v>
          </cell>
          <cell r="DC284" t="str">
            <v>0</v>
          </cell>
          <cell r="DD284" t="str">
            <v>0</v>
          </cell>
          <cell r="DE284" t="str">
            <v>0</v>
          </cell>
          <cell r="DF284" t="str">
            <v>0</v>
          </cell>
          <cell r="DG284" t="str">
            <v>0</v>
          </cell>
          <cell r="DH284" t="str">
            <v>0</v>
          </cell>
          <cell r="DI284" t="str">
            <v>0</v>
          </cell>
          <cell r="DJ284" t="str">
            <v>0</v>
          </cell>
          <cell r="DK284" t="str">
            <v>0</v>
          </cell>
          <cell r="DL284" t="str">
            <v>0</v>
          </cell>
          <cell r="DM284" t="str">
            <v>0</v>
          </cell>
          <cell r="DN284" t="str">
            <v>0</v>
          </cell>
          <cell r="DO284" t="str">
            <v>0</v>
          </cell>
          <cell r="DP284" t="str">
            <v>0</v>
          </cell>
        </row>
        <row r="285">
          <cell r="C285"/>
          <cell r="D285" t="str">
            <v>0</v>
          </cell>
          <cell r="E285" t="str">
            <v>0</v>
          </cell>
          <cell r="F285" t="str">
            <v>0</v>
          </cell>
          <cell r="G285" t="str">
            <v>0</v>
          </cell>
          <cell r="H285" t="str">
            <v>0</v>
          </cell>
          <cell r="I285" t="str">
            <v>0</v>
          </cell>
          <cell r="J285" t="str">
            <v>0</v>
          </cell>
          <cell r="K285" t="str">
            <v>0</v>
          </cell>
          <cell r="L285" t="str">
            <v>0</v>
          </cell>
          <cell r="M285" t="str">
            <v>0</v>
          </cell>
          <cell r="N285" t="str">
            <v>0</v>
          </cell>
          <cell r="O285" t="str">
            <v>0</v>
          </cell>
          <cell r="P285" t="str">
            <v>0</v>
          </cell>
          <cell r="Q285" t="str">
            <v>0</v>
          </cell>
          <cell r="R285" t="str">
            <v>0</v>
          </cell>
          <cell r="S285" t="str">
            <v>0</v>
          </cell>
          <cell r="T285" t="str">
            <v>0</v>
          </cell>
          <cell r="U285" t="str">
            <v>0</v>
          </cell>
          <cell r="V285" t="str">
            <v>0</v>
          </cell>
          <cell r="W285" t="str">
            <v>0</v>
          </cell>
          <cell r="X285" t="str">
            <v>0</v>
          </cell>
          <cell r="Y285" t="str">
            <v>0</v>
          </cell>
          <cell r="Z285" t="str">
            <v>0</v>
          </cell>
          <cell r="AA285" t="str">
            <v>0</v>
          </cell>
          <cell r="AB285" t="str">
            <v>0</v>
          </cell>
          <cell r="AC285" t="str">
            <v>0</v>
          </cell>
          <cell r="AD285" t="str">
            <v>0</v>
          </cell>
          <cell r="AE285" t="str">
            <v>0</v>
          </cell>
          <cell r="AF285" t="str">
            <v>0</v>
          </cell>
          <cell r="AG285" t="str">
            <v>0</v>
          </cell>
          <cell r="AH285" t="str">
            <v>0</v>
          </cell>
          <cell r="AI285" t="str">
            <v>0</v>
          </cell>
          <cell r="AJ285" t="str">
            <v>0</v>
          </cell>
          <cell r="AK285" t="str">
            <v>0</v>
          </cell>
          <cell r="AL285" t="str">
            <v>0</v>
          </cell>
          <cell r="AM285" t="str">
            <v>0</v>
          </cell>
          <cell r="AN285" t="str">
            <v>0</v>
          </cell>
          <cell r="AO285" t="str">
            <v>0</v>
          </cell>
          <cell r="AP285" t="str">
            <v>0</v>
          </cell>
          <cell r="AQ285" t="str">
            <v>0</v>
          </cell>
          <cell r="AR285" t="str">
            <v>0</v>
          </cell>
          <cell r="AS285" t="str">
            <v>0</v>
          </cell>
          <cell r="AT285" t="str">
            <v>0</v>
          </cell>
          <cell r="AU285" t="str">
            <v>0</v>
          </cell>
          <cell r="AV285" t="str">
            <v>0</v>
          </cell>
          <cell r="AW285" t="str">
            <v>0</v>
          </cell>
          <cell r="AX285" t="str">
            <v>0</v>
          </cell>
          <cell r="AY285" t="str">
            <v>0</v>
          </cell>
          <cell r="AZ285" t="str">
            <v>0</v>
          </cell>
          <cell r="BA285" t="str">
            <v>0</v>
          </cell>
          <cell r="BB285" t="str">
            <v>0</v>
          </cell>
          <cell r="BC285" t="str">
            <v>0</v>
          </cell>
          <cell r="BD285" t="str">
            <v>0</v>
          </cell>
          <cell r="BE285" t="str">
            <v>0</v>
          </cell>
          <cell r="BF285" t="str">
            <v>0</v>
          </cell>
          <cell r="BG285" t="str">
            <v>0</v>
          </cell>
          <cell r="BH285" t="str">
            <v>0</v>
          </cell>
          <cell r="BI285" t="str">
            <v>0</v>
          </cell>
          <cell r="BJ285" t="str">
            <v>0</v>
          </cell>
          <cell r="BK285" t="str">
            <v>0</v>
          </cell>
          <cell r="BL285" t="str">
            <v>0</v>
          </cell>
          <cell r="BM285" t="str">
            <v>0</v>
          </cell>
          <cell r="BN285" t="str">
            <v>0</v>
          </cell>
          <cell r="BO285" t="str">
            <v>0</v>
          </cell>
          <cell r="BP285" t="str">
            <v>0</v>
          </cell>
          <cell r="BQ285" t="str">
            <v>0</v>
          </cell>
          <cell r="BR285" t="str">
            <v>0</v>
          </cell>
          <cell r="BS285" t="str">
            <v>0</v>
          </cell>
          <cell r="BT285" t="str">
            <v>0</v>
          </cell>
          <cell r="BU285" t="str">
            <v>0</v>
          </cell>
          <cell r="BV285" t="str">
            <v>0</v>
          </cell>
          <cell r="BW285" t="str">
            <v>0</v>
          </cell>
          <cell r="BX285" t="str">
            <v>0</v>
          </cell>
          <cell r="BY285" t="str">
            <v>0</v>
          </cell>
          <cell r="BZ285" t="str">
            <v>0</v>
          </cell>
          <cell r="CA285" t="str">
            <v>0</v>
          </cell>
          <cell r="CB285" t="str">
            <v>0</v>
          </cell>
          <cell r="CC285" t="str">
            <v>0</v>
          </cell>
          <cell r="CD285" t="str">
            <v>0</v>
          </cell>
          <cell r="CE285" t="str">
            <v>0</v>
          </cell>
          <cell r="CF285" t="str">
            <v>0</v>
          </cell>
          <cell r="CG285" t="str">
            <v>0</v>
          </cell>
          <cell r="CH285" t="str">
            <v>0</v>
          </cell>
          <cell r="CI285" t="str">
            <v>0</v>
          </cell>
          <cell r="CJ285" t="str">
            <v>0</v>
          </cell>
          <cell r="CK285" t="str">
            <v>0</v>
          </cell>
          <cell r="CL285" t="str">
            <v>0</v>
          </cell>
          <cell r="CM285" t="str">
            <v>0</v>
          </cell>
          <cell r="CN285" t="str">
            <v>0</v>
          </cell>
          <cell r="CO285" t="str">
            <v>0</v>
          </cell>
          <cell r="CP285" t="str">
            <v>0</v>
          </cell>
          <cell r="CQ285" t="str">
            <v>0</v>
          </cell>
          <cell r="CR285" t="str">
            <v>0</v>
          </cell>
          <cell r="CS285" t="str">
            <v>0</v>
          </cell>
          <cell r="CT285" t="str">
            <v>0</v>
          </cell>
          <cell r="CU285" t="str">
            <v>0</v>
          </cell>
          <cell r="CV285" t="str">
            <v>0</v>
          </cell>
          <cell r="CW285" t="str">
            <v>0</v>
          </cell>
          <cell r="CX285" t="str">
            <v>0</v>
          </cell>
          <cell r="CY285" t="str">
            <v>0</v>
          </cell>
          <cell r="CZ285" t="str">
            <v>0</v>
          </cell>
          <cell r="DA285" t="str">
            <v>0</v>
          </cell>
          <cell r="DB285" t="str">
            <v>0</v>
          </cell>
          <cell r="DC285" t="str">
            <v>0</v>
          </cell>
          <cell r="DD285" t="str">
            <v>0</v>
          </cell>
          <cell r="DE285" t="str">
            <v>0</v>
          </cell>
          <cell r="DF285" t="str">
            <v>0</v>
          </cell>
          <cell r="DG285" t="str">
            <v>0</v>
          </cell>
          <cell r="DH285" t="str">
            <v>0</v>
          </cell>
          <cell r="DI285" t="str">
            <v>0</v>
          </cell>
          <cell r="DJ285" t="str">
            <v>0</v>
          </cell>
          <cell r="DK285" t="str">
            <v>0</v>
          </cell>
          <cell r="DL285" t="str">
            <v>0</v>
          </cell>
          <cell r="DM285" t="str">
            <v>0</v>
          </cell>
          <cell r="DN285" t="str">
            <v>0</v>
          </cell>
          <cell r="DO285" t="str">
            <v>0</v>
          </cell>
          <cell r="DP285" t="str">
            <v>0</v>
          </cell>
        </row>
        <row r="286">
          <cell r="C286"/>
          <cell r="D286" t="str">
            <v>0</v>
          </cell>
          <cell r="E286" t="str">
            <v>0</v>
          </cell>
          <cell r="F286" t="str">
            <v>0</v>
          </cell>
          <cell r="G286" t="str">
            <v>0</v>
          </cell>
          <cell r="H286" t="str">
            <v>0</v>
          </cell>
          <cell r="I286" t="str">
            <v>0</v>
          </cell>
          <cell r="J286" t="str">
            <v>0</v>
          </cell>
          <cell r="K286" t="str">
            <v>0</v>
          </cell>
          <cell r="L286" t="str">
            <v>0</v>
          </cell>
          <cell r="M286" t="str">
            <v>0</v>
          </cell>
          <cell r="N286" t="str">
            <v>0</v>
          </cell>
          <cell r="O286" t="str">
            <v>0</v>
          </cell>
          <cell r="P286" t="str">
            <v>0</v>
          </cell>
          <cell r="Q286" t="str">
            <v>0</v>
          </cell>
          <cell r="R286" t="str">
            <v>0</v>
          </cell>
          <cell r="S286" t="str">
            <v>0</v>
          </cell>
          <cell r="T286" t="str">
            <v>0</v>
          </cell>
          <cell r="U286" t="str">
            <v>0</v>
          </cell>
          <cell r="V286" t="str">
            <v>0</v>
          </cell>
          <cell r="W286" t="str">
            <v>0</v>
          </cell>
          <cell r="X286" t="str">
            <v>0</v>
          </cell>
          <cell r="Y286" t="str">
            <v>0</v>
          </cell>
          <cell r="Z286" t="str">
            <v>0</v>
          </cell>
          <cell r="AA286" t="str">
            <v>0</v>
          </cell>
          <cell r="AB286" t="str">
            <v>0</v>
          </cell>
          <cell r="AC286" t="str">
            <v>0</v>
          </cell>
          <cell r="AD286" t="str">
            <v>0</v>
          </cell>
          <cell r="AE286" t="str">
            <v>0</v>
          </cell>
          <cell r="AF286" t="str">
            <v>0</v>
          </cell>
          <cell r="AG286" t="str">
            <v>0</v>
          </cell>
          <cell r="AH286" t="str">
            <v>0</v>
          </cell>
          <cell r="AI286" t="str">
            <v>0</v>
          </cell>
          <cell r="AJ286" t="str">
            <v>0</v>
          </cell>
          <cell r="AK286" t="str">
            <v>0</v>
          </cell>
          <cell r="AL286" t="str">
            <v>0</v>
          </cell>
          <cell r="AM286" t="str">
            <v>0</v>
          </cell>
          <cell r="AN286" t="str">
            <v>0</v>
          </cell>
          <cell r="AO286" t="str">
            <v>0</v>
          </cell>
          <cell r="AP286" t="str">
            <v>0</v>
          </cell>
          <cell r="AQ286" t="str">
            <v>0</v>
          </cell>
          <cell r="AR286" t="str">
            <v>0</v>
          </cell>
          <cell r="AS286" t="str">
            <v>0</v>
          </cell>
          <cell r="AT286" t="str">
            <v>0</v>
          </cell>
          <cell r="AU286" t="str">
            <v>0</v>
          </cell>
          <cell r="AV286" t="str">
            <v>0</v>
          </cell>
          <cell r="AW286" t="str">
            <v>0</v>
          </cell>
          <cell r="AX286" t="str">
            <v>0</v>
          </cell>
          <cell r="AY286" t="str">
            <v>0</v>
          </cell>
          <cell r="AZ286" t="str">
            <v>0</v>
          </cell>
          <cell r="BA286" t="str">
            <v>0</v>
          </cell>
          <cell r="BB286" t="str">
            <v>0</v>
          </cell>
          <cell r="BC286" t="str">
            <v>0</v>
          </cell>
          <cell r="BD286" t="str">
            <v>0</v>
          </cell>
          <cell r="BE286" t="str">
            <v>0</v>
          </cell>
          <cell r="BF286" t="str">
            <v>0</v>
          </cell>
          <cell r="BG286" t="str">
            <v>0</v>
          </cell>
          <cell r="BH286" t="str">
            <v>0</v>
          </cell>
          <cell r="BI286" t="str">
            <v>0</v>
          </cell>
          <cell r="BJ286" t="str">
            <v>0</v>
          </cell>
          <cell r="BK286" t="str">
            <v>0</v>
          </cell>
          <cell r="BL286" t="str">
            <v>0</v>
          </cell>
          <cell r="BM286" t="str">
            <v>0</v>
          </cell>
          <cell r="BN286" t="str">
            <v>0</v>
          </cell>
          <cell r="BO286" t="str">
            <v>0</v>
          </cell>
          <cell r="BP286" t="str">
            <v>0</v>
          </cell>
          <cell r="BQ286" t="str">
            <v>0</v>
          </cell>
          <cell r="BR286" t="str">
            <v>0</v>
          </cell>
          <cell r="BS286" t="str">
            <v>0</v>
          </cell>
          <cell r="BT286" t="str">
            <v>0</v>
          </cell>
          <cell r="BU286" t="str">
            <v>0</v>
          </cell>
          <cell r="BV286" t="str">
            <v>0</v>
          </cell>
          <cell r="BW286" t="str">
            <v>0</v>
          </cell>
          <cell r="BX286" t="str">
            <v>0</v>
          </cell>
          <cell r="BY286" t="str">
            <v>0</v>
          </cell>
          <cell r="BZ286" t="str">
            <v>0</v>
          </cell>
          <cell r="CA286" t="str">
            <v>0</v>
          </cell>
          <cell r="CB286" t="str">
            <v>0</v>
          </cell>
          <cell r="CC286" t="str">
            <v>0</v>
          </cell>
          <cell r="CD286" t="str">
            <v>0</v>
          </cell>
          <cell r="CE286" t="str">
            <v>0</v>
          </cell>
          <cell r="CF286" t="str">
            <v>0</v>
          </cell>
          <cell r="CG286" t="str">
            <v>0</v>
          </cell>
          <cell r="CH286" t="str">
            <v>0</v>
          </cell>
          <cell r="CI286" t="str">
            <v>0</v>
          </cell>
          <cell r="CJ286" t="str">
            <v>0</v>
          </cell>
          <cell r="CK286" t="str">
            <v>0</v>
          </cell>
          <cell r="CL286" t="str">
            <v>0</v>
          </cell>
          <cell r="CM286" t="str">
            <v>0</v>
          </cell>
          <cell r="CN286" t="str">
            <v>0</v>
          </cell>
          <cell r="CO286" t="str">
            <v>0</v>
          </cell>
          <cell r="CP286" t="str">
            <v>0</v>
          </cell>
          <cell r="CQ286" t="str">
            <v>0</v>
          </cell>
          <cell r="CR286" t="str">
            <v>0</v>
          </cell>
          <cell r="CS286" t="str">
            <v>0</v>
          </cell>
          <cell r="CT286" t="str">
            <v>0</v>
          </cell>
          <cell r="CU286" t="str">
            <v>0</v>
          </cell>
          <cell r="CV286" t="str">
            <v>0</v>
          </cell>
          <cell r="CW286" t="str">
            <v>0</v>
          </cell>
          <cell r="CX286" t="str">
            <v>0</v>
          </cell>
          <cell r="CY286" t="str">
            <v>0</v>
          </cell>
          <cell r="CZ286" t="str">
            <v>0</v>
          </cell>
          <cell r="DA286" t="str">
            <v>0</v>
          </cell>
          <cell r="DB286" t="str">
            <v>0</v>
          </cell>
          <cell r="DC286" t="str">
            <v>0</v>
          </cell>
          <cell r="DD286" t="str">
            <v>0</v>
          </cell>
          <cell r="DE286" t="str">
            <v>0</v>
          </cell>
          <cell r="DF286" t="str">
            <v>0</v>
          </cell>
          <cell r="DG286" t="str">
            <v>0</v>
          </cell>
          <cell r="DH286" t="str">
            <v>0</v>
          </cell>
          <cell r="DI286" t="str">
            <v>0</v>
          </cell>
          <cell r="DJ286" t="str">
            <v>0</v>
          </cell>
          <cell r="DK286" t="str">
            <v>0</v>
          </cell>
          <cell r="DL286" t="str">
            <v>0</v>
          </cell>
          <cell r="DM286" t="str">
            <v>0</v>
          </cell>
          <cell r="DN286" t="str">
            <v>0</v>
          </cell>
          <cell r="DO286" t="str">
            <v>0</v>
          </cell>
          <cell r="DP286" t="str">
            <v>0</v>
          </cell>
        </row>
        <row r="287">
          <cell r="C287"/>
          <cell r="D287" t="str">
            <v>0</v>
          </cell>
          <cell r="E287" t="str">
            <v>0</v>
          </cell>
          <cell r="F287" t="str">
            <v>0</v>
          </cell>
          <cell r="G287" t="str">
            <v>0</v>
          </cell>
          <cell r="H287" t="str">
            <v>0</v>
          </cell>
          <cell r="I287" t="str">
            <v>0</v>
          </cell>
          <cell r="J287" t="str">
            <v>0</v>
          </cell>
          <cell r="K287" t="str">
            <v>0</v>
          </cell>
          <cell r="L287" t="str">
            <v>0</v>
          </cell>
          <cell r="M287" t="str">
            <v>0</v>
          </cell>
          <cell r="N287" t="str">
            <v>0</v>
          </cell>
          <cell r="O287" t="str">
            <v>0</v>
          </cell>
          <cell r="P287" t="str">
            <v>0</v>
          </cell>
          <cell r="Q287" t="str">
            <v>0</v>
          </cell>
          <cell r="R287" t="str">
            <v>0</v>
          </cell>
          <cell r="S287" t="str">
            <v>0</v>
          </cell>
          <cell r="T287" t="str">
            <v>0</v>
          </cell>
          <cell r="U287" t="str">
            <v>0</v>
          </cell>
          <cell r="V287" t="str">
            <v>0</v>
          </cell>
          <cell r="W287" t="str">
            <v>0</v>
          </cell>
          <cell r="X287" t="str">
            <v>0</v>
          </cell>
          <cell r="Y287" t="str">
            <v>0</v>
          </cell>
          <cell r="Z287" t="str">
            <v>0</v>
          </cell>
          <cell r="AA287" t="str">
            <v>0</v>
          </cell>
          <cell r="AB287" t="str">
            <v>0</v>
          </cell>
          <cell r="AC287" t="str">
            <v>0</v>
          </cell>
          <cell r="AD287" t="str">
            <v>0</v>
          </cell>
          <cell r="AE287" t="str">
            <v>0</v>
          </cell>
          <cell r="AF287" t="str">
            <v>0</v>
          </cell>
          <cell r="AG287" t="str">
            <v>0</v>
          </cell>
          <cell r="AH287" t="str">
            <v>0</v>
          </cell>
          <cell r="AI287" t="str">
            <v>0</v>
          </cell>
          <cell r="AJ287" t="str">
            <v>0</v>
          </cell>
          <cell r="AK287" t="str">
            <v>0</v>
          </cell>
          <cell r="AL287" t="str">
            <v>0</v>
          </cell>
          <cell r="AM287" t="str">
            <v>0</v>
          </cell>
          <cell r="AN287" t="str">
            <v>0</v>
          </cell>
          <cell r="AO287" t="str">
            <v>0</v>
          </cell>
          <cell r="AP287" t="str">
            <v>0</v>
          </cell>
          <cell r="AQ287" t="str">
            <v>0</v>
          </cell>
          <cell r="AR287" t="str">
            <v>0</v>
          </cell>
          <cell r="AS287" t="str">
            <v>0</v>
          </cell>
          <cell r="AT287" t="str">
            <v>0</v>
          </cell>
          <cell r="AU287" t="str">
            <v>0</v>
          </cell>
          <cell r="AV287" t="str">
            <v>0</v>
          </cell>
          <cell r="AW287" t="str">
            <v>0</v>
          </cell>
          <cell r="AX287" t="str">
            <v>0</v>
          </cell>
          <cell r="AY287" t="str">
            <v>0</v>
          </cell>
          <cell r="AZ287" t="str">
            <v>0</v>
          </cell>
          <cell r="BA287" t="str">
            <v>0</v>
          </cell>
          <cell r="BB287" t="str">
            <v>0</v>
          </cell>
          <cell r="BC287" t="str">
            <v>0</v>
          </cell>
          <cell r="BD287" t="str">
            <v>0</v>
          </cell>
          <cell r="BE287" t="str">
            <v>0</v>
          </cell>
          <cell r="BF287" t="str">
            <v>0</v>
          </cell>
          <cell r="BG287" t="str">
            <v>0</v>
          </cell>
          <cell r="BH287" t="str">
            <v>0</v>
          </cell>
          <cell r="BI287" t="str">
            <v>0</v>
          </cell>
          <cell r="BJ287" t="str">
            <v>0</v>
          </cell>
          <cell r="BK287" t="str">
            <v>0</v>
          </cell>
          <cell r="BL287" t="str">
            <v>0</v>
          </cell>
          <cell r="BM287" t="str">
            <v>0</v>
          </cell>
          <cell r="BN287" t="str">
            <v>0</v>
          </cell>
          <cell r="BO287" t="str">
            <v>0</v>
          </cell>
          <cell r="BP287" t="str">
            <v>0</v>
          </cell>
          <cell r="BQ287" t="str">
            <v>0</v>
          </cell>
          <cell r="BR287" t="str">
            <v>0</v>
          </cell>
          <cell r="BS287" t="str">
            <v>0</v>
          </cell>
          <cell r="BT287" t="str">
            <v>0</v>
          </cell>
          <cell r="BU287" t="str">
            <v>0</v>
          </cell>
          <cell r="BV287" t="str">
            <v>0</v>
          </cell>
          <cell r="BW287" t="str">
            <v>0</v>
          </cell>
          <cell r="BX287" t="str">
            <v>0</v>
          </cell>
          <cell r="BY287" t="str">
            <v>0</v>
          </cell>
          <cell r="BZ287" t="str">
            <v>0</v>
          </cell>
          <cell r="CA287" t="str">
            <v>0</v>
          </cell>
          <cell r="CB287" t="str">
            <v>0</v>
          </cell>
          <cell r="CC287" t="str">
            <v>0</v>
          </cell>
          <cell r="CD287" t="str">
            <v>0</v>
          </cell>
          <cell r="CE287" t="str">
            <v>0</v>
          </cell>
          <cell r="CF287" t="str">
            <v>0</v>
          </cell>
          <cell r="CG287" t="str">
            <v>0</v>
          </cell>
          <cell r="CH287" t="str">
            <v>0</v>
          </cell>
          <cell r="CI287" t="str">
            <v>0</v>
          </cell>
          <cell r="CJ287" t="str">
            <v>0</v>
          </cell>
          <cell r="CK287" t="str">
            <v>0</v>
          </cell>
          <cell r="CL287" t="str">
            <v>0</v>
          </cell>
          <cell r="CM287" t="str">
            <v>0</v>
          </cell>
          <cell r="CN287" t="str">
            <v>0</v>
          </cell>
          <cell r="CO287" t="str">
            <v>0</v>
          </cell>
          <cell r="CP287" t="str">
            <v>0</v>
          </cell>
          <cell r="CQ287" t="str">
            <v>0</v>
          </cell>
          <cell r="CR287" t="str">
            <v>0</v>
          </cell>
          <cell r="CS287" t="str">
            <v>0</v>
          </cell>
          <cell r="CT287" t="str">
            <v>0</v>
          </cell>
          <cell r="CU287" t="str">
            <v>0</v>
          </cell>
          <cell r="CV287" t="str">
            <v>0</v>
          </cell>
          <cell r="CW287" t="str">
            <v>0</v>
          </cell>
          <cell r="CX287" t="str">
            <v>0</v>
          </cell>
          <cell r="CY287" t="str">
            <v>0</v>
          </cell>
          <cell r="CZ287" t="str">
            <v>0</v>
          </cell>
          <cell r="DA287" t="str">
            <v>0</v>
          </cell>
          <cell r="DB287" t="str">
            <v>0</v>
          </cell>
          <cell r="DC287" t="str">
            <v>0</v>
          </cell>
          <cell r="DD287" t="str">
            <v>0</v>
          </cell>
          <cell r="DE287" t="str">
            <v>0</v>
          </cell>
          <cell r="DF287" t="str">
            <v>0</v>
          </cell>
          <cell r="DG287" t="str">
            <v>0</v>
          </cell>
          <cell r="DH287" t="str">
            <v>0</v>
          </cell>
          <cell r="DI287" t="str">
            <v>0</v>
          </cell>
          <cell r="DJ287" t="str">
            <v>0</v>
          </cell>
          <cell r="DK287" t="str">
            <v>0</v>
          </cell>
          <cell r="DL287" t="str">
            <v>0</v>
          </cell>
          <cell r="DM287" t="str">
            <v>0</v>
          </cell>
          <cell r="DN287" t="str">
            <v>0</v>
          </cell>
          <cell r="DO287" t="str">
            <v>0</v>
          </cell>
          <cell r="DP287" t="str">
            <v>0</v>
          </cell>
        </row>
        <row r="288">
          <cell r="C288"/>
          <cell r="D288" t="str">
            <v>0</v>
          </cell>
          <cell r="E288" t="str">
            <v>0</v>
          </cell>
          <cell r="F288" t="str">
            <v>0</v>
          </cell>
          <cell r="G288" t="str">
            <v>0</v>
          </cell>
          <cell r="H288" t="str">
            <v>0</v>
          </cell>
          <cell r="I288" t="str">
            <v>0</v>
          </cell>
          <cell r="J288" t="str">
            <v>0</v>
          </cell>
          <cell r="K288" t="str">
            <v>0</v>
          </cell>
          <cell r="L288" t="str">
            <v>0</v>
          </cell>
          <cell r="M288" t="str">
            <v>0</v>
          </cell>
          <cell r="N288" t="str">
            <v>0</v>
          </cell>
          <cell r="O288" t="str">
            <v>0</v>
          </cell>
          <cell r="P288" t="str">
            <v>0</v>
          </cell>
          <cell r="Q288" t="str">
            <v>0</v>
          </cell>
          <cell r="R288" t="str">
            <v>0</v>
          </cell>
          <cell r="S288" t="str">
            <v>0</v>
          </cell>
          <cell r="T288" t="str">
            <v>0</v>
          </cell>
          <cell r="U288" t="str">
            <v>0</v>
          </cell>
          <cell r="V288" t="str">
            <v>0</v>
          </cell>
          <cell r="W288" t="str">
            <v>0</v>
          </cell>
          <cell r="X288" t="str">
            <v>0</v>
          </cell>
          <cell r="Y288" t="str">
            <v>0</v>
          </cell>
          <cell r="Z288" t="str">
            <v>0</v>
          </cell>
          <cell r="AA288" t="str">
            <v>0</v>
          </cell>
          <cell r="AB288" t="str">
            <v>0</v>
          </cell>
          <cell r="AC288" t="str">
            <v>0</v>
          </cell>
          <cell r="AD288" t="str">
            <v>0</v>
          </cell>
          <cell r="AE288" t="str">
            <v>0</v>
          </cell>
          <cell r="AF288" t="str">
            <v>0</v>
          </cell>
          <cell r="AG288" t="str">
            <v>0</v>
          </cell>
          <cell r="AH288" t="str">
            <v>0</v>
          </cell>
          <cell r="AI288" t="str">
            <v>0</v>
          </cell>
          <cell r="AJ288" t="str">
            <v>0</v>
          </cell>
          <cell r="AK288" t="str">
            <v>0</v>
          </cell>
          <cell r="AL288" t="str">
            <v>0</v>
          </cell>
          <cell r="AM288" t="str">
            <v>0</v>
          </cell>
          <cell r="AN288" t="str">
            <v>0</v>
          </cell>
          <cell r="AO288" t="str">
            <v>0</v>
          </cell>
          <cell r="AP288" t="str">
            <v>0</v>
          </cell>
          <cell r="AQ288" t="str">
            <v>0</v>
          </cell>
          <cell r="AR288" t="str">
            <v>0</v>
          </cell>
          <cell r="AS288" t="str">
            <v>0</v>
          </cell>
          <cell r="AT288" t="str">
            <v>0</v>
          </cell>
          <cell r="AU288" t="str">
            <v>0</v>
          </cell>
          <cell r="AV288" t="str">
            <v>0</v>
          </cell>
          <cell r="AW288" t="str">
            <v>0</v>
          </cell>
          <cell r="AX288" t="str">
            <v>0</v>
          </cell>
          <cell r="AY288" t="str">
            <v>0</v>
          </cell>
          <cell r="AZ288" t="str">
            <v>0</v>
          </cell>
          <cell r="BA288" t="str">
            <v>0</v>
          </cell>
          <cell r="BB288" t="str">
            <v>0</v>
          </cell>
          <cell r="BC288" t="str">
            <v>0</v>
          </cell>
          <cell r="BD288" t="str">
            <v>0</v>
          </cell>
          <cell r="BE288" t="str">
            <v>0</v>
          </cell>
          <cell r="BF288" t="str">
            <v>0</v>
          </cell>
          <cell r="BG288" t="str">
            <v>0</v>
          </cell>
          <cell r="BH288" t="str">
            <v>0</v>
          </cell>
          <cell r="BI288" t="str">
            <v>0</v>
          </cell>
          <cell r="BJ288" t="str">
            <v>0</v>
          </cell>
          <cell r="BK288" t="str">
            <v>0</v>
          </cell>
          <cell r="BL288" t="str">
            <v>0</v>
          </cell>
          <cell r="BM288" t="str">
            <v>0</v>
          </cell>
          <cell r="BN288" t="str">
            <v>0</v>
          </cell>
          <cell r="BO288" t="str">
            <v>0</v>
          </cell>
          <cell r="BP288" t="str">
            <v>0</v>
          </cell>
          <cell r="BQ288" t="str">
            <v>0</v>
          </cell>
          <cell r="BR288" t="str">
            <v>0</v>
          </cell>
          <cell r="BS288" t="str">
            <v>0</v>
          </cell>
          <cell r="BT288" t="str">
            <v>0</v>
          </cell>
          <cell r="BU288" t="str">
            <v>0</v>
          </cell>
          <cell r="BV288" t="str">
            <v>0</v>
          </cell>
          <cell r="BW288" t="str">
            <v>0</v>
          </cell>
          <cell r="BX288" t="str">
            <v>0</v>
          </cell>
          <cell r="BY288" t="str">
            <v>0</v>
          </cell>
          <cell r="BZ288" t="str">
            <v>0</v>
          </cell>
          <cell r="CA288" t="str">
            <v>0</v>
          </cell>
          <cell r="CB288" t="str">
            <v>0</v>
          </cell>
          <cell r="CC288" t="str">
            <v>0</v>
          </cell>
          <cell r="CD288" t="str">
            <v>0</v>
          </cell>
          <cell r="CE288" t="str">
            <v>0</v>
          </cell>
          <cell r="CF288" t="str">
            <v>0</v>
          </cell>
          <cell r="CG288" t="str">
            <v>0</v>
          </cell>
          <cell r="CH288" t="str">
            <v>0</v>
          </cell>
          <cell r="CI288" t="str">
            <v>0</v>
          </cell>
          <cell r="CJ288" t="str">
            <v>0</v>
          </cell>
          <cell r="CK288" t="str">
            <v>0</v>
          </cell>
          <cell r="CL288" t="str">
            <v>0</v>
          </cell>
          <cell r="CM288" t="str">
            <v>0</v>
          </cell>
          <cell r="CN288" t="str">
            <v>0</v>
          </cell>
          <cell r="CO288" t="str">
            <v>0</v>
          </cell>
          <cell r="CP288" t="str">
            <v>0</v>
          </cell>
          <cell r="CQ288" t="str">
            <v>0</v>
          </cell>
          <cell r="CR288" t="str">
            <v>0</v>
          </cell>
          <cell r="CS288" t="str">
            <v>0</v>
          </cell>
          <cell r="CT288" t="str">
            <v>0</v>
          </cell>
          <cell r="CU288" t="str">
            <v>0</v>
          </cell>
          <cell r="CV288" t="str">
            <v>0</v>
          </cell>
          <cell r="CW288" t="str">
            <v>0</v>
          </cell>
          <cell r="CX288" t="str">
            <v>0</v>
          </cell>
          <cell r="CY288" t="str">
            <v>0</v>
          </cell>
          <cell r="CZ288" t="str">
            <v>0</v>
          </cell>
          <cell r="DA288" t="str">
            <v>0</v>
          </cell>
          <cell r="DB288" t="str">
            <v>0</v>
          </cell>
          <cell r="DC288" t="str">
            <v>0</v>
          </cell>
          <cell r="DD288" t="str">
            <v>0</v>
          </cell>
          <cell r="DE288" t="str">
            <v>0</v>
          </cell>
          <cell r="DF288" t="str">
            <v>0</v>
          </cell>
          <cell r="DG288" t="str">
            <v>0</v>
          </cell>
          <cell r="DH288" t="str">
            <v>0</v>
          </cell>
          <cell r="DI288" t="str">
            <v>0</v>
          </cell>
          <cell r="DJ288" t="str">
            <v>0</v>
          </cell>
          <cell r="DK288" t="str">
            <v>0</v>
          </cell>
          <cell r="DL288" t="str">
            <v>0</v>
          </cell>
          <cell r="DM288" t="str">
            <v>0</v>
          </cell>
          <cell r="DN288" t="str">
            <v>0</v>
          </cell>
          <cell r="DO288" t="str">
            <v>0</v>
          </cell>
          <cell r="DP288" t="str">
            <v>0</v>
          </cell>
        </row>
        <row r="289">
          <cell r="C289"/>
          <cell r="D289" t="str">
            <v>0</v>
          </cell>
          <cell r="E289" t="str">
            <v>0</v>
          </cell>
          <cell r="F289" t="str">
            <v>0</v>
          </cell>
          <cell r="G289" t="str">
            <v>0</v>
          </cell>
          <cell r="H289" t="str">
            <v>0</v>
          </cell>
          <cell r="I289" t="str">
            <v>0</v>
          </cell>
          <cell r="J289" t="str">
            <v>0</v>
          </cell>
          <cell r="K289" t="str">
            <v>0</v>
          </cell>
          <cell r="L289" t="str">
            <v>0</v>
          </cell>
          <cell r="M289" t="str">
            <v>0</v>
          </cell>
          <cell r="N289" t="str">
            <v>0</v>
          </cell>
          <cell r="O289" t="str">
            <v>0</v>
          </cell>
          <cell r="P289" t="str">
            <v>0</v>
          </cell>
          <cell r="Q289" t="str">
            <v>0</v>
          </cell>
          <cell r="R289" t="str">
            <v>0</v>
          </cell>
          <cell r="S289" t="str">
            <v>0</v>
          </cell>
          <cell r="T289" t="str">
            <v>0</v>
          </cell>
          <cell r="U289" t="str">
            <v>0</v>
          </cell>
          <cell r="V289" t="str">
            <v>0</v>
          </cell>
          <cell r="W289" t="str">
            <v>0</v>
          </cell>
          <cell r="X289" t="str">
            <v>0</v>
          </cell>
          <cell r="Y289" t="str">
            <v>0</v>
          </cell>
          <cell r="Z289" t="str">
            <v>0</v>
          </cell>
          <cell r="AA289" t="str">
            <v>0</v>
          </cell>
          <cell r="AB289" t="str">
            <v>0</v>
          </cell>
          <cell r="AC289" t="str">
            <v>0</v>
          </cell>
          <cell r="AD289" t="str">
            <v>0</v>
          </cell>
          <cell r="AE289" t="str">
            <v>0</v>
          </cell>
          <cell r="AF289" t="str">
            <v>0</v>
          </cell>
          <cell r="AG289" t="str">
            <v>0</v>
          </cell>
          <cell r="AH289" t="str">
            <v>0</v>
          </cell>
          <cell r="AI289" t="str">
            <v>0</v>
          </cell>
          <cell r="AJ289" t="str">
            <v>0</v>
          </cell>
          <cell r="AK289" t="str">
            <v>0</v>
          </cell>
          <cell r="AL289" t="str">
            <v>0</v>
          </cell>
          <cell r="AM289" t="str">
            <v>0</v>
          </cell>
          <cell r="AN289" t="str">
            <v>0</v>
          </cell>
          <cell r="AO289" t="str">
            <v>0</v>
          </cell>
          <cell r="AP289" t="str">
            <v>0</v>
          </cell>
          <cell r="AQ289" t="str">
            <v>0</v>
          </cell>
          <cell r="AR289" t="str">
            <v>0</v>
          </cell>
          <cell r="AS289" t="str">
            <v>0</v>
          </cell>
          <cell r="AT289" t="str">
            <v>0</v>
          </cell>
          <cell r="AU289" t="str">
            <v>0</v>
          </cell>
          <cell r="AV289" t="str">
            <v>0</v>
          </cell>
          <cell r="AW289" t="str">
            <v>0</v>
          </cell>
          <cell r="AX289" t="str">
            <v>0</v>
          </cell>
          <cell r="AY289" t="str">
            <v>0</v>
          </cell>
          <cell r="AZ289" t="str">
            <v>0</v>
          </cell>
          <cell r="BA289" t="str">
            <v>0</v>
          </cell>
          <cell r="BB289" t="str">
            <v>0</v>
          </cell>
          <cell r="BC289" t="str">
            <v>0</v>
          </cell>
          <cell r="BD289" t="str">
            <v>0</v>
          </cell>
          <cell r="BE289" t="str">
            <v>0</v>
          </cell>
          <cell r="BF289" t="str">
            <v>0</v>
          </cell>
          <cell r="BG289" t="str">
            <v>0</v>
          </cell>
          <cell r="BH289" t="str">
            <v>0</v>
          </cell>
          <cell r="BI289" t="str">
            <v>0</v>
          </cell>
          <cell r="BJ289" t="str">
            <v>0</v>
          </cell>
          <cell r="BK289" t="str">
            <v>0</v>
          </cell>
          <cell r="BL289" t="str">
            <v>0</v>
          </cell>
          <cell r="BM289" t="str">
            <v>0</v>
          </cell>
          <cell r="BN289" t="str">
            <v>0</v>
          </cell>
          <cell r="BO289" t="str">
            <v>0</v>
          </cell>
          <cell r="BP289" t="str">
            <v>0</v>
          </cell>
          <cell r="BQ289" t="str">
            <v>0</v>
          </cell>
          <cell r="BR289" t="str">
            <v>0</v>
          </cell>
          <cell r="BS289" t="str">
            <v>0</v>
          </cell>
          <cell r="BT289" t="str">
            <v>0</v>
          </cell>
          <cell r="BU289" t="str">
            <v>0</v>
          </cell>
          <cell r="BV289" t="str">
            <v>0</v>
          </cell>
          <cell r="BW289" t="str">
            <v>0</v>
          </cell>
          <cell r="BX289" t="str">
            <v>0</v>
          </cell>
          <cell r="BY289" t="str">
            <v>0</v>
          </cell>
          <cell r="BZ289" t="str">
            <v>0</v>
          </cell>
          <cell r="CA289" t="str">
            <v>0</v>
          </cell>
          <cell r="CB289" t="str">
            <v>0</v>
          </cell>
          <cell r="CC289" t="str">
            <v>0</v>
          </cell>
          <cell r="CD289" t="str">
            <v>0</v>
          </cell>
          <cell r="CE289" t="str">
            <v>0</v>
          </cell>
          <cell r="CF289" t="str">
            <v>0</v>
          </cell>
          <cell r="CG289" t="str">
            <v>0</v>
          </cell>
          <cell r="CH289" t="str">
            <v>0</v>
          </cell>
          <cell r="CI289" t="str">
            <v>0</v>
          </cell>
          <cell r="CJ289" t="str">
            <v>0</v>
          </cell>
          <cell r="CK289" t="str">
            <v>0</v>
          </cell>
          <cell r="CL289" t="str">
            <v>0</v>
          </cell>
          <cell r="CM289" t="str">
            <v>0</v>
          </cell>
          <cell r="CN289" t="str">
            <v>0</v>
          </cell>
          <cell r="CO289" t="str">
            <v>0</v>
          </cell>
          <cell r="CP289" t="str">
            <v>0</v>
          </cell>
          <cell r="CQ289" t="str">
            <v>0</v>
          </cell>
          <cell r="CR289" t="str">
            <v>0</v>
          </cell>
          <cell r="CS289" t="str">
            <v>0</v>
          </cell>
          <cell r="CT289" t="str">
            <v>0</v>
          </cell>
          <cell r="CU289" t="str">
            <v>0</v>
          </cell>
          <cell r="CV289" t="str">
            <v>0</v>
          </cell>
          <cell r="CW289" t="str">
            <v>0</v>
          </cell>
          <cell r="CX289" t="str">
            <v>0</v>
          </cell>
          <cell r="CY289" t="str">
            <v>0</v>
          </cell>
          <cell r="CZ289" t="str">
            <v>0</v>
          </cell>
          <cell r="DA289" t="str">
            <v>0</v>
          </cell>
          <cell r="DB289" t="str">
            <v>0</v>
          </cell>
          <cell r="DC289" t="str">
            <v>0</v>
          </cell>
          <cell r="DD289" t="str">
            <v>0</v>
          </cell>
          <cell r="DE289" t="str">
            <v>0</v>
          </cell>
          <cell r="DF289" t="str">
            <v>0</v>
          </cell>
          <cell r="DG289" t="str">
            <v>0</v>
          </cell>
          <cell r="DH289" t="str">
            <v>0</v>
          </cell>
          <cell r="DI289" t="str">
            <v>0</v>
          </cell>
          <cell r="DJ289" t="str">
            <v>0</v>
          </cell>
          <cell r="DK289" t="str">
            <v>0</v>
          </cell>
          <cell r="DL289" t="str">
            <v>0</v>
          </cell>
          <cell r="DM289" t="str">
            <v>0</v>
          </cell>
          <cell r="DN289" t="str">
            <v>0</v>
          </cell>
          <cell r="DO289" t="str">
            <v>0</v>
          </cell>
          <cell r="DP289" t="str">
            <v>0</v>
          </cell>
        </row>
        <row r="290">
          <cell r="C290"/>
          <cell r="D290" t="str">
            <v>0</v>
          </cell>
          <cell r="E290" t="str">
            <v>0</v>
          </cell>
          <cell r="F290" t="str">
            <v>0</v>
          </cell>
          <cell r="G290" t="str">
            <v>0</v>
          </cell>
          <cell r="H290" t="str">
            <v>0</v>
          </cell>
          <cell r="I290" t="str">
            <v>0</v>
          </cell>
          <cell r="J290" t="str">
            <v>0</v>
          </cell>
          <cell r="K290" t="str">
            <v>0</v>
          </cell>
          <cell r="L290" t="str">
            <v>0</v>
          </cell>
          <cell r="M290" t="str">
            <v>0</v>
          </cell>
          <cell r="N290" t="str">
            <v>0</v>
          </cell>
          <cell r="O290" t="str">
            <v>0</v>
          </cell>
          <cell r="P290" t="str">
            <v>0</v>
          </cell>
          <cell r="Q290" t="str">
            <v>0</v>
          </cell>
          <cell r="R290" t="str">
            <v>0</v>
          </cell>
          <cell r="S290" t="str">
            <v>0</v>
          </cell>
          <cell r="T290" t="str">
            <v>0</v>
          </cell>
          <cell r="U290" t="str">
            <v>0</v>
          </cell>
          <cell r="V290" t="str">
            <v>0</v>
          </cell>
          <cell r="W290" t="str">
            <v>0</v>
          </cell>
          <cell r="X290" t="str">
            <v>0</v>
          </cell>
          <cell r="Y290" t="str">
            <v>0</v>
          </cell>
          <cell r="Z290" t="str">
            <v>0</v>
          </cell>
          <cell r="AA290" t="str">
            <v>0</v>
          </cell>
          <cell r="AB290" t="str">
            <v>0</v>
          </cell>
          <cell r="AC290" t="str">
            <v>0</v>
          </cell>
          <cell r="AD290" t="str">
            <v>0</v>
          </cell>
          <cell r="AE290" t="str">
            <v>0</v>
          </cell>
          <cell r="AF290" t="str">
            <v>0</v>
          </cell>
          <cell r="AG290" t="str">
            <v>0</v>
          </cell>
          <cell r="AH290" t="str">
            <v>0</v>
          </cell>
          <cell r="AI290" t="str">
            <v>0</v>
          </cell>
          <cell r="AJ290" t="str">
            <v>0</v>
          </cell>
          <cell r="AK290" t="str">
            <v>0</v>
          </cell>
          <cell r="AL290" t="str">
            <v>0</v>
          </cell>
          <cell r="AM290" t="str">
            <v>0</v>
          </cell>
          <cell r="AN290" t="str">
            <v>0</v>
          </cell>
          <cell r="AO290" t="str">
            <v>0</v>
          </cell>
          <cell r="AP290" t="str">
            <v>0</v>
          </cell>
          <cell r="AQ290" t="str">
            <v>0</v>
          </cell>
          <cell r="AR290" t="str">
            <v>0</v>
          </cell>
          <cell r="AS290" t="str">
            <v>0</v>
          </cell>
          <cell r="AT290" t="str">
            <v>0</v>
          </cell>
          <cell r="AU290" t="str">
            <v>0</v>
          </cell>
          <cell r="AV290" t="str">
            <v>0</v>
          </cell>
          <cell r="AW290" t="str">
            <v>0</v>
          </cell>
          <cell r="AX290" t="str">
            <v>0</v>
          </cell>
          <cell r="AY290" t="str">
            <v>0</v>
          </cell>
          <cell r="AZ290" t="str">
            <v>0</v>
          </cell>
          <cell r="BA290" t="str">
            <v>0</v>
          </cell>
          <cell r="BB290" t="str">
            <v>0</v>
          </cell>
          <cell r="BC290" t="str">
            <v>0</v>
          </cell>
          <cell r="BD290" t="str">
            <v>0</v>
          </cell>
          <cell r="BE290" t="str">
            <v>0</v>
          </cell>
          <cell r="BF290" t="str">
            <v>0</v>
          </cell>
          <cell r="BG290" t="str">
            <v>0</v>
          </cell>
          <cell r="BH290" t="str">
            <v>0</v>
          </cell>
          <cell r="BI290" t="str">
            <v>0</v>
          </cell>
          <cell r="BJ290" t="str">
            <v>0</v>
          </cell>
          <cell r="BK290" t="str">
            <v>0</v>
          </cell>
          <cell r="BL290" t="str">
            <v>0</v>
          </cell>
          <cell r="BM290" t="str">
            <v>0</v>
          </cell>
          <cell r="BN290" t="str">
            <v>0</v>
          </cell>
          <cell r="BO290" t="str">
            <v>0</v>
          </cell>
          <cell r="BP290" t="str">
            <v>0</v>
          </cell>
          <cell r="BQ290" t="str">
            <v>0</v>
          </cell>
          <cell r="BR290" t="str">
            <v>0</v>
          </cell>
          <cell r="BS290" t="str">
            <v>0</v>
          </cell>
          <cell r="BT290" t="str">
            <v>0</v>
          </cell>
          <cell r="BU290" t="str">
            <v>0</v>
          </cell>
          <cell r="BV290" t="str">
            <v>0</v>
          </cell>
          <cell r="BW290" t="str">
            <v>0</v>
          </cell>
          <cell r="BX290" t="str">
            <v>0</v>
          </cell>
          <cell r="BY290" t="str">
            <v>0</v>
          </cell>
          <cell r="BZ290" t="str">
            <v>0</v>
          </cell>
          <cell r="CA290" t="str">
            <v>0</v>
          </cell>
          <cell r="CB290" t="str">
            <v>0</v>
          </cell>
          <cell r="CC290" t="str">
            <v>0</v>
          </cell>
          <cell r="CD290" t="str">
            <v>0</v>
          </cell>
          <cell r="CE290" t="str">
            <v>0</v>
          </cell>
          <cell r="CF290" t="str">
            <v>0</v>
          </cell>
          <cell r="CG290" t="str">
            <v>0</v>
          </cell>
          <cell r="CH290" t="str">
            <v>0</v>
          </cell>
          <cell r="CI290" t="str">
            <v>0</v>
          </cell>
          <cell r="CJ290" t="str">
            <v>0</v>
          </cell>
          <cell r="CK290" t="str">
            <v>0</v>
          </cell>
          <cell r="CL290" t="str">
            <v>0</v>
          </cell>
          <cell r="CM290" t="str">
            <v>0</v>
          </cell>
          <cell r="CN290" t="str">
            <v>0</v>
          </cell>
          <cell r="CO290" t="str">
            <v>0</v>
          </cell>
          <cell r="CP290" t="str">
            <v>0</v>
          </cell>
          <cell r="CQ290" t="str">
            <v>0</v>
          </cell>
          <cell r="CR290" t="str">
            <v>0</v>
          </cell>
          <cell r="CS290" t="str">
            <v>0</v>
          </cell>
          <cell r="CT290" t="str">
            <v>0</v>
          </cell>
          <cell r="CU290" t="str">
            <v>0</v>
          </cell>
          <cell r="CV290" t="str">
            <v>0</v>
          </cell>
          <cell r="CW290" t="str">
            <v>0</v>
          </cell>
          <cell r="CX290" t="str">
            <v>0</v>
          </cell>
          <cell r="CY290" t="str">
            <v>0</v>
          </cell>
          <cell r="CZ290" t="str">
            <v>0</v>
          </cell>
          <cell r="DA290" t="str">
            <v>0</v>
          </cell>
          <cell r="DB290" t="str">
            <v>0</v>
          </cell>
          <cell r="DC290" t="str">
            <v>0</v>
          </cell>
          <cell r="DD290" t="str">
            <v>0</v>
          </cell>
          <cell r="DE290" t="str">
            <v>0</v>
          </cell>
          <cell r="DF290" t="str">
            <v>0</v>
          </cell>
          <cell r="DG290" t="str">
            <v>0</v>
          </cell>
          <cell r="DH290" t="str">
            <v>0</v>
          </cell>
          <cell r="DI290" t="str">
            <v>0</v>
          </cell>
          <cell r="DJ290" t="str">
            <v>0</v>
          </cell>
          <cell r="DK290" t="str">
            <v>0</v>
          </cell>
          <cell r="DL290" t="str">
            <v>0</v>
          </cell>
          <cell r="DM290" t="str">
            <v>0</v>
          </cell>
          <cell r="DN290" t="str">
            <v>0</v>
          </cell>
          <cell r="DO290" t="str">
            <v>0</v>
          </cell>
          <cell r="DP290" t="str">
            <v>0</v>
          </cell>
        </row>
        <row r="291">
          <cell r="C291"/>
          <cell r="D291" t="str">
            <v>0</v>
          </cell>
          <cell r="E291" t="str">
            <v>0</v>
          </cell>
          <cell r="F291" t="str">
            <v>0</v>
          </cell>
          <cell r="G291" t="str">
            <v>0</v>
          </cell>
          <cell r="H291" t="str">
            <v>0</v>
          </cell>
          <cell r="I291" t="str">
            <v>0</v>
          </cell>
          <cell r="J291" t="str">
            <v>0</v>
          </cell>
          <cell r="K291" t="str">
            <v>0</v>
          </cell>
          <cell r="L291" t="str">
            <v>0</v>
          </cell>
          <cell r="M291" t="str">
            <v>0</v>
          </cell>
          <cell r="N291" t="str">
            <v>0</v>
          </cell>
          <cell r="O291" t="str">
            <v>0</v>
          </cell>
          <cell r="P291" t="str">
            <v>0</v>
          </cell>
          <cell r="Q291" t="str">
            <v>0</v>
          </cell>
          <cell r="R291" t="str">
            <v>0</v>
          </cell>
          <cell r="S291" t="str">
            <v>0</v>
          </cell>
          <cell r="T291" t="str">
            <v>0</v>
          </cell>
          <cell r="U291" t="str">
            <v>0</v>
          </cell>
          <cell r="V291" t="str">
            <v>0</v>
          </cell>
          <cell r="W291" t="str">
            <v>0</v>
          </cell>
          <cell r="X291" t="str">
            <v>0</v>
          </cell>
          <cell r="Y291" t="str">
            <v>0</v>
          </cell>
          <cell r="Z291" t="str">
            <v>0</v>
          </cell>
          <cell r="AA291" t="str">
            <v>0</v>
          </cell>
          <cell r="AB291" t="str">
            <v>0</v>
          </cell>
          <cell r="AC291" t="str">
            <v>0</v>
          </cell>
          <cell r="AD291" t="str">
            <v>0</v>
          </cell>
          <cell r="AE291" t="str">
            <v>0</v>
          </cell>
          <cell r="AF291" t="str">
            <v>0</v>
          </cell>
          <cell r="AG291" t="str">
            <v>0</v>
          </cell>
          <cell r="AH291" t="str">
            <v>0</v>
          </cell>
          <cell r="AI291" t="str">
            <v>0</v>
          </cell>
          <cell r="AJ291" t="str">
            <v>0</v>
          </cell>
          <cell r="AK291" t="str">
            <v>0</v>
          </cell>
          <cell r="AL291" t="str">
            <v>0</v>
          </cell>
          <cell r="AM291" t="str">
            <v>0</v>
          </cell>
          <cell r="AN291" t="str">
            <v>0</v>
          </cell>
          <cell r="AO291" t="str">
            <v>0</v>
          </cell>
          <cell r="AP291" t="str">
            <v>0</v>
          </cell>
          <cell r="AQ291" t="str">
            <v>0</v>
          </cell>
          <cell r="AR291" t="str">
            <v>0</v>
          </cell>
          <cell r="AS291" t="str">
            <v>0</v>
          </cell>
          <cell r="AT291" t="str">
            <v>0</v>
          </cell>
          <cell r="AU291" t="str">
            <v>0</v>
          </cell>
          <cell r="AV291" t="str">
            <v>0</v>
          </cell>
          <cell r="AW291" t="str">
            <v>0</v>
          </cell>
          <cell r="AX291" t="str">
            <v>0</v>
          </cell>
          <cell r="AY291" t="str">
            <v>0</v>
          </cell>
          <cell r="AZ291" t="str">
            <v>0</v>
          </cell>
          <cell r="BA291" t="str">
            <v>0</v>
          </cell>
          <cell r="BB291" t="str">
            <v>0</v>
          </cell>
          <cell r="BC291" t="str">
            <v>0</v>
          </cell>
          <cell r="BD291" t="str">
            <v>0</v>
          </cell>
          <cell r="BE291" t="str">
            <v>0</v>
          </cell>
          <cell r="BF291" t="str">
            <v>0</v>
          </cell>
          <cell r="BG291" t="str">
            <v>0</v>
          </cell>
          <cell r="BH291" t="str">
            <v>0</v>
          </cell>
          <cell r="BI291" t="str">
            <v>0</v>
          </cell>
          <cell r="BJ291" t="str">
            <v>0</v>
          </cell>
          <cell r="BK291" t="str">
            <v>0</v>
          </cell>
          <cell r="BL291" t="str">
            <v>0</v>
          </cell>
          <cell r="BM291" t="str">
            <v>0</v>
          </cell>
          <cell r="BN291" t="str">
            <v>0</v>
          </cell>
          <cell r="BO291" t="str">
            <v>0</v>
          </cell>
          <cell r="BP291" t="str">
            <v>0</v>
          </cell>
          <cell r="BQ291" t="str">
            <v>0</v>
          </cell>
          <cell r="BR291" t="str">
            <v>0</v>
          </cell>
          <cell r="BS291" t="str">
            <v>0</v>
          </cell>
          <cell r="BT291" t="str">
            <v>0</v>
          </cell>
          <cell r="BU291" t="str">
            <v>0</v>
          </cell>
          <cell r="BV291" t="str">
            <v>0</v>
          </cell>
          <cell r="BW291" t="str">
            <v>0</v>
          </cell>
          <cell r="BX291" t="str">
            <v>0</v>
          </cell>
          <cell r="BY291" t="str">
            <v>0</v>
          </cell>
          <cell r="BZ291" t="str">
            <v>0</v>
          </cell>
          <cell r="CA291" t="str">
            <v>0</v>
          </cell>
          <cell r="CB291" t="str">
            <v>0</v>
          </cell>
          <cell r="CC291" t="str">
            <v>0</v>
          </cell>
          <cell r="CD291" t="str">
            <v>0</v>
          </cell>
          <cell r="CE291" t="str">
            <v>0</v>
          </cell>
          <cell r="CF291" t="str">
            <v>0</v>
          </cell>
          <cell r="CG291" t="str">
            <v>0</v>
          </cell>
          <cell r="CH291" t="str">
            <v>0</v>
          </cell>
          <cell r="CI291" t="str">
            <v>0</v>
          </cell>
          <cell r="CJ291" t="str">
            <v>0</v>
          </cell>
          <cell r="CK291" t="str">
            <v>0</v>
          </cell>
          <cell r="CL291" t="str">
            <v>0</v>
          </cell>
          <cell r="CM291" t="str">
            <v>0</v>
          </cell>
          <cell r="CN291" t="str">
            <v>0</v>
          </cell>
          <cell r="CO291" t="str">
            <v>0</v>
          </cell>
          <cell r="CP291" t="str">
            <v>0</v>
          </cell>
          <cell r="CQ291" t="str">
            <v>0</v>
          </cell>
          <cell r="CR291" t="str">
            <v>0</v>
          </cell>
          <cell r="CS291" t="str">
            <v>0</v>
          </cell>
          <cell r="CT291" t="str">
            <v>0</v>
          </cell>
          <cell r="CU291" t="str">
            <v>0</v>
          </cell>
          <cell r="CV291" t="str">
            <v>0</v>
          </cell>
          <cell r="CW291" t="str">
            <v>0</v>
          </cell>
          <cell r="CX291" t="str">
            <v>0</v>
          </cell>
          <cell r="CY291" t="str">
            <v>0</v>
          </cell>
          <cell r="CZ291" t="str">
            <v>0</v>
          </cell>
          <cell r="DA291" t="str">
            <v>0</v>
          </cell>
          <cell r="DB291" t="str">
            <v>0</v>
          </cell>
          <cell r="DC291" t="str">
            <v>0</v>
          </cell>
          <cell r="DD291" t="str">
            <v>0</v>
          </cell>
          <cell r="DE291" t="str">
            <v>0</v>
          </cell>
          <cell r="DF291" t="str">
            <v>0</v>
          </cell>
          <cell r="DG291" t="str">
            <v>0</v>
          </cell>
          <cell r="DH291" t="str">
            <v>0</v>
          </cell>
          <cell r="DI291" t="str">
            <v>0</v>
          </cell>
          <cell r="DJ291" t="str">
            <v>0</v>
          </cell>
          <cell r="DK291" t="str">
            <v>0</v>
          </cell>
          <cell r="DL291" t="str">
            <v>0</v>
          </cell>
          <cell r="DM291" t="str">
            <v>0</v>
          </cell>
          <cell r="DN291" t="str">
            <v>0</v>
          </cell>
          <cell r="DO291" t="str">
            <v>0</v>
          </cell>
          <cell r="DP291" t="str">
            <v>0</v>
          </cell>
        </row>
        <row r="292">
          <cell r="C292"/>
          <cell r="D292" t="str">
            <v>0</v>
          </cell>
          <cell r="E292" t="str">
            <v>0</v>
          </cell>
          <cell r="F292" t="str">
            <v>0</v>
          </cell>
          <cell r="G292" t="str">
            <v>0</v>
          </cell>
          <cell r="H292" t="str">
            <v>0</v>
          </cell>
          <cell r="I292" t="str">
            <v>0</v>
          </cell>
          <cell r="J292" t="str">
            <v>0</v>
          </cell>
          <cell r="K292" t="str">
            <v>0</v>
          </cell>
          <cell r="L292" t="str">
            <v>0</v>
          </cell>
          <cell r="M292" t="str">
            <v>0</v>
          </cell>
          <cell r="N292" t="str">
            <v>0</v>
          </cell>
          <cell r="O292" t="str">
            <v>0</v>
          </cell>
          <cell r="P292" t="str">
            <v>0</v>
          </cell>
          <cell r="Q292" t="str">
            <v>0</v>
          </cell>
          <cell r="R292" t="str">
            <v>0</v>
          </cell>
          <cell r="S292" t="str">
            <v>0</v>
          </cell>
          <cell r="T292" t="str">
            <v>0</v>
          </cell>
          <cell r="U292" t="str">
            <v>0</v>
          </cell>
          <cell r="V292" t="str">
            <v>0</v>
          </cell>
          <cell r="W292" t="str">
            <v>0</v>
          </cell>
          <cell r="X292" t="str">
            <v>0</v>
          </cell>
          <cell r="Y292" t="str">
            <v>0</v>
          </cell>
          <cell r="Z292" t="str">
            <v>0</v>
          </cell>
          <cell r="AA292" t="str">
            <v>0</v>
          </cell>
          <cell r="AB292" t="str">
            <v>0</v>
          </cell>
          <cell r="AC292" t="str">
            <v>0</v>
          </cell>
          <cell r="AD292" t="str">
            <v>0</v>
          </cell>
          <cell r="AE292" t="str">
            <v>0</v>
          </cell>
          <cell r="AF292" t="str">
            <v>0</v>
          </cell>
          <cell r="AG292" t="str">
            <v>0</v>
          </cell>
          <cell r="AH292" t="str">
            <v>0</v>
          </cell>
          <cell r="AI292" t="str">
            <v>0</v>
          </cell>
          <cell r="AJ292" t="str">
            <v>0</v>
          </cell>
          <cell r="AK292" t="str">
            <v>0</v>
          </cell>
          <cell r="AL292" t="str">
            <v>0</v>
          </cell>
          <cell r="AM292" t="str">
            <v>0</v>
          </cell>
          <cell r="AN292" t="str">
            <v>0</v>
          </cell>
          <cell r="AO292" t="str">
            <v>0</v>
          </cell>
          <cell r="AP292" t="str">
            <v>0</v>
          </cell>
          <cell r="AQ292" t="str">
            <v>0</v>
          </cell>
          <cell r="AR292" t="str">
            <v>0</v>
          </cell>
          <cell r="AS292" t="str">
            <v>0</v>
          </cell>
          <cell r="AT292" t="str">
            <v>0</v>
          </cell>
          <cell r="AU292" t="str">
            <v>0</v>
          </cell>
          <cell r="AV292" t="str">
            <v>0</v>
          </cell>
          <cell r="AW292" t="str">
            <v>0</v>
          </cell>
          <cell r="AX292" t="str">
            <v>0</v>
          </cell>
          <cell r="AY292" t="str">
            <v>0</v>
          </cell>
          <cell r="AZ292" t="str">
            <v>0</v>
          </cell>
          <cell r="BA292" t="str">
            <v>0</v>
          </cell>
          <cell r="BB292" t="str">
            <v>0</v>
          </cell>
          <cell r="BC292" t="str">
            <v>0</v>
          </cell>
          <cell r="BD292" t="str">
            <v>0</v>
          </cell>
          <cell r="BE292" t="str">
            <v>0</v>
          </cell>
          <cell r="BF292" t="str">
            <v>0</v>
          </cell>
          <cell r="BG292" t="str">
            <v>0</v>
          </cell>
          <cell r="BH292" t="str">
            <v>0</v>
          </cell>
          <cell r="BI292" t="str">
            <v>0</v>
          </cell>
          <cell r="BJ292" t="str">
            <v>0</v>
          </cell>
          <cell r="BK292" t="str">
            <v>0</v>
          </cell>
          <cell r="BL292" t="str">
            <v>0</v>
          </cell>
          <cell r="BM292" t="str">
            <v>0</v>
          </cell>
          <cell r="BN292" t="str">
            <v>0</v>
          </cell>
          <cell r="BO292" t="str">
            <v>0</v>
          </cell>
          <cell r="BP292" t="str">
            <v>0</v>
          </cell>
          <cell r="BQ292" t="str">
            <v>0</v>
          </cell>
          <cell r="BR292" t="str">
            <v>0</v>
          </cell>
          <cell r="BS292" t="str">
            <v>0</v>
          </cell>
          <cell r="BT292" t="str">
            <v>0</v>
          </cell>
          <cell r="BU292" t="str">
            <v>0</v>
          </cell>
          <cell r="BV292" t="str">
            <v>0</v>
          </cell>
          <cell r="BW292" t="str">
            <v>0</v>
          </cell>
          <cell r="BX292" t="str">
            <v>0</v>
          </cell>
          <cell r="BY292" t="str">
            <v>0</v>
          </cell>
          <cell r="BZ292" t="str">
            <v>0</v>
          </cell>
          <cell r="CA292" t="str">
            <v>0</v>
          </cell>
          <cell r="CB292" t="str">
            <v>0</v>
          </cell>
          <cell r="CC292" t="str">
            <v>0</v>
          </cell>
          <cell r="CD292" t="str">
            <v>0</v>
          </cell>
          <cell r="CE292" t="str">
            <v>0</v>
          </cell>
          <cell r="CF292" t="str">
            <v>0</v>
          </cell>
          <cell r="CG292" t="str">
            <v>0</v>
          </cell>
          <cell r="CH292" t="str">
            <v>0</v>
          </cell>
          <cell r="CI292" t="str">
            <v>0</v>
          </cell>
          <cell r="CJ292" t="str">
            <v>0</v>
          </cell>
          <cell r="CK292" t="str">
            <v>0</v>
          </cell>
          <cell r="CL292" t="str">
            <v>0</v>
          </cell>
          <cell r="CM292" t="str">
            <v>0</v>
          </cell>
          <cell r="CN292" t="str">
            <v>0</v>
          </cell>
          <cell r="CO292" t="str">
            <v>0</v>
          </cell>
          <cell r="CP292" t="str">
            <v>0</v>
          </cell>
          <cell r="CQ292" t="str">
            <v>0</v>
          </cell>
          <cell r="CR292" t="str">
            <v>0</v>
          </cell>
          <cell r="CS292" t="str">
            <v>0</v>
          </cell>
          <cell r="CT292" t="str">
            <v>0</v>
          </cell>
          <cell r="CU292" t="str">
            <v>0</v>
          </cell>
          <cell r="CV292" t="str">
            <v>0</v>
          </cell>
          <cell r="CW292" t="str">
            <v>0</v>
          </cell>
          <cell r="CX292" t="str">
            <v>0</v>
          </cell>
          <cell r="CY292" t="str">
            <v>0</v>
          </cell>
          <cell r="CZ292" t="str">
            <v>0</v>
          </cell>
          <cell r="DA292" t="str">
            <v>0</v>
          </cell>
          <cell r="DB292" t="str">
            <v>0</v>
          </cell>
          <cell r="DC292" t="str">
            <v>0</v>
          </cell>
          <cell r="DD292" t="str">
            <v>0</v>
          </cell>
          <cell r="DE292" t="str">
            <v>0</v>
          </cell>
          <cell r="DF292" t="str">
            <v>0</v>
          </cell>
          <cell r="DG292" t="str">
            <v>0</v>
          </cell>
          <cell r="DH292" t="str">
            <v>0</v>
          </cell>
          <cell r="DI292" t="str">
            <v>0</v>
          </cell>
          <cell r="DJ292" t="str">
            <v>0</v>
          </cell>
          <cell r="DK292" t="str">
            <v>0</v>
          </cell>
          <cell r="DL292" t="str">
            <v>0</v>
          </cell>
          <cell r="DM292" t="str">
            <v>0</v>
          </cell>
          <cell r="DN292" t="str">
            <v>0</v>
          </cell>
          <cell r="DO292" t="str">
            <v>0</v>
          </cell>
          <cell r="DP292" t="str">
            <v>0</v>
          </cell>
        </row>
        <row r="293">
          <cell r="C293"/>
          <cell r="D293" t="str">
            <v>0</v>
          </cell>
          <cell r="E293" t="str">
            <v>0</v>
          </cell>
          <cell r="F293" t="str">
            <v>0</v>
          </cell>
          <cell r="G293" t="str">
            <v>0</v>
          </cell>
          <cell r="H293" t="str">
            <v>0</v>
          </cell>
          <cell r="I293" t="str">
            <v>0</v>
          </cell>
          <cell r="J293" t="str">
            <v>0</v>
          </cell>
          <cell r="K293" t="str">
            <v>0</v>
          </cell>
          <cell r="L293" t="str">
            <v>0</v>
          </cell>
          <cell r="M293" t="str">
            <v>0</v>
          </cell>
          <cell r="N293" t="str">
            <v>0</v>
          </cell>
          <cell r="O293" t="str">
            <v>0</v>
          </cell>
          <cell r="P293" t="str">
            <v>0</v>
          </cell>
          <cell r="Q293" t="str">
            <v>0</v>
          </cell>
          <cell r="R293" t="str">
            <v>0</v>
          </cell>
          <cell r="S293" t="str">
            <v>0</v>
          </cell>
          <cell r="T293" t="str">
            <v>0</v>
          </cell>
          <cell r="U293" t="str">
            <v>0</v>
          </cell>
          <cell r="V293" t="str">
            <v>0</v>
          </cell>
          <cell r="W293" t="str">
            <v>0</v>
          </cell>
          <cell r="X293" t="str">
            <v>0</v>
          </cell>
          <cell r="Y293" t="str">
            <v>0</v>
          </cell>
          <cell r="Z293" t="str">
            <v>0</v>
          </cell>
          <cell r="AA293" t="str">
            <v>0</v>
          </cell>
          <cell r="AB293" t="str">
            <v>0</v>
          </cell>
          <cell r="AC293" t="str">
            <v>0</v>
          </cell>
          <cell r="AD293" t="str">
            <v>0</v>
          </cell>
          <cell r="AE293" t="str">
            <v>0</v>
          </cell>
          <cell r="AF293" t="str">
            <v>0</v>
          </cell>
          <cell r="AG293" t="str">
            <v>0</v>
          </cell>
          <cell r="AH293" t="str">
            <v>0</v>
          </cell>
          <cell r="AI293" t="str">
            <v>0</v>
          </cell>
          <cell r="AJ293" t="str">
            <v>0</v>
          </cell>
          <cell r="AK293" t="str">
            <v>0</v>
          </cell>
          <cell r="AL293" t="str">
            <v>0</v>
          </cell>
          <cell r="AM293" t="str">
            <v>0</v>
          </cell>
          <cell r="AN293" t="str">
            <v>0</v>
          </cell>
          <cell r="AO293" t="str">
            <v>0</v>
          </cell>
          <cell r="AP293" t="str">
            <v>0</v>
          </cell>
          <cell r="AQ293" t="str">
            <v>0</v>
          </cell>
          <cell r="AR293" t="str">
            <v>0</v>
          </cell>
          <cell r="AS293" t="str">
            <v>0</v>
          </cell>
          <cell r="AT293" t="str">
            <v>0</v>
          </cell>
          <cell r="AU293" t="str">
            <v>0</v>
          </cell>
          <cell r="AV293" t="str">
            <v>0</v>
          </cell>
          <cell r="AW293" t="str">
            <v>0</v>
          </cell>
          <cell r="AX293" t="str">
            <v>0</v>
          </cell>
          <cell r="AY293" t="str">
            <v>0</v>
          </cell>
          <cell r="AZ293" t="str">
            <v>0</v>
          </cell>
          <cell r="BA293" t="str">
            <v>0</v>
          </cell>
          <cell r="BB293" t="str">
            <v>0</v>
          </cell>
          <cell r="BC293" t="str">
            <v>0</v>
          </cell>
          <cell r="BD293" t="str">
            <v>0</v>
          </cell>
          <cell r="BE293" t="str">
            <v>0</v>
          </cell>
          <cell r="BF293" t="str">
            <v>0</v>
          </cell>
          <cell r="BG293" t="str">
            <v>0</v>
          </cell>
          <cell r="BH293" t="str">
            <v>0</v>
          </cell>
          <cell r="BI293" t="str">
            <v>0</v>
          </cell>
          <cell r="BJ293" t="str">
            <v>0</v>
          </cell>
          <cell r="BK293" t="str">
            <v>0</v>
          </cell>
          <cell r="BL293" t="str">
            <v>0</v>
          </cell>
          <cell r="BM293" t="str">
            <v>0</v>
          </cell>
          <cell r="BN293" t="str">
            <v>0</v>
          </cell>
          <cell r="BO293" t="str">
            <v>0</v>
          </cell>
          <cell r="BP293" t="str">
            <v>0</v>
          </cell>
          <cell r="BQ293" t="str">
            <v>0</v>
          </cell>
          <cell r="BR293" t="str">
            <v>0</v>
          </cell>
          <cell r="BS293" t="str">
            <v>0</v>
          </cell>
          <cell r="BT293" t="str">
            <v>0</v>
          </cell>
          <cell r="BU293" t="str">
            <v>0</v>
          </cell>
          <cell r="BV293" t="str">
            <v>0</v>
          </cell>
          <cell r="BW293" t="str">
            <v>0</v>
          </cell>
          <cell r="BX293" t="str">
            <v>0</v>
          </cell>
          <cell r="BY293" t="str">
            <v>0</v>
          </cell>
          <cell r="BZ293" t="str">
            <v>0</v>
          </cell>
          <cell r="CA293" t="str">
            <v>0</v>
          </cell>
          <cell r="CB293" t="str">
            <v>0</v>
          </cell>
          <cell r="CC293" t="str">
            <v>0</v>
          </cell>
          <cell r="CD293" t="str">
            <v>0</v>
          </cell>
          <cell r="CE293" t="str">
            <v>0</v>
          </cell>
          <cell r="CF293" t="str">
            <v>0</v>
          </cell>
          <cell r="CG293" t="str">
            <v>0</v>
          </cell>
          <cell r="CH293" t="str">
            <v>0</v>
          </cell>
          <cell r="CI293" t="str">
            <v>0</v>
          </cell>
          <cell r="CJ293" t="str">
            <v>0</v>
          </cell>
          <cell r="CK293" t="str">
            <v>0</v>
          </cell>
          <cell r="CL293" t="str">
            <v>0</v>
          </cell>
          <cell r="CM293" t="str">
            <v>0</v>
          </cell>
          <cell r="CN293" t="str">
            <v>0</v>
          </cell>
          <cell r="CO293" t="str">
            <v>0</v>
          </cell>
          <cell r="CP293" t="str">
            <v>0</v>
          </cell>
          <cell r="CQ293" t="str">
            <v>0</v>
          </cell>
          <cell r="CR293" t="str">
            <v>0</v>
          </cell>
          <cell r="CS293" t="str">
            <v>0</v>
          </cell>
          <cell r="CT293" t="str">
            <v>0</v>
          </cell>
          <cell r="CU293" t="str">
            <v>0</v>
          </cell>
          <cell r="CV293" t="str">
            <v>0</v>
          </cell>
          <cell r="CW293" t="str">
            <v>0</v>
          </cell>
          <cell r="CX293" t="str">
            <v>0</v>
          </cell>
          <cell r="CY293" t="str">
            <v>0</v>
          </cell>
          <cell r="CZ293" t="str">
            <v>0</v>
          </cell>
          <cell r="DA293" t="str">
            <v>0</v>
          </cell>
          <cell r="DB293" t="str">
            <v>0</v>
          </cell>
          <cell r="DC293" t="str">
            <v>0</v>
          </cell>
          <cell r="DD293" t="str">
            <v>0</v>
          </cell>
          <cell r="DE293" t="str">
            <v>0</v>
          </cell>
          <cell r="DF293" t="str">
            <v>0</v>
          </cell>
          <cell r="DG293" t="str">
            <v>0</v>
          </cell>
          <cell r="DH293" t="str">
            <v>0</v>
          </cell>
          <cell r="DI293" t="str">
            <v>0</v>
          </cell>
          <cell r="DJ293" t="str">
            <v>0</v>
          </cell>
          <cell r="DK293" t="str">
            <v>0</v>
          </cell>
          <cell r="DL293" t="str">
            <v>0</v>
          </cell>
          <cell r="DM293" t="str">
            <v>0</v>
          </cell>
          <cell r="DN293" t="str">
            <v>0</v>
          </cell>
          <cell r="DO293" t="str">
            <v>0</v>
          </cell>
          <cell r="DP293" t="str">
            <v>0</v>
          </cell>
        </row>
        <row r="294">
          <cell r="C294"/>
          <cell r="D294" t="str">
            <v>0</v>
          </cell>
          <cell r="E294" t="str">
            <v>0</v>
          </cell>
          <cell r="F294" t="str">
            <v>0</v>
          </cell>
          <cell r="G294" t="str">
            <v>0</v>
          </cell>
          <cell r="H294" t="str">
            <v>0</v>
          </cell>
          <cell r="I294" t="str">
            <v>0</v>
          </cell>
          <cell r="J294" t="str">
            <v>0</v>
          </cell>
          <cell r="K294" t="str">
            <v>0</v>
          </cell>
          <cell r="L294" t="str">
            <v>0</v>
          </cell>
          <cell r="M294" t="str">
            <v>0</v>
          </cell>
          <cell r="N294" t="str">
            <v>0</v>
          </cell>
          <cell r="O294" t="str">
            <v>0</v>
          </cell>
          <cell r="P294" t="str">
            <v>0</v>
          </cell>
          <cell r="Q294" t="str">
            <v>0</v>
          </cell>
          <cell r="R294" t="str">
            <v>0</v>
          </cell>
          <cell r="S294" t="str">
            <v>0</v>
          </cell>
          <cell r="T294" t="str">
            <v>0</v>
          </cell>
          <cell r="U294" t="str">
            <v>0</v>
          </cell>
          <cell r="V294" t="str">
            <v>0</v>
          </cell>
          <cell r="W294" t="str">
            <v>0</v>
          </cell>
          <cell r="X294" t="str">
            <v>0</v>
          </cell>
          <cell r="Y294" t="str">
            <v>0</v>
          </cell>
          <cell r="Z294" t="str">
            <v>0</v>
          </cell>
          <cell r="AA294" t="str">
            <v>0</v>
          </cell>
          <cell r="AB294" t="str">
            <v>0</v>
          </cell>
          <cell r="AC294" t="str">
            <v>0</v>
          </cell>
          <cell r="AD294" t="str">
            <v>0</v>
          </cell>
          <cell r="AE294" t="str">
            <v>0</v>
          </cell>
          <cell r="AF294" t="str">
            <v>0</v>
          </cell>
          <cell r="AG294" t="str">
            <v>0</v>
          </cell>
          <cell r="AH294" t="str">
            <v>0</v>
          </cell>
          <cell r="AI294" t="str">
            <v>0</v>
          </cell>
          <cell r="AJ294" t="str">
            <v>0</v>
          </cell>
          <cell r="AK294" t="str">
            <v>0</v>
          </cell>
          <cell r="AL294" t="str">
            <v>0</v>
          </cell>
          <cell r="AM294" t="str">
            <v>0</v>
          </cell>
          <cell r="AN294" t="str">
            <v>0</v>
          </cell>
          <cell r="AO294" t="str">
            <v>0</v>
          </cell>
          <cell r="AP294" t="str">
            <v>0</v>
          </cell>
          <cell r="AQ294" t="str">
            <v>0</v>
          </cell>
          <cell r="AR294" t="str">
            <v>0</v>
          </cell>
          <cell r="AS294" t="str">
            <v>0</v>
          </cell>
          <cell r="AT294" t="str">
            <v>0</v>
          </cell>
          <cell r="AU294" t="str">
            <v>0</v>
          </cell>
          <cell r="AV294" t="str">
            <v>0</v>
          </cell>
          <cell r="AW294" t="str">
            <v>0</v>
          </cell>
          <cell r="AX294" t="str">
            <v>0</v>
          </cell>
          <cell r="AY294" t="str">
            <v>0</v>
          </cell>
          <cell r="AZ294" t="str">
            <v>0</v>
          </cell>
          <cell r="BA294" t="str">
            <v>0</v>
          </cell>
          <cell r="BB294" t="str">
            <v>0</v>
          </cell>
          <cell r="BC294" t="str">
            <v>0</v>
          </cell>
          <cell r="BD294" t="str">
            <v>0</v>
          </cell>
          <cell r="BE294" t="str">
            <v>0</v>
          </cell>
          <cell r="BF294" t="str">
            <v>0</v>
          </cell>
          <cell r="BG294" t="str">
            <v>0</v>
          </cell>
          <cell r="BH294" t="str">
            <v>0</v>
          </cell>
          <cell r="BI294" t="str">
            <v>0</v>
          </cell>
          <cell r="BJ294" t="str">
            <v>0</v>
          </cell>
          <cell r="BK294" t="str">
            <v>0</v>
          </cell>
          <cell r="BL294" t="str">
            <v>0</v>
          </cell>
          <cell r="BM294" t="str">
            <v>0</v>
          </cell>
          <cell r="BN294" t="str">
            <v>0</v>
          </cell>
          <cell r="BO294" t="str">
            <v>0</v>
          </cell>
          <cell r="BP294" t="str">
            <v>0</v>
          </cell>
          <cell r="BQ294" t="str">
            <v>0</v>
          </cell>
          <cell r="BR294" t="str">
            <v>0</v>
          </cell>
          <cell r="BS294" t="str">
            <v>0</v>
          </cell>
          <cell r="BT294" t="str">
            <v>0</v>
          </cell>
          <cell r="BU294" t="str">
            <v>0</v>
          </cell>
          <cell r="BV294" t="str">
            <v>0</v>
          </cell>
          <cell r="BW294" t="str">
            <v>0</v>
          </cell>
          <cell r="BX294" t="str">
            <v>0</v>
          </cell>
          <cell r="BY294" t="str">
            <v>0</v>
          </cell>
          <cell r="BZ294" t="str">
            <v>0</v>
          </cell>
          <cell r="CA294" t="str">
            <v>0</v>
          </cell>
          <cell r="CB294" t="str">
            <v>0</v>
          </cell>
          <cell r="CC294" t="str">
            <v>0</v>
          </cell>
          <cell r="CD294" t="str">
            <v>0</v>
          </cell>
          <cell r="CE294" t="str">
            <v>0</v>
          </cell>
          <cell r="CF294" t="str">
            <v>0</v>
          </cell>
          <cell r="CG294" t="str">
            <v>0</v>
          </cell>
          <cell r="CH294" t="str">
            <v>0</v>
          </cell>
          <cell r="CI294" t="str">
            <v>0</v>
          </cell>
          <cell r="CJ294" t="str">
            <v>0</v>
          </cell>
          <cell r="CK294" t="str">
            <v>0</v>
          </cell>
          <cell r="CL294" t="str">
            <v>0</v>
          </cell>
          <cell r="CM294" t="str">
            <v>0</v>
          </cell>
          <cell r="CN294" t="str">
            <v>0</v>
          </cell>
          <cell r="CO294" t="str">
            <v>0</v>
          </cell>
          <cell r="CP294" t="str">
            <v>0</v>
          </cell>
          <cell r="CQ294" t="str">
            <v>0</v>
          </cell>
          <cell r="CR294" t="str">
            <v>0</v>
          </cell>
          <cell r="CS294" t="str">
            <v>0</v>
          </cell>
          <cell r="CT294" t="str">
            <v>0</v>
          </cell>
          <cell r="CU294" t="str">
            <v>0</v>
          </cell>
          <cell r="CV294" t="str">
            <v>0</v>
          </cell>
          <cell r="CW294" t="str">
            <v>0</v>
          </cell>
          <cell r="CX294" t="str">
            <v>0</v>
          </cell>
          <cell r="CY294" t="str">
            <v>0</v>
          </cell>
          <cell r="CZ294" t="str">
            <v>0</v>
          </cell>
          <cell r="DA294" t="str">
            <v>0</v>
          </cell>
          <cell r="DB294" t="str">
            <v>0</v>
          </cell>
          <cell r="DC294" t="str">
            <v>0</v>
          </cell>
          <cell r="DD294" t="str">
            <v>0</v>
          </cell>
          <cell r="DE294" t="str">
            <v>0</v>
          </cell>
          <cell r="DF294" t="str">
            <v>0</v>
          </cell>
          <cell r="DG294" t="str">
            <v>0</v>
          </cell>
          <cell r="DH294" t="str">
            <v>0</v>
          </cell>
          <cell r="DI294" t="str">
            <v>0</v>
          </cell>
          <cell r="DJ294" t="str">
            <v>0</v>
          </cell>
          <cell r="DK294" t="str">
            <v>0</v>
          </cell>
          <cell r="DL294" t="str">
            <v>0</v>
          </cell>
          <cell r="DM294" t="str">
            <v>0</v>
          </cell>
          <cell r="DN294" t="str">
            <v>0</v>
          </cell>
          <cell r="DO294" t="str">
            <v>0</v>
          </cell>
          <cell r="DP294" t="str">
            <v>0</v>
          </cell>
        </row>
        <row r="295">
          <cell r="C295"/>
          <cell r="D295" t="str">
            <v>0</v>
          </cell>
          <cell r="E295" t="str">
            <v>0</v>
          </cell>
          <cell r="F295" t="str">
            <v>0</v>
          </cell>
          <cell r="G295" t="str">
            <v>0</v>
          </cell>
          <cell r="H295" t="str">
            <v>0</v>
          </cell>
          <cell r="I295" t="str">
            <v>0</v>
          </cell>
          <cell r="J295" t="str">
            <v>0</v>
          </cell>
          <cell r="K295" t="str">
            <v>0</v>
          </cell>
          <cell r="L295" t="str">
            <v>0</v>
          </cell>
          <cell r="M295" t="str">
            <v>0</v>
          </cell>
          <cell r="N295" t="str">
            <v>0</v>
          </cell>
          <cell r="O295" t="str">
            <v>0</v>
          </cell>
          <cell r="P295" t="str">
            <v>0</v>
          </cell>
          <cell r="Q295" t="str">
            <v>0</v>
          </cell>
          <cell r="R295" t="str">
            <v>0</v>
          </cell>
          <cell r="S295" t="str">
            <v>0</v>
          </cell>
          <cell r="T295" t="str">
            <v>0</v>
          </cell>
          <cell r="U295" t="str">
            <v>0</v>
          </cell>
          <cell r="V295" t="str">
            <v>0</v>
          </cell>
          <cell r="W295" t="str">
            <v>0</v>
          </cell>
          <cell r="X295" t="str">
            <v>0</v>
          </cell>
          <cell r="Y295" t="str">
            <v>0</v>
          </cell>
          <cell r="Z295" t="str">
            <v>0</v>
          </cell>
          <cell r="AA295" t="str">
            <v>0</v>
          </cell>
          <cell r="AB295" t="str">
            <v>0</v>
          </cell>
          <cell r="AC295" t="str">
            <v>0</v>
          </cell>
          <cell r="AD295" t="str">
            <v>0</v>
          </cell>
          <cell r="AE295" t="str">
            <v>0</v>
          </cell>
          <cell r="AF295" t="str">
            <v>0</v>
          </cell>
          <cell r="AG295" t="str">
            <v>0</v>
          </cell>
          <cell r="AH295" t="str">
            <v>0</v>
          </cell>
          <cell r="AI295" t="str">
            <v>0</v>
          </cell>
          <cell r="AJ295" t="str">
            <v>0</v>
          </cell>
          <cell r="AK295" t="str">
            <v>0</v>
          </cell>
          <cell r="AL295" t="str">
            <v>0</v>
          </cell>
          <cell r="AM295" t="str">
            <v>0</v>
          </cell>
          <cell r="AN295" t="str">
            <v>0</v>
          </cell>
          <cell r="AO295" t="str">
            <v>0</v>
          </cell>
          <cell r="AP295" t="str">
            <v>0</v>
          </cell>
          <cell r="AQ295" t="str">
            <v>0</v>
          </cell>
          <cell r="AR295" t="str">
            <v>0</v>
          </cell>
          <cell r="AS295" t="str">
            <v>0</v>
          </cell>
          <cell r="AT295" t="str">
            <v>0</v>
          </cell>
          <cell r="AU295" t="str">
            <v>0</v>
          </cell>
          <cell r="AV295" t="str">
            <v>0</v>
          </cell>
          <cell r="AW295" t="str">
            <v>0</v>
          </cell>
          <cell r="AX295" t="str">
            <v>0</v>
          </cell>
          <cell r="AY295" t="str">
            <v>0</v>
          </cell>
          <cell r="AZ295" t="str">
            <v>0</v>
          </cell>
          <cell r="BA295" t="str">
            <v>0</v>
          </cell>
          <cell r="BB295" t="str">
            <v>0</v>
          </cell>
          <cell r="BC295" t="str">
            <v>0</v>
          </cell>
          <cell r="BD295" t="str">
            <v>0</v>
          </cell>
          <cell r="BE295" t="str">
            <v>0</v>
          </cell>
          <cell r="BF295" t="str">
            <v>0</v>
          </cell>
          <cell r="BG295" t="str">
            <v>0</v>
          </cell>
          <cell r="BH295" t="str">
            <v>0</v>
          </cell>
          <cell r="BI295" t="str">
            <v>0</v>
          </cell>
          <cell r="BJ295" t="str">
            <v>0</v>
          </cell>
          <cell r="BK295" t="str">
            <v>0</v>
          </cell>
          <cell r="BL295" t="str">
            <v>0</v>
          </cell>
          <cell r="BM295" t="str">
            <v>0</v>
          </cell>
          <cell r="BN295" t="str">
            <v>0</v>
          </cell>
          <cell r="BO295" t="str">
            <v>0</v>
          </cell>
          <cell r="BP295" t="str">
            <v>0</v>
          </cell>
          <cell r="BQ295" t="str">
            <v>0</v>
          </cell>
          <cell r="BR295" t="str">
            <v>0</v>
          </cell>
          <cell r="BS295" t="str">
            <v>0</v>
          </cell>
          <cell r="BT295" t="str">
            <v>0</v>
          </cell>
          <cell r="BU295" t="str">
            <v>0</v>
          </cell>
          <cell r="BV295" t="str">
            <v>0</v>
          </cell>
          <cell r="BW295" t="str">
            <v>0</v>
          </cell>
          <cell r="BX295" t="str">
            <v>0</v>
          </cell>
          <cell r="BY295" t="str">
            <v>0</v>
          </cell>
          <cell r="BZ295" t="str">
            <v>0</v>
          </cell>
          <cell r="CA295" t="str">
            <v>0</v>
          </cell>
          <cell r="CB295" t="str">
            <v>0</v>
          </cell>
          <cell r="CC295" t="str">
            <v>0</v>
          </cell>
          <cell r="CD295" t="str">
            <v>0</v>
          </cell>
          <cell r="CE295" t="str">
            <v>0</v>
          </cell>
          <cell r="CF295" t="str">
            <v>0</v>
          </cell>
          <cell r="CG295" t="str">
            <v>0</v>
          </cell>
          <cell r="CH295" t="str">
            <v>0</v>
          </cell>
          <cell r="CI295" t="str">
            <v>0</v>
          </cell>
          <cell r="CJ295" t="str">
            <v>0</v>
          </cell>
          <cell r="CK295" t="str">
            <v>0</v>
          </cell>
          <cell r="CL295" t="str">
            <v>0</v>
          </cell>
          <cell r="CM295" t="str">
            <v>0</v>
          </cell>
          <cell r="CN295" t="str">
            <v>0</v>
          </cell>
          <cell r="CO295" t="str">
            <v>0</v>
          </cell>
          <cell r="CP295" t="str">
            <v>0</v>
          </cell>
          <cell r="CQ295" t="str">
            <v>0</v>
          </cell>
          <cell r="CR295" t="str">
            <v>0</v>
          </cell>
          <cell r="CS295" t="str">
            <v>0</v>
          </cell>
          <cell r="CT295" t="str">
            <v>0</v>
          </cell>
          <cell r="CU295" t="str">
            <v>0</v>
          </cell>
          <cell r="CV295" t="str">
            <v>0</v>
          </cell>
          <cell r="CW295" t="str">
            <v>0</v>
          </cell>
          <cell r="CX295" t="str">
            <v>0</v>
          </cell>
          <cell r="CY295" t="str">
            <v>0</v>
          </cell>
          <cell r="CZ295" t="str">
            <v>0</v>
          </cell>
          <cell r="DA295" t="str">
            <v>0</v>
          </cell>
          <cell r="DB295" t="str">
            <v>0</v>
          </cell>
          <cell r="DC295" t="str">
            <v>0</v>
          </cell>
          <cell r="DD295" t="str">
            <v>0</v>
          </cell>
          <cell r="DE295" t="str">
            <v>0</v>
          </cell>
          <cell r="DF295" t="str">
            <v>0</v>
          </cell>
          <cell r="DG295" t="str">
            <v>0</v>
          </cell>
          <cell r="DH295" t="str">
            <v>0</v>
          </cell>
          <cell r="DI295" t="str">
            <v>0</v>
          </cell>
          <cell r="DJ295" t="str">
            <v>0</v>
          </cell>
          <cell r="DK295" t="str">
            <v>0</v>
          </cell>
          <cell r="DL295" t="str">
            <v>0</v>
          </cell>
          <cell r="DM295" t="str">
            <v>0</v>
          </cell>
          <cell r="DN295" t="str">
            <v>0</v>
          </cell>
          <cell r="DO295" t="str">
            <v>0</v>
          </cell>
          <cell r="DP295" t="str">
            <v>0</v>
          </cell>
        </row>
        <row r="296">
          <cell r="C296"/>
          <cell r="D296" t="str">
            <v>0</v>
          </cell>
          <cell r="E296" t="str">
            <v>0</v>
          </cell>
          <cell r="F296" t="str">
            <v>0</v>
          </cell>
          <cell r="G296" t="str">
            <v>0</v>
          </cell>
          <cell r="H296" t="str">
            <v>0</v>
          </cell>
          <cell r="I296" t="str">
            <v>0</v>
          </cell>
          <cell r="J296" t="str">
            <v>0</v>
          </cell>
          <cell r="K296" t="str">
            <v>0</v>
          </cell>
          <cell r="L296" t="str">
            <v>0</v>
          </cell>
          <cell r="M296" t="str">
            <v>0</v>
          </cell>
          <cell r="N296" t="str">
            <v>0</v>
          </cell>
          <cell r="O296" t="str">
            <v>0</v>
          </cell>
          <cell r="P296" t="str">
            <v>0</v>
          </cell>
          <cell r="Q296" t="str">
            <v>0</v>
          </cell>
          <cell r="R296" t="str">
            <v>0</v>
          </cell>
          <cell r="S296" t="str">
            <v>0</v>
          </cell>
          <cell r="T296" t="str">
            <v>0</v>
          </cell>
          <cell r="U296" t="str">
            <v>0</v>
          </cell>
          <cell r="V296" t="str">
            <v>0</v>
          </cell>
          <cell r="W296" t="str">
            <v>0</v>
          </cell>
          <cell r="X296" t="str">
            <v>0</v>
          </cell>
          <cell r="Y296" t="str">
            <v>0</v>
          </cell>
          <cell r="Z296" t="str">
            <v>0</v>
          </cell>
          <cell r="AA296" t="str">
            <v>0</v>
          </cell>
          <cell r="AB296" t="str">
            <v>0</v>
          </cell>
          <cell r="AC296" t="str">
            <v>0</v>
          </cell>
          <cell r="AD296" t="str">
            <v>0</v>
          </cell>
          <cell r="AE296" t="str">
            <v>0</v>
          </cell>
          <cell r="AF296" t="str">
            <v>0</v>
          </cell>
          <cell r="AG296" t="str">
            <v>0</v>
          </cell>
          <cell r="AH296" t="str">
            <v>0</v>
          </cell>
          <cell r="AI296" t="str">
            <v>0</v>
          </cell>
          <cell r="AJ296" t="str">
            <v>0</v>
          </cell>
          <cell r="AK296" t="str">
            <v>0</v>
          </cell>
          <cell r="AL296" t="str">
            <v>0</v>
          </cell>
          <cell r="AM296" t="str">
            <v>0</v>
          </cell>
          <cell r="AN296" t="str">
            <v>0</v>
          </cell>
          <cell r="AO296" t="str">
            <v>0</v>
          </cell>
          <cell r="AP296" t="str">
            <v>0</v>
          </cell>
          <cell r="AQ296" t="str">
            <v>0</v>
          </cell>
          <cell r="AR296" t="str">
            <v>0</v>
          </cell>
          <cell r="AS296" t="str">
            <v>0</v>
          </cell>
          <cell r="AT296" t="str">
            <v>0</v>
          </cell>
          <cell r="AU296" t="str">
            <v>0</v>
          </cell>
          <cell r="AV296" t="str">
            <v>0</v>
          </cell>
          <cell r="AW296" t="str">
            <v>0</v>
          </cell>
          <cell r="AX296" t="str">
            <v>0</v>
          </cell>
          <cell r="AY296" t="str">
            <v>0</v>
          </cell>
          <cell r="AZ296" t="str">
            <v>0</v>
          </cell>
          <cell r="BA296" t="str">
            <v>0</v>
          </cell>
          <cell r="BB296" t="str">
            <v>0</v>
          </cell>
          <cell r="BC296" t="str">
            <v>0</v>
          </cell>
          <cell r="BD296" t="str">
            <v>0</v>
          </cell>
          <cell r="BE296" t="str">
            <v>0</v>
          </cell>
          <cell r="BF296" t="str">
            <v>0</v>
          </cell>
          <cell r="BG296" t="str">
            <v>0</v>
          </cell>
          <cell r="BH296" t="str">
            <v>0</v>
          </cell>
          <cell r="BI296" t="str">
            <v>0</v>
          </cell>
          <cell r="BJ296" t="str">
            <v>0</v>
          </cell>
          <cell r="BK296" t="str">
            <v>0</v>
          </cell>
          <cell r="BL296" t="str">
            <v>0</v>
          </cell>
          <cell r="BM296" t="str">
            <v>0</v>
          </cell>
          <cell r="BN296" t="str">
            <v>0</v>
          </cell>
          <cell r="BO296" t="str">
            <v>0</v>
          </cell>
          <cell r="BP296" t="str">
            <v>0</v>
          </cell>
          <cell r="BQ296" t="str">
            <v>0</v>
          </cell>
          <cell r="BR296" t="str">
            <v>0</v>
          </cell>
          <cell r="BS296" t="str">
            <v>0</v>
          </cell>
          <cell r="BT296" t="str">
            <v>0</v>
          </cell>
          <cell r="BU296" t="str">
            <v>0</v>
          </cell>
          <cell r="BV296" t="str">
            <v>0</v>
          </cell>
          <cell r="BW296" t="str">
            <v>0</v>
          </cell>
          <cell r="BX296" t="str">
            <v>0</v>
          </cell>
          <cell r="BY296" t="str">
            <v>0</v>
          </cell>
          <cell r="BZ296" t="str">
            <v>0</v>
          </cell>
          <cell r="CA296" t="str">
            <v>0</v>
          </cell>
          <cell r="CB296" t="str">
            <v>0</v>
          </cell>
          <cell r="CC296" t="str">
            <v>0</v>
          </cell>
          <cell r="CD296" t="str">
            <v>0</v>
          </cell>
          <cell r="CE296" t="str">
            <v>0</v>
          </cell>
          <cell r="CF296" t="str">
            <v>0</v>
          </cell>
          <cell r="CG296" t="str">
            <v>0</v>
          </cell>
          <cell r="CH296" t="str">
            <v>0</v>
          </cell>
          <cell r="CI296" t="str">
            <v>0</v>
          </cell>
          <cell r="CJ296" t="str">
            <v>0</v>
          </cell>
          <cell r="CK296" t="str">
            <v>0</v>
          </cell>
          <cell r="CL296" t="str">
            <v>0</v>
          </cell>
          <cell r="CM296" t="str">
            <v>0</v>
          </cell>
          <cell r="CN296" t="str">
            <v>0</v>
          </cell>
          <cell r="CO296" t="str">
            <v>0</v>
          </cell>
          <cell r="CP296" t="str">
            <v>0</v>
          </cell>
          <cell r="CQ296" t="str">
            <v>0</v>
          </cell>
          <cell r="CR296" t="str">
            <v>0</v>
          </cell>
          <cell r="CS296" t="str">
            <v>0</v>
          </cell>
          <cell r="CT296" t="str">
            <v>0</v>
          </cell>
          <cell r="CU296" t="str">
            <v>0</v>
          </cell>
          <cell r="CV296" t="str">
            <v>0</v>
          </cell>
          <cell r="CW296" t="str">
            <v>0</v>
          </cell>
          <cell r="CX296" t="str">
            <v>0</v>
          </cell>
          <cell r="CY296" t="str">
            <v>0</v>
          </cell>
          <cell r="CZ296" t="str">
            <v>0</v>
          </cell>
          <cell r="DA296" t="str">
            <v>0</v>
          </cell>
          <cell r="DB296" t="str">
            <v>0</v>
          </cell>
          <cell r="DC296" t="str">
            <v>0</v>
          </cell>
          <cell r="DD296" t="str">
            <v>0</v>
          </cell>
          <cell r="DE296" t="str">
            <v>0</v>
          </cell>
          <cell r="DF296" t="str">
            <v>0</v>
          </cell>
          <cell r="DG296" t="str">
            <v>0</v>
          </cell>
          <cell r="DH296" t="str">
            <v>0</v>
          </cell>
          <cell r="DI296" t="str">
            <v>0</v>
          </cell>
          <cell r="DJ296" t="str">
            <v>0</v>
          </cell>
          <cell r="DK296" t="str">
            <v>0</v>
          </cell>
          <cell r="DL296" t="str">
            <v>0</v>
          </cell>
          <cell r="DM296" t="str">
            <v>0</v>
          </cell>
          <cell r="DN296" t="str">
            <v>0</v>
          </cell>
          <cell r="DO296" t="str">
            <v>0</v>
          </cell>
          <cell r="DP296" t="str">
            <v>0</v>
          </cell>
        </row>
        <row r="297">
          <cell r="C297"/>
          <cell r="D297" t="str">
            <v>0</v>
          </cell>
          <cell r="E297" t="str">
            <v>0</v>
          </cell>
          <cell r="F297" t="str">
            <v>0</v>
          </cell>
          <cell r="G297" t="str">
            <v>0</v>
          </cell>
          <cell r="H297" t="str">
            <v>0</v>
          </cell>
          <cell r="I297" t="str">
            <v>0</v>
          </cell>
          <cell r="J297" t="str">
            <v>0</v>
          </cell>
          <cell r="K297" t="str">
            <v>0</v>
          </cell>
          <cell r="L297" t="str">
            <v>0</v>
          </cell>
          <cell r="M297" t="str">
            <v>0</v>
          </cell>
          <cell r="N297" t="str">
            <v>0</v>
          </cell>
          <cell r="O297" t="str">
            <v>0</v>
          </cell>
          <cell r="P297" t="str">
            <v>0</v>
          </cell>
          <cell r="Q297" t="str">
            <v>0</v>
          </cell>
          <cell r="R297" t="str">
            <v>0</v>
          </cell>
          <cell r="S297" t="str">
            <v>0</v>
          </cell>
          <cell r="T297" t="str">
            <v>0</v>
          </cell>
          <cell r="U297" t="str">
            <v>0</v>
          </cell>
          <cell r="V297" t="str">
            <v>0</v>
          </cell>
          <cell r="W297" t="str">
            <v>0</v>
          </cell>
          <cell r="X297" t="str">
            <v>0</v>
          </cell>
          <cell r="Y297" t="str">
            <v>0</v>
          </cell>
          <cell r="Z297" t="str">
            <v>0</v>
          </cell>
          <cell r="AA297" t="str">
            <v>0</v>
          </cell>
          <cell r="AB297" t="str">
            <v>0</v>
          </cell>
          <cell r="AC297" t="str">
            <v>0</v>
          </cell>
          <cell r="AD297" t="str">
            <v>0</v>
          </cell>
          <cell r="AE297" t="str">
            <v>0</v>
          </cell>
          <cell r="AF297" t="str">
            <v>0</v>
          </cell>
          <cell r="AG297" t="str">
            <v>0</v>
          </cell>
          <cell r="AH297" t="str">
            <v>0</v>
          </cell>
          <cell r="AI297" t="str">
            <v>0</v>
          </cell>
          <cell r="AJ297" t="str">
            <v>0</v>
          </cell>
          <cell r="AK297" t="str">
            <v>0</v>
          </cell>
          <cell r="AL297" t="str">
            <v>0</v>
          </cell>
          <cell r="AM297" t="str">
            <v>0</v>
          </cell>
          <cell r="AN297" t="str">
            <v>0</v>
          </cell>
          <cell r="AO297" t="str">
            <v>0</v>
          </cell>
          <cell r="AP297" t="str">
            <v>0</v>
          </cell>
          <cell r="AQ297" t="str">
            <v>0</v>
          </cell>
          <cell r="AR297" t="str">
            <v>0</v>
          </cell>
          <cell r="AS297" t="str">
            <v>0</v>
          </cell>
          <cell r="AT297" t="str">
            <v>0</v>
          </cell>
          <cell r="AU297" t="str">
            <v>0</v>
          </cell>
          <cell r="AV297" t="str">
            <v>0</v>
          </cell>
          <cell r="AW297" t="str">
            <v>0</v>
          </cell>
          <cell r="AX297" t="str">
            <v>0</v>
          </cell>
          <cell r="AY297" t="str">
            <v>0</v>
          </cell>
          <cell r="AZ297" t="str">
            <v>0</v>
          </cell>
          <cell r="BA297" t="str">
            <v>0</v>
          </cell>
          <cell r="BB297" t="str">
            <v>0</v>
          </cell>
          <cell r="BC297" t="str">
            <v>0</v>
          </cell>
          <cell r="BD297" t="str">
            <v>0</v>
          </cell>
          <cell r="BE297" t="str">
            <v>0</v>
          </cell>
          <cell r="BF297" t="str">
            <v>0</v>
          </cell>
          <cell r="BG297" t="str">
            <v>0</v>
          </cell>
          <cell r="BH297" t="str">
            <v>0</v>
          </cell>
          <cell r="BI297" t="str">
            <v>0</v>
          </cell>
          <cell r="BJ297" t="str">
            <v>0</v>
          </cell>
          <cell r="BK297" t="str">
            <v>0</v>
          </cell>
          <cell r="BL297" t="str">
            <v>0</v>
          </cell>
          <cell r="BM297" t="str">
            <v>0</v>
          </cell>
          <cell r="BN297" t="str">
            <v>0</v>
          </cell>
          <cell r="BO297" t="str">
            <v>0</v>
          </cell>
          <cell r="BP297" t="str">
            <v>0</v>
          </cell>
          <cell r="BQ297" t="str">
            <v>0</v>
          </cell>
          <cell r="BR297" t="str">
            <v>0</v>
          </cell>
          <cell r="BS297" t="str">
            <v>0</v>
          </cell>
          <cell r="BT297" t="str">
            <v>0</v>
          </cell>
          <cell r="BU297" t="str">
            <v>0</v>
          </cell>
          <cell r="BV297" t="str">
            <v>0</v>
          </cell>
          <cell r="BW297" t="str">
            <v>0</v>
          </cell>
          <cell r="BX297" t="str">
            <v>0</v>
          </cell>
          <cell r="BY297" t="str">
            <v>0</v>
          </cell>
          <cell r="BZ297" t="str">
            <v>0</v>
          </cell>
          <cell r="CA297" t="str">
            <v>0</v>
          </cell>
          <cell r="CB297" t="str">
            <v>0</v>
          </cell>
          <cell r="CC297" t="str">
            <v>0</v>
          </cell>
          <cell r="CD297" t="str">
            <v>0</v>
          </cell>
          <cell r="CE297" t="str">
            <v>0</v>
          </cell>
          <cell r="CF297" t="str">
            <v>0</v>
          </cell>
          <cell r="CG297" t="str">
            <v>0</v>
          </cell>
          <cell r="CH297" t="str">
            <v>0</v>
          </cell>
          <cell r="CI297" t="str">
            <v>0</v>
          </cell>
          <cell r="CJ297" t="str">
            <v>0</v>
          </cell>
          <cell r="CK297" t="str">
            <v>0</v>
          </cell>
          <cell r="CL297" t="str">
            <v>0</v>
          </cell>
          <cell r="CM297" t="str">
            <v>0</v>
          </cell>
          <cell r="CN297" t="str">
            <v>0</v>
          </cell>
          <cell r="CO297" t="str">
            <v>0</v>
          </cell>
          <cell r="CP297" t="str">
            <v>0</v>
          </cell>
          <cell r="CQ297" t="str">
            <v>0</v>
          </cell>
          <cell r="CR297" t="str">
            <v>0</v>
          </cell>
          <cell r="CS297" t="str">
            <v>0</v>
          </cell>
          <cell r="CT297" t="str">
            <v>0</v>
          </cell>
          <cell r="CU297" t="str">
            <v>0</v>
          </cell>
          <cell r="CV297" t="str">
            <v>0</v>
          </cell>
          <cell r="CW297" t="str">
            <v>0</v>
          </cell>
          <cell r="CX297" t="str">
            <v>0</v>
          </cell>
          <cell r="CY297" t="str">
            <v>0</v>
          </cell>
          <cell r="CZ297" t="str">
            <v>0</v>
          </cell>
          <cell r="DA297" t="str">
            <v>0</v>
          </cell>
          <cell r="DB297" t="str">
            <v>0</v>
          </cell>
          <cell r="DC297" t="str">
            <v>0</v>
          </cell>
          <cell r="DD297" t="str">
            <v>0</v>
          </cell>
          <cell r="DE297" t="str">
            <v>0</v>
          </cell>
          <cell r="DF297" t="str">
            <v>0</v>
          </cell>
          <cell r="DG297" t="str">
            <v>0</v>
          </cell>
          <cell r="DH297" t="str">
            <v>0</v>
          </cell>
          <cell r="DI297" t="str">
            <v>0</v>
          </cell>
          <cell r="DJ297" t="str">
            <v>0</v>
          </cell>
          <cell r="DK297" t="str">
            <v>0</v>
          </cell>
          <cell r="DL297" t="str">
            <v>0</v>
          </cell>
          <cell r="DM297" t="str">
            <v>0</v>
          </cell>
          <cell r="DN297" t="str">
            <v>0</v>
          </cell>
          <cell r="DO297" t="str">
            <v>0</v>
          </cell>
          <cell r="DP297" t="str">
            <v>0</v>
          </cell>
        </row>
        <row r="298">
          <cell r="C298"/>
          <cell r="D298" t="str">
            <v>0</v>
          </cell>
          <cell r="E298" t="str">
            <v>0</v>
          </cell>
          <cell r="F298" t="str">
            <v>0</v>
          </cell>
          <cell r="G298" t="str">
            <v>0</v>
          </cell>
          <cell r="H298" t="str">
            <v>0</v>
          </cell>
          <cell r="I298" t="str">
            <v>0</v>
          </cell>
          <cell r="J298" t="str">
            <v>0</v>
          </cell>
          <cell r="K298" t="str">
            <v>0</v>
          </cell>
          <cell r="L298" t="str">
            <v>0</v>
          </cell>
          <cell r="M298" t="str">
            <v>0</v>
          </cell>
          <cell r="N298" t="str">
            <v>0</v>
          </cell>
          <cell r="O298" t="str">
            <v>0</v>
          </cell>
          <cell r="P298" t="str">
            <v>0</v>
          </cell>
          <cell r="Q298" t="str">
            <v>0</v>
          </cell>
          <cell r="R298" t="str">
            <v>0</v>
          </cell>
          <cell r="S298" t="str">
            <v>0</v>
          </cell>
          <cell r="T298" t="str">
            <v>0</v>
          </cell>
          <cell r="U298" t="str">
            <v>0</v>
          </cell>
          <cell r="V298" t="str">
            <v>0</v>
          </cell>
          <cell r="W298" t="str">
            <v>0</v>
          </cell>
          <cell r="X298" t="str">
            <v>0</v>
          </cell>
          <cell r="Y298" t="str">
            <v>0</v>
          </cell>
          <cell r="Z298" t="str">
            <v>0</v>
          </cell>
          <cell r="AA298" t="str">
            <v>0</v>
          </cell>
          <cell r="AB298" t="str">
            <v>0</v>
          </cell>
          <cell r="AC298" t="str">
            <v>0</v>
          </cell>
          <cell r="AD298" t="str">
            <v>0</v>
          </cell>
          <cell r="AE298" t="str">
            <v>0</v>
          </cell>
          <cell r="AF298" t="str">
            <v>0</v>
          </cell>
          <cell r="AG298" t="str">
            <v>0</v>
          </cell>
          <cell r="AH298" t="str">
            <v>0</v>
          </cell>
          <cell r="AI298" t="str">
            <v>0</v>
          </cell>
          <cell r="AJ298" t="str">
            <v>0</v>
          </cell>
          <cell r="AK298" t="str">
            <v>0</v>
          </cell>
          <cell r="AL298" t="str">
            <v>0</v>
          </cell>
          <cell r="AM298" t="str">
            <v>0</v>
          </cell>
          <cell r="AN298" t="str">
            <v>0</v>
          </cell>
          <cell r="AO298" t="str">
            <v>0</v>
          </cell>
          <cell r="AP298" t="str">
            <v>0</v>
          </cell>
          <cell r="AQ298" t="str">
            <v>0</v>
          </cell>
          <cell r="AR298" t="str">
            <v>0</v>
          </cell>
          <cell r="AS298" t="str">
            <v>0</v>
          </cell>
          <cell r="AT298" t="str">
            <v>0</v>
          </cell>
          <cell r="AU298" t="str">
            <v>0</v>
          </cell>
          <cell r="AV298" t="str">
            <v>0</v>
          </cell>
          <cell r="AW298" t="str">
            <v>0</v>
          </cell>
          <cell r="AX298" t="str">
            <v>0</v>
          </cell>
          <cell r="AY298" t="str">
            <v>0</v>
          </cell>
          <cell r="AZ298" t="str">
            <v>0</v>
          </cell>
          <cell r="BA298" t="str">
            <v>0</v>
          </cell>
          <cell r="BB298" t="str">
            <v>0</v>
          </cell>
          <cell r="BC298" t="str">
            <v>0</v>
          </cell>
          <cell r="BD298" t="str">
            <v>0</v>
          </cell>
          <cell r="BE298" t="str">
            <v>0</v>
          </cell>
          <cell r="BF298" t="str">
            <v>0</v>
          </cell>
          <cell r="BG298" t="str">
            <v>0</v>
          </cell>
          <cell r="BH298" t="str">
            <v>0</v>
          </cell>
          <cell r="BI298" t="str">
            <v>0</v>
          </cell>
          <cell r="BJ298" t="str">
            <v>0</v>
          </cell>
          <cell r="BK298" t="str">
            <v>0</v>
          </cell>
          <cell r="BL298" t="str">
            <v>0</v>
          </cell>
          <cell r="BM298" t="str">
            <v>0</v>
          </cell>
          <cell r="BN298" t="str">
            <v>0</v>
          </cell>
          <cell r="BO298" t="str">
            <v>0</v>
          </cell>
          <cell r="BP298" t="str">
            <v>0</v>
          </cell>
          <cell r="BQ298" t="str">
            <v>0</v>
          </cell>
          <cell r="BR298" t="str">
            <v>0</v>
          </cell>
          <cell r="BS298" t="str">
            <v>0</v>
          </cell>
          <cell r="BT298" t="str">
            <v>0</v>
          </cell>
          <cell r="BU298" t="str">
            <v>0</v>
          </cell>
          <cell r="BV298" t="str">
            <v>0</v>
          </cell>
          <cell r="BW298" t="str">
            <v>0</v>
          </cell>
          <cell r="BX298" t="str">
            <v>0</v>
          </cell>
          <cell r="BY298" t="str">
            <v>0</v>
          </cell>
          <cell r="BZ298" t="str">
            <v>0</v>
          </cell>
          <cell r="CA298" t="str">
            <v>0</v>
          </cell>
          <cell r="CB298" t="str">
            <v>0</v>
          </cell>
          <cell r="CC298" t="str">
            <v>0</v>
          </cell>
          <cell r="CD298" t="str">
            <v>0</v>
          </cell>
          <cell r="CE298" t="str">
            <v>0</v>
          </cell>
          <cell r="CF298" t="str">
            <v>0</v>
          </cell>
          <cell r="CG298" t="str">
            <v>0</v>
          </cell>
          <cell r="CH298" t="str">
            <v>0</v>
          </cell>
          <cell r="CI298" t="str">
            <v>0</v>
          </cell>
          <cell r="CJ298" t="str">
            <v>0</v>
          </cell>
          <cell r="CK298" t="str">
            <v>0</v>
          </cell>
          <cell r="CL298" t="str">
            <v>0</v>
          </cell>
          <cell r="CM298" t="str">
            <v>0</v>
          </cell>
          <cell r="CN298" t="str">
            <v>0</v>
          </cell>
          <cell r="CO298" t="str">
            <v>0</v>
          </cell>
          <cell r="CP298" t="str">
            <v>0</v>
          </cell>
          <cell r="CQ298" t="str">
            <v>0</v>
          </cell>
          <cell r="CR298" t="str">
            <v>0</v>
          </cell>
          <cell r="CS298" t="str">
            <v>0</v>
          </cell>
          <cell r="CT298" t="str">
            <v>0</v>
          </cell>
          <cell r="CU298" t="str">
            <v>0</v>
          </cell>
          <cell r="CV298" t="str">
            <v>0</v>
          </cell>
          <cell r="CW298" t="str">
            <v>0</v>
          </cell>
          <cell r="CX298" t="str">
            <v>0</v>
          </cell>
          <cell r="CY298" t="str">
            <v>0</v>
          </cell>
          <cell r="CZ298" t="str">
            <v>0</v>
          </cell>
          <cell r="DA298" t="str">
            <v>0</v>
          </cell>
          <cell r="DB298" t="str">
            <v>0</v>
          </cell>
          <cell r="DC298" t="str">
            <v>0</v>
          </cell>
          <cell r="DD298" t="str">
            <v>0</v>
          </cell>
          <cell r="DE298" t="str">
            <v>0</v>
          </cell>
          <cell r="DF298" t="str">
            <v>0</v>
          </cell>
          <cell r="DG298" t="str">
            <v>0</v>
          </cell>
          <cell r="DH298" t="str">
            <v>0</v>
          </cell>
          <cell r="DI298" t="str">
            <v>0</v>
          </cell>
          <cell r="DJ298" t="str">
            <v>0</v>
          </cell>
          <cell r="DK298" t="str">
            <v>0</v>
          </cell>
          <cell r="DL298" t="str">
            <v>0</v>
          </cell>
          <cell r="DM298" t="str">
            <v>0</v>
          </cell>
          <cell r="DN298" t="str">
            <v>0</v>
          </cell>
          <cell r="DO298" t="str">
            <v>0</v>
          </cell>
          <cell r="DP298" t="str">
            <v>0</v>
          </cell>
        </row>
        <row r="299">
          <cell r="C299"/>
          <cell r="D299" t="str">
            <v>0</v>
          </cell>
          <cell r="E299" t="str">
            <v>0</v>
          </cell>
          <cell r="F299" t="str">
            <v>0</v>
          </cell>
          <cell r="G299" t="str">
            <v>0</v>
          </cell>
          <cell r="H299" t="str">
            <v>0</v>
          </cell>
          <cell r="I299" t="str">
            <v>0</v>
          </cell>
          <cell r="J299" t="str">
            <v>0</v>
          </cell>
          <cell r="K299" t="str">
            <v>0</v>
          </cell>
          <cell r="L299" t="str">
            <v>0</v>
          </cell>
          <cell r="M299" t="str">
            <v>0</v>
          </cell>
          <cell r="N299" t="str">
            <v>0</v>
          </cell>
          <cell r="O299" t="str">
            <v>0</v>
          </cell>
          <cell r="P299" t="str">
            <v>0</v>
          </cell>
          <cell r="Q299" t="str">
            <v>0</v>
          </cell>
          <cell r="R299" t="str">
            <v>0</v>
          </cell>
          <cell r="S299" t="str">
            <v>0</v>
          </cell>
          <cell r="T299" t="str">
            <v>0</v>
          </cell>
          <cell r="U299" t="str">
            <v>0</v>
          </cell>
          <cell r="V299" t="str">
            <v>0</v>
          </cell>
          <cell r="W299" t="str">
            <v>0</v>
          </cell>
          <cell r="X299" t="str">
            <v>0</v>
          </cell>
          <cell r="Y299" t="str">
            <v>0</v>
          </cell>
          <cell r="Z299" t="str">
            <v>0</v>
          </cell>
          <cell r="AA299" t="str">
            <v>0</v>
          </cell>
          <cell r="AB299" t="str">
            <v>0</v>
          </cell>
          <cell r="AC299" t="str">
            <v>0</v>
          </cell>
          <cell r="AD299" t="str">
            <v>0</v>
          </cell>
          <cell r="AE299" t="str">
            <v>0</v>
          </cell>
          <cell r="AF299" t="str">
            <v>0</v>
          </cell>
          <cell r="AG299" t="str">
            <v>0</v>
          </cell>
          <cell r="AH299" t="str">
            <v>0</v>
          </cell>
          <cell r="AI299" t="str">
            <v>0</v>
          </cell>
          <cell r="AJ299" t="str">
            <v>0</v>
          </cell>
          <cell r="AK299" t="str">
            <v>0</v>
          </cell>
          <cell r="AL299" t="str">
            <v>0</v>
          </cell>
          <cell r="AM299" t="str">
            <v>0</v>
          </cell>
          <cell r="AN299" t="str">
            <v>0</v>
          </cell>
          <cell r="AO299" t="str">
            <v>0</v>
          </cell>
          <cell r="AP299" t="str">
            <v>0</v>
          </cell>
          <cell r="AQ299" t="str">
            <v>0</v>
          </cell>
          <cell r="AR299" t="str">
            <v>0</v>
          </cell>
          <cell r="AS299" t="str">
            <v>0</v>
          </cell>
          <cell r="AT299" t="str">
            <v>0</v>
          </cell>
          <cell r="AU299" t="str">
            <v>0</v>
          </cell>
          <cell r="AV299" t="str">
            <v>0</v>
          </cell>
          <cell r="AW299" t="str">
            <v>0</v>
          </cell>
          <cell r="AX299" t="str">
            <v>0</v>
          </cell>
          <cell r="AY299" t="str">
            <v>0</v>
          </cell>
          <cell r="AZ299" t="str">
            <v>0</v>
          </cell>
          <cell r="BA299" t="str">
            <v>0</v>
          </cell>
          <cell r="BB299" t="str">
            <v>0</v>
          </cell>
          <cell r="BC299" t="str">
            <v>0</v>
          </cell>
          <cell r="BD299" t="str">
            <v>0</v>
          </cell>
          <cell r="BE299" t="str">
            <v>0</v>
          </cell>
          <cell r="BF299" t="str">
            <v>0</v>
          </cell>
          <cell r="BG299" t="str">
            <v>0</v>
          </cell>
          <cell r="BH299" t="str">
            <v>0</v>
          </cell>
          <cell r="BI299" t="str">
            <v>0</v>
          </cell>
          <cell r="BJ299" t="str">
            <v>0</v>
          </cell>
          <cell r="BK299" t="str">
            <v>0</v>
          </cell>
          <cell r="BL299" t="str">
            <v>0</v>
          </cell>
          <cell r="BM299" t="str">
            <v>0</v>
          </cell>
          <cell r="BN299" t="str">
            <v>0</v>
          </cell>
          <cell r="BO299" t="str">
            <v>0</v>
          </cell>
          <cell r="BP299" t="str">
            <v>0</v>
          </cell>
          <cell r="BQ299" t="str">
            <v>0</v>
          </cell>
          <cell r="BR299" t="str">
            <v>0</v>
          </cell>
          <cell r="BS299" t="str">
            <v>0</v>
          </cell>
          <cell r="BT299" t="str">
            <v>0</v>
          </cell>
          <cell r="BU299" t="str">
            <v>0</v>
          </cell>
          <cell r="BV299" t="str">
            <v>0</v>
          </cell>
          <cell r="BW299" t="str">
            <v>0</v>
          </cell>
          <cell r="BX299" t="str">
            <v>0</v>
          </cell>
          <cell r="BY299" t="str">
            <v>0</v>
          </cell>
          <cell r="BZ299" t="str">
            <v>0</v>
          </cell>
          <cell r="CA299" t="str">
            <v>0</v>
          </cell>
          <cell r="CB299" t="str">
            <v>0</v>
          </cell>
          <cell r="CC299" t="str">
            <v>0</v>
          </cell>
          <cell r="CD299" t="str">
            <v>0</v>
          </cell>
          <cell r="CE299" t="str">
            <v>0</v>
          </cell>
          <cell r="CF299" t="str">
            <v>0</v>
          </cell>
          <cell r="CG299" t="str">
            <v>0</v>
          </cell>
          <cell r="CH299" t="str">
            <v>0</v>
          </cell>
          <cell r="CI299" t="str">
            <v>0</v>
          </cell>
          <cell r="CJ299" t="str">
            <v>0</v>
          </cell>
          <cell r="CK299" t="str">
            <v>0</v>
          </cell>
          <cell r="CL299" t="str">
            <v>0</v>
          </cell>
          <cell r="CM299" t="str">
            <v>0</v>
          </cell>
          <cell r="CN299" t="str">
            <v>0</v>
          </cell>
          <cell r="CO299" t="str">
            <v>0</v>
          </cell>
          <cell r="CP299" t="str">
            <v>0</v>
          </cell>
          <cell r="CQ299" t="str">
            <v>0</v>
          </cell>
          <cell r="CR299" t="str">
            <v>0</v>
          </cell>
          <cell r="CS299" t="str">
            <v>0</v>
          </cell>
          <cell r="CT299" t="str">
            <v>0</v>
          </cell>
          <cell r="CU299" t="str">
            <v>0</v>
          </cell>
          <cell r="CV299" t="str">
            <v>0</v>
          </cell>
          <cell r="CW299" t="str">
            <v>0</v>
          </cell>
          <cell r="CX299" t="str">
            <v>0</v>
          </cell>
          <cell r="CY299" t="str">
            <v>0</v>
          </cell>
          <cell r="CZ299" t="str">
            <v>0</v>
          </cell>
          <cell r="DA299" t="str">
            <v>0</v>
          </cell>
          <cell r="DB299" t="str">
            <v>0</v>
          </cell>
          <cell r="DC299" t="str">
            <v>0</v>
          </cell>
          <cell r="DD299" t="str">
            <v>0</v>
          </cell>
          <cell r="DE299" t="str">
            <v>0</v>
          </cell>
          <cell r="DF299" t="str">
            <v>0</v>
          </cell>
          <cell r="DG299" t="str">
            <v>0</v>
          </cell>
          <cell r="DH299" t="str">
            <v>0</v>
          </cell>
          <cell r="DI299" t="str">
            <v>0</v>
          </cell>
          <cell r="DJ299" t="str">
            <v>0</v>
          </cell>
          <cell r="DK299" t="str">
            <v>0</v>
          </cell>
          <cell r="DL299" t="str">
            <v>0</v>
          </cell>
          <cell r="DM299" t="str">
            <v>0</v>
          </cell>
          <cell r="DN299" t="str">
            <v>0</v>
          </cell>
          <cell r="DO299" t="str">
            <v>0</v>
          </cell>
          <cell r="DP299" t="str">
            <v>0</v>
          </cell>
        </row>
        <row r="300">
          <cell r="C300"/>
          <cell r="D300" t="str">
            <v>0</v>
          </cell>
          <cell r="E300" t="str">
            <v>0</v>
          </cell>
          <cell r="F300" t="str">
            <v>0</v>
          </cell>
          <cell r="G300" t="str">
            <v>0</v>
          </cell>
          <cell r="H300" t="str">
            <v>0</v>
          </cell>
          <cell r="I300" t="str">
            <v>0</v>
          </cell>
          <cell r="J300" t="str">
            <v>0</v>
          </cell>
          <cell r="K300" t="str">
            <v>0</v>
          </cell>
          <cell r="L300" t="str">
            <v>0</v>
          </cell>
          <cell r="M300" t="str">
            <v>0</v>
          </cell>
          <cell r="N300" t="str">
            <v>0</v>
          </cell>
          <cell r="O300" t="str">
            <v>0</v>
          </cell>
          <cell r="P300" t="str">
            <v>0</v>
          </cell>
          <cell r="Q300" t="str">
            <v>0</v>
          </cell>
          <cell r="R300" t="str">
            <v>0</v>
          </cell>
          <cell r="S300" t="str">
            <v>0</v>
          </cell>
          <cell r="T300" t="str">
            <v>0</v>
          </cell>
          <cell r="U300" t="str">
            <v>0</v>
          </cell>
          <cell r="V300" t="str">
            <v>0</v>
          </cell>
          <cell r="W300" t="str">
            <v>0</v>
          </cell>
          <cell r="X300" t="str">
            <v>0</v>
          </cell>
          <cell r="Y300" t="str">
            <v>0</v>
          </cell>
          <cell r="Z300" t="str">
            <v>0</v>
          </cell>
          <cell r="AA300" t="str">
            <v>0</v>
          </cell>
          <cell r="AB300" t="str">
            <v>0</v>
          </cell>
          <cell r="AC300" t="str">
            <v>0</v>
          </cell>
          <cell r="AD300" t="str">
            <v>0</v>
          </cell>
          <cell r="AE300" t="str">
            <v>0</v>
          </cell>
          <cell r="AF300" t="str">
            <v>0</v>
          </cell>
          <cell r="AG300" t="str">
            <v>0</v>
          </cell>
          <cell r="AH300" t="str">
            <v>0</v>
          </cell>
          <cell r="AI300" t="str">
            <v>0</v>
          </cell>
          <cell r="AJ300" t="str">
            <v>0</v>
          </cell>
          <cell r="AK300" t="str">
            <v>0</v>
          </cell>
          <cell r="AL300" t="str">
            <v>0</v>
          </cell>
          <cell r="AM300" t="str">
            <v>0</v>
          </cell>
          <cell r="AN300" t="str">
            <v>0</v>
          </cell>
          <cell r="AO300" t="str">
            <v>0</v>
          </cell>
          <cell r="AP300" t="str">
            <v>0</v>
          </cell>
          <cell r="AQ300" t="str">
            <v>0</v>
          </cell>
          <cell r="AR300" t="str">
            <v>0</v>
          </cell>
          <cell r="AS300" t="str">
            <v>0</v>
          </cell>
          <cell r="AT300" t="str">
            <v>0</v>
          </cell>
          <cell r="AU300" t="str">
            <v>0</v>
          </cell>
          <cell r="AV300" t="str">
            <v>0</v>
          </cell>
          <cell r="AW300" t="str">
            <v>0</v>
          </cell>
          <cell r="AX300" t="str">
            <v>0</v>
          </cell>
          <cell r="AY300" t="str">
            <v>0</v>
          </cell>
          <cell r="AZ300" t="str">
            <v>0</v>
          </cell>
          <cell r="BA300" t="str">
            <v>0</v>
          </cell>
          <cell r="BB300" t="str">
            <v>0</v>
          </cell>
          <cell r="BC300" t="str">
            <v>0</v>
          </cell>
          <cell r="BD300" t="str">
            <v>0</v>
          </cell>
          <cell r="BE300" t="str">
            <v>0</v>
          </cell>
          <cell r="BF300" t="str">
            <v>0</v>
          </cell>
          <cell r="BG300" t="str">
            <v>0</v>
          </cell>
          <cell r="BH300" t="str">
            <v>0</v>
          </cell>
          <cell r="BI300" t="str">
            <v>0</v>
          </cell>
          <cell r="BJ300" t="str">
            <v>0</v>
          </cell>
          <cell r="BK300" t="str">
            <v>0</v>
          </cell>
          <cell r="BL300" t="str">
            <v>0</v>
          </cell>
          <cell r="BM300" t="str">
            <v>0</v>
          </cell>
          <cell r="BN300" t="str">
            <v>0</v>
          </cell>
          <cell r="BO300" t="str">
            <v>0</v>
          </cell>
          <cell r="BP300" t="str">
            <v>0</v>
          </cell>
          <cell r="BQ300" t="str">
            <v>0</v>
          </cell>
          <cell r="BR300" t="str">
            <v>0</v>
          </cell>
          <cell r="BS300" t="str">
            <v>0</v>
          </cell>
          <cell r="BT300" t="str">
            <v>0</v>
          </cell>
          <cell r="BU300" t="str">
            <v>0</v>
          </cell>
          <cell r="BV300" t="str">
            <v>0</v>
          </cell>
          <cell r="BW300" t="str">
            <v>0</v>
          </cell>
          <cell r="BX300" t="str">
            <v>0</v>
          </cell>
          <cell r="BY300" t="str">
            <v>0</v>
          </cell>
          <cell r="BZ300" t="str">
            <v>0</v>
          </cell>
          <cell r="CA300" t="str">
            <v>0</v>
          </cell>
          <cell r="CB300" t="str">
            <v>0</v>
          </cell>
          <cell r="CC300" t="str">
            <v>0</v>
          </cell>
          <cell r="CD300" t="str">
            <v>0</v>
          </cell>
          <cell r="CE300" t="str">
            <v>0</v>
          </cell>
          <cell r="CF300" t="str">
            <v>0</v>
          </cell>
          <cell r="CG300" t="str">
            <v>0</v>
          </cell>
          <cell r="CH300" t="str">
            <v>0</v>
          </cell>
          <cell r="CI300" t="str">
            <v>0</v>
          </cell>
          <cell r="CJ300" t="str">
            <v>0</v>
          </cell>
          <cell r="CK300" t="str">
            <v>0</v>
          </cell>
          <cell r="CL300" t="str">
            <v>0</v>
          </cell>
          <cell r="CM300" t="str">
            <v>0</v>
          </cell>
          <cell r="CN300" t="str">
            <v>0</v>
          </cell>
          <cell r="CO300" t="str">
            <v>0</v>
          </cell>
          <cell r="CP300" t="str">
            <v>0</v>
          </cell>
          <cell r="CQ300" t="str">
            <v>0</v>
          </cell>
          <cell r="CR300" t="str">
            <v>0</v>
          </cell>
          <cell r="CS300" t="str">
            <v>0</v>
          </cell>
          <cell r="CT300" t="str">
            <v>0</v>
          </cell>
          <cell r="CU300" t="str">
            <v>0</v>
          </cell>
          <cell r="CV300" t="str">
            <v>0</v>
          </cell>
          <cell r="CW300" t="str">
            <v>0</v>
          </cell>
          <cell r="CX300" t="str">
            <v>0</v>
          </cell>
          <cell r="CY300" t="str">
            <v>0</v>
          </cell>
          <cell r="CZ300" t="str">
            <v>0</v>
          </cell>
          <cell r="DA300" t="str">
            <v>0</v>
          </cell>
          <cell r="DB300" t="str">
            <v>0</v>
          </cell>
          <cell r="DC300" t="str">
            <v>0</v>
          </cell>
          <cell r="DD300" t="str">
            <v>0</v>
          </cell>
          <cell r="DE300" t="str">
            <v>0</v>
          </cell>
          <cell r="DF300" t="str">
            <v>0</v>
          </cell>
          <cell r="DG300" t="str">
            <v>0</v>
          </cell>
          <cell r="DH300" t="str">
            <v>0</v>
          </cell>
          <cell r="DI300" t="str">
            <v>0</v>
          </cell>
          <cell r="DJ300" t="str">
            <v>0</v>
          </cell>
          <cell r="DK300" t="str">
            <v>0</v>
          </cell>
          <cell r="DL300" t="str">
            <v>0</v>
          </cell>
          <cell r="DM300" t="str">
            <v>0</v>
          </cell>
          <cell r="DN300" t="str">
            <v>0</v>
          </cell>
          <cell r="DO300" t="str">
            <v>0</v>
          </cell>
          <cell r="DP300" t="str">
            <v>0</v>
          </cell>
        </row>
        <row r="301">
          <cell r="C301"/>
          <cell r="D301" t="str">
            <v>0</v>
          </cell>
          <cell r="E301" t="str">
            <v>0</v>
          </cell>
          <cell r="F301" t="str">
            <v>0</v>
          </cell>
          <cell r="G301" t="str">
            <v>0</v>
          </cell>
          <cell r="H301" t="str">
            <v>0</v>
          </cell>
          <cell r="I301" t="str">
            <v>0</v>
          </cell>
          <cell r="J301" t="str">
            <v>0</v>
          </cell>
          <cell r="K301" t="str">
            <v>0</v>
          </cell>
          <cell r="L301" t="str">
            <v>0</v>
          </cell>
          <cell r="M301" t="str">
            <v>0</v>
          </cell>
          <cell r="N301" t="str">
            <v>0</v>
          </cell>
          <cell r="O301" t="str">
            <v>0</v>
          </cell>
          <cell r="P301" t="str">
            <v>0</v>
          </cell>
          <cell r="Q301" t="str">
            <v>0</v>
          </cell>
          <cell r="R301" t="str">
            <v>0</v>
          </cell>
          <cell r="S301" t="str">
            <v>0</v>
          </cell>
          <cell r="T301" t="str">
            <v>0</v>
          </cell>
          <cell r="U301" t="str">
            <v>0</v>
          </cell>
          <cell r="V301" t="str">
            <v>0</v>
          </cell>
          <cell r="W301" t="str">
            <v>0</v>
          </cell>
          <cell r="X301" t="str">
            <v>0</v>
          </cell>
          <cell r="Y301" t="str">
            <v>0</v>
          </cell>
          <cell r="Z301" t="str">
            <v>0</v>
          </cell>
          <cell r="AA301" t="str">
            <v>0</v>
          </cell>
          <cell r="AB301" t="str">
            <v>0</v>
          </cell>
          <cell r="AC301" t="str">
            <v>0</v>
          </cell>
          <cell r="AD301" t="str">
            <v>0</v>
          </cell>
          <cell r="AE301" t="str">
            <v>0</v>
          </cell>
          <cell r="AF301" t="str">
            <v>0</v>
          </cell>
          <cell r="AG301" t="str">
            <v>0</v>
          </cell>
          <cell r="AH301" t="str">
            <v>0</v>
          </cell>
          <cell r="AI301" t="str">
            <v>0</v>
          </cell>
          <cell r="AJ301" t="str">
            <v>0</v>
          </cell>
          <cell r="AK301" t="str">
            <v>0</v>
          </cell>
          <cell r="AL301" t="str">
            <v>0</v>
          </cell>
          <cell r="AM301" t="str">
            <v>0</v>
          </cell>
          <cell r="AN301" t="str">
            <v>0</v>
          </cell>
          <cell r="AO301" t="str">
            <v>0</v>
          </cell>
          <cell r="AP301" t="str">
            <v>0</v>
          </cell>
          <cell r="AQ301" t="str">
            <v>0</v>
          </cell>
          <cell r="AR301" t="str">
            <v>0</v>
          </cell>
          <cell r="AS301" t="str">
            <v>0</v>
          </cell>
          <cell r="AT301" t="str">
            <v>0</v>
          </cell>
          <cell r="AU301" t="str">
            <v>0</v>
          </cell>
          <cell r="AV301" t="str">
            <v>0</v>
          </cell>
          <cell r="AW301" t="str">
            <v>0</v>
          </cell>
          <cell r="AX301" t="str">
            <v>0</v>
          </cell>
          <cell r="AY301" t="str">
            <v>0</v>
          </cell>
          <cell r="AZ301" t="str">
            <v>0</v>
          </cell>
          <cell r="BA301" t="str">
            <v>0</v>
          </cell>
          <cell r="BB301" t="str">
            <v>0</v>
          </cell>
          <cell r="BC301" t="str">
            <v>0</v>
          </cell>
          <cell r="BD301" t="str">
            <v>0</v>
          </cell>
          <cell r="BE301" t="str">
            <v>0</v>
          </cell>
          <cell r="BF301" t="str">
            <v>0</v>
          </cell>
          <cell r="BG301" t="str">
            <v>0</v>
          </cell>
          <cell r="BH301" t="str">
            <v>0</v>
          </cell>
          <cell r="BI301" t="str">
            <v>0</v>
          </cell>
          <cell r="BJ301" t="str">
            <v>0</v>
          </cell>
          <cell r="BK301" t="str">
            <v>0</v>
          </cell>
          <cell r="BL301" t="str">
            <v>0</v>
          </cell>
          <cell r="BM301" t="str">
            <v>0</v>
          </cell>
          <cell r="BN301" t="str">
            <v>0</v>
          </cell>
          <cell r="BO301" t="str">
            <v>0</v>
          </cell>
          <cell r="BP301" t="str">
            <v>0</v>
          </cell>
          <cell r="BQ301" t="str">
            <v>0</v>
          </cell>
          <cell r="BR301" t="str">
            <v>0</v>
          </cell>
          <cell r="BS301" t="str">
            <v>0</v>
          </cell>
          <cell r="BT301" t="str">
            <v>0</v>
          </cell>
          <cell r="BU301" t="str">
            <v>0</v>
          </cell>
          <cell r="BV301" t="str">
            <v>0</v>
          </cell>
          <cell r="BW301" t="str">
            <v>0</v>
          </cell>
          <cell r="BX301" t="str">
            <v>0</v>
          </cell>
          <cell r="BY301" t="str">
            <v>0</v>
          </cell>
          <cell r="BZ301" t="str">
            <v>0</v>
          </cell>
          <cell r="CA301" t="str">
            <v>0</v>
          </cell>
          <cell r="CB301" t="str">
            <v>0</v>
          </cell>
          <cell r="CC301" t="str">
            <v>0</v>
          </cell>
          <cell r="CD301" t="str">
            <v>0</v>
          </cell>
          <cell r="CE301" t="str">
            <v>0</v>
          </cell>
          <cell r="CF301" t="str">
            <v>0</v>
          </cell>
          <cell r="CG301" t="str">
            <v>0</v>
          </cell>
          <cell r="CH301" t="str">
            <v>0</v>
          </cell>
          <cell r="CI301" t="str">
            <v>0</v>
          </cell>
          <cell r="CJ301" t="str">
            <v>0</v>
          </cell>
          <cell r="CK301" t="str">
            <v>0</v>
          </cell>
          <cell r="CL301" t="str">
            <v>0</v>
          </cell>
          <cell r="CM301" t="str">
            <v>0</v>
          </cell>
          <cell r="CN301" t="str">
            <v>0</v>
          </cell>
          <cell r="CO301" t="str">
            <v>0</v>
          </cell>
          <cell r="CP301" t="str">
            <v>0</v>
          </cell>
          <cell r="CQ301" t="str">
            <v>0</v>
          </cell>
          <cell r="CR301" t="str">
            <v>0</v>
          </cell>
          <cell r="CS301" t="str">
            <v>0</v>
          </cell>
          <cell r="CT301" t="str">
            <v>0</v>
          </cell>
          <cell r="CU301" t="str">
            <v>0</v>
          </cell>
          <cell r="CV301" t="str">
            <v>0</v>
          </cell>
          <cell r="CW301" t="str">
            <v>0</v>
          </cell>
          <cell r="CX301" t="str">
            <v>0</v>
          </cell>
          <cell r="CY301" t="str">
            <v>0</v>
          </cell>
          <cell r="CZ301" t="str">
            <v>0</v>
          </cell>
          <cell r="DA301" t="str">
            <v>0</v>
          </cell>
          <cell r="DB301" t="str">
            <v>0</v>
          </cell>
          <cell r="DC301" t="str">
            <v>0</v>
          </cell>
          <cell r="DD301" t="str">
            <v>0</v>
          </cell>
          <cell r="DE301" t="str">
            <v>0</v>
          </cell>
          <cell r="DF301" t="str">
            <v>0</v>
          </cell>
          <cell r="DG301" t="str">
            <v>0</v>
          </cell>
          <cell r="DH301" t="str">
            <v>0</v>
          </cell>
          <cell r="DI301" t="str">
            <v>0</v>
          </cell>
          <cell r="DJ301" t="str">
            <v>0</v>
          </cell>
          <cell r="DK301" t="str">
            <v>0</v>
          </cell>
          <cell r="DL301" t="str">
            <v>0</v>
          </cell>
          <cell r="DM301" t="str">
            <v>0</v>
          </cell>
          <cell r="DN301" t="str">
            <v>0</v>
          </cell>
          <cell r="DO301" t="str">
            <v>0</v>
          </cell>
          <cell r="DP301" t="str">
            <v>0</v>
          </cell>
        </row>
        <row r="302">
          <cell r="C302"/>
          <cell r="D302" t="str">
            <v>0</v>
          </cell>
          <cell r="E302" t="str">
            <v>0</v>
          </cell>
          <cell r="F302" t="str">
            <v>0</v>
          </cell>
          <cell r="G302" t="str">
            <v>0</v>
          </cell>
          <cell r="H302" t="str">
            <v>0</v>
          </cell>
          <cell r="I302" t="str">
            <v>0</v>
          </cell>
          <cell r="J302" t="str">
            <v>0</v>
          </cell>
          <cell r="K302" t="str">
            <v>0</v>
          </cell>
          <cell r="L302" t="str">
            <v>0</v>
          </cell>
          <cell r="M302" t="str">
            <v>0</v>
          </cell>
          <cell r="N302" t="str">
            <v>0</v>
          </cell>
          <cell r="O302" t="str">
            <v>0</v>
          </cell>
          <cell r="P302" t="str">
            <v>0</v>
          </cell>
          <cell r="Q302" t="str">
            <v>0</v>
          </cell>
          <cell r="R302" t="str">
            <v>0</v>
          </cell>
          <cell r="S302" t="str">
            <v>0</v>
          </cell>
          <cell r="T302" t="str">
            <v>0</v>
          </cell>
          <cell r="U302" t="str">
            <v>0</v>
          </cell>
          <cell r="V302" t="str">
            <v>0</v>
          </cell>
          <cell r="W302" t="str">
            <v>0</v>
          </cell>
          <cell r="X302" t="str">
            <v>0</v>
          </cell>
          <cell r="Y302" t="str">
            <v>0</v>
          </cell>
          <cell r="Z302" t="str">
            <v>0</v>
          </cell>
          <cell r="AA302" t="str">
            <v>0</v>
          </cell>
          <cell r="AB302" t="str">
            <v>0</v>
          </cell>
          <cell r="AC302" t="str">
            <v>0</v>
          </cell>
          <cell r="AD302" t="str">
            <v>0</v>
          </cell>
          <cell r="AE302" t="str">
            <v>0</v>
          </cell>
          <cell r="AF302" t="str">
            <v>0</v>
          </cell>
          <cell r="AG302" t="str">
            <v>0</v>
          </cell>
          <cell r="AH302" t="str">
            <v>0</v>
          </cell>
          <cell r="AI302" t="str">
            <v>0</v>
          </cell>
          <cell r="AJ302" t="str">
            <v>0</v>
          </cell>
          <cell r="AK302" t="str">
            <v>0</v>
          </cell>
          <cell r="AL302" t="str">
            <v>0</v>
          </cell>
          <cell r="AM302" t="str">
            <v>0</v>
          </cell>
          <cell r="AN302" t="str">
            <v>0</v>
          </cell>
          <cell r="AO302" t="str">
            <v>0</v>
          </cell>
          <cell r="AP302" t="str">
            <v>0</v>
          </cell>
          <cell r="AQ302" t="str">
            <v>0</v>
          </cell>
          <cell r="AR302" t="str">
            <v>0</v>
          </cell>
          <cell r="AS302" t="str">
            <v>0</v>
          </cell>
          <cell r="AT302" t="str">
            <v>0</v>
          </cell>
          <cell r="AU302" t="str">
            <v>0</v>
          </cell>
          <cell r="AV302" t="str">
            <v>0</v>
          </cell>
          <cell r="AW302" t="str">
            <v>0</v>
          </cell>
          <cell r="AX302" t="str">
            <v>0</v>
          </cell>
          <cell r="AY302" t="str">
            <v>0</v>
          </cell>
          <cell r="AZ302" t="str">
            <v>0</v>
          </cell>
          <cell r="BA302" t="str">
            <v>0</v>
          </cell>
          <cell r="BB302" t="str">
            <v>0</v>
          </cell>
          <cell r="BC302" t="str">
            <v>0</v>
          </cell>
          <cell r="BD302" t="str">
            <v>0</v>
          </cell>
          <cell r="BE302" t="str">
            <v>0</v>
          </cell>
          <cell r="BF302" t="str">
            <v>0</v>
          </cell>
          <cell r="BG302" t="str">
            <v>0</v>
          </cell>
          <cell r="BH302" t="str">
            <v>0</v>
          </cell>
          <cell r="BI302" t="str">
            <v>0</v>
          </cell>
          <cell r="BJ302" t="str">
            <v>0</v>
          </cell>
          <cell r="BK302" t="str">
            <v>0</v>
          </cell>
          <cell r="BL302" t="str">
            <v>0</v>
          </cell>
          <cell r="BM302" t="str">
            <v>0</v>
          </cell>
          <cell r="BN302" t="str">
            <v>0</v>
          </cell>
          <cell r="BO302" t="str">
            <v>0</v>
          </cell>
          <cell r="BP302" t="str">
            <v>0</v>
          </cell>
          <cell r="BQ302" t="str">
            <v>0</v>
          </cell>
          <cell r="BR302" t="str">
            <v>0</v>
          </cell>
          <cell r="BS302" t="str">
            <v>0</v>
          </cell>
          <cell r="BT302" t="str">
            <v>0</v>
          </cell>
          <cell r="BU302" t="str">
            <v>0</v>
          </cell>
          <cell r="BV302" t="str">
            <v>0</v>
          </cell>
          <cell r="BW302" t="str">
            <v>0</v>
          </cell>
          <cell r="BX302" t="str">
            <v>0</v>
          </cell>
          <cell r="BY302" t="str">
            <v>0</v>
          </cell>
          <cell r="BZ302" t="str">
            <v>0</v>
          </cell>
          <cell r="CA302" t="str">
            <v>0</v>
          </cell>
          <cell r="CB302" t="str">
            <v>0</v>
          </cell>
          <cell r="CC302" t="str">
            <v>0</v>
          </cell>
          <cell r="CD302" t="str">
            <v>0</v>
          </cell>
          <cell r="CE302" t="str">
            <v>0</v>
          </cell>
          <cell r="CF302" t="str">
            <v>0</v>
          </cell>
          <cell r="CG302" t="str">
            <v>0</v>
          </cell>
          <cell r="CH302" t="str">
            <v>0</v>
          </cell>
          <cell r="CI302" t="str">
            <v>0</v>
          </cell>
          <cell r="CJ302" t="str">
            <v>0</v>
          </cell>
          <cell r="CK302" t="str">
            <v>0</v>
          </cell>
          <cell r="CL302" t="str">
            <v>0</v>
          </cell>
          <cell r="CM302" t="str">
            <v>0</v>
          </cell>
          <cell r="CN302" t="str">
            <v>0</v>
          </cell>
          <cell r="CO302" t="str">
            <v>0</v>
          </cell>
          <cell r="CP302" t="str">
            <v>0</v>
          </cell>
          <cell r="CQ302" t="str">
            <v>0</v>
          </cell>
          <cell r="CR302" t="str">
            <v>0</v>
          </cell>
          <cell r="CS302" t="str">
            <v>0</v>
          </cell>
          <cell r="CT302" t="str">
            <v>0</v>
          </cell>
          <cell r="CU302" t="str">
            <v>0</v>
          </cell>
          <cell r="CV302" t="str">
            <v>0</v>
          </cell>
          <cell r="CW302" t="str">
            <v>0</v>
          </cell>
          <cell r="CX302" t="str">
            <v>0</v>
          </cell>
          <cell r="CY302" t="str">
            <v>0</v>
          </cell>
          <cell r="CZ302" t="str">
            <v>0</v>
          </cell>
          <cell r="DA302" t="str">
            <v>0</v>
          </cell>
          <cell r="DB302" t="str">
            <v>0</v>
          </cell>
          <cell r="DC302" t="str">
            <v>0</v>
          </cell>
          <cell r="DD302" t="str">
            <v>0</v>
          </cell>
          <cell r="DE302" t="str">
            <v>0</v>
          </cell>
          <cell r="DF302" t="str">
            <v>0</v>
          </cell>
          <cell r="DG302" t="str">
            <v>0</v>
          </cell>
          <cell r="DH302" t="str">
            <v>0</v>
          </cell>
          <cell r="DI302" t="str">
            <v>0</v>
          </cell>
          <cell r="DJ302" t="str">
            <v>0</v>
          </cell>
          <cell r="DK302" t="str">
            <v>0</v>
          </cell>
          <cell r="DL302" t="str">
            <v>0</v>
          </cell>
          <cell r="DM302" t="str">
            <v>0</v>
          </cell>
          <cell r="DN302" t="str">
            <v>0</v>
          </cell>
          <cell r="DO302" t="str">
            <v>0</v>
          </cell>
          <cell r="DP302" t="str">
            <v>0</v>
          </cell>
        </row>
        <row r="303">
          <cell r="C303"/>
          <cell r="D303" t="str">
            <v>0</v>
          </cell>
          <cell r="E303" t="str">
            <v>0</v>
          </cell>
          <cell r="F303" t="str">
            <v>0</v>
          </cell>
          <cell r="G303" t="str">
            <v>0</v>
          </cell>
          <cell r="H303" t="str">
            <v>0</v>
          </cell>
          <cell r="I303" t="str">
            <v>0</v>
          </cell>
          <cell r="J303" t="str">
            <v>0</v>
          </cell>
          <cell r="K303" t="str">
            <v>0</v>
          </cell>
          <cell r="L303" t="str">
            <v>0</v>
          </cell>
          <cell r="M303" t="str">
            <v>0</v>
          </cell>
          <cell r="N303" t="str">
            <v>0</v>
          </cell>
          <cell r="O303" t="str">
            <v>0</v>
          </cell>
          <cell r="P303" t="str">
            <v>0</v>
          </cell>
          <cell r="Q303" t="str">
            <v>0</v>
          </cell>
          <cell r="R303" t="str">
            <v>0</v>
          </cell>
          <cell r="S303" t="str">
            <v>0</v>
          </cell>
          <cell r="T303" t="str">
            <v>0</v>
          </cell>
          <cell r="U303" t="str">
            <v>0</v>
          </cell>
          <cell r="V303" t="str">
            <v>0</v>
          </cell>
          <cell r="W303" t="str">
            <v>0</v>
          </cell>
          <cell r="X303" t="str">
            <v>0</v>
          </cell>
          <cell r="Y303" t="str">
            <v>0</v>
          </cell>
          <cell r="Z303" t="str">
            <v>0</v>
          </cell>
          <cell r="AA303" t="str">
            <v>0</v>
          </cell>
          <cell r="AB303" t="str">
            <v>0</v>
          </cell>
          <cell r="AC303" t="str">
            <v>0</v>
          </cell>
          <cell r="AD303" t="str">
            <v>0</v>
          </cell>
          <cell r="AE303" t="str">
            <v>0</v>
          </cell>
          <cell r="AF303" t="str">
            <v>0</v>
          </cell>
          <cell r="AG303" t="str">
            <v>0</v>
          </cell>
          <cell r="AH303" t="str">
            <v>0</v>
          </cell>
          <cell r="AI303" t="str">
            <v>0</v>
          </cell>
          <cell r="AJ303" t="str">
            <v>0</v>
          </cell>
          <cell r="AK303" t="str">
            <v>0</v>
          </cell>
          <cell r="AL303" t="str">
            <v>0</v>
          </cell>
          <cell r="AM303" t="str">
            <v>0</v>
          </cell>
          <cell r="AN303" t="str">
            <v>0</v>
          </cell>
          <cell r="AO303" t="str">
            <v>0</v>
          </cell>
          <cell r="AP303" t="str">
            <v>0</v>
          </cell>
          <cell r="AQ303" t="str">
            <v>0</v>
          </cell>
          <cell r="AR303" t="str">
            <v>0</v>
          </cell>
          <cell r="AS303" t="str">
            <v>0</v>
          </cell>
          <cell r="AT303" t="str">
            <v>0</v>
          </cell>
          <cell r="AU303" t="str">
            <v>0</v>
          </cell>
          <cell r="AV303" t="str">
            <v>0</v>
          </cell>
          <cell r="AW303" t="str">
            <v>0</v>
          </cell>
          <cell r="AX303" t="str">
            <v>0</v>
          </cell>
          <cell r="AY303" t="str">
            <v>0</v>
          </cell>
          <cell r="AZ303" t="str">
            <v>0</v>
          </cell>
          <cell r="BA303" t="str">
            <v>0</v>
          </cell>
          <cell r="BB303" t="str">
            <v>0</v>
          </cell>
          <cell r="BC303" t="str">
            <v>0</v>
          </cell>
          <cell r="BD303" t="str">
            <v>0</v>
          </cell>
          <cell r="BE303" t="str">
            <v>0</v>
          </cell>
          <cell r="BF303" t="str">
            <v>0</v>
          </cell>
          <cell r="BG303" t="str">
            <v>0</v>
          </cell>
          <cell r="BH303" t="str">
            <v>0</v>
          </cell>
          <cell r="BI303" t="str">
            <v>0</v>
          </cell>
          <cell r="BJ303" t="str">
            <v>0</v>
          </cell>
          <cell r="BK303" t="str">
            <v>0</v>
          </cell>
          <cell r="BL303" t="str">
            <v>0</v>
          </cell>
          <cell r="BM303" t="str">
            <v>0</v>
          </cell>
          <cell r="BN303" t="str">
            <v>0</v>
          </cell>
          <cell r="BO303" t="str">
            <v>0</v>
          </cell>
          <cell r="BP303" t="str">
            <v>0</v>
          </cell>
          <cell r="BQ303" t="str">
            <v>0</v>
          </cell>
          <cell r="BR303" t="str">
            <v>0</v>
          </cell>
          <cell r="BS303" t="str">
            <v>0</v>
          </cell>
          <cell r="BT303" t="str">
            <v>0</v>
          </cell>
          <cell r="BU303" t="str">
            <v>0</v>
          </cell>
          <cell r="BV303" t="str">
            <v>0</v>
          </cell>
          <cell r="BW303" t="str">
            <v>0</v>
          </cell>
          <cell r="BX303" t="str">
            <v>0</v>
          </cell>
          <cell r="BY303" t="str">
            <v>0</v>
          </cell>
          <cell r="BZ303" t="str">
            <v>0</v>
          </cell>
          <cell r="CA303" t="str">
            <v>0</v>
          </cell>
          <cell r="CB303" t="str">
            <v>0</v>
          </cell>
          <cell r="CC303" t="str">
            <v>0</v>
          </cell>
          <cell r="CD303" t="str">
            <v>0</v>
          </cell>
          <cell r="CE303" t="str">
            <v>0</v>
          </cell>
          <cell r="CF303" t="str">
            <v>0</v>
          </cell>
          <cell r="CG303" t="str">
            <v>0</v>
          </cell>
          <cell r="CH303" t="str">
            <v>0</v>
          </cell>
          <cell r="CI303" t="str">
            <v>0</v>
          </cell>
          <cell r="CJ303" t="str">
            <v>0</v>
          </cell>
          <cell r="CK303" t="str">
            <v>0</v>
          </cell>
          <cell r="CL303" t="str">
            <v>0</v>
          </cell>
          <cell r="CM303" t="str">
            <v>0</v>
          </cell>
          <cell r="CN303" t="str">
            <v>0</v>
          </cell>
          <cell r="CO303" t="str">
            <v>0</v>
          </cell>
          <cell r="CP303" t="str">
            <v>0</v>
          </cell>
          <cell r="CQ303" t="str">
            <v>0</v>
          </cell>
          <cell r="CR303" t="str">
            <v>0</v>
          </cell>
          <cell r="CS303" t="str">
            <v>0</v>
          </cell>
          <cell r="CT303" t="str">
            <v>0</v>
          </cell>
          <cell r="CU303" t="str">
            <v>0</v>
          </cell>
          <cell r="CV303" t="str">
            <v>0</v>
          </cell>
          <cell r="CW303" t="str">
            <v>0</v>
          </cell>
          <cell r="CX303" t="str">
            <v>0</v>
          </cell>
          <cell r="CY303" t="str">
            <v>0</v>
          </cell>
          <cell r="CZ303" t="str">
            <v>0</v>
          </cell>
          <cell r="DA303" t="str">
            <v>0</v>
          </cell>
          <cell r="DB303" t="str">
            <v>0</v>
          </cell>
          <cell r="DC303" t="str">
            <v>0</v>
          </cell>
          <cell r="DD303" t="str">
            <v>0</v>
          </cell>
          <cell r="DE303" t="str">
            <v>0</v>
          </cell>
          <cell r="DF303" t="str">
            <v>0</v>
          </cell>
          <cell r="DG303" t="str">
            <v>0</v>
          </cell>
          <cell r="DH303" t="str">
            <v>0</v>
          </cell>
          <cell r="DI303" t="str">
            <v>0</v>
          </cell>
          <cell r="DJ303" t="str">
            <v>0</v>
          </cell>
          <cell r="DK303" t="str">
            <v>0</v>
          </cell>
          <cell r="DL303" t="str">
            <v>0</v>
          </cell>
          <cell r="DM303" t="str">
            <v>0</v>
          </cell>
          <cell r="DN303" t="str">
            <v>0</v>
          </cell>
          <cell r="DO303" t="str">
            <v>0</v>
          </cell>
          <cell r="DP303" t="str">
            <v>0</v>
          </cell>
        </row>
        <row r="304">
          <cell r="C304"/>
          <cell r="D304" t="str">
            <v>0</v>
          </cell>
          <cell r="E304" t="str">
            <v>0</v>
          </cell>
          <cell r="F304" t="str">
            <v>0</v>
          </cell>
          <cell r="G304" t="str">
            <v>0</v>
          </cell>
          <cell r="H304" t="str">
            <v>0</v>
          </cell>
          <cell r="I304" t="str">
            <v>0</v>
          </cell>
          <cell r="J304" t="str">
            <v>0</v>
          </cell>
          <cell r="K304" t="str">
            <v>0</v>
          </cell>
          <cell r="L304" t="str">
            <v>0</v>
          </cell>
          <cell r="M304" t="str">
            <v>0</v>
          </cell>
          <cell r="N304" t="str">
            <v>0</v>
          </cell>
          <cell r="O304" t="str">
            <v>0</v>
          </cell>
          <cell r="P304" t="str">
            <v>0</v>
          </cell>
          <cell r="Q304" t="str">
            <v>0</v>
          </cell>
          <cell r="R304" t="str">
            <v>0</v>
          </cell>
          <cell r="S304" t="str">
            <v>0</v>
          </cell>
          <cell r="T304" t="str">
            <v>0</v>
          </cell>
          <cell r="U304" t="str">
            <v>0</v>
          </cell>
          <cell r="V304" t="str">
            <v>0</v>
          </cell>
          <cell r="W304" t="str">
            <v>0</v>
          </cell>
          <cell r="X304" t="str">
            <v>0</v>
          </cell>
          <cell r="Y304" t="str">
            <v>0</v>
          </cell>
          <cell r="Z304" t="str">
            <v>0</v>
          </cell>
          <cell r="AA304" t="str">
            <v>0</v>
          </cell>
          <cell r="AB304" t="str">
            <v>0</v>
          </cell>
          <cell r="AC304" t="str">
            <v>0</v>
          </cell>
          <cell r="AD304" t="str">
            <v>0</v>
          </cell>
          <cell r="AE304" t="str">
            <v>0</v>
          </cell>
          <cell r="AF304" t="str">
            <v>0</v>
          </cell>
          <cell r="AG304" t="str">
            <v>0</v>
          </cell>
          <cell r="AH304" t="str">
            <v>0</v>
          </cell>
          <cell r="AI304" t="str">
            <v>0</v>
          </cell>
          <cell r="AJ304" t="str">
            <v>0</v>
          </cell>
          <cell r="AK304" t="str">
            <v>0</v>
          </cell>
          <cell r="AL304" t="str">
            <v>0</v>
          </cell>
          <cell r="AM304" t="str">
            <v>0</v>
          </cell>
          <cell r="AN304" t="str">
            <v>0</v>
          </cell>
          <cell r="AO304" t="str">
            <v>0</v>
          </cell>
          <cell r="AP304" t="str">
            <v>0</v>
          </cell>
          <cell r="AQ304" t="str">
            <v>0</v>
          </cell>
          <cell r="AR304" t="str">
            <v>0</v>
          </cell>
          <cell r="AS304" t="str">
            <v>0</v>
          </cell>
          <cell r="AT304" t="str">
            <v>0</v>
          </cell>
          <cell r="AU304" t="str">
            <v>0</v>
          </cell>
          <cell r="AV304" t="str">
            <v>0</v>
          </cell>
          <cell r="AW304" t="str">
            <v>0</v>
          </cell>
          <cell r="AX304" t="str">
            <v>0</v>
          </cell>
          <cell r="AY304" t="str">
            <v>0</v>
          </cell>
          <cell r="AZ304" t="str">
            <v>0</v>
          </cell>
          <cell r="BA304" t="str">
            <v>0</v>
          </cell>
          <cell r="BB304" t="str">
            <v>0</v>
          </cell>
          <cell r="BC304" t="str">
            <v>0</v>
          </cell>
          <cell r="BD304" t="str">
            <v>0</v>
          </cell>
          <cell r="BE304" t="str">
            <v>0</v>
          </cell>
          <cell r="BF304" t="str">
            <v>0</v>
          </cell>
          <cell r="BG304" t="str">
            <v>0</v>
          </cell>
          <cell r="BH304" t="str">
            <v>0</v>
          </cell>
          <cell r="BI304" t="str">
            <v>0</v>
          </cell>
          <cell r="BJ304" t="str">
            <v>0</v>
          </cell>
          <cell r="BK304" t="str">
            <v>0</v>
          </cell>
          <cell r="BL304" t="str">
            <v>0</v>
          </cell>
          <cell r="BM304" t="str">
            <v>0</v>
          </cell>
          <cell r="BN304" t="str">
            <v>0</v>
          </cell>
          <cell r="BO304" t="str">
            <v>0</v>
          </cell>
          <cell r="BP304" t="str">
            <v>0</v>
          </cell>
          <cell r="BQ304" t="str">
            <v>0</v>
          </cell>
          <cell r="BR304" t="str">
            <v>0</v>
          </cell>
          <cell r="BS304" t="str">
            <v>0</v>
          </cell>
          <cell r="BT304" t="str">
            <v>0</v>
          </cell>
          <cell r="BU304" t="str">
            <v>0</v>
          </cell>
          <cell r="BV304" t="str">
            <v>0</v>
          </cell>
          <cell r="BW304" t="str">
            <v>0</v>
          </cell>
          <cell r="BX304" t="str">
            <v>0</v>
          </cell>
          <cell r="BY304" t="str">
            <v>0</v>
          </cell>
          <cell r="BZ304" t="str">
            <v>0</v>
          </cell>
          <cell r="CA304" t="str">
            <v>0</v>
          </cell>
          <cell r="CB304" t="str">
            <v>0</v>
          </cell>
          <cell r="CC304" t="str">
            <v>0</v>
          </cell>
          <cell r="CD304" t="str">
            <v>0</v>
          </cell>
          <cell r="CE304" t="str">
            <v>0</v>
          </cell>
          <cell r="CF304" t="str">
            <v>0</v>
          </cell>
          <cell r="CG304" t="str">
            <v>0</v>
          </cell>
          <cell r="CH304" t="str">
            <v>0</v>
          </cell>
          <cell r="CI304" t="str">
            <v>0</v>
          </cell>
          <cell r="CJ304" t="str">
            <v>0</v>
          </cell>
          <cell r="CK304" t="str">
            <v>0</v>
          </cell>
          <cell r="CL304" t="str">
            <v>0</v>
          </cell>
          <cell r="CM304" t="str">
            <v>0</v>
          </cell>
          <cell r="CN304" t="str">
            <v>0</v>
          </cell>
          <cell r="CO304" t="str">
            <v>0</v>
          </cell>
          <cell r="CP304" t="str">
            <v>0</v>
          </cell>
          <cell r="CQ304" t="str">
            <v>0</v>
          </cell>
          <cell r="CR304" t="str">
            <v>0</v>
          </cell>
          <cell r="CS304" t="str">
            <v>0</v>
          </cell>
          <cell r="CT304" t="str">
            <v>0</v>
          </cell>
          <cell r="CU304" t="str">
            <v>0</v>
          </cell>
          <cell r="CV304" t="str">
            <v>0</v>
          </cell>
          <cell r="CW304" t="str">
            <v>0</v>
          </cell>
          <cell r="CX304" t="str">
            <v>0</v>
          </cell>
          <cell r="CY304" t="str">
            <v>0</v>
          </cell>
          <cell r="CZ304" t="str">
            <v>0</v>
          </cell>
          <cell r="DA304" t="str">
            <v>0</v>
          </cell>
          <cell r="DB304" t="str">
            <v>0</v>
          </cell>
          <cell r="DC304" t="str">
            <v>0</v>
          </cell>
          <cell r="DD304" t="str">
            <v>0</v>
          </cell>
          <cell r="DE304" t="str">
            <v>0</v>
          </cell>
          <cell r="DF304" t="str">
            <v>0</v>
          </cell>
          <cell r="DG304" t="str">
            <v>0</v>
          </cell>
          <cell r="DH304" t="str">
            <v>0</v>
          </cell>
          <cell r="DI304" t="str">
            <v>0</v>
          </cell>
          <cell r="DJ304" t="str">
            <v>0</v>
          </cell>
          <cell r="DK304" t="str">
            <v>0</v>
          </cell>
          <cell r="DL304" t="str">
            <v>0</v>
          </cell>
          <cell r="DM304" t="str">
            <v>0</v>
          </cell>
          <cell r="DN304" t="str">
            <v>0</v>
          </cell>
          <cell r="DO304" t="str">
            <v>0</v>
          </cell>
          <cell r="DP304" t="str">
            <v>0</v>
          </cell>
        </row>
        <row r="305">
          <cell r="C305"/>
          <cell r="D305" t="str">
            <v>0</v>
          </cell>
          <cell r="E305" t="str">
            <v>0</v>
          </cell>
          <cell r="F305" t="str">
            <v>0</v>
          </cell>
          <cell r="G305" t="str">
            <v>0</v>
          </cell>
          <cell r="H305" t="str">
            <v>0</v>
          </cell>
          <cell r="I305" t="str">
            <v>0</v>
          </cell>
          <cell r="J305" t="str">
            <v>0</v>
          </cell>
          <cell r="K305" t="str">
            <v>0</v>
          </cell>
          <cell r="L305" t="str">
            <v>0</v>
          </cell>
          <cell r="M305" t="str">
            <v>0</v>
          </cell>
          <cell r="N305" t="str">
            <v>0</v>
          </cell>
          <cell r="O305" t="str">
            <v>0</v>
          </cell>
          <cell r="P305" t="str">
            <v>0</v>
          </cell>
          <cell r="Q305" t="str">
            <v>0</v>
          </cell>
          <cell r="R305" t="str">
            <v>0</v>
          </cell>
          <cell r="S305" t="str">
            <v>0</v>
          </cell>
          <cell r="T305" t="str">
            <v>0</v>
          </cell>
          <cell r="U305" t="str">
            <v>0</v>
          </cell>
          <cell r="V305" t="str">
            <v>0</v>
          </cell>
          <cell r="W305" t="str">
            <v>0</v>
          </cell>
          <cell r="X305" t="str">
            <v>0</v>
          </cell>
          <cell r="Y305" t="str">
            <v>0</v>
          </cell>
          <cell r="Z305" t="str">
            <v>0</v>
          </cell>
          <cell r="AA305" t="str">
            <v>0</v>
          </cell>
          <cell r="AB305" t="str">
            <v>0</v>
          </cell>
          <cell r="AC305" t="str">
            <v>0</v>
          </cell>
          <cell r="AD305" t="str">
            <v>0</v>
          </cell>
          <cell r="AE305" t="str">
            <v>0</v>
          </cell>
          <cell r="AF305" t="str">
            <v>0</v>
          </cell>
          <cell r="AG305" t="str">
            <v>0</v>
          </cell>
          <cell r="AH305" t="str">
            <v>0</v>
          </cell>
          <cell r="AI305" t="str">
            <v>0</v>
          </cell>
          <cell r="AJ305" t="str">
            <v>0</v>
          </cell>
          <cell r="AK305" t="str">
            <v>0</v>
          </cell>
          <cell r="AL305" t="str">
            <v>0</v>
          </cell>
          <cell r="AM305" t="str">
            <v>0</v>
          </cell>
          <cell r="AN305" t="str">
            <v>0</v>
          </cell>
          <cell r="AO305" t="str">
            <v>0</v>
          </cell>
          <cell r="AP305" t="str">
            <v>0</v>
          </cell>
          <cell r="AQ305" t="str">
            <v>0</v>
          </cell>
          <cell r="AR305" t="str">
            <v>0</v>
          </cell>
          <cell r="AS305" t="str">
            <v>0</v>
          </cell>
          <cell r="AT305" t="str">
            <v>0</v>
          </cell>
          <cell r="AU305" t="str">
            <v>0</v>
          </cell>
          <cell r="AV305" t="str">
            <v>0</v>
          </cell>
          <cell r="AW305" t="str">
            <v>0</v>
          </cell>
          <cell r="AX305" t="str">
            <v>0</v>
          </cell>
          <cell r="AY305" t="str">
            <v>0</v>
          </cell>
          <cell r="AZ305" t="str">
            <v>0</v>
          </cell>
          <cell r="BA305" t="str">
            <v>0</v>
          </cell>
          <cell r="BB305" t="str">
            <v>0</v>
          </cell>
          <cell r="BC305" t="str">
            <v>0</v>
          </cell>
          <cell r="BD305" t="str">
            <v>0</v>
          </cell>
          <cell r="BE305" t="str">
            <v>0</v>
          </cell>
          <cell r="BF305" t="str">
            <v>0</v>
          </cell>
          <cell r="BG305" t="str">
            <v>0</v>
          </cell>
          <cell r="BH305" t="str">
            <v>0</v>
          </cell>
          <cell r="BI305" t="str">
            <v>0</v>
          </cell>
          <cell r="BJ305" t="str">
            <v>0</v>
          </cell>
          <cell r="BK305" t="str">
            <v>0</v>
          </cell>
          <cell r="BL305" t="str">
            <v>0</v>
          </cell>
          <cell r="BM305" t="str">
            <v>0</v>
          </cell>
          <cell r="BN305" t="str">
            <v>0</v>
          </cell>
          <cell r="BO305" t="str">
            <v>0</v>
          </cell>
          <cell r="BP305" t="str">
            <v>0</v>
          </cell>
          <cell r="BQ305" t="str">
            <v>0</v>
          </cell>
          <cell r="BR305" t="str">
            <v>0</v>
          </cell>
          <cell r="BS305" t="str">
            <v>0</v>
          </cell>
          <cell r="BT305" t="str">
            <v>0</v>
          </cell>
          <cell r="BU305" t="str">
            <v>0</v>
          </cell>
          <cell r="BV305" t="str">
            <v>0</v>
          </cell>
          <cell r="BW305" t="str">
            <v>0</v>
          </cell>
          <cell r="BX305" t="str">
            <v>0</v>
          </cell>
          <cell r="BY305" t="str">
            <v>0</v>
          </cell>
          <cell r="BZ305" t="str">
            <v>0</v>
          </cell>
          <cell r="CA305" t="str">
            <v>0</v>
          </cell>
          <cell r="CB305" t="str">
            <v>0</v>
          </cell>
          <cell r="CC305" t="str">
            <v>0</v>
          </cell>
          <cell r="CD305" t="str">
            <v>0</v>
          </cell>
          <cell r="CE305" t="str">
            <v>0</v>
          </cell>
          <cell r="CF305" t="str">
            <v>0</v>
          </cell>
          <cell r="CG305" t="str">
            <v>0</v>
          </cell>
          <cell r="CH305" t="str">
            <v>0</v>
          </cell>
          <cell r="CI305" t="str">
            <v>0</v>
          </cell>
          <cell r="CJ305" t="str">
            <v>0</v>
          </cell>
          <cell r="CK305" t="str">
            <v>0</v>
          </cell>
          <cell r="CL305" t="str">
            <v>0</v>
          </cell>
          <cell r="CM305" t="str">
            <v>0</v>
          </cell>
          <cell r="CN305" t="str">
            <v>0</v>
          </cell>
          <cell r="CO305" t="str">
            <v>0</v>
          </cell>
          <cell r="CP305" t="str">
            <v>0</v>
          </cell>
          <cell r="CQ305" t="str">
            <v>0</v>
          </cell>
          <cell r="CR305" t="str">
            <v>0</v>
          </cell>
          <cell r="CS305" t="str">
            <v>0</v>
          </cell>
          <cell r="CT305" t="str">
            <v>0</v>
          </cell>
          <cell r="CU305" t="str">
            <v>0</v>
          </cell>
          <cell r="CV305" t="str">
            <v>0</v>
          </cell>
          <cell r="CW305" t="str">
            <v>0</v>
          </cell>
          <cell r="CX305" t="str">
            <v>0</v>
          </cell>
          <cell r="CY305" t="str">
            <v>0</v>
          </cell>
          <cell r="CZ305" t="str">
            <v>0</v>
          </cell>
          <cell r="DA305" t="str">
            <v>0</v>
          </cell>
          <cell r="DB305" t="str">
            <v>0</v>
          </cell>
          <cell r="DC305" t="str">
            <v>0</v>
          </cell>
          <cell r="DD305" t="str">
            <v>0</v>
          </cell>
          <cell r="DE305" t="str">
            <v>0</v>
          </cell>
          <cell r="DF305" t="str">
            <v>0</v>
          </cell>
          <cell r="DG305" t="str">
            <v>0</v>
          </cell>
          <cell r="DH305" t="str">
            <v>0</v>
          </cell>
          <cell r="DI305" t="str">
            <v>0</v>
          </cell>
          <cell r="DJ305" t="str">
            <v>0</v>
          </cell>
          <cell r="DK305" t="str">
            <v>0</v>
          </cell>
          <cell r="DL305" t="str">
            <v>0</v>
          </cell>
          <cell r="DM305" t="str">
            <v>0</v>
          </cell>
          <cell r="DN305" t="str">
            <v>0</v>
          </cell>
          <cell r="DO305" t="str">
            <v>0</v>
          </cell>
          <cell r="DP305" t="str">
            <v>0</v>
          </cell>
        </row>
        <row r="306">
          <cell r="C306"/>
          <cell r="D306" t="str">
            <v>0</v>
          </cell>
          <cell r="E306" t="str">
            <v>0</v>
          </cell>
          <cell r="F306" t="str">
            <v>0</v>
          </cell>
          <cell r="G306" t="str">
            <v>0</v>
          </cell>
          <cell r="H306" t="str">
            <v>0</v>
          </cell>
          <cell r="I306" t="str">
            <v>0</v>
          </cell>
          <cell r="J306" t="str">
            <v>0</v>
          </cell>
          <cell r="K306" t="str">
            <v>0</v>
          </cell>
          <cell r="L306" t="str">
            <v>0</v>
          </cell>
          <cell r="M306" t="str">
            <v>0</v>
          </cell>
          <cell r="N306" t="str">
            <v>0</v>
          </cell>
          <cell r="O306" t="str">
            <v>0</v>
          </cell>
          <cell r="P306" t="str">
            <v>0</v>
          </cell>
          <cell r="Q306" t="str">
            <v>0</v>
          </cell>
          <cell r="R306" t="str">
            <v>0</v>
          </cell>
          <cell r="S306" t="str">
            <v>0</v>
          </cell>
          <cell r="T306" t="str">
            <v>0</v>
          </cell>
          <cell r="U306" t="str">
            <v>0</v>
          </cell>
          <cell r="V306" t="str">
            <v>0</v>
          </cell>
          <cell r="W306" t="str">
            <v>0</v>
          </cell>
          <cell r="X306" t="str">
            <v>0</v>
          </cell>
          <cell r="Y306" t="str">
            <v>0</v>
          </cell>
          <cell r="Z306" t="str">
            <v>0</v>
          </cell>
          <cell r="AA306" t="str">
            <v>0</v>
          </cell>
          <cell r="AB306" t="str">
            <v>0</v>
          </cell>
          <cell r="AC306" t="str">
            <v>0</v>
          </cell>
          <cell r="AD306" t="str">
            <v>0</v>
          </cell>
          <cell r="AE306" t="str">
            <v>0</v>
          </cell>
          <cell r="AF306" t="str">
            <v>0</v>
          </cell>
          <cell r="AG306" t="str">
            <v>0</v>
          </cell>
          <cell r="AH306" t="str">
            <v>0</v>
          </cell>
          <cell r="AI306" t="str">
            <v>0</v>
          </cell>
          <cell r="AJ306" t="str">
            <v>0</v>
          </cell>
          <cell r="AK306" t="str">
            <v>0</v>
          </cell>
          <cell r="AL306" t="str">
            <v>0</v>
          </cell>
          <cell r="AM306" t="str">
            <v>0</v>
          </cell>
          <cell r="AN306" t="str">
            <v>0</v>
          </cell>
          <cell r="AO306" t="str">
            <v>0</v>
          </cell>
          <cell r="AP306" t="str">
            <v>0</v>
          </cell>
          <cell r="AQ306" t="str">
            <v>0</v>
          </cell>
          <cell r="AR306" t="str">
            <v>0</v>
          </cell>
          <cell r="AS306" t="str">
            <v>0</v>
          </cell>
          <cell r="AT306" t="str">
            <v>0</v>
          </cell>
          <cell r="AU306" t="str">
            <v>0</v>
          </cell>
          <cell r="AV306" t="str">
            <v>0</v>
          </cell>
          <cell r="AW306" t="str">
            <v>0</v>
          </cell>
          <cell r="AX306" t="str">
            <v>0</v>
          </cell>
          <cell r="AY306" t="str">
            <v>0</v>
          </cell>
          <cell r="AZ306" t="str">
            <v>0</v>
          </cell>
          <cell r="BA306" t="str">
            <v>0</v>
          </cell>
          <cell r="BB306" t="str">
            <v>0</v>
          </cell>
          <cell r="BC306" t="str">
            <v>0</v>
          </cell>
          <cell r="BD306" t="str">
            <v>0</v>
          </cell>
          <cell r="BE306" t="str">
            <v>0</v>
          </cell>
          <cell r="BF306" t="str">
            <v>0</v>
          </cell>
          <cell r="BG306" t="str">
            <v>0</v>
          </cell>
          <cell r="BH306" t="str">
            <v>0</v>
          </cell>
          <cell r="BI306" t="str">
            <v>0</v>
          </cell>
          <cell r="BJ306" t="str">
            <v>0</v>
          </cell>
          <cell r="BK306" t="str">
            <v>0</v>
          </cell>
          <cell r="BL306" t="str">
            <v>0</v>
          </cell>
          <cell r="BM306" t="str">
            <v>0</v>
          </cell>
          <cell r="BN306" t="str">
            <v>0</v>
          </cell>
          <cell r="BO306" t="str">
            <v>0</v>
          </cell>
          <cell r="BP306" t="str">
            <v>0</v>
          </cell>
          <cell r="BQ306" t="str">
            <v>0</v>
          </cell>
          <cell r="BR306" t="str">
            <v>0</v>
          </cell>
          <cell r="BS306" t="str">
            <v>0</v>
          </cell>
          <cell r="BT306" t="str">
            <v>0</v>
          </cell>
          <cell r="BU306" t="str">
            <v>0</v>
          </cell>
          <cell r="BV306" t="str">
            <v>0</v>
          </cell>
          <cell r="BW306" t="str">
            <v>0</v>
          </cell>
          <cell r="BX306" t="str">
            <v>0</v>
          </cell>
          <cell r="BY306" t="str">
            <v>0</v>
          </cell>
          <cell r="BZ306" t="str">
            <v>0</v>
          </cell>
          <cell r="CA306" t="str">
            <v>0</v>
          </cell>
          <cell r="CB306" t="str">
            <v>0</v>
          </cell>
          <cell r="CC306" t="str">
            <v>0</v>
          </cell>
          <cell r="CD306" t="str">
            <v>0</v>
          </cell>
          <cell r="CE306" t="str">
            <v>0</v>
          </cell>
          <cell r="CF306" t="str">
            <v>0</v>
          </cell>
          <cell r="CG306" t="str">
            <v>0</v>
          </cell>
          <cell r="CH306" t="str">
            <v>0</v>
          </cell>
          <cell r="CI306" t="str">
            <v>0</v>
          </cell>
          <cell r="CJ306" t="str">
            <v>0</v>
          </cell>
          <cell r="CK306" t="str">
            <v>0</v>
          </cell>
          <cell r="CL306" t="str">
            <v>0</v>
          </cell>
          <cell r="CM306" t="str">
            <v>0</v>
          </cell>
          <cell r="CN306" t="str">
            <v>0</v>
          </cell>
          <cell r="CO306" t="str">
            <v>0</v>
          </cell>
          <cell r="CP306" t="str">
            <v>0</v>
          </cell>
          <cell r="CQ306" t="str">
            <v>0</v>
          </cell>
          <cell r="CR306" t="str">
            <v>0</v>
          </cell>
          <cell r="CS306" t="str">
            <v>0</v>
          </cell>
          <cell r="CT306" t="str">
            <v>0</v>
          </cell>
          <cell r="CU306" t="str">
            <v>0</v>
          </cell>
          <cell r="CV306" t="str">
            <v>0</v>
          </cell>
          <cell r="CW306" t="str">
            <v>0</v>
          </cell>
          <cell r="CX306" t="str">
            <v>0</v>
          </cell>
          <cell r="CY306" t="str">
            <v>0</v>
          </cell>
          <cell r="CZ306" t="str">
            <v>0</v>
          </cell>
          <cell r="DA306" t="str">
            <v>0</v>
          </cell>
          <cell r="DB306" t="str">
            <v>0</v>
          </cell>
          <cell r="DC306" t="str">
            <v>0</v>
          </cell>
          <cell r="DD306" t="str">
            <v>0</v>
          </cell>
          <cell r="DE306" t="str">
            <v>0</v>
          </cell>
          <cell r="DF306" t="str">
            <v>0</v>
          </cell>
          <cell r="DG306" t="str">
            <v>0</v>
          </cell>
          <cell r="DH306" t="str">
            <v>0</v>
          </cell>
          <cell r="DI306" t="str">
            <v>0</v>
          </cell>
          <cell r="DJ306" t="str">
            <v>0</v>
          </cell>
          <cell r="DK306" t="str">
            <v>0</v>
          </cell>
          <cell r="DL306" t="str">
            <v>0</v>
          </cell>
          <cell r="DM306" t="str">
            <v>0</v>
          </cell>
          <cell r="DN306" t="str">
            <v>0</v>
          </cell>
          <cell r="DO306" t="str">
            <v>0</v>
          </cell>
          <cell r="DP306" t="str">
            <v>0</v>
          </cell>
        </row>
        <row r="307">
          <cell r="C307"/>
          <cell r="D307" t="str">
            <v>0</v>
          </cell>
          <cell r="E307" t="str">
            <v>0</v>
          </cell>
          <cell r="F307" t="str">
            <v>0</v>
          </cell>
          <cell r="G307" t="str">
            <v>0</v>
          </cell>
          <cell r="H307" t="str">
            <v>0</v>
          </cell>
          <cell r="I307" t="str">
            <v>0</v>
          </cell>
          <cell r="J307" t="str">
            <v>0</v>
          </cell>
          <cell r="K307" t="str">
            <v>0</v>
          </cell>
          <cell r="L307" t="str">
            <v>0</v>
          </cell>
          <cell r="M307" t="str">
            <v>0</v>
          </cell>
          <cell r="N307" t="str">
            <v>0</v>
          </cell>
          <cell r="O307" t="str">
            <v>0</v>
          </cell>
          <cell r="P307" t="str">
            <v>0</v>
          </cell>
          <cell r="Q307" t="str">
            <v>0</v>
          </cell>
          <cell r="R307" t="str">
            <v>0</v>
          </cell>
          <cell r="S307" t="str">
            <v>0</v>
          </cell>
          <cell r="T307" t="str">
            <v>0</v>
          </cell>
          <cell r="U307" t="str">
            <v>0</v>
          </cell>
          <cell r="V307" t="str">
            <v>0</v>
          </cell>
          <cell r="W307" t="str">
            <v>0</v>
          </cell>
          <cell r="X307" t="str">
            <v>0</v>
          </cell>
          <cell r="Y307" t="str">
            <v>0</v>
          </cell>
          <cell r="Z307" t="str">
            <v>0</v>
          </cell>
          <cell r="AA307" t="str">
            <v>0</v>
          </cell>
          <cell r="AB307" t="str">
            <v>0</v>
          </cell>
          <cell r="AC307" t="str">
            <v>0</v>
          </cell>
          <cell r="AD307" t="str">
            <v>0</v>
          </cell>
          <cell r="AE307" t="str">
            <v>0</v>
          </cell>
          <cell r="AF307" t="str">
            <v>0</v>
          </cell>
          <cell r="AG307" t="str">
            <v>0</v>
          </cell>
          <cell r="AH307" t="str">
            <v>0</v>
          </cell>
          <cell r="AI307" t="str">
            <v>0</v>
          </cell>
          <cell r="AJ307" t="str">
            <v>0</v>
          </cell>
          <cell r="AK307" t="str">
            <v>0</v>
          </cell>
          <cell r="AL307" t="str">
            <v>0</v>
          </cell>
          <cell r="AM307" t="str">
            <v>0</v>
          </cell>
          <cell r="AN307" t="str">
            <v>0</v>
          </cell>
          <cell r="AO307" t="str">
            <v>0</v>
          </cell>
          <cell r="AP307" t="str">
            <v>0</v>
          </cell>
          <cell r="AQ307" t="str">
            <v>0</v>
          </cell>
          <cell r="AR307" t="str">
            <v>0</v>
          </cell>
          <cell r="AS307" t="str">
            <v>0</v>
          </cell>
          <cell r="AT307" t="str">
            <v>0</v>
          </cell>
          <cell r="AU307" t="str">
            <v>0</v>
          </cell>
          <cell r="AV307" t="str">
            <v>0</v>
          </cell>
          <cell r="AW307" t="str">
            <v>0</v>
          </cell>
          <cell r="AX307" t="str">
            <v>0</v>
          </cell>
          <cell r="AY307" t="str">
            <v>0</v>
          </cell>
          <cell r="AZ307" t="str">
            <v>0</v>
          </cell>
          <cell r="BA307" t="str">
            <v>0</v>
          </cell>
          <cell r="BB307" t="str">
            <v>0</v>
          </cell>
          <cell r="BC307" t="str">
            <v>0</v>
          </cell>
          <cell r="BD307" t="str">
            <v>0</v>
          </cell>
          <cell r="BE307" t="str">
            <v>0</v>
          </cell>
          <cell r="BF307" t="str">
            <v>0</v>
          </cell>
          <cell r="BG307" t="str">
            <v>0</v>
          </cell>
          <cell r="BH307" t="str">
            <v>0</v>
          </cell>
          <cell r="BI307" t="str">
            <v>0</v>
          </cell>
          <cell r="BJ307" t="str">
            <v>0</v>
          </cell>
          <cell r="BK307" t="str">
            <v>0</v>
          </cell>
          <cell r="BL307" t="str">
            <v>0</v>
          </cell>
          <cell r="BM307" t="str">
            <v>0</v>
          </cell>
          <cell r="BN307" t="str">
            <v>0</v>
          </cell>
          <cell r="BO307" t="str">
            <v>0</v>
          </cell>
          <cell r="BP307" t="str">
            <v>0</v>
          </cell>
          <cell r="BQ307" t="str">
            <v>0</v>
          </cell>
          <cell r="BR307" t="str">
            <v>0</v>
          </cell>
          <cell r="BS307" t="str">
            <v>0</v>
          </cell>
          <cell r="BT307" t="str">
            <v>0</v>
          </cell>
          <cell r="BU307" t="str">
            <v>0</v>
          </cell>
          <cell r="BV307" t="str">
            <v>0</v>
          </cell>
          <cell r="BW307" t="str">
            <v>0</v>
          </cell>
          <cell r="BX307" t="str">
            <v>0</v>
          </cell>
          <cell r="BY307" t="str">
            <v>0</v>
          </cell>
          <cell r="BZ307" t="str">
            <v>0</v>
          </cell>
          <cell r="CA307" t="str">
            <v>0</v>
          </cell>
          <cell r="CB307" t="str">
            <v>0</v>
          </cell>
          <cell r="CC307" t="str">
            <v>0</v>
          </cell>
          <cell r="CD307" t="str">
            <v>0</v>
          </cell>
          <cell r="CE307" t="str">
            <v>0</v>
          </cell>
          <cell r="CF307" t="str">
            <v>0</v>
          </cell>
          <cell r="CG307" t="str">
            <v>0</v>
          </cell>
          <cell r="CH307" t="str">
            <v>0</v>
          </cell>
          <cell r="CI307" t="str">
            <v>0</v>
          </cell>
          <cell r="CJ307" t="str">
            <v>0</v>
          </cell>
          <cell r="CK307" t="str">
            <v>0</v>
          </cell>
          <cell r="CL307" t="str">
            <v>0</v>
          </cell>
          <cell r="CM307" t="str">
            <v>0</v>
          </cell>
          <cell r="CN307" t="str">
            <v>0</v>
          </cell>
          <cell r="CO307" t="str">
            <v>0</v>
          </cell>
          <cell r="CP307" t="str">
            <v>0</v>
          </cell>
          <cell r="CQ307" t="str">
            <v>0</v>
          </cell>
          <cell r="CR307" t="str">
            <v>0</v>
          </cell>
          <cell r="CS307" t="str">
            <v>0</v>
          </cell>
          <cell r="CT307" t="str">
            <v>0</v>
          </cell>
          <cell r="CU307" t="str">
            <v>0</v>
          </cell>
          <cell r="CV307" t="str">
            <v>0</v>
          </cell>
          <cell r="CW307" t="str">
            <v>0</v>
          </cell>
          <cell r="CX307" t="str">
            <v>0</v>
          </cell>
          <cell r="CY307" t="str">
            <v>0</v>
          </cell>
          <cell r="CZ307" t="str">
            <v>0</v>
          </cell>
          <cell r="DA307" t="str">
            <v>0</v>
          </cell>
          <cell r="DB307" t="str">
            <v>0</v>
          </cell>
          <cell r="DC307" t="str">
            <v>0</v>
          </cell>
          <cell r="DD307" t="str">
            <v>0</v>
          </cell>
          <cell r="DE307" t="str">
            <v>0</v>
          </cell>
          <cell r="DF307" t="str">
            <v>0</v>
          </cell>
          <cell r="DG307" t="str">
            <v>0</v>
          </cell>
          <cell r="DH307" t="str">
            <v>0</v>
          </cell>
          <cell r="DI307" t="str">
            <v>0</v>
          </cell>
          <cell r="DJ307" t="str">
            <v>0</v>
          </cell>
          <cell r="DK307" t="str">
            <v>0</v>
          </cell>
          <cell r="DL307" t="str">
            <v>0</v>
          </cell>
          <cell r="DM307" t="str">
            <v>0</v>
          </cell>
          <cell r="DN307" t="str">
            <v>0</v>
          </cell>
          <cell r="DO307" t="str">
            <v>0</v>
          </cell>
          <cell r="DP307" t="str">
            <v>0</v>
          </cell>
        </row>
        <row r="308">
          <cell r="C308"/>
          <cell r="D308" t="str">
            <v>0</v>
          </cell>
          <cell r="E308" t="str">
            <v>0</v>
          </cell>
          <cell r="F308" t="str">
            <v>0</v>
          </cell>
          <cell r="G308" t="str">
            <v>0</v>
          </cell>
          <cell r="H308" t="str">
            <v>0</v>
          </cell>
          <cell r="I308" t="str">
            <v>0</v>
          </cell>
          <cell r="J308" t="str">
            <v>0</v>
          </cell>
          <cell r="K308" t="str">
            <v>0</v>
          </cell>
          <cell r="L308" t="str">
            <v>0</v>
          </cell>
          <cell r="M308" t="str">
            <v>0</v>
          </cell>
          <cell r="N308" t="str">
            <v>0</v>
          </cell>
          <cell r="O308" t="str">
            <v>0</v>
          </cell>
          <cell r="P308" t="str">
            <v>0</v>
          </cell>
          <cell r="Q308" t="str">
            <v>0</v>
          </cell>
          <cell r="R308" t="str">
            <v>0</v>
          </cell>
          <cell r="S308" t="str">
            <v>0</v>
          </cell>
          <cell r="T308" t="str">
            <v>0</v>
          </cell>
          <cell r="U308" t="str">
            <v>0</v>
          </cell>
          <cell r="V308" t="str">
            <v>0</v>
          </cell>
          <cell r="W308" t="str">
            <v>0</v>
          </cell>
          <cell r="X308" t="str">
            <v>0</v>
          </cell>
          <cell r="Y308" t="str">
            <v>0</v>
          </cell>
          <cell r="Z308" t="str">
            <v>0</v>
          </cell>
          <cell r="AA308" t="str">
            <v>0</v>
          </cell>
          <cell r="AB308" t="str">
            <v>0</v>
          </cell>
          <cell r="AC308" t="str">
            <v>0</v>
          </cell>
          <cell r="AD308" t="str">
            <v>0</v>
          </cell>
          <cell r="AE308" t="str">
            <v>0</v>
          </cell>
          <cell r="AF308" t="str">
            <v>0</v>
          </cell>
          <cell r="AG308" t="str">
            <v>0</v>
          </cell>
          <cell r="AH308" t="str">
            <v>0</v>
          </cell>
          <cell r="AI308" t="str">
            <v>0</v>
          </cell>
          <cell r="AJ308" t="str">
            <v>0</v>
          </cell>
          <cell r="AK308" t="str">
            <v>0</v>
          </cell>
          <cell r="AL308" t="str">
            <v>0</v>
          </cell>
          <cell r="AM308" t="str">
            <v>0</v>
          </cell>
          <cell r="AN308" t="str">
            <v>0</v>
          </cell>
          <cell r="AO308" t="str">
            <v>0</v>
          </cell>
          <cell r="AP308" t="str">
            <v>0</v>
          </cell>
          <cell r="AQ308" t="str">
            <v>0</v>
          </cell>
          <cell r="AR308" t="str">
            <v>0</v>
          </cell>
          <cell r="AS308" t="str">
            <v>0</v>
          </cell>
          <cell r="AT308" t="str">
            <v>0</v>
          </cell>
          <cell r="AU308" t="str">
            <v>0</v>
          </cell>
          <cell r="AV308" t="str">
            <v>0</v>
          </cell>
          <cell r="AW308" t="str">
            <v>0</v>
          </cell>
          <cell r="AX308" t="str">
            <v>0</v>
          </cell>
          <cell r="AY308" t="str">
            <v>0</v>
          </cell>
          <cell r="AZ308" t="str">
            <v>0</v>
          </cell>
          <cell r="BA308" t="str">
            <v>0</v>
          </cell>
          <cell r="BB308" t="str">
            <v>0</v>
          </cell>
          <cell r="BC308" t="str">
            <v>0</v>
          </cell>
          <cell r="BD308" t="str">
            <v>0</v>
          </cell>
          <cell r="BE308" t="str">
            <v>0</v>
          </cell>
          <cell r="BF308" t="str">
            <v>0</v>
          </cell>
          <cell r="BG308" t="str">
            <v>0</v>
          </cell>
          <cell r="BH308" t="str">
            <v>0</v>
          </cell>
          <cell r="BI308" t="str">
            <v>0</v>
          </cell>
          <cell r="BJ308" t="str">
            <v>0</v>
          </cell>
          <cell r="BK308" t="str">
            <v>0</v>
          </cell>
          <cell r="BL308" t="str">
            <v>0</v>
          </cell>
          <cell r="BM308" t="str">
            <v>0</v>
          </cell>
          <cell r="BN308" t="str">
            <v>0</v>
          </cell>
          <cell r="BO308" t="str">
            <v>0</v>
          </cell>
          <cell r="BP308" t="str">
            <v>0</v>
          </cell>
          <cell r="BQ308" t="str">
            <v>0</v>
          </cell>
          <cell r="BR308" t="str">
            <v>0</v>
          </cell>
          <cell r="BS308" t="str">
            <v>0</v>
          </cell>
          <cell r="BT308" t="str">
            <v>0</v>
          </cell>
          <cell r="BU308" t="str">
            <v>0</v>
          </cell>
          <cell r="BV308" t="str">
            <v>0</v>
          </cell>
          <cell r="BW308" t="str">
            <v>0</v>
          </cell>
          <cell r="BX308" t="str">
            <v>0</v>
          </cell>
          <cell r="BY308" t="str">
            <v>0</v>
          </cell>
          <cell r="BZ308" t="str">
            <v>0</v>
          </cell>
          <cell r="CA308" t="str">
            <v>0</v>
          </cell>
          <cell r="CB308" t="str">
            <v>0</v>
          </cell>
          <cell r="CC308" t="str">
            <v>0</v>
          </cell>
          <cell r="CD308" t="str">
            <v>0</v>
          </cell>
          <cell r="CE308" t="str">
            <v>0</v>
          </cell>
          <cell r="CF308" t="str">
            <v>0</v>
          </cell>
          <cell r="CG308" t="str">
            <v>0</v>
          </cell>
          <cell r="CH308" t="str">
            <v>0</v>
          </cell>
          <cell r="CI308" t="str">
            <v>0</v>
          </cell>
          <cell r="CJ308" t="str">
            <v>0</v>
          </cell>
          <cell r="CK308" t="str">
            <v>0</v>
          </cell>
          <cell r="CL308" t="str">
            <v>0</v>
          </cell>
          <cell r="CM308" t="str">
            <v>0</v>
          </cell>
          <cell r="CN308" t="str">
            <v>0</v>
          </cell>
          <cell r="CO308" t="str">
            <v>0</v>
          </cell>
          <cell r="CP308" t="str">
            <v>0</v>
          </cell>
          <cell r="CQ308" t="str">
            <v>0</v>
          </cell>
          <cell r="CR308" t="str">
            <v>0</v>
          </cell>
          <cell r="CS308" t="str">
            <v>0</v>
          </cell>
          <cell r="CT308" t="str">
            <v>0</v>
          </cell>
          <cell r="CU308" t="str">
            <v>0</v>
          </cell>
          <cell r="CV308" t="str">
            <v>0</v>
          </cell>
          <cell r="CW308" t="str">
            <v>0</v>
          </cell>
          <cell r="CX308" t="str">
            <v>0</v>
          </cell>
          <cell r="CY308" t="str">
            <v>0</v>
          </cell>
          <cell r="CZ308" t="str">
            <v>0</v>
          </cell>
          <cell r="DA308" t="str">
            <v>0</v>
          </cell>
          <cell r="DB308" t="str">
            <v>0</v>
          </cell>
          <cell r="DC308" t="str">
            <v>0</v>
          </cell>
          <cell r="DD308" t="str">
            <v>0</v>
          </cell>
          <cell r="DE308" t="str">
            <v>0</v>
          </cell>
          <cell r="DF308" t="str">
            <v>0</v>
          </cell>
          <cell r="DG308" t="str">
            <v>0</v>
          </cell>
          <cell r="DH308" t="str">
            <v>0</v>
          </cell>
          <cell r="DI308" t="str">
            <v>0</v>
          </cell>
          <cell r="DJ308" t="str">
            <v>0</v>
          </cell>
          <cell r="DK308" t="str">
            <v>0</v>
          </cell>
          <cell r="DL308" t="str">
            <v>0</v>
          </cell>
          <cell r="DM308" t="str">
            <v>0</v>
          </cell>
          <cell r="DN308" t="str">
            <v>0</v>
          </cell>
          <cell r="DO308" t="str">
            <v>0</v>
          </cell>
          <cell r="DP308" t="str">
            <v>0</v>
          </cell>
        </row>
        <row r="309">
          <cell r="C309"/>
          <cell r="D309" t="str">
            <v>0</v>
          </cell>
          <cell r="E309" t="str">
            <v>0</v>
          </cell>
          <cell r="F309" t="str">
            <v>0</v>
          </cell>
          <cell r="G309" t="str">
            <v>0</v>
          </cell>
          <cell r="H309" t="str">
            <v>0</v>
          </cell>
          <cell r="I309" t="str">
            <v>0</v>
          </cell>
          <cell r="J309" t="str">
            <v>0</v>
          </cell>
          <cell r="K309" t="str">
            <v>0</v>
          </cell>
          <cell r="L309" t="str">
            <v>0</v>
          </cell>
          <cell r="M309" t="str">
            <v>0</v>
          </cell>
          <cell r="N309" t="str">
            <v>0</v>
          </cell>
          <cell r="O309" t="str">
            <v>0</v>
          </cell>
          <cell r="P309" t="str">
            <v>0</v>
          </cell>
          <cell r="Q309" t="str">
            <v>0</v>
          </cell>
          <cell r="R309" t="str">
            <v>0</v>
          </cell>
          <cell r="S309" t="str">
            <v>0</v>
          </cell>
          <cell r="T309" t="str">
            <v>0</v>
          </cell>
          <cell r="U309" t="str">
            <v>0</v>
          </cell>
          <cell r="V309" t="str">
            <v>0</v>
          </cell>
          <cell r="W309" t="str">
            <v>0</v>
          </cell>
          <cell r="X309" t="str">
            <v>0</v>
          </cell>
          <cell r="Y309" t="str">
            <v>0</v>
          </cell>
          <cell r="Z309" t="str">
            <v>0</v>
          </cell>
          <cell r="AA309" t="str">
            <v>0</v>
          </cell>
          <cell r="AB309" t="str">
            <v>0</v>
          </cell>
          <cell r="AC309" t="str">
            <v>0</v>
          </cell>
          <cell r="AD309" t="str">
            <v>0</v>
          </cell>
          <cell r="AE309" t="str">
            <v>0</v>
          </cell>
          <cell r="AF309" t="str">
            <v>0</v>
          </cell>
          <cell r="AG309" t="str">
            <v>0</v>
          </cell>
          <cell r="AH309" t="str">
            <v>0</v>
          </cell>
          <cell r="AI309" t="str">
            <v>0</v>
          </cell>
          <cell r="AJ309" t="str">
            <v>0</v>
          </cell>
          <cell r="AK309" t="str">
            <v>0</v>
          </cell>
          <cell r="AL309" t="str">
            <v>0</v>
          </cell>
          <cell r="AM309" t="str">
            <v>0</v>
          </cell>
          <cell r="AN309" t="str">
            <v>0</v>
          </cell>
          <cell r="AO309" t="str">
            <v>0</v>
          </cell>
          <cell r="AP309" t="str">
            <v>0</v>
          </cell>
          <cell r="AQ309" t="str">
            <v>0</v>
          </cell>
          <cell r="AR309" t="str">
            <v>0</v>
          </cell>
          <cell r="AS309" t="str">
            <v>0</v>
          </cell>
          <cell r="AT309" t="str">
            <v>0</v>
          </cell>
          <cell r="AU309" t="str">
            <v>0</v>
          </cell>
          <cell r="AV309" t="str">
            <v>0</v>
          </cell>
          <cell r="AW309" t="str">
            <v>0</v>
          </cell>
          <cell r="AX309" t="str">
            <v>0</v>
          </cell>
          <cell r="AY309" t="str">
            <v>0</v>
          </cell>
          <cell r="AZ309" t="str">
            <v>0</v>
          </cell>
          <cell r="BA309" t="str">
            <v>0</v>
          </cell>
          <cell r="BB309" t="str">
            <v>0</v>
          </cell>
          <cell r="BC309" t="str">
            <v>0</v>
          </cell>
          <cell r="BD309" t="str">
            <v>0</v>
          </cell>
          <cell r="BE309" t="str">
            <v>0</v>
          </cell>
          <cell r="BF309" t="str">
            <v>0</v>
          </cell>
          <cell r="BG309" t="str">
            <v>0</v>
          </cell>
          <cell r="BH309" t="str">
            <v>0</v>
          </cell>
          <cell r="BI309" t="str">
            <v>0</v>
          </cell>
          <cell r="BJ309" t="str">
            <v>0</v>
          </cell>
          <cell r="BK309" t="str">
            <v>0</v>
          </cell>
          <cell r="BL309" t="str">
            <v>0</v>
          </cell>
          <cell r="BM309" t="str">
            <v>0</v>
          </cell>
          <cell r="BN309" t="str">
            <v>0</v>
          </cell>
          <cell r="BO309" t="str">
            <v>0</v>
          </cell>
          <cell r="BP309" t="str">
            <v>0</v>
          </cell>
          <cell r="BQ309" t="str">
            <v>0</v>
          </cell>
          <cell r="BR309" t="str">
            <v>0</v>
          </cell>
          <cell r="BS309" t="str">
            <v>0</v>
          </cell>
          <cell r="BT309" t="str">
            <v>0</v>
          </cell>
          <cell r="BU309" t="str">
            <v>0</v>
          </cell>
          <cell r="BV309" t="str">
            <v>0</v>
          </cell>
          <cell r="BW309" t="str">
            <v>0</v>
          </cell>
          <cell r="BX309" t="str">
            <v>0</v>
          </cell>
          <cell r="BY309" t="str">
            <v>0</v>
          </cell>
          <cell r="BZ309" t="str">
            <v>0</v>
          </cell>
          <cell r="CA309" t="str">
            <v>0</v>
          </cell>
          <cell r="CB309" t="str">
            <v>0</v>
          </cell>
          <cell r="CC309" t="str">
            <v>0</v>
          </cell>
          <cell r="CD309" t="str">
            <v>0</v>
          </cell>
          <cell r="CE309" t="str">
            <v>0</v>
          </cell>
          <cell r="CF309" t="str">
            <v>0</v>
          </cell>
          <cell r="CG309" t="str">
            <v>0</v>
          </cell>
          <cell r="CH309" t="str">
            <v>0</v>
          </cell>
          <cell r="CI309" t="str">
            <v>0</v>
          </cell>
          <cell r="CJ309" t="str">
            <v>0</v>
          </cell>
          <cell r="CK309" t="str">
            <v>0</v>
          </cell>
          <cell r="CL309" t="str">
            <v>0</v>
          </cell>
          <cell r="CM309" t="str">
            <v>0</v>
          </cell>
          <cell r="CN309" t="str">
            <v>0</v>
          </cell>
          <cell r="CO309" t="str">
            <v>0</v>
          </cell>
          <cell r="CP309" t="str">
            <v>0</v>
          </cell>
          <cell r="CQ309" t="str">
            <v>0</v>
          </cell>
          <cell r="CR309" t="str">
            <v>0</v>
          </cell>
          <cell r="CS309" t="str">
            <v>0</v>
          </cell>
          <cell r="CT309" t="str">
            <v>0</v>
          </cell>
          <cell r="CU309" t="str">
            <v>0</v>
          </cell>
          <cell r="CV309" t="str">
            <v>0</v>
          </cell>
          <cell r="CW309" t="str">
            <v>0</v>
          </cell>
          <cell r="CX309" t="str">
            <v>0</v>
          </cell>
          <cell r="CY309" t="str">
            <v>0</v>
          </cell>
          <cell r="CZ309" t="str">
            <v>0</v>
          </cell>
          <cell r="DA309" t="str">
            <v>0</v>
          </cell>
          <cell r="DB309" t="str">
            <v>0</v>
          </cell>
          <cell r="DC309" t="str">
            <v>0</v>
          </cell>
          <cell r="DD309" t="str">
            <v>0</v>
          </cell>
          <cell r="DE309" t="str">
            <v>0</v>
          </cell>
          <cell r="DF309" t="str">
            <v>0</v>
          </cell>
          <cell r="DG309" t="str">
            <v>0</v>
          </cell>
          <cell r="DH309" t="str">
            <v>0</v>
          </cell>
          <cell r="DI309" t="str">
            <v>0</v>
          </cell>
          <cell r="DJ309" t="str">
            <v>0</v>
          </cell>
          <cell r="DK309" t="str">
            <v>0</v>
          </cell>
          <cell r="DL309" t="str">
            <v>0</v>
          </cell>
          <cell r="DM309" t="str">
            <v>0</v>
          </cell>
          <cell r="DN309" t="str">
            <v>0</v>
          </cell>
          <cell r="DO309" t="str">
            <v>0</v>
          </cell>
          <cell r="DP309" t="str">
            <v>0</v>
          </cell>
        </row>
        <row r="310">
          <cell r="C310"/>
          <cell r="D310" t="str">
            <v>0</v>
          </cell>
          <cell r="E310" t="str">
            <v>0</v>
          </cell>
          <cell r="F310" t="str">
            <v>0</v>
          </cell>
          <cell r="G310" t="str">
            <v>0</v>
          </cell>
          <cell r="H310" t="str">
            <v>0</v>
          </cell>
          <cell r="I310" t="str">
            <v>0</v>
          </cell>
          <cell r="J310" t="str">
            <v>0</v>
          </cell>
          <cell r="K310" t="str">
            <v>0</v>
          </cell>
          <cell r="L310" t="str">
            <v>0</v>
          </cell>
          <cell r="M310" t="str">
            <v>0</v>
          </cell>
          <cell r="N310" t="str">
            <v>0</v>
          </cell>
          <cell r="O310" t="str">
            <v>0</v>
          </cell>
          <cell r="P310" t="str">
            <v>0</v>
          </cell>
          <cell r="Q310" t="str">
            <v>0</v>
          </cell>
          <cell r="R310" t="str">
            <v>0</v>
          </cell>
          <cell r="S310" t="str">
            <v>0</v>
          </cell>
          <cell r="T310" t="str">
            <v>0</v>
          </cell>
          <cell r="U310" t="str">
            <v>0</v>
          </cell>
          <cell r="V310" t="str">
            <v>0</v>
          </cell>
          <cell r="W310" t="str">
            <v>0</v>
          </cell>
          <cell r="X310" t="str">
            <v>0</v>
          </cell>
          <cell r="Y310" t="str">
            <v>0</v>
          </cell>
          <cell r="Z310" t="str">
            <v>0</v>
          </cell>
          <cell r="AA310" t="str">
            <v>0</v>
          </cell>
          <cell r="AB310" t="str">
            <v>0</v>
          </cell>
          <cell r="AC310" t="str">
            <v>0</v>
          </cell>
          <cell r="AD310" t="str">
            <v>0</v>
          </cell>
          <cell r="AE310" t="str">
            <v>0</v>
          </cell>
          <cell r="AF310" t="str">
            <v>0</v>
          </cell>
          <cell r="AG310" t="str">
            <v>0</v>
          </cell>
          <cell r="AH310" t="str">
            <v>0</v>
          </cell>
          <cell r="AI310" t="str">
            <v>0</v>
          </cell>
          <cell r="AJ310" t="str">
            <v>0</v>
          </cell>
          <cell r="AK310" t="str">
            <v>0</v>
          </cell>
          <cell r="AL310" t="str">
            <v>0</v>
          </cell>
          <cell r="AM310" t="str">
            <v>0</v>
          </cell>
          <cell r="AN310" t="str">
            <v>0</v>
          </cell>
          <cell r="AO310" t="str">
            <v>0</v>
          </cell>
          <cell r="AP310" t="str">
            <v>0</v>
          </cell>
          <cell r="AQ310" t="str">
            <v>0</v>
          </cell>
          <cell r="AR310" t="str">
            <v>0</v>
          </cell>
          <cell r="AS310" t="str">
            <v>0</v>
          </cell>
          <cell r="AT310" t="str">
            <v>0</v>
          </cell>
          <cell r="AU310" t="str">
            <v>0</v>
          </cell>
          <cell r="AV310" t="str">
            <v>0</v>
          </cell>
          <cell r="AW310" t="str">
            <v>0</v>
          </cell>
          <cell r="AX310" t="str">
            <v>0</v>
          </cell>
          <cell r="AY310" t="str">
            <v>0</v>
          </cell>
          <cell r="AZ310" t="str">
            <v>0</v>
          </cell>
          <cell r="BA310" t="str">
            <v>0</v>
          </cell>
          <cell r="BB310" t="str">
            <v>0</v>
          </cell>
          <cell r="BC310" t="str">
            <v>0</v>
          </cell>
          <cell r="BD310" t="str">
            <v>0</v>
          </cell>
          <cell r="BE310" t="str">
            <v>0</v>
          </cell>
          <cell r="BF310" t="str">
            <v>0</v>
          </cell>
          <cell r="BG310" t="str">
            <v>0</v>
          </cell>
          <cell r="BH310" t="str">
            <v>0</v>
          </cell>
          <cell r="BI310" t="str">
            <v>0</v>
          </cell>
          <cell r="BJ310" t="str">
            <v>0</v>
          </cell>
          <cell r="BK310" t="str">
            <v>0</v>
          </cell>
          <cell r="BL310" t="str">
            <v>0</v>
          </cell>
          <cell r="BM310" t="str">
            <v>0</v>
          </cell>
          <cell r="BN310" t="str">
            <v>0</v>
          </cell>
          <cell r="BO310" t="str">
            <v>0</v>
          </cell>
          <cell r="BP310" t="str">
            <v>0</v>
          </cell>
          <cell r="BQ310" t="str">
            <v>0</v>
          </cell>
          <cell r="BR310" t="str">
            <v>0</v>
          </cell>
          <cell r="BS310" t="str">
            <v>0</v>
          </cell>
          <cell r="BT310" t="str">
            <v>0</v>
          </cell>
          <cell r="BU310" t="str">
            <v>0</v>
          </cell>
          <cell r="BV310" t="str">
            <v>0</v>
          </cell>
          <cell r="BW310" t="str">
            <v>0</v>
          </cell>
          <cell r="BX310" t="str">
            <v>0</v>
          </cell>
          <cell r="BY310" t="str">
            <v>0</v>
          </cell>
          <cell r="BZ310" t="str">
            <v>0</v>
          </cell>
          <cell r="CA310" t="str">
            <v>0</v>
          </cell>
          <cell r="CB310" t="str">
            <v>0</v>
          </cell>
          <cell r="CC310" t="str">
            <v>0</v>
          </cell>
          <cell r="CD310" t="str">
            <v>0</v>
          </cell>
          <cell r="CE310" t="str">
            <v>0</v>
          </cell>
          <cell r="CF310" t="str">
            <v>0</v>
          </cell>
          <cell r="CG310" t="str">
            <v>0</v>
          </cell>
          <cell r="CH310" t="str">
            <v>0</v>
          </cell>
          <cell r="CI310" t="str">
            <v>0</v>
          </cell>
          <cell r="CJ310" t="str">
            <v>0</v>
          </cell>
          <cell r="CK310" t="str">
            <v>0</v>
          </cell>
          <cell r="CL310" t="str">
            <v>0</v>
          </cell>
          <cell r="CM310" t="str">
            <v>0</v>
          </cell>
          <cell r="CN310" t="str">
            <v>0</v>
          </cell>
          <cell r="CO310" t="str">
            <v>0</v>
          </cell>
          <cell r="CP310" t="str">
            <v>0</v>
          </cell>
          <cell r="CQ310" t="str">
            <v>0</v>
          </cell>
          <cell r="CR310" t="str">
            <v>0</v>
          </cell>
          <cell r="CS310" t="str">
            <v>0</v>
          </cell>
          <cell r="CT310" t="str">
            <v>0</v>
          </cell>
          <cell r="CU310" t="str">
            <v>0</v>
          </cell>
          <cell r="CV310" t="str">
            <v>0</v>
          </cell>
          <cell r="CW310" t="str">
            <v>0</v>
          </cell>
          <cell r="CX310" t="str">
            <v>0</v>
          </cell>
          <cell r="CY310" t="str">
            <v>0</v>
          </cell>
          <cell r="CZ310" t="str">
            <v>0</v>
          </cell>
          <cell r="DA310" t="str">
            <v>0</v>
          </cell>
          <cell r="DB310" t="str">
            <v>0</v>
          </cell>
          <cell r="DC310" t="str">
            <v>0</v>
          </cell>
          <cell r="DD310" t="str">
            <v>0</v>
          </cell>
          <cell r="DE310" t="str">
            <v>0</v>
          </cell>
          <cell r="DF310" t="str">
            <v>0</v>
          </cell>
          <cell r="DG310" t="str">
            <v>0</v>
          </cell>
          <cell r="DH310" t="str">
            <v>0</v>
          </cell>
          <cell r="DI310" t="str">
            <v>0</v>
          </cell>
          <cell r="DJ310" t="str">
            <v>0</v>
          </cell>
          <cell r="DK310" t="str">
            <v>0</v>
          </cell>
          <cell r="DL310" t="str">
            <v>0</v>
          </cell>
          <cell r="DM310" t="str">
            <v>0</v>
          </cell>
          <cell r="DN310" t="str">
            <v>0</v>
          </cell>
          <cell r="DO310" t="str">
            <v>0</v>
          </cell>
          <cell r="DP310" t="str">
            <v>0</v>
          </cell>
        </row>
        <row r="311">
          <cell r="C311"/>
          <cell r="D311" t="str">
            <v>0</v>
          </cell>
          <cell r="E311" t="str">
            <v>0</v>
          </cell>
          <cell r="F311" t="str">
            <v>0</v>
          </cell>
          <cell r="G311" t="str">
            <v>0</v>
          </cell>
          <cell r="H311" t="str">
            <v>0</v>
          </cell>
          <cell r="I311" t="str">
            <v>0</v>
          </cell>
          <cell r="J311" t="str">
            <v>0</v>
          </cell>
          <cell r="K311" t="str">
            <v>0</v>
          </cell>
          <cell r="L311" t="str">
            <v>0</v>
          </cell>
          <cell r="M311" t="str">
            <v>0</v>
          </cell>
          <cell r="N311" t="str">
            <v>0</v>
          </cell>
          <cell r="O311" t="str">
            <v>0</v>
          </cell>
          <cell r="P311" t="str">
            <v>0</v>
          </cell>
          <cell r="Q311" t="str">
            <v>0</v>
          </cell>
          <cell r="R311" t="str">
            <v>0</v>
          </cell>
          <cell r="S311" t="str">
            <v>0</v>
          </cell>
          <cell r="T311" t="str">
            <v>0</v>
          </cell>
          <cell r="U311" t="str">
            <v>0</v>
          </cell>
          <cell r="V311" t="str">
            <v>0</v>
          </cell>
          <cell r="W311" t="str">
            <v>0</v>
          </cell>
          <cell r="X311" t="str">
            <v>0</v>
          </cell>
          <cell r="Y311" t="str">
            <v>0</v>
          </cell>
          <cell r="Z311" t="str">
            <v>0</v>
          </cell>
          <cell r="AA311" t="str">
            <v>0</v>
          </cell>
          <cell r="AB311" t="str">
            <v>0</v>
          </cell>
          <cell r="AC311" t="str">
            <v>0</v>
          </cell>
          <cell r="AD311" t="str">
            <v>0</v>
          </cell>
          <cell r="AE311" t="str">
            <v>0</v>
          </cell>
          <cell r="AF311" t="str">
            <v>0</v>
          </cell>
          <cell r="AG311" t="str">
            <v>0</v>
          </cell>
          <cell r="AH311" t="str">
            <v>0</v>
          </cell>
          <cell r="AI311" t="str">
            <v>0</v>
          </cell>
          <cell r="AJ311" t="str">
            <v>0</v>
          </cell>
          <cell r="AK311" t="str">
            <v>0</v>
          </cell>
          <cell r="AL311" t="str">
            <v>0</v>
          </cell>
          <cell r="AM311" t="str">
            <v>0</v>
          </cell>
          <cell r="AN311" t="str">
            <v>0</v>
          </cell>
          <cell r="AO311" t="str">
            <v>0</v>
          </cell>
          <cell r="AP311" t="str">
            <v>0</v>
          </cell>
          <cell r="AQ311" t="str">
            <v>0</v>
          </cell>
          <cell r="AR311" t="str">
            <v>0</v>
          </cell>
          <cell r="AS311" t="str">
            <v>0</v>
          </cell>
          <cell r="AT311" t="str">
            <v>0</v>
          </cell>
          <cell r="AU311" t="str">
            <v>0</v>
          </cell>
          <cell r="AV311" t="str">
            <v>0</v>
          </cell>
          <cell r="AW311" t="str">
            <v>0</v>
          </cell>
          <cell r="AX311" t="str">
            <v>0</v>
          </cell>
          <cell r="AY311" t="str">
            <v>0</v>
          </cell>
          <cell r="AZ311" t="str">
            <v>0</v>
          </cell>
          <cell r="BA311" t="str">
            <v>0</v>
          </cell>
          <cell r="BB311" t="str">
            <v>0</v>
          </cell>
          <cell r="BC311" t="str">
            <v>0</v>
          </cell>
          <cell r="BD311" t="str">
            <v>0</v>
          </cell>
          <cell r="BE311" t="str">
            <v>0</v>
          </cell>
          <cell r="BF311" t="str">
            <v>0</v>
          </cell>
          <cell r="BG311" t="str">
            <v>0</v>
          </cell>
          <cell r="BH311" t="str">
            <v>0</v>
          </cell>
          <cell r="BI311" t="str">
            <v>0</v>
          </cell>
          <cell r="BJ311" t="str">
            <v>0</v>
          </cell>
          <cell r="BK311" t="str">
            <v>0</v>
          </cell>
          <cell r="BL311" t="str">
            <v>0</v>
          </cell>
          <cell r="BM311" t="str">
            <v>0</v>
          </cell>
          <cell r="BN311" t="str">
            <v>0</v>
          </cell>
          <cell r="BO311" t="str">
            <v>0</v>
          </cell>
          <cell r="BP311" t="str">
            <v>0</v>
          </cell>
          <cell r="BQ311" t="str">
            <v>0</v>
          </cell>
          <cell r="BR311" t="str">
            <v>0</v>
          </cell>
          <cell r="BS311" t="str">
            <v>0</v>
          </cell>
          <cell r="BT311" t="str">
            <v>0</v>
          </cell>
          <cell r="BU311" t="str">
            <v>0</v>
          </cell>
          <cell r="BV311" t="str">
            <v>0</v>
          </cell>
          <cell r="BW311" t="str">
            <v>0</v>
          </cell>
          <cell r="BX311" t="str">
            <v>0</v>
          </cell>
          <cell r="BY311" t="str">
            <v>0</v>
          </cell>
          <cell r="BZ311" t="str">
            <v>0</v>
          </cell>
          <cell r="CA311" t="str">
            <v>0</v>
          </cell>
          <cell r="CB311" t="str">
            <v>0</v>
          </cell>
          <cell r="CC311" t="str">
            <v>0</v>
          </cell>
          <cell r="CD311" t="str">
            <v>0</v>
          </cell>
          <cell r="CE311" t="str">
            <v>0</v>
          </cell>
          <cell r="CF311" t="str">
            <v>0</v>
          </cell>
          <cell r="CG311" t="str">
            <v>0</v>
          </cell>
          <cell r="CH311" t="str">
            <v>0</v>
          </cell>
          <cell r="CI311" t="str">
            <v>0</v>
          </cell>
          <cell r="CJ311" t="str">
            <v>0</v>
          </cell>
          <cell r="CK311" t="str">
            <v>0</v>
          </cell>
          <cell r="CL311" t="str">
            <v>0</v>
          </cell>
          <cell r="CM311" t="str">
            <v>0</v>
          </cell>
          <cell r="CN311" t="str">
            <v>0</v>
          </cell>
          <cell r="CO311" t="str">
            <v>0</v>
          </cell>
          <cell r="CP311" t="str">
            <v>0</v>
          </cell>
          <cell r="CQ311" t="str">
            <v>0</v>
          </cell>
          <cell r="CR311" t="str">
            <v>0</v>
          </cell>
          <cell r="CS311" t="str">
            <v>0</v>
          </cell>
          <cell r="CT311" t="str">
            <v>0</v>
          </cell>
          <cell r="CU311" t="str">
            <v>0</v>
          </cell>
          <cell r="CV311" t="str">
            <v>0</v>
          </cell>
          <cell r="CW311" t="str">
            <v>0</v>
          </cell>
          <cell r="CX311" t="str">
            <v>0</v>
          </cell>
          <cell r="CY311" t="str">
            <v>0</v>
          </cell>
          <cell r="CZ311" t="str">
            <v>0</v>
          </cell>
          <cell r="DA311" t="str">
            <v>0</v>
          </cell>
          <cell r="DB311" t="str">
            <v>0</v>
          </cell>
          <cell r="DC311" t="str">
            <v>0</v>
          </cell>
          <cell r="DD311" t="str">
            <v>0</v>
          </cell>
          <cell r="DE311" t="str">
            <v>0</v>
          </cell>
          <cell r="DF311" t="str">
            <v>0</v>
          </cell>
          <cell r="DG311" t="str">
            <v>0</v>
          </cell>
          <cell r="DH311" t="str">
            <v>0</v>
          </cell>
          <cell r="DI311" t="str">
            <v>0</v>
          </cell>
          <cell r="DJ311" t="str">
            <v>0</v>
          </cell>
          <cell r="DK311" t="str">
            <v>0</v>
          </cell>
          <cell r="DL311" t="str">
            <v>0</v>
          </cell>
          <cell r="DM311" t="str">
            <v>0</v>
          </cell>
          <cell r="DN311" t="str">
            <v>0</v>
          </cell>
          <cell r="DO311" t="str">
            <v>0</v>
          </cell>
          <cell r="DP311" t="str">
            <v>0</v>
          </cell>
        </row>
        <row r="312">
          <cell r="C312"/>
          <cell r="D312" t="str">
            <v>0</v>
          </cell>
          <cell r="E312" t="str">
            <v>0</v>
          </cell>
          <cell r="F312" t="str">
            <v>0</v>
          </cell>
          <cell r="G312" t="str">
            <v>0</v>
          </cell>
          <cell r="H312" t="str">
            <v>0</v>
          </cell>
          <cell r="I312" t="str">
            <v>0</v>
          </cell>
          <cell r="J312" t="str">
            <v>0</v>
          </cell>
          <cell r="K312" t="str">
            <v>0</v>
          </cell>
          <cell r="L312" t="str">
            <v>0</v>
          </cell>
          <cell r="M312" t="str">
            <v>0</v>
          </cell>
          <cell r="N312" t="str">
            <v>0</v>
          </cell>
          <cell r="O312" t="str">
            <v>0</v>
          </cell>
          <cell r="P312" t="str">
            <v>0</v>
          </cell>
          <cell r="Q312" t="str">
            <v>0</v>
          </cell>
          <cell r="R312" t="str">
            <v>0</v>
          </cell>
          <cell r="S312" t="str">
            <v>0</v>
          </cell>
          <cell r="T312" t="str">
            <v>0</v>
          </cell>
          <cell r="U312" t="str">
            <v>0</v>
          </cell>
          <cell r="V312" t="str">
            <v>0</v>
          </cell>
          <cell r="W312" t="str">
            <v>0</v>
          </cell>
          <cell r="X312" t="str">
            <v>0</v>
          </cell>
          <cell r="Y312" t="str">
            <v>0</v>
          </cell>
          <cell r="Z312" t="str">
            <v>0</v>
          </cell>
          <cell r="AA312" t="str">
            <v>0</v>
          </cell>
          <cell r="AB312" t="str">
            <v>0</v>
          </cell>
          <cell r="AC312" t="str">
            <v>0</v>
          </cell>
          <cell r="AD312" t="str">
            <v>0</v>
          </cell>
          <cell r="AE312" t="str">
            <v>0</v>
          </cell>
          <cell r="AF312" t="str">
            <v>0</v>
          </cell>
          <cell r="AG312" t="str">
            <v>0</v>
          </cell>
          <cell r="AH312" t="str">
            <v>0</v>
          </cell>
          <cell r="AI312" t="str">
            <v>0</v>
          </cell>
          <cell r="AJ312" t="str">
            <v>0</v>
          </cell>
          <cell r="AK312" t="str">
            <v>0</v>
          </cell>
          <cell r="AL312" t="str">
            <v>0</v>
          </cell>
          <cell r="AM312" t="str">
            <v>0</v>
          </cell>
          <cell r="AN312" t="str">
            <v>0</v>
          </cell>
          <cell r="AO312" t="str">
            <v>0</v>
          </cell>
          <cell r="AP312" t="str">
            <v>0</v>
          </cell>
          <cell r="AQ312" t="str">
            <v>0</v>
          </cell>
          <cell r="AR312" t="str">
            <v>0</v>
          </cell>
          <cell r="AS312" t="str">
            <v>0</v>
          </cell>
          <cell r="AT312" t="str">
            <v>0</v>
          </cell>
          <cell r="AU312" t="str">
            <v>0</v>
          </cell>
          <cell r="AV312" t="str">
            <v>0</v>
          </cell>
          <cell r="AW312" t="str">
            <v>0</v>
          </cell>
          <cell r="AX312" t="str">
            <v>0</v>
          </cell>
          <cell r="AY312" t="str">
            <v>0</v>
          </cell>
          <cell r="AZ312" t="str">
            <v>0</v>
          </cell>
          <cell r="BA312" t="str">
            <v>0</v>
          </cell>
          <cell r="BB312" t="str">
            <v>0</v>
          </cell>
          <cell r="BC312" t="str">
            <v>0</v>
          </cell>
          <cell r="BD312" t="str">
            <v>0</v>
          </cell>
          <cell r="BE312" t="str">
            <v>0</v>
          </cell>
          <cell r="BF312" t="str">
            <v>0</v>
          </cell>
          <cell r="BG312" t="str">
            <v>0</v>
          </cell>
          <cell r="BH312" t="str">
            <v>0</v>
          </cell>
          <cell r="BI312" t="str">
            <v>0</v>
          </cell>
          <cell r="BJ312" t="str">
            <v>0</v>
          </cell>
          <cell r="BK312" t="str">
            <v>0</v>
          </cell>
          <cell r="BL312" t="str">
            <v>0</v>
          </cell>
          <cell r="BM312" t="str">
            <v>0</v>
          </cell>
          <cell r="BN312" t="str">
            <v>0</v>
          </cell>
          <cell r="BO312" t="str">
            <v>0</v>
          </cell>
          <cell r="BP312" t="str">
            <v>0</v>
          </cell>
          <cell r="BQ312" t="str">
            <v>0</v>
          </cell>
          <cell r="BR312" t="str">
            <v>0</v>
          </cell>
          <cell r="BS312" t="str">
            <v>0</v>
          </cell>
          <cell r="BT312" t="str">
            <v>0</v>
          </cell>
          <cell r="BU312" t="str">
            <v>0</v>
          </cell>
          <cell r="BV312" t="str">
            <v>0</v>
          </cell>
          <cell r="BW312" t="str">
            <v>0</v>
          </cell>
          <cell r="BX312" t="str">
            <v>0</v>
          </cell>
          <cell r="BY312" t="str">
            <v>0</v>
          </cell>
          <cell r="BZ312" t="str">
            <v>0</v>
          </cell>
          <cell r="CA312" t="str">
            <v>0</v>
          </cell>
          <cell r="CB312" t="str">
            <v>0</v>
          </cell>
          <cell r="CC312" t="str">
            <v>0</v>
          </cell>
          <cell r="CD312" t="str">
            <v>0</v>
          </cell>
          <cell r="CE312" t="str">
            <v>0</v>
          </cell>
          <cell r="CF312" t="str">
            <v>0</v>
          </cell>
          <cell r="CG312" t="str">
            <v>0</v>
          </cell>
          <cell r="CH312" t="str">
            <v>0</v>
          </cell>
          <cell r="CI312" t="str">
            <v>0</v>
          </cell>
          <cell r="CJ312" t="str">
            <v>0</v>
          </cell>
          <cell r="CK312" t="str">
            <v>0</v>
          </cell>
          <cell r="CL312" t="str">
            <v>0</v>
          </cell>
          <cell r="CM312" t="str">
            <v>0</v>
          </cell>
          <cell r="CN312" t="str">
            <v>0</v>
          </cell>
          <cell r="CO312" t="str">
            <v>0</v>
          </cell>
          <cell r="CP312" t="str">
            <v>0</v>
          </cell>
          <cell r="CQ312" t="str">
            <v>0</v>
          </cell>
          <cell r="CR312" t="str">
            <v>0</v>
          </cell>
          <cell r="CS312" t="str">
            <v>0</v>
          </cell>
          <cell r="CT312" t="str">
            <v>0</v>
          </cell>
          <cell r="CU312" t="str">
            <v>0</v>
          </cell>
          <cell r="CV312" t="str">
            <v>0</v>
          </cell>
          <cell r="CW312" t="str">
            <v>0</v>
          </cell>
          <cell r="CX312" t="str">
            <v>0</v>
          </cell>
          <cell r="CY312" t="str">
            <v>0</v>
          </cell>
          <cell r="CZ312" t="str">
            <v>0</v>
          </cell>
          <cell r="DA312" t="str">
            <v>0</v>
          </cell>
          <cell r="DB312" t="str">
            <v>0</v>
          </cell>
          <cell r="DC312" t="str">
            <v>0</v>
          </cell>
          <cell r="DD312" t="str">
            <v>0</v>
          </cell>
          <cell r="DE312" t="str">
            <v>0</v>
          </cell>
          <cell r="DF312" t="str">
            <v>0</v>
          </cell>
          <cell r="DG312" t="str">
            <v>0</v>
          </cell>
          <cell r="DH312" t="str">
            <v>0</v>
          </cell>
          <cell r="DI312" t="str">
            <v>0</v>
          </cell>
          <cell r="DJ312" t="str">
            <v>0</v>
          </cell>
          <cell r="DK312" t="str">
            <v>0</v>
          </cell>
          <cell r="DL312" t="str">
            <v>0</v>
          </cell>
          <cell r="DM312" t="str">
            <v>0</v>
          </cell>
          <cell r="DN312" t="str">
            <v>0</v>
          </cell>
          <cell r="DO312" t="str">
            <v>0</v>
          </cell>
          <cell r="DP312" t="str">
            <v>0</v>
          </cell>
        </row>
        <row r="313">
          <cell r="C313"/>
          <cell r="D313" t="str">
            <v>0</v>
          </cell>
          <cell r="E313" t="str">
            <v>0</v>
          </cell>
          <cell r="F313" t="str">
            <v>0</v>
          </cell>
          <cell r="G313" t="str">
            <v>0</v>
          </cell>
          <cell r="H313" t="str">
            <v>0</v>
          </cell>
          <cell r="I313" t="str">
            <v>0</v>
          </cell>
          <cell r="J313" t="str">
            <v>0</v>
          </cell>
          <cell r="K313" t="str">
            <v>0</v>
          </cell>
          <cell r="L313" t="str">
            <v>0</v>
          </cell>
          <cell r="M313" t="str">
            <v>0</v>
          </cell>
          <cell r="N313" t="str">
            <v>0</v>
          </cell>
          <cell r="O313" t="str">
            <v>0</v>
          </cell>
          <cell r="P313" t="str">
            <v>0</v>
          </cell>
          <cell r="Q313" t="str">
            <v>0</v>
          </cell>
          <cell r="R313" t="str">
            <v>0</v>
          </cell>
          <cell r="S313" t="str">
            <v>0</v>
          </cell>
          <cell r="T313" t="str">
            <v>0</v>
          </cell>
          <cell r="U313" t="str">
            <v>0</v>
          </cell>
          <cell r="V313" t="str">
            <v>0</v>
          </cell>
          <cell r="W313" t="str">
            <v>0</v>
          </cell>
          <cell r="X313" t="str">
            <v>0</v>
          </cell>
          <cell r="Y313" t="str">
            <v>0</v>
          </cell>
          <cell r="Z313" t="str">
            <v>0</v>
          </cell>
          <cell r="AA313" t="str">
            <v>0</v>
          </cell>
          <cell r="AB313" t="str">
            <v>0</v>
          </cell>
          <cell r="AC313" t="str">
            <v>0</v>
          </cell>
          <cell r="AD313" t="str">
            <v>0</v>
          </cell>
          <cell r="AE313" t="str">
            <v>0</v>
          </cell>
          <cell r="AF313" t="str">
            <v>0</v>
          </cell>
          <cell r="AG313" t="str">
            <v>0</v>
          </cell>
          <cell r="AH313" t="str">
            <v>0</v>
          </cell>
          <cell r="AI313" t="str">
            <v>0</v>
          </cell>
          <cell r="AJ313" t="str">
            <v>0</v>
          </cell>
          <cell r="AK313" t="str">
            <v>0</v>
          </cell>
          <cell r="AL313" t="str">
            <v>0</v>
          </cell>
          <cell r="AM313" t="str">
            <v>0</v>
          </cell>
          <cell r="AN313" t="str">
            <v>0</v>
          </cell>
          <cell r="AO313" t="str">
            <v>0</v>
          </cell>
          <cell r="AP313" t="str">
            <v>0</v>
          </cell>
          <cell r="AQ313" t="str">
            <v>0</v>
          </cell>
          <cell r="AR313" t="str">
            <v>0</v>
          </cell>
          <cell r="AS313" t="str">
            <v>0</v>
          </cell>
          <cell r="AT313" t="str">
            <v>0</v>
          </cell>
          <cell r="AU313" t="str">
            <v>0</v>
          </cell>
          <cell r="AV313" t="str">
            <v>0</v>
          </cell>
          <cell r="AW313" t="str">
            <v>0</v>
          </cell>
          <cell r="AX313" t="str">
            <v>0</v>
          </cell>
          <cell r="AY313" t="str">
            <v>0</v>
          </cell>
          <cell r="AZ313" t="str">
            <v>0</v>
          </cell>
          <cell r="BA313" t="str">
            <v>0</v>
          </cell>
          <cell r="BB313" t="str">
            <v>0</v>
          </cell>
          <cell r="BC313" t="str">
            <v>0</v>
          </cell>
          <cell r="BD313" t="str">
            <v>0</v>
          </cell>
          <cell r="BE313" t="str">
            <v>0</v>
          </cell>
          <cell r="BF313" t="str">
            <v>0</v>
          </cell>
          <cell r="BG313" t="str">
            <v>0</v>
          </cell>
          <cell r="BH313" t="str">
            <v>0</v>
          </cell>
          <cell r="BI313" t="str">
            <v>0</v>
          </cell>
          <cell r="BJ313" t="str">
            <v>0</v>
          </cell>
          <cell r="BK313" t="str">
            <v>0</v>
          </cell>
          <cell r="BL313" t="str">
            <v>0</v>
          </cell>
          <cell r="BM313" t="str">
            <v>0</v>
          </cell>
          <cell r="BN313" t="str">
            <v>0</v>
          </cell>
          <cell r="BO313" t="str">
            <v>0</v>
          </cell>
          <cell r="BP313" t="str">
            <v>0</v>
          </cell>
          <cell r="BQ313" t="str">
            <v>0</v>
          </cell>
          <cell r="BR313" t="str">
            <v>0</v>
          </cell>
          <cell r="BS313" t="str">
            <v>0</v>
          </cell>
          <cell r="BT313" t="str">
            <v>0</v>
          </cell>
          <cell r="BU313" t="str">
            <v>0</v>
          </cell>
          <cell r="BV313" t="str">
            <v>0</v>
          </cell>
          <cell r="BW313" t="str">
            <v>0</v>
          </cell>
          <cell r="BX313" t="str">
            <v>0</v>
          </cell>
          <cell r="BY313" t="str">
            <v>0</v>
          </cell>
          <cell r="BZ313" t="str">
            <v>0</v>
          </cell>
          <cell r="CA313" t="str">
            <v>0</v>
          </cell>
          <cell r="CB313" t="str">
            <v>0</v>
          </cell>
          <cell r="CC313" t="str">
            <v>0</v>
          </cell>
          <cell r="CD313" t="str">
            <v>0</v>
          </cell>
          <cell r="CE313" t="str">
            <v>0</v>
          </cell>
          <cell r="CF313" t="str">
            <v>0</v>
          </cell>
          <cell r="CG313" t="str">
            <v>0</v>
          </cell>
          <cell r="CH313" t="str">
            <v>0</v>
          </cell>
          <cell r="CI313" t="str">
            <v>0</v>
          </cell>
          <cell r="CJ313" t="str">
            <v>0</v>
          </cell>
          <cell r="CK313" t="str">
            <v>0</v>
          </cell>
          <cell r="CL313" t="str">
            <v>0</v>
          </cell>
          <cell r="CM313" t="str">
            <v>0</v>
          </cell>
          <cell r="CN313" t="str">
            <v>0</v>
          </cell>
          <cell r="CO313" t="str">
            <v>0</v>
          </cell>
          <cell r="CP313" t="str">
            <v>0</v>
          </cell>
          <cell r="CQ313" t="str">
            <v>0</v>
          </cell>
          <cell r="CR313" t="str">
            <v>0</v>
          </cell>
          <cell r="CS313" t="str">
            <v>0</v>
          </cell>
          <cell r="CT313" t="str">
            <v>0</v>
          </cell>
          <cell r="CU313" t="str">
            <v>0</v>
          </cell>
          <cell r="CV313" t="str">
            <v>0</v>
          </cell>
          <cell r="CW313" t="str">
            <v>0</v>
          </cell>
          <cell r="CX313" t="str">
            <v>0</v>
          </cell>
          <cell r="CY313" t="str">
            <v>0</v>
          </cell>
          <cell r="CZ313" t="str">
            <v>0</v>
          </cell>
          <cell r="DA313" t="str">
            <v>0</v>
          </cell>
          <cell r="DB313" t="str">
            <v>0</v>
          </cell>
          <cell r="DC313" t="str">
            <v>0</v>
          </cell>
          <cell r="DD313" t="str">
            <v>0</v>
          </cell>
          <cell r="DE313" t="str">
            <v>0</v>
          </cell>
          <cell r="DF313" t="str">
            <v>0</v>
          </cell>
          <cell r="DG313" t="str">
            <v>0</v>
          </cell>
          <cell r="DH313" t="str">
            <v>0</v>
          </cell>
          <cell r="DI313" t="str">
            <v>0</v>
          </cell>
          <cell r="DJ313" t="str">
            <v>0</v>
          </cell>
          <cell r="DK313" t="str">
            <v>0</v>
          </cell>
          <cell r="DL313" t="str">
            <v>0</v>
          </cell>
          <cell r="DM313" t="str">
            <v>0</v>
          </cell>
          <cell r="DN313" t="str">
            <v>0</v>
          </cell>
          <cell r="DO313" t="str">
            <v>0</v>
          </cell>
          <cell r="DP313" t="str">
            <v>0</v>
          </cell>
        </row>
        <row r="314">
          <cell r="C314"/>
          <cell r="D314" t="str">
            <v>0</v>
          </cell>
          <cell r="E314" t="str">
            <v>0</v>
          </cell>
          <cell r="F314" t="str">
            <v>0</v>
          </cell>
          <cell r="G314" t="str">
            <v>0</v>
          </cell>
          <cell r="H314" t="str">
            <v>0</v>
          </cell>
          <cell r="I314" t="str">
            <v>0</v>
          </cell>
          <cell r="J314" t="str">
            <v>0</v>
          </cell>
          <cell r="K314" t="str">
            <v>0</v>
          </cell>
          <cell r="L314" t="str">
            <v>0</v>
          </cell>
          <cell r="M314" t="str">
            <v>0</v>
          </cell>
          <cell r="N314" t="str">
            <v>0</v>
          </cell>
          <cell r="O314" t="str">
            <v>0</v>
          </cell>
          <cell r="P314" t="str">
            <v>0</v>
          </cell>
          <cell r="Q314" t="str">
            <v>0</v>
          </cell>
          <cell r="R314" t="str">
            <v>0</v>
          </cell>
          <cell r="S314" t="str">
            <v>0</v>
          </cell>
          <cell r="T314" t="str">
            <v>0</v>
          </cell>
          <cell r="U314" t="str">
            <v>0</v>
          </cell>
          <cell r="V314" t="str">
            <v>0</v>
          </cell>
          <cell r="W314" t="str">
            <v>0</v>
          </cell>
          <cell r="X314" t="str">
            <v>0</v>
          </cell>
          <cell r="Y314" t="str">
            <v>0</v>
          </cell>
          <cell r="Z314" t="str">
            <v>0</v>
          </cell>
          <cell r="AA314" t="str">
            <v>0</v>
          </cell>
          <cell r="AB314" t="str">
            <v>0</v>
          </cell>
          <cell r="AC314" t="str">
            <v>0</v>
          </cell>
          <cell r="AD314" t="str">
            <v>0</v>
          </cell>
          <cell r="AE314" t="str">
            <v>0</v>
          </cell>
          <cell r="AF314" t="str">
            <v>0</v>
          </cell>
          <cell r="AG314" t="str">
            <v>0</v>
          </cell>
          <cell r="AH314" t="str">
            <v>0</v>
          </cell>
          <cell r="AI314" t="str">
            <v>0</v>
          </cell>
          <cell r="AJ314" t="str">
            <v>0</v>
          </cell>
          <cell r="AK314" t="str">
            <v>0</v>
          </cell>
          <cell r="AL314" t="str">
            <v>0</v>
          </cell>
          <cell r="AM314" t="str">
            <v>0</v>
          </cell>
          <cell r="AN314" t="str">
            <v>0</v>
          </cell>
          <cell r="AO314" t="str">
            <v>0</v>
          </cell>
          <cell r="AP314" t="str">
            <v>0</v>
          </cell>
          <cell r="AQ314" t="str">
            <v>0</v>
          </cell>
          <cell r="AR314" t="str">
            <v>0</v>
          </cell>
          <cell r="AS314" t="str">
            <v>0</v>
          </cell>
          <cell r="AT314" t="str">
            <v>0</v>
          </cell>
          <cell r="AU314" t="str">
            <v>0</v>
          </cell>
          <cell r="AV314" t="str">
            <v>0</v>
          </cell>
          <cell r="AW314" t="str">
            <v>0</v>
          </cell>
          <cell r="AX314" t="str">
            <v>0</v>
          </cell>
          <cell r="AY314" t="str">
            <v>0</v>
          </cell>
          <cell r="AZ314" t="str">
            <v>0</v>
          </cell>
          <cell r="BA314" t="str">
            <v>0</v>
          </cell>
          <cell r="BB314" t="str">
            <v>0</v>
          </cell>
          <cell r="BC314" t="str">
            <v>0</v>
          </cell>
          <cell r="BD314" t="str">
            <v>0</v>
          </cell>
          <cell r="BE314" t="str">
            <v>0</v>
          </cell>
          <cell r="BF314" t="str">
            <v>0</v>
          </cell>
          <cell r="BG314" t="str">
            <v>0</v>
          </cell>
          <cell r="BH314" t="str">
            <v>0</v>
          </cell>
          <cell r="BI314" t="str">
            <v>0</v>
          </cell>
          <cell r="BJ314" t="str">
            <v>0</v>
          </cell>
          <cell r="BK314" t="str">
            <v>0</v>
          </cell>
          <cell r="BL314" t="str">
            <v>0</v>
          </cell>
          <cell r="BM314" t="str">
            <v>0</v>
          </cell>
          <cell r="BN314" t="str">
            <v>0</v>
          </cell>
          <cell r="BO314" t="str">
            <v>0</v>
          </cell>
          <cell r="BP314" t="str">
            <v>0</v>
          </cell>
          <cell r="BQ314" t="str">
            <v>0</v>
          </cell>
          <cell r="BR314" t="str">
            <v>0</v>
          </cell>
          <cell r="BS314" t="str">
            <v>0</v>
          </cell>
          <cell r="BT314" t="str">
            <v>0</v>
          </cell>
          <cell r="BU314" t="str">
            <v>0</v>
          </cell>
          <cell r="BV314" t="str">
            <v>0</v>
          </cell>
          <cell r="BW314" t="str">
            <v>0</v>
          </cell>
          <cell r="BX314" t="str">
            <v>0</v>
          </cell>
          <cell r="BY314" t="str">
            <v>0</v>
          </cell>
          <cell r="BZ314" t="str">
            <v>0</v>
          </cell>
          <cell r="CA314" t="str">
            <v>0</v>
          </cell>
          <cell r="CB314" t="str">
            <v>0</v>
          </cell>
          <cell r="CC314" t="str">
            <v>0</v>
          </cell>
          <cell r="CD314" t="str">
            <v>0</v>
          </cell>
          <cell r="CE314" t="str">
            <v>0</v>
          </cell>
          <cell r="CF314" t="str">
            <v>0</v>
          </cell>
          <cell r="CG314" t="str">
            <v>0</v>
          </cell>
          <cell r="CH314" t="str">
            <v>0</v>
          </cell>
          <cell r="CI314" t="str">
            <v>0</v>
          </cell>
          <cell r="CJ314" t="str">
            <v>0</v>
          </cell>
          <cell r="CK314" t="str">
            <v>0</v>
          </cell>
          <cell r="CL314" t="str">
            <v>0</v>
          </cell>
          <cell r="CM314" t="str">
            <v>0</v>
          </cell>
          <cell r="CN314" t="str">
            <v>0</v>
          </cell>
          <cell r="CO314" t="str">
            <v>0</v>
          </cell>
          <cell r="CP314" t="str">
            <v>0</v>
          </cell>
          <cell r="CQ314" t="str">
            <v>0</v>
          </cell>
          <cell r="CR314" t="str">
            <v>0</v>
          </cell>
          <cell r="CS314" t="str">
            <v>0</v>
          </cell>
          <cell r="CT314" t="str">
            <v>0</v>
          </cell>
          <cell r="CU314" t="str">
            <v>0</v>
          </cell>
          <cell r="CV314" t="str">
            <v>0</v>
          </cell>
          <cell r="CW314" t="str">
            <v>0</v>
          </cell>
          <cell r="CX314" t="str">
            <v>0</v>
          </cell>
          <cell r="CY314" t="str">
            <v>0</v>
          </cell>
          <cell r="CZ314" t="str">
            <v>0</v>
          </cell>
          <cell r="DA314" t="str">
            <v>0</v>
          </cell>
          <cell r="DB314" t="str">
            <v>0</v>
          </cell>
          <cell r="DC314" t="str">
            <v>0</v>
          </cell>
          <cell r="DD314" t="str">
            <v>0</v>
          </cell>
          <cell r="DE314" t="str">
            <v>0</v>
          </cell>
          <cell r="DF314" t="str">
            <v>0</v>
          </cell>
          <cell r="DG314" t="str">
            <v>0</v>
          </cell>
          <cell r="DH314" t="str">
            <v>0</v>
          </cell>
          <cell r="DI314" t="str">
            <v>0</v>
          </cell>
          <cell r="DJ314" t="str">
            <v>0</v>
          </cell>
          <cell r="DK314" t="str">
            <v>0</v>
          </cell>
          <cell r="DL314" t="str">
            <v>0</v>
          </cell>
          <cell r="DM314" t="str">
            <v>0</v>
          </cell>
          <cell r="DN314" t="str">
            <v>0</v>
          </cell>
          <cell r="DO314" t="str">
            <v>0</v>
          </cell>
          <cell r="DP314" t="str">
            <v>0</v>
          </cell>
        </row>
        <row r="315">
          <cell r="C315"/>
          <cell r="D315" t="str">
            <v>0</v>
          </cell>
          <cell r="E315" t="str">
            <v>0</v>
          </cell>
          <cell r="F315" t="str">
            <v>0</v>
          </cell>
          <cell r="G315" t="str">
            <v>0</v>
          </cell>
          <cell r="H315" t="str">
            <v>0</v>
          </cell>
          <cell r="I315" t="str">
            <v>0</v>
          </cell>
          <cell r="J315" t="str">
            <v>0</v>
          </cell>
          <cell r="K315" t="str">
            <v>0</v>
          </cell>
          <cell r="L315" t="str">
            <v>0</v>
          </cell>
          <cell r="M315" t="str">
            <v>0</v>
          </cell>
          <cell r="N315" t="str">
            <v>0</v>
          </cell>
          <cell r="O315" t="str">
            <v>0</v>
          </cell>
          <cell r="P315" t="str">
            <v>0</v>
          </cell>
          <cell r="Q315" t="str">
            <v>0</v>
          </cell>
          <cell r="R315" t="str">
            <v>0</v>
          </cell>
          <cell r="S315" t="str">
            <v>0</v>
          </cell>
          <cell r="T315" t="str">
            <v>0</v>
          </cell>
          <cell r="U315" t="str">
            <v>0</v>
          </cell>
          <cell r="V315" t="str">
            <v>0</v>
          </cell>
          <cell r="W315" t="str">
            <v>0</v>
          </cell>
          <cell r="X315" t="str">
            <v>0</v>
          </cell>
          <cell r="Y315" t="str">
            <v>0</v>
          </cell>
          <cell r="Z315" t="str">
            <v>0</v>
          </cell>
          <cell r="AA315" t="str">
            <v>0</v>
          </cell>
          <cell r="AB315" t="str">
            <v>0</v>
          </cell>
          <cell r="AC315" t="str">
            <v>0</v>
          </cell>
          <cell r="AD315" t="str">
            <v>0</v>
          </cell>
          <cell r="AE315" t="str">
            <v>0</v>
          </cell>
          <cell r="AF315" t="str">
            <v>0</v>
          </cell>
          <cell r="AG315" t="str">
            <v>0</v>
          </cell>
          <cell r="AH315" t="str">
            <v>0</v>
          </cell>
          <cell r="AI315" t="str">
            <v>0</v>
          </cell>
          <cell r="AJ315" t="str">
            <v>0</v>
          </cell>
          <cell r="AK315" t="str">
            <v>0</v>
          </cell>
          <cell r="AL315" t="str">
            <v>0</v>
          </cell>
          <cell r="AM315" t="str">
            <v>0</v>
          </cell>
          <cell r="AN315" t="str">
            <v>0</v>
          </cell>
          <cell r="AO315" t="str">
            <v>0</v>
          </cell>
          <cell r="AP315" t="str">
            <v>0</v>
          </cell>
          <cell r="AQ315" t="str">
            <v>0</v>
          </cell>
          <cell r="AR315" t="str">
            <v>0</v>
          </cell>
          <cell r="AS315" t="str">
            <v>0</v>
          </cell>
          <cell r="AT315" t="str">
            <v>0</v>
          </cell>
          <cell r="AU315" t="str">
            <v>0</v>
          </cell>
          <cell r="AV315" t="str">
            <v>0</v>
          </cell>
          <cell r="AW315" t="str">
            <v>0</v>
          </cell>
          <cell r="AX315" t="str">
            <v>0</v>
          </cell>
          <cell r="AY315" t="str">
            <v>0</v>
          </cell>
          <cell r="AZ315" t="str">
            <v>0</v>
          </cell>
          <cell r="BA315" t="str">
            <v>0</v>
          </cell>
          <cell r="BB315" t="str">
            <v>0</v>
          </cell>
          <cell r="BC315" t="str">
            <v>0</v>
          </cell>
          <cell r="BD315" t="str">
            <v>0</v>
          </cell>
          <cell r="BE315" t="str">
            <v>0</v>
          </cell>
          <cell r="BF315" t="str">
            <v>0</v>
          </cell>
          <cell r="BG315" t="str">
            <v>0</v>
          </cell>
          <cell r="BH315" t="str">
            <v>0</v>
          </cell>
          <cell r="BI315" t="str">
            <v>0</v>
          </cell>
          <cell r="BJ315" t="str">
            <v>0</v>
          </cell>
          <cell r="BK315" t="str">
            <v>0</v>
          </cell>
          <cell r="BL315" t="str">
            <v>0</v>
          </cell>
          <cell r="BM315" t="str">
            <v>0</v>
          </cell>
          <cell r="BN315" t="str">
            <v>0</v>
          </cell>
          <cell r="BO315" t="str">
            <v>0</v>
          </cell>
          <cell r="BP315" t="str">
            <v>0</v>
          </cell>
          <cell r="BQ315" t="str">
            <v>0</v>
          </cell>
          <cell r="BR315" t="str">
            <v>0</v>
          </cell>
          <cell r="BS315" t="str">
            <v>0</v>
          </cell>
          <cell r="BT315" t="str">
            <v>0</v>
          </cell>
          <cell r="BU315" t="str">
            <v>0</v>
          </cell>
          <cell r="BV315" t="str">
            <v>0</v>
          </cell>
          <cell r="BW315" t="str">
            <v>0</v>
          </cell>
          <cell r="BX315" t="str">
            <v>0</v>
          </cell>
          <cell r="BY315" t="str">
            <v>0</v>
          </cell>
          <cell r="BZ315" t="str">
            <v>0</v>
          </cell>
          <cell r="CA315" t="str">
            <v>0</v>
          </cell>
          <cell r="CB315" t="str">
            <v>0</v>
          </cell>
          <cell r="CC315" t="str">
            <v>0</v>
          </cell>
          <cell r="CD315" t="str">
            <v>0</v>
          </cell>
          <cell r="CE315" t="str">
            <v>0</v>
          </cell>
          <cell r="CF315" t="str">
            <v>0</v>
          </cell>
          <cell r="CG315" t="str">
            <v>0</v>
          </cell>
          <cell r="CH315" t="str">
            <v>0</v>
          </cell>
          <cell r="CI315" t="str">
            <v>0</v>
          </cell>
          <cell r="CJ315" t="str">
            <v>0</v>
          </cell>
          <cell r="CK315" t="str">
            <v>0</v>
          </cell>
          <cell r="CL315" t="str">
            <v>0</v>
          </cell>
          <cell r="CM315" t="str">
            <v>0</v>
          </cell>
          <cell r="CN315" t="str">
            <v>0</v>
          </cell>
          <cell r="CO315" t="str">
            <v>0</v>
          </cell>
          <cell r="CP315" t="str">
            <v>0</v>
          </cell>
          <cell r="CQ315" t="str">
            <v>0</v>
          </cell>
          <cell r="CR315" t="str">
            <v>0</v>
          </cell>
          <cell r="CS315" t="str">
            <v>0</v>
          </cell>
          <cell r="CT315" t="str">
            <v>0</v>
          </cell>
          <cell r="CU315" t="str">
            <v>0</v>
          </cell>
          <cell r="CV315" t="str">
            <v>0</v>
          </cell>
          <cell r="CW315" t="str">
            <v>0</v>
          </cell>
          <cell r="CX315" t="str">
            <v>0</v>
          </cell>
          <cell r="CY315" t="str">
            <v>0</v>
          </cell>
          <cell r="CZ315" t="str">
            <v>0</v>
          </cell>
          <cell r="DA315" t="str">
            <v>0</v>
          </cell>
          <cell r="DB315" t="str">
            <v>0</v>
          </cell>
          <cell r="DC315" t="str">
            <v>0</v>
          </cell>
          <cell r="DD315" t="str">
            <v>0</v>
          </cell>
          <cell r="DE315" t="str">
            <v>0</v>
          </cell>
          <cell r="DF315" t="str">
            <v>0</v>
          </cell>
          <cell r="DG315" t="str">
            <v>0</v>
          </cell>
          <cell r="DH315" t="str">
            <v>0</v>
          </cell>
          <cell r="DI315" t="str">
            <v>0</v>
          </cell>
          <cell r="DJ315" t="str">
            <v>0</v>
          </cell>
          <cell r="DK315" t="str">
            <v>0</v>
          </cell>
          <cell r="DL315" t="str">
            <v>0</v>
          </cell>
          <cell r="DM315" t="str">
            <v>0</v>
          </cell>
          <cell r="DN315" t="str">
            <v>0</v>
          </cell>
          <cell r="DO315" t="str">
            <v>0</v>
          </cell>
          <cell r="DP315" t="str">
            <v>0</v>
          </cell>
        </row>
        <row r="316">
          <cell r="C316"/>
          <cell r="D316" t="str">
            <v>0</v>
          </cell>
          <cell r="E316" t="str">
            <v>0</v>
          </cell>
          <cell r="F316" t="str">
            <v>0</v>
          </cell>
          <cell r="G316" t="str">
            <v>0</v>
          </cell>
          <cell r="H316" t="str">
            <v>0</v>
          </cell>
          <cell r="I316" t="str">
            <v>0</v>
          </cell>
          <cell r="J316" t="str">
            <v>0</v>
          </cell>
          <cell r="K316" t="str">
            <v>0</v>
          </cell>
          <cell r="L316" t="str">
            <v>0</v>
          </cell>
          <cell r="M316" t="str">
            <v>0</v>
          </cell>
          <cell r="N316" t="str">
            <v>0</v>
          </cell>
          <cell r="O316" t="str">
            <v>0</v>
          </cell>
          <cell r="P316" t="str">
            <v>0</v>
          </cell>
          <cell r="Q316" t="str">
            <v>0</v>
          </cell>
          <cell r="R316" t="str">
            <v>0</v>
          </cell>
          <cell r="S316" t="str">
            <v>0</v>
          </cell>
          <cell r="T316" t="str">
            <v>0</v>
          </cell>
          <cell r="U316" t="str">
            <v>0</v>
          </cell>
          <cell r="V316" t="str">
            <v>0</v>
          </cell>
          <cell r="W316" t="str">
            <v>0</v>
          </cell>
          <cell r="X316" t="str">
            <v>0</v>
          </cell>
          <cell r="Y316" t="str">
            <v>0</v>
          </cell>
          <cell r="Z316" t="str">
            <v>0</v>
          </cell>
          <cell r="AA316" t="str">
            <v>0</v>
          </cell>
          <cell r="AB316" t="str">
            <v>0</v>
          </cell>
          <cell r="AC316" t="str">
            <v>0</v>
          </cell>
          <cell r="AD316" t="str">
            <v>0</v>
          </cell>
          <cell r="AE316" t="str">
            <v>0</v>
          </cell>
          <cell r="AF316" t="str">
            <v>0</v>
          </cell>
          <cell r="AG316" t="str">
            <v>0</v>
          </cell>
          <cell r="AH316" t="str">
            <v>0</v>
          </cell>
          <cell r="AI316" t="str">
            <v>0</v>
          </cell>
          <cell r="AJ316" t="str">
            <v>0</v>
          </cell>
          <cell r="AK316" t="str">
            <v>0</v>
          </cell>
          <cell r="AL316" t="str">
            <v>0</v>
          </cell>
          <cell r="AM316" t="str">
            <v>0</v>
          </cell>
          <cell r="AN316" t="str">
            <v>0</v>
          </cell>
          <cell r="AO316" t="str">
            <v>0</v>
          </cell>
          <cell r="AP316" t="str">
            <v>0</v>
          </cell>
          <cell r="AQ316" t="str">
            <v>0</v>
          </cell>
          <cell r="AR316" t="str">
            <v>0</v>
          </cell>
          <cell r="AS316" t="str">
            <v>0</v>
          </cell>
          <cell r="AT316" t="str">
            <v>0</v>
          </cell>
          <cell r="AU316" t="str">
            <v>0</v>
          </cell>
          <cell r="AV316" t="str">
            <v>0</v>
          </cell>
          <cell r="AW316" t="str">
            <v>0</v>
          </cell>
          <cell r="AX316" t="str">
            <v>0</v>
          </cell>
          <cell r="AY316" t="str">
            <v>0</v>
          </cell>
          <cell r="AZ316" t="str">
            <v>0</v>
          </cell>
          <cell r="BA316" t="str">
            <v>0</v>
          </cell>
          <cell r="BB316" t="str">
            <v>0</v>
          </cell>
          <cell r="BC316" t="str">
            <v>0</v>
          </cell>
          <cell r="BD316" t="str">
            <v>0</v>
          </cell>
          <cell r="BE316" t="str">
            <v>0</v>
          </cell>
          <cell r="BF316" t="str">
            <v>0</v>
          </cell>
          <cell r="BG316" t="str">
            <v>0</v>
          </cell>
          <cell r="BH316" t="str">
            <v>0</v>
          </cell>
          <cell r="BI316" t="str">
            <v>0</v>
          </cell>
          <cell r="BJ316" t="str">
            <v>0</v>
          </cell>
          <cell r="BK316" t="str">
            <v>0</v>
          </cell>
          <cell r="BL316" t="str">
            <v>0</v>
          </cell>
          <cell r="BM316" t="str">
            <v>0</v>
          </cell>
          <cell r="BN316" t="str">
            <v>0</v>
          </cell>
          <cell r="BO316" t="str">
            <v>0</v>
          </cell>
          <cell r="BP316" t="str">
            <v>0</v>
          </cell>
          <cell r="BQ316" t="str">
            <v>0</v>
          </cell>
          <cell r="BR316" t="str">
            <v>0</v>
          </cell>
          <cell r="BS316" t="str">
            <v>0</v>
          </cell>
          <cell r="BT316" t="str">
            <v>0</v>
          </cell>
          <cell r="BU316" t="str">
            <v>0</v>
          </cell>
          <cell r="BV316" t="str">
            <v>0</v>
          </cell>
          <cell r="BW316" t="str">
            <v>0</v>
          </cell>
          <cell r="BX316" t="str">
            <v>0</v>
          </cell>
          <cell r="BY316" t="str">
            <v>0</v>
          </cell>
          <cell r="BZ316" t="str">
            <v>0</v>
          </cell>
          <cell r="CA316" t="str">
            <v>0</v>
          </cell>
          <cell r="CB316" t="str">
            <v>0</v>
          </cell>
          <cell r="CC316" t="str">
            <v>0</v>
          </cell>
          <cell r="CD316" t="str">
            <v>0</v>
          </cell>
          <cell r="CE316" t="str">
            <v>0</v>
          </cell>
          <cell r="CF316" t="str">
            <v>0</v>
          </cell>
          <cell r="CG316" t="str">
            <v>0</v>
          </cell>
          <cell r="CH316" t="str">
            <v>0</v>
          </cell>
          <cell r="CI316" t="str">
            <v>0</v>
          </cell>
          <cell r="CJ316" t="str">
            <v>0</v>
          </cell>
          <cell r="CK316" t="str">
            <v>0</v>
          </cell>
          <cell r="CL316" t="str">
            <v>0</v>
          </cell>
          <cell r="CM316" t="str">
            <v>0</v>
          </cell>
          <cell r="CN316" t="str">
            <v>0</v>
          </cell>
          <cell r="CO316" t="str">
            <v>0</v>
          </cell>
          <cell r="CP316" t="str">
            <v>0</v>
          </cell>
          <cell r="CQ316" t="str">
            <v>0</v>
          </cell>
          <cell r="CR316" t="str">
            <v>0</v>
          </cell>
          <cell r="CS316" t="str">
            <v>0</v>
          </cell>
          <cell r="CT316" t="str">
            <v>0</v>
          </cell>
          <cell r="CU316" t="str">
            <v>0</v>
          </cell>
          <cell r="CV316" t="str">
            <v>0</v>
          </cell>
          <cell r="CW316" t="str">
            <v>0</v>
          </cell>
          <cell r="CX316" t="str">
            <v>0</v>
          </cell>
          <cell r="CY316" t="str">
            <v>0</v>
          </cell>
          <cell r="CZ316" t="str">
            <v>0</v>
          </cell>
          <cell r="DA316" t="str">
            <v>0</v>
          </cell>
          <cell r="DB316" t="str">
            <v>0</v>
          </cell>
          <cell r="DC316" t="str">
            <v>0</v>
          </cell>
          <cell r="DD316" t="str">
            <v>0</v>
          </cell>
          <cell r="DE316" t="str">
            <v>0</v>
          </cell>
          <cell r="DF316" t="str">
            <v>0</v>
          </cell>
          <cell r="DG316" t="str">
            <v>0</v>
          </cell>
          <cell r="DH316" t="str">
            <v>0</v>
          </cell>
          <cell r="DI316" t="str">
            <v>0</v>
          </cell>
          <cell r="DJ316" t="str">
            <v>0</v>
          </cell>
          <cell r="DK316" t="str">
            <v>0</v>
          </cell>
          <cell r="DL316" t="str">
            <v>0</v>
          </cell>
          <cell r="DM316" t="str">
            <v>0</v>
          </cell>
          <cell r="DN316" t="str">
            <v>0</v>
          </cell>
          <cell r="DO316" t="str">
            <v>0</v>
          </cell>
          <cell r="DP316" t="str">
            <v>0</v>
          </cell>
        </row>
        <row r="317">
          <cell r="C317"/>
          <cell r="D317" t="str">
            <v>0</v>
          </cell>
          <cell r="E317" t="str">
            <v>0</v>
          </cell>
          <cell r="F317" t="str">
            <v>0</v>
          </cell>
          <cell r="G317" t="str">
            <v>0</v>
          </cell>
          <cell r="H317" t="str">
            <v>0</v>
          </cell>
          <cell r="I317" t="str">
            <v>0</v>
          </cell>
          <cell r="J317" t="str">
            <v>0</v>
          </cell>
          <cell r="K317" t="str">
            <v>0</v>
          </cell>
          <cell r="L317" t="str">
            <v>0</v>
          </cell>
          <cell r="M317" t="str">
            <v>0</v>
          </cell>
          <cell r="N317" t="str">
            <v>0</v>
          </cell>
          <cell r="O317" t="str">
            <v>0</v>
          </cell>
          <cell r="P317" t="str">
            <v>0</v>
          </cell>
          <cell r="Q317" t="str">
            <v>0</v>
          </cell>
          <cell r="R317" t="str">
            <v>0</v>
          </cell>
          <cell r="S317" t="str">
            <v>0</v>
          </cell>
          <cell r="T317" t="str">
            <v>0</v>
          </cell>
          <cell r="U317" t="str">
            <v>0</v>
          </cell>
          <cell r="V317" t="str">
            <v>0</v>
          </cell>
          <cell r="W317" t="str">
            <v>0</v>
          </cell>
          <cell r="X317" t="str">
            <v>0</v>
          </cell>
          <cell r="Y317" t="str">
            <v>0</v>
          </cell>
          <cell r="Z317" t="str">
            <v>0</v>
          </cell>
          <cell r="AA317" t="str">
            <v>0</v>
          </cell>
          <cell r="AB317" t="str">
            <v>0</v>
          </cell>
          <cell r="AC317" t="str">
            <v>0</v>
          </cell>
          <cell r="AD317" t="str">
            <v>0</v>
          </cell>
          <cell r="AE317" t="str">
            <v>0</v>
          </cell>
          <cell r="AF317" t="str">
            <v>0</v>
          </cell>
          <cell r="AG317" t="str">
            <v>0</v>
          </cell>
          <cell r="AH317" t="str">
            <v>0</v>
          </cell>
          <cell r="AI317" t="str">
            <v>0</v>
          </cell>
          <cell r="AJ317" t="str">
            <v>0</v>
          </cell>
          <cell r="AK317" t="str">
            <v>0</v>
          </cell>
          <cell r="AL317" t="str">
            <v>0</v>
          </cell>
          <cell r="AM317" t="str">
            <v>0</v>
          </cell>
          <cell r="AN317" t="str">
            <v>0</v>
          </cell>
          <cell r="AO317" t="str">
            <v>0</v>
          </cell>
          <cell r="AP317" t="str">
            <v>0</v>
          </cell>
          <cell r="AQ317" t="str">
            <v>0</v>
          </cell>
          <cell r="AR317" t="str">
            <v>0</v>
          </cell>
          <cell r="AS317" t="str">
            <v>0</v>
          </cell>
          <cell r="AT317" t="str">
            <v>0</v>
          </cell>
          <cell r="AU317" t="str">
            <v>0</v>
          </cell>
          <cell r="AV317" t="str">
            <v>0</v>
          </cell>
          <cell r="AW317" t="str">
            <v>0</v>
          </cell>
          <cell r="AX317" t="str">
            <v>0</v>
          </cell>
          <cell r="AY317" t="str">
            <v>0</v>
          </cell>
          <cell r="AZ317" t="str">
            <v>0</v>
          </cell>
          <cell r="BA317" t="str">
            <v>0</v>
          </cell>
          <cell r="BB317" t="str">
            <v>0</v>
          </cell>
          <cell r="BC317" t="str">
            <v>0</v>
          </cell>
          <cell r="BD317" t="str">
            <v>0</v>
          </cell>
          <cell r="BE317" t="str">
            <v>0</v>
          </cell>
          <cell r="BF317" t="str">
            <v>0</v>
          </cell>
          <cell r="BG317" t="str">
            <v>0</v>
          </cell>
          <cell r="BH317" t="str">
            <v>0</v>
          </cell>
          <cell r="BI317" t="str">
            <v>0</v>
          </cell>
          <cell r="BJ317" t="str">
            <v>0</v>
          </cell>
          <cell r="BK317" t="str">
            <v>0</v>
          </cell>
          <cell r="BL317" t="str">
            <v>0</v>
          </cell>
          <cell r="BM317" t="str">
            <v>0</v>
          </cell>
          <cell r="BN317" t="str">
            <v>0</v>
          </cell>
          <cell r="BO317" t="str">
            <v>0</v>
          </cell>
          <cell r="BP317" t="str">
            <v>0</v>
          </cell>
          <cell r="BQ317" t="str">
            <v>0</v>
          </cell>
          <cell r="BR317" t="str">
            <v>0</v>
          </cell>
          <cell r="BS317" t="str">
            <v>0</v>
          </cell>
          <cell r="BT317" t="str">
            <v>0</v>
          </cell>
          <cell r="BU317" t="str">
            <v>0</v>
          </cell>
          <cell r="BV317" t="str">
            <v>0</v>
          </cell>
          <cell r="BW317" t="str">
            <v>0</v>
          </cell>
          <cell r="BX317" t="str">
            <v>0</v>
          </cell>
          <cell r="BY317" t="str">
            <v>0</v>
          </cell>
          <cell r="BZ317" t="str">
            <v>0</v>
          </cell>
          <cell r="CA317" t="str">
            <v>0</v>
          </cell>
          <cell r="CB317" t="str">
            <v>0</v>
          </cell>
          <cell r="CC317" t="str">
            <v>0</v>
          </cell>
          <cell r="CD317" t="str">
            <v>0</v>
          </cell>
          <cell r="CE317" t="str">
            <v>0</v>
          </cell>
          <cell r="CF317" t="str">
            <v>0</v>
          </cell>
          <cell r="CG317" t="str">
            <v>0</v>
          </cell>
          <cell r="CH317" t="str">
            <v>0</v>
          </cell>
          <cell r="CI317" t="str">
            <v>0</v>
          </cell>
          <cell r="CJ317" t="str">
            <v>0</v>
          </cell>
          <cell r="CK317" t="str">
            <v>0</v>
          </cell>
          <cell r="CL317" t="str">
            <v>0</v>
          </cell>
          <cell r="CM317" t="str">
            <v>0</v>
          </cell>
          <cell r="CN317" t="str">
            <v>0</v>
          </cell>
          <cell r="CO317" t="str">
            <v>0</v>
          </cell>
          <cell r="CP317" t="str">
            <v>0</v>
          </cell>
          <cell r="CQ317" t="str">
            <v>0</v>
          </cell>
          <cell r="CR317" t="str">
            <v>0</v>
          </cell>
          <cell r="CS317" t="str">
            <v>0</v>
          </cell>
          <cell r="CT317" t="str">
            <v>0</v>
          </cell>
          <cell r="CU317" t="str">
            <v>0</v>
          </cell>
          <cell r="CV317" t="str">
            <v>0</v>
          </cell>
          <cell r="CW317" t="str">
            <v>0</v>
          </cell>
          <cell r="CX317" t="str">
            <v>0</v>
          </cell>
          <cell r="CY317" t="str">
            <v>0</v>
          </cell>
          <cell r="CZ317" t="str">
            <v>0</v>
          </cell>
          <cell r="DA317" t="str">
            <v>0</v>
          </cell>
          <cell r="DB317" t="str">
            <v>0</v>
          </cell>
          <cell r="DC317" t="str">
            <v>0</v>
          </cell>
          <cell r="DD317" t="str">
            <v>0</v>
          </cell>
          <cell r="DE317" t="str">
            <v>0</v>
          </cell>
          <cell r="DF317" t="str">
            <v>0</v>
          </cell>
          <cell r="DG317" t="str">
            <v>0</v>
          </cell>
          <cell r="DH317" t="str">
            <v>0</v>
          </cell>
          <cell r="DI317" t="str">
            <v>0</v>
          </cell>
          <cell r="DJ317" t="str">
            <v>0</v>
          </cell>
          <cell r="DK317" t="str">
            <v>0</v>
          </cell>
          <cell r="DL317" t="str">
            <v>0</v>
          </cell>
          <cell r="DM317" t="str">
            <v>0</v>
          </cell>
          <cell r="DN317" t="str">
            <v>0</v>
          </cell>
          <cell r="DO317" t="str">
            <v>0</v>
          </cell>
          <cell r="DP317" t="str">
            <v>0</v>
          </cell>
        </row>
        <row r="318">
          <cell r="C318"/>
          <cell r="D318" t="str">
            <v>0</v>
          </cell>
          <cell r="E318" t="str">
            <v>0</v>
          </cell>
          <cell r="F318" t="str">
            <v>0</v>
          </cell>
          <cell r="G318" t="str">
            <v>0</v>
          </cell>
          <cell r="H318" t="str">
            <v>0</v>
          </cell>
          <cell r="I318" t="str">
            <v>0</v>
          </cell>
          <cell r="J318" t="str">
            <v>0</v>
          </cell>
          <cell r="K318" t="str">
            <v>0</v>
          </cell>
          <cell r="L318" t="str">
            <v>0</v>
          </cell>
          <cell r="M318" t="str">
            <v>0</v>
          </cell>
          <cell r="N318" t="str">
            <v>0</v>
          </cell>
          <cell r="O318" t="str">
            <v>0</v>
          </cell>
          <cell r="P318" t="str">
            <v>0</v>
          </cell>
          <cell r="Q318" t="str">
            <v>0</v>
          </cell>
          <cell r="R318" t="str">
            <v>0</v>
          </cell>
          <cell r="S318" t="str">
            <v>0</v>
          </cell>
          <cell r="T318" t="str">
            <v>0</v>
          </cell>
          <cell r="U318" t="str">
            <v>0</v>
          </cell>
          <cell r="V318" t="str">
            <v>0</v>
          </cell>
          <cell r="W318" t="str">
            <v>0</v>
          </cell>
          <cell r="X318" t="str">
            <v>0</v>
          </cell>
          <cell r="Y318" t="str">
            <v>0</v>
          </cell>
          <cell r="Z318" t="str">
            <v>0</v>
          </cell>
          <cell r="AA318" t="str">
            <v>0</v>
          </cell>
          <cell r="AB318" t="str">
            <v>0</v>
          </cell>
          <cell r="AC318" t="str">
            <v>0</v>
          </cell>
          <cell r="AD318" t="str">
            <v>0</v>
          </cell>
          <cell r="AE318" t="str">
            <v>0</v>
          </cell>
          <cell r="AF318" t="str">
            <v>0</v>
          </cell>
          <cell r="AG318" t="str">
            <v>0</v>
          </cell>
          <cell r="AH318" t="str">
            <v>0</v>
          </cell>
          <cell r="AI318" t="str">
            <v>0</v>
          </cell>
          <cell r="AJ318" t="str">
            <v>0</v>
          </cell>
          <cell r="AK318" t="str">
            <v>0</v>
          </cell>
          <cell r="AL318" t="str">
            <v>0</v>
          </cell>
          <cell r="AM318" t="str">
            <v>0</v>
          </cell>
          <cell r="AN318" t="str">
            <v>0</v>
          </cell>
          <cell r="AO318" t="str">
            <v>0</v>
          </cell>
          <cell r="AP318" t="str">
            <v>0</v>
          </cell>
          <cell r="AQ318" t="str">
            <v>0</v>
          </cell>
          <cell r="AR318" t="str">
            <v>0</v>
          </cell>
          <cell r="AS318" t="str">
            <v>0</v>
          </cell>
          <cell r="AT318" t="str">
            <v>0</v>
          </cell>
          <cell r="AU318" t="str">
            <v>0</v>
          </cell>
          <cell r="AV318" t="str">
            <v>0</v>
          </cell>
          <cell r="AW318" t="str">
            <v>0</v>
          </cell>
          <cell r="AX318" t="str">
            <v>0</v>
          </cell>
          <cell r="AY318" t="str">
            <v>0</v>
          </cell>
          <cell r="AZ318" t="str">
            <v>0</v>
          </cell>
          <cell r="BA318" t="str">
            <v>0</v>
          </cell>
          <cell r="BB318" t="str">
            <v>0</v>
          </cell>
          <cell r="BC318" t="str">
            <v>0</v>
          </cell>
          <cell r="BD318" t="str">
            <v>0</v>
          </cell>
          <cell r="BE318" t="str">
            <v>0</v>
          </cell>
          <cell r="BF318" t="str">
            <v>0</v>
          </cell>
          <cell r="BG318" t="str">
            <v>0</v>
          </cell>
          <cell r="BH318" t="str">
            <v>0</v>
          </cell>
          <cell r="BI318" t="str">
            <v>0</v>
          </cell>
          <cell r="BJ318" t="str">
            <v>0</v>
          </cell>
          <cell r="BK318" t="str">
            <v>0</v>
          </cell>
          <cell r="BL318" t="str">
            <v>0</v>
          </cell>
          <cell r="BM318" t="str">
            <v>0</v>
          </cell>
          <cell r="BN318" t="str">
            <v>0</v>
          </cell>
          <cell r="BO318" t="str">
            <v>0</v>
          </cell>
          <cell r="BP318" t="str">
            <v>0</v>
          </cell>
          <cell r="BQ318" t="str">
            <v>0</v>
          </cell>
          <cell r="BR318" t="str">
            <v>0</v>
          </cell>
          <cell r="BS318" t="str">
            <v>0</v>
          </cell>
          <cell r="BT318" t="str">
            <v>0</v>
          </cell>
          <cell r="BU318" t="str">
            <v>0</v>
          </cell>
          <cell r="BV318" t="str">
            <v>0</v>
          </cell>
          <cell r="BW318" t="str">
            <v>0</v>
          </cell>
          <cell r="BX318" t="str">
            <v>0</v>
          </cell>
          <cell r="BY318" t="str">
            <v>0</v>
          </cell>
          <cell r="BZ318" t="str">
            <v>0</v>
          </cell>
          <cell r="CA318" t="str">
            <v>0</v>
          </cell>
          <cell r="CB318" t="str">
            <v>0</v>
          </cell>
          <cell r="CC318" t="str">
            <v>0</v>
          </cell>
          <cell r="CD318" t="str">
            <v>0</v>
          </cell>
          <cell r="CE318" t="str">
            <v>0</v>
          </cell>
          <cell r="CF318" t="str">
            <v>0</v>
          </cell>
          <cell r="CG318" t="str">
            <v>0</v>
          </cell>
          <cell r="CH318" t="str">
            <v>0</v>
          </cell>
          <cell r="CI318" t="str">
            <v>0</v>
          </cell>
          <cell r="CJ318" t="str">
            <v>0</v>
          </cell>
          <cell r="CK318" t="str">
            <v>0</v>
          </cell>
          <cell r="CL318" t="str">
            <v>0</v>
          </cell>
          <cell r="CM318" t="str">
            <v>0</v>
          </cell>
          <cell r="CN318" t="str">
            <v>0</v>
          </cell>
          <cell r="CO318" t="str">
            <v>0</v>
          </cell>
          <cell r="CP318" t="str">
            <v>0</v>
          </cell>
          <cell r="CQ318" t="str">
            <v>0</v>
          </cell>
          <cell r="CR318" t="str">
            <v>0</v>
          </cell>
          <cell r="CS318" t="str">
            <v>0</v>
          </cell>
          <cell r="CT318" t="str">
            <v>0</v>
          </cell>
          <cell r="CU318" t="str">
            <v>0</v>
          </cell>
          <cell r="CV318" t="str">
            <v>0</v>
          </cell>
          <cell r="CW318" t="str">
            <v>0</v>
          </cell>
          <cell r="CX318" t="str">
            <v>0</v>
          </cell>
          <cell r="CY318" t="str">
            <v>0</v>
          </cell>
          <cell r="CZ318" t="str">
            <v>0</v>
          </cell>
          <cell r="DA318" t="str">
            <v>0</v>
          </cell>
          <cell r="DB318" t="str">
            <v>0</v>
          </cell>
          <cell r="DC318" t="str">
            <v>0</v>
          </cell>
          <cell r="DD318" t="str">
            <v>0</v>
          </cell>
          <cell r="DE318" t="str">
            <v>0</v>
          </cell>
          <cell r="DF318" t="str">
            <v>0</v>
          </cell>
          <cell r="DG318" t="str">
            <v>0</v>
          </cell>
          <cell r="DH318" t="str">
            <v>0</v>
          </cell>
          <cell r="DI318" t="str">
            <v>0</v>
          </cell>
          <cell r="DJ318" t="str">
            <v>0</v>
          </cell>
          <cell r="DK318" t="str">
            <v>0</v>
          </cell>
          <cell r="DL318" t="str">
            <v>0</v>
          </cell>
          <cell r="DM318" t="str">
            <v>0</v>
          </cell>
          <cell r="DN318" t="str">
            <v>0</v>
          </cell>
          <cell r="DO318" t="str">
            <v>0</v>
          </cell>
          <cell r="DP318" t="str">
            <v>0</v>
          </cell>
        </row>
        <row r="319">
          <cell r="C319"/>
          <cell r="D319" t="str">
            <v>0</v>
          </cell>
          <cell r="E319" t="str">
            <v>0</v>
          </cell>
          <cell r="F319" t="str">
            <v>0</v>
          </cell>
          <cell r="G319" t="str">
            <v>0</v>
          </cell>
          <cell r="H319" t="str">
            <v>0</v>
          </cell>
          <cell r="I319" t="str">
            <v>0</v>
          </cell>
          <cell r="J319" t="str">
            <v>0</v>
          </cell>
          <cell r="K319" t="str">
            <v>0</v>
          </cell>
          <cell r="L319" t="str">
            <v>0</v>
          </cell>
          <cell r="M319" t="str">
            <v>0</v>
          </cell>
          <cell r="N319" t="str">
            <v>0</v>
          </cell>
          <cell r="O319" t="str">
            <v>0</v>
          </cell>
          <cell r="P319" t="str">
            <v>0</v>
          </cell>
          <cell r="Q319" t="str">
            <v>0</v>
          </cell>
          <cell r="R319" t="str">
            <v>0</v>
          </cell>
          <cell r="S319" t="str">
            <v>0</v>
          </cell>
          <cell r="T319" t="str">
            <v>0</v>
          </cell>
          <cell r="U319" t="str">
            <v>0</v>
          </cell>
          <cell r="V319" t="str">
            <v>0</v>
          </cell>
          <cell r="W319" t="str">
            <v>0</v>
          </cell>
          <cell r="X319" t="str">
            <v>0</v>
          </cell>
          <cell r="Y319" t="str">
            <v>0</v>
          </cell>
          <cell r="Z319" t="str">
            <v>0</v>
          </cell>
          <cell r="AA319" t="str">
            <v>0</v>
          </cell>
          <cell r="AB319" t="str">
            <v>0</v>
          </cell>
          <cell r="AC319" t="str">
            <v>0</v>
          </cell>
          <cell r="AD319" t="str">
            <v>0</v>
          </cell>
          <cell r="AE319" t="str">
            <v>0</v>
          </cell>
          <cell r="AF319" t="str">
            <v>0</v>
          </cell>
          <cell r="AG319" t="str">
            <v>0</v>
          </cell>
          <cell r="AH319" t="str">
            <v>0</v>
          </cell>
          <cell r="AI319" t="str">
            <v>0</v>
          </cell>
          <cell r="AJ319" t="str">
            <v>0</v>
          </cell>
          <cell r="AK319" t="str">
            <v>0</v>
          </cell>
          <cell r="AL319" t="str">
            <v>0</v>
          </cell>
          <cell r="AM319" t="str">
            <v>0</v>
          </cell>
          <cell r="AN319" t="str">
            <v>0</v>
          </cell>
          <cell r="AO319" t="str">
            <v>0</v>
          </cell>
          <cell r="AP319" t="str">
            <v>0</v>
          </cell>
          <cell r="AQ319" t="str">
            <v>0</v>
          </cell>
          <cell r="AR319" t="str">
            <v>0</v>
          </cell>
          <cell r="AS319" t="str">
            <v>0</v>
          </cell>
          <cell r="AT319" t="str">
            <v>0</v>
          </cell>
          <cell r="AU319" t="str">
            <v>0</v>
          </cell>
          <cell r="AV319" t="str">
            <v>0</v>
          </cell>
          <cell r="AW319" t="str">
            <v>0</v>
          </cell>
          <cell r="AX319" t="str">
            <v>0</v>
          </cell>
          <cell r="AY319" t="str">
            <v>0</v>
          </cell>
          <cell r="AZ319" t="str">
            <v>0</v>
          </cell>
          <cell r="BA319" t="str">
            <v>0</v>
          </cell>
          <cell r="BB319" t="str">
            <v>0</v>
          </cell>
          <cell r="BC319" t="str">
            <v>0</v>
          </cell>
          <cell r="BD319" t="str">
            <v>0</v>
          </cell>
          <cell r="BE319" t="str">
            <v>0</v>
          </cell>
          <cell r="BF319" t="str">
            <v>0</v>
          </cell>
          <cell r="BG319" t="str">
            <v>0</v>
          </cell>
          <cell r="BH319" t="str">
            <v>0</v>
          </cell>
          <cell r="BI319" t="str">
            <v>0</v>
          </cell>
          <cell r="BJ319" t="str">
            <v>0</v>
          </cell>
          <cell r="BK319" t="str">
            <v>0</v>
          </cell>
          <cell r="BL319" t="str">
            <v>0</v>
          </cell>
          <cell r="BM319" t="str">
            <v>0</v>
          </cell>
          <cell r="BN319" t="str">
            <v>0</v>
          </cell>
          <cell r="BO319" t="str">
            <v>0</v>
          </cell>
          <cell r="BP319" t="str">
            <v>0</v>
          </cell>
          <cell r="BQ319" t="str">
            <v>0</v>
          </cell>
          <cell r="BR319" t="str">
            <v>0</v>
          </cell>
          <cell r="BS319" t="str">
            <v>0</v>
          </cell>
          <cell r="BT319" t="str">
            <v>0</v>
          </cell>
          <cell r="BU319" t="str">
            <v>0</v>
          </cell>
          <cell r="BV319" t="str">
            <v>0</v>
          </cell>
          <cell r="BW319" t="str">
            <v>0</v>
          </cell>
          <cell r="BX319" t="str">
            <v>0</v>
          </cell>
          <cell r="BY319" t="str">
            <v>0</v>
          </cell>
          <cell r="BZ319" t="str">
            <v>0</v>
          </cell>
          <cell r="CA319" t="str">
            <v>0</v>
          </cell>
          <cell r="CB319" t="str">
            <v>0</v>
          </cell>
          <cell r="CC319" t="str">
            <v>0</v>
          </cell>
          <cell r="CD319" t="str">
            <v>0</v>
          </cell>
          <cell r="CE319" t="str">
            <v>0</v>
          </cell>
          <cell r="CF319" t="str">
            <v>0</v>
          </cell>
          <cell r="CG319" t="str">
            <v>0</v>
          </cell>
          <cell r="CH319" t="str">
            <v>0</v>
          </cell>
          <cell r="CI319" t="str">
            <v>0</v>
          </cell>
          <cell r="CJ319" t="str">
            <v>0</v>
          </cell>
          <cell r="CK319" t="str">
            <v>0</v>
          </cell>
          <cell r="CL319" t="str">
            <v>0</v>
          </cell>
          <cell r="CM319" t="str">
            <v>0</v>
          </cell>
          <cell r="CN319" t="str">
            <v>0</v>
          </cell>
          <cell r="CO319" t="str">
            <v>0</v>
          </cell>
          <cell r="CP319" t="str">
            <v>0</v>
          </cell>
          <cell r="CQ319" t="str">
            <v>0</v>
          </cell>
          <cell r="CR319" t="str">
            <v>0</v>
          </cell>
          <cell r="CS319" t="str">
            <v>0</v>
          </cell>
          <cell r="CT319" t="str">
            <v>0</v>
          </cell>
          <cell r="CU319" t="str">
            <v>0</v>
          </cell>
          <cell r="CV319" t="str">
            <v>0</v>
          </cell>
          <cell r="CW319" t="str">
            <v>0</v>
          </cell>
          <cell r="CX319" t="str">
            <v>0</v>
          </cell>
          <cell r="CY319" t="str">
            <v>0</v>
          </cell>
          <cell r="CZ319" t="str">
            <v>0</v>
          </cell>
          <cell r="DA319" t="str">
            <v>0</v>
          </cell>
          <cell r="DB319" t="str">
            <v>0</v>
          </cell>
          <cell r="DC319" t="str">
            <v>0</v>
          </cell>
          <cell r="DD319" t="str">
            <v>0</v>
          </cell>
          <cell r="DE319" t="str">
            <v>0</v>
          </cell>
          <cell r="DF319" t="str">
            <v>0</v>
          </cell>
          <cell r="DG319" t="str">
            <v>0</v>
          </cell>
          <cell r="DH319" t="str">
            <v>0</v>
          </cell>
          <cell r="DI319" t="str">
            <v>0</v>
          </cell>
          <cell r="DJ319" t="str">
            <v>0</v>
          </cell>
          <cell r="DK319" t="str">
            <v>0</v>
          </cell>
          <cell r="DL319" t="str">
            <v>0</v>
          </cell>
          <cell r="DM319" t="str">
            <v>0</v>
          </cell>
          <cell r="DN319" t="str">
            <v>0</v>
          </cell>
          <cell r="DO319" t="str">
            <v>0</v>
          </cell>
          <cell r="DP319" t="str">
            <v>0</v>
          </cell>
        </row>
        <row r="320">
          <cell r="C320"/>
          <cell r="D320" t="str">
            <v>0</v>
          </cell>
          <cell r="E320" t="str">
            <v>0</v>
          </cell>
          <cell r="F320" t="str">
            <v>0</v>
          </cell>
          <cell r="G320" t="str">
            <v>0</v>
          </cell>
          <cell r="H320" t="str">
            <v>0</v>
          </cell>
          <cell r="I320" t="str">
            <v>0</v>
          </cell>
          <cell r="J320" t="str">
            <v>0</v>
          </cell>
          <cell r="K320" t="str">
            <v>0</v>
          </cell>
          <cell r="L320" t="str">
            <v>0</v>
          </cell>
          <cell r="M320" t="str">
            <v>0</v>
          </cell>
          <cell r="N320" t="str">
            <v>0</v>
          </cell>
          <cell r="O320" t="str">
            <v>0</v>
          </cell>
          <cell r="P320" t="str">
            <v>0</v>
          </cell>
          <cell r="Q320" t="str">
            <v>0</v>
          </cell>
          <cell r="R320" t="str">
            <v>0</v>
          </cell>
          <cell r="S320" t="str">
            <v>0</v>
          </cell>
          <cell r="T320" t="str">
            <v>0</v>
          </cell>
          <cell r="U320" t="str">
            <v>0</v>
          </cell>
          <cell r="V320" t="str">
            <v>0</v>
          </cell>
          <cell r="W320" t="str">
            <v>0</v>
          </cell>
          <cell r="X320" t="str">
            <v>0</v>
          </cell>
          <cell r="Y320" t="str">
            <v>0</v>
          </cell>
          <cell r="Z320" t="str">
            <v>0</v>
          </cell>
          <cell r="AA320" t="str">
            <v>0</v>
          </cell>
          <cell r="AB320" t="str">
            <v>0</v>
          </cell>
          <cell r="AC320" t="str">
            <v>0</v>
          </cell>
          <cell r="AD320" t="str">
            <v>0</v>
          </cell>
          <cell r="AE320" t="str">
            <v>0</v>
          </cell>
          <cell r="AF320" t="str">
            <v>0</v>
          </cell>
          <cell r="AG320" t="str">
            <v>0</v>
          </cell>
          <cell r="AH320" t="str">
            <v>0</v>
          </cell>
          <cell r="AI320" t="str">
            <v>0</v>
          </cell>
          <cell r="AJ320" t="str">
            <v>0</v>
          </cell>
          <cell r="AK320" t="str">
            <v>0</v>
          </cell>
          <cell r="AL320" t="str">
            <v>0</v>
          </cell>
          <cell r="AM320" t="str">
            <v>0</v>
          </cell>
          <cell r="AN320" t="str">
            <v>0</v>
          </cell>
          <cell r="AO320" t="str">
            <v>0</v>
          </cell>
          <cell r="AP320" t="str">
            <v>0</v>
          </cell>
          <cell r="AQ320" t="str">
            <v>0</v>
          </cell>
          <cell r="AR320" t="str">
            <v>0</v>
          </cell>
          <cell r="AS320" t="str">
            <v>0</v>
          </cell>
          <cell r="AT320" t="str">
            <v>0</v>
          </cell>
          <cell r="AU320" t="str">
            <v>0</v>
          </cell>
          <cell r="AV320" t="str">
            <v>0</v>
          </cell>
          <cell r="AW320" t="str">
            <v>0</v>
          </cell>
          <cell r="AX320" t="str">
            <v>0</v>
          </cell>
          <cell r="AY320" t="str">
            <v>0</v>
          </cell>
          <cell r="AZ320" t="str">
            <v>0</v>
          </cell>
          <cell r="BA320" t="str">
            <v>0</v>
          </cell>
          <cell r="BB320" t="str">
            <v>0</v>
          </cell>
          <cell r="BC320" t="str">
            <v>0</v>
          </cell>
          <cell r="BD320" t="str">
            <v>0</v>
          </cell>
          <cell r="BE320" t="str">
            <v>0</v>
          </cell>
          <cell r="BF320" t="str">
            <v>0</v>
          </cell>
          <cell r="BG320" t="str">
            <v>0</v>
          </cell>
          <cell r="BH320" t="str">
            <v>0</v>
          </cell>
          <cell r="BI320" t="str">
            <v>0</v>
          </cell>
          <cell r="BJ320" t="str">
            <v>0</v>
          </cell>
          <cell r="BK320" t="str">
            <v>0</v>
          </cell>
          <cell r="BL320" t="str">
            <v>0</v>
          </cell>
          <cell r="BM320" t="str">
            <v>0</v>
          </cell>
          <cell r="BN320" t="str">
            <v>0</v>
          </cell>
          <cell r="BO320" t="str">
            <v>0</v>
          </cell>
          <cell r="BP320" t="str">
            <v>0</v>
          </cell>
          <cell r="BQ320" t="str">
            <v>0</v>
          </cell>
          <cell r="BR320" t="str">
            <v>0</v>
          </cell>
          <cell r="BS320" t="str">
            <v>0</v>
          </cell>
          <cell r="BT320" t="str">
            <v>0</v>
          </cell>
          <cell r="BU320" t="str">
            <v>0</v>
          </cell>
          <cell r="BV320" t="str">
            <v>0</v>
          </cell>
          <cell r="BW320" t="str">
            <v>0</v>
          </cell>
          <cell r="BX320" t="str">
            <v>0</v>
          </cell>
          <cell r="BY320" t="str">
            <v>0</v>
          </cell>
          <cell r="BZ320" t="str">
            <v>0</v>
          </cell>
          <cell r="CA320" t="str">
            <v>0</v>
          </cell>
          <cell r="CB320" t="str">
            <v>0</v>
          </cell>
          <cell r="CC320" t="str">
            <v>0</v>
          </cell>
          <cell r="CD320" t="str">
            <v>0</v>
          </cell>
          <cell r="CE320" t="str">
            <v>0</v>
          </cell>
          <cell r="CF320" t="str">
            <v>0</v>
          </cell>
          <cell r="CG320" t="str">
            <v>0</v>
          </cell>
          <cell r="CH320" t="str">
            <v>0</v>
          </cell>
          <cell r="CI320" t="str">
            <v>0</v>
          </cell>
          <cell r="CJ320" t="str">
            <v>0</v>
          </cell>
          <cell r="CK320" t="str">
            <v>0</v>
          </cell>
          <cell r="CL320" t="str">
            <v>0</v>
          </cell>
          <cell r="CM320" t="str">
            <v>0</v>
          </cell>
          <cell r="CN320" t="str">
            <v>0</v>
          </cell>
          <cell r="CO320" t="str">
            <v>0</v>
          </cell>
          <cell r="CP320" t="str">
            <v>0</v>
          </cell>
          <cell r="CQ320" t="str">
            <v>0</v>
          </cell>
          <cell r="CR320" t="str">
            <v>0</v>
          </cell>
          <cell r="CS320" t="str">
            <v>0</v>
          </cell>
          <cell r="CT320" t="str">
            <v>0</v>
          </cell>
          <cell r="CU320" t="str">
            <v>0</v>
          </cell>
          <cell r="CV320" t="str">
            <v>0</v>
          </cell>
          <cell r="CW320" t="str">
            <v>0</v>
          </cell>
          <cell r="CX320" t="str">
            <v>0</v>
          </cell>
          <cell r="CY320" t="str">
            <v>0</v>
          </cell>
          <cell r="CZ320" t="str">
            <v>0</v>
          </cell>
          <cell r="DA320" t="str">
            <v>0</v>
          </cell>
          <cell r="DB320" t="str">
            <v>0</v>
          </cell>
          <cell r="DC320" t="str">
            <v>0</v>
          </cell>
          <cell r="DD320" t="str">
            <v>0</v>
          </cell>
          <cell r="DE320" t="str">
            <v>0</v>
          </cell>
          <cell r="DF320" t="str">
            <v>0</v>
          </cell>
          <cell r="DG320" t="str">
            <v>0</v>
          </cell>
          <cell r="DH320" t="str">
            <v>0</v>
          </cell>
          <cell r="DI320" t="str">
            <v>0</v>
          </cell>
          <cell r="DJ320" t="str">
            <v>0</v>
          </cell>
          <cell r="DK320" t="str">
            <v>0</v>
          </cell>
          <cell r="DL320" t="str">
            <v>0</v>
          </cell>
          <cell r="DM320" t="str">
            <v>0</v>
          </cell>
          <cell r="DN320" t="str">
            <v>0</v>
          </cell>
          <cell r="DO320" t="str">
            <v>0</v>
          </cell>
          <cell r="DP320" t="str">
            <v>0</v>
          </cell>
        </row>
        <row r="321">
          <cell r="C321"/>
          <cell r="D321" t="str">
            <v>0</v>
          </cell>
          <cell r="E321" t="str">
            <v>0</v>
          </cell>
          <cell r="F321" t="str">
            <v>0</v>
          </cell>
          <cell r="G321" t="str">
            <v>0</v>
          </cell>
          <cell r="H321" t="str">
            <v>0</v>
          </cell>
          <cell r="I321" t="str">
            <v>0</v>
          </cell>
          <cell r="J321" t="str">
            <v>0</v>
          </cell>
          <cell r="K321" t="str">
            <v>0</v>
          </cell>
          <cell r="L321" t="str">
            <v>0</v>
          </cell>
          <cell r="M321" t="str">
            <v>0</v>
          </cell>
          <cell r="N321" t="str">
            <v>0</v>
          </cell>
          <cell r="O321" t="str">
            <v>0</v>
          </cell>
          <cell r="P321" t="str">
            <v>0</v>
          </cell>
          <cell r="Q321" t="str">
            <v>0</v>
          </cell>
          <cell r="R321" t="str">
            <v>0</v>
          </cell>
          <cell r="S321" t="str">
            <v>0</v>
          </cell>
          <cell r="T321" t="str">
            <v>0</v>
          </cell>
          <cell r="U321" t="str">
            <v>0</v>
          </cell>
          <cell r="V321" t="str">
            <v>0</v>
          </cell>
          <cell r="W321" t="str">
            <v>0</v>
          </cell>
          <cell r="X321" t="str">
            <v>0</v>
          </cell>
          <cell r="Y321" t="str">
            <v>0</v>
          </cell>
          <cell r="Z321" t="str">
            <v>0</v>
          </cell>
          <cell r="AA321" t="str">
            <v>0</v>
          </cell>
          <cell r="AB321" t="str">
            <v>0</v>
          </cell>
          <cell r="AC321" t="str">
            <v>0</v>
          </cell>
          <cell r="AD321" t="str">
            <v>0</v>
          </cell>
          <cell r="AE321" t="str">
            <v>0</v>
          </cell>
          <cell r="AF321" t="str">
            <v>0</v>
          </cell>
          <cell r="AG321" t="str">
            <v>0</v>
          </cell>
          <cell r="AH321" t="str">
            <v>0</v>
          </cell>
          <cell r="AI321" t="str">
            <v>0</v>
          </cell>
          <cell r="AJ321" t="str">
            <v>0</v>
          </cell>
          <cell r="AK321" t="str">
            <v>0</v>
          </cell>
          <cell r="AL321" t="str">
            <v>0</v>
          </cell>
          <cell r="AM321" t="str">
            <v>0</v>
          </cell>
          <cell r="AN321" t="str">
            <v>0</v>
          </cell>
          <cell r="AO321" t="str">
            <v>0</v>
          </cell>
          <cell r="AP321" t="str">
            <v>0</v>
          </cell>
          <cell r="AQ321" t="str">
            <v>0</v>
          </cell>
          <cell r="AR321" t="str">
            <v>0</v>
          </cell>
          <cell r="AS321" t="str">
            <v>0</v>
          </cell>
          <cell r="AT321" t="str">
            <v>0</v>
          </cell>
          <cell r="AU321" t="str">
            <v>0</v>
          </cell>
          <cell r="AV321" t="str">
            <v>0</v>
          </cell>
          <cell r="AW321" t="str">
            <v>0</v>
          </cell>
          <cell r="AX321" t="str">
            <v>0</v>
          </cell>
          <cell r="AY321" t="str">
            <v>0</v>
          </cell>
          <cell r="AZ321" t="str">
            <v>0</v>
          </cell>
          <cell r="BA321" t="str">
            <v>0</v>
          </cell>
          <cell r="BB321" t="str">
            <v>0</v>
          </cell>
          <cell r="BC321" t="str">
            <v>0</v>
          </cell>
          <cell r="BD321" t="str">
            <v>0</v>
          </cell>
          <cell r="BE321" t="str">
            <v>0</v>
          </cell>
          <cell r="BF321" t="str">
            <v>0</v>
          </cell>
          <cell r="BG321" t="str">
            <v>0</v>
          </cell>
          <cell r="BH321" t="str">
            <v>0</v>
          </cell>
          <cell r="BI321" t="str">
            <v>0</v>
          </cell>
          <cell r="BJ321" t="str">
            <v>0</v>
          </cell>
          <cell r="BK321" t="str">
            <v>0</v>
          </cell>
          <cell r="BL321" t="str">
            <v>0</v>
          </cell>
          <cell r="BM321" t="str">
            <v>0</v>
          </cell>
          <cell r="BN321" t="str">
            <v>0</v>
          </cell>
          <cell r="BO321" t="str">
            <v>0</v>
          </cell>
          <cell r="BP321" t="str">
            <v>0</v>
          </cell>
          <cell r="BQ321" t="str">
            <v>0</v>
          </cell>
          <cell r="BR321" t="str">
            <v>0</v>
          </cell>
          <cell r="BS321" t="str">
            <v>0</v>
          </cell>
          <cell r="BT321" t="str">
            <v>0</v>
          </cell>
          <cell r="BU321" t="str">
            <v>0</v>
          </cell>
          <cell r="BV321" t="str">
            <v>0</v>
          </cell>
          <cell r="BW321" t="str">
            <v>0</v>
          </cell>
          <cell r="BX321" t="str">
            <v>0</v>
          </cell>
          <cell r="BY321" t="str">
            <v>0</v>
          </cell>
          <cell r="BZ321" t="str">
            <v>0</v>
          </cell>
          <cell r="CA321" t="str">
            <v>0</v>
          </cell>
          <cell r="CB321" t="str">
            <v>0</v>
          </cell>
          <cell r="CC321" t="str">
            <v>0</v>
          </cell>
          <cell r="CD321" t="str">
            <v>0</v>
          </cell>
          <cell r="CE321" t="str">
            <v>0</v>
          </cell>
          <cell r="CF321" t="str">
            <v>0</v>
          </cell>
          <cell r="CG321" t="str">
            <v>0</v>
          </cell>
          <cell r="CH321" t="str">
            <v>0</v>
          </cell>
          <cell r="CI321" t="str">
            <v>0</v>
          </cell>
          <cell r="CJ321" t="str">
            <v>0</v>
          </cell>
          <cell r="CK321" t="str">
            <v>0</v>
          </cell>
          <cell r="CL321" t="str">
            <v>0</v>
          </cell>
          <cell r="CM321" t="str">
            <v>0</v>
          </cell>
          <cell r="CN321" t="str">
            <v>0</v>
          </cell>
          <cell r="CO321" t="str">
            <v>0</v>
          </cell>
          <cell r="CP321" t="str">
            <v>0</v>
          </cell>
          <cell r="CQ321" t="str">
            <v>0</v>
          </cell>
          <cell r="CR321" t="str">
            <v>0</v>
          </cell>
          <cell r="CS321" t="str">
            <v>0</v>
          </cell>
          <cell r="CT321" t="str">
            <v>0</v>
          </cell>
          <cell r="CU321" t="str">
            <v>0</v>
          </cell>
          <cell r="CV321" t="str">
            <v>0</v>
          </cell>
          <cell r="CW321" t="str">
            <v>0</v>
          </cell>
          <cell r="CX321" t="str">
            <v>0</v>
          </cell>
          <cell r="CY321" t="str">
            <v>0</v>
          </cell>
          <cell r="CZ321" t="str">
            <v>0</v>
          </cell>
          <cell r="DA321" t="str">
            <v>0</v>
          </cell>
          <cell r="DB321" t="str">
            <v>0</v>
          </cell>
          <cell r="DC321" t="str">
            <v>0</v>
          </cell>
          <cell r="DD321" t="str">
            <v>0</v>
          </cell>
          <cell r="DE321" t="str">
            <v>0</v>
          </cell>
          <cell r="DF321" t="str">
            <v>0</v>
          </cell>
          <cell r="DG321" t="str">
            <v>0</v>
          </cell>
          <cell r="DH321" t="str">
            <v>0</v>
          </cell>
          <cell r="DI321" t="str">
            <v>0</v>
          </cell>
          <cell r="DJ321" t="str">
            <v>0</v>
          </cell>
          <cell r="DK321" t="str">
            <v>0</v>
          </cell>
          <cell r="DL321" t="str">
            <v>0</v>
          </cell>
          <cell r="DM321" t="str">
            <v>0</v>
          </cell>
          <cell r="DN321" t="str">
            <v>0</v>
          </cell>
          <cell r="DO321" t="str">
            <v>0</v>
          </cell>
          <cell r="DP321" t="str">
            <v>0</v>
          </cell>
        </row>
        <row r="322">
          <cell r="C322"/>
          <cell r="D322" t="str">
            <v>0</v>
          </cell>
          <cell r="E322" t="str">
            <v>0</v>
          </cell>
          <cell r="F322" t="str">
            <v>0</v>
          </cell>
          <cell r="G322" t="str">
            <v>0</v>
          </cell>
          <cell r="H322" t="str">
            <v>0</v>
          </cell>
          <cell r="I322" t="str">
            <v>0</v>
          </cell>
          <cell r="J322" t="str">
            <v>0</v>
          </cell>
          <cell r="K322" t="str">
            <v>0</v>
          </cell>
          <cell r="L322" t="str">
            <v>0</v>
          </cell>
          <cell r="M322" t="str">
            <v>0</v>
          </cell>
          <cell r="N322" t="str">
            <v>0</v>
          </cell>
          <cell r="O322" t="str">
            <v>0</v>
          </cell>
          <cell r="P322" t="str">
            <v>0</v>
          </cell>
          <cell r="Q322" t="str">
            <v>0</v>
          </cell>
          <cell r="R322" t="str">
            <v>0</v>
          </cell>
          <cell r="S322" t="str">
            <v>0</v>
          </cell>
          <cell r="T322" t="str">
            <v>0</v>
          </cell>
          <cell r="U322" t="str">
            <v>0</v>
          </cell>
          <cell r="V322" t="str">
            <v>0</v>
          </cell>
          <cell r="W322" t="str">
            <v>0</v>
          </cell>
          <cell r="X322" t="str">
            <v>0</v>
          </cell>
          <cell r="Y322" t="str">
            <v>0</v>
          </cell>
          <cell r="Z322" t="str">
            <v>0</v>
          </cell>
          <cell r="AA322" t="str">
            <v>0</v>
          </cell>
          <cell r="AB322" t="str">
            <v>0</v>
          </cell>
          <cell r="AC322" t="str">
            <v>0</v>
          </cell>
          <cell r="AD322" t="str">
            <v>0</v>
          </cell>
          <cell r="AE322" t="str">
            <v>0</v>
          </cell>
          <cell r="AF322" t="str">
            <v>0</v>
          </cell>
          <cell r="AG322" t="str">
            <v>0</v>
          </cell>
          <cell r="AH322" t="str">
            <v>0</v>
          </cell>
          <cell r="AI322" t="str">
            <v>0</v>
          </cell>
          <cell r="AJ322" t="str">
            <v>0</v>
          </cell>
          <cell r="AK322" t="str">
            <v>0</v>
          </cell>
          <cell r="AL322" t="str">
            <v>0</v>
          </cell>
          <cell r="AM322" t="str">
            <v>0</v>
          </cell>
          <cell r="AN322" t="str">
            <v>0</v>
          </cell>
          <cell r="AO322" t="str">
            <v>0</v>
          </cell>
          <cell r="AP322" t="str">
            <v>0</v>
          </cell>
          <cell r="AQ322" t="str">
            <v>0</v>
          </cell>
          <cell r="AR322" t="str">
            <v>0</v>
          </cell>
          <cell r="AS322" t="str">
            <v>0</v>
          </cell>
          <cell r="AT322" t="str">
            <v>0</v>
          </cell>
          <cell r="AU322" t="str">
            <v>0</v>
          </cell>
          <cell r="AV322" t="str">
            <v>0</v>
          </cell>
          <cell r="AW322" t="str">
            <v>0</v>
          </cell>
          <cell r="AX322" t="str">
            <v>0</v>
          </cell>
          <cell r="AY322" t="str">
            <v>0</v>
          </cell>
          <cell r="AZ322" t="str">
            <v>0</v>
          </cell>
          <cell r="BA322" t="str">
            <v>0</v>
          </cell>
          <cell r="BB322" t="str">
            <v>0</v>
          </cell>
          <cell r="BC322" t="str">
            <v>0</v>
          </cell>
          <cell r="BD322" t="str">
            <v>0</v>
          </cell>
          <cell r="BE322" t="str">
            <v>0</v>
          </cell>
          <cell r="BF322" t="str">
            <v>0</v>
          </cell>
          <cell r="BG322" t="str">
            <v>0</v>
          </cell>
          <cell r="BH322" t="str">
            <v>0</v>
          </cell>
          <cell r="BI322" t="str">
            <v>0</v>
          </cell>
          <cell r="BJ322" t="str">
            <v>0</v>
          </cell>
          <cell r="BK322" t="str">
            <v>0</v>
          </cell>
          <cell r="BL322" t="str">
            <v>0</v>
          </cell>
          <cell r="BM322" t="str">
            <v>0</v>
          </cell>
          <cell r="BN322" t="str">
            <v>0</v>
          </cell>
          <cell r="BO322" t="str">
            <v>0</v>
          </cell>
          <cell r="BP322" t="str">
            <v>0</v>
          </cell>
          <cell r="BQ322" t="str">
            <v>0</v>
          </cell>
          <cell r="BR322" t="str">
            <v>0</v>
          </cell>
          <cell r="BS322" t="str">
            <v>0</v>
          </cell>
          <cell r="BT322" t="str">
            <v>0</v>
          </cell>
          <cell r="BU322" t="str">
            <v>0</v>
          </cell>
          <cell r="BV322" t="str">
            <v>0</v>
          </cell>
          <cell r="BW322" t="str">
            <v>0</v>
          </cell>
          <cell r="BX322" t="str">
            <v>0</v>
          </cell>
          <cell r="BY322" t="str">
            <v>0</v>
          </cell>
          <cell r="BZ322" t="str">
            <v>0</v>
          </cell>
          <cell r="CA322" t="str">
            <v>0</v>
          </cell>
          <cell r="CB322" t="str">
            <v>0</v>
          </cell>
          <cell r="CC322" t="str">
            <v>0</v>
          </cell>
          <cell r="CD322" t="str">
            <v>0</v>
          </cell>
          <cell r="CE322" t="str">
            <v>0</v>
          </cell>
          <cell r="CF322" t="str">
            <v>0</v>
          </cell>
          <cell r="CG322" t="str">
            <v>0</v>
          </cell>
          <cell r="CH322" t="str">
            <v>0</v>
          </cell>
          <cell r="CI322" t="str">
            <v>0</v>
          </cell>
          <cell r="CJ322" t="str">
            <v>0</v>
          </cell>
          <cell r="CK322" t="str">
            <v>0</v>
          </cell>
          <cell r="CL322" t="str">
            <v>0</v>
          </cell>
          <cell r="CM322" t="str">
            <v>0</v>
          </cell>
          <cell r="CN322" t="str">
            <v>0</v>
          </cell>
          <cell r="CO322" t="str">
            <v>0</v>
          </cell>
          <cell r="CP322" t="str">
            <v>0</v>
          </cell>
          <cell r="CQ322" t="str">
            <v>0</v>
          </cell>
          <cell r="CR322" t="str">
            <v>0</v>
          </cell>
          <cell r="CS322" t="str">
            <v>0</v>
          </cell>
          <cell r="CT322" t="str">
            <v>0</v>
          </cell>
          <cell r="CU322" t="str">
            <v>0</v>
          </cell>
          <cell r="CV322" t="str">
            <v>0</v>
          </cell>
          <cell r="CW322" t="str">
            <v>0</v>
          </cell>
          <cell r="CX322" t="str">
            <v>0</v>
          </cell>
          <cell r="CY322" t="str">
            <v>0</v>
          </cell>
          <cell r="CZ322" t="str">
            <v>0</v>
          </cell>
          <cell r="DA322" t="str">
            <v>0</v>
          </cell>
          <cell r="DB322" t="str">
            <v>0</v>
          </cell>
          <cell r="DC322" t="str">
            <v>0</v>
          </cell>
          <cell r="DD322" t="str">
            <v>0</v>
          </cell>
          <cell r="DE322" t="str">
            <v>0</v>
          </cell>
          <cell r="DF322" t="str">
            <v>0</v>
          </cell>
          <cell r="DG322" t="str">
            <v>0</v>
          </cell>
          <cell r="DH322" t="str">
            <v>0</v>
          </cell>
          <cell r="DI322" t="str">
            <v>0</v>
          </cell>
          <cell r="DJ322" t="str">
            <v>0</v>
          </cell>
          <cell r="DK322" t="str">
            <v>0</v>
          </cell>
          <cell r="DL322" t="str">
            <v>0</v>
          </cell>
          <cell r="DM322" t="str">
            <v>0</v>
          </cell>
          <cell r="DN322" t="str">
            <v>0</v>
          </cell>
          <cell r="DO322" t="str">
            <v>0</v>
          </cell>
          <cell r="DP322" t="str">
            <v>0</v>
          </cell>
        </row>
        <row r="323">
          <cell r="C323"/>
          <cell r="D323" t="str">
            <v>0</v>
          </cell>
          <cell r="E323" t="str">
            <v>0</v>
          </cell>
          <cell r="F323" t="str">
            <v>0</v>
          </cell>
          <cell r="G323" t="str">
            <v>0</v>
          </cell>
          <cell r="H323" t="str">
            <v>0</v>
          </cell>
          <cell r="I323" t="str">
            <v>0</v>
          </cell>
          <cell r="J323" t="str">
            <v>0</v>
          </cell>
          <cell r="K323" t="str">
            <v>0</v>
          </cell>
          <cell r="L323" t="str">
            <v>0</v>
          </cell>
          <cell r="M323" t="str">
            <v>0</v>
          </cell>
          <cell r="N323" t="str">
            <v>0</v>
          </cell>
          <cell r="O323" t="str">
            <v>0</v>
          </cell>
          <cell r="P323" t="str">
            <v>0</v>
          </cell>
          <cell r="Q323" t="str">
            <v>0</v>
          </cell>
          <cell r="R323" t="str">
            <v>0</v>
          </cell>
          <cell r="S323" t="str">
            <v>0</v>
          </cell>
          <cell r="T323" t="str">
            <v>0</v>
          </cell>
          <cell r="U323" t="str">
            <v>0</v>
          </cell>
          <cell r="V323" t="str">
            <v>0</v>
          </cell>
          <cell r="W323" t="str">
            <v>0</v>
          </cell>
          <cell r="X323" t="str">
            <v>0</v>
          </cell>
          <cell r="Y323" t="str">
            <v>0</v>
          </cell>
          <cell r="Z323" t="str">
            <v>0</v>
          </cell>
          <cell r="AA323" t="str">
            <v>0</v>
          </cell>
          <cell r="AB323" t="str">
            <v>0</v>
          </cell>
          <cell r="AC323" t="str">
            <v>0</v>
          </cell>
          <cell r="AD323" t="str">
            <v>0</v>
          </cell>
          <cell r="AE323" t="str">
            <v>0</v>
          </cell>
          <cell r="AF323" t="str">
            <v>0</v>
          </cell>
          <cell r="AG323" t="str">
            <v>0</v>
          </cell>
          <cell r="AH323" t="str">
            <v>0</v>
          </cell>
          <cell r="AI323" t="str">
            <v>0</v>
          </cell>
          <cell r="AJ323" t="str">
            <v>0</v>
          </cell>
          <cell r="AK323" t="str">
            <v>0</v>
          </cell>
          <cell r="AL323" t="str">
            <v>0</v>
          </cell>
          <cell r="AM323" t="str">
            <v>0</v>
          </cell>
          <cell r="AN323" t="str">
            <v>0</v>
          </cell>
          <cell r="AO323" t="str">
            <v>0</v>
          </cell>
          <cell r="AP323" t="str">
            <v>0</v>
          </cell>
          <cell r="AQ323" t="str">
            <v>0</v>
          </cell>
          <cell r="AR323" t="str">
            <v>0</v>
          </cell>
          <cell r="AS323" t="str">
            <v>0</v>
          </cell>
          <cell r="AT323" t="str">
            <v>0</v>
          </cell>
          <cell r="AU323" t="str">
            <v>0</v>
          </cell>
          <cell r="AV323" t="str">
            <v>0</v>
          </cell>
          <cell r="AW323" t="str">
            <v>0</v>
          </cell>
          <cell r="AX323" t="str">
            <v>0</v>
          </cell>
          <cell r="AY323" t="str">
            <v>0</v>
          </cell>
          <cell r="AZ323" t="str">
            <v>0</v>
          </cell>
          <cell r="BA323" t="str">
            <v>0</v>
          </cell>
          <cell r="BB323" t="str">
            <v>0</v>
          </cell>
          <cell r="BC323" t="str">
            <v>0</v>
          </cell>
          <cell r="BD323" t="str">
            <v>0</v>
          </cell>
          <cell r="BE323" t="str">
            <v>0</v>
          </cell>
          <cell r="BF323" t="str">
            <v>0</v>
          </cell>
          <cell r="BG323" t="str">
            <v>0</v>
          </cell>
          <cell r="BH323" t="str">
            <v>0</v>
          </cell>
          <cell r="BI323" t="str">
            <v>0</v>
          </cell>
          <cell r="BJ323" t="str">
            <v>0</v>
          </cell>
          <cell r="BK323" t="str">
            <v>0</v>
          </cell>
          <cell r="BL323" t="str">
            <v>0</v>
          </cell>
          <cell r="BM323" t="str">
            <v>0</v>
          </cell>
          <cell r="BN323" t="str">
            <v>0</v>
          </cell>
          <cell r="BO323" t="str">
            <v>0</v>
          </cell>
          <cell r="BP323" t="str">
            <v>0</v>
          </cell>
          <cell r="BQ323" t="str">
            <v>0</v>
          </cell>
          <cell r="BR323" t="str">
            <v>0</v>
          </cell>
          <cell r="BS323" t="str">
            <v>0</v>
          </cell>
          <cell r="BT323" t="str">
            <v>0</v>
          </cell>
          <cell r="BU323" t="str">
            <v>0</v>
          </cell>
          <cell r="BV323" t="str">
            <v>0</v>
          </cell>
          <cell r="BW323" t="str">
            <v>0</v>
          </cell>
          <cell r="BX323" t="str">
            <v>0</v>
          </cell>
          <cell r="BY323" t="str">
            <v>0</v>
          </cell>
          <cell r="BZ323" t="str">
            <v>0</v>
          </cell>
          <cell r="CA323" t="str">
            <v>0</v>
          </cell>
          <cell r="CB323" t="str">
            <v>0</v>
          </cell>
          <cell r="CC323" t="str">
            <v>0</v>
          </cell>
          <cell r="CD323" t="str">
            <v>0</v>
          </cell>
          <cell r="CE323" t="str">
            <v>0</v>
          </cell>
          <cell r="CF323" t="str">
            <v>0</v>
          </cell>
          <cell r="CG323" t="str">
            <v>0</v>
          </cell>
          <cell r="CH323" t="str">
            <v>0</v>
          </cell>
          <cell r="CI323" t="str">
            <v>0</v>
          </cell>
          <cell r="CJ323" t="str">
            <v>0</v>
          </cell>
          <cell r="CK323" t="str">
            <v>0</v>
          </cell>
          <cell r="CL323" t="str">
            <v>0</v>
          </cell>
          <cell r="CM323" t="str">
            <v>0</v>
          </cell>
          <cell r="CN323" t="str">
            <v>0</v>
          </cell>
          <cell r="CO323" t="str">
            <v>0</v>
          </cell>
          <cell r="CP323" t="str">
            <v>0</v>
          </cell>
          <cell r="CQ323" t="str">
            <v>0</v>
          </cell>
          <cell r="CR323" t="str">
            <v>0</v>
          </cell>
          <cell r="CS323" t="str">
            <v>0</v>
          </cell>
          <cell r="CT323" t="str">
            <v>0</v>
          </cell>
          <cell r="CU323" t="str">
            <v>0</v>
          </cell>
          <cell r="CV323" t="str">
            <v>0</v>
          </cell>
          <cell r="CW323" t="str">
            <v>0</v>
          </cell>
          <cell r="CX323" t="str">
            <v>0</v>
          </cell>
          <cell r="CY323" t="str">
            <v>0</v>
          </cell>
          <cell r="CZ323" t="str">
            <v>0</v>
          </cell>
          <cell r="DA323" t="str">
            <v>0</v>
          </cell>
          <cell r="DB323" t="str">
            <v>0</v>
          </cell>
          <cell r="DC323" t="str">
            <v>0</v>
          </cell>
          <cell r="DD323" t="str">
            <v>0</v>
          </cell>
          <cell r="DE323" t="str">
            <v>0</v>
          </cell>
          <cell r="DF323" t="str">
            <v>0</v>
          </cell>
          <cell r="DG323" t="str">
            <v>0</v>
          </cell>
          <cell r="DH323" t="str">
            <v>0</v>
          </cell>
          <cell r="DI323" t="str">
            <v>0</v>
          </cell>
          <cell r="DJ323" t="str">
            <v>0</v>
          </cell>
          <cell r="DK323" t="str">
            <v>0</v>
          </cell>
          <cell r="DL323" t="str">
            <v>0</v>
          </cell>
          <cell r="DM323" t="str">
            <v>0</v>
          </cell>
          <cell r="DN323" t="str">
            <v>0</v>
          </cell>
          <cell r="DO323" t="str">
            <v>0</v>
          </cell>
          <cell r="DP323" t="str">
            <v>0</v>
          </cell>
        </row>
        <row r="324">
          <cell r="C324"/>
          <cell r="D324" t="str">
            <v>0</v>
          </cell>
          <cell r="E324" t="str">
            <v>0</v>
          </cell>
          <cell r="F324" t="str">
            <v>0</v>
          </cell>
          <cell r="G324" t="str">
            <v>0</v>
          </cell>
          <cell r="H324" t="str">
            <v>0</v>
          </cell>
          <cell r="I324" t="str">
            <v>0</v>
          </cell>
          <cell r="J324" t="str">
            <v>0</v>
          </cell>
          <cell r="K324" t="str">
            <v>0</v>
          </cell>
          <cell r="L324" t="str">
            <v>0</v>
          </cell>
          <cell r="M324" t="str">
            <v>0</v>
          </cell>
          <cell r="N324" t="str">
            <v>0</v>
          </cell>
          <cell r="O324" t="str">
            <v>0</v>
          </cell>
          <cell r="P324" t="str">
            <v>0</v>
          </cell>
          <cell r="Q324" t="str">
            <v>0</v>
          </cell>
          <cell r="R324" t="str">
            <v>0</v>
          </cell>
          <cell r="S324" t="str">
            <v>0</v>
          </cell>
          <cell r="T324" t="str">
            <v>0</v>
          </cell>
          <cell r="U324" t="str">
            <v>0</v>
          </cell>
          <cell r="V324" t="str">
            <v>0</v>
          </cell>
          <cell r="W324" t="str">
            <v>0</v>
          </cell>
          <cell r="X324" t="str">
            <v>0</v>
          </cell>
          <cell r="Y324" t="str">
            <v>0</v>
          </cell>
          <cell r="Z324" t="str">
            <v>0</v>
          </cell>
          <cell r="AA324" t="str">
            <v>0</v>
          </cell>
          <cell r="AB324" t="str">
            <v>0</v>
          </cell>
          <cell r="AC324" t="str">
            <v>0</v>
          </cell>
          <cell r="AD324" t="str">
            <v>0</v>
          </cell>
          <cell r="AE324" t="str">
            <v>0</v>
          </cell>
          <cell r="AF324" t="str">
            <v>0</v>
          </cell>
          <cell r="AG324" t="str">
            <v>0</v>
          </cell>
          <cell r="AH324" t="str">
            <v>0</v>
          </cell>
          <cell r="AI324" t="str">
            <v>0</v>
          </cell>
          <cell r="AJ324" t="str">
            <v>0</v>
          </cell>
          <cell r="AK324" t="str">
            <v>0</v>
          </cell>
          <cell r="AL324" t="str">
            <v>0</v>
          </cell>
          <cell r="AM324" t="str">
            <v>0</v>
          </cell>
          <cell r="AN324" t="str">
            <v>0</v>
          </cell>
          <cell r="AO324" t="str">
            <v>0</v>
          </cell>
          <cell r="AP324" t="str">
            <v>0</v>
          </cell>
          <cell r="AQ324" t="str">
            <v>0</v>
          </cell>
          <cell r="AR324" t="str">
            <v>0</v>
          </cell>
          <cell r="AS324" t="str">
            <v>0</v>
          </cell>
          <cell r="AT324" t="str">
            <v>0</v>
          </cell>
          <cell r="AU324" t="str">
            <v>0</v>
          </cell>
          <cell r="AV324" t="str">
            <v>0</v>
          </cell>
          <cell r="AW324" t="str">
            <v>0</v>
          </cell>
          <cell r="AX324" t="str">
            <v>0</v>
          </cell>
          <cell r="AY324" t="str">
            <v>0</v>
          </cell>
          <cell r="AZ324" t="str">
            <v>0</v>
          </cell>
          <cell r="BA324" t="str">
            <v>0</v>
          </cell>
          <cell r="BB324" t="str">
            <v>0</v>
          </cell>
          <cell r="BC324" t="str">
            <v>0</v>
          </cell>
          <cell r="BD324" t="str">
            <v>0</v>
          </cell>
          <cell r="BE324" t="str">
            <v>0</v>
          </cell>
          <cell r="BF324" t="str">
            <v>0</v>
          </cell>
          <cell r="BG324" t="str">
            <v>0</v>
          </cell>
          <cell r="BH324" t="str">
            <v>0</v>
          </cell>
          <cell r="BI324" t="str">
            <v>0</v>
          </cell>
          <cell r="BJ324" t="str">
            <v>0</v>
          </cell>
          <cell r="BK324" t="str">
            <v>0</v>
          </cell>
          <cell r="BL324" t="str">
            <v>0</v>
          </cell>
          <cell r="BM324" t="str">
            <v>0</v>
          </cell>
          <cell r="BN324" t="str">
            <v>0</v>
          </cell>
          <cell r="BO324" t="str">
            <v>0</v>
          </cell>
          <cell r="BP324" t="str">
            <v>0</v>
          </cell>
          <cell r="BQ324" t="str">
            <v>0</v>
          </cell>
          <cell r="BR324" t="str">
            <v>0</v>
          </cell>
          <cell r="BS324" t="str">
            <v>0</v>
          </cell>
          <cell r="BT324" t="str">
            <v>0</v>
          </cell>
          <cell r="BU324" t="str">
            <v>0</v>
          </cell>
          <cell r="BV324" t="str">
            <v>0</v>
          </cell>
          <cell r="BW324" t="str">
            <v>0</v>
          </cell>
          <cell r="BX324" t="str">
            <v>0</v>
          </cell>
          <cell r="BY324" t="str">
            <v>0</v>
          </cell>
          <cell r="BZ324" t="str">
            <v>0</v>
          </cell>
          <cell r="CA324" t="str">
            <v>0</v>
          </cell>
          <cell r="CB324" t="str">
            <v>0</v>
          </cell>
          <cell r="CC324" t="str">
            <v>0</v>
          </cell>
          <cell r="CD324" t="str">
            <v>0</v>
          </cell>
          <cell r="CE324" t="str">
            <v>0</v>
          </cell>
          <cell r="CF324" t="str">
            <v>0</v>
          </cell>
          <cell r="CG324" t="str">
            <v>0</v>
          </cell>
          <cell r="CH324" t="str">
            <v>0</v>
          </cell>
          <cell r="CI324" t="str">
            <v>0</v>
          </cell>
          <cell r="CJ324" t="str">
            <v>0</v>
          </cell>
          <cell r="CK324" t="str">
            <v>0</v>
          </cell>
          <cell r="CL324" t="str">
            <v>0</v>
          </cell>
          <cell r="CM324" t="str">
            <v>0</v>
          </cell>
          <cell r="CN324" t="str">
            <v>0</v>
          </cell>
          <cell r="CO324" t="str">
            <v>0</v>
          </cell>
          <cell r="CP324" t="str">
            <v>0</v>
          </cell>
          <cell r="CQ324" t="str">
            <v>0</v>
          </cell>
          <cell r="CR324" t="str">
            <v>0</v>
          </cell>
          <cell r="CS324" t="str">
            <v>0</v>
          </cell>
          <cell r="CT324" t="str">
            <v>0</v>
          </cell>
          <cell r="CU324" t="str">
            <v>0</v>
          </cell>
          <cell r="CV324" t="str">
            <v>0</v>
          </cell>
          <cell r="CW324" t="str">
            <v>0</v>
          </cell>
          <cell r="CX324" t="str">
            <v>0</v>
          </cell>
          <cell r="CY324" t="str">
            <v>0</v>
          </cell>
          <cell r="CZ324" t="str">
            <v>0</v>
          </cell>
          <cell r="DA324" t="str">
            <v>0</v>
          </cell>
          <cell r="DB324" t="str">
            <v>0</v>
          </cell>
          <cell r="DC324" t="str">
            <v>0</v>
          </cell>
          <cell r="DD324" t="str">
            <v>0</v>
          </cell>
          <cell r="DE324" t="str">
            <v>0</v>
          </cell>
          <cell r="DF324" t="str">
            <v>0</v>
          </cell>
          <cell r="DG324" t="str">
            <v>0</v>
          </cell>
          <cell r="DH324" t="str">
            <v>0</v>
          </cell>
          <cell r="DI324" t="str">
            <v>0</v>
          </cell>
          <cell r="DJ324" t="str">
            <v>0</v>
          </cell>
          <cell r="DK324" t="str">
            <v>0</v>
          </cell>
          <cell r="DL324" t="str">
            <v>0</v>
          </cell>
          <cell r="DM324" t="str">
            <v>0</v>
          </cell>
          <cell r="DN324" t="str">
            <v>0</v>
          </cell>
          <cell r="DO324" t="str">
            <v>0</v>
          </cell>
          <cell r="DP324" t="str">
            <v>0</v>
          </cell>
        </row>
        <row r="325">
          <cell r="C325"/>
          <cell r="D325" t="str">
            <v>0</v>
          </cell>
          <cell r="E325" t="str">
            <v>0</v>
          </cell>
          <cell r="F325" t="str">
            <v>0</v>
          </cell>
          <cell r="G325" t="str">
            <v>0</v>
          </cell>
          <cell r="H325" t="str">
            <v>0</v>
          </cell>
          <cell r="I325" t="str">
            <v>0</v>
          </cell>
          <cell r="J325" t="str">
            <v>0</v>
          </cell>
          <cell r="K325" t="str">
            <v>0</v>
          </cell>
          <cell r="L325" t="str">
            <v>0</v>
          </cell>
          <cell r="M325" t="str">
            <v>0</v>
          </cell>
          <cell r="N325" t="str">
            <v>0</v>
          </cell>
          <cell r="O325" t="str">
            <v>0</v>
          </cell>
          <cell r="P325" t="str">
            <v>0</v>
          </cell>
          <cell r="Q325" t="str">
            <v>0</v>
          </cell>
          <cell r="R325" t="str">
            <v>0</v>
          </cell>
          <cell r="S325" t="str">
            <v>0</v>
          </cell>
          <cell r="T325" t="str">
            <v>0</v>
          </cell>
          <cell r="U325" t="str">
            <v>0</v>
          </cell>
          <cell r="V325" t="str">
            <v>0</v>
          </cell>
          <cell r="W325" t="str">
            <v>0</v>
          </cell>
          <cell r="X325" t="str">
            <v>0</v>
          </cell>
          <cell r="Y325" t="str">
            <v>0</v>
          </cell>
          <cell r="Z325" t="str">
            <v>0</v>
          </cell>
          <cell r="AA325" t="str">
            <v>0</v>
          </cell>
          <cell r="AB325" t="str">
            <v>0</v>
          </cell>
          <cell r="AC325" t="str">
            <v>0</v>
          </cell>
          <cell r="AD325" t="str">
            <v>0</v>
          </cell>
          <cell r="AE325" t="str">
            <v>0</v>
          </cell>
          <cell r="AF325" t="str">
            <v>0</v>
          </cell>
          <cell r="AG325" t="str">
            <v>0</v>
          </cell>
          <cell r="AH325" t="str">
            <v>0</v>
          </cell>
          <cell r="AI325" t="str">
            <v>0</v>
          </cell>
          <cell r="AJ325" t="str">
            <v>0</v>
          </cell>
          <cell r="AK325" t="str">
            <v>0</v>
          </cell>
          <cell r="AL325" t="str">
            <v>0</v>
          </cell>
          <cell r="AM325" t="str">
            <v>0</v>
          </cell>
          <cell r="AN325" t="str">
            <v>0</v>
          </cell>
          <cell r="AO325" t="str">
            <v>0</v>
          </cell>
          <cell r="AP325" t="str">
            <v>0</v>
          </cell>
          <cell r="AQ325" t="str">
            <v>0</v>
          </cell>
          <cell r="AR325" t="str">
            <v>0</v>
          </cell>
          <cell r="AS325" t="str">
            <v>0</v>
          </cell>
          <cell r="AT325" t="str">
            <v>0</v>
          </cell>
          <cell r="AU325" t="str">
            <v>0</v>
          </cell>
          <cell r="AV325" t="str">
            <v>0</v>
          </cell>
          <cell r="AW325" t="str">
            <v>0</v>
          </cell>
          <cell r="AX325" t="str">
            <v>0</v>
          </cell>
          <cell r="AY325" t="str">
            <v>0</v>
          </cell>
          <cell r="AZ325" t="str">
            <v>0</v>
          </cell>
          <cell r="BA325" t="str">
            <v>0</v>
          </cell>
          <cell r="BB325" t="str">
            <v>0</v>
          </cell>
          <cell r="BC325" t="str">
            <v>0</v>
          </cell>
          <cell r="BD325" t="str">
            <v>0</v>
          </cell>
          <cell r="BE325" t="str">
            <v>0</v>
          </cell>
          <cell r="BF325" t="str">
            <v>0</v>
          </cell>
          <cell r="BG325" t="str">
            <v>0</v>
          </cell>
          <cell r="BH325" t="str">
            <v>0</v>
          </cell>
          <cell r="BI325" t="str">
            <v>0</v>
          </cell>
          <cell r="BJ325" t="str">
            <v>0</v>
          </cell>
          <cell r="BK325" t="str">
            <v>0</v>
          </cell>
          <cell r="BL325" t="str">
            <v>0</v>
          </cell>
          <cell r="BM325" t="str">
            <v>0</v>
          </cell>
          <cell r="BN325" t="str">
            <v>0</v>
          </cell>
          <cell r="BO325" t="str">
            <v>0</v>
          </cell>
          <cell r="BP325" t="str">
            <v>0</v>
          </cell>
          <cell r="BQ325" t="str">
            <v>0</v>
          </cell>
          <cell r="BR325" t="str">
            <v>0</v>
          </cell>
          <cell r="BS325" t="str">
            <v>0</v>
          </cell>
          <cell r="BT325" t="str">
            <v>0</v>
          </cell>
          <cell r="BU325" t="str">
            <v>0</v>
          </cell>
          <cell r="BV325" t="str">
            <v>0</v>
          </cell>
          <cell r="BW325" t="str">
            <v>0</v>
          </cell>
          <cell r="BX325" t="str">
            <v>0</v>
          </cell>
          <cell r="BY325" t="str">
            <v>0</v>
          </cell>
          <cell r="BZ325" t="str">
            <v>0</v>
          </cell>
          <cell r="CA325" t="str">
            <v>0</v>
          </cell>
          <cell r="CB325" t="str">
            <v>0</v>
          </cell>
          <cell r="CC325" t="str">
            <v>0</v>
          </cell>
          <cell r="CD325" t="str">
            <v>0</v>
          </cell>
          <cell r="CE325" t="str">
            <v>0</v>
          </cell>
          <cell r="CF325" t="str">
            <v>0</v>
          </cell>
          <cell r="CG325" t="str">
            <v>0</v>
          </cell>
          <cell r="CH325" t="str">
            <v>0</v>
          </cell>
          <cell r="CI325" t="str">
            <v>0</v>
          </cell>
          <cell r="CJ325" t="str">
            <v>0</v>
          </cell>
          <cell r="CK325" t="str">
            <v>0</v>
          </cell>
          <cell r="CL325" t="str">
            <v>0</v>
          </cell>
          <cell r="CM325" t="str">
            <v>0</v>
          </cell>
          <cell r="CN325" t="str">
            <v>0</v>
          </cell>
          <cell r="CO325" t="str">
            <v>0</v>
          </cell>
          <cell r="CP325" t="str">
            <v>0</v>
          </cell>
          <cell r="CQ325" t="str">
            <v>0</v>
          </cell>
          <cell r="CR325" t="str">
            <v>0</v>
          </cell>
          <cell r="CS325" t="str">
            <v>0</v>
          </cell>
          <cell r="CT325" t="str">
            <v>0</v>
          </cell>
          <cell r="CU325" t="str">
            <v>0</v>
          </cell>
          <cell r="CV325" t="str">
            <v>0</v>
          </cell>
          <cell r="CW325" t="str">
            <v>0</v>
          </cell>
          <cell r="CX325" t="str">
            <v>0</v>
          </cell>
          <cell r="CY325" t="str">
            <v>0</v>
          </cell>
          <cell r="CZ325" t="str">
            <v>0</v>
          </cell>
          <cell r="DA325" t="str">
            <v>0</v>
          </cell>
          <cell r="DB325" t="str">
            <v>0</v>
          </cell>
          <cell r="DC325" t="str">
            <v>0</v>
          </cell>
          <cell r="DD325" t="str">
            <v>0</v>
          </cell>
          <cell r="DE325" t="str">
            <v>0</v>
          </cell>
          <cell r="DF325" t="str">
            <v>0</v>
          </cell>
          <cell r="DG325" t="str">
            <v>0</v>
          </cell>
          <cell r="DH325" t="str">
            <v>0</v>
          </cell>
          <cell r="DI325" t="str">
            <v>0</v>
          </cell>
          <cell r="DJ325" t="str">
            <v>0</v>
          </cell>
          <cell r="DK325" t="str">
            <v>0</v>
          </cell>
          <cell r="DL325" t="str">
            <v>0</v>
          </cell>
          <cell r="DM325" t="str">
            <v>0</v>
          </cell>
          <cell r="DN325" t="str">
            <v>0</v>
          </cell>
          <cell r="DO325" t="str">
            <v>0</v>
          </cell>
          <cell r="DP325" t="str">
            <v>0</v>
          </cell>
        </row>
        <row r="326">
          <cell r="C326"/>
          <cell r="D326" t="str">
            <v>0</v>
          </cell>
          <cell r="E326" t="str">
            <v>0</v>
          </cell>
          <cell r="F326" t="str">
            <v>0</v>
          </cell>
          <cell r="G326" t="str">
            <v>0</v>
          </cell>
          <cell r="H326" t="str">
            <v>0</v>
          </cell>
          <cell r="I326" t="str">
            <v>0</v>
          </cell>
          <cell r="J326" t="str">
            <v>0</v>
          </cell>
          <cell r="K326" t="str">
            <v>0</v>
          </cell>
          <cell r="L326" t="str">
            <v>0</v>
          </cell>
          <cell r="M326" t="str">
            <v>0</v>
          </cell>
          <cell r="N326" t="str">
            <v>0</v>
          </cell>
          <cell r="O326" t="str">
            <v>0</v>
          </cell>
          <cell r="P326" t="str">
            <v>0</v>
          </cell>
          <cell r="Q326" t="str">
            <v>0</v>
          </cell>
          <cell r="R326" t="str">
            <v>0</v>
          </cell>
          <cell r="S326" t="str">
            <v>0</v>
          </cell>
          <cell r="T326" t="str">
            <v>0</v>
          </cell>
          <cell r="U326" t="str">
            <v>0</v>
          </cell>
          <cell r="V326" t="str">
            <v>0</v>
          </cell>
          <cell r="W326" t="str">
            <v>0</v>
          </cell>
          <cell r="X326" t="str">
            <v>0</v>
          </cell>
          <cell r="Y326" t="str">
            <v>0</v>
          </cell>
          <cell r="Z326" t="str">
            <v>0</v>
          </cell>
          <cell r="AA326" t="str">
            <v>0</v>
          </cell>
          <cell r="AB326" t="str">
            <v>0</v>
          </cell>
          <cell r="AC326" t="str">
            <v>0</v>
          </cell>
          <cell r="AD326" t="str">
            <v>0</v>
          </cell>
          <cell r="AE326" t="str">
            <v>0</v>
          </cell>
          <cell r="AF326" t="str">
            <v>0</v>
          </cell>
          <cell r="AG326" t="str">
            <v>0</v>
          </cell>
          <cell r="AH326" t="str">
            <v>0</v>
          </cell>
          <cell r="AI326" t="str">
            <v>0</v>
          </cell>
          <cell r="AJ326" t="str">
            <v>0</v>
          </cell>
          <cell r="AK326" t="str">
            <v>0</v>
          </cell>
          <cell r="AL326" t="str">
            <v>0</v>
          </cell>
          <cell r="AM326" t="str">
            <v>0</v>
          </cell>
          <cell r="AN326" t="str">
            <v>0</v>
          </cell>
          <cell r="AO326" t="str">
            <v>0</v>
          </cell>
          <cell r="AP326" t="str">
            <v>0</v>
          </cell>
          <cell r="AQ326" t="str">
            <v>0</v>
          </cell>
          <cell r="AR326" t="str">
            <v>0</v>
          </cell>
          <cell r="AS326" t="str">
            <v>0</v>
          </cell>
          <cell r="AT326" t="str">
            <v>0</v>
          </cell>
          <cell r="AU326" t="str">
            <v>0</v>
          </cell>
          <cell r="AV326" t="str">
            <v>0</v>
          </cell>
          <cell r="AW326" t="str">
            <v>0</v>
          </cell>
          <cell r="AX326" t="str">
            <v>0</v>
          </cell>
          <cell r="AY326" t="str">
            <v>0</v>
          </cell>
          <cell r="AZ326" t="str">
            <v>0</v>
          </cell>
          <cell r="BA326" t="str">
            <v>0</v>
          </cell>
          <cell r="BB326" t="str">
            <v>0</v>
          </cell>
          <cell r="BC326" t="str">
            <v>0</v>
          </cell>
          <cell r="BD326" t="str">
            <v>0</v>
          </cell>
          <cell r="BE326" t="str">
            <v>0</v>
          </cell>
          <cell r="BF326" t="str">
            <v>0</v>
          </cell>
          <cell r="BG326" t="str">
            <v>0</v>
          </cell>
          <cell r="BH326" t="str">
            <v>0</v>
          </cell>
          <cell r="BI326" t="str">
            <v>0</v>
          </cell>
          <cell r="BJ326" t="str">
            <v>0</v>
          </cell>
          <cell r="BK326" t="str">
            <v>0</v>
          </cell>
          <cell r="BL326" t="str">
            <v>0</v>
          </cell>
          <cell r="BM326" t="str">
            <v>0</v>
          </cell>
          <cell r="BN326" t="str">
            <v>0</v>
          </cell>
          <cell r="BO326" t="str">
            <v>0</v>
          </cell>
          <cell r="BP326" t="str">
            <v>0</v>
          </cell>
          <cell r="BQ326" t="str">
            <v>0</v>
          </cell>
          <cell r="BR326" t="str">
            <v>0</v>
          </cell>
          <cell r="BS326" t="str">
            <v>0</v>
          </cell>
          <cell r="BT326" t="str">
            <v>0</v>
          </cell>
          <cell r="BU326" t="str">
            <v>0</v>
          </cell>
          <cell r="BV326" t="str">
            <v>0</v>
          </cell>
          <cell r="BW326" t="str">
            <v>0</v>
          </cell>
          <cell r="BX326" t="str">
            <v>0</v>
          </cell>
          <cell r="BY326" t="str">
            <v>0</v>
          </cell>
          <cell r="BZ326" t="str">
            <v>0</v>
          </cell>
          <cell r="CA326" t="str">
            <v>0</v>
          </cell>
          <cell r="CB326" t="str">
            <v>0</v>
          </cell>
          <cell r="CC326" t="str">
            <v>0</v>
          </cell>
          <cell r="CD326" t="str">
            <v>0</v>
          </cell>
          <cell r="CE326" t="str">
            <v>0</v>
          </cell>
          <cell r="CF326" t="str">
            <v>0</v>
          </cell>
          <cell r="CG326" t="str">
            <v>0</v>
          </cell>
          <cell r="CH326" t="str">
            <v>0</v>
          </cell>
          <cell r="CI326" t="str">
            <v>0</v>
          </cell>
          <cell r="CJ326" t="str">
            <v>0</v>
          </cell>
          <cell r="CK326" t="str">
            <v>0</v>
          </cell>
          <cell r="CL326" t="str">
            <v>0</v>
          </cell>
          <cell r="CM326" t="str">
            <v>0</v>
          </cell>
          <cell r="CN326" t="str">
            <v>0</v>
          </cell>
          <cell r="CO326" t="str">
            <v>0</v>
          </cell>
          <cell r="CP326" t="str">
            <v>0</v>
          </cell>
          <cell r="CQ326" t="str">
            <v>0</v>
          </cell>
          <cell r="CR326" t="str">
            <v>0</v>
          </cell>
          <cell r="CS326" t="str">
            <v>0</v>
          </cell>
          <cell r="CT326" t="str">
            <v>0</v>
          </cell>
          <cell r="CU326" t="str">
            <v>0</v>
          </cell>
          <cell r="CV326" t="str">
            <v>0</v>
          </cell>
          <cell r="CW326" t="str">
            <v>0</v>
          </cell>
          <cell r="CX326" t="str">
            <v>0</v>
          </cell>
          <cell r="CY326" t="str">
            <v>0</v>
          </cell>
          <cell r="CZ326" t="str">
            <v>0</v>
          </cell>
          <cell r="DA326" t="str">
            <v>0</v>
          </cell>
          <cell r="DB326" t="str">
            <v>0</v>
          </cell>
          <cell r="DC326" t="str">
            <v>0</v>
          </cell>
          <cell r="DD326" t="str">
            <v>0</v>
          </cell>
          <cell r="DE326" t="str">
            <v>0</v>
          </cell>
          <cell r="DF326" t="str">
            <v>0</v>
          </cell>
          <cell r="DG326" t="str">
            <v>0</v>
          </cell>
          <cell r="DH326" t="str">
            <v>0</v>
          </cell>
          <cell r="DI326" t="str">
            <v>0</v>
          </cell>
          <cell r="DJ326" t="str">
            <v>0</v>
          </cell>
          <cell r="DK326" t="str">
            <v>0</v>
          </cell>
          <cell r="DL326" t="str">
            <v>0</v>
          </cell>
          <cell r="DM326" t="str">
            <v>0</v>
          </cell>
          <cell r="DN326" t="str">
            <v>0</v>
          </cell>
          <cell r="DO326" t="str">
            <v>0</v>
          </cell>
          <cell r="DP326" t="str">
            <v>0</v>
          </cell>
        </row>
        <row r="327">
          <cell r="C327"/>
          <cell r="D327" t="str">
            <v>0</v>
          </cell>
          <cell r="E327" t="str">
            <v>0</v>
          </cell>
          <cell r="F327" t="str">
            <v>0</v>
          </cell>
          <cell r="G327" t="str">
            <v>0</v>
          </cell>
          <cell r="H327" t="str">
            <v>0</v>
          </cell>
          <cell r="I327" t="str">
            <v>0</v>
          </cell>
          <cell r="J327" t="str">
            <v>0</v>
          </cell>
          <cell r="K327" t="str">
            <v>0</v>
          </cell>
          <cell r="L327" t="str">
            <v>0</v>
          </cell>
          <cell r="M327" t="str">
            <v>0</v>
          </cell>
          <cell r="N327" t="str">
            <v>0</v>
          </cell>
          <cell r="O327" t="str">
            <v>0</v>
          </cell>
          <cell r="P327" t="str">
            <v>0</v>
          </cell>
          <cell r="Q327" t="str">
            <v>0</v>
          </cell>
          <cell r="R327" t="str">
            <v>0</v>
          </cell>
          <cell r="S327" t="str">
            <v>0</v>
          </cell>
          <cell r="T327" t="str">
            <v>0</v>
          </cell>
          <cell r="U327" t="str">
            <v>0</v>
          </cell>
          <cell r="V327" t="str">
            <v>0</v>
          </cell>
          <cell r="W327" t="str">
            <v>0</v>
          </cell>
          <cell r="X327" t="str">
            <v>0</v>
          </cell>
          <cell r="Y327" t="str">
            <v>0</v>
          </cell>
          <cell r="Z327" t="str">
            <v>0</v>
          </cell>
          <cell r="AA327" t="str">
            <v>0</v>
          </cell>
          <cell r="AB327" t="str">
            <v>0</v>
          </cell>
          <cell r="AC327" t="str">
            <v>0</v>
          </cell>
          <cell r="AD327" t="str">
            <v>0</v>
          </cell>
          <cell r="AE327" t="str">
            <v>0</v>
          </cell>
          <cell r="AF327" t="str">
            <v>0</v>
          </cell>
          <cell r="AG327" t="str">
            <v>0</v>
          </cell>
          <cell r="AH327" t="str">
            <v>0</v>
          </cell>
          <cell r="AI327" t="str">
            <v>0</v>
          </cell>
          <cell r="AJ327" t="str">
            <v>0</v>
          </cell>
          <cell r="AK327" t="str">
            <v>0</v>
          </cell>
          <cell r="AL327" t="str">
            <v>0</v>
          </cell>
          <cell r="AM327" t="str">
            <v>0</v>
          </cell>
          <cell r="AN327" t="str">
            <v>0</v>
          </cell>
          <cell r="AO327" t="str">
            <v>0</v>
          </cell>
          <cell r="AP327" t="str">
            <v>0</v>
          </cell>
          <cell r="AQ327" t="str">
            <v>0</v>
          </cell>
          <cell r="AR327" t="str">
            <v>0</v>
          </cell>
          <cell r="AS327" t="str">
            <v>0</v>
          </cell>
          <cell r="AT327" t="str">
            <v>0</v>
          </cell>
          <cell r="AU327" t="str">
            <v>0</v>
          </cell>
          <cell r="AV327" t="str">
            <v>0</v>
          </cell>
          <cell r="AW327" t="str">
            <v>0</v>
          </cell>
          <cell r="AX327" t="str">
            <v>0</v>
          </cell>
          <cell r="AY327" t="str">
            <v>0</v>
          </cell>
          <cell r="AZ327" t="str">
            <v>0</v>
          </cell>
          <cell r="BA327" t="str">
            <v>0</v>
          </cell>
          <cell r="BB327" t="str">
            <v>0</v>
          </cell>
          <cell r="BC327" t="str">
            <v>0</v>
          </cell>
          <cell r="BD327" t="str">
            <v>0</v>
          </cell>
          <cell r="BE327" t="str">
            <v>0</v>
          </cell>
          <cell r="BF327" t="str">
            <v>0</v>
          </cell>
          <cell r="BG327" t="str">
            <v>0</v>
          </cell>
          <cell r="BH327" t="str">
            <v>0</v>
          </cell>
          <cell r="BI327" t="str">
            <v>0</v>
          </cell>
          <cell r="BJ327" t="str">
            <v>0</v>
          </cell>
          <cell r="BK327" t="str">
            <v>0</v>
          </cell>
          <cell r="BL327" t="str">
            <v>0</v>
          </cell>
          <cell r="BM327" t="str">
            <v>0</v>
          </cell>
          <cell r="BN327" t="str">
            <v>0</v>
          </cell>
          <cell r="BO327" t="str">
            <v>0</v>
          </cell>
          <cell r="BP327" t="str">
            <v>0</v>
          </cell>
          <cell r="BQ327" t="str">
            <v>0</v>
          </cell>
          <cell r="BR327" t="str">
            <v>0</v>
          </cell>
          <cell r="BS327" t="str">
            <v>0</v>
          </cell>
          <cell r="BT327" t="str">
            <v>0</v>
          </cell>
          <cell r="BU327" t="str">
            <v>0</v>
          </cell>
          <cell r="BV327" t="str">
            <v>0</v>
          </cell>
          <cell r="BW327" t="str">
            <v>0</v>
          </cell>
          <cell r="BX327" t="str">
            <v>0</v>
          </cell>
          <cell r="BY327" t="str">
            <v>0</v>
          </cell>
          <cell r="BZ327" t="str">
            <v>0</v>
          </cell>
          <cell r="CA327" t="str">
            <v>0</v>
          </cell>
          <cell r="CB327" t="str">
            <v>0</v>
          </cell>
          <cell r="CC327" t="str">
            <v>0</v>
          </cell>
          <cell r="CD327" t="str">
            <v>0</v>
          </cell>
          <cell r="CE327" t="str">
            <v>0</v>
          </cell>
          <cell r="CF327" t="str">
            <v>0</v>
          </cell>
          <cell r="CG327" t="str">
            <v>0</v>
          </cell>
          <cell r="CH327" t="str">
            <v>0</v>
          </cell>
          <cell r="CI327" t="str">
            <v>0</v>
          </cell>
          <cell r="CJ327" t="str">
            <v>0</v>
          </cell>
          <cell r="CK327" t="str">
            <v>0</v>
          </cell>
          <cell r="CL327" t="str">
            <v>0</v>
          </cell>
          <cell r="CM327" t="str">
            <v>0</v>
          </cell>
          <cell r="CN327" t="str">
            <v>0</v>
          </cell>
          <cell r="CO327" t="str">
            <v>0</v>
          </cell>
          <cell r="CP327" t="str">
            <v>0</v>
          </cell>
          <cell r="CQ327" t="str">
            <v>0</v>
          </cell>
          <cell r="CR327" t="str">
            <v>0</v>
          </cell>
          <cell r="CS327" t="str">
            <v>0</v>
          </cell>
          <cell r="CT327" t="str">
            <v>0</v>
          </cell>
          <cell r="CU327" t="str">
            <v>0</v>
          </cell>
          <cell r="CV327" t="str">
            <v>0</v>
          </cell>
          <cell r="CW327" t="str">
            <v>0</v>
          </cell>
          <cell r="CX327" t="str">
            <v>0</v>
          </cell>
          <cell r="CY327" t="str">
            <v>0</v>
          </cell>
          <cell r="CZ327" t="str">
            <v>0</v>
          </cell>
          <cell r="DA327" t="str">
            <v>0</v>
          </cell>
          <cell r="DB327" t="str">
            <v>0</v>
          </cell>
          <cell r="DC327" t="str">
            <v>0</v>
          </cell>
          <cell r="DD327" t="str">
            <v>0</v>
          </cell>
          <cell r="DE327" t="str">
            <v>0</v>
          </cell>
          <cell r="DF327" t="str">
            <v>0</v>
          </cell>
          <cell r="DG327" t="str">
            <v>0</v>
          </cell>
          <cell r="DH327" t="str">
            <v>0</v>
          </cell>
          <cell r="DI327" t="str">
            <v>0</v>
          </cell>
          <cell r="DJ327" t="str">
            <v>0</v>
          </cell>
          <cell r="DK327" t="str">
            <v>0</v>
          </cell>
          <cell r="DL327" t="str">
            <v>0</v>
          </cell>
          <cell r="DM327" t="str">
            <v>0</v>
          </cell>
          <cell r="DN327" t="str">
            <v>0</v>
          </cell>
          <cell r="DO327" t="str">
            <v>0</v>
          </cell>
          <cell r="DP327" t="str">
            <v>0</v>
          </cell>
        </row>
        <row r="328">
          <cell r="C328"/>
          <cell r="D328" t="str">
            <v>0</v>
          </cell>
          <cell r="E328" t="str">
            <v>0</v>
          </cell>
          <cell r="F328" t="str">
            <v>0</v>
          </cell>
          <cell r="G328" t="str">
            <v>0</v>
          </cell>
          <cell r="H328" t="str">
            <v>0</v>
          </cell>
          <cell r="I328" t="str">
            <v>0</v>
          </cell>
          <cell r="J328" t="str">
            <v>0</v>
          </cell>
          <cell r="K328" t="str">
            <v>0</v>
          </cell>
          <cell r="L328" t="str">
            <v>0</v>
          </cell>
          <cell r="M328" t="str">
            <v>0</v>
          </cell>
          <cell r="N328" t="str">
            <v>0</v>
          </cell>
          <cell r="O328" t="str">
            <v>0</v>
          </cell>
          <cell r="P328" t="str">
            <v>0</v>
          </cell>
          <cell r="Q328" t="str">
            <v>0</v>
          </cell>
          <cell r="R328" t="str">
            <v>0</v>
          </cell>
          <cell r="S328" t="str">
            <v>0</v>
          </cell>
          <cell r="T328" t="str">
            <v>0</v>
          </cell>
          <cell r="U328" t="str">
            <v>0</v>
          </cell>
          <cell r="V328" t="str">
            <v>0</v>
          </cell>
          <cell r="W328" t="str">
            <v>0</v>
          </cell>
          <cell r="X328" t="str">
            <v>0</v>
          </cell>
          <cell r="Y328" t="str">
            <v>0</v>
          </cell>
          <cell r="Z328" t="str">
            <v>0</v>
          </cell>
          <cell r="AA328" t="str">
            <v>0</v>
          </cell>
          <cell r="AB328" t="str">
            <v>0</v>
          </cell>
          <cell r="AC328" t="str">
            <v>0</v>
          </cell>
          <cell r="AD328" t="str">
            <v>0</v>
          </cell>
          <cell r="AE328" t="str">
            <v>0</v>
          </cell>
          <cell r="AF328" t="str">
            <v>0</v>
          </cell>
          <cell r="AG328" t="str">
            <v>0</v>
          </cell>
          <cell r="AH328" t="str">
            <v>0</v>
          </cell>
          <cell r="AI328" t="str">
            <v>0</v>
          </cell>
          <cell r="AJ328" t="str">
            <v>0</v>
          </cell>
          <cell r="AK328" t="str">
            <v>0</v>
          </cell>
          <cell r="AL328" t="str">
            <v>0</v>
          </cell>
          <cell r="AM328" t="str">
            <v>0</v>
          </cell>
          <cell r="AN328" t="str">
            <v>0</v>
          </cell>
          <cell r="AO328" t="str">
            <v>0</v>
          </cell>
          <cell r="AP328" t="str">
            <v>0</v>
          </cell>
          <cell r="AQ328" t="str">
            <v>0</v>
          </cell>
          <cell r="AR328" t="str">
            <v>0</v>
          </cell>
          <cell r="AS328" t="str">
            <v>0</v>
          </cell>
          <cell r="AT328" t="str">
            <v>0</v>
          </cell>
          <cell r="AU328" t="str">
            <v>0</v>
          </cell>
          <cell r="AV328" t="str">
            <v>0</v>
          </cell>
          <cell r="AW328" t="str">
            <v>0</v>
          </cell>
          <cell r="AX328" t="str">
            <v>0</v>
          </cell>
          <cell r="AY328" t="str">
            <v>0</v>
          </cell>
          <cell r="AZ328" t="str">
            <v>0</v>
          </cell>
          <cell r="BA328" t="str">
            <v>0</v>
          </cell>
          <cell r="BB328" t="str">
            <v>0</v>
          </cell>
          <cell r="BC328" t="str">
            <v>0</v>
          </cell>
          <cell r="BD328" t="str">
            <v>0</v>
          </cell>
          <cell r="BE328" t="str">
            <v>0</v>
          </cell>
          <cell r="BF328" t="str">
            <v>0</v>
          </cell>
          <cell r="BG328" t="str">
            <v>0</v>
          </cell>
          <cell r="BH328" t="str">
            <v>0</v>
          </cell>
          <cell r="BI328" t="str">
            <v>0</v>
          </cell>
          <cell r="BJ328" t="str">
            <v>0</v>
          </cell>
          <cell r="BK328" t="str">
            <v>0</v>
          </cell>
          <cell r="BL328" t="str">
            <v>0</v>
          </cell>
          <cell r="BM328" t="str">
            <v>0</v>
          </cell>
          <cell r="BN328" t="str">
            <v>0</v>
          </cell>
          <cell r="BO328" t="str">
            <v>0</v>
          </cell>
          <cell r="BP328" t="str">
            <v>0</v>
          </cell>
          <cell r="BQ328" t="str">
            <v>0</v>
          </cell>
          <cell r="BR328" t="str">
            <v>0</v>
          </cell>
          <cell r="BS328" t="str">
            <v>0</v>
          </cell>
          <cell r="BT328" t="str">
            <v>0</v>
          </cell>
          <cell r="BU328" t="str">
            <v>0</v>
          </cell>
          <cell r="BV328" t="str">
            <v>0</v>
          </cell>
          <cell r="BW328" t="str">
            <v>0</v>
          </cell>
          <cell r="BX328" t="str">
            <v>0</v>
          </cell>
          <cell r="BY328" t="str">
            <v>0</v>
          </cell>
          <cell r="BZ328" t="str">
            <v>0</v>
          </cell>
          <cell r="CA328" t="str">
            <v>0</v>
          </cell>
          <cell r="CB328" t="str">
            <v>0</v>
          </cell>
          <cell r="CC328" t="str">
            <v>0</v>
          </cell>
          <cell r="CD328" t="str">
            <v>0</v>
          </cell>
          <cell r="CE328" t="str">
            <v>0</v>
          </cell>
          <cell r="CF328" t="str">
            <v>0</v>
          </cell>
          <cell r="CG328" t="str">
            <v>0</v>
          </cell>
          <cell r="CH328" t="str">
            <v>0</v>
          </cell>
          <cell r="CI328" t="str">
            <v>0</v>
          </cell>
          <cell r="CJ328" t="str">
            <v>0</v>
          </cell>
          <cell r="CK328" t="str">
            <v>0</v>
          </cell>
          <cell r="CL328" t="str">
            <v>0</v>
          </cell>
          <cell r="CM328" t="str">
            <v>0</v>
          </cell>
          <cell r="CN328" t="str">
            <v>0</v>
          </cell>
          <cell r="CO328" t="str">
            <v>0</v>
          </cell>
          <cell r="CP328" t="str">
            <v>0</v>
          </cell>
          <cell r="CQ328" t="str">
            <v>0</v>
          </cell>
          <cell r="CR328" t="str">
            <v>0</v>
          </cell>
          <cell r="CS328" t="str">
            <v>0</v>
          </cell>
          <cell r="CT328" t="str">
            <v>0</v>
          </cell>
          <cell r="CU328" t="str">
            <v>0</v>
          </cell>
          <cell r="CV328" t="str">
            <v>0</v>
          </cell>
          <cell r="CW328" t="str">
            <v>0</v>
          </cell>
          <cell r="CX328" t="str">
            <v>0</v>
          </cell>
          <cell r="CY328" t="str">
            <v>0</v>
          </cell>
          <cell r="CZ328" t="str">
            <v>0</v>
          </cell>
          <cell r="DA328" t="str">
            <v>0</v>
          </cell>
          <cell r="DB328" t="str">
            <v>0</v>
          </cell>
          <cell r="DC328" t="str">
            <v>0</v>
          </cell>
          <cell r="DD328" t="str">
            <v>0</v>
          </cell>
          <cell r="DE328" t="str">
            <v>0</v>
          </cell>
          <cell r="DF328" t="str">
            <v>0</v>
          </cell>
          <cell r="DG328" t="str">
            <v>0</v>
          </cell>
          <cell r="DH328" t="str">
            <v>0</v>
          </cell>
          <cell r="DI328" t="str">
            <v>0</v>
          </cell>
          <cell r="DJ328" t="str">
            <v>0</v>
          </cell>
          <cell r="DK328" t="str">
            <v>0</v>
          </cell>
          <cell r="DL328" t="str">
            <v>0</v>
          </cell>
          <cell r="DM328" t="str">
            <v>0</v>
          </cell>
          <cell r="DN328" t="str">
            <v>0</v>
          </cell>
          <cell r="DO328" t="str">
            <v>0</v>
          </cell>
          <cell r="DP328" t="str">
            <v>0</v>
          </cell>
        </row>
        <row r="329">
          <cell r="C329"/>
          <cell r="D329" t="str">
            <v>0</v>
          </cell>
          <cell r="E329" t="str">
            <v>0</v>
          </cell>
          <cell r="F329" t="str">
            <v>0</v>
          </cell>
          <cell r="G329" t="str">
            <v>0</v>
          </cell>
          <cell r="H329" t="str">
            <v>0</v>
          </cell>
          <cell r="I329" t="str">
            <v>0</v>
          </cell>
          <cell r="J329" t="str">
            <v>0</v>
          </cell>
          <cell r="K329" t="str">
            <v>0</v>
          </cell>
          <cell r="L329" t="str">
            <v>0</v>
          </cell>
          <cell r="M329" t="str">
            <v>0</v>
          </cell>
          <cell r="N329" t="str">
            <v>0</v>
          </cell>
          <cell r="O329" t="str">
            <v>0</v>
          </cell>
          <cell r="P329" t="str">
            <v>0</v>
          </cell>
          <cell r="Q329" t="str">
            <v>0</v>
          </cell>
          <cell r="R329" t="str">
            <v>0</v>
          </cell>
          <cell r="S329" t="str">
            <v>0</v>
          </cell>
          <cell r="T329" t="str">
            <v>0</v>
          </cell>
          <cell r="U329" t="str">
            <v>0</v>
          </cell>
          <cell r="V329" t="str">
            <v>0</v>
          </cell>
          <cell r="W329" t="str">
            <v>0</v>
          </cell>
          <cell r="X329" t="str">
            <v>0</v>
          </cell>
          <cell r="Y329" t="str">
            <v>0</v>
          </cell>
          <cell r="Z329" t="str">
            <v>0</v>
          </cell>
          <cell r="AA329" t="str">
            <v>0</v>
          </cell>
          <cell r="AB329" t="str">
            <v>0</v>
          </cell>
          <cell r="AC329" t="str">
            <v>0</v>
          </cell>
          <cell r="AD329" t="str">
            <v>0</v>
          </cell>
          <cell r="AE329" t="str">
            <v>0</v>
          </cell>
          <cell r="AF329" t="str">
            <v>0</v>
          </cell>
          <cell r="AG329" t="str">
            <v>0</v>
          </cell>
          <cell r="AH329" t="str">
            <v>0</v>
          </cell>
          <cell r="AI329" t="str">
            <v>0</v>
          </cell>
          <cell r="AJ329" t="str">
            <v>0</v>
          </cell>
          <cell r="AK329" t="str">
            <v>0</v>
          </cell>
          <cell r="AL329" t="str">
            <v>0</v>
          </cell>
          <cell r="AM329" t="str">
            <v>0</v>
          </cell>
          <cell r="AN329" t="str">
            <v>0</v>
          </cell>
          <cell r="AO329" t="str">
            <v>0</v>
          </cell>
          <cell r="AP329" t="str">
            <v>0</v>
          </cell>
          <cell r="AQ329" t="str">
            <v>0</v>
          </cell>
          <cell r="AR329" t="str">
            <v>0</v>
          </cell>
          <cell r="AS329" t="str">
            <v>0</v>
          </cell>
          <cell r="AT329" t="str">
            <v>0</v>
          </cell>
          <cell r="AU329" t="str">
            <v>0</v>
          </cell>
          <cell r="AV329" t="str">
            <v>0</v>
          </cell>
          <cell r="AW329" t="str">
            <v>0</v>
          </cell>
          <cell r="AX329" t="str">
            <v>0</v>
          </cell>
          <cell r="AY329" t="str">
            <v>0</v>
          </cell>
          <cell r="AZ329" t="str">
            <v>0</v>
          </cell>
          <cell r="BA329" t="str">
            <v>0</v>
          </cell>
          <cell r="BB329" t="str">
            <v>0</v>
          </cell>
          <cell r="BC329" t="str">
            <v>0</v>
          </cell>
          <cell r="BD329" t="str">
            <v>0</v>
          </cell>
          <cell r="BE329" t="str">
            <v>0</v>
          </cell>
          <cell r="BF329" t="str">
            <v>0</v>
          </cell>
          <cell r="BG329" t="str">
            <v>0</v>
          </cell>
          <cell r="BH329" t="str">
            <v>0</v>
          </cell>
          <cell r="BI329" t="str">
            <v>0</v>
          </cell>
          <cell r="BJ329" t="str">
            <v>0</v>
          </cell>
          <cell r="BK329" t="str">
            <v>0</v>
          </cell>
          <cell r="BL329" t="str">
            <v>0</v>
          </cell>
          <cell r="BM329" t="str">
            <v>0</v>
          </cell>
          <cell r="BN329" t="str">
            <v>0</v>
          </cell>
          <cell r="BO329" t="str">
            <v>0</v>
          </cell>
          <cell r="BP329" t="str">
            <v>0</v>
          </cell>
          <cell r="BQ329" t="str">
            <v>0</v>
          </cell>
          <cell r="BR329" t="str">
            <v>0</v>
          </cell>
          <cell r="BS329" t="str">
            <v>0</v>
          </cell>
          <cell r="BT329" t="str">
            <v>0</v>
          </cell>
          <cell r="BU329" t="str">
            <v>0</v>
          </cell>
          <cell r="BV329" t="str">
            <v>0</v>
          </cell>
          <cell r="BW329" t="str">
            <v>0</v>
          </cell>
          <cell r="BX329" t="str">
            <v>0</v>
          </cell>
          <cell r="BY329" t="str">
            <v>0</v>
          </cell>
          <cell r="BZ329" t="str">
            <v>0</v>
          </cell>
          <cell r="CA329" t="str">
            <v>0</v>
          </cell>
          <cell r="CB329" t="str">
            <v>0</v>
          </cell>
          <cell r="CC329" t="str">
            <v>0</v>
          </cell>
          <cell r="CD329" t="str">
            <v>0</v>
          </cell>
          <cell r="CE329" t="str">
            <v>0</v>
          </cell>
          <cell r="CF329" t="str">
            <v>0</v>
          </cell>
          <cell r="CG329" t="str">
            <v>0</v>
          </cell>
          <cell r="CH329" t="str">
            <v>0</v>
          </cell>
          <cell r="CI329" t="str">
            <v>0</v>
          </cell>
          <cell r="CJ329" t="str">
            <v>0</v>
          </cell>
          <cell r="CK329" t="str">
            <v>0</v>
          </cell>
          <cell r="CL329" t="str">
            <v>0</v>
          </cell>
          <cell r="CM329" t="str">
            <v>0</v>
          </cell>
          <cell r="CN329" t="str">
            <v>0</v>
          </cell>
          <cell r="CO329" t="str">
            <v>0</v>
          </cell>
          <cell r="CP329" t="str">
            <v>0</v>
          </cell>
          <cell r="CQ329" t="str">
            <v>0</v>
          </cell>
          <cell r="CR329" t="str">
            <v>0</v>
          </cell>
          <cell r="CS329" t="str">
            <v>0</v>
          </cell>
          <cell r="CT329" t="str">
            <v>0</v>
          </cell>
          <cell r="CU329" t="str">
            <v>0</v>
          </cell>
          <cell r="CV329" t="str">
            <v>0</v>
          </cell>
          <cell r="CW329" t="str">
            <v>0</v>
          </cell>
          <cell r="CX329" t="str">
            <v>0</v>
          </cell>
          <cell r="CY329" t="str">
            <v>0</v>
          </cell>
          <cell r="CZ329" t="str">
            <v>0</v>
          </cell>
          <cell r="DA329" t="str">
            <v>0</v>
          </cell>
          <cell r="DB329" t="str">
            <v>0</v>
          </cell>
          <cell r="DC329" t="str">
            <v>0</v>
          </cell>
          <cell r="DD329" t="str">
            <v>0</v>
          </cell>
          <cell r="DE329" t="str">
            <v>0</v>
          </cell>
          <cell r="DF329" t="str">
            <v>0</v>
          </cell>
          <cell r="DG329" t="str">
            <v>0</v>
          </cell>
          <cell r="DH329" t="str">
            <v>0</v>
          </cell>
          <cell r="DI329" t="str">
            <v>0</v>
          </cell>
          <cell r="DJ329" t="str">
            <v>0</v>
          </cell>
          <cell r="DK329" t="str">
            <v>0</v>
          </cell>
          <cell r="DL329" t="str">
            <v>0</v>
          </cell>
          <cell r="DM329" t="str">
            <v>0</v>
          </cell>
          <cell r="DN329" t="str">
            <v>0</v>
          </cell>
          <cell r="DO329" t="str">
            <v>0</v>
          </cell>
          <cell r="DP329" t="str">
            <v>0</v>
          </cell>
        </row>
        <row r="330">
          <cell r="C330"/>
          <cell r="D330" t="str">
            <v>0</v>
          </cell>
          <cell r="E330" t="str">
            <v>0</v>
          </cell>
          <cell r="F330" t="str">
            <v>0</v>
          </cell>
          <cell r="G330" t="str">
            <v>0</v>
          </cell>
          <cell r="H330" t="str">
            <v>0</v>
          </cell>
          <cell r="I330" t="str">
            <v>0</v>
          </cell>
          <cell r="J330" t="str">
            <v>0</v>
          </cell>
          <cell r="K330" t="str">
            <v>0</v>
          </cell>
          <cell r="L330" t="str">
            <v>0</v>
          </cell>
          <cell r="M330" t="str">
            <v>0</v>
          </cell>
          <cell r="N330" t="str">
            <v>0</v>
          </cell>
          <cell r="O330" t="str">
            <v>0</v>
          </cell>
          <cell r="P330" t="str">
            <v>0</v>
          </cell>
          <cell r="Q330" t="str">
            <v>0</v>
          </cell>
          <cell r="R330" t="str">
            <v>0</v>
          </cell>
          <cell r="S330" t="str">
            <v>0</v>
          </cell>
          <cell r="T330" t="str">
            <v>0</v>
          </cell>
          <cell r="U330" t="str">
            <v>0</v>
          </cell>
          <cell r="V330" t="str">
            <v>0</v>
          </cell>
          <cell r="W330" t="str">
            <v>0</v>
          </cell>
          <cell r="X330" t="str">
            <v>0</v>
          </cell>
          <cell r="Y330" t="str">
            <v>0</v>
          </cell>
          <cell r="Z330" t="str">
            <v>0</v>
          </cell>
          <cell r="AA330" t="str">
            <v>0</v>
          </cell>
          <cell r="AB330" t="str">
            <v>0</v>
          </cell>
          <cell r="AC330" t="str">
            <v>0</v>
          </cell>
          <cell r="AD330" t="str">
            <v>0</v>
          </cell>
          <cell r="AE330" t="str">
            <v>0</v>
          </cell>
          <cell r="AF330" t="str">
            <v>0</v>
          </cell>
          <cell r="AG330" t="str">
            <v>0</v>
          </cell>
          <cell r="AH330" t="str">
            <v>0</v>
          </cell>
          <cell r="AI330" t="str">
            <v>0</v>
          </cell>
          <cell r="AJ330" t="str">
            <v>0</v>
          </cell>
          <cell r="AK330" t="str">
            <v>0</v>
          </cell>
          <cell r="AL330" t="str">
            <v>0</v>
          </cell>
          <cell r="AM330" t="str">
            <v>0</v>
          </cell>
          <cell r="AN330" t="str">
            <v>0</v>
          </cell>
          <cell r="AO330" t="str">
            <v>0</v>
          </cell>
          <cell r="AP330" t="str">
            <v>0</v>
          </cell>
          <cell r="AQ330" t="str">
            <v>0</v>
          </cell>
          <cell r="AR330" t="str">
            <v>0</v>
          </cell>
          <cell r="AS330" t="str">
            <v>0</v>
          </cell>
          <cell r="AT330" t="str">
            <v>0</v>
          </cell>
          <cell r="AU330" t="str">
            <v>0</v>
          </cell>
          <cell r="AV330" t="str">
            <v>0</v>
          </cell>
          <cell r="AW330" t="str">
            <v>0</v>
          </cell>
          <cell r="AX330" t="str">
            <v>0</v>
          </cell>
          <cell r="AY330" t="str">
            <v>0</v>
          </cell>
          <cell r="AZ330" t="str">
            <v>0</v>
          </cell>
          <cell r="BA330" t="str">
            <v>0</v>
          </cell>
          <cell r="BB330" t="str">
            <v>0</v>
          </cell>
          <cell r="BC330" t="str">
            <v>0</v>
          </cell>
          <cell r="BD330" t="str">
            <v>0</v>
          </cell>
          <cell r="BE330" t="str">
            <v>0</v>
          </cell>
          <cell r="BF330" t="str">
            <v>0</v>
          </cell>
          <cell r="BG330" t="str">
            <v>0</v>
          </cell>
          <cell r="BH330" t="str">
            <v>0</v>
          </cell>
          <cell r="BI330" t="str">
            <v>0</v>
          </cell>
          <cell r="BJ330" t="str">
            <v>0</v>
          </cell>
          <cell r="BK330" t="str">
            <v>0</v>
          </cell>
          <cell r="BL330" t="str">
            <v>0</v>
          </cell>
          <cell r="BM330" t="str">
            <v>0</v>
          </cell>
          <cell r="BN330" t="str">
            <v>0</v>
          </cell>
          <cell r="BO330" t="str">
            <v>0</v>
          </cell>
          <cell r="BP330" t="str">
            <v>0</v>
          </cell>
          <cell r="BQ330" t="str">
            <v>0</v>
          </cell>
          <cell r="BR330" t="str">
            <v>0</v>
          </cell>
          <cell r="BS330" t="str">
            <v>0</v>
          </cell>
          <cell r="BT330" t="str">
            <v>0</v>
          </cell>
          <cell r="BU330" t="str">
            <v>0</v>
          </cell>
          <cell r="BV330" t="str">
            <v>0</v>
          </cell>
          <cell r="BW330" t="str">
            <v>0</v>
          </cell>
          <cell r="BX330" t="str">
            <v>0</v>
          </cell>
          <cell r="BY330" t="str">
            <v>0</v>
          </cell>
          <cell r="BZ330" t="str">
            <v>0</v>
          </cell>
          <cell r="CA330" t="str">
            <v>0</v>
          </cell>
          <cell r="CB330" t="str">
            <v>0</v>
          </cell>
          <cell r="CC330" t="str">
            <v>0</v>
          </cell>
          <cell r="CD330" t="str">
            <v>0</v>
          </cell>
          <cell r="CE330" t="str">
            <v>0</v>
          </cell>
          <cell r="CF330" t="str">
            <v>0</v>
          </cell>
          <cell r="CG330" t="str">
            <v>0</v>
          </cell>
          <cell r="CH330" t="str">
            <v>0</v>
          </cell>
          <cell r="CI330" t="str">
            <v>0</v>
          </cell>
          <cell r="CJ330" t="str">
            <v>0</v>
          </cell>
          <cell r="CK330" t="str">
            <v>0</v>
          </cell>
          <cell r="CL330" t="str">
            <v>0</v>
          </cell>
          <cell r="CM330" t="str">
            <v>0</v>
          </cell>
          <cell r="CN330" t="str">
            <v>0</v>
          </cell>
          <cell r="CO330" t="str">
            <v>0</v>
          </cell>
          <cell r="CP330" t="str">
            <v>0</v>
          </cell>
          <cell r="CQ330" t="str">
            <v>0</v>
          </cell>
          <cell r="CR330" t="str">
            <v>0</v>
          </cell>
          <cell r="CS330" t="str">
            <v>0</v>
          </cell>
          <cell r="CT330" t="str">
            <v>0</v>
          </cell>
          <cell r="CU330" t="str">
            <v>0</v>
          </cell>
          <cell r="CV330" t="str">
            <v>0</v>
          </cell>
          <cell r="CW330" t="str">
            <v>0</v>
          </cell>
          <cell r="CX330" t="str">
            <v>0</v>
          </cell>
          <cell r="CY330" t="str">
            <v>0</v>
          </cell>
          <cell r="CZ330" t="str">
            <v>0</v>
          </cell>
          <cell r="DA330" t="str">
            <v>0</v>
          </cell>
          <cell r="DB330" t="str">
            <v>0</v>
          </cell>
          <cell r="DC330" t="str">
            <v>0</v>
          </cell>
          <cell r="DD330" t="str">
            <v>0</v>
          </cell>
          <cell r="DE330" t="str">
            <v>0</v>
          </cell>
          <cell r="DF330" t="str">
            <v>0</v>
          </cell>
          <cell r="DG330" t="str">
            <v>0</v>
          </cell>
          <cell r="DH330" t="str">
            <v>0</v>
          </cell>
          <cell r="DI330" t="str">
            <v>0</v>
          </cell>
          <cell r="DJ330" t="str">
            <v>0</v>
          </cell>
          <cell r="DK330" t="str">
            <v>0</v>
          </cell>
          <cell r="DL330" t="str">
            <v>0</v>
          </cell>
          <cell r="DM330" t="str">
            <v>0</v>
          </cell>
          <cell r="DN330" t="str">
            <v>0</v>
          </cell>
          <cell r="DO330" t="str">
            <v>0</v>
          </cell>
          <cell r="DP330" t="str">
            <v>0</v>
          </cell>
        </row>
        <row r="331">
          <cell r="C331"/>
          <cell r="D331" t="str">
            <v>0</v>
          </cell>
          <cell r="E331" t="str">
            <v>0</v>
          </cell>
          <cell r="F331" t="str">
            <v>0</v>
          </cell>
          <cell r="G331" t="str">
            <v>0</v>
          </cell>
          <cell r="H331" t="str">
            <v>0</v>
          </cell>
          <cell r="I331" t="str">
            <v>0</v>
          </cell>
          <cell r="J331" t="str">
            <v>0</v>
          </cell>
          <cell r="K331" t="str">
            <v>0</v>
          </cell>
          <cell r="L331" t="str">
            <v>0</v>
          </cell>
          <cell r="M331" t="str">
            <v>0</v>
          </cell>
          <cell r="N331" t="str">
            <v>0</v>
          </cell>
          <cell r="O331" t="str">
            <v>0</v>
          </cell>
          <cell r="P331" t="str">
            <v>0</v>
          </cell>
          <cell r="Q331" t="str">
            <v>0</v>
          </cell>
          <cell r="R331" t="str">
            <v>0</v>
          </cell>
          <cell r="S331" t="str">
            <v>0</v>
          </cell>
          <cell r="T331" t="str">
            <v>0</v>
          </cell>
          <cell r="U331" t="str">
            <v>0</v>
          </cell>
          <cell r="V331" t="str">
            <v>0</v>
          </cell>
          <cell r="W331" t="str">
            <v>0</v>
          </cell>
          <cell r="X331" t="str">
            <v>0</v>
          </cell>
          <cell r="Y331" t="str">
            <v>0</v>
          </cell>
          <cell r="Z331" t="str">
            <v>0</v>
          </cell>
          <cell r="AA331" t="str">
            <v>0</v>
          </cell>
          <cell r="AB331" t="str">
            <v>0</v>
          </cell>
          <cell r="AC331" t="str">
            <v>0</v>
          </cell>
          <cell r="AD331" t="str">
            <v>0</v>
          </cell>
          <cell r="AE331" t="str">
            <v>0</v>
          </cell>
          <cell r="AF331" t="str">
            <v>0</v>
          </cell>
          <cell r="AG331" t="str">
            <v>0</v>
          </cell>
          <cell r="AH331" t="str">
            <v>0</v>
          </cell>
          <cell r="AI331" t="str">
            <v>0</v>
          </cell>
          <cell r="AJ331" t="str">
            <v>0</v>
          </cell>
          <cell r="AK331" t="str">
            <v>0</v>
          </cell>
          <cell r="AL331" t="str">
            <v>0</v>
          </cell>
          <cell r="AM331" t="str">
            <v>0</v>
          </cell>
          <cell r="AN331" t="str">
            <v>0</v>
          </cell>
          <cell r="AO331" t="str">
            <v>0</v>
          </cell>
          <cell r="AP331" t="str">
            <v>0</v>
          </cell>
          <cell r="AQ331" t="str">
            <v>0</v>
          </cell>
          <cell r="AR331" t="str">
            <v>0</v>
          </cell>
          <cell r="AS331" t="str">
            <v>0</v>
          </cell>
          <cell r="AT331" t="str">
            <v>0</v>
          </cell>
          <cell r="AU331" t="str">
            <v>0</v>
          </cell>
          <cell r="AV331" t="str">
            <v>0</v>
          </cell>
          <cell r="AW331" t="str">
            <v>0</v>
          </cell>
          <cell r="AX331" t="str">
            <v>0</v>
          </cell>
          <cell r="AY331" t="str">
            <v>0</v>
          </cell>
          <cell r="AZ331" t="str">
            <v>0</v>
          </cell>
          <cell r="BA331" t="str">
            <v>0</v>
          </cell>
          <cell r="BB331" t="str">
            <v>0</v>
          </cell>
          <cell r="BC331" t="str">
            <v>0</v>
          </cell>
          <cell r="BD331" t="str">
            <v>0</v>
          </cell>
          <cell r="BE331" t="str">
            <v>0</v>
          </cell>
          <cell r="BF331" t="str">
            <v>0</v>
          </cell>
          <cell r="BG331" t="str">
            <v>0</v>
          </cell>
          <cell r="BH331" t="str">
            <v>0</v>
          </cell>
          <cell r="BI331" t="str">
            <v>0</v>
          </cell>
          <cell r="BJ331" t="str">
            <v>0</v>
          </cell>
          <cell r="BK331" t="str">
            <v>0</v>
          </cell>
          <cell r="BL331" t="str">
            <v>0</v>
          </cell>
          <cell r="BM331" t="str">
            <v>0</v>
          </cell>
          <cell r="BN331" t="str">
            <v>0</v>
          </cell>
          <cell r="BO331" t="str">
            <v>0</v>
          </cell>
          <cell r="BP331" t="str">
            <v>0</v>
          </cell>
          <cell r="BQ331" t="str">
            <v>0</v>
          </cell>
          <cell r="BR331" t="str">
            <v>0</v>
          </cell>
          <cell r="BS331" t="str">
            <v>0</v>
          </cell>
          <cell r="BT331" t="str">
            <v>0</v>
          </cell>
          <cell r="BU331" t="str">
            <v>0</v>
          </cell>
          <cell r="BV331" t="str">
            <v>0</v>
          </cell>
          <cell r="BW331" t="str">
            <v>0</v>
          </cell>
          <cell r="BX331" t="str">
            <v>0</v>
          </cell>
          <cell r="BY331" t="str">
            <v>0</v>
          </cell>
          <cell r="BZ331" t="str">
            <v>0</v>
          </cell>
          <cell r="CA331" t="str">
            <v>0</v>
          </cell>
          <cell r="CB331" t="str">
            <v>0</v>
          </cell>
          <cell r="CC331" t="str">
            <v>0</v>
          </cell>
          <cell r="CD331" t="str">
            <v>0</v>
          </cell>
          <cell r="CE331" t="str">
            <v>0</v>
          </cell>
          <cell r="CF331" t="str">
            <v>0</v>
          </cell>
          <cell r="CG331" t="str">
            <v>0</v>
          </cell>
          <cell r="CH331" t="str">
            <v>0</v>
          </cell>
          <cell r="CI331" t="str">
            <v>0</v>
          </cell>
          <cell r="CJ331" t="str">
            <v>0</v>
          </cell>
          <cell r="CK331" t="str">
            <v>0</v>
          </cell>
          <cell r="CL331" t="str">
            <v>0</v>
          </cell>
          <cell r="CM331" t="str">
            <v>0</v>
          </cell>
          <cell r="CN331" t="str">
            <v>0</v>
          </cell>
          <cell r="CO331" t="str">
            <v>0</v>
          </cell>
          <cell r="CP331" t="str">
            <v>0</v>
          </cell>
          <cell r="CQ331" t="str">
            <v>0</v>
          </cell>
          <cell r="CR331" t="str">
            <v>0</v>
          </cell>
          <cell r="CS331" t="str">
            <v>0</v>
          </cell>
          <cell r="CT331" t="str">
            <v>0</v>
          </cell>
          <cell r="CU331" t="str">
            <v>0</v>
          </cell>
          <cell r="CV331" t="str">
            <v>0</v>
          </cell>
          <cell r="CW331" t="str">
            <v>0</v>
          </cell>
          <cell r="CX331" t="str">
            <v>0</v>
          </cell>
          <cell r="CY331" t="str">
            <v>0</v>
          </cell>
          <cell r="CZ331" t="str">
            <v>0</v>
          </cell>
          <cell r="DA331" t="str">
            <v>0</v>
          </cell>
          <cell r="DB331" t="str">
            <v>0</v>
          </cell>
          <cell r="DC331" t="str">
            <v>0</v>
          </cell>
          <cell r="DD331" t="str">
            <v>0</v>
          </cell>
          <cell r="DE331" t="str">
            <v>0</v>
          </cell>
          <cell r="DF331" t="str">
            <v>0</v>
          </cell>
          <cell r="DG331" t="str">
            <v>0</v>
          </cell>
          <cell r="DH331" t="str">
            <v>0</v>
          </cell>
          <cell r="DI331" t="str">
            <v>0</v>
          </cell>
          <cell r="DJ331" t="str">
            <v>0</v>
          </cell>
          <cell r="DK331" t="str">
            <v>0</v>
          </cell>
          <cell r="DL331" t="str">
            <v>0</v>
          </cell>
          <cell r="DM331" t="str">
            <v>0</v>
          </cell>
          <cell r="DN331" t="str">
            <v>0</v>
          </cell>
          <cell r="DO331" t="str">
            <v>0</v>
          </cell>
          <cell r="DP331" t="str">
            <v>0</v>
          </cell>
        </row>
        <row r="332">
          <cell r="C332"/>
          <cell r="D332" t="str">
            <v>0</v>
          </cell>
          <cell r="E332" t="str">
            <v>0</v>
          </cell>
          <cell r="F332" t="str">
            <v>0</v>
          </cell>
          <cell r="G332" t="str">
            <v>0</v>
          </cell>
          <cell r="H332" t="str">
            <v>0</v>
          </cell>
          <cell r="I332" t="str">
            <v>0</v>
          </cell>
          <cell r="J332" t="str">
            <v>0</v>
          </cell>
          <cell r="K332" t="str">
            <v>0</v>
          </cell>
          <cell r="L332" t="str">
            <v>0</v>
          </cell>
          <cell r="M332" t="str">
            <v>0</v>
          </cell>
          <cell r="N332" t="str">
            <v>0</v>
          </cell>
          <cell r="O332" t="str">
            <v>0</v>
          </cell>
          <cell r="P332" t="str">
            <v>0</v>
          </cell>
          <cell r="Q332" t="str">
            <v>0</v>
          </cell>
          <cell r="R332" t="str">
            <v>0</v>
          </cell>
          <cell r="S332" t="str">
            <v>0</v>
          </cell>
          <cell r="T332" t="str">
            <v>0</v>
          </cell>
          <cell r="U332" t="str">
            <v>0</v>
          </cell>
          <cell r="V332" t="str">
            <v>0</v>
          </cell>
          <cell r="W332" t="str">
            <v>0</v>
          </cell>
          <cell r="X332" t="str">
            <v>0</v>
          </cell>
          <cell r="Y332" t="str">
            <v>0</v>
          </cell>
          <cell r="Z332" t="str">
            <v>0</v>
          </cell>
          <cell r="AA332" t="str">
            <v>0</v>
          </cell>
          <cell r="AB332" t="str">
            <v>0</v>
          </cell>
          <cell r="AC332" t="str">
            <v>0</v>
          </cell>
          <cell r="AD332" t="str">
            <v>0</v>
          </cell>
          <cell r="AE332" t="str">
            <v>0</v>
          </cell>
          <cell r="AF332" t="str">
            <v>0</v>
          </cell>
          <cell r="AG332" t="str">
            <v>0</v>
          </cell>
          <cell r="AH332" t="str">
            <v>0</v>
          </cell>
          <cell r="AI332" t="str">
            <v>0</v>
          </cell>
          <cell r="AJ332" t="str">
            <v>0</v>
          </cell>
          <cell r="AK332" t="str">
            <v>0</v>
          </cell>
          <cell r="AL332" t="str">
            <v>0</v>
          </cell>
          <cell r="AM332" t="str">
            <v>0</v>
          </cell>
          <cell r="AN332" t="str">
            <v>0</v>
          </cell>
          <cell r="AO332" t="str">
            <v>0</v>
          </cell>
          <cell r="AP332" t="str">
            <v>0</v>
          </cell>
          <cell r="AQ332" t="str">
            <v>0</v>
          </cell>
          <cell r="AR332" t="str">
            <v>0</v>
          </cell>
          <cell r="AS332" t="str">
            <v>0</v>
          </cell>
          <cell r="AT332" t="str">
            <v>0</v>
          </cell>
          <cell r="AU332" t="str">
            <v>0</v>
          </cell>
          <cell r="AV332" t="str">
            <v>0</v>
          </cell>
          <cell r="AW332" t="str">
            <v>0</v>
          </cell>
          <cell r="AX332" t="str">
            <v>0</v>
          </cell>
          <cell r="AY332" t="str">
            <v>0</v>
          </cell>
          <cell r="AZ332" t="str">
            <v>0</v>
          </cell>
          <cell r="BA332" t="str">
            <v>0</v>
          </cell>
          <cell r="BB332" t="str">
            <v>0</v>
          </cell>
          <cell r="BC332" t="str">
            <v>0</v>
          </cell>
          <cell r="BD332" t="str">
            <v>0</v>
          </cell>
          <cell r="BE332" t="str">
            <v>0</v>
          </cell>
          <cell r="BF332" t="str">
            <v>0</v>
          </cell>
          <cell r="BG332" t="str">
            <v>0</v>
          </cell>
          <cell r="BH332" t="str">
            <v>0</v>
          </cell>
          <cell r="BI332" t="str">
            <v>0</v>
          </cell>
          <cell r="BJ332" t="str">
            <v>0</v>
          </cell>
          <cell r="BK332" t="str">
            <v>0</v>
          </cell>
          <cell r="BL332" t="str">
            <v>0</v>
          </cell>
          <cell r="BM332" t="str">
            <v>0</v>
          </cell>
          <cell r="BN332" t="str">
            <v>0</v>
          </cell>
          <cell r="BO332" t="str">
            <v>0</v>
          </cell>
          <cell r="BP332" t="str">
            <v>0</v>
          </cell>
          <cell r="BQ332" t="str">
            <v>0</v>
          </cell>
          <cell r="BR332" t="str">
            <v>0</v>
          </cell>
          <cell r="BS332" t="str">
            <v>0</v>
          </cell>
          <cell r="BT332" t="str">
            <v>0</v>
          </cell>
          <cell r="BU332" t="str">
            <v>0</v>
          </cell>
          <cell r="BV332" t="str">
            <v>0</v>
          </cell>
          <cell r="BW332" t="str">
            <v>0</v>
          </cell>
          <cell r="BX332" t="str">
            <v>0</v>
          </cell>
          <cell r="BY332" t="str">
            <v>0</v>
          </cell>
          <cell r="BZ332" t="str">
            <v>0</v>
          </cell>
          <cell r="CA332" t="str">
            <v>0</v>
          </cell>
          <cell r="CB332" t="str">
            <v>0</v>
          </cell>
          <cell r="CC332" t="str">
            <v>0</v>
          </cell>
          <cell r="CD332" t="str">
            <v>0</v>
          </cell>
          <cell r="CE332" t="str">
            <v>0</v>
          </cell>
          <cell r="CF332" t="str">
            <v>0</v>
          </cell>
          <cell r="CG332" t="str">
            <v>0</v>
          </cell>
          <cell r="CH332" t="str">
            <v>0</v>
          </cell>
          <cell r="CI332" t="str">
            <v>0</v>
          </cell>
          <cell r="CJ332" t="str">
            <v>0</v>
          </cell>
          <cell r="CK332" t="str">
            <v>0</v>
          </cell>
          <cell r="CL332" t="str">
            <v>0</v>
          </cell>
          <cell r="CM332" t="str">
            <v>0</v>
          </cell>
          <cell r="CN332" t="str">
            <v>0</v>
          </cell>
          <cell r="CO332" t="str">
            <v>0</v>
          </cell>
          <cell r="CP332" t="str">
            <v>0</v>
          </cell>
          <cell r="CQ332" t="str">
            <v>0</v>
          </cell>
          <cell r="CR332" t="str">
            <v>0</v>
          </cell>
          <cell r="CS332" t="str">
            <v>0</v>
          </cell>
          <cell r="CT332" t="str">
            <v>0</v>
          </cell>
          <cell r="CU332" t="str">
            <v>0</v>
          </cell>
          <cell r="CV332" t="str">
            <v>0</v>
          </cell>
          <cell r="CW332" t="str">
            <v>0</v>
          </cell>
          <cell r="CX332" t="str">
            <v>0</v>
          </cell>
          <cell r="CY332" t="str">
            <v>0</v>
          </cell>
          <cell r="CZ332" t="str">
            <v>0</v>
          </cell>
          <cell r="DA332" t="str">
            <v>0</v>
          </cell>
          <cell r="DB332" t="str">
            <v>0</v>
          </cell>
          <cell r="DC332" t="str">
            <v>0</v>
          </cell>
          <cell r="DD332" t="str">
            <v>0</v>
          </cell>
          <cell r="DE332" t="str">
            <v>0</v>
          </cell>
          <cell r="DF332" t="str">
            <v>0</v>
          </cell>
          <cell r="DG332" t="str">
            <v>0</v>
          </cell>
          <cell r="DH332" t="str">
            <v>0</v>
          </cell>
          <cell r="DI332" t="str">
            <v>0</v>
          </cell>
          <cell r="DJ332" t="str">
            <v>0</v>
          </cell>
          <cell r="DK332" t="str">
            <v>0</v>
          </cell>
          <cell r="DL332" t="str">
            <v>0</v>
          </cell>
          <cell r="DM332" t="str">
            <v>0</v>
          </cell>
          <cell r="DN332" t="str">
            <v>0</v>
          </cell>
          <cell r="DO332" t="str">
            <v>0</v>
          </cell>
          <cell r="DP332" t="str">
            <v>0</v>
          </cell>
        </row>
        <row r="333">
          <cell r="C333"/>
          <cell r="D333" t="str">
            <v>0</v>
          </cell>
          <cell r="E333" t="str">
            <v>0</v>
          </cell>
          <cell r="F333" t="str">
            <v>0</v>
          </cell>
          <cell r="G333" t="str">
            <v>0</v>
          </cell>
          <cell r="H333" t="str">
            <v>0</v>
          </cell>
          <cell r="I333" t="str">
            <v>0</v>
          </cell>
          <cell r="J333" t="str">
            <v>0</v>
          </cell>
          <cell r="K333" t="str">
            <v>0</v>
          </cell>
          <cell r="L333" t="str">
            <v>0</v>
          </cell>
          <cell r="M333" t="str">
            <v>0</v>
          </cell>
          <cell r="N333" t="str">
            <v>0</v>
          </cell>
          <cell r="O333" t="str">
            <v>0</v>
          </cell>
          <cell r="P333" t="str">
            <v>0</v>
          </cell>
          <cell r="Q333" t="str">
            <v>0</v>
          </cell>
          <cell r="R333" t="str">
            <v>0</v>
          </cell>
          <cell r="S333" t="str">
            <v>0</v>
          </cell>
          <cell r="T333" t="str">
            <v>0</v>
          </cell>
          <cell r="U333" t="str">
            <v>0</v>
          </cell>
          <cell r="V333" t="str">
            <v>0</v>
          </cell>
          <cell r="W333" t="str">
            <v>0</v>
          </cell>
          <cell r="X333" t="str">
            <v>0</v>
          </cell>
          <cell r="Y333" t="str">
            <v>0</v>
          </cell>
          <cell r="Z333" t="str">
            <v>0</v>
          </cell>
          <cell r="AA333" t="str">
            <v>0</v>
          </cell>
          <cell r="AB333" t="str">
            <v>0</v>
          </cell>
          <cell r="AC333" t="str">
            <v>0</v>
          </cell>
          <cell r="AD333" t="str">
            <v>0</v>
          </cell>
          <cell r="AE333" t="str">
            <v>0</v>
          </cell>
          <cell r="AF333" t="str">
            <v>0</v>
          </cell>
          <cell r="AG333" t="str">
            <v>0</v>
          </cell>
          <cell r="AH333" t="str">
            <v>0</v>
          </cell>
          <cell r="AI333" t="str">
            <v>0</v>
          </cell>
          <cell r="AJ333" t="str">
            <v>0</v>
          </cell>
          <cell r="AK333" t="str">
            <v>0</v>
          </cell>
          <cell r="AL333" t="str">
            <v>0</v>
          </cell>
          <cell r="AM333" t="str">
            <v>0</v>
          </cell>
          <cell r="AN333" t="str">
            <v>0</v>
          </cell>
          <cell r="AO333" t="str">
            <v>0</v>
          </cell>
          <cell r="AP333" t="str">
            <v>0</v>
          </cell>
          <cell r="AQ333" t="str">
            <v>0</v>
          </cell>
          <cell r="AR333" t="str">
            <v>0</v>
          </cell>
          <cell r="AS333" t="str">
            <v>0</v>
          </cell>
          <cell r="AT333" t="str">
            <v>0</v>
          </cell>
          <cell r="AU333" t="str">
            <v>0</v>
          </cell>
          <cell r="AV333" t="str">
            <v>0</v>
          </cell>
          <cell r="AW333" t="str">
            <v>0</v>
          </cell>
          <cell r="AX333" t="str">
            <v>0</v>
          </cell>
          <cell r="AY333" t="str">
            <v>0</v>
          </cell>
          <cell r="AZ333" t="str">
            <v>0</v>
          </cell>
          <cell r="BA333" t="str">
            <v>0</v>
          </cell>
          <cell r="BB333" t="str">
            <v>0</v>
          </cell>
          <cell r="BC333" t="str">
            <v>0</v>
          </cell>
          <cell r="BD333" t="str">
            <v>0</v>
          </cell>
          <cell r="BE333" t="str">
            <v>0</v>
          </cell>
          <cell r="BF333" t="str">
            <v>0</v>
          </cell>
          <cell r="BG333" t="str">
            <v>0</v>
          </cell>
          <cell r="BH333" t="str">
            <v>0</v>
          </cell>
          <cell r="BI333" t="str">
            <v>0</v>
          </cell>
          <cell r="BJ333" t="str">
            <v>0</v>
          </cell>
          <cell r="BK333" t="str">
            <v>0</v>
          </cell>
          <cell r="BL333" t="str">
            <v>0</v>
          </cell>
          <cell r="BM333" t="str">
            <v>0</v>
          </cell>
          <cell r="BN333" t="str">
            <v>0</v>
          </cell>
          <cell r="BO333" t="str">
            <v>0</v>
          </cell>
          <cell r="BP333" t="str">
            <v>0</v>
          </cell>
          <cell r="BQ333" t="str">
            <v>0</v>
          </cell>
          <cell r="BR333" t="str">
            <v>0</v>
          </cell>
          <cell r="BS333" t="str">
            <v>0</v>
          </cell>
          <cell r="BT333" t="str">
            <v>0</v>
          </cell>
          <cell r="BU333" t="str">
            <v>0</v>
          </cell>
          <cell r="BV333" t="str">
            <v>0</v>
          </cell>
          <cell r="BW333" t="str">
            <v>0</v>
          </cell>
          <cell r="BX333" t="str">
            <v>0</v>
          </cell>
          <cell r="BY333" t="str">
            <v>0</v>
          </cell>
          <cell r="BZ333" t="str">
            <v>0</v>
          </cell>
          <cell r="CA333" t="str">
            <v>0</v>
          </cell>
          <cell r="CB333" t="str">
            <v>0</v>
          </cell>
          <cell r="CC333" t="str">
            <v>0</v>
          </cell>
          <cell r="CD333" t="str">
            <v>0</v>
          </cell>
          <cell r="CE333" t="str">
            <v>0</v>
          </cell>
          <cell r="CF333" t="str">
            <v>0</v>
          </cell>
          <cell r="CG333" t="str">
            <v>0</v>
          </cell>
          <cell r="CH333" t="str">
            <v>0</v>
          </cell>
          <cell r="CI333" t="str">
            <v>0</v>
          </cell>
          <cell r="CJ333" t="str">
            <v>0</v>
          </cell>
          <cell r="CK333" t="str">
            <v>0</v>
          </cell>
          <cell r="CL333" t="str">
            <v>0</v>
          </cell>
          <cell r="CM333" t="str">
            <v>0</v>
          </cell>
          <cell r="CN333" t="str">
            <v>0</v>
          </cell>
          <cell r="CO333" t="str">
            <v>0</v>
          </cell>
          <cell r="CP333" t="str">
            <v>0</v>
          </cell>
          <cell r="CQ333" t="str">
            <v>0</v>
          </cell>
          <cell r="CR333" t="str">
            <v>0</v>
          </cell>
          <cell r="CS333" t="str">
            <v>0</v>
          </cell>
          <cell r="CT333" t="str">
            <v>0</v>
          </cell>
          <cell r="CU333" t="str">
            <v>0</v>
          </cell>
          <cell r="CV333" t="str">
            <v>0</v>
          </cell>
          <cell r="CW333" t="str">
            <v>0</v>
          </cell>
          <cell r="CX333" t="str">
            <v>0</v>
          </cell>
          <cell r="CY333" t="str">
            <v>0</v>
          </cell>
          <cell r="CZ333" t="str">
            <v>0</v>
          </cell>
          <cell r="DA333" t="str">
            <v>0</v>
          </cell>
          <cell r="DB333" t="str">
            <v>0</v>
          </cell>
          <cell r="DC333" t="str">
            <v>0</v>
          </cell>
          <cell r="DD333" t="str">
            <v>0</v>
          </cell>
          <cell r="DE333" t="str">
            <v>0</v>
          </cell>
          <cell r="DF333" t="str">
            <v>0</v>
          </cell>
          <cell r="DG333" t="str">
            <v>0</v>
          </cell>
          <cell r="DH333" t="str">
            <v>0</v>
          </cell>
          <cell r="DI333" t="str">
            <v>0</v>
          </cell>
          <cell r="DJ333" t="str">
            <v>0</v>
          </cell>
          <cell r="DK333" t="str">
            <v>0</v>
          </cell>
          <cell r="DL333" t="str">
            <v>0</v>
          </cell>
          <cell r="DM333" t="str">
            <v>0</v>
          </cell>
          <cell r="DN333" t="str">
            <v>0</v>
          </cell>
          <cell r="DO333" t="str">
            <v>0</v>
          </cell>
          <cell r="DP333" t="str">
            <v>0</v>
          </cell>
        </row>
        <row r="334">
          <cell r="C334"/>
          <cell r="D334" t="str">
            <v>0</v>
          </cell>
          <cell r="E334" t="str">
            <v>0</v>
          </cell>
          <cell r="F334" t="str">
            <v>0</v>
          </cell>
          <cell r="G334" t="str">
            <v>0</v>
          </cell>
          <cell r="H334" t="str">
            <v>0</v>
          </cell>
          <cell r="I334" t="str">
            <v>0</v>
          </cell>
          <cell r="J334" t="str">
            <v>0</v>
          </cell>
          <cell r="K334" t="str">
            <v>0</v>
          </cell>
          <cell r="L334" t="str">
            <v>0</v>
          </cell>
          <cell r="M334" t="str">
            <v>0</v>
          </cell>
          <cell r="N334" t="str">
            <v>0</v>
          </cell>
          <cell r="O334" t="str">
            <v>0</v>
          </cell>
          <cell r="P334" t="str">
            <v>0</v>
          </cell>
          <cell r="Q334" t="str">
            <v>0</v>
          </cell>
          <cell r="R334" t="str">
            <v>0</v>
          </cell>
          <cell r="S334" t="str">
            <v>0</v>
          </cell>
          <cell r="T334" t="str">
            <v>0</v>
          </cell>
          <cell r="U334" t="str">
            <v>0</v>
          </cell>
          <cell r="V334" t="str">
            <v>0</v>
          </cell>
          <cell r="W334" t="str">
            <v>0</v>
          </cell>
          <cell r="X334" t="str">
            <v>0</v>
          </cell>
          <cell r="Y334" t="str">
            <v>0</v>
          </cell>
          <cell r="Z334" t="str">
            <v>0</v>
          </cell>
          <cell r="AA334" t="str">
            <v>0</v>
          </cell>
          <cell r="AB334" t="str">
            <v>0</v>
          </cell>
          <cell r="AC334" t="str">
            <v>0</v>
          </cell>
          <cell r="AD334" t="str">
            <v>0</v>
          </cell>
          <cell r="AE334" t="str">
            <v>0</v>
          </cell>
          <cell r="AF334" t="str">
            <v>0</v>
          </cell>
          <cell r="AG334" t="str">
            <v>0</v>
          </cell>
          <cell r="AH334" t="str">
            <v>0</v>
          </cell>
          <cell r="AI334" t="str">
            <v>0</v>
          </cell>
          <cell r="AJ334" t="str">
            <v>0</v>
          </cell>
          <cell r="AK334" t="str">
            <v>0</v>
          </cell>
          <cell r="AL334" t="str">
            <v>0</v>
          </cell>
          <cell r="AM334" t="str">
            <v>0</v>
          </cell>
          <cell r="AN334" t="str">
            <v>0</v>
          </cell>
          <cell r="AO334" t="str">
            <v>0</v>
          </cell>
          <cell r="AP334" t="str">
            <v>0</v>
          </cell>
          <cell r="AQ334" t="str">
            <v>0</v>
          </cell>
          <cell r="AR334" t="str">
            <v>0</v>
          </cell>
          <cell r="AS334" t="str">
            <v>0</v>
          </cell>
          <cell r="AT334" t="str">
            <v>0</v>
          </cell>
          <cell r="AU334" t="str">
            <v>0</v>
          </cell>
          <cell r="AV334" t="str">
            <v>0</v>
          </cell>
          <cell r="AW334" t="str">
            <v>0</v>
          </cell>
          <cell r="AX334" t="str">
            <v>0</v>
          </cell>
          <cell r="AY334" t="str">
            <v>0</v>
          </cell>
          <cell r="AZ334" t="str">
            <v>0</v>
          </cell>
          <cell r="BA334" t="str">
            <v>0</v>
          </cell>
          <cell r="BB334" t="str">
            <v>0</v>
          </cell>
          <cell r="BC334" t="str">
            <v>0</v>
          </cell>
          <cell r="BD334" t="str">
            <v>0</v>
          </cell>
          <cell r="BE334" t="str">
            <v>0</v>
          </cell>
          <cell r="BF334" t="str">
            <v>0</v>
          </cell>
          <cell r="BG334" t="str">
            <v>0</v>
          </cell>
          <cell r="BH334" t="str">
            <v>0</v>
          </cell>
          <cell r="BI334" t="str">
            <v>0</v>
          </cell>
          <cell r="BJ334" t="str">
            <v>0</v>
          </cell>
          <cell r="BK334" t="str">
            <v>0</v>
          </cell>
          <cell r="BL334" t="str">
            <v>0</v>
          </cell>
          <cell r="BM334" t="str">
            <v>0</v>
          </cell>
          <cell r="BN334" t="str">
            <v>0</v>
          </cell>
          <cell r="BO334" t="str">
            <v>0</v>
          </cell>
          <cell r="BP334" t="str">
            <v>0</v>
          </cell>
          <cell r="BQ334" t="str">
            <v>0</v>
          </cell>
          <cell r="BR334" t="str">
            <v>0</v>
          </cell>
          <cell r="BS334" t="str">
            <v>0</v>
          </cell>
          <cell r="BT334" t="str">
            <v>0</v>
          </cell>
          <cell r="BU334" t="str">
            <v>0</v>
          </cell>
          <cell r="BV334" t="str">
            <v>0</v>
          </cell>
          <cell r="BW334" t="str">
            <v>0</v>
          </cell>
          <cell r="BX334" t="str">
            <v>0</v>
          </cell>
          <cell r="BY334" t="str">
            <v>0</v>
          </cell>
          <cell r="BZ334" t="str">
            <v>0</v>
          </cell>
          <cell r="CA334" t="str">
            <v>0</v>
          </cell>
          <cell r="CB334" t="str">
            <v>0</v>
          </cell>
          <cell r="CC334" t="str">
            <v>0</v>
          </cell>
          <cell r="CD334" t="str">
            <v>0</v>
          </cell>
          <cell r="CE334" t="str">
            <v>0</v>
          </cell>
          <cell r="CF334" t="str">
            <v>0</v>
          </cell>
          <cell r="CG334" t="str">
            <v>0</v>
          </cell>
          <cell r="CH334" t="str">
            <v>0</v>
          </cell>
          <cell r="CI334" t="str">
            <v>0</v>
          </cell>
          <cell r="CJ334" t="str">
            <v>0</v>
          </cell>
          <cell r="CK334" t="str">
            <v>0</v>
          </cell>
          <cell r="CL334" t="str">
            <v>0</v>
          </cell>
          <cell r="CM334" t="str">
            <v>0</v>
          </cell>
          <cell r="CN334" t="str">
            <v>0</v>
          </cell>
          <cell r="CO334" t="str">
            <v>0</v>
          </cell>
          <cell r="CP334" t="str">
            <v>0</v>
          </cell>
          <cell r="CQ334" t="str">
            <v>0</v>
          </cell>
          <cell r="CR334" t="str">
            <v>0</v>
          </cell>
          <cell r="CS334" t="str">
            <v>0</v>
          </cell>
          <cell r="CT334" t="str">
            <v>0</v>
          </cell>
          <cell r="CU334" t="str">
            <v>0</v>
          </cell>
          <cell r="CV334" t="str">
            <v>0</v>
          </cell>
          <cell r="CW334" t="str">
            <v>0</v>
          </cell>
          <cell r="CX334" t="str">
            <v>0</v>
          </cell>
          <cell r="CY334" t="str">
            <v>0</v>
          </cell>
          <cell r="CZ334" t="str">
            <v>0</v>
          </cell>
          <cell r="DA334" t="str">
            <v>0</v>
          </cell>
          <cell r="DB334" t="str">
            <v>0</v>
          </cell>
          <cell r="DC334" t="str">
            <v>0</v>
          </cell>
          <cell r="DD334" t="str">
            <v>0</v>
          </cell>
          <cell r="DE334" t="str">
            <v>0</v>
          </cell>
          <cell r="DF334" t="str">
            <v>0</v>
          </cell>
          <cell r="DG334" t="str">
            <v>0</v>
          </cell>
          <cell r="DH334" t="str">
            <v>0</v>
          </cell>
          <cell r="DI334" t="str">
            <v>0</v>
          </cell>
          <cell r="DJ334" t="str">
            <v>0</v>
          </cell>
          <cell r="DK334" t="str">
            <v>0</v>
          </cell>
          <cell r="DL334" t="str">
            <v>0</v>
          </cell>
          <cell r="DM334" t="str">
            <v>0</v>
          </cell>
          <cell r="DN334" t="str">
            <v>0</v>
          </cell>
          <cell r="DO334" t="str">
            <v>0</v>
          </cell>
          <cell r="DP334" t="str">
            <v>0</v>
          </cell>
        </row>
        <row r="335">
          <cell r="C335"/>
          <cell r="D335" t="str">
            <v>0</v>
          </cell>
          <cell r="E335" t="str">
            <v>0</v>
          </cell>
          <cell r="F335" t="str">
            <v>0</v>
          </cell>
          <cell r="G335" t="str">
            <v>0</v>
          </cell>
          <cell r="H335" t="str">
            <v>0</v>
          </cell>
          <cell r="I335" t="str">
            <v>0</v>
          </cell>
          <cell r="J335" t="str">
            <v>0</v>
          </cell>
          <cell r="K335" t="str">
            <v>0</v>
          </cell>
          <cell r="L335" t="str">
            <v>0</v>
          </cell>
          <cell r="M335" t="str">
            <v>0</v>
          </cell>
          <cell r="N335" t="str">
            <v>0</v>
          </cell>
          <cell r="O335" t="str">
            <v>0</v>
          </cell>
          <cell r="P335" t="str">
            <v>0</v>
          </cell>
          <cell r="Q335" t="str">
            <v>0</v>
          </cell>
          <cell r="R335" t="str">
            <v>0</v>
          </cell>
          <cell r="S335" t="str">
            <v>0</v>
          </cell>
          <cell r="T335" t="str">
            <v>0</v>
          </cell>
          <cell r="U335" t="str">
            <v>0</v>
          </cell>
          <cell r="V335" t="str">
            <v>0</v>
          </cell>
          <cell r="W335" t="str">
            <v>0</v>
          </cell>
          <cell r="X335" t="str">
            <v>0</v>
          </cell>
          <cell r="Y335" t="str">
            <v>0</v>
          </cell>
          <cell r="Z335" t="str">
            <v>0</v>
          </cell>
          <cell r="AA335" t="str">
            <v>0</v>
          </cell>
          <cell r="AB335" t="str">
            <v>0</v>
          </cell>
          <cell r="AC335" t="str">
            <v>0</v>
          </cell>
          <cell r="AD335" t="str">
            <v>0</v>
          </cell>
          <cell r="AE335" t="str">
            <v>0</v>
          </cell>
          <cell r="AF335" t="str">
            <v>0</v>
          </cell>
          <cell r="AG335" t="str">
            <v>0</v>
          </cell>
          <cell r="AH335" t="str">
            <v>0</v>
          </cell>
          <cell r="AI335" t="str">
            <v>0</v>
          </cell>
          <cell r="AJ335" t="str">
            <v>0</v>
          </cell>
          <cell r="AK335" t="str">
            <v>0</v>
          </cell>
          <cell r="AL335" t="str">
            <v>0</v>
          </cell>
          <cell r="AM335" t="str">
            <v>0</v>
          </cell>
          <cell r="AN335" t="str">
            <v>0</v>
          </cell>
          <cell r="AO335" t="str">
            <v>0</v>
          </cell>
          <cell r="AP335" t="str">
            <v>0</v>
          </cell>
          <cell r="AQ335" t="str">
            <v>0</v>
          </cell>
          <cell r="AR335" t="str">
            <v>0</v>
          </cell>
          <cell r="AS335" t="str">
            <v>0</v>
          </cell>
          <cell r="AT335" t="str">
            <v>0</v>
          </cell>
          <cell r="AU335" t="str">
            <v>0</v>
          </cell>
          <cell r="AV335" t="str">
            <v>0</v>
          </cell>
          <cell r="AW335" t="str">
            <v>0</v>
          </cell>
          <cell r="AX335" t="str">
            <v>0</v>
          </cell>
          <cell r="AY335" t="str">
            <v>0</v>
          </cell>
          <cell r="AZ335" t="str">
            <v>0</v>
          </cell>
          <cell r="BA335" t="str">
            <v>0</v>
          </cell>
          <cell r="BB335" t="str">
            <v>0</v>
          </cell>
          <cell r="BC335" t="str">
            <v>0</v>
          </cell>
          <cell r="BD335" t="str">
            <v>0</v>
          </cell>
          <cell r="BE335" t="str">
            <v>0</v>
          </cell>
          <cell r="BF335" t="str">
            <v>0</v>
          </cell>
          <cell r="BG335" t="str">
            <v>0</v>
          </cell>
          <cell r="BH335" t="str">
            <v>0</v>
          </cell>
          <cell r="BI335" t="str">
            <v>0</v>
          </cell>
          <cell r="BJ335" t="str">
            <v>0</v>
          </cell>
          <cell r="BK335" t="str">
            <v>0</v>
          </cell>
          <cell r="BL335" t="str">
            <v>0</v>
          </cell>
          <cell r="BM335" t="str">
            <v>0</v>
          </cell>
          <cell r="BN335" t="str">
            <v>0</v>
          </cell>
          <cell r="BO335" t="str">
            <v>0</v>
          </cell>
          <cell r="BP335" t="str">
            <v>0</v>
          </cell>
          <cell r="BQ335" t="str">
            <v>0</v>
          </cell>
          <cell r="BR335" t="str">
            <v>0</v>
          </cell>
          <cell r="BS335" t="str">
            <v>0</v>
          </cell>
          <cell r="BT335" t="str">
            <v>0</v>
          </cell>
          <cell r="BU335" t="str">
            <v>0</v>
          </cell>
          <cell r="BV335" t="str">
            <v>0</v>
          </cell>
          <cell r="BW335" t="str">
            <v>0</v>
          </cell>
          <cell r="BX335" t="str">
            <v>0</v>
          </cell>
          <cell r="BY335" t="str">
            <v>0</v>
          </cell>
          <cell r="BZ335" t="str">
            <v>0</v>
          </cell>
          <cell r="CA335" t="str">
            <v>0</v>
          </cell>
          <cell r="CB335" t="str">
            <v>0</v>
          </cell>
          <cell r="CC335" t="str">
            <v>0</v>
          </cell>
          <cell r="CD335" t="str">
            <v>0</v>
          </cell>
          <cell r="CE335" t="str">
            <v>0</v>
          </cell>
          <cell r="CF335" t="str">
            <v>0</v>
          </cell>
          <cell r="CG335" t="str">
            <v>0</v>
          </cell>
          <cell r="CH335" t="str">
            <v>0</v>
          </cell>
          <cell r="CI335" t="str">
            <v>0</v>
          </cell>
          <cell r="CJ335" t="str">
            <v>0</v>
          </cell>
          <cell r="CK335" t="str">
            <v>0</v>
          </cell>
          <cell r="CL335" t="str">
            <v>0</v>
          </cell>
          <cell r="CM335" t="str">
            <v>0</v>
          </cell>
          <cell r="CN335" t="str">
            <v>0</v>
          </cell>
          <cell r="CO335" t="str">
            <v>0</v>
          </cell>
          <cell r="CP335" t="str">
            <v>0</v>
          </cell>
          <cell r="CQ335" t="str">
            <v>0</v>
          </cell>
          <cell r="CR335" t="str">
            <v>0</v>
          </cell>
          <cell r="CS335" t="str">
            <v>0</v>
          </cell>
          <cell r="CT335" t="str">
            <v>0</v>
          </cell>
          <cell r="CU335" t="str">
            <v>0</v>
          </cell>
          <cell r="CV335" t="str">
            <v>0</v>
          </cell>
          <cell r="CW335" t="str">
            <v>0</v>
          </cell>
          <cell r="CX335" t="str">
            <v>0</v>
          </cell>
          <cell r="CY335" t="str">
            <v>0</v>
          </cell>
          <cell r="CZ335" t="str">
            <v>0</v>
          </cell>
          <cell r="DA335" t="str">
            <v>0</v>
          </cell>
          <cell r="DB335" t="str">
            <v>0</v>
          </cell>
          <cell r="DC335" t="str">
            <v>0</v>
          </cell>
          <cell r="DD335" t="str">
            <v>0</v>
          </cell>
          <cell r="DE335" t="str">
            <v>0</v>
          </cell>
          <cell r="DF335" t="str">
            <v>0</v>
          </cell>
          <cell r="DG335" t="str">
            <v>0</v>
          </cell>
          <cell r="DH335" t="str">
            <v>0</v>
          </cell>
          <cell r="DI335" t="str">
            <v>0</v>
          </cell>
          <cell r="DJ335" t="str">
            <v>0</v>
          </cell>
          <cell r="DK335" t="str">
            <v>0</v>
          </cell>
          <cell r="DL335" t="str">
            <v>0</v>
          </cell>
          <cell r="DM335" t="str">
            <v>0</v>
          </cell>
          <cell r="DN335" t="str">
            <v>0</v>
          </cell>
          <cell r="DO335" t="str">
            <v>0</v>
          </cell>
          <cell r="DP335" t="str">
            <v>0</v>
          </cell>
        </row>
        <row r="336">
          <cell r="C336"/>
          <cell r="D336" t="str">
            <v>0</v>
          </cell>
          <cell r="E336" t="str">
            <v>0</v>
          </cell>
          <cell r="F336" t="str">
            <v>0</v>
          </cell>
          <cell r="G336" t="str">
            <v>0</v>
          </cell>
          <cell r="H336" t="str">
            <v>0</v>
          </cell>
          <cell r="I336" t="str">
            <v>0</v>
          </cell>
          <cell r="J336" t="str">
            <v>0</v>
          </cell>
          <cell r="K336" t="str">
            <v>0</v>
          </cell>
          <cell r="L336" t="str">
            <v>0</v>
          </cell>
          <cell r="M336" t="str">
            <v>0</v>
          </cell>
          <cell r="N336" t="str">
            <v>0</v>
          </cell>
          <cell r="O336" t="str">
            <v>0</v>
          </cell>
          <cell r="P336" t="str">
            <v>0</v>
          </cell>
          <cell r="Q336" t="str">
            <v>0</v>
          </cell>
          <cell r="R336" t="str">
            <v>0</v>
          </cell>
          <cell r="S336" t="str">
            <v>0</v>
          </cell>
          <cell r="T336" t="str">
            <v>0</v>
          </cell>
          <cell r="U336" t="str">
            <v>0</v>
          </cell>
          <cell r="V336" t="str">
            <v>0</v>
          </cell>
          <cell r="W336" t="str">
            <v>0</v>
          </cell>
          <cell r="X336" t="str">
            <v>0</v>
          </cell>
          <cell r="Y336" t="str">
            <v>0</v>
          </cell>
          <cell r="Z336" t="str">
            <v>0</v>
          </cell>
          <cell r="AA336" t="str">
            <v>0</v>
          </cell>
          <cell r="AB336" t="str">
            <v>0</v>
          </cell>
          <cell r="AC336" t="str">
            <v>0</v>
          </cell>
          <cell r="AD336" t="str">
            <v>0</v>
          </cell>
          <cell r="AE336" t="str">
            <v>0</v>
          </cell>
          <cell r="AF336" t="str">
            <v>0</v>
          </cell>
          <cell r="AG336" t="str">
            <v>0</v>
          </cell>
          <cell r="AH336" t="str">
            <v>0</v>
          </cell>
          <cell r="AI336" t="str">
            <v>0</v>
          </cell>
          <cell r="AJ336" t="str">
            <v>0</v>
          </cell>
          <cell r="AK336" t="str">
            <v>0</v>
          </cell>
          <cell r="AL336" t="str">
            <v>0</v>
          </cell>
          <cell r="AM336" t="str">
            <v>0</v>
          </cell>
          <cell r="AN336" t="str">
            <v>0</v>
          </cell>
          <cell r="AO336" t="str">
            <v>0</v>
          </cell>
          <cell r="AP336" t="str">
            <v>0</v>
          </cell>
          <cell r="AQ336" t="str">
            <v>0</v>
          </cell>
          <cell r="AR336" t="str">
            <v>0</v>
          </cell>
          <cell r="AS336" t="str">
            <v>0</v>
          </cell>
          <cell r="AT336" t="str">
            <v>0</v>
          </cell>
          <cell r="AU336" t="str">
            <v>0</v>
          </cell>
          <cell r="AV336" t="str">
            <v>0</v>
          </cell>
          <cell r="AW336" t="str">
            <v>0</v>
          </cell>
          <cell r="AX336" t="str">
            <v>0</v>
          </cell>
          <cell r="AY336" t="str">
            <v>0</v>
          </cell>
          <cell r="AZ336" t="str">
            <v>0</v>
          </cell>
          <cell r="BA336" t="str">
            <v>0</v>
          </cell>
          <cell r="BB336" t="str">
            <v>0</v>
          </cell>
          <cell r="BC336" t="str">
            <v>0</v>
          </cell>
          <cell r="BD336" t="str">
            <v>0</v>
          </cell>
          <cell r="BE336" t="str">
            <v>0</v>
          </cell>
          <cell r="BF336" t="str">
            <v>0</v>
          </cell>
          <cell r="BG336" t="str">
            <v>0</v>
          </cell>
          <cell r="BH336" t="str">
            <v>0</v>
          </cell>
          <cell r="BI336" t="str">
            <v>0</v>
          </cell>
          <cell r="BJ336" t="str">
            <v>0</v>
          </cell>
          <cell r="BK336" t="str">
            <v>0</v>
          </cell>
          <cell r="BL336" t="str">
            <v>0</v>
          </cell>
          <cell r="BM336" t="str">
            <v>0</v>
          </cell>
          <cell r="BN336" t="str">
            <v>0</v>
          </cell>
          <cell r="BO336" t="str">
            <v>0</v>
          </cell>
          <cell r="BP336" t="str">
            <v>0</v>
          </cell>
          <cell r="BQ336" t="str">
            <v>0</v>
          </cell>
          <cell r="BR336" t="str">
            <v>0</v>
          </cell>
          <cell r="BS336" t="str">
            <v>0</v>
          </cell>
          <cell r="BT336" t="str">
            <v>0</v>
          </cell>
          <cell r="BU336" t="str">
            <v>0</v>
          </cell>
          <cell r="BV336" t="str">
            <v>0</v>
          </cell>
          <cell r="BW336" t="str">
            <v>0</v>
          </cell>
          <cell r="BX336" t="str">
            <v>0</v>
          </cell>
          <cell r="BY336" t="str">
            <v>0</v>
          </cell>
          <cell r="BZ336" t="str">
            <v>0</v>
          </cell>
          <cell r="CA336" t="str">
            <v>0</v>
          </cell>
          <cell r="CB336" t="str">
            <v>0</v>
          </cell>
          <cell r="CC336" t="str">
            <v>0</v>
          </cell>
          <cell r="CD336" t="str">
            <v>0</v>
          </cell>
          <cell r="CE336" t="str">
            <v>0</v>
          </cell>
          <cell r="CF336" t="str">
            <v>0</v>
          </cell>
          <cell r="CG336" t="str">
            <v>0</v>
          </cell>
          <cell r="CH336" t="str">
            <v>0</v>
          </cell>
          <cell r="CI336" t="str">
            <v>0</v>
          </cell>
          <cell r="CJ336" t="str">
            <v>0</v>
          </cell>
          <cell r="CK336" t="str">
            <v>0</v>
          </cell>
          <cell r="CL336" t="str">
            <v>0</v>
          </cell>
          <cell r="CM336" t="str">
            <v>0</v>
          </cell>
          <cell r="CN336" t="str">
            <v>0</v>
          </cell>
          <cell r="CO336" t="str">
            <v>0</v>
          </cell>
          <cell r="CP336" t="str">
            <v>0</v>
          </cell>
          <cell r="CQ336" t="str">
            <v>0</v>
          </cell>
          <cell r="CR336" t="str">
            <v>0</v>
          </cell>
          <cell r="CS336" t="str">
            <v>0</v>
          </cell>
          <cell r="CT336" t="str">
            <v>0</v>
          </cell>
          <cell r="CU336" t="str">
            <v>0</v>
          </cell>
          <cell r="CV336" t="str">
            <v>0</v>
          </cell>
          <cell r="CW336" t="str">
            <v>0</v>
          </cell>
          <cell r="CX336" t="str">
            <v>0</v>
          </cell>
          <cell r="CY336" t="str">
            <v>0</v>
          </cell>
          <cell r="CZ336" t="str">
            <v>0</v>
          </cell>
          <cell r="DA336" t="str">
            <v>0</v>
          </cell>
          <cell r="DB336" t="str">
            <v>0</v>
          </cell>
          <cell r="DC336" t="str">
            <v>0</v>
          </cell>
          <cell r="DD336" t="str">
            <v>0</v>
          </cell>
          <cell r="DE336" t="str">
            <v>0</v>
          </cell>
          <cell r="DF336" t="str">
            <v>0</v>
          </cell>
          <cell r="DG336" t="str">
            <v>0</v>
          </cell>
          <cell r="DH336" t="str">
            <v>0</v>
          </cell>
          <cell r="DI336" t="str">
            <v>0</v>
          </cell>
          <cell r="DJ336" t="str">
            <v>0</v>
          </cell>
          <cell r="DK336" t="str">
            <v>0</v>
          </cell>
          <cell r="DL336" t="str">
            <v>0</v>
          </cell>
          <cell r="DM336" t="str">
            <v>0</v>
          </cell>
          <cell r="DN336" t="str">
            <v>0</v>
          </cell>
          <cell r="DO336" t="str">
            <v>0</v>
          </cell>
          <cell r="DP336" t="str">
            <v>0</v>
          </cell>
        </row>
        <row r="337">
          <cell r="C337"/>
          <cell r="D337" t="str">
            <v>0</v>
          </cell>
          <cell r="E337" t="str">
            <v>0</v>
          </cell>
          <cell r="F337" t="str">
            <v>0</v>
          </cell>
          <cell r="G337" t="str">
            <v>0</v>
          </cell>
          <cell r="H337" t="str">
            <v>0</v>
          </cell>
          <cell r="I337" t="str">
            <v>0</v>
          </cell>
          <cell r="J337" t="str">
            <v>0</v>
          </cell>
          <cell r="K337" t="str">
            <v>0</v>
          </cell>
          <cell r="L337" t="str">
            <v>0</v>
          </cell>
          <cell r="M337" t="str">
            <v>0</v>
          </cell>
          <cell r="N337" t="str">
            <v>0</v>
          </cell>
          <cell r="O337" t="str">
            <v>0</v>
          </cell>
          <cell r="P337" t="str">
            <v>0</v>
          </cell>
          <cell r="Q337" t="str">
            <v>0</v>
          </cell>
          <cell r="R337" t="str">
            <v>0</v>
          </cell>
          <cell r="S337" t="str">
            <v>0</v>
          </cell>
          <cell r="T337" t="str">
            <v>0</v>
          </cell>
          <cell r="U337" t="str">
            <v>0</v>
          </cell>
          <cell r="V337" t="str">
            <v>0</v>
          </cell>
          <cell r="W337" t="str">
            <v>0</v>
          </cell>
          <cell r="X337" t="str">
            <v>0</v>
          </cell>
          <cell r="Y337" t="str">
            <v>0</v>
          </cell>
          <cell r="Z337" t="str">
            <v>0</v>
          </cell>
          <cell r="AA337" t="str">
            <v>0</v>
          </cell>
          <cell r="AB337" t="str">
            <v>0</v>
          </cell>
          <cell r="AC337" t="str">
            <v>0</v>
          </cell>
          <cell r="AD337" t="str">
            <v>0</v>
          </cell>
          <cell r="AE337" t="str">
            <v>0</v>
          </cell>
          <cell r="AF337" t="str">
            <v>0</v>
          </cell>
          <cell r="AG337" t="str">
            <v>0</v>
          </cell>
          <cell r="AH337" t="str">
            <v>0</v>
          </cell>
          <cell r="AI337" t="str">
            <v>0</v>
          </cell>
          <cell r="AJ337" t="str">
            <v>0</v>
          </cell>
          <cell r="AK337" t="str">
            <v>0</v>
          </cell>
          <cell r="AL337" t="str">
            <v>0</v>
          </cell>
          <cell r="AM337" t="str">
            <v>0</v>
          </cell>
          <cell r="AN337" t="str">
            <v>0</v>
          </cell>
          <cell r="AO337" t="str">
            <v>0</v>
          </cell>
          <cell r="AP337" t="str">
            <v>0</v>
          </cell>
          <cell r="AQ337" t="str">
            <v>0</v>
          </cell>
          <cell r="AR337" t="str">
            <v>0</v>
          </cell>
          <cell r="AS337" t="str">
            <v>0</v>
          </cell>
          <cell r="AT337" t="str">
            <v>0</v>
          </cell>
          <cell r="AU337" t="str">
            <v>0</v>
          </cell>
          <cell r="AV337" t="str">
            <v>0</v>
          </cell>
          <cell r="AW337" t="str">
            <v>0</v>
          </cell>
          <cell r="AX337" t="str">
            <v>0</v>
          </cell>
          <cell r="AY337" t="str">
            <v>0</v>
          </cell>
          <cell r="AZ337" t="str">
            <v>0</v>
          </cell>
          <cell r="BA337" t="str">
            <v>0</v>
          </cell>
          <cell r="BB337" t="str">
            <v>0</v>
          </cell>
          <cell r="BC337" t="str">
            <v>0</v>
          </cell>
          <cell r="BD337" t="str">
            <v>0</v>
          </cell>
          <cell r="BE337" t="str">
            <v>0</v>
          </cell>
          <cell r="BF337" t="str">
            <v>0</v>
          </cell>
          <cell r="BG337" t="str">
            <v>0</v>
          </cell>
          <cell r="BH337" t="str">
            <v>0</v>
          </cell>
          <cell r="BI337" t="str">
            <v>0</v>
          </cell>
          <cell r="BJ337" t="str">
            <v>0</v>
          </cell>
          <cell r="BK337" t="str">
            <v>0</v>
          </cell>
          <cell r="BL337" t="str">
            <v>0</v>
          </cell>
          <cell r="BM337" t="str">
            <v>0</v>
          </cell>
          <cell r="BN337" t="str">
            <v>0</v>
          </cell>
          <cell r="BO337" t="str">
            <v>0</v>
          </cell>
          <cell r="BP337" t="str">
            <v>0</v>
          </cell>
          <cell r="BQ337" t="str">
            <v>0</v>
          </cell>
          <cell r="BR337" t="str">
            <v>0</v>
          </cell>
          <cell r="BS337" t="str">
            <v>0</v>
          </cell>
          <cell r="BT337" t="str">
            <v>0</v>
          </cell>
          <cell r="BU337" t="str">
            <v>0</v>
          </cell>
          <cell r="BV337" t="str">
            <v>0</v>
          </cell>
          <cell r="BW337" t="str">
            <v>0</v>
          </cell>
          <cell r="BX337" t="str">
            <v>0</v>
          </cell>
          <cell r="BY337" t="str">
            <v>0</v>
          </cell>
          <cell r="BZ337" t="str">
            <v>0</v>
          </cell>
          <cell r="CA337" t="str">
            <v>0</v>
          </cell>
          <cell r="CB337" t="str">
            <v>0</v>
          </cell>
          <cell r="CC337" t="str">
            <v>0</v>
          </cell>
          <cell r="CD337" t="str">
            <v>0</v>
          </cell>
          <cell r="CE337" t="str">
            <v>0</v>
          </cell>
          <cell r="CF337" t="str">
            <v>0</v>
          </cell>
          <cell r="CG337" t="str">
            <v>0</v>
          </cell>
          <cell r="CH337" t="str">
            <v>0</v>
          </cell>
          <cell r="CI337" t="str">
            <v>0</v>
          </cell>
          <cell r="CJ337" t="str">
            <v>0</v>
          </cell>
          <cell r="CK337" t="str">
            <v>0</v>
          </cell>
          <cell r="CL337" t="str">
            <v>0</v>
          </cell>
          <cell r="CM337" t="str">
            <v>0</v>
          </cell>
          <cell r="CN337" t="str">
            <v>0</v>
          </cell>
          <cell r="CO337" t="str">
            <v>0</v>
          </cell>
          <cell r="CP337" t="str">
            <v>0</v>
          </cell>
          <cell r="CQ337" t="str">
            <v>0</v>
          </cell>
          <cell r="CR337" t="str">
            <v>0</v>
          </cell>
          <cell r="CS337" t="str">
            <v>0</v>
          </cell>
          <cell r="CT337" t="str">
            <v>0</v>
          </cell>
          <cell r="CU337" t="str">
            <v>0</v>
          </cell>
          <cell r="CV337" t="str">
            <v>0</v>
          </cell>
          <cell r="CW337" t="str">
            <v>0</v>
          </cell>
          <cell r="CX337" t="str">
            <v>0</v>
          </cell>
          <cell r="CY337" t="str">
            <v>0</v>
          </cell>
          <cell r="CZ337" t="str">
            <v>0</v>
          </cell>
          <cell r="DA337" t="str">
            <v>0</v>
          </cell>
          <cell r="DB337" t="str">
            <v>0</v>
          </cell>
          <cell r="DC337" t="str">
            <v>0</v>
          </cell>
          <cell r="DD337" t="str">
            <v>0</v>
          </cell>
          <cell r="DE337" t="str">
            <v>0</v>
          </cell>
          <cell r="DF337" t="str">
            <v>0</v>
          </cell>
          <cell r="DG337" t="str">
            <v>0</v>
          </cell>
          <cell r="DH337" t="str">
            <v>0</v>
          </cell>
          <cell r="DI337" t="str">
            <v>0</v>
          </cell>
          <cell r="DJ337" t="str">
            <v>0</v>
          </cell>
          <cell r="DK337" t="str">
            <v>0</v>
          </cell>
          <cell r="DL337" t="str">
            <v>0</v>
          </cell>
          <cell r="DM337" t="str">
            <v>0</v>
          </cell>
          <cell r="DN337" t="str">
            <v>0</v>
          </cell>
          <cell r="DO337" t="str">
            <v>0</v>
          </cell>
          <cell r="DP337" t="str">
            <v>0</v>
          </cell>
        </row>
        <row r="338">
          <cell r="C338"/>
          <cell r="D338" t="str">
            <v>0</v>
          </cell>
          <cell r="E338" t="str">
            <v>0</v>
          </cell>
          <cell r="F338" t="str">
            <v>0</v>
          </cell>
          <cell r="G338" t="str">
            <v>0</v>
          </cell>
          <cell r="H338" t="str">
            <v>0</v>
          </cell>
          <cell r="I338" t="str">
            <v>0</v>
          </cell>
          <cell r="J338" t="str">
            <v>0</v>
          </cell>
          <cell r="K338" t="str">
            <v>0</v>
          </cell>
          <cell r="L338" t="str">
            <v>0</v>
          </cell>
          <cell r="M338" t="str">
            <v>0</v>
          </cell>
          <cell r="N338" t="str">
            <v>0</v>
          </cell>
          <cell r="O338" t="str">
            <v>0</v>
          </cell>
          <cell r="P338" t="str">
            <v>0</v>
          </cell>
          <cell r="Q338" t="str">
            <v>0</v>
          </cell>
          <cell r="R338" t="str">
            <v>0</v>
          </cell>
          <cell r="S338" t="str">
            <v>0</v>
          </cell>
          <cell r="T338" t="str">
            <v>0</v>
          </cell>
          <cell r="U338" t="str">
            <v>0</v>
          </cell>
          <cell r="V338" t="str">
            <v>0</v>
          </cell>
          <cell r="W338" t="str">
            <v>0</v>
          </cell>
          <cell r="X338" t="str">
            <v>0</v>
          </cell>
          <cell r="Y338" t="str">
            <v>0</v>
          </cell>
          <cell r="Z338" t="str">
            <v>0</v>
          </cell>
          <cell r="AA338" t="str">
            <v>0</v>
          </cell>
          <cell r="AB338" t="str">
            <v>0</v>
          </cell>
          <cell r="AC338" t="str">
            <v>0</v>
          </cell>
          <cell r="AD338" t="str">
            <v>0</v>
          </cell>
          <cell r="AE338" t="str">
            <v>0</v>
          </cell>
          <cell r="AF338" t="str">
            <v>0</v>
          </cell>
          <cell r="AG338" t="str">
            <v>0</v>
          </cell>
          <cell r="AH338" t="str">
            <v>0</v>
          </cell>
          <cell r="AI338" t="str">
            <v>0</v>
          </cell>
          <cell r="AJ338" t="str">
            <v>0</v>
          </cell>
          <cell r="AK338" t="str">
            <v>0</v>
          </cell>
          <cell r="AL338" t="str">
            <v>0</v>
          </cell>
          <cell r="AM338" t="str">
            <v>0</v>
          </cell>
          <cell r="AN338" t="str">
            <v>0</v>
          </cell>
          <cell r="AO338" t="str">
            <v>0</v>
          </cell>
          <cell r="AP338" t="str">
            <v>0</v>
          </cell>
          <cell r="AQ338" t="str">
            <v>0</v>
          </cell>
          <cell r="AR338" t="str">
            <v>0</v>
          </cell>
          <cell r="AS338" t="str">
            <v>0</v>
          </cell>
          <cell r="AT338" t="str">
            <v>0</v>
          </cell>
          <cell r="AU338" t="str">
            <v>0</v>
          </cell>
          <cell r="AV338" t="str">
            <v>0</v>
          </cell>
          <cell r="AW338" t="str">
            <v>0</v>
          </cell>
          <cell r="AX338" t="str">
            <v>0</v>
          </cell>
          <cell r="AY338" t="str">
            <v>0</v>
          </cell>
          <cell r="AZ338" t="str">
            <v>0</v>
          </cell>
          <cell r="BA338" t="str">
            <v>0</v>
          </cell>
          <cell r="BB338" t="str">
            <v>0</v>
          </cell>
          <cell r="BC338" t="str">
            <v>0</v>
          </cell>
          <cell r="BD338" t="str">
            <v>0</v>
          </cell>
          <cell r="BE338" t="str">
            <v>0</v>
          </cell>
          <cell r="BF338" t="str">
            <v>0</v>
          </cell>
          <cell r="BG338" t="str">
            <v>0</v>
          </cell>
          <cell r="BH338" t="str">
            <v>0</v>
          </cell>
          <cell r="BI338" t="str">
            <v>0</v>
          </cell>
          <cell r="BJ338" t="str">
            <v>0</v>
          </cell>
          <cell r="BK338" t="str">
            <v>0</v>
          </cell>
          <cell r="BL338" t="str">
            <v>0</v>
          </cell>
          <cell r="BM338" t="str">
            <v>0</v>
          </cell>
          <cell r="BN338" t="str">
            <v>0</v>
          </cell>
          <cell r="BO338" t="str">
            <v>0</v>
          </cell>
          <cell r="BP338" t="str">
            <v>0</v>
          </cell>
          <cell r="BQ338" t="str">
            <v>0</v>
          </cell>
          <cell r="BR338" t="str">
            <v>0</v>
          </cell>
          <cell r="BS338" t="str">
            <v>0</v>
          </cell>
          <cell r="BT338" t="str">
            <v>0</v>
          </cell>
          <cell r="BU338" t="str">
            <v>0</v>
          </cell>
          <cell r="BV338" t="str">
            <v>0</v>
          </cell>
          <cell r="BW338" t="str">
            <v>0</v>
          </cell>
          <cell r="BX338" t="str">
            <v>0</v>
          </cell>
          <cell r="BY338" t="str">
            <v>0</v>
          </cell>
          <cell r="BZ338" t="str">
            <v>0</v>
          </cell>
          <cell r="CA338" t="str">
            <v>0</v>
          </cell>
          <cell r="CB338" t="str">
            <v>0</v>
          </cell>
          <cell r="CC338" t="str">
            <v>0</v>
          </cell>
          <cell r="CD338" t="str">
            <v>0</v>
          </cell>
          <cell r="CE338" t="str">
            <v>0</v>
          </cell>
          <cell r="CF338" t="str">
            <v>0</v>
          </cell>
          <cell r="CG338" t="str">
            <v>0</v>
          </cell>
          <cell r="CH338" t="str">
            <v>0</v>
          </cell>
          <cell r="CI338" t="str">
            <v>0</v>
          </cell>
          <cell r="CJ338" t="str">
            <v>0</v>
          </cell>
          <cell r="CK338" t="str">
            <v>0</v>
          </cell>
          <cell r="CL338" t="str">
            <v>0</v>
          </cell>
          <cell r="CM338" t="str">
            <v>0</v>
          </cell>
          <cell r="CN338" t="str">
            <v>0</v>
          </cell>
          <cell r="CO338" t="str">
            <v>0</v>
          </cell>
          <cell r="CP338" t="str">
            <v>0</v>
          </cell>
          <cell r="CQ338" t="str">
            <v>0</v>
          </cell>
          <cell r="CR338" t="str">
            <v>0</v>
          </cell>
          <cell r="CS338" t="str">
            <v>0</v>
          </cell>
          <cell r="CT338" t="str">
            <v>0</v>
          </cell>
          <cell r="CU338" t="str">
            <v>0</v>
          </cell>
          <cell r="CV338" t="str">
            <v>0</v>
          </cell>
          <cell r="CW338" t="str">
            <v>0</v>
          </cell>
          <cell r="CX338" t="str">
            <v>0</v>
          </cell>
          <cell r="CY338" t="str">
            <v>0</v>
          </cell>
          <cell r="CZ338" t="str">
            <v>0</v>
          </cell>
          <cell r="DA338" t="str">
            <v>0</v>
          </cell>
          <cell r="DB338" t="str">
            <v>0</v>
          </cell>
          <cell r="DC338" t="str">
            <v>0</v>
          </cell>
          <cell r="DD338" t="str">
            <v>0</v>
          </cell>
          <cell r="DE338" t="str">
            <v>0</v>
          </cell>
          <cell r="DF338" t="str">
            <v>0</v>
          </cell>
          <cell r="DG338" t="str">
            <v>0</v>
          </cell>
          <cell r="DH338" t="str">
            <v>0</v>
          </cell>
          <cell r="DI338" t="str">
            <v>0</v>
          </cell>
          <cell r="DJ338" t="str">
            <v>0</v>
          </cell>
          <cell r="DK338" t="str">
            <v>0</v>
          </cell>
          <cell r="DL338" t="str">
            <v>0</v>
          </cell>
          <cell r="DM338" t="str">
            <v>0</v>
          </cell>
          <cell r="DN338" t="str">
            <v>0</v>
          </cell>
          <cell r="DO338" t="str">
            <v>0</v>
          </cell>
          <cell r="DP338" t="str">
            <v>0</v>
          </cell>
        </row>
        <row r="339">
          <cell r="C339"/>
          <cell r="D339" t="str">
            <v>0</v>
          </cell>
          <cell r="E339" t="str">
            <v>0</v>
          </cell>
          <cell r="F339" t="str">
            <v>0</v>
          </cell>
          <cell r="G339" t="str">
            <v>0</v>
          </cell>
          <cell r="H339" t="str">
            <v>0</v>
          </cell>
          <cell r="I339" t="str">
            <v>0</v>
          </cell>
          <cell r="J339" t="str">
            <v>0</v>
          </cell>
          <cell r="K339" t="str">
            <v>0</v>
          </cell>
          <cell r="L339" t="str">
            <v>0</v>
          </cell>
          <cell r="M339" t="str">
            <v>0</v>
          </cell>
          <cell r="N339" t="str">
            <v>0</v>
          </cell>
          <cell r="O339" t="str">
            <v>0</v>
          </cell>
          <cell r="P339" t="str">
            <v>0</v>
          </cell>
          <cell r="Q339" t="str">
            <v>0</v>
          </cell>
          <cell r="R339" t="str">
            <v>0</v>
          </cell>
          <cell r="S339" t="str">
            <v>0</v>
          </cell>
          <cell r="T339" t="str">
            <v>0</v>
          </cell>
          <cell r="U339" t="str">
            <v>0</v>
          </cell>
          <cell r="V339" t="str">
            <v>0</v>
          </cell>
          <cell r="W339" t="str">
            <v>0</v>
          </cell>
          <cell r="X339" t="str">
            <v>0</v>
          </cell>
          <cell r="Y339" t="str">
            <v>0</v>
          </cell>
          <cell r="Z339" t="str">
            <v>0</v>
          </cell>
          <cell r="AA339" t="str">
            <v>0</v>
          </cell>
          <cell r="AB339" t="str">
            <v>0</v>
          </cell>
          <cell r="AC339" t="str">
            <v>0</v>
          </cell>
          <cell r="AD339" t="str">
            <v>0</v>
          </cell>
          <cell r="AE339" t="str">
            <v>0</v>
          </cell>
          <cell r="AF339" t="str">
            <v>0</v>
          </cell>
          <cell r="AG339" t="str">
            <v>0</v>
          </cell>
          <cell r="AH339" t="str">
            <v>0</v>
          </cell>
          <cell r="AI339" t="str">
            <v>0</v>
          </cell>
          <cell r="AJ339" t="str">
            <v>0</v>
          </cell>
          <cell r="AK339" t="str">
            <v>0</v>
          </cell>
          <cell r="AL339" t="str">
            <v>0</v>
          </cell>
          <cell r="AM339" t="str">
            <v>0</v>
          </cell>
          <cell r="AN339" t="str">
            <v>0</v>
          </cell>
          <cell r="AO339" t="str">
            <v>0</v>
          </cell>
          <cell r="AP339" t="str">
            <v>0</v>
          </cell>
          <cell r="AQ339" t="str">
            <v>0</v>
          </cell>
          <cell r="AR339" t="str">
            <v>0</v>
          </cell>
          <cell r="AS339" t="str">
            <v>0</v>
          </cell>
          <cell r="AT339" t="str">
            <v>0</v>
          </cell>
          <cell r="AU339" t="str">
            <v>0</v>
          </cell>
          <cell r="AV339" t="str">
            <v>0</v>
          </cell>
          <cell r="AW339" t="str">
            <v>0</v>
          </cell>
          <cell r="AX339" t="str">
            <v>0</v>
          </cell>
          <cell r="AY339" t="str">
            <v>0</v>
          </cell>
          <cell r="AZ339" t="str">
            <v>0</v>
          </cell>
          <cell r="BA339" t="str">
            <v>0</v>
          </cell>
          <cell r="BB339" t="str">
            <v>0</v>
          </cell>
          <cell r="BC339" t="str">
            <v>0</v>
          </cell>
          <cell r="BD339" t="str">
            <v>0</v>
          </cell>
          <cell r="BE339" t="str">
            <v>0</v>
          </cell>
          <cell r="BF339" t="str">
            <v>0</v>
          </cell>
          <cell r="BG339" t="str">
            <v>0</v>
          </cell>
          <cell r="BH339" t="str">
            <v>0</v>
          </cell>
          <cell r="BI339" t="str">
            <v>0</v>
          </cell>
          <cell r="BJ339" t="str">
            <v>0</v>
          </cell>
          <cell r="BK339" t="str">
            <v>0</v>
          </cell>
          <cell r="BL339" t="str">
            <v>0</v>
          </cell>
          <cell r="BM339" t="str">
            <v>0</v>
          </cell>
          <cell r="BN339" t="str">
            <v>0</v>
          </cell>
          <cell r="BO339" t="str">
            <v>0</v>
          </cell>
          <cell r="BP339" t="str">
            <v>0</v>
          </cell>
          <cell r="BQ339" t="str">
            <v>0</v>
          </cell>
          <cell r="BR339" t="str">
            <v>0</v>
          </cell>
          <cell r="BS339" t="str">
            <v>0</v>
          </cell>
          <cell r="BT339" t="str">
            <v>0</v>
          </cell>
          <cell r="BU339" t="str">
            <v>0</v>
          </cell>
          <cell r="BV339" t="str">
            <v>0</v>
          </cell>
          <cell r="BW339" t="str">
            <v>0</v>
          </cell>
          <cell r="BX339" t="str">
            <v>0</v>
          </cell>
          <cell r="BY339" t="str">
            <v>0</v>
          </cell>
          <cell r="BZ339" t="str">
            <v>0</v>
          </cell>
          <cell r="CA339" t="str">
            <v>0</v>
          </cell>
          <cell r="CB339" t="str">
            <v>0</v>
          </cell>
          <cell r="CC339" t="str">
            <v>0</v>
          </cell>
          <cell r="CD339" t="str">
            <v>0</v>
          </cell>
          <cell r="CE339" t="str">
            <v>0</v>
          </cell>
          <cell r="CF339" t="str">
            <v>0</v>
          </cell>
          <cell r="CG339" t="str">
            <v>0</v>
          </cell>
          <cell r="CH339" t="str">
            <v>0</v>
          </cell>
          <cell r="CI339" t="str">
            <v>0</v>
          </cell>
          <cell r="CJ339" t="str">
            <v>0</v>
          </cell>
          <cell r="CK339" t="str">
            <v>0</v>
          </cell>
          <cell r="CL339" t="str">
            <v>0</v>
          </cell>
          <cell r="CM339" t="str">
            <v>0</v>
          </cell>
          <cell r="CN339" t="str">
            <v>0</v>
          </cell>
          <cell r="CO339" t="str">
            <v>0</v>
          </cell>
          <cell r="CP339" t="str">
            <v>0</v>
          </cell>
          <cell r="CQ339" t="str">
            <v>0</v>
          </cell>
          <cell r="CR339" t="str">
            <v>0</v>
          </cell>
          <cell r="CS339" t="str">
            <v>0</v>
          </cell>
          <cell r="CT339" t="str">
            <v>0</v>
          </cell>
          <cell r="CU339" t="str">
            <v>0</v>
          </cell>
          <cell r="CV339" t="str">
            <v>0</v>
          </cell>
          <cell r="CW339" t="str">
            <v>0</v>
          </cell>
          <cell r="CX339" t="str">
            <v>0</v>
          </cell>
          <cell r="CY339" t="str">
            <v>0</v>
          </cell>
          <cell r="CZ339" t="str">
            <v>0</v>
          </cell>
          <cell r="DA339" t="str">
            <v>0</v>
          </cell>
          <cell r="DB339" t="str">
            <v>0</v>
          </cell>
          <cell r="DC339" t="str">
            <v>0</v>
          </cell>
          <cell r="DD339" t="str">
            <v>0</v>
          </cell>
          <cell r="DE339" t="str">
            <v>0</v>
          </cell>
          <cell r="DF339" t="str">
            <v>0</v>
          </cell>
          <cell r="DG339" t="str">
            <v>0</v>
          </cell>
          <cell r="DH339" t="str">
            <v>0</v>
          </cell>
          <cell r="DI339" t="str">
            <v>0</v>
          </cell>
          <cell r="DJ339" t="str">
            <v>0</v>
          </cell>
          <cell r="DK339" t="str">
            <v>0</v>
          </cell>
          <cell r="DL339" t="str">
            <v>0</v>
          </cell>
          <cell r="DM339" t="str">
            <v>0</v>
          </cell>
          <cell r="DN339" t="str">
            <v>0</v>
          </cell>
          <cell r="DO339" t="str">
            <v>0</v>
          </cell>
          <cell r="DP339" t="str">
            <v>0</v>
          </cell>
        </row>
        <row r="340">
          <cell r="C340"/>
          <cell r="D340" t="str">
            <v>0</v>
          </cell>
          <cell r="E340" t="str">
            <v>0</v>
          </cell>
          <cell r="F340" t="str">
            <v>0</v>
          </cell>
          <cell r="G340" t="str">
            <v>0</v>
          </cell>
          <cell r="H340" t="str">
            <v>0</v>
          </cell>
          <cell r="I340" t="str">
            <v>0</v>
          </cell>
          <cell r="J340" t="str">
            <v>0</v>
          </cell>
          <cell r="K340" t="str">
            <v>0</v>
          </cell>
          <cell r="L340" t="str">
            <v>0</v>
          </cell>
          <cell r="M340" t="str">
            <v>0</v>
          </cell>
          <cell r="N340" t="str">
            <v>0</v>
          </cell>
          <cell r="O340" t="str">
            <v>0</v>
          </cell>
          <cell r="P340" t="str">
            <v>0</v>
          </cell>
          <cell r="Q340" t="str">
            <v>0</v>
          </cell>
          <cell r="R340" t="str">
            <v>0</v>
          </cell>
          <cell r="S340" t="str">
            <v>0</v>
          </cell>
          <cell r="T340" t="str">
            <v>0</v>
          </cell>
          <cell r="U340" t="str">
            <v>0</v>
          </cell>
          <cell r="V340" t="str">
            <v>0</v>
          </cell>
          <cell r="W340" t="str">
            <v>0</v>
          </cell>
          <cell r="X340" t="str">
            <v>0</v>
          </cell>
          <cell r="Y340" t="str">
            <v>0</v>
          </cell>
          <cell r="Z340" t="str">
            <v>0</v>
          </cell>
          <cell r="AA340" t="str">
            <v>0</v>
          </cell>
          <cell r="AB340" t="str">
            <v>0</v>
          </cell>
          <cell r="AC340" t="str">
            <v>0</v>
          </cell>
          <cell r="AD340" t="str">
            <v>0</v>
          </cell>
          <cell r="AE340" t="str">
            <v>0</v>
          </cell>
          <cell r="AF340" t="str">
            <v>0</v>
          </cell>
          <cell r="AG340" t="str">
            <v>0</v>
          </cell>
          <cell r="AH340" t="str">
            <v>0</v>
          </cell>
          <cell r="AI340" t="str">
            <v>0</v>
          </cell>
          <cell r="AJ340" t="str">
            <v>0</v>
          </cell>
          <cell r="AK340" t="str">
            <v>0</v>
          </cell>
          <cell r="AL340" t="str">
            <v>0</v>
          </cell>
          <cell r="AM340" t="str">
            <v>0</v>
          </cell>
          <cell r="AN340" t="str">
            <v>0</v>
          </cell>
          <cell r="AO340" t="str">
            <v>0</v>
          </cell>
          <cell r="AP340" t="str">
            <v>0</v>
          </cell>
          <cell r="AQ340" t="str">
            <v>0</v>
          </cell>
          <cell r="AR340" t="str">
            <v>0</v>
          </cell>
          <cell r="AS340" t="str">
            <v>0</v>
          </cell>
          <cell r="AT340" t="str">
            <v>0</v>
          </cell>
          <cell r="AU340" t="str">
            <v>0</v>
          </cell>
          <cell r="AV340" t="str">
            <v>0</v>
          </cell>
          <cell r="AW340" t="str">
            <v>0</v>
          </cell>
          <cell r="AX340" t="str">
            <v>0</v>
          </cell>
          <cell r="AY340" t="str">
            <v>0</v>
          </cell>
          <cell r="AZ340" t="str">
            <v>0</v>
          </cell>
          <cell r="BA340" t="str">
            <v>0</v>
          </cell>
          <cell r="BB340" t="str">
            <v>0</v>
          </cell>
          <cell r="BC340" t="str">
            <v>0</v>
          </cell>
          <cell r="BD340" t="str">
            <v>0</v>
          </cell>
          <cell r="BE340" t="str">
            <v>0</v>
          </cell>
          <cell r="BF340" t="str">
            <v>0</v>
          </cell>
          <cell r="BG340" t="str">
            <v>0</v>
          </cell>
          <cell r="BH340" t="str">
            <v>0</v>
          </cell>
          <cell r="BI340" t="str">
            <v>0</v>
          </cell>
          <cell r="BJ340" t="str">
            <v>0</v>
          </cell>
          <cell r="BK340" t="str">
            <v>0</v>
          </cell>
          <cell r="BL340" t="str">
            <v>0</v>
          </cell>
          <cell r="BM340" t="str">
            <v>0</v>
          </cell>
          <cell r="BN340" t="str">
            <v>0</v>
          </cell>
          <cell r="BO340" t="str">
            <v>0</v>
          </cell>
          <cell r="BP340" t="str">
            <v>0</v>
          </cell>
          <cell r="BQ340" t="str">
            <v>0</v>
          </cell>
          <cell r="BR340" t="str">
            <v>0</v>
          </cell>
          <cell r="BS340" t="str">
            <v>0</v>
          </cell>
          <cell r="BT340" t="str">
            <v>0</v>
          </cell>
          <cell r="BU340" t="str">
            <v>0</v>
          </cell>
          <cell r="BV340" t="str">
            <v>0</v>
          </cell>
          <cell r="BW340" t="str">
            <v>0</v>
          </cell>
          <cell r="BX340" t="str">
            <v>0</v>
          </cell>
          <cell r="BY340" t="str">
            <v>0</v>
          </cell>
          <cell r="BZ340" t="str">
            <v>0</v>
          </cell>
          <cell r="CA340" t="str">
            <v>0</v>
          </cell>
          <cell r="CB340" t="str">
            <v>0</v>
          </cell>
          <cell r="CC340" t="str">
            <v>0</v>
          </cell>
          <cell r="CD340" t="str">
            <v>0</v>
          </cell>
          <cell r="CE340" t="str">
            <v>0</v>
          </cell>
          <cell r="CF340" t="str">
            <v>0</v>
          </cell>
          <cell r="CG340" t="str">
            <v>0</v>
          </cell>
          <cell r="CH340" t="str">
            <v>0</v>
          </cell>
          <cell r="CI340" t="str">
            <v>0</v>
          </cell>
          <cell r="CJ340" t="str">
            <v>0</v>
          </cell>
          <cell r="CK340" t="str">
            <v>0</v>
          </cell>
          <cell r="CL340" t="str">
            <v>0</v>
          </cell>
          <cell r="CM340" t="str">
            <v>0</v>
          </cell>
          <cell r="CN340" t="str">
            <v>0</v>
          </cell>
          <cell r="CO340" t="str">
            <v>0</v>
          </cell>
          <cell r="CP340" t="str">
            <v>0</v>
          </cell>
          <cell r="CQ340" t="str">
            <v>0</v>
          </cell>
          <cell r="CR340" t="str">
            <v>0</v>
          </cell>
          <cell r="CS340" t="str">
            <v>0</v>
          </cell>
          <cell r="CT340" t="str">
            <v>0</v>
          </cell>
          <cell r="CU340" t="str">
            <v>0</v>
          </cell>
          <cell r="CV340" t="str">
            <v>0</v>
          </cell>
          <cell r="CW340" t="str">
            <v>0</v>
          </cell>
          <cell r="CX340" t="str">
            <v>0</v>
          </cell>
          <cell r="CY340" t="str">
            <v>0</v>
          </cell>
          <cell r="CZ340" t="str">
            <v>0</v>
          </cell>
          <cell r="DA340" t="str">
            <v>0</v>
          </cell>
          <cell r="DB340" t="str">
            <v>0</v>
          </cell>
          <cell r="DC340" t="str">
            <v>0</v>
          </cell>
          <cell r="DD340" t="str">
            <v>0</v>
          </cell>
          <cell r="DE340" t="str">
            <v>0</v>
          </cell>
          <cell r="DF340" t="str">
            <v>0</v>
          </cell>
          <cell r="DG340" t="str">
            <v>0</v>
          </cell>
          <cell r="DH340" t="str">
            <v>0</v>
          </cell>
          <cell r="DI340" t="str">
            <v>0</v>
          </cell>
          <cell r="DJ340" t="str">
            <v>0</v>
          </cell>
          <cell r="DK340" t="str">
            <v>0</v>
          </cell>
          <cell r="DL340" t="str">
            <v>0</v>
          </cell>
          <cell r="DM340" t="str">
            <v>0</v>
          </cell>
          <cell r="DN340" t="str">
            <v>0</v>
          </cell>
          <cell r="DO340" t="str">
            <v>0</v>
          </cell>
          <cell r="DP340" t="str">
            <v>0</v>
          </cell>
        </row>
        <row r="341">
          <cell r="C341"/>
          <cell r="D341" t="str">
            <v>0</v>
          </cell>
          <cell r="E341" t="str">
            <v>0</v>
          </cell>
          <cell r="F341" t="str">
            <v>0</v>
          </cell>
          <cell r="G341" t="str">
            <v>0</v>
          </cell>
          <cell r="H341" t="str">
            <v>0</v>
          </cell>
          <cell r="I341" t="str">
            <v>0</v>
          </cell>
          <cell r="J341" t="str">
            <v>0</v>
          </cell>
          <cell r="K341" t="str">
            <v>0</v>
          </cell>
          <cell r="L341" t="str">
            <v>0</v>
          </cell>
          <cell r="M341" t="str">
            <v>0</v>
          </cell>
          <cell r="N341" t="str">
            <v>0</v>
          </cell>
          <cell r="O341" t="str">
            <v>0</v>
          </cell>
          <cell r="P341" t="str">
            <v>0</v>
          </cell>
          <cell r="Q341" t="str">
            <v>0</v>
          </cell>
          <cell r="R341" t="str">
            <v>0</v>
          </cell>
          <cell r="S341" t="str">
            <v>0</v>
          </cell>
          <cell r="T341" t="str">
            <v>0</v>
          </cell>
          <cell r="U341" t="str">
            <v>0</v>
          </cell>
          <cell r="V341" t="str">
            <v>0</v>
          </cell>
          <cell r="W341" t="str">
            <v>0</v>
          </cell>
          <cell r="X341" t="str">
            <v>0</v>
          </cell>
          <cell r="Y341" t="str">
            <v>0</v>
          </cell>
          <cell r="Z341" t="str">
            <v>0</v>
          </cell>
          <cell r="AA341" t="str">
            <v>0</v>
          </cell>
          <cell r="AB341" t="str">
            <v>0</v>
          </cell>
          <cell r="AC341" t="str">
            <v>0</v>
          </cell>
          <cell r="AD341" t="str">
            <v>0</v>
          </cell>
          <cell r="AE341" t="str">
            <v>0</v>
          </cell>
          <cell r="AF341" t="str">
            <v>0</v>
          </cell>
          <cell r="AG341" t="str">
            <v>0</v>
          </cell>
          <cell r="AH341" t="str">
            <v>0</v>
          </cell>
          <cell r="AI341" t="str">
            <v>0</v>
          </cell>
          <cell r="AJ341" t="str">
            <v>0</v>
          </cell>
          <cell r="AK341" t="str">
            <v>0</v>
          </cell>
          <cell r="AL341" t="str">
            <v>0</v>
          </cell>
          <cell r="AM341" t="str">
            <v>0</v>
          </cell>
          <cell r="AN341" t="str">
            <v>0</v>
          </cell>
          <cell r="AO341" t="str">
            <v>0</v>
          </cell>
          <cell r="AP341" t="str">
            <v>0</v>
          </cell>
          <cell r="AQ341" t="str">
            <v>0</v>
          </cell>
          <cell r="AR341" t="str">
            <v>0</v>
          </cell>
          <cell r="AS341" t="str">
            <v>0</v>
          </cell>
          <cell r="AT341" t="str">
            <v>0</v>
          </cell>
          <cell r="AU341" t="str">
            <v>0</v>
          </cell>
          <cell r="AV341" t="str">
            <v>0</v>
          </cell>
          <cell r="AW341" t="str">
            <v>0</v>
          </cell>
          <cell r="AX341" t="str">
            <v>0</v>
          </cell>
          <cell r="AY341" t="str">
            <v>0</v>
          </cell>
          <cell r="AZ341" t="str">
            <v>0</v>
          </cell>
          <cell r="BA341" t="str">
            <v>0</v>
          </cell>
          <cell r="BB341" t="str">
            <v>0</v>
          </cell>
          <cell r="BC341" t="str">
            <v>0</v>
          </cell>
          <cell r="BD341" t="str">
            <v>0</v>
          </cell>
          <cell r="BE341" t="str">
            <v>0</v>
          </cell>
          <cell r="BF341" t="str">
            <v>0</v>
          </cell>
          <cell r="BG341" t="str">
            <v>0</v>
          </cell>
          <cell r="BH341" t="str">
            <v>0</v>
          </cell>
          <cell r="BI341" t="str">
            <v>0</v>
          </cell>
          <cell r="BJ341" t="str">
            <v>0</v>
          </cell>
          <cell r="BK341" t="str">
            <v>0</v>
          </cell>
          <cell r="BL341" t="str">
            <v>0</v>
          </cell>
          <cell r="BM341" t="str">
            <v>0</v>
          </cell>
          <cell r="BN341" t="str">
            <v>0</v>
          </cell>
          <cell r="BO341" t="str">
            <v>0</v>
          </cell>
          <cell r="BP341" t="str">
            <v>0</v>
          </cell>
          <cell r="BQ341" t="str">
            <v>0</v>
          </cell>
          <cell r="BR341" t="str">
            <v>0</v>
          </cell>
          <cell r="BS341" t="str">
            <v>0</v>
          </cell>
          <cell r="BT341" t="str">
            <v>0</v>
          </cell>
          <cell r="BU341" t="str">
            <v>0</v>
          </cell>
          <cell r="BV341" t="str">
            <v>0</v>
          </cell>
          <cell r="BW341" t="str">
            <v>0</v>
          </cell>
          <cell r="BX341" t="str">
            <v>0</v>
          </cell>
          <cell r="BY341" t="str">
            <v>0</v>
          </cell>
          <cell r="BZ341" t="str">
            <v>0</v>
          </cell>
          <cell r="CA341" t="str">
            <v>0</v>
          </cell>
          <cell r="CB341" t="str">
            <v>0</v>
          </cell>
          <cell r="CC341" t="str">
            <v>0</v>
          </cell>
          <cell r="CD341" t="str">
            <v>0</v>
          </cell>
          <cell r="CE341" t="str">
            <v>0</v>
          </cell>
          <cell r="CF341" t="str">
            <v>0</v>
          </cell>
          <cell r="CG341" t="str">
            <v>0</v>
          </cell>
          <cell r="CH341" t="str">
            <v>0</v>
          </cell>
          <cell r="CI341" t="str">
            <v>0</v>
          </cell>
          <cell r="CJ341" t="str">
            <v>0</v>
          </cell>
          <cell r="CK341" t="str">
            <v>0</v>
          </cell>
          <cell r="CL341" t="str">
            <v>0</v>
          </cell>
          <cell r="CM341" t="str">
            <v>0</v>
          </cell>
          <cell r="CN341" t="str">
            <v>0</v>
          </cell>
          <cell r="CO341" t="str">
            <v>0</v>
          </cell>
          <cell r="CP341" t="str">
            <v>0</v>
          </cell>
          <cell r="CQ341" t="str">
            <v>0</v>
          </cell>
          <cell r="CR341" t="str">
            <v>0</v>
          </cell>
          <cell r="CS341" t="str">
            <v>0</v>
          </cell>
          <cell r="CT341" t="str">
            <v>0</v>
          </cell>
          <cell r="CU341" t="str">
            <v>0</v>
          </cell>
          <cell r="CV341" t="str">
            <v>0</v>
          </cell>
          <cell r="CW341" t="str">
            <v>0</v>
          </cell>
          <cell r="CX341" t="str">
            <v>0</v>
          </cell>
          <cell r="CY341" t="str">
            <v>0</v>
          </cell>
          <cell r="CZ341" t="str">
            <v>0</v>
          </cell>
          <cell r="DA341" t="str">
            <v>0</v>
          </cell>
          <cell r="DB341" t="str">
            <v>0</v>
          </cell>
          <cell r="DC341" t="str">
            <v>0</v>
          </cell>
          <cell r="DD341" t="str">
            <v>0</v>
          </cell>
          <cell r="DE341" t="str">
            <v>0</v>
          </cell>
          <cell r="DF341" t="str">
            <v>0</v>
          </cell>
          <cell r="DG341" t="str">
            <v>0</v>
          </cell>
          <cell r="DH341" t="str">
            <v>0</v>
          </cell>
          <cell r="DI341" t="str">
            <v>0</v>
          </cell>
          <cell r="DJ341" t="str">
            <v>0</v>
          </cell>
          <cell r="DK341" t="str">
            <v>0</v>
          </cell>
          <cell r="DL341" t="str">
            <v>0</v>
          </cell>
          <cell r="DM341" t="str">
            <v>0</v>
          </cell>
          <cell r="DN341" t="str">
            <v>0</v>
          </cell>
          <cell r="DO341" t="str">
            <v>0</v>
          </cell>
          <cell r="DP341" t="str">
            <v>0</v>
          </cell>
        </row>
        <row r="342">
          <cell r="C342"/>
          <cell r="D342" t="str">
            <v>0</v>
          </cell>
          <cell r="E342" t="str">
            <v>0</v>
          </cell>
          <cell r="F342" t="str">
            <v>0</v>
          </cell>
          <cell r="G342" t="str">
            <v>0</v>
          </cell>
          <cell r="H342" t="str">
            <v>0</v>
          </cell>
          <cell r="I342" t="str">
            <v>0</v>
          </cell>
          <cell r="J342" t="str">
            <v>0</v>
          </cell>
          <cell r="K342" t="str">
            <v>0</v>
          </cell>
          <cell r="L342" t="str">
            <v>0</v>
          </cell>
          <cell r="M342" t="str">
            <v>0</v>
          </cell>
          <cell r="N342" t="str">
            <v>0</v>
          </cell>
          <cell r="O342" t="str">
            <v>0</v>
          </cell>
          <cell r="P342" t="str">
            <v>0</v>
          </cell>
          <cell r="Q342" t="str">
            <v>0</v>
          </cell>
          <cell r="R342" t="str">
            <v>0</v>
          </cell>
          <cell r="S342" t="str">
            <v>0</v>
          </cell>
          <cell r="T342" t="str">
            <v>0</v>
          </cell>
          <cell r="U342" t="str">
            <v>0</v>
          </cell>
          <cell r="V342" t="str">
            <v>0</v>
          </cell>
          <cell r="W342" t="str">
            <v>0</v>
          </cell>
          <cell r="X342" t="str">
            <v>0</v>
          </cell>
          <cell r="Y342" t="str">
            <v>0</v>
          </cell>
          <cell r="Z342" t="str">
            <v>0</v>
          </cell>
          <cell r="AA342" t="str">
            <v>0</v>
          </cell>
          <cell r="AB342" t="str">
            <v>0</v>
          </cell>
          <cell r="AC342" t="str">
            <v>0</v>
          </cell>
          <cell r="AD342" t="str">
            <v>0</v>
          </cell>
          <cell r="AE342" t="str">
            <v>0</v>
          </cell>
          <cell r="AF342" t="str">
            <v>0</v>
          </cell>
          <cell r="AG342" t="str">
            <v>0</v>
          </cell>
          <cell r="AH342" t="str">
            <v>0</v>
          </cell>
          <cell r="AI342" t="str">
            <v>0</v>
          </cell>
          <cell r="AJ342" t="str">
            <v>0</v>
          </cell>
          <cell r="AK342" t="str">
            <v>0</v>
          </cell>
          <cell r="AL342" t="str">
            <v>0</v>
          </cell>
          <cell r="AM342" t="str">
            <v>0</v>
          </cell>
          <cell r="AN342" t="str">
            <v>0</v>
          </cell>
          <cell r="AO342" t="str">
            <v>0</v>
          </cell>
          <cell r="AP342" t="str">
            <v>0</v>
          </cell>
          <cell r="AQ342" t="str">
            <v>0</v>
          </cell>
          <cell r="AR342" t="str">
            <v>0</v>
          </cell>
          <cell r="AS342" t="str">
            <v>0</v>
          </cell>
          <cell r="AT342" t="str">
            <v>0</v>
          </cell>
          <cell r="AU342" t="str">
            <v>0</v>
          </cell>
          <cell r="AV342" t="str">
            <v>0</v>
          </cell>
          <cell r="AW342" t="str">
            <v>0</v>
          </cell>
          <cell r="AX342" t="str">
            <v>0</v>
          </cell>
          <cell r="AY342" t="str">
            <v>0</v>
          </cell>
          <cell r="AZ342" t="str">
            <v>0</v>
          </cell>
          <cell r="BA342" t="str">
            <v>0</v>
          </cell>
          <cell r="BB342" t="str">
            <v>0</v>
          </cell>
          <cell r="BC342" t="str">
            <v>0</v>
          </cell>
          <cell r="BD342" t="str">
            <v>0</v>
          </cell>
          <cell r="BE342" t="str">
            <v>0</v>
          </cell>
          <cell r="BF342" t="str">
            <v>0</v>
          </cell>
          <cell r="BG342" t="str">
            <v>0</v>
          </cell>
          <cell r="BH342" t="str">
            <v>0</v>
          </cell>
          <cell r="BI342" t="str">
            <v>0</v>
          </cell>
          <cell r="BJ342" t="str">
            <v>0</v>
          </cell>
          <cell r="BK342" t="str">
            <v>0</v>
          </cell>
          <cell r="BL342" t="str">
            <v>0</v>
          </cell>
          <cell r="BM342" t="str">
            <v>0</v>
          </cell>
          <cell r="BN342" t="str">
            <v>0</v>
          </cell>
          <cell r="BO342" t="str">
            <v>0</v>
          </cell>
          <cell r="BP342" t="str">
            <v>0</v>
          </cell>
          <cell r="BQ342" t="str">
            <v>0</v>
          </cell>
          <cell r="BR342" t="str">
            <v>0</v>
          </cell>
          <cell r="BS342" t="str">
            <v>0</v>
          </cell>
          <cell r="BT342" t="str">
            <v>0</v>
          </cell>
          <cell r="BU342" t="str">
            <v>0</v>
          </cell>
          <cell r="BV342" t="str">
            <v>0</v>
          </cell>
          <cell r="BW342" t="str">
            <v>0</v>
          </cell>
          <cell r="BX342" t="str">
            <v>0</v>
          </cell>
          <cell r="BY342" t="str">
            <v>0</v>
          </cell>
          <cell r="BZ342" t="str">
            <v>0</v>
          </cell>
          <cell r="CA342" t="str">
            <v>0</v>
          </cell>
          <cell r="CB342" t="str">
            <v>0</v>
          </cell>
          <cell r="CC342" t="str">
            <v>0</v>
          </cell>
          <cell r="CD342" t="str">
            <v>0</v>
          </cell>
          <cell r="CE342" t="str">
            <v>0</v>
          </cell>
          <cell r="CF342" t="str">
            <v>0</v>
          </cell>
          <cell r="CG342" t="str">
            <v>0</v>
          </cell>
          <cell r="CH342" t="str">
            <v>0</v>
          </cell>
          <cell r="CI342" t="str">
            <v>0</v>
          </cell>
          <cell r="CJ342" t="str">
            <v>0</v>
          </cell>
          <cell r="CK342" t="str">
            <v>0</v>
          </cell>
          <cell r="CL342" t="str">
            <v>0</v>
          </cell>
          <cell r="CM342" t="str">
            <v>0</v>
          </cell>
          <cell r="CN342" t="str">
            <v>0</v>
          </cell>
          <cell r="CO342" t="str">
            <v>0</v>
          </cell>
          <cell r="CP342" t="str">
            <v>0</v>
          </cell>
          <cell r="CQ342" t="str">
            <v>0</v>
          </cell>
          <cell r="CR342" t="str">
            <v>0</v>
          </cell>
          <cell r="CS342" t="str">
            <v>0</v>
          </cell>
          <cell r="CT342" t="str">
            <v>0</v>
          </cell>
          <cell r="CU342" t="str">
            <v>0</v>
          </cell>
          <cell r="CV342" t="str">
            <v>0</v>
          </cell>
          <cell r="CW342" t="str">
            <v>0</v>
          </cell>
          <cell r="CX342" t="str">
            <v>0</v>
          </cell>
          <cell r="CY342" t="str">
            <v>0</v>
          </cell>
          <cell r="CZ342" t="str">
            <v>0</v>
          </cell>
          <cell r="DA342" t="str">
            <v>0</v>
          </cell>
          <cell r="DB342" t="str">
            <v>0</v>
          </cell>
          <cell r="DC342" t="str">
            <v>0</v>
          </cell>
          <cell r="DD342" t="str">
            <v>0</v>
          </cell>
          <cell r="DE342" t="str">
            <v>0</v>
          </cell>
          <cell r="DF342" t="str">
            <v>0</v>
          </cell>
          <cell r="DG342" t="str">
            <v>0</v>
          </cell>
          <cell r="DH342" t="str">
            <v>0</v>
          </cell>
          <cell r="DI342" t="str">
            <v>0</v>
          </cell>
          <cell r="DJ342" t="str">
            <v>0</v>
          </cell>
          <cell r="DK342" t="str">
            <v>0</v>
          </cell>
          <cell r="DL342" t="str">
            <v>0</v>
          </cell>
          <cell r="DM342" t="str">
            <v>0</v>
          </cell>
          <cell r="DN342" t="str">
            <v>0</v>
          </cell>
          <cell r="DO342" t="str">
            <v>0</v>
          </cell>
          <cell r="DP342" t="str">
            <v>0</v>
          </cell>
        </row>
        <row r="343">
          <cell r="C343"/>
          <cell r="D343" t="str">
            <v>0</v>
          </cell>
          <cell r="E343" t="str">
            <v>0</v>
          </cell>
          <cell r="F343" t="str">
            <v>0</v>
          </cell>
          <cell r="G343" t="str">
            <v>0</v>
          </cell>
          <cell r="H343" t="str">
            <v>0</v>
          </cell>
          <cell r="I343" t="str">
            <v>0</v>
          </cell>
          <cell r="J343" t="str">
            <v>0</v>
          </cell>
          <cell r="K343" t="str">
            <v>0</v>
          </cell>
          <cell r="L343" t="str">
            <v>0</v>
          </cell>
          <cell r="M343" t="str">
            <v>0</v>
          </cell>
          <cell r="N343" t="str">
            <v>0</v>
          </cell>
          <cell r="O343" t="str">
            <v>0</v>
          </cell>
          <cell r="P343" t="str">
            <v>0</v>
          </cell>
          <cell r="Q343" t="str">
            <v>0</v>
          </cell>
          <cell r="R343" t="str">
            <v>0</v>
          </cell>
          <cell r="S343" t="str">
            <v>0</v>
          </cell>
          <cell r="T343" t="str">
            <v>0</v>
          </cell>
          <cell r="U343" t="str">
            <v>0</v>
          </cell>
          <cell r="V343" t="str">
            <v>0</v>
          </cell>
          <cell r="W343" t="str">
            <v>0</v>
          </cell>
          <cell r="X343" t="str">
            <v>0</v>
          </cell>
          <cell r="Y343" t="str">
            <v>0</v>
          </cell>
          <cell r="Z343" t="str">
            <v>0</v>
          </cell>
          <cell r="AA343" t="str">
            <v>0</v>
          </cell>
          <cell r="AB343" t="str">
            <v>0</v>
          </cell>
          <cell r="AC343" t="str">
            <v>0</v>
          </cell>
          <cell r="AD343" t="str">
            <v>0</v>
          </cell>
          <cell r="AE343" t="str">
            <v>0</v>
          </cell>
          <cell r="AF343" t="str">
            <v>0</v>
          </cell>
          <cell r="AG343" t="str">
            <v>0</v>
          </cell>
          <cell r="AH343" t="str">
            <v>0</v>
          </cell>
          <cell r="AI343" t="str">
            <v>0</v>
          </cell>
          <cell r="AJ343" t="str">
            <v>0</v>
          </cell>
          <cell r="AK343" t="str">
            <v>0</v>
          </cell>
          <cell r="AL343" t="str">
            <v>0</v>
          </cell>
          <cell r="AM343" t="str">
            <v>0</v>
          </cell>
          <cell r="AN343" t="str">
            <v>0</v>
          </cell>
          <cell r="AO343" t="str">
            <v>0</v>
          </cell>
          <cell r="AP343" t="str">
            <v>0</v>
          </cell>
          <cell r="AQ343" t="str">
            <v>0</v>
          </cell>
          <cell r="AR343" t="str">
            <v>0</v>
          </cell>
          <cell r="AS343" t="str">
            <v>0</v>
          </cell>
          <cell r="AT343" t="str">
            <v>0</v>
          </cell>
          <cell r="AU343" t="str">
            <v>0</v>
          </cell>
          <cell r="AV343" t="str">
            <v>0</v>
          </cell>
          <cell r="AW343" t="str">
            <v>0</v>
          </cell>
          <cell r="AX343" t="str">
            <v>0</v>
          </cell>
          <cell r="AY343" t="str">
            <v>0</v>
          </cell>
          <cell r="AZ343" t="str">
            <v>0</v>
          </cell>
          <cell r="BA343" t="str">
            <v>0</v>
          </cell>
          <cell r="BB343" t="str">
            <v>0</v>
          </cell>
          <cell r="BC343" t="str">
            <v>0</v>
          </cell>
          <cell r="BD343" t="str">
            <v>0</v>
          </cell>
          <cell r="BE343" t="str">
            <v>0</v>
          </cell>
          <cell r="BF343" t="str">
            <v>0</v>
          </cell>
          <cell r="BG343" t="str">
            <v>0</v>
          </cell>
          <cell r="BH343" t="str">
            <v>0</v>
          </cell>
          <cell r="BI343" t="str">
            <v>0</v>
          </cell>
          <cell r="BJ343" t="str">
            <v>0</v>
          </cell>
          <cell r="BK343" t="str">
            <v>0</v>
          </cell>
          <cell r="BL343" t="str">
            <v>0</v>
          </cell>
          <cell r="BM343" t="str">
            <v>0</v>
          </cell>
          <cell r="BN343" t="str">
            <v>0</v>
          </cell>
          <cell r="BO343" t="str">
            <v>0</v>
          </cell>
          <cell r="BP343" t="str">
            <v>0</v>
          </cell>
          <cell r="BQ343" t="str">
            <v>0</v>
          </cell>
          <cell r="BR343" t="str">
            <v>0</v>
          </cell>
          <cell r="BS343" t="str">
            <v>0</v>
          </cell>
          <cell r="BT343" t="str">
            <v>0</v>
          </cell>
          <cell r="BU343" t="str">
            <v>0</v>
          </cell>
          <cell r="BV343" t="str">
            <v>0</v>
          </cell>
          <cell r="BW343" t="str">
            <v>0</v>
          </cell>
          <cell r="BX343" t="str">
            <v>0</v>
          </cell>
          <cell r="BY343" t="str">
            <v>0</v>
          </cell>
          <cell r="BZ343" t="str">
            <v>0</v>
          </cell>
          <cell r="CA343" t="str">
            <v>0</v>
          </cell>
          <cell r="CB343" t="str">
            <v>0</v>
          </cell>
          <cell r="CC343" t="str">
            <v>0</v>
          </cell>
          <cell r="CD343" t="str">
            <v>0</v>
          </cell>
          <cell r="CE343" t="str">
            <v>0</v>
          </cell>
          <cell r="CF343" t="str">
            <v>0</v>
          </cell>
          <cell r="CG343" t="str">
            <v>0</v>
          </cell>
          <cell r="CH343" t="str">
            <v>0</v>
          </cell>
          <cell r="CI343" t="str">
            <v>0</v>
          </cell>
          <cell r="CJ343" t="str">
            <v>0</v>
          </cell>
          <cell r="CK343" t="str">
            <v>0</v>
          </cell>
          <cell r="CL343" t="str">
            <v>0</v>
          </cell>
          <cell r="CM343" t="str">
            <v>0</v>
          </cell>
          <cell r="CN343" t="str">
            <v>0</v>
          </cell>
          <cell r="CO343" t="str">
            <v>0</v>
          </cell>
          <cell r="CP343" t="str">
            <v>0</v>
          </cell>
          <cell r="CQ343" t="str">
            <v>0</v>
          </cell>
          <cell r="CR343" t="str">
            <v>0</v>
          </cell>
          <cell r="CS343" t="str">
            <v>0</v>
          </cell>
          <cell r="CT343" t="str">
            <v>0</v>
          </cell>
          <cell r="CU343" t="str">
            <v>0</v>
          </cell>
          <cell r="CV343" t="str">
            <v>0</v>
          </cell>
          <cell r="CW343" t="str">
            <v>0</v>
          </cell>
          <cell r="CX343" t="str">
            <v>0</v>
          </cell>
          <cell r="CY343" t="str">
            <v>0</v>
          </cell>
          <cell r="CZ343" t="str">
            <v>0</v>
          </cell>
          <cell r="DA343" t="str">
            <v>0</v>
          </cell>
          <cell r="DB343" t="str">
            <v>0</v>
          </cell>
          <cell r="DC343" t="str">
            <v>0</v>
          </cell>
          <cell r="DD343" t="str">
            <v>0</v>
          </cell>
          <cell r="DE343" t="str">
            <v>0</v>
          </cell>
          <cell r="DF343" t="str">
            <v>0</v>
          </cell>
          <cell r="DG343" t="str">
            <v>0</v>
          </cell>
          <cell r="DH343" t="str">
            <v>0</v>
          </cell>
          <cell r="DI343" t="str">
            <v>0</v>
          </cell>
          <cell r="DJ343" t="str">
            <v>0</v>
          </cell>
          <cell r="DK343" t="str">
            <v>0</v>
          </cell>
          <cell r="DL343" t="str">
            <v>0</v>
          </cell>
          <cell r="DM343" t="str">
            <v>0</v>
          </cell>
          <cell r="DN343" t="str">
            <v>0</v>
          </cell>
          <cell r="DO343" t="str">
            <v>0</v>
          </cell>
          <cell r="DP343" t="str">
            <v>0</v>
          </cell>
        </row>
        <row r="344">
          <cell r="C344"/>
          <cell r="D344" t="str">
            <v>0</v>
          </cell>
          <cell r="E344" t="str">
            <v>0</v>
          </cell>
          <cell r="F344" t="str">
            <v>0</v>
          </cell>
          <cell r="G344" t="str">
            <v>0</v>
          </cell>
          <cell r="H344" t="str">
            <v>0</v>
          </cell>
          <cell r="I344" t="str">
            <v>0</v>
          </cell>
          <cell r="J344" t="str">
            <v>0</v>
          </cell>
          <cell r="K344" t="str">
            <v>0</v>
          </cell>
          <cell r="L344" t="str">
            <v>0</v>
          </cell>
          <cell r="M344" t="str">
            <v>0</v>
          </cell>
          <cell r="N344" t="str">
            <v>0</v>
          </cell>
          <cell r="O344" t="str">
            <v>0</v>
          </cell>
          <cell r="P344" t="str">
            <v>0</v>
          </cell>
          <cell r="Q344" t="str">
            <v>0</v>
          </cell>
          <cell r="R344" t="str">
            <v>0</v>
          </cell>
          <cell r="S344" t="str">
            <v>0</v>
          </cell>
          <cell r="T344" t="str">
            <v>0</v>
          </cell>
          <cell r="U344" t="str">
            <v>0</v>
          </cell>
          <cell r="V344" t="str">
            <v>0</v>
          </cell>
          <cell r="W344" t="str">
            <v>0</v>
          </cell>
          <cell r="X344" t="str">
            <v>0</v>
          </cell>
          <cell r="Y344" t="str">
            <v>0</v>
          </cell>
          <cell r="Z344" t="str">
            <v>0</v>
          </cell>
          <cell r="AA344" t="str">
            <v>0</v>
          </cell>
          <cell r="AB344" t="str">
            <v>0</v>
          </cell>
          <cell r="AC344" t="str">
            <v>0</v>
          </cell>
          <cell r="AD344" t="str">
            <v>0</v>
          </cell>
          <cell r="AE344" t="str">
            <v>0</v>
          </cell>
          <cell r="AF344" t="str">
            <v>0</v>
          </cell>
          <cell r="AG344" t="str">
            <v>0</v>
          </cell>
          <cell r="AH344" t="str">
            <v>0</v>
          </cell>
          <cell r="AI344" t="str">
            <v>0</v>
          </cell>
          <cell r="AJ344" t="str">
            <v>0</v>
          </cell>
          <cell r="AK344" t="str">
            <v>0</v>
          </cell>
          <cell r="AL344" t="str">
            <v>0</v>
          </cell>
          <cell r="AM344" t="str">
            <v>0</v>
          </cell>
          <cell r="AN344" t="str">
            <v>0</v>
          </cell>
          <cell r="AO344" t="str">
            <v>0</v>
          </cell>
          <cell r="AP344" t="str">
            <v>0</v>
          </cell>
          <cell r="AQ344" t="str">
            <v>0</v>
          </cell>
          <cell r="AR344" t="str">
            <v>0</v>
          </cell>
          <cell r="AS344" t="str">
            <v>0</v>
          </cell>
          <cell r="AT344" t="str">
            <v>0</v>
          </cell>
          <cell r="AU344" t="str">
            <v>0</v>
          </cell>
          <cell r="AV344" t="str">
            <v>0</v>
          </cell>
          <cell r="AW344" t="str">
            <v>0</v>
          </cell>
          <cell r="AX344" t="str">
            <v>0</v>
          </cell>
          <cell r="AY344" t="str">
            <v>0</v>
          </cell>
          <cell r="AZ344" t="str">
            <v>0</v>
          </cell>
          <cell r="BA344" t="str">
            <v>0</v>
          </cell>
          <cell r="BB344" t="str">
            <v>0</v>
          </cell>
          <cell r="BC344" t="str">
            <v>0</v>
          </cell>
          <cell r="BD344" t="str">
            <v>0</v>
          </cell>
          <cell r="BE344" t="str">
            <v>0</v>
          </cell>
          <cell r="BF344" t="str">
            <v>0</v>
          </cell>
          <cell r="BG344" t="str">
            <v>0</v>
          </cell>
          <cell r="BH344" t="str">
            <v>0</v>
          </cell>
          <cell r="BI344" t="str">
            <v>0</v>
          </cell>
          <cell r="BJ344" t="str">
            <v>0</v>
          </cell>
          <cell r="BK344" t="str">
            <v>0</v>
          </cell>
          <cell r="BL344" t="str">
            <v>0</v>
          </cell>
          <cell r="BM344" t="str">
            <v>0</v>
          </cell>
          <cell r="BN344" t="str">
            <v>0</v>
          </cell>
          <cell r="BO344" t="str">
            <v>0</v>
          </cell>
          <cell r="BP344" t="str">
            <v>0</v>
          </cell>
          <cell r="BQ344" t="str">
            <v>0</v>
          </cell>
          <cell r="BR344" t="str">
            <v>0</v>
          </cell>
          <cell r="BS344" t="str">
            <v>0</v>
          </cell>
          <cell r="BT344" t="str">
            <v>0</v>
          </cell>
          <cell r="BU344" t="str">
            <v>0</v>
          </cell>
          <cell r="BV344" t="str">
            <v>0</v>
          </cell>
          <cell r="BW344" t="str">
            <v>0</v>
          </cell>
          <cell r="BX344" t="str">
            <v>0</v>
          </cell>
          <cell r="BY344" t="str">
            <v>0</v>
          </cell>
          <cell r="BZ344" t="str">
            <v>0</v>
          </cell>
          <cell r="CA344" t="str">
            <v>0</v>
          </cell>
          <cell r="CB344" t="str">
            <v>0</v>
          </cell>
          <cell r="CC344" t="str">
            <v>0</v>
          </cell>
          <cell r="CD344" t="str">
            <v>0</v>
          </cell>
          <cell r="CE344" t="str">
            <v>0</v>
          </cell>
          <cell r="CF344" t="str">
            <v>0</v>
          </cell>
          <cell r="CG344" t="str">
            <v>0</v>
          </cell>
          <cell r="CH344" t="str">
            <v>0</v>
          </cell>
          <cell r="CI344" t="str">
            <v>0</v>
          </cell>
          <cell r="CJ344" t="str">
            <v>0</v>
          </cell>
          <cell r="CK344" t="str">
            <v>0</v>
          </cell>
          <cell r="CL344" t="str">
            <v>0</v>
          </cell>
          <cell r="CM344" t="str">
            <v>0</v>
          </cell>
          <cell r="CN344" t="str">
            <v>0</v>
          </cell>
          <cell r="CO344" t="str">
            <v>0</v>
          </cell>
          <cell r="CP344" t="str">
            <v>0</v>
          </cell>
          <cell r="CQ344" t="str">
            <v>0</v>
          </cell>
          <cell r="CR344" t="str">
            <v>0</v>
          </cell>
          <cell r="CS344" t="str">
            <v>0</v>
          </cell>
          <cell r="CT344" t="str">
            <v>0</v>
          </cell>
          <cell r="CU344" t="str">
            <v>0</v>
          </cell>
          <cell r="CV344" t="str">
            <v>0</v>
          </cell>
          <cell r="CW344" t="str">
            <v>0</v>
          </cell>
          <cell r="CX344" t="str">
            <v>0</v>
          </cell>
          <cell r="CY344" t="str">
            <v>0</v>
          </cell>
          <cell r="CZ344" t="str">
            <v>0</v>
          </cell>
          <cell r="DA344" t="str">
            <v>0</v>
          </cell>
          <cell r="DB344" t="str">
            <v>0</v>
          </cell>
          <cell r="DC344" t="str">
            <v>0</v>
          </cell>
          <cell r="DD344" t="str">
            <v>0</v>
          </cell>
          <cell r="DE344" t="str">
            <v>0</v>
          </cell>
          <cell r="DF344" t="str">
            <v>0</v>
          </cell>
          <cell r="DG344" t="str">
            <v>0</v>
          </cell>
          <cell r="DH344" t="str">
            <v>0</v>
          </cell>
          <cell r="DI344" t="str">
            <v>0</v>
          </cell>
          <cell r="DJ344" t="str">
            <v>0</v>
          </cell>
          <cell r="DK344" t="str">
            <v>0</v>
          </cell>
          <cell r="DL344" t="str">
            <v>0</v>
          </cell>
          <cell r="DM344" t="str">
            <v>0</v>
          </cell>
          <cell r="DN344" t="str">
            <v>0</v>
          </cell>
          <cell r="DO344" t="str">
            <v>0</v>
          </cell>
          <cell r="DP344" t="str">
            <v>0</v>
          </cell>
        </row>
        <row r="345">
          <cell r="C345"/>
          <cell r="D345" t="str">
            <v>0</v>
          </cell>
          <cell r="E345" t="str">
            <v>0</v>
          </cell>
          <cell r="F345" t="str">
            <v>0</v>
          </cell>
          <cell r="G345" t="str">
            <v>0</v>
          </cell>
          <cell r="H345" t="str">
            <v>0</v>
          </cell>
          <cell r="I345" t="str">
            <v>0</v>
          </cell>
          <cell r="J345" t="str">
            <v>0</v>
          </cell>
          <cell r="K345" t="str">
            <v>0</v>
          </cell>
          <cell r="L345" t="str">
            <v>0</v>
          </cell>
          <cell r="M345" t="str">
            <v>0</v>
          </cell>
          <cell r="N345" t="str">
            <v>0</v>
          </cell>
          <cell r="O345" t="str">
            <v>0</v>
          </cell>
          <cell r="P345" t="str">
            <v>0</v>
          </cell>
          <cell r="Q345" t="str">
            <v>0</v>
          </cell>
          <cell r="R345" t="str">
            <v>0</v>
          </cell>
          <cell r="S345" t="str">
            <v>0</v>
          </cell>
          <cell r="T345" t="str">
            <v>0</v>
          </cell>
          <cell r="U345" t="str">
            <v>0</v>
          </cell>
          <cell r="V345" t="str">
            <v>0</v>
          </cell>
          <cell r="W345" t="str">
            <v>0</v>
          </cell>
          <cell r="X345" t="str">
            <v>0</v>
          </cell>
          <cell r="Y345" t="str">
            <v>0</v>
          </cell>
          <cell r="Z345" t="str">
            <v>0</v>
          </cell>
          <cell r="AA345" t="str">
            <v>0</v>
          </cell>
          <cell r="AB345" t="str">
            <v>0</v>
          </cell>
          <cell r="AC345" t="str">
            <v>0</v>
          </cell>
          <cell r="AD345" t="str">
            <v>0</v>
          </cell>
          <cell r="AE345" t="str">
            <v>0</v>
          </cell>
          <cell r="AF345" t="str">
            <v>0</v>
          </cell>
          <cell r="AG345" t="str">
            <v>0</v>
          </cell>
          <cell r="AH345" t="str">
            <v>0</v>
          </cell>
          <cell r="AI345" t="str">
            <v>0</v>
          </cell>
          <cell r="AJ345" t="str">
            <v>0</v>
          </cell>
          <cell r="AK345" t="str">
            <v>0</v>
          </cell>
          <cell r="AL345" t="str">
            <v>0</v>
          </cell>
          <cell r="AM345" t="str">
            <v>0</v>
          </cell>
          <cell r="AN345" t="str">
            <v>0</v>
          </cell>
          <cell r="AO345" t="str">
            <v>0</v>
          </cell>
          <cell r="AP345" t="str">
            <v>0</v>
          </cell>
          <cell r="AQ345" t="str">
            <v>0</v>
          </cell>
          <cell r="AR345" t="str">
            <v>0</v>
          </cell>
          <cell r="AS345" t="str">
            <v>0</v>
          </cell>
          <cell r="AT345" t="str">
            <v>0</v>
          </cell>
          <cell r="AU345" t="str">
            <v>0</v>
          </cell>
          <cell r="AV345" t="str">
            <v>0</v>
          </cell>
          <cell r="AW345" t="str">
            <v>0</v>
          </cell>
          <cell r="AX345" t="str">
            <v>0</v>
          </cell>
          <cell r="AY345" t="str">
            <v>0</v>
          </cell>
          <cell r="AZ345" t="str">
            <v>0</v>
          </cell>
          <cell r="BA345" t="str">
            <v>0</v>
          </cell>
          <cell r="BB345" t="str">
            <v>0</v>
          </cell>
          <cell r="BC345" t="str">
            <v>0</v>
          </cell>
          <cell r="BD345" t="str">
            <v>0</v>
          </cell>
          <cell r="BE345" t="str">
            <v>0</v>
          </cell>
          <cell r="BF345" t="str">
            <v>0</v>
          </cell>
          <cell r="BG345" t="str">
            <v>0</v>
          </cell>
          <cell r="BH345" t="str">
            <v>0</v>
          </cell>
          <cell r="BI345" t="str">
            <v>0</v>
          </cell>
          <cell r="BJ345" t="str">
            <v>0</v>
          </cell>
          <cell r="BK345" t="str">
            <v>0</v>
          </cell>
          <cell r="BL345" t="str">
            <v>0</v>
          </cell>
          <cell r="BM345" t="str">
            <v>0</v>
          </cell>
          <cell r="BN345" t="str">
            <v>0</v>
          </cell>
          <cell r="BO345" t="str">
            <v>0</v>
          </cell>
          <cell r="BP345" t="str">
            <v>0</v>
          </cell>
          <cell r="BQ345" t="str">
            <v>0</v>
          </cell>
          <cell r="BR345" t="str">
            <v>0</v>
          </cell>
          <cell r="BS345" t="str">
            <v>0</v>
          </cell>
          <cell r="BT345" t="str">
            <v>0</v>
          </cell>
          <cell r="BU345" t="str">
            <v>0</v>
          </cell>
          <cell r="BV345" t="str">
            <v>0</v>
          </cell>
          <cell r="BW345" t="str">
            <v>0</v>
          </cell>
          <cell r="BX345" t="str">
            <v>0</v>
          </cell>
          <cell r="BY345" t="str">
            <v>0</v>
          </cell>
          <cell r="BZ345" t="str">
            <v>0</v>
          </cell>
          <cell r="CA345" t="str">
            <v>0</v>
          </cell>
          <cell r="CB345" t="str">
            <v>0</v>
          </cell>
          <cell r="CC345" t="str">
            <v>0</v>
          </cell>
          <cell r="CD345" t="str">
            <v>0</v>
          </cell>
          <cell r="CE345" t="str">
            <v>0</v>
          </cell>
          <cell r="CF345" t="str">
            <v>0</v>
          </cell>
          <cell r="CG345" t="str">
            <v>0</v>
          </cell>
          <cell r="CH345" t="str">
            <v>0</v>
          </cell>
          <cell r="CI345" t="str">
            <v>0</v>
          </cell>
          <cell r="CJ345" t="str">
            <v>0</v>
          </cell>
          <cell r="CK345" t="str">
            <v>0</v>
          </cell>
          <cell r="CL345" t="str">
            <v>0</v>
          </cell>
          <cell r="CM345" t="str">
            <v>0</v>
          </cell>
          <cell r="CN345" t="str">
            <v>0</v>
          </cell>
          <cell r="CO345" t="str">
            <v>0</v>
          </cell>
          <cell r="CP345" t="str">
            <v>0</v>
          </cell>
          <cell r="CQ345" t="str">
            <v>0</v>
          </cell>
          <cell r="CR345" t="str">
            <v>0</v>
          </cell>
          <cell r="CS345" t="str">
            <v>0</v>
          </cell>
          <cell r="CT345" t="str">
            <v>0</v>
          </cell>
          <cell r="CU345" t="str">
            <v>0</v>
          </cell>
          <cell r="CV345" t="str">
            <v>0</v>
          </cell>
          <cell r="CW345" t="str">
            <v>0</v>
          </cell>
          <cell r="CX345" t="str">
            <v>0</v>
          </cell>
          <cell r="CY345" t="str">
            <v>0</v>
          </cell>
          <cell r="CZ345" t="str">
            <v>0</v>
          </cell>
          <cell r="DA345" t="str">
            <v>0</v>
          </cell>
          <cell r="DB345" t="str">
            <v>0</v>
          </cell>
          <cell r="DC345" t="str">
            <v>0</v>
          </cell>
          <cell r="DD345" t="str">
            <v>0</v>
          </cell>
          <cell r="DE345" t="str">
            <v>0</v>
          </cell>
          <cell r="DF345" t="str">
            <v>0</v>
          </cell>
          <cell r="DG345" t="str">
            <v>0</v>
          </cell>
          <cell r="DH345" t="str">
            <v>0</v>
          </cell>
          <cell r="DI345" t="str">
            <v>0</v>
          </cell>
          <cell r="DJ345" t="str">
            <v>0</v>
          </cell>
          <cell r="DK345" t="str">
            <v>0</v>
          </cell>
          <cell r="DL345" t="str">
            <v>0</v>
          </cell>
          <cell r="DM345" t="str">
            <v>0</v>
          </cell>
          <cell r="DN345" t="str">
            <v>0</v>
          </cell>
          <cell r="DO345" t="str">
            <v>0</v>
          </cell>
          <cell r="DP345" t="str">
            <v>0</v>
          </cell>
        </row>
        <row r="346">
          <cell r="C346"/>
          <cell r="D346" t="str">
            <v>0</v>
          </cell>
          <cell r="E346" t="str">
            <v>0</v>
          </cell>
          <cell r="F346" t="str">
            <v>0</v>
          </cell>
          <cell r="G346" t="str">
            <v>0</v>
          </cell>
          <cell r="H346" t="str">
            <v>0</v>
          </cell>
          <cell r="I346" t="str">
            <v>0</v>
          </cell>
          <cell r="J346" t="str">
            <v>0</v>
          </cell>
          <cell r="K346" t="str">
            <v>0</v>
          </cell>
          <cell r="L346" t="str">
            <v>0</v>
          </cell>
          <cell r="M346" t="str">
            <v>0</v>
          </cell>
          <cell r="N346" t="str">
            <v>0</v>
          </cell>
          <cell r="O346" t="str">
            <v>0</v>
          </cell>
          <cell r="P346" t="str">
            <v>0</v>
          </cell>
          <cell r="Q346" t="str">
            <v>0</v>
          </cell>
          <cell r="R346" t="str">
            <v>0</v>
          </cell>
          <cell r="S346" t="str">
            <v>0</v>
          </cell>
          <cell r="T346" t="str">
            <v>0</v>
          </cell>
          <cell r="U346" t="str">
            <v>0</v>
          </cell>
          <cell r="V346" t="str">
            <v>0</v>
          </cell>
          <cell r="W346" t="str">
            <v>0</v>
          </cell>
          <cell r="X346" t="str">
            <v>0</v>
          </cell>
          <cell r="Y346" t="str">
            <v>0</v>
          </cell>
          <cell r="Z346" t="str">
            <v>0</v>
          </cell>
          <cell r="AA346" t="str">
            <v>0</v>
          </cell>
          <cell r="AB346" t="str">
            <v>0</v>
          </cell>
          <cell r="AC346" t="str">
            <v>0</v>
          </cell>
          <cell r="AD346" t="str">
            <v>0</v>
          </cell>
          <cell r="AE346" t="str">
            <v>0</v>
          </cell>
          <cell r="AF346" t="str">
            <v>0</v>
          </cell>
          <cell r="AG346" t="str">
            <v>0</v>
          </cell>
          <cell r="AH346" t="str">
            <v>0</v>
          </cell>
          <cell r="AI346" t="str">
            <v>0</v>
          </cell>
          <cell r="AJ346" t="str">
            <v>0</v>
          </cell>
          <cell r="AK346" t="str">
            <v>0</v>
          </cell>
          <cell r="AL346" t="str">
            <v>0</v>
          </cell>
          <cell r="AM346" t="str">
            <v>0</v>
          </cell>
          <cell r="AN346" t="str">
            <v>0</v>
          </cell>
          <cell r="AO346" t="str">
            <v>0</v>
          </cell>
          <cell r="AP346" t="str">
            <v>0</v>
          </cell>
          <cell r="AQ346" t="str">
            <v>0</v>
          </cell>
          <cell r="AR346" t="str">
            <v>0</v>
          </cell>
          <cell r="AS346" t="str">
            <v>0</v>
          </cell>
          <cell r="AT346" t="str">
            <v>0</v>
          </cell>
          <cell r="AU346" t="str">
            <v>0</v>
          </cell>
          <cell r="AV346" t="str">
            <v>0</v>
          </cell>
          <cell r="AW346" t="str">
            <v>0</v>
          </cell>
          <cell r="AX346" t="str">
            <v>0</v>
          </cell>
          <cell r="AY346" t="str">
            <v>0</v>
          </cell>
          <cell r="AZ346" t="str">
            <v>0</v>
          </cell>
          <cell r="BA346" t="str">
            <v>0</v>
          </cell>
          <cell r="BB346" t="str">
            <v>0</v>
          </cell>
          <cell r="BC346" t="str">
            <v>0</v>
          </cell>
          <cell r="BD346" t="str">
            <v>0</v>
          </cell>
          <cell r="BE346" t="str">
            <v>0</v>
          </cell>
          <cell r="BF346" t="str">
            <v>0</v>
          </cell>
          <cell r="BG346" t="str">
            <v>0</v>
          </cell>
          <cell r="BH346" t="str">
            <v>0</v>
          </cell>
          <cell r="BI346" t="str">
            <v>0</v>
          </cell>
          <cell r="BJ346" t="str">
            <v>0</v>
          </cell>
          <cell r="BK346" t="str">
            <v>0</v>
          </cell>
          <cell r="BL346" t="str">
            <v>0</v>
          </cell>
          <cell r="BM346" t="str">
            <v>0</v>
          </cell>
          <cell r="BN346" t="str">
            <v>0</v>
          </cell>
          <cell r="BO346" t="str">
            <v>0</v>
          </cell>
          <cell r="BP346" t="str">
            <v>0</v>
          </cell>
          <cell r="BQ346" t="str">
            <v>0</v>
          </cell>
          <cell r="BR346" t="str">
            <v>0</v>
          </cell>
          <cell r="BS346" t="str">
            <v>0</v>
          </cell>
          <cell r="BT346" t="str">
            <v>0</v>
          </cell>
          <cell r="BU346" t="str">
            <v>0</v>
          </cell>
          <cell r="BV346" t="str">
            <v>0</v>
          </cell>
          <cell r="BW346" t="str">
            <v>0</v>
          </cell>
          <cell r="BX346" t="str">
            <v>0</v>
          </cell>
          <cell r="BY346" t="str">
            <v>0</v>
          </cell>
          <cell r="BZ346" t="str">
            <v>0</v>
          </cell>
          <cell r="CA346" t="str">
            <v>0</v>
          </cell>
          <cell r="CB346" t="str">
            <v>0</v>
          </cell>
          <cell r="CC346" t="str">
            <v>0</v>
          </cell>
          <cell r="CD346" t="str">
            <v>0</v>
          </cell>
          <cell r="CE346" t="str">
            <v>0</v>
          </cell>
          <cell r="CF346" t="str">
            <v>0</v>
          </cell>
          <cell r="CG346" t="str">
            <v>0</v>
          </cell>
          <cell r="CH346" t="str">
            <v>0</v>
          </cell>
          <cell r="CI346" t="str">
            <v>0</v>
          </cell>
          <cell r="CJ346" t="str">
            <v>0</v>
          </cell>
          <cell r="CK346" t="str">
            <v>0</v>
          </cell>
          <cell r="CL346" t="str">
            <v>0</v>
          </cell>
          <cell r="CM346" t="str">
            <v>0</v>
          </cell>
          <cell r="CN346" t="str">
            <v>0</v>
          </cell>
          <cell r="CO346" t="str">
            <v>0</v>
          </cell>
          <cell r="CP346" t="str">
            <v>0</v>
          </cell>
          <cell r="CQ346" t="str">
            <v>0</v>
          </cell>
          <cell r="CR346" t="str">
            <v>0</v>
          </cell>
          <cell r="CS346" t="str">
            <v>0</v>
          </cell>
          <cell r="CT346" t="str">
            <v>0</v>
          </cell>
          <cell r="CU346" t="str">
            <v>0</v>
          </cell>
          <cell r="CV346" t="str">
            <v>0</v>
          </cell>
          <cell r="CW346" t="str">
            <v>0</v>
          </cell>
          <cell r="CX346" t="str">
            <v>0</v>
          </cell>
          <cell r="CY346" t="str">
            <v>0</v>
          </cell>
          <cell r="CZ346" t="str">
            <v>0</v>
          </cell>
          <cell r="DA346" t="str">
            <v>0</v>
          </cell>
          <cell r="DB346" t="str">
            <v>0</v>
          </cell>
          <cell r="DC346" t="str">
            <v>0</v>
          </cell>
          <cell r="DD346" t="str">
            <v>0</v>
          </cell>
          <cell r="DE346" t="str">
            <v>0</v>
          </cell>
          <cell r="DF346" t="str">
            <v>0</v>
          </cell>
          <cell r="DG346" t="str">
            <v>0</v>
          </cell>
          <cell r="DH346" t="str">
            <v>0</v>
          </cell>
          <cell r="DI346" t="str">
            <v>0</v>
          </cell>
          <cell r="DJ346" t="str">
            <v>0</v>
          </cell>
          <cell r="DK346" t="str">
            <v>0</v>
          </cell>
          <cell r="DL346" t="str">
            <v>0</v>
          </cell>
          <cell r="DM346" t="str">
            <v>0</v>
          </cell>
          <cell r="DN346" t="str">
            <v>0</v>
          </cell>
          <cell r="DO346" t="str">
            <v>0</v>
          </cell>
          <cell r="DP346" t="str">
            <v>0</v>
          </cell>
        </row>
        <row r="347">
          <cell r="C347"/>
          <cell r="D347" t="str">
            <v>0</v>
          </cell>
          <cell r="E347" t="str">
            <v>0</v>
          </cell>
          <cell r="F347" t="str">
            <v>0</v>
          </cell>
          <cell r="G347" t="str">
            <v>0</v>
          </cell>
          <cell r="H347" t="str">
            <v>0</v>
          </cell>
          <cell r="I347" t="str">
            <v>0</v>
          </cell>
          <cell r="J347" t="str">
            <v>0</v>
          </cell>
          <cell r="K347" t="str">
            <v>0</v>
          </cell>
          <cell r="L347" t="str">
            <v>0</v>
          </cell>
          <cell r="M347" t="str">
            <v>0</v>
          </cell>
          <cell r="N347" t="str">
            <v>0</v>
          </cell>
          <cell r="O347" t="str">
            <v>0</v>
          </cell>
          <cell r="P347" t="str">
            <v>0</v>
          </cell>
          <cell r="Q347" t="str">
            <v>0</v>
          </cell>
          <cell r="R347" t="str">
            <v>0</v>
          </cell>
          <cell r="S347" t="str">
            <v>0</v>
          </cell>
          <cell r="T347" t="str">
            <v>0</v>
          </cell>
          <cell r="U347" t="str">
            <v>0</v>
          </cell>
          <cell r="V347" t="str">
            <v>0</v>
          </cell>
          <cell r="W347" t="str">
            <v>0</v>
          </cell>
          <cell r="X347" t="str">
            <v>0</v>
          </cell>
          <cell r="Y347" t="str">
            <v>0</v>
          </cell>
          <cell r="Z347" t="str">
            <v>0</v>
          </cell>
          <cell r="AA347" t="str">
            <v>0</v>
          </cell>
          <cell r="AB347" t="str">
            <v>0</v>
          </cell>
          <cell r="AC347" t="str">
            <v>0</v>
          </cell>
          <cell r="AD347" t="str">
            <v>0</v>
          </cell>
          <cell r="AE347" t="str">
            <v>0</v>
          </cell>
          <cell r="AF347" t="str">
            <v>0</v>
          </cell>
          <cell r="AG347" t="str">
            <v>0</v>
          </cell>
          <cell r="AH347" t="str">
            <v>0</v>
          </cell>
          <cell r="AI347" t="str">
            <v>0</v>
          </cell>
          <cell r="AJ347" t="str">
            <v>0</v>
          </cell>
          <cell r="AK347" t="str">
            <v>0</v>
          </cell>
          <cell r="AL347" t="str">
            <v>0</v>
          </cell>
          <cell r="AM347" t="str">
            <v>0</v>
          </cell>
          <cell r="AN347" t="str">
            <v>0</v>
          </cell>
          <cell r="AO347" t="str">
            <v>0</v>
          </cell>
          <cell r="AP347" t="str">
            <v>0</v>
          </cell>
          <cell r="AQ347" t="str">
            <v>0</v>
          </cell>
          <cell r="AR347" t="str">
            <v>0</v>
          </cell>
          <cell r="AS347" t="str">
            <v>0</v>
          </cell>
          <cell r="AT347" t="str">
            <v>0</v>
          </cell>
          <cell r="AU347" t="str">
            <v>0</v>
          </cell>
          <cell r="AV347" t="str">
            <v>0</v>
          </cell>
          <cell r="AW347" t="str">
            <v>0</v>
          </cell>
          <cell r="AX347" t="str">
            <v>0</v>
          </cell>
          <cell r="AY347" t="str">
            <v>0</v>
          </cell>
          <cell r="AZ347" t="str">
            <v>0</v>
          </cell>
          <cell r="BA347" t="str">
            <v>0</v>
          </cell>
          <cell r="BB347" t="str">
            <v>0</v>
          </cell>
          <cell r="BC347" t="str">
            <v>0</v>
          </cell>
          <cell r="BD347" t="str">
            <v>0</v>
          </cell>
          <cell r="BE347" t="str">
            <v>0</v>
          </cell>
          <cell r="BF347" t="str">
            <v>0</v>
          </cell>
          <cell r="BG347" t="str">
            <v>0</v>
          </cell>
          <cell r="BH347" t="str">
            <v>0</v>
          </cell>
          <cell r="BI347" t="str">
            <v>0</v>
          </cell>
          <cell r="BJ347" t="str">
            <v>0</v>
          </cell>
          <cell r="BK347" t="str">
            <v>0</v>
          </cell>
          <cell r="BL347" t="str">
            <v>0</v>
          </cell>
          <cell r="BM347" t="str">
            <v>0</v>
          </cell>
          <cell r="BN347" t="str">
            <v>0</v>
          </cell>
          <cell r="BO347" t="str">
            <v>0</v>
          </cell>
          <cell r="BP347" t="str">
            <v>0</v>
          </cell>
          <cell r="BQ347" t="str">
            <v>0</v>
          </cell>
          <cell r="BR347" t="str">
            <v>0</v>
          </cell>
          <cell r="BS347" t="str">
            <v>0</v>
          </cell>
          <cell r="BT347" t="str">
            <v>0</v>
          </cell>
          <cell r="BU347" t="str">
            <v>0</v>
          </cell>
          <cell r="BV347" t="str">
            <v>0</v>
          </cell>
          <cell r="BW347" t="str">
            <v>0</v>
          </cell>
          <cell r="BX347" t="str">
            <v>0</v>
          </cell>
          <cell r="BY347" t="str">
            <v>0</v>
          </cell>
          <cell r="BZ347" t="str">
            <v>0</v>
          </cell>
          <cell r="CA347" t="str">
            <v>0</v>
          </cell>
          <cell r="CB347" t="str">
            <v>0</v>
          </cell>
          <cell r="CC347" t="str">
            <v>0</v>
          </cell>
          <cell r="CD347" t="str">
            <v>0</v>
          </cell>
          <cell r="CE347" t="str">
            <v>0</v>
          </cell>
          <cell r="CF347" t="str">
            <v>0</v>
          </cell>
          <cell r="CG347" t="str">
            <v>0</v>
          </cell>
          <cell r="CH347" t="str">
            <v>0</v>
          </cell>
          <cell r="CI347" t="str">
            <v>0</v>
          </cell>
          <cell r="CJ347" t="str">
            <v>0</v>
          </cell>
          <cell r="CK347" t="str">
            <v>0</v>
          </cell>
          <cell r="CL347" t="str">
            <v>0</v>
          </cell>
          <cell r="CM347" t="str">
            <v>0</v>
          </cell>
          <cell r="CN347" t="str">
            <v>0</v>
          </cell>
          <cell r="CO347" t="str">
            <v>0</v>
          </cell>
          <cell r="CP347" t="str">
            <v>0</v>
          </cell>
          <cell r="CQ347" t="str">
            <v>0</v>
          </cell>
          <cell r="CR347" t="str">
            <v>0</v>
          </cell>
          <cell r="CS347" t="str">
            <v>0</v>
          </cell>
          <cell r="CT347" t="str">
            <v>0</v>
          </cell>
          <cell r="CU347" t="str">
            <v>0</v>
          </cell>
          <cell r="CV347" t="str">
            <v>0</v>
          </cell>
          <cell r="CW347" t="str">
            <v>0</v>
          </cell>
          <cell r="CX347" t="str">
            <v>0</v>
          </cell>
          <cell r="CY347" t="str">
            <v>0</v>
          </cell>
          <cell r="CZ347" t="str">
            <v>0</v>
          </cell>
          <cell r="DA347" t="str">
            <v>0</v>
          </cell>
          <cell r="DB347" t="str">
            <v>0</v>
          </cell>
          <cell r="DC347" t="str">
            <v>0</v>
          </cell>
          <cell r="DD347" t="str">
            <v>0</v>
          </cell>
          <cell r="DE347" t="str">
            <v>0</v>
          </cell>
          <cell r="DF347" t="str">
            <v>0</v>
          </cell>
          <cell r="DG347" t="str">
            <v>0</v>
          </cell>
          <cell r="DH347" t="str">
            <v>0</v>
          </cell>
          <cell r="DI347" t="str">
            <v>0</v>
          </cell>
          <cell r="DJ347" t="str">
            <v>0</v>
          </cell>
          <cell r="DK347" t="str">
            <v>0</v>
          </cell>
          <cell r="DL347" t="str">
            <v>0</v>
          </cell>
          <cell r="DM347" t="str">
            <v>0</v>
          </cell>
          <cell r="DN347" t="str">
            <v>0</v>
          </cell>
          <cell r="DO347" t="str">
            <v>0</v>
          </cell>
          <cell r="DP347" t="str">
            <v>0</v>
          </cell>
        </row>
        <row r="348">
          <cell r="C348"/>
          <cell r="D348" t="str">
            <v>0</v>
          </cell>
          <cell r="E348" t="str">
            <v>0</v>
          </cell>
          <cell r="F348" t="str">
            <v>0</v>
          </cell>
          <cell r="G348" t="str">
            <v>0</v>
          </cell>
          <cell r="H348" t="str">
            <v>0</v>
          </cell>
          <cell r="I348" t="str">
            <v>0</v>
          </cell>
          <cell r="J348" t="str">
            <v>0</v>
          </cell>
          <cell r="K348" t="str">
            <v>0</v>
          </cell>
          <cell r="L348" t="str">
            <v>0</v>
          </cell>
          <cell r="M348" t="str">
            <v>0</v>
          </cell>
          <cell r="N348" t="str">
            <v>0</v>
          </cell>
          <cell r="O348" t="str">
            <v>0</v>
          </cell>
          <cell r="P348" t="str">
            <v>0</v>
          </cell>
          <cell r="Q348" t="str">
            <v>0</v>
          </cell>
          <cell r="R348" t="str">
            <v>0</v>
          </cell>
          <cell r="S348" t="str">
            <v>0</v>
          </cell>
          <cell r="T348" t="str">
            <v>0</v>
          </cell>
          <cell r="U348" t="str">
            <v>0</v>
          </cell>
          <cell r="V348" t="str">
            <v>0</v>
          </cell>
          <cell r="W348" t="str">
            <v>0</v>
          </cell>
          <cell r="X348" t="str">
            <v>0</v>
          </cell>
          <cell r="Y348" t="str">
            <v>0</v>
          </cell>
          <cell r="Z348" t="str">
            <v>0</v>
          </cell>
          <cell r="AA348" t="str">
            <v>0</v>
          </cell>
          <cell r="AB348" t="str">
            <v>0</v>
          </cell>
          <cell r="AC348" t="str">
            <v>0</v>
          </cell>
          <cell r="AD348" t="str">
            <v>0</v>
          </cell>
          <cell r="AE348" t="str">
            <v>0</v>
          </cell>
          <cell r="AF348" t="str">
            <v>0</v>
          </cell>
          <cell r="AG348" t="str">
            <v>0</v>
          </cell>
          <cell r="AH348" t="str">
            <v>0</v>
          </cell>
          <cell r="AI348" t="str">
            <v>0</v>
          </cell>
          <cell r="AJ348" t="str">
            <v>0</v>
          </cell>
          <cell r="AK348" t="str">
            <v>0</v>
          </cell>
          <cell r="AL348" t="str">
            <v>0</v>
          </cell>
          <cell r="AM348" t="str">
            <v>0</v>
          </cell>
          <cell r="AN348" t="str">
            <v>0</v>
          </cell>
          <cell r="AO348" t="str">
            <v>0</v>
          </cell>
          <cell r="AP348" t="str">
            <v>0</v>
          </cell>
          <cell r="AQ348" t="str">
            <v>0</v>
          </cell>
          <cell r="AR348" t="str">
            <v>0</v>
          </cell>
          <cell r="AS348" t="str">
            <v>0</v>
          </cell>
          <cell r="AT348" t="str">
            <v>0</v>
          </cell>
          <cell r="AU348" t="str">
            <v>0</v>
          </cell>
          <cell r="AV348" t="str">
            <v>0</v>
          </cell>
          <cell r="AW348" t="str">
            <v>0</v>
          </cell>
          <cell r="AX348" t="str">
            <v>0</v>
          </cell>
          <cell r="AY348" t="str">
            <v>0</v>
          </cell>
          <cell r="AZ348" t="str">
            <v>0</v>
          </cell>
          <cell r="BA348" t="str">
            <v>0</v>
          </cell>
          <cell r="BB348" t="str">
            <v>0</v>
          </cell>
          <cell r="BC348" t="str">
            <v>0</v>
          </cell>
          <cell r="BD348" t="str">
            <v>0</v>
          </cell>
          <cell r="BE348" t="str">
            <v>0</v>
          </cell>
          <cell r="BF348" t="str">
            <v>0</v>
          </cell>
          <cell r="BG348" t="str">
            <v>0</v>
          </cell>
          <cell r="BH348" t="str">
            <v>0</v>
          </cell>
          <cell r="BI348" t="str">
            <v>0</v>
          </cell>
          <cell r="BJ348" t="str">
            <v>0</v>
          </cell>
          <cell r="BK348" t="str">
            <v>0</v>
          </cell>
          <cell r="BL348" t="str">
            <v>0</v>
          </cell>
          <cell r="BM348" t="str">
            <v>0</v>
          </cell>
          <cell r="BN348" t="str">
            <v>0</v>
          </cell>
          <cell r="BO348" t="str">
            <v>0</v>
          </cell>
          <cell r="BP348" t="str">
            <v>0</v>
          </cell>
          <cell r="BQ348" t="str">
            <v>0</v>
          </cell>
          <cell r="BR348" t="str">
            <v>0</v>
          </cell>
          <cell r="BS348" t="str">
            <v>0</v>
          </cell>
          <cell r="BT348" t="str">
            <v>0</v>
          </cell>
          <cell r="BU348" t="str">
            <v>0</v>
          </cell>
          <cell r="BV348" t="str">
            <v>0</v>
          </cell>
          <cell r="BW348" t="str">
            <v>0</v>
          </cell>
          <cell r="BX348" t="str">
            <v>0</v>
          </cell>
          <cell r="BY348" t="str">
            <v>0</v>
          </cell>
          <cell r="BZ348" t="str">
            <v>0</v>
          </cell>
          <cell r="CA348" t="str">
            <v>0</v>
          </cell>
          <cell r="CB348" t="str">
            <v>0</v>
          </cell>
          <cell r="CC348" t="str">
            <v>0</v>
          </cell>
          <cell r="CD348" t="str">
            <v>0</v>
          </cell>
          <cell r="CE348" t="str">
            <v>0</v>
          </cell>
          <cell r="CF348" t="str">
            <v>0</v>
          </cell>
          <cell r="CG348" t="str">
            <v>0</v>
          </cell>
          <cell r="CH348" t="str">
            <v>0</v>
          </cell>
          <cell r="CI348" t="str">
            <v>0</v>
          </cell>
          <cell r="CJ348" t="str">
            <v>0</v>
          </cell>
          <cell r="CK348" t="str">
            <v>0</v>
          </cell>
          <cell r="CL348" t="str">
            <v>0</v>
          </cell>
          <cell r="CM348" t="str">
            <v>0</v>
          </cell>
          <cell r="CN348" t="str">
            <v>0</v>
          </cell>
          <cell r="CO348" t="str">
            <v>0</v>
          </cell>
          <cell r="CP348" t="str">
            <v>0</v>
          </cell>
          <cell r="CQ348" t="str">
            <v>0</v>
          </cell>
          <cell r="CR348" t="str">
            <v>0</v>
          </cell>
          <cell r="CS348" t="str">
            <v>0</v>
          </cell>
          <cell r="CT348" t="str">
            <v>0</v>
          </cell>
          <cell r="CU348" t="str">
            <v>0</v>
          </cell>
          <cell r="CV348" t="str">
            <v>0</v>
          </cell>
          <cell r="CW348" t="str">
            <v>0</v>
          </cell>
          <cell r="CX348" t="str">
            <v>0</v>
          </cell>
          <cell r="CY348" t="str">
            <v>0</v>
          </cell>
          <cell r="CZ348" t="str">
            <v>0</v>
          </cell>
          <cell r="DA348" t="str">
            <v>0</v>
          </cell>
          <cell r="DB348" t="str">
            <v>0</v>
          </cell>
          <cell r="DC348" t="str">
            <v>0</v>
          </cell>
          <cell r="DD348" t="str">
            <v>0</v>
          </cell>
          <cell r="DE348" t="str">
            <v>0</v>
          </cell>
          <cell r="DF348" t="str">
            <v>0</v>
          </cell>
          <cell r="DG348" t="str">
            <v>0</v>
          </cell>
          <cell r="DH348" t="str">
            <v>0</v>
          </cell>
          <cell r="DI348" t="str">
            <v>0</v>
          </cell>
          <cell r="DJ348" t="str">
            <v>0</v>
          </cell>
          <cell r="DK348" t="str">
            <v>0</v>
          </cell>
          <cell r="DL348" t="str">
            <v>0</v>
          </cell>
          <cell r="DM348" t="str">
            <v>0</v>
          </cell>
          <cell r="DN348" t="str">
            <v>0</v>
          </cell>
          <cell r="DO348" t="str">
            <v>0</v>
          </cell>
          <cell r="DP348" t="str">
            <v>0</v>
          </cell>
        </row>
        <row r="349">
          <cell r="C349"/>
          <cell r="D349" t="str">
            <v>0</v>
          </cell>
          <cell r="E349" t="str">
            <v>0</v>
          </cell>
          <cell r="F349" t="str">
            <v>0</v>
          </cell>
          <cell r="G349" t="str">
            <v>0</v>
          </cell>
          <cell r="H349" t="str">
            <v>0</v>
          </cell>
          <cell r="I349" t="str">
            <v>0</v>
          </cell>
          <cell r="J349" t="str">
            <v>0</v>
          </cell>
          <cell r="K349" t="str">
            <v>0</v>
          </cell>
          <cell r="L349" t="str">
            <v>0</v>
          </cell>
          <cell r="M349" t="str">
            <v>0</v>
          </cell>
          <cell r="N349" t="str">
            <v>0</v>
          </cell>
          <cell r="O349" t="str">
            <v>0</v>
          </cell>
          <cell r="P349" t="str">
            <v>0</v>
          </cell>
          <cell r="Q349" t="str">
            <v>0</v>
          </cell>
          <cell r="R349" t="str">
            <v>0</v>
          </cell>
          <cell r="S349" t="str">
            <v>0</v>
          </cell>
          <cell r="T349" t="str">
            <v>0</v>
          </cell>
          <cell r="U349" t="str">
            <v>0</v>
          </cell>
          <cell r="V349" t="str">
            <v>0</v>
          </cell>
          <cell r="W349" t="str">
            <v>0</v>
          </cell>
          <cell r="X349" t="str">
            <v>0</v>
          </cell>
          <cell r="Y349" t="str">
            <v>0</v>
          </cell>
          <cell r="Z349" t="str">
            <v>0</v>
          </cell>
          <cell r="AA349" t="str">
            <v>0</v>
          </cell>
          <cell r="AB349" t="str">
            <v>0</v>
          </cell>
          <cell r="AC349" t="str">
            <v>0</v>
          </cell>
          <cell r="AD349" t="str">
            <v>0</v>
          </cell>
          <cell r="AE349" t="str">
            <v>0</v>
          </cell>
          <cell r="AF349" t="str">
            <v>0</v>
          </cell>
          <cell r="AG349" t="str">
            <v>0</v>
          </cell>
          <cell r="AH349" t="str">
            <v>0</v>
          </cell>
          <cell r="AI349" t="str">
            <v>0</v>
          </cell>
          <cell r="AJ349" t="str">
            <v>0</v>
          </cell>
          <cell r="AK349" t="str">
            <v>0</v>
          </cell>
          <cell r="AL349" t="str">
            <v>0</v>
          </cell>
          <cell r="AM349" t="str">
            <v>0</v>
          </cell>
          <cell r="AN349" t="str">
            <v>0</v>
          </cell>
          <cell r="AO349" t="str">
            <v>0</v>
          </cell>
          <cell r="AP349" t="str">
            <v>0</v>
          </cell>
          <cell r="AQ349" t="str">
            <v>0</v>
          </cell>
          <cell r="AR349" t="str">
            <v>0</v>
          </cell>
          <cell r="AS349" t="str">
            <v>0</v>
          </cell>
          <cell r="AT349" t="str">
            <v>0</v>
          </cell>
          <cell r="AU349" t="str">
            <v>0</v>
          </cell>
          <cell r="AV349" t="str">
            <v>0</v>
          </cell>
          <cell r="AW349" t="str">
            <v>0</v>
          </cell>
          <cell r="AX349" t="str">
            <v>0</v>
          </cell>
          <cell r="AY349" t="str">
            <v>0</v>
          </cell>
          <cell r="AZ349" t="str">
            <v>0</v>
          </cell>
          <cell r="BA349" t="str">
            <v>0</v>
          </cell>
          <cell r="BB349" t="str">
            <v>0</v>
          </cell>
          <cell r="BC349" t="str">
            <v>0</v>
          </cell>
          <cell r="BD349" t="str">
            <v>0</v>
          </cell>
          <cell r="BE349" t="str">
            <v>0</v>
          </cell>
          <cell r="BF349" t="str">
            <v>0</v>
          </cell>
          <cell r="BG349" t="str">
            <v>0</v>
          </cell>
          <cell r="BH349" t="str">
            <v>0</v>
          </cell>
          <cell r="BI349" t="str">
            <v>0</v>
          </cell>
          <cell r="BJ349" t="str">
            <v>0</v>
          </cell>
          <cell r="BK349" t="str">
            <v>0</v>
          </cell>
          <cell r="BL349" t="str">
            <v>0</v>
          </cell>
          <cell r="BM349" t="str">
            <v>0</v>
          </cell>
          <cell r="BN349" t="str">
            <v>0</v>
          </cell>
          <cell r="BO349" t="str">
            <v>0</v>
          </cell>
          <cell r="BP349" t="str">
            <v>0</v>
          </cell>
          <cell r="BQ349" t="str">
            <v>0</v>
          </cell>
          <cell r="BR349" t="str">
            <v>0</v>
          </cell>
          <cell r="BS349" t="str">
            <v>0</v>
          </cell>
          <cell r="BT349" t="str">
            <v>0</v>
          </cell>
          <cell r="BU349" t="str">
            <v>0</v>
          </cell>
          <cell r="BV349" t="str">
            <v>0</v>
          </cell>
          <cell r="BW349" t="str">
            <v>0</v>
          </cell>
          <cell r="BX349" t="str">
            <v>0</v>
          </cell>
          <cell r="BY349" t="str">
            <v>0</v>
          </cell>
          <cell r="BZ349" t="str">
            <v>0</v>
          </cell>
          <cell r="CA349" t="str">
            <v>0</v>
          </cell>
          <cell r="CB349" t="str">
            <v>0</v>
          </cell>
          <cell r="CC349" t="str">
            <v>0</v>
          </cell>
          <cell r="CD349" t="str">
            <v>0</v>
          </cell>
          <cell r="CE349" t="str">
            <v>0</v>
          </cell>
          <cell r="CF349" t="str">
            <v>0</v>
          </cell>
          <cell r="CG349" t="str">
            <v>0</v>
          </cell>
          <cell r="CH349" t="str">
            <v>0</v>
          </cell>
          <cell r="CI349" t="str">
            <v>0</v>
          </cell>
          <cell r="CJ349" t="str">
            <v>0</v>
          </cell>
          <cell r="CK349" t="str">
            <v>0</v>
          </cell>
          <cell r="CL349" t="str">
            <v>0</v>
          </cell>
          <cell r="CM349" t="str">
            <v>0</v>
          </cell>
          <cell r="CN349" t="str">
            <v>0</v>
          </cell>
          <cell r="CO349" t="str">
            <v>0</v>
          </cell>
          <cell r="CP349" t="str">
            <v>0</v>
          </cell>
          <cell r="CQ349" t="str">
            <v>0</v>
          </cell>
          <cell r="CR349" t="str">
            <v>0</v>
          </cell>
          <cell r="CS349" t="str">
            <v>0</v>
          </cell>
          <cell r="CT349" t="str">
            <v>0</v>
          </cell>
          <cell r="CU349" t="str">
            <v>0</v>
          </cell>
          <cell r="CV349" t="str">
            <v>0</v>
          </cell>
          <cell r="CW349" t="str">
            <v>0</v>
          </cell>
          <cell r="CX349" t="str">
            <v>0</v>
          </cell>
          <cell r="CY349" t="str">
            <v>0</v>
          </cell>
          <cell r="CZ349" t="str">
            <v>0</v>
          </cell>
          <cell r="DA349" t="str">
            <v>0</v>
          </cell>
          <cell r="DB349" t="str">
            <v>0</v>
          </cell>
          <cell r="DC349" t="str">
            <v>0</v>
          </cell>
          <cell r="DD349" t="str">
            <v>0</v>
          </cell>
          <cell r="DE349" t="str">
            <v>0</v>
          </cell>
          <cell r="DF349" t="str">
            <v>0</v>
          </cell>
          <cell r="DG349" t="str">
            <v>0</v>
          </cell>
          <cell r="DH349" t="str">
            <v>0</v>
          </cell>
          <cell r="DI349" t="str">
            <v>0</v>
          </cell>
          <cell r="DJ349" t="str">
            <v>0</v>
          </cell>
          <cell r="DK349" t="str">
            <v>0</v>
          </cell>
          <cell r="DL349" t="str">
            <v>0</v>
          </cell>
          <cell r="DM349" t="str">
            <v>0</v>
          </cell>
          <cell r="DN349" t="str">
            <v>0</v>
          </cell>
          <cell r="DO349" t="str">
            <v>0</v>
          </cell>
          <cell r="DP349" t="str">
            <v>0</v>
          </cell>
        </row>
        <row r="350">
          <cell r="C350"/>
          <cell r="D350" t="str">
            <v>0</v>
          </cell>
          <cell r="E350" t="str">
            <v>0</v>
          </cell>
          <cell r="F350" t="str">
            <v>0</v>
          </cell>
          <cell r="G350" t="str">
            <v>0</v>
          </cell>
          <cell r="H350" t="str">
            <v>0</v>
          </cell>
          <cell r="I350" t="str">
            <v>0</v>
          </cell>
          <cell r="J350" t="str">
            <v>0</v>
          </cell>
          <cell r="K350" t="str">
            <v>0</v>
          </cell>
          <cell r="L350" t="str">
            <v>0</v>
          </cell>
          <cell r="M350" t="str">
            <v>0</v>
          </cell>
          <cell r="N350" t="str">
            <v>0</v>
          </cell>
          <cell r="O350" t="str">
            <v>0</v>
          </cell>
          <cell r="P350" t="str">
            <v>0</v>
          </cell>
          <cell r="Q350" t="str">
            <v>0</v>
          </cell>
          <cell r="R350" t="str">
            <v>0</v>
          </cell>
          <cell r="S350" t="str">
            <v>0</v>
          </cell>
          <cell r="T350" t="str">
            <v>0</v>
          </cell>
          <cell r="U350" t="str">
            <v>0</v>
          </cell>
          <cell r="V350" t="str">
            <v>0</v>
          </cell>
          <cell r="W350" t="str">
            <v>0</v>
          </cell>
          <cell r="X350" t="str">
            <v>0</v>
          </cell>
          <cell r="Y350" t="str">
            <v>0</v>
          </cell>
          <cell r="Z350" t="str">
            <v>0</v>
          </cell>
          <cell r="AA350" t="str">
            <v>0</v>
          </cell>
          <cell r="AB350" t="str">
            <v>0</v>
          </cell>
          <cell r="AC350" t="str">
            <v>0</v>
          </cell>
          <cell r="AD350" t="str">
            <v>0</v>
          </cell>
          <cell r="AE350" t="str">
            <v>0</v>
          </cell>
          <cell r="AF350" t="str">
            <v>0</v>
          </cell>
          <cell r="AG350" t="str">
            <v>0</v>
          </cell>
          <cell r="AH350" t="str">
            <v>0</v>
          </cell>
          <cell r="AI350" t="str">
            <v>0</v>
          </cell>
          <cell r="AJ350" t="str">
            <v>0</v>
          </cell>
          <cell r="AK350" t="str">
            <v>0</v>
          </cell>
          <cell r="AL350" t="str">
            <v>0</v>
          </cell>
          <cell r="AM350" t="str">
            <v>0</v>
          </cell>
          <cell r="AN350" t="str">
            <v>0</v>
          </cell>
          <cell r="AO350" t="str">
            <v>0</v>
          </cell>
          <cell r="AP350" t="str">
            <v>0</v>
          </cell>
          <cell r="AQ350" t="str">
            <v>0</v>
          </cell>
          <cell r="AR350" t="str">
            <v>0</v>
          </cell>
          <cell r="AS350" t="str">
            <v>0</v>
          </cell>
          <cell r="AT350" t="str">
            <v>0</v>
          </cell>
          <cell r="AU350" t="str">
            <v>0</v>
          </cell>
          <cell r="AV350" t="str">
            <v>0</v>
          </cell>
          <cell r="AW350" t="str">
            <v>0</v>
          </cell>
          <cell r="AX350" t="str">
            <v>0</v>
          </cell>
          <cell r="AY350" t="str">
            <v>0</v>
          </cell>
          <cell r="AZ350" t="str">
            <v>0</v>
          </cell>
          <cell r="BA350" t="str">
            <v>0</v>
          </cell>
          <cell r="BB350" t="str">
            <v>0</v>
          </cell>
          <cell r="BC350" t="str">
            <v>0</v>
          </cell>
          <cell r="BD350" t="str">
            <v>0</v>
          </cell>
          <cell r="BE350" t="str">
            <v>0</v>
          </cell>
          <cell r="BF350" t="str">
            <v>0</v>
          </cell>
          <cell r="BG350" t="str">
            <v>0</v>
          </cell>
          <cell r="BH350" t="str">
            <v>0</v>
          </cell>
          <cell r="BI350" t="str">
            <v>0</v>
          </cell>
          <cell r="BJ350" t="str">
            <v>0</v>
          </cell>
          <cell r="BK350" t="str">
            <v>0</v>
          </cell>
          <cell r="BL350" t="str">
            <v>0</v>
          </cell>
          <cell r="BM350" t="str">
            <v>0</v>
          </cell>
          <cell r="BN350" t="str">
            <v>0</v>
          </cell>
          <cell r="BO350" t="str">
            <v>0</v>
          </cell>
          <cell r="BP350" t="str">
            <v>0</v>
          </cell>
          <cell r="BQ350" t="str">
            <v>0</v>
          </cell>
          <cell r="BR350" t="str">
            <v>0</v>
          </cell>
          <cell r="BS350" t="str">
            <v>0</v>
          </cell>
          <cell r="BT350" t="str">
            <v>0</v>
          </cell>
          <cell r="BU350" t="str">
            <v>0</v>
          </cell>
          <cell r="BV350" t="str">
            <v>0</v>
          </cell>
          <cell r="BW350" t="str">
            <v>0</v>
          </cell>
          <cell r="BX350" t="str">
            <v>0</v>
          </cell>
          <cell r="BY350" t="str">
            <v>0</v>
          </cell>
          <cell r="BZ350" t="str">
            <v>0</v>
          </cell>
          <cell r="CA350" t="str">
            <v>0</v>
          </cell>
          <cell r="CB350" t="str">
            <v>0</v>
          </cell>
          <cell r="CC350" t="str">
            <v>0</v>
          </cell>
          <cell r="CD350" t="str">
            <v>0</v>
          </cell>
          <cell r="CE350" t="str">
            <v>0</v>
          </cell>
          <cell r="CF350" t="str">
            <v>0</v>
          </cell>
          <cell r="CG350" t="str">
            <v>0</v>
          </cell>
          <cell r="CH350" t="str">
            <v>0</v>
          </cell>
          <cell r="CI350" t="str">
            <v>0</v>
          </cell>
          <cell r="CJ350" t="str">
            <v>0</v>
          </cell>
          <cell r="CK350" t="str">
            <v>0</v>
          </cell>
          <cell r="CL350" t="str">
            <v>0</v>
          </cell>
          <cell r="CM350" t="str">
            <v>0</v>
          </cell>
          <cell r="CN350" t="str">
            <v>0</v>
          </cell>
          <cell r="CO350" t="str">
            <v>0</v>
          </cell>
          <cell r="CP350" t="str">
            <v>0</v>
          </cell>
          <cell r="CQ350" t="str">
            <v>0</v>
          </cell>
          <cell r="CR350" t="str">
            <v>0</v>
          </cell>
          <cell r="CS350" t="str">
            <v>0</v>
          </cell>
          <cell r="CT350" t="str">
            <v>0</v>
          </cell>
          <cell r="CU350" t="str">
            <v>0</v>
          </cell>
          <cell r="CV350" t="str">
            <v>0</v>
          </cell>
          <cell r="CW350" t="str">
            <v>0</v>
          </cell>
          <cell r="CX350" t="str">
            <v>0</v>
          </cell>
          <cell r="CY350" t="str">
            <v>0</v>
          </cell>
          <cell r="CZ350" t="str">
            <v>0</v>
          </cell>
          <cell r="DA350" t="str">
            <v>0</v>
          </cell>
          <cell r="DB350" t="str">
            <v>0</v>
          </cell>
          <cell r="DC350" t="str">
            <v>0</v>
          </cell>
          <cell r="DD350" t="str">
            <v>0</v>
          </cell>
          <cell r="DE350" t="str">
            <v>0</v>
          </cell>
          <cell r="DF350" t="str">
            <v>0</v>
          </cell>
          <cell r="DG350" t="str">
            <v>0</v>
          </cell>
          <cell r="DH350" t="str">
            <v>0</v>
          </cell>
          <cell r="DI350" t="str">
            <v>0</v>
          </cell>
          <cell r="DJ350" t="str">
            <v>0</v>
          </cell>
          <cell r="DK350" t="str">
            <v>0</v>
          </cell>
          <cell r="DL350" t="str">
            <v>0</v>
          </cell>
          <cell r="DM350" t="str">
            <v>0</v>
          </cell>
          <cell r="DN350" t="str">
            <v>0</v>
          </cell>
          <cell r="DO350" t="str">
            <v>0</v>
          </cell>
          <cell r="DP350" t="str">
            <v>0</v>
          </cell>
        </row>
        <row r="351">
          <cell r="C351"/>
          <cell r="D351" t="str">
            <v>0</v>
          </cell>
          <cell r="E351" t="str">
            <v>0</v>
          </cell>
          <cell r="F351" t="str">
            <v>0</v>
          </cell>
          <cell r="G351" t="str">
            <v>0</v>
          </cell>
          <cell r="H351" t="str">
            <v>0</v>
          </cell>
          <cell r="I351" t="str">
            <v>0</v>
          </cell>
          <cell r="J351" t="str">
            <v>0</v>
          </cell>
          <cell r="K351" t="str">
            <v>0</v>
          </cell>
          <cell r="L351" t="str">
            <v>0</v>
          </cell>
          <cell r="M351" t="str">
            <v>0</v>
          </cell>
          <cell r="N351" t="str">
            <v>0</v>
          </cell>
          <cell r="O351" t="str">
            <v>0</v>
          </cell>
          <cell r="P351" t="str">
            <v>0</v>
          </cell>
          <cell r="Q351" t="str">
            <v>0</v>
          </cell>
          <cell r="R351" t="str">
            <v>0</v>
          </cell>
          <cell r="S351" t="str">
            <v>0</v>
          </cell>
          <cell r="T351" t="str">
            <v>0</v>
          </cell>
          <cell r="U351" t="str">
            <v>0</v>
          </cell>
          <cell r="V351" t="str">
            <v>0</v>
          </cell>
          <cell r="W351" t="str">
            <v>0</v>
          </cell>
          <cell r="X351" t="str">
            <v>0</v>
          </cell>
          <cell r="Y351" t="str">
            <v>0</v>
          </cell>
          <cell r="Z351" t="str">
            <v>0</v>
          </cell>
          <cell r="AA351" t="str">
            <v>0</v>
          </cell>
          <cell r="AB351" t="str">
            <v>0</v>
          </cell>
          <cell r="AC351" t="str">
            <v>0</v>
          </cell>
          <cell r="AD351" t="str">
            <v>0</v>
          </cell>
          <cell r="AE351" t="str">
            <v>0</v>
          </cell>
          <cell r="AF351" t="str">
            <v>0</v>
          </cell>
          <cell r="AG351" t="str">
            <v>0</v>
          </cell>
          <cell r="AH351" t="str">
            <v>0</v>
          </cell>
          <cell r="AI351" t="str">
            <v>0</v>
          </cell>
          <cell r="AJ351" t="str">
            <v>0</v>
          </cell>
          <cell r="AK351" t="str">
            <v>0</v>
          </cell>
          <cell r="AL351" t="str">
            <v>0</v>
          </cell>
          <cell r="AM351" t="str">
            <v>0</v>
          </cell>
          <cell r="AN351" t="str">
            <v>0</v>
          </cell>
          <cell r="AO351" t="str">
            <v>0</v>
          </cell>
          <cell r="AP351" t="str">
            <v>0</v>
          </cell>
          <cell r="AQ351" t="str">
            <v>0</v>
          </cell>
          <cell r="AR351" t="str">
            <v>0</v>
          </cell>
          <cell r="AS351" t="str">
            <v>0</v>
          </cell>
          <cell r="AT351" t="str">
            <v>0</v>
          </cell>
          <cell r="AU351" t="str">
            <v>0</v>
          </cell>
          <cell r="AV351" t="str">
            <v>0</v>
          </cell>
          <cell r="AW351" t="str">
            <v>0</v>
          </cell>
          <cell r="AX351" t="str">
            <v>0</v>
          </cell>
          <cell r="AY351" t="str">
            <v>0</v>
          </cell>
          <cell r="AZ351" t="str">
            <v>0</v>
          </cell>
          <cell r="BA351" t="str">
            <v>0</v>
          </cell>
          <cell r="BB351" t="str">
            <v>0</v>
          </cell>
          <cell r="BC351" t="str">
            <v>0</v>
          </cell>
          <cell r="BD351" t="str">
            <v>0</v>
          </cell>
          <cell r="BE351" t="str">
            <v>0</v>
          </cell>
          <cell r="BF351" t="str">
            <v>0</v>
          </cell>
          <cell r="BG351" t="str">
            <v>0</v>
          </cell>
          <cell r="BH351" t="str">
            <v>0</v>
          </cell>
          <cell r="BI351" t="str">
            <v>0</v>
          </cell>
          <cell r="BJ351" t="str">
            <v>0</v>
          </cell>
          <cell r="BK351" t="str">
            <v>0</v>
          </cell>
          <cell r="BL351" t="str">
            <v>0</v>
          </cell>
          <cell r="BM351" t="str">
            <v>0</v>
          </cell>
          <cell r="BN351" t="str">
            <v>0</v>
          </cell>
          <cell r="BO351" t="str">
            <v>0</v>
          </cell>
          <cell r="BP351" t="str">
            <v>0</v>
          </cell>
          <cell r="BQ351" t="str">
            <v>0</v>
          </cell>
          <cell r="BR351" t="str">
            <v>0</v>
          </cell>
          <cell r="BS351" t="str">
            <v>0</v>
          </cell>
          <cell r="BT351" t="str">
            <v>0</v>
          </cell>
          <cell r="BU351" t="str">
            <v>0</v>
          </cell>
          <cell r="BV351" t="str">
            <v>0</v>
          </cell>
          <cell r="BW351" t="str">
            <v>0</v>
          </cell>
          <cell r="BX351" t="str">
            <v>0</v>
          </cell>
          <cell r="BY351" t="str">
            <v>0</v>
          </cell>
          <cell r="BZ351" t="str">
            <v>0</v>
          </cell>
          <cell r="CA351" t="str">
            <v>0</v>
          </cell>
          <cell r="CB351" t="str">
            <v>0</v>
          </cell>
          <cell r="CC351" t="str">
            <v>0</v>
          </cell>
          <cell r="CD351" t="str">
            <v>0</v>
          </cell>
          <cell r="CE351" t="str">
            <v>0</v>
          </cell>
          <cell r="CF351" t="str">
            <v>0</v>
          </cell>
          <cell r="CG351" t="str">
            <v>0</v>
          </cell>
          <cell r="CH351" t="str">
            <v>0</v>
          </cell>
          <cell r="CI351" t="str">
            <v>0</v>
          </cell>
          <cell r="CJ351" t="str">
            <v>0</v>
          </cell>
          <cell r="CK351" t="str">
            <v>0</v>
          </cell>
          <cell r="CL351" t="str">
            <v>0</v>
          </cell>
          <cell r="CM351" t="str">
            <v>0</v>
          </cell>
          <cell r="CN351" t="str">
            <v>0</v>
          </cell>
          <cell r="CO351" t="str">
            <v>0</v>
          </cell>
          <cell r="CP351" t="str">
            <v>0</v>
          </cell>
          <cell r="CQ351" t="str">
            <v>0</v>
          </cell>
          <cell r="CR351" t="str">
            <v>0</v>
          </cell>
          <cell r="CS351" t="str">
            <v>0</v>
          </cell>
          <cell r="CT351" t="str">
            <v>0</v>
          </cell>
          <cell r="CU351" t="str">
            <v>0</v>
          </cell>
          <cell r="CV351" t="str">
            <v>0</v>
          </cell>
          <cell r="CW351" t="str">
            <v>0</v>
          </cell>
          <cell r="CX351" t="str">
            <v>0</v>
          </cell>
          <cell r="CY351" t="str">
            <v>0</v>
          </cell>
          <cell r="CZ351" t="str">
            <v>0</v>
          </cell>
          <cell r="DA351" t="str">
            <v>0</v>
          </cell>
          <cell r="DB351" t="str">
            <v>0</v>
          </cell>
          <cell r="DC351" t="str">
            <v>0</v>
          </cell>
          <cell r="DD351" t="str">
            <v>0</v>
          </cell>
          <cell r="DE351" t="str">
            <v>0</v>
          </cell>
          <cell r="DF351" t="str">
            <v>0</v>
          </cell>
          <cell r="DG351" t="str">
            <v>0</v>
          </cell>
          <cell r="DH351" t="str">
            <v>0</v>
          </cell>
          <cell r="DI351" t="str">
            <v>0</v>
          </cell>
          <cell r="DJ351" t="str">
            <v>0</v>
          </cell>
          <cell r="DK351" t="str">
            <v>0</v>
          </cell>
          <cell r="DL351" t="str">
            <v>0</v>
          </cell>
          <cell r="DM351" t="str">
            <v>0</v>
          </cell>
          <cell r="DN351" t="str">
            <v>0</v>
          </cell>
          <cell r="DO351" t="str">
            <v>0</v>
          </cell>
          <cell r="DP351" t="str">
            <v>0</v>
          </cell>
        </row>
        <row r="352">
          <cell r="C352"/>
          <cell r="D352" t="str">
            <v>0</v>
          </cell>
          <cell r="E352" t="str">
            <v>0</v>
          </cell>
          <cell r="F352" t="str">
            <v>0</v>
          </cell>
          <cell r="G352" t="str">
            <v>0</v>
          </cell>
          <cell r="H352" t="str">
            <v>0</v>
          </cell>
          <cell r="I352" t="str">
            <v>0</v>
          </cell>
          <cell r="J352" t="str">
            <v>0</v>
          </cell>
          <cell r="K352" t="str">
            <v>0</v>
          </cell>
          <cell r="L352" t="str">
            <v>0</v>
          </cell>
          <cell r="M352" t="str">
            <v>0</v>
          </cell>
          <cell r="N352" t="str">
            <v>0</v>
          </cell>
          <cell r="O352" t="str">
            <v>0</v>
          </cell>
          <cell r="P352" t="str">
            <v>0</v>
          </cell>
          <cell r="Q352" t="str">
            <v>0</v>
          </cell>
          <cell r="R352" t="str">
            <v>0</v>
          </cell>
          <cell r="S352" t="str">
            <v>0</v>
          </cell>
          <cell r="T352" t="str">
            <v>0</v>
          </cell>
          <cell r="U352" t="str">
            <v>0</v>
          </cell>
          <cell r="V352" t="str">
            <v>0</v>
          </cell>
          <cell r="W352" t="str">
            <v>0</v>
          </cell>
          <cell r="X352" t="str">
            <v>0</v>
          </cell>
          <cell r="Y352" t="str">
            <v>0</v>
          </cell>
          <cell r="Z352" t="str">
            <v>0</v>
          </cell>
          <cell r="AA352" t="str">
            <v>0</v>
          </cell>
          <cell r="AB352" t="str">
            <v>0</v>
          </cell>
          <cell r="AC352" t="str">
            <v>0</v>
          </cell>
          <cell r="AD352" t="str">
            <v>0</v>
          </cell>
          <cell r="AE352" t="str">
            <v>0</v>
          </cell>
          <cell r="AF352" t="str">
            <v>0</v>
          </cell>
          <cell r="AG352" t="str">
            <v>0</v>
          </cell>
          <cell r="AH352" t="str">
            <v>0</v>
          </cell>
          <cell r="AI352" t="str">
            <v>0</v>
          </cell>
          <cell r="AJ352" t="str">
            <v>0</v>
          </cell>
          <cell r="AK352" t="str">
            <v>0</v>
          </cell>
          <cell r="AL352" t="str">
            <v>0</v>
          </cell>
          <cell r="AM352" t="str">
            <v>0</v>
          </cell>
          <cell r="AN352" t="str">
            <v>0</v>
          </cell>
          <cell r="AO352" t="str">
            <v>0</v>
          </cell>
          <cell r="AP352" t="str">
            <v>0</v>
          </cell>
          <cell r="AQ352" t="str">
            <v>0</v>
          </cell>
          <cell r="AR352" t="str">
            <v>0</v>
          </cell>
          <cell r="AS352" t="str">
            <v>0</v>
          </cell>
          <cell r="AT352" t="str">
            <v>0</v>
          </cell>
          <cell r="AU352" t="str">
            <v>0</v>
          </cell>
          <cell r="AV352" t="str">
            <v>0</v>
          </cell>
          <cell r="AW352" t="str">
            <v>0</v>
          </cell>
          <cell r="AX352" t="str">
            <v>0</v>
          </cell>
          <cell r="AY352" t="str">
            <v>0</v>
          </cell>
          <cell r="AZ352" t="str">
            <v>0</v>
          </cell>
          <cell r="BA352" t="str">
            <v>0</v>
          </cell>
          <cell r="BB352" t="str">
            <v>0</v>
          </cell>
          <cell r="BC352" t="str">
            <v>0</v>
          </cell>
          <cell r="BD352" t="str">
            <v>0</v>
          </cell>
          <cell r="BE352" t="str">
            <v>0</v>
          </cell>
          <cell r="BF352" t="str">
            <v>0</v>
          </cell>
          <cell r="BG352" t="str">
            <v>0</v>
          </cell>
          <cell r="BH352" t="str">
            <v>0</v>
          </cell>
          <cell r="BI352" t="str">
            <v>0</v>
          </cell>
          <cell r="BJ352" t="str">
            <v>0</v>
          </cell>
          <cell r="BK352" t="str">
            <v>0</v>
          </cell>
          <cell r="BL352" t="str">
            <v>0</v>
          </cell>
          <cell r="BM352" t="str">
            <v>0</v>
          </cell>
          <cell r="BN352" t="str">
            <v>0</v>
          </cell>
          <cell r="BO352" t="str">
            <v>0</v>
          </cell>
          <cell r="BP352" t="str">
            <v>0</v>
          </cell>
          <cell r="BQ352" t="str">
            <v>0</v>
          </cell>
          <cell r="BR352" t="str">
            <v>0</v>
          </cell>
          <cell r="BS352" t="str">
            <v>0</v>
          </cell>
          <cell r="BT352" t="str">
            <v>0</v>
          </cell>
          <cell r="BU352" t="str">
            <v>0</v>
          </cell>
          <cell r="BV352" t="str">
            <v>0</v>
          </cell>
          <cell r="BW352" t="str">
            <v>0</v>
          </cell>
          <cell r="BX352" t="str">
            <v>0</v>
          </cell>
          <cell r="BY352" t="str">
            <v>0</v>
          </cell>
          <cell r="BZ352" t="str">
            <v>0</v>
          </cell>
          <cell r="CA352" t="str">
            <v>0</v>
          </cell>
          <cell r="CB352" t="str">
            <v>0</v>
          </cell>
          <cell r="CC352" t="str">
            <v>0</v>
          </cell>
          <cell r="CD352" t="str">
            <v>0</v>
          </cell>
          <cell r="CE352" t="str">
            <v>0</v>
          </cell>
          <cell r="CF352" t="str">
            <v>0</v>
          </cell>
          <cell r="CG352" t="str">
            <v>0</v>
          </cell>
          <cell r="CH352" t="str">
            <v>0</v>
          </cell>
          <cell r="CI352" t="str">
            <v>0</v>
          </cell>
          <cell r="CJ352" t="str">
            <v>0</v>
          </cell>
          <cell r="CK352" t="str">
            <v>0</v>
          </cell>
          <cell r="CL352" t="str">
            <v>0</v>
          </cell>
          <cell r="CM352" t="str">
            <v>0</v>
          </cell>
          <cell r="CN352" t="str">
            <v>0</v>
          </cell>
          <cell r="CO352" t="str">
            <v>0</v>
          </cell>
          <cell r="CP352" t="str">
            <v>0</v>
          </cell>
          <cell r="CQ352" t="str">
            <v>0</v>
          </cell>
          <cell r="CR352" t="str">
            <v>0</v>
          </cell>
          <cell r="CS352" t="str">
            <v>0</v>
          </cell>
          <cell r="CT352" t="str">
            <v>0</v>
          </cell>
          <cell r="CU352" t="str">
            <v>0</v>
          </cell>
          <cell r="CV352" t="str">
            <v>0</v>
          </cell>
          <cell r="CW352" t="str">
            <v>0</v>
          </cell>
          <cell r="CX352" t="str">
            <v>0</v>
          </cell>
          <cell r="CY352" t="str">
            <v>0</v>
          </cell>
          <cell r="CZ352" t="str">
            <v>0</v>
          </cell>
          <cell r="DA352" t="str">
            <v>0</v>
          </cell>
          <cell r="DB352" t="str">
            <v>0</v>
          </cell>
          <cell r="DC352" t="str">
            <v>0</v>
          </cell>
          <cell r="DD352" t="str">
            <v>0</v>
          </cell>
          <cell r="DE352" t="str">
            <v>0</v>
          </cell>
          <cell r="DF352" t="str">
            <v>0</v>
          </cell>
          <cell r="DG352" t="str">
            <v>0</v>
          </cell>
          <cell r="DH352" t="str">
            <v>0</v>
          </cell>
          <cell r="DI352" t="str">
            <v>0</v>
          </cell>
          <cell r="DJ352" t="str">
            <v>0</v>
          </cell>
          <cell r="DK352" t="str">
            <v>0</v>
          </cell>
          <cell r="DL352" t="str">
            <v>0</v>
          </cell>
          <cell r="DM352" t="str">
            <v>0</v>
          </cell>
          <cell r="DN352" t="str">
            <v>0</v>
          </cell>
          <cell r="DO352" t="str">
            <v>0</v>
          </cell>
          <cell r="DP352" t="str">
            <v>0</v>
          </cell>
        </row>
        <row r="353">
          <cell r="C353"/>
          <cell r="D353" t="str">
            <v>0</v>
          </cell>
          <cell r="E353" t="str">
            <v>0</v>
          </cell>
          <cell r="F353" t="str">
            <v>0</v>
          </cell>
          <cell r="G353" t="str">
            <v>0</v>
          </cell>
          <cell r="H353" t="str">
            <v>0</v>
          </cell>
          <cell r="I353" t="str">
            <v>0</v>
          </cell>
          <cell r="J353" t="str">
            <v>0</v>
          </cell>
          <cell r="K353" t="str">
            <v>0</v>
          </cell>
          <cell r="L353" t="str">
            <v>0</v>
          </cell>
          <cell r="M353" t="str">
            <v>0</v>
          </cell>
          <cell r="N353" t="str">
            <v>0</v>
          </cell>
          <cell r="O353" t="str">
            <v>0</v>
          </cell>
          <cell r="P353" t="str">
            <v>0</v>
          </cell>
          <cell r="Q353" t="str">
            <v>0</v>
          </cell>
          <cell r="R353" t="str">
            <v>0</v>
          </cell>
          <cell r="S353" t="str">
            <v>0</v>
          </cell>
          <cell r="T353" t="str">
            <v>0</v>
          </cell>
          <cell r="U353" t="str">
            <v>0</v>
          </cell>
          <cell r="V353" t="str">
            <v>0</v>
          </cell>
          <cell r="W353" t="str">
            <v>0</v>
          </cell>
          <cell r="X353" t="str">
            <v>0</v>
          </cell>
          <cell r="Y353" t="str">
            <v>0</v>
          </cell>
          <cell r="Z353" t="str">
            <v>0</v>
          </cell>
          <cell r="AA353" t="str">
            <v>0</v>
          </cell>
          <cell r="AB353" t="str">
            <v>0</v>
          </cell>
          <cell r="AC353" t="str">
            <v>0</v>
          </cell>
          <cell r="AD353" t="str">
            <v>0</v>
          </cell>
          <cell r="AE353" t="str">
            <v>0</v>
          </cell>
          <cell r="AF353" t="str">
            <v>0</v>
          </cell>
          <cell r="AG353" t="str">
            <v>0</v>
          </cell>
          <cell r="AH353" t="str">
            <v>0</v>
          </cell>
          <cell r="AI353" t="str">
            <v>0</v>
          </cell>
          <cell r="AJ353" t="str">
            <v>0</v>
          </cell>
          <cell r="AK353" t="str">
            <v>0</v>
          </cell>
          <cell r="AL353" t="str">
            <v>0</v>
          </cell>
          <cell r="AM353" t="str">
            <v>0</v>
          </cell>
          <cell r="AN353" t="str">
            <v>0</v>
          </cell>
          <cell r="AO353" t="str">
            <v>0</v>
          </cell>
          <cell r="AP353" t="str">
            <v>0</v>
          </cell>
          <cell r="AQ353" t="str">
            <v>0</v>
          </cell>
          <cell r="AR353" t="str">
            <v>0</v>
          </cell>
          <cell r="AS353" t="str">
            <v>0</v>
          </cell>
          <cell r="AT353" t="str">
            <v>0</v>
          </cell>
          <cell r="AU353" t="str">
            <v>0</v>
          </cell>
          <cell r="AV353" t="str">
            <v>0</v>
          </cell>
          <cell r="AW353" t="str">
            <v>0</v>
          </cell>
          <cell r="AX353" t="str">
            <v>0</v>
          </cell>
          <cell r="AY353" t="str">
            <v>0</v>
          </cell>
          <cell r="AZ353" t="str">
            <v>0</v>
          </cell>
          <cell r="BA353" t="str">
            <v>0</v>
          </cell>
          <cell r="BB353" t="str">
            <v>0</v>
          </cell>
          <cell r="BC353" t="str">
            <v>0</v>
          </cell>
          <cell r="BD353" t="str">
            <v>0</v>
          </cell>
          <cell r="BE353" t="str">
            <v>0</v>
          </cell>
          <cell r="BF353" t="str">
            <v>0</v>
          </cell>
          <cell r="BG353" t="str">
            <v>0</v>
          </cell>
          <cell r="BH353" t="str">
            <v>0</v>
          </cell>
          <cell r="BI353" t="str">
            <v>0</v>
          </cell>
          <cell r="BJ353" t="str">
            <v>0</v>
          </cell>
          <cell r="BK353" t="str">
            <v>0</v>
          </cell>
          <cell r="BL353" t="str">
            <v>0</v>
          </cell>
          <cell r="BM353" t="str">
            <v>0</v>
          </cell>
          <cell r="BN353" t="str">
            <v>0</v>
          </cell>
          <cell r="BO353" t="str">
            <v>0</v>
          </cell>
          <cell r="BP353" t="str">
            <v>0</v>
          </cell>
          <cell r="BQ353" t="str">
            <v>0</v>
          </cell>
          <cell r="BR353" t="str">
            <v>0</v>
          </cell>
          <cell r="BS353" t="str">
            <v>0</v>
          </cell>
          <cell r="BT353" t="str">
            <v>0</v>
          </cell>
          <cell r="BU353" t="str">
            <v>0</v>
          </cell>
          <cell r="BV353" t="str">
            <v>0</v>
          </cell>
          <cell r="BW353" t="str">
            <v>0</v>
          </cell>
          <cell r="BX353" t="str">
            <v>0</v>
          </cell>
          <cell r="BY353" t="str">
            <v>0</v>
          </cell>
          <cell r="BZ353" t="str">
            <v>0</v>
          </cell>
          <cell r="CA353" t="str">
            <v>0</v>
          </cell>
          <cell r="CB353" t="str">
            <v>0</v>
          </cell>
          <cell r="CC353" t="str">
            <v>0</v>
          </cell>
          <cell r="CD353" t="str">
            <v>0</v>
          </cell>
          <cell r="CE353" t="str">
            <v>0</v>
          </cell>
          <cell r="CF353" t="str">
            <v>0</v>
          </cell>
          <cell r="CG353" t="str">
            <v>0</v>
          </cell>
          <cell r="CH353" t="str">
            <v>0</v>
          </cell>
          <cell r="CI353" t="str">
            <v>0</v>
          </cell>
          <cell r="CJ353" t="str">
            <v>0</v>
          </cell>
          <cell r="CK353" t="str">
            <v>0</v>
          </cell>
          <cell r="CL353" t="str">
            <v>0</v>
          </cell>
          <cell r="CM353" t="str">
            <v>0</v>
          </cell>
          <cell r="CN353" t="str">
            <v>0</v>
          </cell>
          <cell r="CO353" t="str">
            <v>0</v>
          </cell>
          <cell r="CP353" t="str">
            <v>0</v>
          </cell>
          <cell r="CQ353" t="str">
            <v>0</v>
          </cell>
          <cell r="CR353" t="str">
            <v>0</v>
          </cell>
          <cell r="CS353" t="str">
            <v>0</v>
          </cell>
          <cell r="CT353" t="str">
            <v>0</v>
          </cell>
          <cell r="CU353" t="str">
            <v>0</v>
          </cell>
          <cell r="CV353" t="str">
            <v>0</v>
          </cell>
          <cell r="CW353" t="str">
            <v>0</v>
          </cell>
          <cell r="CX353" t="str">
            <v>0</v>
          </cell>
          <cell r="CY353" t="str">
            <v>0</v>
          </cell>
          <cell r="CZ353" t="str">
            <v>0</v>
          </cell>
          <cell r="DA353" t="str">
            <v>0</v>
          </cell>
          <cell r="DB353" t="str">
            <v>0</v>
          </cell>
          <cell r="DC353" t="str">
            <v>0</v>
          </cell>
          <cell r="DD353" t="str">
            <v>0</v>
          </cell>
          <cell r="DE353" t="str">
            <v>0</v>
          </cell>
          <cell r="DF353" t="str">
            <v>0</v>
          </cell>
          <cell r="DG353" t="str">
            <v>0</v>
          </cell>
          <cell r="DH353" t="str">
            <v>0</v>
          </cell>
          <cell r="DI353" t="str">
            <v>0</v>
          </cell>
          <cell r="DJ353" t="str">
            <v>0</v>
          </cell>
          <cell r="DK353" t="str">
            <v>0</v>
          </cell>
          <cell r="DL353" t="str">
            <v>0</v>
          </cell>
          <cell r="DM353" t="str">
            <v>0</v>
          </cell>
          <cell r="DN353" t="str">
            <v>0</v>
          </cell>
          <cell r="DO353" t="str">
            <v>0</v>
          </cell>
          <cell r="DP353" t="str">
            <v>0</v>
          </cell>
        </row>
        <row r="354">
          <cell r="C354"/>
          <cell r="D354" t="str">
            <v>0</v>
          </cell>
          <cell r="E354" t="str">
            <v>0</v>
          </cell>
          <cell r="F354" t="str">
            <v>0</v>
          </cell>
          <cell r="G354" t="str">
            <v>0</v>
          </cell>
          <cell r="H354" t="str">
            <v>0</v>
          </cell>
          <cell r="I354" t="str">
            <v>0</v>
          </cell>
          <cell r="J354" t="str">
            <v>0</v>
          </cell>
          <cell r="K354" t="str">
            <v>0</v>
          </cell>
          <cell r="L354" t="str">
            <v>0</v>
          </cell>
          <cell r="M354" t="str">
            <v>0</v>
          </cell>
          <cell r="N354" t="str">
            <v>0</v>
          </cell>
          <cell r="O354" t="str">
            <v>0</v>
          </cell>
          <cell r="P354" t="str">
            <v>0</v>
          </cell>
          <cell r="Q354" t="str">
            <v>0</v>
          </cell>
          <cell r="R354" t="str">
            <v>0</v>
          </cell>
          <cell r="S354" t="str">
            <v>0</v>
          </cell>
          <cell r="T354" t="str">
            <v>0</v>
          </cell>
          <cell r="U354" t="str">
            <v>0</v>
          </cell>
          <cell r="V354" t="str">
            <v>0</v>
          </cell>
          <cell r="W354" t="str">
            <v>0</v>
          </cell>
          <cell r="X354" t="str">
            <v>0</v>
          </cell>
          <cell r="Y354" t="str">
            <v>0</v>
          </cell>
          <cell r="Z354" t="str">
            <v>0</v>
          </cell>
          <cell r="AA354" t="str">
            <v>0</v>
          </cell>
          <cell r="AB354" t="str">
            <v>0</v>
          </cell>
          <cell r="AC354" t="str">
            <v>0</v>
          </cell>
          <cell r="AD354" t="str">
            <v>0</v>
          </cell>
          <cell r="AE354" t="str">
            <v>0</v>
          </cell>
          <cell r="AF354" t="str">
            <v>0</v>
          </cell>
          <cell r="AG354" t="str">
            <v>0</v>
          </cell>
          <cell r="AH354" t="str">
            <v>0</v>
          </cell>
          <cell r="AI354" t="str">
            <v>0</v>
          </cell>
          <cell r="AJ354" t="str">
            <v>0</v>
          </cell>
          <cell r="AK354" t="str">
            <v>0</v>
          </cell>
          <cell r="AL354" t="str">
            <v>0</v>
          </cell>
          <cell r="AM354" t="str">
            <v>0</v>
          </cell>
          <cell r="AN354" t="str">
            <v>0</v>
          </cell>
          <cell r="AO354" t="str">
            <v>0</v>
          </cell>
          <cell r="AP354" t="str">
            <v>0</v>
          </cell>
          <cell r="AQ354" t="str">
            <v>0</v>
          </cell>
          <cell r="AR354" t="str">
            <v>0</v>
          </cell>
          <cell r="AS354" t="str">
            <v>0</v>
          </cell>
          <cell r="AT354" t="str">
            <v>0</v>
          </cell>
          <cell r="AU354" t="str">
            <v>0</v>
          </cell>
          <cell r="AV354" t="str">
            <v>0</v>
          </cell>
          <cell r="AW354" t="str">
            <v>0</v>
          </cell>
          <cell r="AX354" t="str">
            <v>0</v>
          </cell>
          <cell r="AY354" t="str">
            <v>0</v>
          </cell>
          <cell r="AZ354" t="str">
            <v>0</v>
          </cell>
          <cell r="BA354" t="str">
            <v>0</v>
          </cell>
          <cell r="BB354" t="str">
            <v>0</v>
          </cell>
          <cell r="BC354" t="str">
            <v>0</v>
          </cell>
          <cell r="BD354" t="str">
            <v>0</v>
          </cell>
          <cell r="BE354" t="str">
            <v>0</v>
          </cell>
          <cell r="BF354" t="str">
            <v>0</v>
          </cell>
          <cell r="BG354" t="str">
            <v>0</v>
          </cell>
          <cell r="BH354" t="str">
            <v>0</v>
          </cell>
          <cell r="BI354" t="str">
            <v>0</v>
          </cell>
          <cell r="BJ354" t="str">
            <v>0</v>
          </cell>
          <cell r="BK354" t="str">
            <v>0</v>
          </cell>
          <cell r="BL354" t="str">
            <v>0</v>
          </cell>
          <cell r="BM354" t="str">
            <v>0</v>
          </cell>
          <cell r="BN354" t="str">
            <v>0</v>
          </cell>
          <cell r="BO354" t="str">
            <v>0</v>
          </cell>
          <cell r="BP354" t="str">
            <v>0</v>
          </cell>
          <cell r="BQ354" t="str">
            <v>0</v>
          </cell>
          <cell r="BR354" t="str">
            <v>0</v>
          </cell>
          <cell r="BS354" t="str">
            <v>0</v>
          </cell>
          <cell r="BT354" t="str">
            <v>0</v>
          </cell>
          <cell r="BU354" t="str">
            <v>0</v>
          </cell>
          <cell r="BV354" t="str">
            <v>0</v>
          </cell>
          <cell r="BW354" t="str">
            <v>0</v>
          </cell>
          <cell r="BX354" t="str">
            <v>0</v>
          </cell>
          <cell r="BY354" t="str">
            <v>0</v>
          </cell>
          <cell r="BZ354" t="str">
            <v>0</v>
          </cell>
          <cell r="CA354" t="str">
            <v>0</v>
          </cell>
          <cell r="CB354" t="str">
            <v>0</v>
          </cell>
          <cell r="CC354" t="str">
            <v>0</v>
          </cell>
          <cell r="CD354" t="str">
            <v>0</v>
          </cell>
          <cell r="CE354" t="str">
            <v>0</v>
          </cell>
          <cell r="CF354" t="str">
            <v>0</v>
          </cell>
          <cell r="CG354" t="str">
            <v>0</v>
          </cell>
          <cell r="CH354" t="str">
            <v>0</v>
          </cell>
          <cell r="CI354" t="str">
            <v>0</v>
          </cell>
          <cell r="CJ354" t="str">
            <v>0</v>
          </cell>
          <cell r="CK354" t="str">
            <v>0</v>
          </cell>
          <cell r="CL354" t="str">
            <v>0</v>
          </cell>
          <cell r="CM354" t="str">
            <v>0</v>
          </cell>
          <cell r="CN354" t="str">
            <v>0</v>
          </cell>
          <cell r="CO354" t="str">
            <v>0</v>
          </cell>
          <cell r="CP354" t="str">
            <v>0</v>
          </cell>
          <cell r="CQ354" t="str">
            <v>0</v>
          </cell>
          <cell r="CR354" t="str">
            <v>0</v>
          </cell>
          <cell r="CS354" t="str">
            <v>0</v>
          </cell>
          <cell r="CT354" t="str">
            <v>0</v>
          </cell>
          <cell r="CU354" t="str">
            <v>0</v>
          </cell>
          <cell r="CV354" t="str">
            <v>0</v>
          </cell>
          <cell r="CW354" t="str">
            <v>0</v>
          </cell>
          <cell r="CX354" t="str">
            <v>0</v>
          </cell>
          <cell r="CY354" t="str">
            <v>0</v>
          </cell>
          <cell r="CZ354" t="str">
            <v>0</v>
          </cell>
          <cell r="DA354" t="str">
            <v>0</v>
          </cell>
          <cell r="DB354" t="str">
            <v>0</v>
          </cell>
          <cell r="DC354" t="str">
            <v>0</v>
          </cell>
          <cell r="DD354" t="str">
            <v>0</v>
          </cell>
          <cell r="DE354" t="str">
            <v>0</v>
          </cell>
          <cell r="DF354" t="str">
            <v>0</v>
          </cell>
          <cell r="DG354" t="str">
            <v>0</v>
          </cell>
          <cell r="DH354" t="str">
            <v>0</v>
          </cell>
          <cell r="DI354" t="str">
            <v>0</v>
          </cell>
          <cell r="DJ354" t="str">
            <v>0</v>
          </cell>
          <cell r="DK354" t="str">
            <v>0</v>
          </cell>
          <cell r="DL354" t="str">
            <v>0</v>
          </cell>
          <cell r="DM354" t="str">
            <v>0</v>
          </cell>
          <cell r="DN354" t="str">
            <v>0</v>
          </cell>
          <cell r="DO354" t="str">
            <v>0</v>
          </cell>
          <cell r="DP354" t="str">
            <v>0</v>
          </cell>
        </row>
        <row r="355">
          <cell r="C355"/>
          <cell r="D355" t="str">
            <v>0</v>
          </cell>
          <cell r="E355" t="str">
            <v>0</v>
          </cell>
          <cell r="F355" t="str">
            <v>0</v>
          </cell>
          <cell r="G355" t="str">
            <v>0</v>
          </cell>
          <cell r="H355" t="str">
            <v>0</v>
          </cell>
          <cell r="I355" t="str">
            <v>0</v>
          </cell>
          <cell r="J355" t="str">
            <v>0</v>
          </cell>
          <cell r="K355" t="str">
            <v>0</v>
          </cell>
          <cell r="L355" t="str">
            <v>0</v>
          </cell>
          <cell r="M355" t="str">
            <v>0</v>
          </cell>
          <cell r="N355" t="str">
            <v>0</v>
          </cell>
          <cell r="O355" t="str">
            <v>0</v>
          </cell>
          <cell r="P355" t="str">
            <v>0</v>
          </cell>
          <cell r="Q355" t="str">
            <v>0</v>
          </cell>
          <cell r="R355" t="str">
            <v>0</v>
          </cell>
          <cell r="S355" t="str">
            <v>0</v>
          </cell>
          <cell r="T355" t="str">
            <v>0</v>
          </cell>
          <cell r="U355" t="str">
            <v>0</v>
          </cell>
          <cell r="V355" t="str">
            <v>0</v>
          </cell>
          <cell r="W355" t="str">
            <v>0</v>
          </cell>
          <cell r="X355" t="str">
            <v>0</v>
          </cell>
          <cell r="Y355" t="str">
            <v>0</v>
          </cell>
          <cell r="Z355" t="str">
            <v>0</v>
          </cell>
          <cell r="AA355" t="str">
            <v>0</v>
          </cell>
          <cell r="AB355" t="str">
            <v>0</v>
          </cell>
          <cell r="AC355" t="str">
            <v>0</v>
          </cell>
          <cell r="AD355" t="str">
            <v>0</v>
          </cell>
          <cell r="AE355" t="str">
            <v>0</v>
          </cell>
          <cell r="AF355" t="str">
            <v>0</v>
          </cell>
          <cell r="AG355" t="str">
            <v>0</v>
          </cell>
          <cell r="AH355" t="str">
            <v>0</v>
          </cell>
          <cell r="AI355" t="str">
            <v>0</v>
          </cell>
          <cell r="AJ355" t="str">
            <v>0</v>
          </cell>
          <cell r="AK355" t="str">
            <v>0</v>
          </cell>
          <cell r="AL355" t="str">
            <v>0</v>
          </cell>
          <cell r="AM355" t="str">
            <v>0</v>
          </cell>
          <cell r="AN355" t="str">
            <v>0</v>
          </cell>
          <cell r="AO355" t="str">
            <v>0</v>
          </cell>
          <cell r="AP355" t="str">
            <v>0</v>
          </cell>
          <cell r="AQ355" t="str">
            <v>0</v>
          </cell>
          <cell r="AR355" t="str">
            <v>0</v>
          </cell>
          <cell r="AS355" t="str">
            <v>0</v>
          </cell>
          <cell r="AT355" t="str">
            <v>0</v>
          </cell>
          <cell r="AU355" t="str">
            <v>0</v>
          </cell>
          <cell r="AV355" t="str">
            <v>0</v>
          </cell>
          <cell r="AW355" t="str">
            <v>0</v>
          </cell>
          <cell r="AX355" t="str">
            <v>0</v>
          </cell>
          <cell r="AY355" t="str">
            <v>0</v>
          </cell>
          <cell r="AZ355" t="str">
            <v>0</v>
          </cell>
          <cell r="BA355" t="str">
            <v>0</v>
          </cell>
          <cell r="BB355" t="str">
            <v>0</v>
          </cell>
          <cell r="BC355" t="str">
            <v>0</v>
          </cell>
          <cell r="BD355" t="str">
            <v>0</v>
          </cell>
          <cell r="BE355" t="str">
            <v>0</v>
          </cell>
          <cell r="BF355" t="str">
            <v>0</v>
          </cell>
          <cell r="BG355" t="str">
            <v>0</v>
          </cell>
          <cell r="BH355" t="str">
            <v>0</v>
          </cell>
          <cell r="BI355" t="str">
            <v>0</v>
          </cell>
          <cell r="BJ355" t="str">
            <v>0</v>
          </cell>
          <cell r="BK355" t="str">
            <v>0</v>
          </cell>
          <cell r="BL355" t="str">
            <v>0</v>
          </cell>
          <cell r="BM355" t="str">
            <v>0</v>
          </cell>
          <cell r="BN355" t="str">
            <v>0</v>
          </cell>
          <cell r="BO355" t="str">
            <v>0</v>
          </cell>
          <cell r="BP355" t="str">
            <v>0</v>
          </cell>
          <cell r="BQ355" t="str">
            <v>0</v>
          </cell>
          <cell r="BR355" t="str">
            <v>0</v>
          </cell>
          <cell r="BS355" t="str">
            <v>0</v>
          </cell>
          <cell r="BT355" t="str">
            <v>0</v>
          </cell>
          <cell r="BU355" t="str">
            <v>0</v>
          </cell>
          <cell r="BV355" t="str">
            <v>0</v>
          </cell>
          <cell r="BW355" t="str">
            <v>0</v>
          </cell>
          <cell r="BX355" t="str">
            <v>0</v>
          </cell>
          <cell r="BY355" t="str">
            <v>0</v>
          </cell>
          <cell r="BZ355" t="str">
            <v>0</v>
          </cell>
          <cell r="CA355" t="str">
            <v>0</v>
          </cell>
          <cell r="CB355" t="str">
            <v>0</v>
          </cell>
          <cell r="CC355" t="str">
            <v>0</v>
          </cell>
          <cell r="CD355" t="str">
            <v>0</v>
          </cell>
          <cell r="CE355" t="str">
            <v>0</v>
          </cell>
          <cell r="CF355" t="str">
            <v>0</v>
          </cell>
          <cell r="CG355" t="str">
            <v>0</v>
          </cell>
          <cell r="CH355" t="str">
            <v>0</v>
          </cell>
          <cell r="CI355" t="str">
            <v>0</v>
          </cell>
          <cell r="CJ355" t="str">
            <v>0</v>
          </cell>
          <cell r="CK355" t="str">
            <v>0</v>
          </cell>
          <cell r="CL355" t="str">
            <v>0</v>
          </cell>
          <cell r="CM355" t="str">
            <v>0</v>
          </cell>
          <cell r="CN355" t="str">
            <v>0</v>
          </cell>
          <cell r="CO355" t="str">
            <v>0</v>
          </cell>
          <cell r="CP355" t="str">
            <v>0</v>
          </cell>
          <cell r="CQ355" t="str">
            <v>0</v>
          </cell>
          <cell r="CR355" t="str">
            <v>0</v>
          </cell>
          <cell r="CS355" t="str">
            <v>0</v>
          </cell>
          <cell r="CT355" t="str">
            <v>0</v>
          </cell>
          <cell r="CU355" t="str">
            <v>0</v>
          </cell>
          <cell r="CV355" t="str">
            <v>0</v>
          </cell>
          <cell r="CW355" t="str">
            <v>0</v>
          </cell>
          <cell r="CX355" t="str">
            <v>0</v>
          </cell>
          <cell r="CY355" t="str">
            <v>0</v>
          </cell>
          <cell r="CZ355" t="str">
            <v>0</v>
          </cell>
          <cell r="DA355" t="str">
            <v>0</v>
          </cell>
          <cell r="DB355" t="str">
            <v>0</v>
          </cell>
          <cell r="DC355" t="str">
            <v>0</v>
          </cell>
          <cell r="DD355" t="str">
            <v>0</v>
          </cell>
          <cell r="DE355" t="str">
            <v>0</v>
          </cell>
          <cell r="DF355" t="str">
            <v>0</v>
          </cell>
          <cell r="DG355" t="str">
            <v>0</v>
          </cell>
          <cell r="DH355" t="str">
            <v>0</v>
          </cell>
          <cell r="DI355" t="str">
            <v>0</v>
          </cell>
          <cell r="DJ355" t="str">
            <v>0</v>
          </cell>
          <cell r="DK355" t="str">
            <v>0</v>
          </cell>
          <cell r="DL355" t="str">
            <v>0</v>
          </cell>
          <cell r="DM355" t="str">
            <v>0</v>
          </cell>
          <cell r="DN355" t="str">
            <v>0</v>
          </cell>
          <cell r="DO355" t="str">
            <v>0</v>
          </cell>
          <cell r="DP355" t="str">
            <v>0</v>
          </cell>
        </row>
        <row r="356">
          <cell r="C356"/>
          <cell r="D356" t="str">
            <v>0</v>
          </cell>
          <cell r="E356" t="str">
            <v>0</v>
          </cell>
          <cell r="F356" t="str">
            <v>0</v>
          </cell>
          <cell r="G356" t="str">
            <v>0</v>
          </cell>
          <cell r="H356" t="str">
            <v>0</v>
          </cell>
          <cell r="I356" t="str">
            <v>0</v>
          </cell>
          <cell r="J356" t="str">
            <v>0</v>
          </cell>
          <cell r="K356" t="str">
            <v>0</v>
          </cell>
          <cell r="L356" t="str">
            <v>0</v>
          </cell>
          <cell r="M356" t="str">
            <v>0</v>
          </cell>
          <cell r="N356" t="str">
            <v>0</v>
          </cell>
          <cell r="O356" t="str">
            <v>0</v>
          </cell>
          <cell r="P356" t="str">
            <v>0</v>
          </cell>
          <cell r="Q356" t="str">
            <v>0</v>
          </cell>
          <cell r="R356" t="str">
            <v>0</v>
          </cell>
          <cell r="S356" t="str">
            <v>0</v>
          </cell>
          <cell r="T356" t="str">
            <v>0</v>
          </cell>
          <cell r="U356" t="str">
            <v>0</v>
          </cell>
          <cell r="V356" t="str">
            <v>0</v>
          </cell>
          <cell r="W356" t="str">
            <v>0</v>
          </cell>
          <cell r="X356" t="str">
            <v>0</v>
          </cell>
          <cell r="Y356" t="str">
            <v>0</v>
          </cell>
          <cell r="Z356" t="str">
            <v>0</v>
          </cell>
          <cell r="AA356" t="str">
            <v>0</v>
          </cell>
          <cell r="AB356" t="str">
            <v>0</v>
          </cell>
          <cell r="AC356" t="str">
            <v>0</v>
          </cell>
          <cell r="AD356" t="str">
            <v>0</v>
          </cell>
          <cell r="AE356" t="str">
            <v>0</v>
          </cell>
          <cell r="AF356" t="str">
            <v>0</v>
          </cell>
          <cell r="AG356" t="str">
            <v>0</v>
          </cell>
          <cell r="AH356" t="str">
            <v>0</v>
          </cell>
          <cell r="AI356" t="str">
            <v>0</v>
          </cell>
          <cell r="AJ356" t="str">
            <v>0</v>
          </cell>
          <cell r="AK356" t="str">
            <v>0</v>
          </cell>
          <cell r="AL356" t="str">
            <v>0</v>
          </cell>
          <cell r="AM356" t="str">
            <v>0</v>
          </cell>
          <cell r="AN356" t="str">
            <v>0</v>
          </cell>
          <cell r="AO356" t="str">
            <v>0</v>
          </cell>
          <cell r="AP356" t="str">
            <v>0</v>
          </cell>
          <cell r="AQ356" t="str">
            <v>0</v>
          </cell>
          <cell r="AR356" t="str">
            <v>0</v>
          </cell>
          <cell r="AS356" t="str">
            <v>0</v>
          </cell>
          <cell r="AT356" t="str">
            <v>0</v>
          </cell>
          <cell r="AU356" t="str">
            <v>0</v>
          </cell>
          <cell r="AV356" t="str">
            <v>0</v>
          </cell>
          <cell r="AW356" t="str">
            <v>0</v>
          </cell>
          <cell r="AX356" t="str">
            <v>0</v>
          </cell>
          <cell r="AY356" t="str">
            <v>0</v>
          </cell>
          <cell r="AZ356" t="str">
            <v>0</v>
          </cell>
          <cell r="BA356" t="str">
            <v>0</v>
          </cell>
          <cell r="BB356" t="str">
            <v>0</v>
          </cell>
          <cell r="BC356" t="str">
            <v>0</v>
          </cell>
          <cell r="BD356" t="str">
            <v>0</v>
          </cell>
          <cell r="BE356" t="str">
            <v>0</v>
          </cell>
          <cell r="BF356" t="str">
            <v>0</v>
          </cell>
          <cell r="BG356" t="str">
            <v>0</v>
          </cell>
          <cell r="BH356" t="str">
            <v>0</v>
          </cell>
          <cell r="BI356" t="str">
            <v>0</v>
          </cell>
          <cell r="BJ356" t="str">
            <v>0</v>
          </cell>
          <cell r="BK356" t="str">
            <v>0</v>
          </cell>
          <cell r="BL356" t="str">
            <v>0</v>
          </cell>
          <cell r="BM356" t="str">
            <v>0</v>
          </cell>
          <cell r="BN356" t="str">
            <v>0</v>
          </cell>
          <cell r="BO356" t="str">
            <v>0</v>
          </cell>
          <cell r="BP356" t="str">
            <v>0</v>
          </cell>
          <cell r="BQ356" t="str">
            <v>0</v>
          </cell>
          <cell r="BR356" t="str">
            <v>0</v>
          </cell>
          <cell r="BS356" t="str">
            <v>0</v>
          </cell>
          <cell r="BT356" t="str">
            <v>0</v>
          </cell>
          <cell r="BU356" t="str">
            <v>0</v>
          </cell>
          <cell r="BV356" t="str">
            <v>0</v>
          </cell>
          <cell r="BW356" t="str">
            <v>0</v>
          </cell>
          <cell r="BX356" t="str">
            <v>0</v>
          </cell>
          <cell r="BY356" t="str">
            <v>0</v>
          </cell>
          <cell r="BZ356" t="str">
            <v>0</v>
          </cell>
          <cell r="CA356" t="str">
            <v>0</v>
          </cell>
          <cell r="CB356" t="str">
            <v>0</v>
          </cell>
          <cell r="CC356" t="str">
            <v>0</v>
          </cell>
          <cell r="CD356" t="str">
            <v>0</v>
          </cell>
          <cell r="CE356" t="str">
            <v>0</v>
          </cell>
          <cell r="CF356" t="str">
            <v>0</v>
          </cell>
          <cell r="CG356" t="str">
            <v>0</v>
          </cell>
          <cell r="CH356" t="str">
            <v>0</v>
          </cell>
          <cell r="CI356" t="str">
            <v>0</v>
          </cell>
          <cell r="CJ356" t="str">
            <v>0</v>
          </cell>
          <cell r="CK356" t="str">
            <v>0</v>
          </cell>
          <cell r="CL356" t="str">
            <v>0</v>
          </cell>
          <cell r="CM356" t="str">
            <v>0</v>
          </cell>
          <cell r="CN356" t="str">
            <v>0</v>
          </cell>
          <cell r="CO356" t="str">
            <v>0</v>
          </cell>
          <cell r="CP356" t="str">
            <v>0</v>
          </cell>
          <cell r="CQ356" t="str">
            <v>0</v>
          </cell>
          <cell r="CR356" t="str">
            <v>0</v>
          </cell>
          <cell r="CS356" t="str">
            <v>0</v>
          </cell>
          <cell r="CT356" t="str">
            <v>0</v>
          </cell>
          <cell r="CU356" t="str">
            <v>0</v>
          </cell>
          <cell r="CV356" t="str">
            <v>0</v>
          </cell>
          <cell r="CW356" t="str">
            <v>0</v>
          </cell>
          <cell r="CX356" t="str">
            <v>0</v>
          </cell>
          <cell r="CY356" t="str">
            <v>0</v>
          </cell>
          <cell r="CZ356" t="str">
            <v>0</v>
          </cell>
          <cell r="DA356" t="str">
            <v>0</v>
          </cell>
          <cell r="DB356" t="str">
            <v>0</v>
          </cell>
          <cell r="DC356" t="str">
            <v>0</v>
          </cell>
          <cell r="DD356" t="str">
            <v>0</v>
          </cell>
          <cell r="DE356" t="str">
            <v>0</v>
          </cell>
          <cell r="DF356" t="str">
            <v>0</v>
          </cell>
          <cell r="DG356" t="str">
            <v>0</v>
          </cell>
          <cell r="DH356" t="str">
            <v>0</v>
          </cell>
          <cell r="DI356" t="str">
            <v>0</v>
          </cell>
          <cell r="DJ356" t="str">
            <v>0</v>
          </cell>
          <cell r="DK356" t="str">
            <v>0</v>
          </cell>
          <cell r="DL356" t="str">
            <v>0</v>
          </cell>
          <cell r="DM356" t="str">
            <v>0</v>
          </cell>
          <cell r="DN356" t="str">
            <v>0</v>
          </cell>
          <cell r="DO356" t="str">
            <v>0</v>
          </cell>
          <cell r="DP356" t="str">
            <v>0</v>
          </cell>
        </row>
        <row r="357">
          <cell r="C357"/>
          <cell r="D357" t="str">
            <v>0</v>
          </cell>
          <cell r="E357" t="str">
            <v>0</v>
          </cell>
          <cell r="F357" t="str">
            <v>0</v>
          </cell>
          <cell r="G357" t="str">
            <v>0</v>
          </cell>
          <cell r="H357" t="str">
            <v>0</v>
          </cell>
          <cell r="I357" t="str">
            <v>0</v>
          </cell>
          <cell r="J357" t="str">
            <v>0</v>
          </cell>
          <cell r="K357" t="str">
            <v>0</v>
          </cell>
          <cell r="L357" t="str">
            <v>0</v>
          </cell>
          <cell r="M357" t="str">
            <v>0</v>
          </cell>
          <cell r="N357" t="str">
            <v>0</v>
          </cell>
          <cell r="O357" t="str">
            <v>0</v>
          </cell>
          <cell r="P357" t="str">
            <v>0</v>
          </cell>
          <cell r="Q357" t="str">
            <v>0</v>
          </cell>
          <cell r="R357" t="str">
            <v>0</v>
          </cell>
          <cell r="S357" t="str">
            <v>0</v>
          </cell>
          <cell r="T357" t="str">
            <v>0</v>
          </cell>
          <cell r="U357" t="str">
            <v>0</v>
          </cell>
          <cell r="V357" t="str">
            <v>0</v>
          </cell>
          <cell r="W357" t="str">
            <v>0</v>
          </cell>
          <cell r="X357" t="str">
            <v>0</v>
          </cell>
          <cell r="Y357" t="str">
            <v>0</v>
          </cell>
          <cell r="Z357" t="str">
            <v>0</v>
          </cell>
          <cell r="AA357" t="str">
            <v>0</v>
          </cell>
          <cell r="AB357" t="str">
            <v>0</v>
          </cell>
          <cell r="AC357" t="str">
            <v>0</v>
          </cell>
          <cell r="AD357" t="str">
            <v>0</v>
          </cell>
          <cell r="AE357" t="str">
            <v>0</v>
          </cell>
          <cell r="AF357" t="str">
            <v>0</v>
          </cell>
          <cell r="AG357" t="str">
            <v>0</v>
          </cell>
          <cell r="AH357" t="str">
            <v>0</v>
          </cell>
          <cell r="AI357" t="str">
            <v>0</v>
          </cell>
          <cell r="AJ357" t="str">
            <v>0</v>
          </cell>
          <cell r="AK357" t="str">
            <v>0</v>
          </cell>
          <cell r="AL357" t="str">
            <v>0</v>
          </cell>
          <cell r="AM357" t="str">
            <v>0</v>
          </cell>
          <cell r="AN357" t="str">
            <v>0</v>
          </cell>
          <cell r="AO357" t="str">
            <v>0</v>
          </cell>
          <cell r="AP357" t="str">
            <v>0</v>
          </cell>
          <cell r="AQ357" t="str">
            <v>0</v>
          </cell>
          <cell r="AR357" t="str">
            <v>0</v>
          </cell>
          <cell r="AS357" t="str">
            <v>0</v>
          </cell>
          <cell r="AT357" t="str">
            <v>0</v>
          </cell>
          <cell r="AU357" t="str">
            <v>0</v>
          </cell>
          <cell r="AV357" t="str">
            <v>0</v>
          </cell>
          <cell r="AW357" t="str">
            <v>0</v>
          </cell>
          <cell r="AX357" t="str">
            <v>0</v>
          </cell>
          <cell r="AY357" t="str">
            <v>0</v>
          </cell>
          <cell r="AZ357" t="str">
            <v>0</v>
          </cell>
          <cell r="BA357" t="str">
            <v>0</v>
          </cell>
          <cell r="BB357" t="str">
            <v>0</v>
          </cell>
          <cell r="BC357" t="str">
            <v>0</v>
          </cell>
          <cell r="BD357" t="str">
            <v>0</v>
          </cell>
          <cell r="BE357" t="str">
            <v>0</v>
          </cell>
          <cell r="BF357" t="str">
            <v>0</v>
          </cell>
          <cell r="BG357" t="str">
            <v>0</v>
          </cell>
          <cell r="BH357" t="str">
            <v>0</v>
          </cell>
          <cell r="BI357" t="str">
            <v>0</v>
          </cell>
          <cell r="BJ357" t="str">
            <v>0</v>
          </cell>
          <cell r="BK357" t="str">
            <v>0</v>
          </cell>
          <cell r="BL357" t="str">
            <v>0</v>
          </cell>
          <cell r="BM357" t="str">
            <v>0</v>
          </cell>
          <cell r="BN357" t="str">
            <v>0</v>
          </cell>
          <cell r="BO357" t="str">
            <v>0</v>
          </cell>
          <cell r="BP357" t="str">
            <v>0</v>
          </cell>
          <cell r="BQ357" t="str">
            <v>0</v>
          </cell>
          <cell r="BR357" t="str">
            <v>0</v>
          </cell>
          <cell r="BS357" t="str">
            <v>0</v>
          </cell>
          <cell r="BT357" t="str">
            <v>0</v>
          </cell>
          <cell r="BU357" t="str">
            <v>0</v>
          </cell>
          <cell r="BV357" t="str">
            <v>0</v>
          </cell>
          <cell r="BW357" t="str">
            <v>0</v>
          </cell>
          <cell r="BX357" t="str">
            <v>0</v>
          </cell>
          <cell r="BY357" t="str">
            <v>0</v>
          </cell>
          <cell r="BZ357" t="str">
            <v>0</v>
          </cell>
          <cell r="CA357" t="str">
            <v>0</v>
          </cell>
          <cell r="CB357" t="str">
            <v>0</v>
          </cell>
          <cell r="CC357" t="str">
            <v>0</v>
          </cell>
          <cell r="CD357" t="str">
            <v>0</v>
          </cell>
          <cell r="CE357" t="str">
            <v>0</v>
          </cell>
          <cell r="CF357" t="str">
            <v>0</v>
          </cell>
          <cell r="CG357" t="str">
            <v>0</v>
          </cell>
          <cell r="CH357" t="str">
            <v>0</v>
          </cell>
          <cell r="CI357" t="str">
            <v>0</v>
          </cell>
          <cell r="CJ357" t="str">
            <v>0</v>
          </cell>
          <cell r="CK357" t="str">
            <v>0</v>
          </cell>
          <cell r="CL357" t="str">
            <v>0</v>
          </cell>
          <cell r="CM357" t="str">
            <v>0</v>
          </cell>
          <cell r="CN357" t="str">
            <v>0</v>
          </cell>
          <cell r="CO357" t="str">
            <v>0</v>
          </cell>
          <cell r="CP357" t="str">
            <v>0</v>
          </cell>
          <cell r="CQ357" t="str">
            <v>0</v>
          </cell>
          <cell r="CR357" t="str">
            <v>0</v>
          </cell>
          <cell r="CS357" t="str">
            <v>0</v>
          </cell>
          <cell r="CT357" t="str">
            <v>0</v>
          </cell>
          <cell r="CU357" t="str">
            <v>0</v>
          </cell>
          <cell r="CV357" t="str">
            <v>0</v>
          </cell>
          <cell r="CW357" t="str">
            <v>0</v>
          </cell>
          <cell r="CX357" t="str">
            <v>0</v>
          </cell>
          <cell r="CY357" t="str">
            <v>0</v>
          </cell>
          <cell r="CZ357" t="str">
            <v>0</v>
          </cell>
          <cell r="DA357" t="str">
            <v>0</v>
          </cell>
          <cell r="DB357" t="str">
            <v>0</v>
          </cell>
          <cell r="DC357" t="str">
            <v>0</v>
          </cell>
          <cell r="DD357" t="str">
            <v>0</v>
          </cell>
          <cell r="DE357" t="str">
            <v>0</v>
          </cell>
          <cell r="DF357" t="str">
            <v>0</v>
          </cell>
          <cell r="DG357" t="str">
            <v>0</v>
          </cell>
          <cell r="DH357" t="str">
            <v>0</v>
          </cell>
          <cell r="DI357" t="str">
            <v>0</v>
          </cell>
          <cell r="DJ357" t="str">
            <v>0</v>
          </cell>
          <cell r="DK357" t="str">
            <v>0</v>
          </cell>
          <cell r="DL357" t="str">
            <v>0</v>
          </cell>
          <cell r="DM357" t="str">
            <v>0</v>
          </cell>
          <cell r="DN357" t="str">
            <v>0</v>
          </cell>
          <cell r="DO357" t="str">
            <v>0</v>
          </cell>
          <cell r="DP357" t="str">
            <v>0</v>
          </cell>
        </row>
        <row r="358">
          <cell r="C358"/>
          <cell r="D358" t="str">
            <v>0</v>
          </cell>
          <cell r="E358" t="str">
            <v>0</v>
          </cell>
          <cell r="F358" t="str">
            <v>0</v>
          </cell>
          <cell r="G358" t="str">
            <v>0</v>
          </cell>
          <cell r="H358" t="str">
            <v>0</v>
          </cell>
          <cell r="I358" t="str">
            <v>0</v>
          </cell>
          <cell r="J358" t="str">
            <v>0</v>
          </cell>
          <cell r="K358" t="str">
            <v>0</v>
          </cell>
          <cell r="L358" t="str">
            <v>0</v>
          </cell>
          <cell r="M358" t="str">
            <v>0</v>
          </cell>
          <cell r="N358" t="str">
            <v>0</v>
          </cell>
          <cell r="O358" t="str">
            <v>0</v>
          </cell>
          <cell r="P358" t="str">
            <v>0</v>
          </cell>
          <cell r="Q358" t="str">
            <v>0</v>
          </cell>
          <cell r="R358" t="str">
            <v>0</v>
          </cell>
          <cell r="S358" t="str">
            <v>0</v>
          </cell>
          <cell r="T358" t="str">
            <v>0</v>
          </cell>
          <cell r="U358" t="str">
            <v>0</v>
          </cell>
          <cell r="V358" t="str">
            <v>0</v>
          </cell>
          <cell r="W358" t="str">
            <v>0</v>
          </cell>
          <cell r="X358" t="str">
            <v>0</v>
          </cell>
          <cell r="Y358" t="str">
            <v>0</v>
          </cell>
          <cell r="Z358" t="str">
            <v>0</v>
          </cell>
          <cell r="AA358" t="str">
            <v>0</v>
          </cell>
          <cell r="AB358" t="str">
            <v>0</v>
          </cell>
          <cell r="AC358" t="str">
            <v>0</v>
          </cell>
          <cell r="AD358" t="str">
            <v>0</v>
          </cell>
          <cell r="AE358" t="str">
            <v>0</v>
          </cell>
          <cell r="AF358" t="str">
            <v>0</v>
          </cell>
          <cell r="AG358" t="str">
            <v>0</v>
          </cell>
          <cell r="AH358" t="str">
            <v>0</v>
          </cell>
          <cell r="AI358" t="str">
            <v>0</v>
          </cell>
          <cell r="AJ358" t="str">
            <v>0</v>
          </cell>
          <cell r="AK358" t="str">
            <v>0</v>
          </cell>
          <cell r="AL358" t="str">
            <v>0</v>
          </cell>
          <cell r="AM358" t="str">
            <v>0</v>
          </cell>
          <cell r="AN358" t="str">
            <v>0</v>
          </cell>
          <cell r="AO358" t="str">
            <v>0</v>
          </cell>
          <cell r="AP358" t="str">
            <v>0</v>
          </cell>
          <cell r="AQ358" t="str">
            <v>0</v>
          </cell>
          <cell r="AR358" t="str">
            <v>0</v>
          </cell>
          <cell r="AS358" t="str">
            <v>0</v>
          </cell>
          <cell r="AT358" t="str">
            <v>0</v>
          </cell>
          <cell r="AU358" t="str">
            <v>0</v>
          </cell>
          <cell r="AV358" t="str">
            <v>0</v>
          </cell>
          <cell r="AW358" t="str">
            <v>0</v>
          </cell>
          <cell r="AX358" t="str">
            <v>0</v>
          </cell>
          <cell r="AY358" t="str">
            <v>0</v>
          </cell>
          <cell r="AZ358" t="str">
            <v>0</v>
          </cell>
          <cell r="BA358" t="str">
            <v>0</v>
          </cell>
          <cell r="BB358" t="str">
            <v>0</v>
          </cell>
          <cell r="BC358" t="str">
            <v>0</v>
          </cell>
          <cell r="BD358" t="str">
            <v>0</v>
          </cell>
          <cell r="BE358" t="str">
            <v>0</v>
          </cell>
          <cell r="BF358" t="str">
            <v>0</v>
          </cell>
          <cell r="BG358" t="str">
            <v>0</v>
          </cell>
          <cell r="BH358" t="str">
            <v>0</v>
          </cell>
          <cell r="BI358" t="str">
            <v>0</v>
          </cell>
          <cell r="BJ358" t="str">
            <v>0</v>
          </cell>
          <cell r="BK358" t="str">
            <v>0</v>
          </cell>
          <cell r="BL358" t="str">
            <v>0</v>
          </cell>
          <cell r="BM358" t="str">
            <v>0</v>
          </cell>
          <cell r="BN358" t="str">
            <v>0</v>
          </cell>
          <cell r="BO358" t="str">
            <v>0</v>
          </cell>
          <cell r="BP358" t="str">
            <v>0</v>
          </cell>
          <cell r="BQ358" t="str">
            <v>0</v>
          </cell>
          <cell r="BR358" t="str">
            <v>0</v>
          </cell>
          <cell r="BS358" t="str">
            <v>0</v>
          </cell>
          <cell r="BT358" t="str">
            <v>0</v>
          </cell>
          <cell r="BU358" t="str">
            <v>0</v>
          </cell>
          <cell r="BV358" t="str">
            <v>0</v>
          </cell>
          <cell r="BW358" t="str">
            <v>0</v>
          </cell>
          <cell r="BX358" t="str">
            <v>0</v>
          </cell>
          <cell r="BY358" t="str">
            <v>0</v>
          </cell>
          <cell r="BZ358" t="str">
            <v>0</v>
          </cell>
          <cell r="CA358" t="str">
            <v>0</v>
          </cell>
          <cell r="CB358" t="str">
            <v>0</v>
          </cell>
          <cell r="CC358" t="str">
            <v>0</v>
          </cell>
          <cell r="CD358" t="str">
            <v>0</v>
          </cell>
          <cell r="CE358" t="str">
            <v>0</v>
          </cell>
          <cell r="CF358" t="str">
            <v>0</v>
          </cell>
          <cell r="CG358" t="str">
            <v>0</v>
          </cell>
          <cell r="CH358" t="str">
            <v>0</v>
          </cell>
          <cell r="CI358" t="str">
            <v>0</v>
          </cell>
          <cell r="CJ358" t="str">
            <v>0</v>
          </cell>
          <cell r="CK358" t="str">
            <v>0</v>
          </cell>
          <cell r="CL358" t="str">
            <v>0</v>
          </cell>
          <cell r="CM358" t="str">
            <v>0</v>
          </cell>
          <cell r="CN358" t="str">
            <v>0</v>
          </cell>
          <cell r="CO358" t="str">
            <v>0</v>
          </cell>
          <cell r="CP358" t="str">
            <v>0</v>
          </cell>
          <cell r="CQ358" t="str">
            <v>0</v>
          </cell>
          <cell r="CR358" t="str">
            <v>0</v>
          </cell>
          <cell r="CS358" t="str">
            <v>0</v>
          </cell>
          <cell r="CT358" t="str">
            <v>0</v>
          </cell>
          <cell r="CU358" t="str">
            <v>0</v>
          </cell>
          <cell r="CV358" t="str">
            <v>0</v>
          </cell>
          <cell r="CW358" t="str">
            <v>0</v>
          </cell>
          <cell r="CX358" t="str">
            <v>0</v>
          </cell>
          <cell r="CY358" t="str">
            <v>0</v>
          </cell>
          <cell r="CZ358" t="str">
            <v>0</v>
          </cell>
          <cell r="DA358" t="str">
            <v>0</v>
          </cell>
          <cell r="DB358" t="str">
            <v>0</v>
          </cell>
          <cell r="DC358" t="str">
            <v>0</v>
          </cell>
          <cell r="DD358" t="str">
            <v>0</v>
          </cell>
          <cell r="DE358" t="str">
            <v>0</v>
          </cell>
          <cell r="DF358" t="str">
            <v>0</v>
          </cell>
          <cell r="DG358" t="str">
            <v>0</v>
          </cell>
          <cell r="DH358" t="str">
            <v>0</v>
          </cell>
          <cell r="DI358" t="str">
            <v>0</v>
          </cell>
          <cell r="DJ358" t="str">
            <v>0</v>
          </cell>
          <cell r="DK358" t="str">
            <v>0</v>
          </cell>
          <cell r="DL358" t="str">
            <v>0</v>
          </cell>
          <cell r="DM358" t="str">
            <v>0</v>
          </cell>
          <cell r="DN358" t="str">
            <v>0</v>
          </cell>
          <cell r="DO358" t="str">
            <v>0</v>
          </cell>
          <cell r="DP358" t="str">
            <v>0</v>
          </cell>
        </row>
        <row r="359">
          <cell r="C359"/>
          <cell r="D359" t="str">
            <v>0</v>
          </cell>
          <cell r="E359" t="str">
            <v>0</v>
          </cell>
          <cell r="F359" t="str">
            <v>0</v>
          </cell>
          <cell r="G359" t="str">
            <v>0</v>
          </cell>
          <cell r="H359" t="str">
            <v>0</v>
          </cell>
          <cell r="I359" t="str">
            <v>0</v>
          </cell>
          <cell r="J359" t="str">
            <v>0</v>
          </cell>
          <cell r="K359" t="str">
            <v>0</v>
          </cell>
          <cell r="L359" t="str">
            <v>0</v>
          </cell>
          <cell r="M359" t="str">
            <v>0</v>
          </cell>
          <cell r="N359" t="str">
            <v>0</v>
          </cell>
          <cell r="O359" t="str">
            <v>0</v>
          </cell>
          <cell r="P359" t="str">
            <v>0</v>
          </cell>
          <cell r="Q359" t="str">
            <v>0</v>
          </cell>
          <cell r="R359" t="str">
            <v>0</v>
          </cell>
          <cell r="S359" t="str">
            <v>0</v>
          </cell>
          <cell r="T359" t="str">
            <v>0</v>
          </cell>
          <cell r="U359" t="str">
            <v>0</v>
          </cell>
          <cell r="V359" t="str">
            <v>0</v>
          </cell>
          <cell r="W359" t="str">
            <v>0</v>
          </cell>
          <cell r="X359" t="str">
            <v>0</v>
          </cell>
          <cell r="Y359" t="str">
            <v>0</v>
          </cell>
          <cell r="Z359" t="str">
            <v>0</v>
          </cell>
          <cell r="AA359" t="str">
            <v>0</v>
          </cell>
          <cell r="AB359" t="str">
            <v>0</v>
          </cell>
          <cell r="AC359" t="str">
            <v>0</v>
          </cell>
          <cell r="AD359" t="str">
            <v>0</v>
          </cell>
          <cell r="AE359" t="str">
            <v>0</v>
          </cell>
          <cell r="AF359" t="str">
            <v>0</v>
          </cell>
          <cell r="AG359" t="str">
            <v>0</v>
          </cell>
          <cell r="AH359" t="str">
            <v>0</v>
          </cell>
          <cell r="AI359" t="str">
            <v>0</v>
          </cell>
          <cell r="AJ359" t="str">
            <v>0</v>
          </cell>
          <cell r="AK359" t="str">
            <v>0</v>
          </cell>
          <cell r="AL359" t="str">
            <v>0</v>
          </cell>
          <cell r="AM359" t="str">
            <v>0</v>
          </cell>
          <cell r="AN359" t="str">
            <v>0</v>
          </cell>
          <cell r="AO359" t="str">
            <v>0</v>
          </cell>
          <cell r="AP359" t="str">
            <v>0</v>
          </cell>
          <cell r="AQ359" t="str">
            <v>0</v>
          </cell>
          <cell r="AR359" t="str">
            <v>0</v>
          </cell>
          <cell r="AS359" t="str">
            <v>0</v>
          </cell>
          <cell r="AT359" t="str">
            <v>0</v>
          </cell>
          <cell r="AU359" t="str">
            <v>0</v>
          </cell>
          <cell r="AV359" t="str">
            <v>0</v>
          </cell>
          <cell r="AW359" t="str">
            <v>0</v>
          </cell>
          <cell r="AX359" t="str">
            <v>0</v>
          </cell>
          <cell r="AY359" t="str">
            <v>0</v>
          </cell>
          <cell r="AZ359" t="str">
            <v>0</v>
          </cell>
          <cell r="BA359" t="str">
            <v>0</v>
          </cell>
          <cell r="BB359" t="str">
            <v>0</v>
          </cell>
          <cell r="BC359" t="str">
            <v>0</v>
          </cell>
          <cell r="BD359" t="str">
            <v>0</v>
          </cell>
          <cell r="BE359" t="str">
            <v>0</v>
          </cell>
          <cell r="BF359" t="str">
            <v>0</v>
          </cell>
          <cell r="BG359" t="str">
            <v>0</v>
          </cell>
          <cell r="BH359" t="str">
            <v>0</v>
          </cell>
          <cell r="BI359" t="str">
            <v>0</v>
          </cell>
          <cell r="BJ359" t="str">
            <v>0</v>
          </cell>
          <cell r="BK359" t="str">
            <v>0</v>
          </cell>
          <cell r="BL359" t="str">
            <v>0</v>
          </cell>
          <cell r="BM359" t="str">
            <v>0</v>
          </cell>
          <cell r="BN359" t="str">
            <v>0</v>
          </cell>
          <cell r="BO359" t="str">
            <v>0</v>
          </cell>
          <cell r="BP359" t="str">
            <v>0</v>
          </cell>
          <cell r="BQ359" t="str">
            <v>0</v>
          </cell>
          <cell r="BR359" t="str">
            <v>0</v>
          </cell>
          <cell r="BS359" t="str">
            <v>0</v>
          </cell>
          <cell r="BT359" t="str">
            <v>0</v>
          </cell>
          <cell r="BU359" t="str">
            <v>0</v>
          </cell>
          <cell r="BV359" t="str">
            <v>0</v>
          </cell>
          <cell r="BW359" t="str">
            <v>0</v>
          </cell>
          <cell r="BX359" t="str">
            <v>0</v>
          </cell>
          <cell r="BY359" t="str">
            <v>0</v>
          </cell>
          <cell r="BZ359" t="str">
            <v>0</v>
          </cell>
          <cell r="CA359" t="str">
            <v>0</v>
          </cell>
          <cell r="CB359" t="str">
            <v>0</v>
          </cell>
          <cell r="CC359" t="str">
            <v>0</v>
          </cell>
          <cell r="CD359" t="str">
            <v>0</v>
          </cell>
          <cell r="CE359" t="str">
            <v>0</v>
          </cell>
          <cell r="CF359" t="str">
            <v>0</v>
          </cell>
          <cell r="CG359" t="str">
            <v>0</v>
          </cell>
          <cell r="CH359" t="str">
            <v>0</v>
          </cell>
          <cell r="CI359" t="str">
            <v>0</v>
          </cell>
          <cell r="CJ359" t="str">
            <v>0</v>
          </cell>
          <cell r="CK359" t="str">
            <v>0</v>
          </cell>
          <cell r="CL359" t="str">
            <v>0</v>
          </cell>
          <cell r="CM359" t="str">
            <v>0</v>
          </cell>
          <cell r="CN359" t="str">
            <v>0</v>
          </cell>
          <cell r="CO359" t="str">
            <v>0</v>
          </cell>
          <cell r="CP359" t="str">
            <v>0</v>
          </cell>
          <cell r="CQ359" t="str">
            <v>0</v>
          </cell>
          <cell r="CR359" t="str">
            <v>0</v>
          </cell>
          <cell r="CS359" t="str">
            <v>0</v>
          </cell>
          <cell r="CT359" t="str">
            <v>0</v>
          </cell>
          <cell r="CU359" t="str">
            <v>0</v>
          </cell>
          <cell r="CV359" t="str">
            <v>0</v>
          </cell>
          <cell r="CW359" t="str">
            <v>0</v>
          </cell>
          <cell r="CX359" t="str">
            <v>0</v>
          </cell>
          <cell r="CY359" t="str">
            <v>0</v>
          </cell>
          <cell r="CZ359" t="str">
            <v>0</v>
          </cell>
          <cell r="DA359" t="str">
            <v>0</v>
          </cell>
          <cell r="DB359" t="str">
            <v>0</v>
          </cell>
          <cell r="DC359" t="str">
            <v>0</v>
          </cell>
          <cell r="DD359" t="str">
            <v>0</v>
          </cell>
          <cell r="DE359" t="str">
            <v>0</v>
          </cell>
          <cell r="DF359" t="str">
            <v>0</v>
          </cell>
          <cell r="DG359" t="str">
            <v>0</v>
          </cell>
          <cell r="DH359" t="str">
            <v>0</v>
          </cell>
          <cell r="DI359" t="str">
            <v>0</v>
          </cell>
          <cell r="DJ359" t="str">
            <v>0</v>
          </cell>
          <cell r="DK359" t="str">
            <v>0</v>
          </cell>
          <cell r="DL359" t="str">
            <v>0</v>
          </cell>
          <cell r="DM359" t="str">
            <v>0</v>
          </cell>
          <cell r="DN359" t="str">
            <v>0</v>
          </cell>
          <cell r="DO359" t="str">
            <v>0</v>
          </cell>
          <cell r="DP359" t="str">
            <v>0</v>
          </cell>
        </row>
        <row r="360">
          <cell r="C360"/>
          <cell r="D360" t="str">
            <v>0</v>
          </cell>
          <cell r="E360" t="str">
            <v>0</v>
          </cell>
          <cell r="F360" t="str">
            <v>0</v>
          </cell>
          <cell r="G360" t="str">
            <v>0</v>
          </cell>
          <cell r="H360" t="str">
            <v>0</v>
          </cell>
          <cell r="I360" t="str">
            <v>0</v>
          </cell>
          <cell r="J360" t="str">
            <v>0</v>
          </cell>
          <cell r="K360" t="str">
            <v>0</v>
          </cell>
          <cell r="L360" t="str">
            <v>0</v>
          </cell>
          <cell r="M360" t="str">
            <v>0</v>
          </cell>
          <cell r="N360" t="str">
            <v>0</v>
          </cell>
          <cell r="O360" t="str">
            <v>0</v>
          </cell>
          <cell r="P360" t="str">
            <v>0</v>
          </cell>
          <cell r="Q360" t="str">
            <v>0</v>
          </cell>
          <cell r="R360" t="str">
            <v>0</v>
          </cell>
          <cell r="S360" t="str">
            <v>0</v>
          </cell>
          <cell r="T360" t="str">
            <v>0</v>
          </cell>
          <cell r="U360" t="str">
            <v>0</v>
          </cell>
          <cell r="V360" t="str">
            <v>0</v>
          </cell>
          <cell r="W360" t="str">
            <v>0</v>
          </cell>
          <cell r="X360" t="str">
            <v>0</v>
          </cell>
          <cell r="Y360" t="str">
            <v>0</v>
          </cell>
          <cell r="Z360" t="str">
            <v>0</v>
          </cell>
          <cell r="AA360" t="str">
            <v>0</v>
          </cell>
          <cell r="AB360" t="str">
            <v>0</v>
          </cell>
          <cell r="AC360" t="str">
            <v>0</v>
          </cell>
          <cell r="AD360" t="str">
            <v>0</v>
          </cell>
          <cell r="AE360" t="str">
            <v>0</v>
          </cell>
          <cell r="AF360" t="str">
            <v>0</v>
          </cell>
          <cell r="AG360" t="str">
            <v>0</v>
          </cell>
          <cell r="AH360" t="str">
            <v>0</v>
          </cell>
          <cell r="AI360" t="str">
            <v>0</v>
          </cell>
          <cell r="AJ360" t="str">
            <v>0</v>
          </cell>
          <cell r="AK360" t="str">
            <v>0</v>
          </cell>
          <cell r="AL360" t="str">
            <v>0</v>
          </cell>
          <cell r="AM360" t="str">
            <v>0</v>
          </cell>
          <cell r="AN360" t="str">
            <v>0</v>
          </cell>
          <cell r="AO360" t="str">
            <v>0</v>
          </cell>
          <cell r="AP360" t="str">
            <v>0</v>
          </cell>
          <cell r="AQ360" t="str">
            <v>0</v>
          </cell>
          <cell r="AR360" t="str">
            <v>0</v>
          </cell>
          <cell r="AS360" t="str">
            <v>0</v>
          </cell>
          <cell r="AT360" t="str">
            <v>0</v>
          </cell>
          <cell r="AU360" t="str">
            <v>0</v>
          </cell>
          <cell r="AV360" t="str">
            <v>0</v>
          </cell>
          <cell r="AW360" t="str">
            <v>0</v>
          </cell>
          <cell r="AX360" t="str">
            <v>0</v>
          </cell>
          <cell r="AY360" t="str">
            <v>0</v>
          </cell>
          <cell r="AZ360" t="str">
            <v>0</v>
          </cell>
          <cell r="BA360" t="str">
            <v>0</v>
          </cell>
          <cell r="BB360" t="str">
            <v>0</v>
          </cell>
          <cell r="BC360" t="str">
            <v>0</v>
          </cell>
          <cell r="BD360" t="str">
            <v>0</v>
          </cell>
          <cell r="BE360" t="str">
            <v>0</v>
          </cell>
          <cell r="BF360" t="str">
            <v>0</v>
          </cell>
          <cell r="BG360" t="str">
            <v>0</v>
          </cell>
          <cell r="BH360" t="str">
            <v>0</v>
          </cell>
          <cell r="BI360" t="str">
            <v>0</v>
          </cell>
          <cell r="BJ360" t="str">
            <v>0</v>
          </cell>
          <cell r="BK360" t="str">
            <v>0</v>
          </cell>
          <cell r="BL360" t="str">
            <v>0</v>
          </cell>
          <cell r="BM360" t="str">
            <v>0</v>
          </cell>
          <cell r="BN360" t="str">
            <v>0</v>
          </cell>
          <cell r="BO360" t="str">
            <v>0</v>
          </cell>
          <cell r="BP360" t="str">
            <v>0</v>
          </cell>
          <cell r="BQ360" t="str">
            <v>0</v>
          </cell>
          <cell r="BR360" t="str">
            <v>0</v>
          </cell>
          <cell r="BS360" t="str">
            <v>0</v>
          </cell>
          <cell r="BT360" t="str">
            <v>0</v>
          </cell>
          <cell r="BU360" t="str">
            <v>0</v>
          </cell>
          <cell r="BV360" t="str">
            <v>0</v>
          </cell>
          <cell r="BW360" t="str">
            <v>0</v>
          </cell>
          <cell r="BX360" t="str">
            <v>0</v>
          </cell>
          <cell r="BY360" t="str">
            <v>0</v>
          </cell>
          <cell r="BZ360" t="str">
            <v>0</v>
          </cell>
          <cell r="CA360" t="str">
            <v>0</v>
          </cell>
          <cell r="CB360" t="str">
            <v>0</v>
          </cell>
          <cell r="CC360" t="str">
            <v>0</v>
          </cell>
          <cell r="CD360" t="str">
            <v>0</v>
          </cell>
          <cell r="CE360" t="str">
            <v>0</v>
          </cell>
          <cell r="CF360" t="str">
            <v>0</v>
          </cell>
          <cell r="CG360" t="str">
            <v>0</v>
          </cell>
          <cell r="CH360" t="str">
            <v>0</v>
          </cell>
          <cell r="CI360" t="str">
            <v>0</v>
          </cell>
          <cell r="CJ360" t="str">
            <v>0</v>
          </cell>
          <cell r="CK360" t="str">
            <v>0</v>
          </cell>
          <cell r="CL360" t="str">
            <v>0</v>
          </cell>
          <cell r="CM360" t="str">
            <v>0</v>
          </cell>
          <cell r="CN360" t="str">
            <v>0</v>
          </cell>
          <cell r="CO360" t="str">
            <v>0</v>
          </cell>
          <cell r="CP360" t="str">
            <v>0</v>
          </cell>
          <cell r="CQ360" t="str">
            <v>0</v>
          </cell>
          <cell r="CR360" t="str">
            <v>0</v>
          </cell>
          <cell r="CS360" t="str">
            <v>0</v>
          </cell>
          <cell r="CT360" t="str">
            <v>0</v>
          </cell>
          <cell r="CU360" t="str">
            <v>0</v>
          </cell>
          <cell r="CV360" t="str">
            <v>0</v>
          </cell>
          <cell r="CW360" t="str">
            <v>0</v>
          </cell>
          <cell r="CX360" t="str">
            <v>0</v>
          </cell>
          <cell r="CY360" t="str">
            <v>0</v>
          </cell>
          <cell r="CZ360" t="str">
            <v>0</v>
          </cell>
          <cell r="DA360" t="str">
            <v>0</v>
          </cell>
          <cell r="DB360" t="str">
            <v>0</v>
          </cell>
          <cell r="DC360" t="str">
            <v>0</v>
          </cell>
          <cell r="DD360" t="str">
            <v>0</v>
          </cell>
          <cell r="DE360" t="str">
            <v>0</v>
          </cell>
          <cell r="DF360" t="str">
            <v>0</v>
          </cell>
          <cell r="DG360" t="str">
            <v>0</v>
          </cell>
          <cell r="DH360" t="str">
            <v>0</v>
          </cell>
          <cell r="DI360" t="str">
            <v>0</v>
          </cell>
          <cell r="DJ360" t="str">
            <v>0</v>
          </cell>
          <cell r="DK360" t="str">
            <v>0</v>
          </cell>
          <cell r="DL360" t="str">
            <v>0</v>
          </cell>
          <cell r="DM360" t="str">
            <v>0</v>
          </cell>
          <cell r="DN360" t="str">
            <v>0</v>
          </cell>
          <cell r="DO360" t="str">
            <v>0</v>
          </cell>
          <cell r="DP360" t="str">
            <v>0</v>
          </cell>
        </row>
        <row r="361">
          <cell r="C361"/>
          <cell r="D361" t="str">
            <v>0</v>
          </cell>
          <cell r="E361" t="str">
            <v>0</v>
          </cell>
          <cell r="F361" t="str">
            <v>0</v>
          </cell>
          <cell r="G361" t="str">
            <v>0</v>
          </cell>
          <cell r="H361" t="str">
            <v>0</v>
          </cell>
          <cell r="I361" t="str">
            <v>0</v>
          </cell>
          <cell r="J361" t="str">
            <v>0</v>
          </cell>
          <cell r="K361" t="str">
            <v>0</v>
          </cell>
          <cell r="L361" t="str">
            <v>0</v>
          </cell>
          <cell r="M361" t="str">
            <v>0</v>
          </cell>
          <cell r="N361" t="str">
            <v>0</v>
          </cell>
          <cell r="O361" t="str">
            <v>0</v>
          </cell>
          <cell r="P361" t="str">
            <v>0</v>
          </cell>
          <cell r="Q361" t="str">
            <v>0</v>
          </cell>
          <cell r="R361" t="str">
            <v>0</v>
          </cell>
          <cell r="S361" t="str">
            <v>0</v>
          </cell>
          <cell r="T361" t="str">
            <v>0</v>
          </cell>
          <cell r="U361" t="str">
            <v>0</v>
          </cell>
          <cell r="V361" t="str">
            <v>0</v>
          </cell>
          <cell r="W361" t="str">
            <v>0</v>
          </cell>
          <cell r="X361" t="str">
            <v>0</v>
          </cell>
          <cell r="Y361" t="str">
            <v>0</v>
          </cell>
          <cell r="Z361" t="str">
            <v>0</v>
          </cell>
          <cell r="AA361" t="str">
            <v>0</v>
          </cell>
          <cell r="AB361" t="str">
            <v>0</v>
          </cell>
          <cell r="AC361" t="str">
            <v>0</v>
          </cell>
          <cell r="AD361" t="str">
            <v>0</v>
          </cell>
          <cell r="AE361" t="str">
            <v>0</v>
          </cell>
          <cell r="AF361" t="str">
            <v>0</v>
          </cell>
          <cell r="AG361" t="str">
            <v>0</v>
          </cell>
          <cell r="AH361" t="str">
            <v>0</v>
          </cell>
          <cell r="AI361" t="str">
            <v>0</v>
          </cell>
          <cell r="AJ361" t="str">
            <v>0</v>
          </cell>
          <cell r="AK361" t="str">
            <v>0</v>
          </cell>
          <cell r="AL361" t="str">
            <v>0</v>
          </cell>
          <cell r="AM361" t="str">
            <v>0</v>
          </cell>
          <cell r="AN361" t="str">
            <v>0</v>
          </cell>
          <cell r="AO361" t="str">
            <v>0</v>
          </cell>
          <cell r="AP361" t="str">
            <v>0</v>
          </cell>
          <cell r="AQ361" t="str">
            <v>0</v>
          </cell>
          <cell r="AR361" t="str">
            <v>0</v>
          </cell>
          <cell r="AS361" t="str">
            <v>0</v>
          </cell>
          <cell r="AT361" t="str">
            <v>0</v>
          </cell>
          <cell r="AU361" t="str">
            <v>0</v>
          </cell>
          <cell r="AV361" t="str">
            <v>0</v>
          </cell>
          <cell r="AW361" t="str">
            <v>0</v>
          </cell>
          <cell r="AX361" t="str">
            <v>0</v>
          </cell>
          <cell r="AY361" t="str">
            <v>0</v>
          </cell>
          <cell r="AZ361" t="str">
            <v>0</v>
          </cell>
          <cell r="BA361" t="str">
            <v>0</v>
          </cell>
          <cell r="BB361" t="str">
            <v>0</v>
          </cell>
          <cell r="BC361" t="str">
            <v>0</v>
          </cell>
          <cell r="BD361" t="str">
            <v>0</v>
          </cell>
          <cell r="BE361" t="str">
            <v>0</v>
          </cell>
          <cell r="BF361" t="str">
            <v>0</v>
          </cell>
          <cell r="BG361" t="str">
            <v>0</v>
          </cell>
          <cell r="BH361" t="str">
            <v>0</v>
          </cell>
          <cell r="BI361" t="str">
            <v>0</v>
          </cell>
          <cell r="BJ361" t="str">
            <v>0</v>
          </cell>
          <cell r="BK361" t="str">
            <v>0</v>
          </cell>
          <cell r="BL361" t="str">
            <v>0</v>
          </cell>
          <cell r="BM361" t="str">
            <v>0</v>
          </cell>
          <cell r="BN361" t="str">
            <v>0</v>
          </cell>
          <cell r="BO361" t="str">
            <v>0</v>
          </cell>
          <cell r="BP361" t="str">
            <v>0</v>
          </cell>
          <cell r="BQ361" t="str">
            <v>0</v>
          </cell>
          <cell r="BR361" t="str">
            <v>0</v>
          </cell>
          <cell r="BS361" t="str">
            <v>0</v>
          </cell>
          <cell r="BT361" t="str">
            <v>0</v>
          </cell>
          <cell r="BU361" t="str">
            <v>0</v>
          </cell>
          <cell r="BV361" t="str">
            <v>0</v>
          </cell>
          <cell r="BW361" t="str">
            <v>0</v>
          </cell>
          <cell r="BX361" t="str">
            <v>0</v>
          </cell>
          <cell r="BY361" t="str">
            <v>0</v>
          </cell>
          <cell r="BZ361" t="str">
            <v>0</v>
          </cell>
          <cell r="CA361" t="str">
            <v>0</v>
          </cell>
          <cell r="CB361" t="str">
            <v>0</v>
          </cell>
          <cell r="CC361" t="str">
            <v>0</v>
          </cell>
          <cell r="CD361" t="str">
            <v>0</v>
          </cell>
          <cell r="CE361" t="str">
            <v>0</v>
          </cell>
          <cell r="CF361" t="str">
            <v>0</v>
          </cell>
          <cell r="CG361" t="str">
            <v>0</v>
          </cell>
          <cell r="CH361" t="str">
            <v>0</v>
          </cell>
          <cell r="CI361" t="str">
            <v>0</v>
          </cell>
          <cell r="CJ361" t="str">
            <v>0</v>
          </cell>
          <cell r="CK361" t="str">
            <v>0</v>
          </cell>
          <cell r="CL361" t="str">
            <v>0</v>
          </cell>
          <cell r="CM361" t="str">
            <v>0</v>
          </cell>
          <cell r="CN361" t="str">
            <v>0</v>
          </cell>
          <cell r="CO361" t="str">
            <v>0</v>
          </cell>
          <cell r="CP361" t="str">
            <v>0</v>
          </cell>
          <cell r="CQ361" t="str">
            <v>0</v>
          </cell>
          <cell r="CR361" t="str">
            <v>0</v>
          </cell>
          <cell r="CS361" t="str">
            <v>0</v>
          </cell>
          <cell r="CT361" t="str">
            <v>0</v>
          </cell>
          <cell r="CU361" t="str">
            <v>0</v>
          </cell>
          <cell r="CV361" t="str">
            <v>0</v>
          </cell>
          <cell r="CW361" t="str">
            <v>0</v>
          </cell>
          <cell r="CX361" t="str">
            <v>0</v>
          </cell>
          <cell r="CY361" t="str">
            <v>0</v>
          </cell>
          <cell r="CZ361" t="str">
            <v>0</v>
          </cell>
          <cell r="DA361" t="str">
            <v>0</v>
          </cell>
          <cell r="DB361" t="str">
            <v>0</v>
          </cell>
          <cell r="DC361" t="str">
            <v>0</v>
          </cell>
          <cell r="DD361" t="str">
            <v>0</v>
          </cell>
          <cell r="DE361" t="str">
            <v>0</v>
          </cell>
          <cell r="DF361" t="str">
            <v>0</v>
          </cell>
          <cell r="DG361" t="str">
            <v>0</v>
          </cell>
          <cell r="DH361" t="str">
            <v>0</v>
          </cell>
          <cell r="DI361" t="str">
            <v>0</v>
          </cell>
          <cell r="DJ361" t="str">
            <v>0</v>
          </cell>
          <cell r="DK361" t="str">
            <v>0</v>
          </cell>
          <cell r="DL361" t="str">
            <v>0</v>
          </cell>
          <cell r="DM361" t="str">
            <v>0</v>
          </cell>
          <cell r="DN361" t="str">
            <v>0</v>
          </cell>
          <cell r="DO361" t="str">
            <v>0</v>
          </cell>
          <cell r="DP361" t="str">
            <v>0</v>
          </cell>
        </row>
        <row r="362">
          <cell r="C362"/>
          <cell r="D362" t="str">
            <v>0</v>
          </cell>
          <cell r="E362" t="str">
            <v>0</v>
          </cell>
          <cell r="F362" t="str">
            <v>0</v>
          </cell>
          <cell r="G362" t="str">
            <v>0</v>
          </cell>
          <cell r="H362" t="str">
            <v>0</v>
          </cell>
          <cell r="I362" t="str">
            <v>0</v>
          </cell>
          <cell r="J362" t="str">
            <v>0</v>
          </cell>
          <cell r="K362" t="str">
            <v>0</v>
          </cell>
          <cell r="L362" t="str">
            <v>0</v>
          </cell>
          <cell r="M362" t="str">
            <v>0</v>
          </cell>
          <cell r="N362" t="str">
            <v>0</v>
          </cell>
          <cell r="O362" t="str">
            <v>0</v>
          </cell>
          <cell r="P362" t="str">
            <v>0</v>
          </cell>
          <cell r="Q362" t="str">
            <v>0</v>
          </cell>
          <cell r="R362" t="str">
            <v>0</v>
          </cell>
          <cell r="S362" t="str">
            <v>0</v>
          </cell>
          <cell r="T362" t="str">
            <v>0</v>
          </cell>
          <cell r="U362" t="str">
            <v>0</v>
          </cell>
          <cell r="V362" t="str">
            <v>0</v>
          </cell>
          <cell r="W362" t="str">
            <v>0</v>
          </cell>
          <cell r="X362" t="str">
            <v>0</v>
          </cell>
          <cell r="Y362" t="str">
            <v>0</v>
          </cell>
          <cell r="Z362" t="str">
            <v>0</v>
          </cell>
          <cell r="AA362" t="str">
            <v>0</v>
          </cell>
          <cell r="AB362" t="str">
            <v>0</v>
          </cell>
          <cell r="AC362" t="str">
            <v>0</v>
          </cell>
          <cell r="AD362" t="str">
            <v>0</v>
          </cell>
          <cell r="AE362" t="str">
            <v>0</v>
          </cell>
          <cell r="AF362" t="str">
            <v>0</v>
          </cell>
          <cell r="AG362" t="str">
            <v>0</v>
          </cell>
          <cell r="AH362" t="str">
            <v>0</v>
          </cell>
          <cell r="AI362" t="str">
            <v>0</v>
          </cell>
          <cell r="AJ362" t="str">
            <v>0</v>
          </cell>
          <cell r="AK362" t="str">
            <v>0</v>
          </cell>
          <cell r="AL362" t="str">
            <v>0</v>
          </cell>
          <cell r="AM362" t="str">
            <v>0</v>
          </cell>
          <cell r="AN362" t="str">
            <v>0</v>
          </cell>
          <cell r="AO362" t="str">
            <v>0</v>
          </cell>
          <cell r="AP362" t="str">
            <v>0</v>
          </cell>
          <cell r="AQ362" t="str">
            <v>0</v>
          </cell>
          <cell r="AR362" t="str">
            <v>0</v>
          </cell>
          <cell r="AS362" t="str">
            <v>0</v>
          </cell>
          <cell r="AT362" t="str">
            <v>0</v>
          </cell>
          <cell r="AU362" t="str">
            <v>0</v>
          </cell>
          <cell r="AV362" t="str">
            <v>0</v>
          </cell>
          <cell r="AW362" t="str">
            <v>0</v>
          </cell>
          <cell r="AX362" t="str">
            <v>0</v>
          </cell>
          <cell r="AY362" t="str">
            <v>0</v>
          </cell>
          <cell r="AZ362" t="str">
            <v>0</v>
          </cell>
          <cell r="BA362" t="str">
            <v>0</v>
          </cell>
          <cell r="BB362" t="str">
            <v>0</v>
          </cell>
          <cell r="BC362" t="str">
            <v>0</v>
          </cell>
          <cell r="BD362" t="str">
            <v>0</v>
          </cell>
          <cell r="BE362" t="str">
            <v>0</v>
          </cell>
          <cell r="BF362" t="str">
            <v>0</v>
          </cell>
          <cell r="BG362" t="str">
            <v>0</v>
          </cell>
          <cell r="BH362" t="str">
            <v>0</v>
          </cell>
          <cell r="BI362" t="str">
            <v>0</v>
          </cell>
          <cell r="BJ362" t="str">
            <v>0</v>
          </cell>
          <cell r="BK362" t="str">
            <v>0</v>
          </cell>
          <cell r="BL362" t="str">
            <v>0</v>
          </cell>
          <cell r="BM362" t="str">
            <v>0</v>
          </cell>
          <cell r="BN362" t="str">
            <v>0</v>
          </cell>
          <cell r="BO362" t="str">
            <v>0</v>
          </cell>
          <cell r="BP362" t="str">
            <v>0</v>
          </cell>
          <cell r="BQ362" t="str">
            <v>0</v>
          </cell>
          <cell r="BR362" t="str">
            <v>0</v>
          </cell>
          <cell r="BS362" t="str">
            <v>0</v>
          </cell>
          <cell r="BT362" t="str">
            <v>0</v>
          </cell>
          <cell r="BU362" t="str">
            <v>0</v>
          </cell>
          <cell r="BV362" t="str">
            <v>0</v>
          </cell>
          <cell r="BW362" t="str">
            <v>0</v>
          </cell>
          <cell r="BX362" t="str">
            <v>0</v>
          </cell>
          <cell r="BY362" t="str">
            <v>0</v>
          </cell>
          <cell r="BZ362" t="str">
            <v>0</v>
          </cell>
          <cell r="CA362" t="str">
            <v>0</v>
          </cell>
          <cell r="CB362" t="str">
            <v>0</v>
          </cell>
          <cell r="CC362" t="str">
            <v>0</v>
          </cell>
          <cell r="CD362" t="str">
            <v>0</v>
          </cell>
          <cell r="CE362" t="str">
            <v>0</v>
          </cell>
          <cell r="CF362" t="str">
            <v>0</v>
          </cell>
          <cell r="CG362" t="str">
            <v>0</v>
          </cell>
          <cell r="CH362" t="str">
            <v>0</v>
          </cell>
          <cell r="CI362" t="str">
            <v>0</v>
          </cell>
          <cell r="CJ362" t="str">
            <v>0</v>
          </cell>
          <cell r="CK362" t="str">
            <v>0</v>
          </cell>
          <cell r="CL362" t="str">
            <v>0</v>
          </cell>
          <cell r="CM362" t="str">
            <v>0</v>
          </cell>
          <cell r="CN362" t="str">
            <v>0</v>
          </cell>
          <cell r="CO362" t="str">
            <v>0</v>
          </cell>
          <cell r="CP362" t="str">
            <v>0</v>
          </cell>
          <cell r="CQ362" t="str">
            <v>0</v>
          </cell>
          <cell r="CR362" t="str">
            <v>0</v>
          </cell>
          <cell r="CS362" t="str">
            <v>0</v>
          </cell>
          <cell r="CT362" t="str">
            <v>0</v>
          </cell>
          <cell r="CU362" t="str">
            <v>0</v>
          </cell>
          <cell r="CV362" t="str">
            <v>0</v>
          </cell>
          <cell r="CW362" t="str">
            <v>0</v>
          </cell>
          <cell r="CX362" t="str">
            <v>0</v>
          </cell>
          <cell r="CY362" t="str">
            <v>0</v>
          </cell>
          <cell r="CZ362" t="str">
            <v>0</v>
          </cell>
          <cell r="DA362" t="str">
            <v>0</v>
          </cell>
          <cell r="DB362" t="str">
            <v>0</v>
          </cell>
          <cell r="DC362" t="str">
            <v>0</v>
          </cell>
          <cell r="DD362" t="str">
            <v>0</v>
          </cell>
          <cell r="DE362" t="str">
            <v>0</v>
          </cell>
          <cell r="DF362" t="str">
            <v>0</v>
          </cell>
          <cell r="DG362" t="str">
            <v>0</v>
          </cell>
          <cell r="DH362" t="str">
            <v>0</v>
          </cell>
          <cell r="DI362" t="str">
            <v>0</v>
          </cell>
          <cell r="DJ362" t="str">
            <v>0</v>
          </cell>
          <cell r="DK362" t="str">
            <v>0</v>
          </cell>
          <cell r="DL362" t="str">
            <v>0</v>
          </cell>
          <cell r="DM362" t="str">
            <v>0</v>
          </cell>
          <cell r="DN362" t="str">
            <v>0</v>
          </cell>
          <cell r="DO362" t="str">
            <v>0</v>
          </cell>
          <cell r="DP362" t="str">
            <v>0</v>
          </cell>
        </row>
        <row r="363">
          <cell r="C363"/>
          <cell r="D363" t="str">
            <v>0</v>
          </cell>
          <cell r="E363" t="str">
            <v>0</v>
          </cell>
          <cell r="F363" t="str">
            <v>0</v>
          </cell>
          <cell r="G363" t="str">
            <v>0</v>
          </cell>
          <cell r="H363" t="str">
            <v>0</v>
          </cell>
          <cell r="I363" t="str">
            <v>0</v>
          </cell>
          <cell r="J363" t="str">
            <v>0</v>
          </cell>
          <cell r="K363" t="str">
            <v>0</v>
          </cell>
          <cell r="L363" t="str">
            <v>0</v>
          </cell>
          <cell r="M363" t="str">
            <v>0</v>
          </cell>
          <cell r="N363" t="str">
            <v>0</v>
          </cell>
          <cell r="O363" t="str">
            <v>0</v>
          </cell>
          <cell r="P363" t="str">
            <v>0</v>
          </cell>
          <cell r="Q363" t="str">
            <v>0</v>
          </cell>
          <cell r="R363" t="str">
            <v>0</v>
          </cell>
          <cell r="S363" t="str">
            <v>0</v>
          </cell>
          <cell r="T363" t="str">
            <v>0</v>
          </cell>
          <cell r="U363" t="str">
            <v>0</v>
          </cell>
          <cell r="V363" t="str">
            <v>0</v>
          </cell>
          <cell r="W363" t="str">
            <v>0</v>
          </cell>
          <cell r="X363" t="str">
            <v>0</v>
          </cell>
          <cell r="Y363" t="str">
            <v>0</v>
          </cell>
          <cell r="Z363" t="str">
            <v>0</v>
          </cell>
          <cell r="AA363" t="str">
            <v>0</v>
          </cell>
          <cell r="AB363" t="str">
            <v>0</v>
          </cell>
          <cell r="AC363" t="str">
            <v>0</v>
          </cell>
          <cell r="AD363" t="str">
            <v>0</v>
          </cell>
          <cell r="AE363" t="str">
            <v>0</v>
          </cell>
          <cell r="AF363" t="str">
            <v>0</v>
          </cell>
          <cell r="AG363" t="str">
            <v>0</v>
          </cell>
          <cell r="AH363" t="str">
            <v>0</v>
          </cell>
          <cell r="AI363" t="str">
            <v>0</v>
          </cell>
          <cell r="AJ363" t="str">
            <v>0</v>
          </cell>
          <cell r="AK363" t="str">
            <v>0</v>
          </cell>
          <cell r="AL363" t="str">
            <v>0</v>
          </cell>
          <cell r="AM363" t="str">
            <v>0</v>
          </cell>
          <cell r="AN363" t="str">
            <v>0</v>
          </cell>
          <cell r="AO363" t="str">
            <v>0</v>
          </cell>
          <cell r="AP363" t="str">
            <v>0</v>
          </cell>
          <cell r="AQ363" t="str">
            <v>0</v>
          </cell>
          <cell r="AR363" t="str">
            <v>0</v>
          </cell>
          <cell r="AS363" t="str">
            <v>0</v>
          </cell>
          <cell r="AT363" t="str">
            <v>0</v>
          </cell>
          <cell r="AU363" t="str">
            <v>0</v>
          </cell>
          <cell r="AV363" t="str">
            <v>0</v>
          </cell>
          <cell r="AW363" t="str">
            <v>0</v>
          </cell>
          <cell r="AX363" t="str">
            <v>0</v>
          </cell>
          <cell r="AY363" t="str">
            <v>0</v>
          </cell>
          <cell r="AZ363" t="str">
            <v>0</v>
          </cell>
          <cell r="BA363" t="str">
            <v>0</v>
          </cell>
          <cell r="BB363" t="str">
            <v>0</v>
          </cell>
          <cell r="BC363" t="str">
            <v>0</v>
          </cell>
          <cell r="BD363" t="str">
            <v>0</v>
          </cell>
          <cell r="BE363" t="str">
            <v>0</v>
          </cell>
          <cell r="BF363" t="str">
            <v>0</v>
          </cell>
          <cell r="BG363" t="str">
            <v>0</v>
          </cell>
          <cell r="BH363" t="str">
            <v>0</v>
          </cell>
          <cell r="BI363" t="str">
            <v>0</v>
          </cell>
          <cell r="BJ363" t="str">
            <v>0</v>
          </cell>
          <cell r="BK363" t="str">
            <v>0</v>
          </cell>
          <cell r="BL363" t="str">
            <v>0</v>
          </cell>
          <cell r="BM363" t="str">
            <v>0</v>
          </cell>
          <cell r="BN363" t="str">
            <v>0</v>
          </cell>
          <cell r="BO363" t="str">
            <v>0</v>
          </cell>
          <cell r="BP363" t="str">
            <v>0</v>
          </cell>
          <cell r="BQ363" t="str">
            <v>0</v>
          </cell>
          <cell r="BR363" t="str">
            <v>0</v>
          </cell>
          <cell r="BS363" t="str">
            <v>0</v>
          </cell>
          <cell r="BT363" t="str">
            <v>0</v>
          </cell>
          <cell r="BU363" t="str">
            <v>0</v>
          </cell>
          <cell r="BV363" t="str">
            <v>0</v>
          </cell>
          <cell r="BW363" t="str">
            <v>0</v>
          </cell>
          <cell r="BX363" t="str">
            <v>0</v>
          </cell>
          <cell r="BY363" t="str">
            <v>0</v>
          </cell>
          <cell r="BZ363" t="str">
            <v>0</v>
          </cell>
          <cell r="CA363" t="str">
            <v>0</v>
          </cell>
          <cell r="CB363" t="str">
            <v>0</v>
          </cell>
          <cell r="CC363" t="str">
            <v>0</v>
          </cell>
          <cell r="CD363" t="str">
            <v>0</v>
          </cell>
          <cell r="CE363" t="str">
            <v>0</v>
          </cell>
          <cell r="CF363" t="str">
            <v>0</v>
          </cell>
          <cell r="CG363" t="str">
            <v>0</v>
          </cell>
          <cell r="CH363" t="str">
            <v>0</v>
          </cell>
          <cell r="CI363" t="str">
            <v>0</v>
          </cell>
          <cell r="CJ363" t="str">
            <v>0</v>
          </cell>
          <cell r="CK363" t="str">
            <v>0</v>
          </cell>
          <cell r="CL363" t="str">
            <v>0</v>
          </cell>
          <cell r="CM363" t="str">
            <v>0</v>
          </cell>
          <cell r="CN363" t="str">
            <v>0</v>
          </cell>
          <cell r="CO363" t="str">
            <v>0</v>
          </cell>
          <cell r="CP363" t="str">
            <v>0</v>
          </cell>
          <cell r="CQ363" t="str">
            <v>0</v>
          </cell>
          <cell r="CR363" t="str">
            <v>0</v>
          </cell>
          <cell r="CS363" t="str">
            <v>0</v>
          </cell>
          <cell r="CT363" t="str">
            <v>0</v>
          </cell>
          <cell r="CU363" t="str">
            <v>0</v>
          </cell>
          <cell r="CV363" t="str">
            <v>0</v>
          </cell>
          <cell r="CW363" t="str">
            <v>0</v>
          </cell>
          <cell r="CX363" t="str">
            <v>0</v>
          </cell>
          <cell r="CY363" t="str">
            <v>0</v>
          </cell>
          <cell r="CZ363" t="str">
            <v>0</v>
          </cell>
          <cell r="DA363" t="str">
            <v>0</v>
          </cell>
          <cell r="DB363" t="str">
            <v>0</v>
          </cell>
          <cell r="DC363" t="str">
            <v>0</v>
          </cell>
          <cell r="DD363" t="str">
            <v>0</v>
          </cell>
          <cell r="DE363" t="str">
            <v>0</v>
          </cell>
          <cell r="DF363" t="str">
            <v>0</v>
          </cell>
          <cell r="DG363" t="str">
            <v>0</v>
          </cell>
          <cell r="DH363" t="str">
            <v>0</v>
          </cell>
          <cell r="DI363" t="str">
            <v>0</v>
          </cell>
          <cell r="DJ363" t="str">
            <v>0</v>
          </cell>
          <cell r="DK363" t="str">
            <v>0</v>
          </cell>
          <cell r="DL363" t="str">
            <v>0</v>
          </cell>
          <cell r="DM363" t="str">
            <v>0</v>
          </cell>
          <cell r="DN363" t="str">
            <v>0</v>
          </cell>
          <cell r="DO363" t="str">
            <v>0</v>
          </cell>
          <cell r="DP363" t="str">
            <v>0</v>
          </cell>
        </row>
        <row r="364">
          <cell r="C364"/>
          <cell r="D364" t="str">
            <v>0</v>
          </cell>
          <cell r="E364" t="str">
            <v>0</v>
          </cell>
          <cell r="F364" t="str">
            <v>0</v>
          </cell>
          <cell r="G364" t="str">
            <v>0</v>
          </cell>
          <cell r="H364" t="str">
            <v>0</v>
          </cell>
          <cell r="I364" t="str">
            <v>0</v>
          </cell>
          <cell r="J364" t="str">
            <v>0</v>
          </cell>
          <cell r="K364" t="str">
            <v>0</v>
          </cell>
          <cell r="L364" t="str">
            <v>0</v>
          </cell>
          <cell r="M364" t="str">
            <v>0</v>
          </cell>
          <cell r="N364" t="str">
            <v>0</v>
          </cell>
          <cell r="O364" t="str">
            <v>0</v>
          </cell>
          <cell r="P364" t="str">
            <v>0</v>
          </cell>
          <cell r="Q364" t="str">
            <v>0</v>
          </cell>
          <cell r="R364" t="str">
            <v>0</v>
          </cell>
          <cell r="S364" t="str">
            <v>0</v>
          </cell>
          <cell r="T364" t="str">
            <v>0</v>
          </cell>
          <cell r="U364" t="str">
            <v>0</v>
          </cell>
          <cell r="V364" t="str">
            <v>0</v>
          </cell>
          <cell r="W364" t="str">
            <v>0</v>
          </cell>
          <cell r="X364" t="str">
            <v>0</v>
          </cell>
          <cell r="Y364" t="str">
            <v>0</v>
          </cell>
          <cell r="Z364" t="str">
            <v>0</v>
          </cell>
          <cell r="AA364" t="str">
            <v>0</v>
          </cell>
          <cell r="AB364" t="str">
            <v>0</v>
          </cell>
          <cell r="AC364" t="str">
            <v>0</v>
          </cell>
          <cell r="AD364" t="str">
            <v>0</v>
          </cell>
          <cell r="AE364" t="str">
            <v>0</v>
          </cell>
          <cell r="AF364" t="str">
            <v>0</v>
          </cell>
          <cell r="AG364" t="str">
            <v>0</v>
          </cell>
          <cell r="AH364" t="str">
            <v>0</v>
          </cell>
          <cell r="AI364" t="str">
            <v>0</v>
          </cell>
          <cell r="AJ364" t="str">
            <v>0</v>
          </cell>
          <cell r="AK364" t="str">
            <v>0</v>
          </cell>
          <cell r="AL364" t="str">
            <v>0</v>
          </cell>
          <cell r="AM364" t="str">
            <v>0</v>
          </cell>
          <cell r="AN364" t="str">
            <v>0</v>
          </cell>
          <cell r="AO364" t="str">
            <v>0</v>
          </cell>
          <cell r="AP364" t="str">
            <v>0</v>
          </cell>
          <cell r="AQ364" t="str">
            <v>0</v>
          </cell>
          <cell r="AR364" t="str">
            <v>0</v>
          </cell>
          <cell r="AS364" t="str">
            <v>0</v>
          </cell>
          <cell r="AT364" t="str">
            <v>0</v>
          </cell>
          <cell r="AU364" t="str">
            <v>0</v>
          </cell>
          <cell r="AV364" t="str">
            <v>0</v>
          </cell>
          <cell r="AW364" t="str">
            <v>0</v>
          </cell>
          <cell r="AX364" t="str">
            <v>0</v>
          </cell>
          <cell r="AY364" t="str">
            <v>0</v>
          </cell>
          <cell r="AZ364" t="str">
            <v>0</v>
          </cell>
          <cell r="BA364" t="str">
            <v>0</v>
          </cell>
          <cell r="BB364" t="str">
            <v>0</v>
          </cell>
          <cell r="BC364" t="str">
            <v>0</v>
          </cell>
          <cell r="BD364" t="str">
            <v>0</v>
          </cell>
          <cell r="BE364" t="str">
            <v>0</v>
          </cell>
          <cell r="BF364" t="str">
            <v>0</v>
          </cell>
          <cell r="BG364" t="str">
            <v>0</v>
          </cell>
          <cell r="BH364" t="str">
            <v>0</v>
          </cell>
          <cell r="BI364" t="str">
            <v>0</v>
          </cell>
          <cell r="BJ364" t="str">
            <v>0</v>
          </cell>
          <cell r="BK364" t="str">
            <v>0</v>
          </cell>
          <cell r="BL364" t="str">
            <v>0</v>
          </cell>
          <cell r="BM364" t="str">
            <v>0</v>
          </cell>
          <cell r="BN364" t="str">
            <v>0</v>
          </cell>
          <cell r="BO364" t="str">
            <v>0</v>
          </cell>
          <cell r="BP364" t="str">
            <v>0</v>
          </cell>
          <cell r="BQ364" t="str">
            <v>0</v>
          </cell>
          <cell r="BR364" t="str">
            <v>0</v>
          </cell>
          <cell r="BS364" t="str">
            <v>0</v>
          </cell>
          <cell r="BT364" t="str">
            <v>0</v>
          </cell>
          <cell r="BU364" t="str">
            <v>0</v>
          </cell>
          <cell r="BV364" t="str">
            <v>0</v>
          </cell>
          <cell r="BW364" t="str">
            <v>0</v>
          </cell>
          <cell r="BX364" t="str">
            <v>0</v>
          </cell>
          <cell r="BY364" t="str">
            <v>0</v>
          </cell>
          <cell r="BZ364" t="str">
            <v>0</v>
          </cell>
          <cell r="CA364" t="str">
            <v>0</v>
          </cell>
          <cell r="CB364" t="str">
            <v>0</v>
          </cell>
          <cell r="CC364" t="str">
            <v>0</v>
          </cell>
          <cell r="CD364" t="str">
            <v>0</v>
          </cell>
          <cell r="CE364" t="str">
            <v>0</v>
          </cell>
          <cell r="CF364" t="str">
            <v>0</v>
          </cell>
          <cell r="CG364" t="str">
            <v>0</v>
          </cell>
          <cell r="CH364" t="str">
            <v>0</v>
          </cell>
          <cell r="CI364" t="str">
            <v>0</v>
          </cell>
          <cell r="CJ364" t="str">
            <v>0</v>
          </cell>
          <cell r="CK364" t="str">
            <v>0</v>
          </cell>
          <cell r="CL364" t="str">
            <v>0</v>
          </cell>
          <cell r="CM364" t="str">
            <v>0</v>
          </cell>
          <cell r="CN364" t="str">
            <v>0</v>
          </cell>
          <cell r="CO364" t="str">
            <v>0</v>
          </cell>
          <cell r="CP364" t="str">
            <v>0</v>
          </cell>
          <cell r="CQ364" t="str">
            <v>0</v>
          </cell>
          <cell r="CR364" t="str">
            <v>0</v>
          </cell>
          <cell r="CS364" t="str">
            <v>0</v>
          </cell>
          <cell r="CT364" t="str">
            <v>0</v>
          </cell>
          <cell r="CU364" t="str">
            <v>0</v>
          </cell>
          <cell r="CV364" t="str">
            <v>0</v>
          </cell>
          <cell r="CW364" t="str">
            <v>0</v>
          </cell>
          <cell r="CX364" t="str">
            <v>0</v>
          </cell>
          <cell r="CY364" t="str">
            <v>0</v>
          </cell>
          <cell r="CZ364" t="str">
            <v>0</v>
          </cell>
          <cell r="DA364" t="str">
            <v>0</v>
          </cell>
          <cell r="DB364" t="str">
            <v>0</v>
          </cell>
          <cell r="DC364" t="str">
            <v>0</v>
          </cell>
          <cell r="DD364" t="str">
            <v>0</v>
          </cell>
          <cell r="DE364" t="str">
            <v>0</v>
          </cell>
          <cell r="DF364" t="str">
            <v>0</v>
          </cell>
          <cell r="DG364" t="str">
            <v>0</v>
          </cell>
          <cell r="DH364" t="str">
            <v>0</v>
          </cell>
          <cell r="DI364" t="str">
            <v>0</v>
          </cell>
          <cell r="DJ364" t="str">
            <v>0</v>
          </cell>
          <cell r="DK364" t="str">
            <v>0</v>
          </cell>
          <cell r="DL364" t="str">
            <v>0</v>
          </cell>
          <cell r="DM364" t="str">
            <v>0</v>
          </cell>
          <cell r="DN364" t="str">
            <v>0</v>
          </cell>
          <cell r="DO364" t="str">
            <v>0</v>
          </cell>
          <cell r="DP364" t="str">
            <v>0</v>
          </cell>
        </row>
        <row r="365">
          <cell r="C365"/>
          <cell r="D365" t="str">
            <v>0</v>
          </cell>
          <cell r="E365" t="str">
            <v>0</v>
          </cell>
          <cell r="F365" t="str">
            <v>0</v>
          </cell>
          <cell r="G365" t="str">
            <v>0</v>
          </cell>
          <cell r="H365" t="str">
            <v>0</v>
          </cell>
          <cell r="I365" t="str">
            <v>0</v>
          </cell>
          <cell r="J365" t="str">
            <v>0</v>
          </cell>
          <cell r="K365" t="str">
            <v>0</v>
          </cell>
          <cell r="L365" t="str">
            <v>0</v>
          </cell>
          <cell r="M365" t="str">
            <v>0</v>
          </cell>
          <cell r="N365" t="str">
            <v>0</v>
          </cell>
          <cell r="O365" t="str">
            <v>0</v>
          </cell>
          <cell r="P365" t="str">
            <v>0</v>
          </cell>
          <cell r="Q365" t="str">
            <v>0</v>
          </cell>
          <cell r="R365" t="str">
            <v>0</v>
          </cell>
          <cell r="S365" t="str">
            <v>0</v>
          </cell>
          <cell r="T365" t="str">
            <v>0</v>
          </cell>
          <cell r="U365" t="str">
            <v>0</v>
          </cell>
          <cell r="V365" t="str">
            <v>0</v>
          </cell>
          <cell r="W365" t="str">
            <v>0</v>
          </cell>
          <cell r="X365" t="str">
            <v>0</v>
          </cell>
          <cell r="Y365" t="str">
            <v>0</v>
          </cell>
          <cell r="Z365" t="str">
            <v>0</v>
          </cell>
          <cell r="AA365" t="str">
            <v>0</v>
          </cell>
          <cell r="AB365" t="str">
            <v>0</v>
          </cell>
          <cell r="AC365" t="str">
            <v>0</v>
          </cell>
          <cell r="AD365" t="str">
            <v>0</v>
          </cell>
          <cell r="AE365" t="str">
            <v>0</v>
          </cell>
          <cell r="AF365" t="str">
            <v>0</v>
          </cell>
          <cell r="AG365" t="str">
            <v>0</v>
          </cell>
          <cell r="AH365" t="str">
            <v>0</v>
          </cell>
          <cell r="AI365" t="str">
            <v>0</v>
          </cell>
          <cell r="AJ365" t="str">
            <v>0</v>
          </cell>
          <cell r="AK365" t="str">
            <v>0</v>
          </cell>
          <cell r="AL365" t="str">
            <v>0</v>
          </cell>
          <cell r="AM365" t="str">
            <v>0</v>
          </cell>
          <cell r="AN365" t="str">
            <v>0</v>
          </cell>
          <cell r="AO365" t="str">
            <v>0</v>
          </cell>
          <cell r="AP365" t="str">
            <v>0</v>
          </cell>
          <cell r="AQ365" t="str">
            <v>0</v>
          </cell>
          <cell r="AR365" t="str">
            <v>0</v>
          </cell>
          <cell r="AS365" t="str">
            <v>0</v>
          </cell>
          <cell r="AT365" t="str">
            <v>0</v>
          </cell>
          <cell r="AU365" t="str">
            <v>0</v>
          </cell>
          <cell r="AV365" t="str">
            <v>0</v>
          </cell>
          <cell r="AW365" t="str">
            <v>0</v>
          </cell>
          <cell r="AX365" t="str">
            <v>0</v>
          </cell>
          <cell r="AY365" t="str">
            <v>0</v>
          </cell>
          <cell r="AZ365" t="str">
            <v>0</v>
          </cell>
          <cell r="BA365" t="str">
            <v>0</v>
          </cell>
          <cell r="BB365" t="str">
            <v>0</v>
          </cell>
          <cell r="BC365" t="str">
            <v>0</v>
          </cell>
          <cell r="BD365" t="str">
            <v>0</v>
          </cell>
          <cell r="BE365" t="str">
            <v>0</v>
          </cell>
          <cell r="BF365" t="str">
            <v>0</v>
          </cell>
          <cell r="BG365" t="str">
            <v>0</v>
          </cell>
          <cell r="BH365" t="str">
            <v>0</v>
          </cell>
          <cell r="BI365" t="str">
            <v>0</v>
          </cell>
          <cell r="BJ365" t="str">
            <v>0</v>
          </cell>
          <cell r="BK365" t="str">
            <v>0</v>
          </cell>
          <cell r="BL365" t="str">
            <v>0</v>
          </cell>
          <cell r="BM365" t="str">
            <v>0</v>
          </cell>
          <cell r="BN365" t="str">
            <v>0</v>
          </cell>
          <cell r="BO365" t="str">
            <v>0</v>
          </cell>
          <cell r="BP365" t="str">
            <v>0</v>
          </cell>
          <cell r="BQ365" t="str">
            <v>0</v>
          </cell>
          <cell r="BR365" t="str">
            <v>0</v>
          </cell>
          <cell r="BS365" t="str">
            <v>0</v>
          </cell>
          <cell r="BT365" t="str">
            <v>0</v>
          </cell>
          <cell r="BU365" t="str">
            <v>0</v>
          </cell>
          <cell r="BV365" t="str">
            <v>0</v>
          </cell>
          <cell r="BW365" t="str">
            <v>0</v>
          </cell>
          <cell r="BX365" t="str">
            <v>0</v>
          </cell>
          <cell r="BY365" t="str">
            <v>0</v>
          </cell>
          <cell r="BZ365" t="str">
            <v>0</v>
          </cell>
          <cell r="CA365" t="str">
            <v>0</v>
          </cell>
          <cell r="CB365" t="str">
            <v>0</v>
          </cell>
          <cell r="CC365" t="str">
            <v>0</v>
          </cell>
          <cell r="CD365" t="str">
            <v>0</v>
          </cell>
          <cell r="CE365" t="str">
            <v>0</v>
          </cell>
          <cell r="CF365" t="str">
            <v>0</v>
          </cell>
          <cell r="CG365" t="str">
            <v>0</v>
          </cell>
          <cell r="CH365" t="str">
            <v>0</v>
          </cell>
          <cell r="CI365" t="str">
            <v>0</v>
          </cell>
          <cell r="CJ365" t="str">
            <v>0</v>
          </cell>
          <cell r="CK365" t="str">
            <v>0</v>
          </cell>
          <cell r="CL365" t="str">
            <v>0</v>
          </cell>
          <cell r="CM365" t="str">
            <v>0</v>
          </cell>
          <cell r="CN365" t="str">
            <v>0</v>
          </cell>
          <cell r="CO365" t="str">
            <v>0</v>
          </cell>
          <cell r="CP365" t="str">
            <v>0</v>
          </cell>
          <cell r="CQ365" t="str">
            <v>0</v>
          </cell>
          <cell r="CR365" t="str">
            <v>0</v>
          </cell>
          <cell r="CS365" t="str">
            <v>0</v>
          </cell>
          <cell r="CT365" t="str">
            <v>0</v>
          </cell>
          <cell r="CU365" t="str">
            <v>0</v>
          </cell>
          <cell r="CV365" t="str">
            <v>0</v>
          </cell>
          <cell r="CW365" t="str">
            <v>0</v>
          </cell>
          <cell r="CX365" t="str">
            <v>0</v>
          </cell>
          <cell r="CY365" t="str">
            <v>0</v>
          </cell>
          <cell r="CZ365" t="str">
            <v>0</v>
          </cell>
          <cell r="DA365" t="str">
            <v>0</v>
          </cell>
          <cell r="DB365" t="str">
            <v>0</v>
          </cell>
          <cell r="DC365" t="str">
            <v>0</v>
          </cell>
          <cell r="DD365" t="str">
            <v>0</v>
          </cell>
          <cell r="DE365" t="str">
            <v>0</v>
          </cell>
          <cell r="DF365" t="str">
            <v>0</v>
          </cell>
          <cell r="DG365" t="str">
            <v>0</v>
          </cell>
          <cell r="DH365" t="str">
            <v>0</v>
          </cell>
          <cell r="DI365" t="str">
            <v>0</v>
          </cell>
          <cell r="DJ365" t="str">
            <v>0</v>
          </cell>
          <cell r="DK365" t="str">
            <v>0</v>
          </cell>
          <cell r="DL365" t="str">
            <v>0</v>
          </cell>
          <cell r="DM365" t="str">
            <v>0</v>
          </cell>
          <cell r="DN365" t="str">
            <v>0</v>
          </cell>
          <cell r="DO365" t="str">
            <v>0</v>
          </cell>
          <cell r="DP365" t="str">
            <v>0</v>
          </cell>
        </row>
        <row r="366">
          <cell r="C366"/>
          <cell r="D366" t="str">
            <v>0</v>
          </cell>
          <cell r="E366" t="str">
            <v>0</v>
          </cell>
          <cell r="F366" t="str">
            <v>0</v>
          </cell>
          <cell r="G366" t="str">
            <v>0</v>
          </cell>
          <cell r="H366" t="str">
            <v>0</v>
          </cell>
          <cell r="I366" t="str">
            <v>0</v>
          </cell>
          <cell r="J366" t="str">
            <v>0</v>
          </cell>
          <cell r="K366" t="str">
            <v>0</v>
          </cell>
          <cell r="L366" t="str">
            <v>0</v>
          </cell>
          <cell r="M366" t="str">
            <v>0</v>
          </cell>
          <cell r="N366" t="str">
            <v>0</v>
          </cell>
          <cell r="O366" t="str">
            <v>0</v>
          </cell>
          <cell r="P366" t="str">
            <v>0</v>
          </cell>
          <cell r="Q366" t="str">
            <v>0</v>
          </cell>
          <cell r="R366" t="str">
            <v>0</v>
          </cell>
          <cell r="S366" t="str">
            <v>0</v>
          </cell>
          <cell r="T366" t="str">
            <v>0</v>
          </cell>
          <cell r="U366" t="str">
            <v>0</v>
          </cell>
          <cell r="V366" t="str">
            <v>0</v>
          </cell>
          <cell r="W366" t="str">
            <v>0</v>
          </cell>
          <cell r="X366" t="str">
            <v>0</v>
          </cell>
          <cell r="Y366" t="str">
            <v>0</v>
          </cell>
          <cell r="Z366" t="str">
            <v>0</v>
          </cell>
          <cell r="AA366" t="str">
            <v>0</v>
          </cell>
          <cell r="AB366" t="str">
            <v>0</v>
          </cell>
          <cell r="AC366" t="str">
            <v>0</v>
          </cell>
          <cell r="AD366" t="str">
            <v>0</v>
          </cell>
          <cell r="AE366" t="str">
            <v>0</v>
          </cell>
          <cell r="AF366" t="str">
            <v>0</v>
          </cell>
          <cell r="AG366" t="str">
            <v>0</v>
          </cell>
          <cell r="AH366" t="str">
            <v>0</v>
          </cell>
          <cell r="AI366" t="str">
            <v>0</v>
          </cell>
          <cell r="AJ366" t="str">
            <v>0</v>
          </cell>
          <cell r="AK366" t="str">
            <v>0</v>
          </cell>
          <cell r="AL366" t="str">
            <v>0</v>
          </cell>
          <cell r="AM366" t="str">
            <v>0</v>
          </cell>
          <cell r="AN366" t="str">
            <v>0</v>
          </cell>
          <cell r="AO366" t="str">
            <v>0</v>
          </cell>
          <cell r="AP366" t="str">
            <v>0</v>
          </cell>
          <cell r="AQ366" t="str">
            <v>0</v>
          </cell>
          <cell r="AR366" t="str">
            <v>0</v>
          </cell>
          <cell r="AS366" t="str">
            <v>0</v>
          </cell>
          <cell r="AT366" t="str">
            <v>0</v>
          </cell>
          <cell r="AU366" t="str">
            <v>0</v>
          </cell>
          <cell r="AV366" t="str">
            <v>0</v>
          </cell>
          <cell r="AW366" t="str">
            <v>0</v>
          </cell>
          <cell r="AX366" t="str">
            <v>0</v>
          </cell>
          <cell r="AY366" t="str">
            <v>0</v>
          </cell>
          <cell r="AZ366" t="str">
            <v>0</v>
          </cell>
          <cell r="BA366" t="str">
            <v>0</v>
          </cell>
          <cell r="BB366" t="str">
            <v>0</v>
          </cell>
          <cell r="BC366" t="str">
            <v>0</v>
          </cell>
          <cell r="BD366" t="str">
            <v>0</v>
          </cell>
          <cell r="BE366" t="str">
            <v>0</v>
          </cell>
          <cell r="BF366" t="str">
            <v>0</v>
          </cell>
          <cell r="BG366" t="str">
            <v>0</v>
          </cell>
          <cell r="BH366" t="str">
            <v>0</v>
          </cell>
          <cell r="BI366" t="str">
            <v>0</v>
          </cell>
          <cell r="BJ366" t="str">
            <v>0</v>
          </cell>
          <cell r="BK366" t="str">
            <v>0</v>
          </cell>
          <cell r="BL366" t="str">
            <v>0</v>
          </cell>
          <cell r="BM366" t="str">
            <v>0</v>
          </cell>
          <cell r="BN366" t="str">
            <v>0</v>
          </cell>
          <cell r="BO366" t="str">
            <v>0</v>
          </cell>
          <cell r="BP366" t="str">
            <v>0</v>
          </cell>
          <cell r="BQ366" t="str">
            <v>0</v>
          </cell>
          <cell r="BR366" t="str">
            <v>0</v>
          </cell>
          <cell r="BS366" t="str">
            <v>0</v>
          </cell>
          <cell r="BT366" t="str">
            <v>0</v>
          </cell>
          <cell r="BU366" t="str">
            <v>0</v>
          </cell>
          <cell r="BV366" t="str">
            <v>0</v>
          </cell>
          <cell r="BW366" t="str">
            <v>0</v>
          </cell>
          <cell r="BX366" t="str">
            <v>0</v>
          </cell>
          <cell r="BY366" t="str">
            <v>0</v>
          </cell>
          <cell r="BZ366" t="str">
            <v>0</v>
          </cell>
          <cell r="CA366" t="str">
            <v>0</v>
          </cell>
          <cell r="CB366" t="str">
            <v>0</v>
          </cell>
          <cell r="CC366" t="str">
            <v>0</v>
          </cell>
          <cell r="CD366" t="str">
            <v>0</v>
          </cell>
          <cell r="CE366" t="str">
            <v>0</v>
          </cell>
          <cell r="CF366" t="str">
            <v>0</v>
          </cell>
          <cell r="CG366" t="str">
            <v>0</v>
          </cell>
          <cell r="CH366" t="str">
            <v>0</v>
          </cell>
          <cell r="CI366" t="str">
            <v>0</v>
          </cell>
          <cell r="CJ366" t="str">
            <v>0</v>
          </cell>
          <cell r="CK366" t="str">
            <v>0</v>
          </cell>
          <cell r="CL366" t="str">
            <v>0</v>
          </cell>
          <cell r="CM366" t="str">
            <v>0</v>
          </cell>
          <cell r="CN366" t="str">
            <v>0</v>
          </cell>
          <cell r="CO366" t="str">
            <v>0</v>
          </cell>
          <cell r="CP366" t="str">
            <v>0</v>
          </cell>
          <cell r="CQ366" t="str">
            <v>0</v>
          </cell>
          <cell r="CR366" t="str">
            <v>0</v>
          </cell>
          <cell r="CS366" t="str">
            <v>0</v>
          </cell>
          <cell r="CT366" t="str">
            <v>0</v>
          </cell>
          <cell r="CU366" t="str">
            <v>0</v>
          </cell>
          <cell r="CV366" t="str">
            <v>0</v>
          </cell>
          <cell r="CW366" t="str">
            <v>0</v>
          </cell>
          <cell r="CX366" t="str">
            <v>0</v>
          </cell>
          <cell r="CY366" t="str">
            <v>0</v>
          </cell>
          <cell r="CZ366" t="str">
            <v>0</v>
          </cell>
          <cell r="DA366" t="str">
            <v>0</v>
          </cell>
          <cell r="DB366" t="str">
            <v>0</v>
          </cell>
          <cell r="DC366" t="str">
            <v>0</v>
          </cell>
          <cell r="DD366" t="str">
            <v>0</v>
          </cell>
          <cell r="DE366" t="str">
            <v>0</v>
          </cell>
          <cell r="DF366" t="str">
            <v>0</v>
          </cell>
          <cell r="DG366" t="str">
            <v>0</v>
          </cell>
          <cell r="DH366" t="str">
            <v>0</v>
          </cell>
          <cell r="DI366" t="str">
            <v>0</v>
          </cell>
          <cell r="DJ366" t="str">
            <v>0</v>
          </cell>
          <cell r="DK366" t="str">
            <v>0</v>
          </cell>
          <cell r="DL366" t="str">
            <v>0</v>
          </cell>
          <cell r="DM366" t="str">
            <v>0</v>
          </cell>
          <cell r="DN366" t="str">
            <v>0</v>
          </cell>
          <cell r="DO366" t="str">
            <v>0</v>
          </cell>
          <cell r="DP366" t="str">
            <v>0</v>
          </cell>
        </row>
        <row r="367">
          <cell r="C367"/>
          <cell r="D367" t="str">
            <v>0</v>
          </cell>
          <cell r="E367" t="str">
            <v>0</v>
          </cell>
          <cell r="F367" t="str">
            <v>0</v>
          </cell>
          <cell r="G367" t="str">
            <v>0</v>
          </cell>
          <cell r="H367" t="str">
            <v>0</v>
          </cell>
          <cell r="I367" t="str">
            <v>0</v>
          </cell>
          <cell r="J367" t="str">
            <v>0</v>
          </cell>
          <cell r="K367" t="str">
            <v>0</v>
          </cell>
          <cell r="L367" t="str">
            <v>0</v>
          </cell>
          <cell r="M367" t="str">
            <v>0</v>
          </cell>
          <cell r="N367" t="str">
            <v>0</v>
          </cell>
          <cell r="O367" t="str">
            <v>0</v>
          </cell>
          <cell r="P367" t="str">
            <v>0</v>
          </cell>
          <cell r="Q367" t="str">
            <v>0</v>
          </cell>
          <cell r="R367" t="str">
            <v>0</v>
          </cell>
          <cell r="S367" t="str">
            <v>0</v>
          </cell>
          <cell r="T367" t="str">
            <v>0</v>
          </cell>
          <cell r="U367" t="str">
            <v>0</v>
          </cell>
          <cell r="V367" t="str">
            <v>0</v>
          </cell>
          <cell r="W367" t="str">
            <v>0</v>
          </cell>
          <cell r="X367" t="str">
            <v>0</v>
          </cell>
          <cell r="Y367" t="str">
            <v>0</v>
          </cell>
          <cell r="Z367" t="str">
            <v>0</v>
          </cell>
          <cell r="AA367" t="str">
            <v>0</v>
          </cell>
          <cell r="AB367" t="str">
            <v>0</v>
          </cell>
          <cell r="AC367" t="str">
            <v>0</v>
          </cell>
          <cell r="AD367" t="str">
            <v>0</v>
          </cell>
          <cell r="AE367" t="str">
            <v>0</v>
          </cell>
          <cell r="AF367" t="str">
            <v>0</v>
          </cell>
          <cell r="AG367" t="str">
            <v>0</v>
          </cell>
          <cell r="AH367" t="str">
            <v>0</v>
          </cell>
          <cell r="AI367" t="str">
            <v>0</v>
          </cell>
          <cell r="AJ367" t="str">
            <v>0</v>
          </cell>
          <cell r="AK367" t="str">
            <v>0</v>
          </cell>
          <cell r="AL367" t="str">
            <v>0</v>
          </cell>
          <cell r="AM367" t="str">
            <v>0</v>
          </cell>
          <cell r="AN367" t="str">
            <v>0</v>
          </cell>
          <cell r="AO367" t="str">
            <v>0</v>
          </cell>
          <cell r="AP367" t="str">
            <v>0</v>
          </cell>
          <cell r="AQ367" t="str">
            <v>0</v>
          </cell>
          <cell r="AR367" t="str">
            <v>0</v>
          </cell>
          <cell r="AS367" t="str">
            <v>0</v>
          </cell>
          <cell r="AT367" t="str">
            <v>0</v>
          </cell>
          <cell r="AU367" t="str">
            <v>0</v>
          </cell>
          <cell r="AV367" t="str">
            <v>0</v>
          </cell>
          <cell r="AW367" t="str">
            <v>0</v>
          </cell>
          <cell r="AX367" t="str">
            <v>0</v>
          </cell>
          <cell r="AY367" t="str">
            <v>0</v>
          </cell>
          <cell r="AZ367" t="str">
            <v>0</v>
          </cell>
          <cell r="BA367" t="str">
            <v>0</v>
          </cell>
          <cell r="BB367" t="str">
            <v>0</v>
          </cell>
          <cell r="BC367" t="str">
            <v>0</v>
          </cell>
          <cell r="BD367" t="str">
            <v>0</v>
          </cell>
          <cell r="BE367" t="str">
            <v>0</v>
          </cell>
          <cell r="BF367" t="str">
            <v>0</v>
          </cell>
          <cell r="BG367" t="str">
            <v>0</v>
          </cell>
          <cell r="BH367" t="str">
            <v>0</v>
          </cell>
          <cell r="BI367" t="str">
            <v>0</v>
          </cell>
          <cell r="BJ367" t="str">
            <v>0</v>
          </cell>
          <cell r="BK367" t="str">
            <v>0</v>
          </cell>
          <cell r="BL367" t="str">
            <v>0</v>
          </cell>
          <cell r="BM367" t="str">
            <v>0</v>
          </cell>
          <cell r="BN367" t="str">
            <v>0</v>
          </cell>
          <cell r="BO367" t="str">
            <v>0</v>
          </cell>
          <cell r="BP367" t="str">
            <v>0</v>
          </cell>
          <cell r="BQ367" t="str">
            <v>0</v>
          </cell>
          <cell r="BR367" t="str">
            <v>0</v>
          </cell>
          <cell r="BS367" t="str">
            <v>0</v>
          </cell>
          <cell r="BT367" t="str">
            <v>0</v>
          </cell>
          <cell r="BU367" t="str">
            <v>0</v>
          </cell>
          <cell r="BV367" t="str">
            <v>0</v>
          </cell>
          <cell r="BW367" t="str">
            <v>0</v>
          </cell>
          <cell r="BX367" t="str">
            <v>0</v>
          </cell>
          <cell r="BY367" t="str">
            <v>0</v>
          </cell>
          <cell r="BZ367" t="str">
            <v>0</v>
          </cell>
          <cell r="CA367" t="str">
            <v>0</v>
          </cell>
          <cell r="CB367" t="str">
            <v>0</v>
          </cell>
          <cell r="CC367" t="str">
            <v>0</v>
          </cell>
          <cell r="CD367" t="str">
            <v>0</v>
          </cell>
          <cell r="CE367" t="str">
            <v>0</v>
          </cell>
          <cell r="CF367" t="str">
            <v>0</v>
          </cell>
          <cell r="CG367" t="str">
            <v>0</v>
          </cell>
          <cell r="CH367" t="str">
            <v>0</v>
          </cell>
          <cell r="CI367" t="str">
            <v>0</v>
          </cell>
          <cell r="CJ367" t="str">
            <v>0</v>
          </cell>
          <cell r="CK367" t="str">
            <v>0</v>
          </cell>
          <cell r="CL367" t="str">
            <v>0</v>
          </cell>
          <cell r="CM367" t="str">
            <v>0</v>
          </cell>
          <cell r="CN367" t="str">
            <v>0</v>
          </cell>
          <cell r="CO367" t="str">
            <v>0</v>
          </cell>
          <cell r="CP367" t="str">
            <v>0</v>
          </cell>
          <cell r="CQ367" t="str">
            <v>0</v>
          </cell>
          <cell r="CR367" t="str">
            <v>0</v>
          </cell>
          <cell r="CS367" t="str">
            <v>0</v>
          </cell>
          <cell r="CT367" t="str">
            <v>0</v>
          </cell>
          <cell r="CU367" t="str">
            <v>0</v>
          </cell>
          <cell r="CV367" t="str">
            <v>0</v>
          </cell>
          <cell r="CW367" t="str">
            <v>0</v>
          </cell>
          <cell r="CX367" t="str">
            <v>0</v>
          </cell>
          <cell r="CY367" t="str">
            <v>0</v>
          </cell>
          <cell r="CZ367" t="str">
            <v>0</v>
          </cell>
          <cell r="DA367" t="str">
            <v>0</v>
          </cell>
          <cell r="DB367" t="str">
            <v>0</v>
          </cell>
          <cell r="DC367" t="str">
            <v>0</v>
          </cell>
          <cell r="DD367" t="str">
            <v>0</v>
          </cell>
          <cell r="DE367" t="str">
            <v>0</v>
          </cell>
          <cell r="DF367" t="str">
            <v>0</v>
          </cell>
          <cell r="DG367" t="str">
            <v>0</v>
          </cell>
          <cell r="DH367" t="str">
            <v>0</v>
          </cell>
          <cell r="DI367" t="str">
            <v>0</v>
          </cell>
          <cell r="DJ367" t="str">
            <v>0</v>
          </cell>
          <cell r="DK367" t="str">
            <v>0</v>
          </cell>
          <cell r="DL367" t="str">
            <v>0</v>
          </cell>
          <cell r="DM367" t="str">
            <v>0</v>
          </cell>
          <cell r="DN367" t="str">
            <v>0</v>
          </cell>
          <cell r="DO367" t="str">
            <v>0</v>
          </cell>
          <cell r="DP367" t="str">
            <v>0</v>
          </cell>
        </row>
        <row r="368">
          <cell r="C368"/>
          <cell r="D368" t="str">
            <v>0</v>
          </cell>
          <cell r="E368" t="str">
            <v>0</v>
          </cell>
          <cell r="F368" t="str">
            <v>0</v>
          </cell>
          <cell r="G368" t="str">
            <v>0</v>
          </cell>
          <cell r="H368" t="str">
            <v>0</v>
          </cell>
          <cell r="I368" t="str">
            <v>0</v>
          </cell>
          <cell r="J368" t="str">
            <v>0</v>
          </cell>
          <cell r="K368" t="str">
            <v>0</v>
          </cell>
          <cell r="L368" t="str">
            <v>0</v>
          </cell>
          <cell r="M368" t="str">
            <v>0</v>
          </cell>
          <cell r="N368" t="str">
            <v>0</v>
          </cell>
          <cell r="O368" t="str">
            <v>0</v>
          </cell>
          <cell r="P368" t="str">
            <v>0</v>
          </cell>
          <cell r="Q368" t="str">
            <v>0</v>
          </cell>
          <cell r="R368" t="str">
            <v>0</v>
          </cell>
          <cell r="S368" t="str">
            <v>0</v>
          </cell>
          <cell r="T368" t="str">
            <v>0</v>
          </cell>
          <cell r="U368" t="str">
            <v>0</v>
          </cell>
          <cell r="V368" t="str">
            <v>0</v>
          </cell>
          <cell r="W368" t="str">
            <v>0</v>
          </cell>
          <cell r="X368" t="str">
            <v>0</v>
          </cell>
          <cell r="Y368" t="str">
            <v>0</v>
          </cell>
          <cell r="Z368" t="str">
            <v>0</v>
          </cell>
          <cell r="AA368" t="str">
            <v>0</v>
          </cell>
          <cell r="AB368" t="str">
            <v>0</v>
          </cell>
          <cell r="AC368" t="str">
            <v>0</v>
          </cell>
          <cell r="AD368" t="str">
            <v>0</v>
          </cell>
          <cell r="AE368" t="str">
            <v>0</v>
          </cell>
          <cell r="AF368" t="str">
            <v>0</v>
          </cell>
          <cell r="AG368" t="str">
            <v>0</v>
          </cell>
          <cell r="AH368" t="str">
            <v>0</v>
          </cell>
          <cell r="AI368" t="str">
            <v>0</v>
          </cell>
          <cell r="AJ368" t="str">
            <v>0</v>
          </cell>
          <cell r="AK368" t="str">
            <v>0</v>
          </cell>
          <cell r="AL368" t="str">
            <v>0</v>
          </cell>
          <cell r="AM368" t="str">
            <v>0</v>
          </cell>
          <cell r="AN368" t="str">
            <v>0</v>
          </cell>
          <cell r="AO368" t="str">
            <v>0</v>
          </cell>
          <cell r="AP368" t="str">
            <v>0</v>
          </cell>
          <cell r="AQ368" t="str">
            <v>0</v>
          </cell>
          <cell r="AR368" t="str">
            <v>0</v>
          </cell>
          <cell r="AS368" t="str">
            <v>0</v>
          </cell>
          <cell r="AT368" t="str">
            <v>0</v>
          </cell>
          <cell r="AU368" t="str">
            <v>0</v>
          </cell>
          <cell r="AV368" t="str">
            <v>0</v>
          </cell>
          <cell r="AW368" t="str">
            <v>0</v>
          </cell>
          <cell r="AX368" t="str">
            <v>0</v>
          </cell>
          <cell r="AY368" t="str">
            <v>0</v>
          </cell>
          <cell r="AZ368" t="str">
            <v>0</v>
          </cell>
          <cell r="BA368" t="str">
            <v>0</v>
          </cell>
          <cell r="BB368" t="str">
            <v>0</v>
          </cell>
          <cell r="BC368" t="str">
            <v>0</v>
          </cell>
          <cell r="BD368" t="str">
            <v>0</v>
          </cell>
          <cell r="BE368" t="str">
            <v>0</v>
          </cell>
          <cell r="BF368" t="str">
            <v>0</v>
          </cell>
          <cell r="BG368" t="str">
            <v>0</v>
          </cell>
          <cell r="BH368" t="str">
            <v>0</v>
          </cell>
          <cell r="BI368" t="str">
            <v>0</v>
          </cell>
          <cell r="BJ368" t="str">
            <v>0</v>
          </cell>
          <cell r="BK368" t="str">
            <v>0</v>
          </cell>
          <cell r="BL368" t="str">
            <v>0</v>
          </cell>
          <cell r="BM368" t="str">
            <v>0</v>
          </cell>
          <cell r="BN368" t="str">
            <v>0</v>
          </cell>
          <cell r="BO368" t="str">
            <v>0</v>
          </cell>
          <cell r="BP368" t="str">
            <v>0</v>
          </cell>
          <cell r="BQ368" t="str">
            <v>0</v>
          </cell>
          <cell r="BR368" t="str">
            <v>0</v>
          </cell>
          <cell r="BS368" t="str">
            <v>0</v>
          </cell>
          <cell r="BT368" t="str">
            <v>0</v>
          </cell>
          <cell r="BU368" t="str">
            <v>0</v>
          </cell>
          <cell r="BV368" t="str">
            <v>0</v>
          </cell>
          <cell r="BW368" t="str">
            <v>0</v>
          </cell>
          <cell r="BX368" t="str">
            <v>0</v>
          </cell>
          <cell r="BY368" t="str">
            <v>0</v>
          </cell>
          <cell r="BZ368" t="str">
            <v>0</v>
          </cell>
          <cell r="CA368" t="str">
            <v>0</v>
          </cell>
          <cell r="CB368" t="str">
            <v>0</v>
          </cell>
          <cell r="CC368" t="str">
            <v>0</v>
          </cell>
          <cell r="CD368" t="str">
            <v>0</v>
          </cell>
          <cell r="CE368" t="str">
            <v>0</v>
          </cell>
          <cell r="CF368" t="str">
            <v>0</v>
          </cell>
          <cell r="CG368" t="str">
            <v>0</v>
          </cell>
          <cell r="CH368" t="str">
            <v>0</v>
          </cell>
          <cell r="CI368" t="str">
            <v>0</v>
          </cell>
          <cell r="CJ368" t="str">
            <v>0</v>
          </cell>
          <cell r="CK368" t="str">
            <v>0</v>
          </cell>
          <cell r="CL368" t="str">
            <v>0</v>
          </cell>
          <cell r="CM368" t="str">
            <v>0</v>
          </cell>
          <cell r="CN368" t="str">
            <v>0</v>
          </cell>
          <cell r="CO368" t="str">
            <v>0</v>
          </cell>
          <cell r="CP368" t="str">
            <v>0</v>
          </cell>
          <cell r="CQ368" t="str">
            <v>0</v>
          </cell>
          <cell r="CR368" t="str">
            <v>0</v>
          </cell>
          <cell r="CS368" t="str">
            <v>0</v>
          </cell>
          <cell r="CT368" t="str">
            <v>0</v>
          </cell>
          <cell r="CU368" t="str">
            <v>0</v>
          </cell>
          <cell r="CV368" t="str">
            <v>0</v>
          </cell>
          <cell r="CW368" t="str">
            <v>0</v>
          </cell>
          <cell r="CX368" t="str">
            <v>0</v>
          </cell>
          <cell r="CY368" t="str">
            <v>0</v>
          </cell>
          <cell r="CZ368" t="str">
            <v>0</v>
          </cell>
          <cell r="DA368" t="str">
            <v>0</v>
          </cell>
          <cell r="DB368" t="str">
            <v>0</v>
          </cell>
          <cell r="DC368" t="str">
            <v>0</v>
          </cell>
          <cell r="DD368" t="str">
            <v>0</v>
          </cell>
          <cell r="DE368" t="str">
            <v>0</v>
          </cell>
          <cell r="DF368" t="str">
            <v>0</v>
          </cell>
          <cell r="DG368" t="str">
            <v>0</v>
          </cell>
          <cell r="DH368" t="str">
            <v>0</v>
          </cell>
          <cell r="DI368" t="str">
            <v>0</v>
          </cell>
          <cell r="DJ368" t="str">
            <v>0</v>
          </cell>
          <cell r="DK368" t="str">
            <v>0</v>
          </cell>
          <cell r="DL368" t="str">
            <v>0</v>
          </cell>
          <cell r="DM368" t="str">
            <v>0</v>
          </cell>
          <cell r="DN368" t="str">
            <v>0</v>
          </cell>
          <cell r="DO368" t="str">
            <v>0</v>
          </cell>
          <cell r="DP368" t="str">
            <v>0</v>
          </cell>
        </row>
        <row r="369">
          <cell r="C369"/>
          <cell r="D369" t="str">
            <v>0</v>
          </cell>
          <cell r="E369" t="str">
            <v>0</v>
          </cell>
          <cell r="F369" t="str">
            <v>0</v>
          </cell>
          <cell r="G369" t="str">
            <v>0</v>
          </cell>
          <cell r="H369" t="str">
            <v>0</v>
          </cell>
          <cell r="I369" t="str">
            <v>0</v>
          </cell>
          <cell r="J369" t="str">
            <v>0</v>
          </cell>
          <cell r="K369" t="str">
            <v>0</v>
          </cell>
          <cell r="L369" t="str">
            <v>0</v>
          </cell>
          <cell r="M369" t="str">
            <v>0</v>
          </cell>
          <cell r="N369" t="str">
            <v>0</v>
          </cell>
          <cell r="O369" t="str">
            <v>0</v>
          </cell>
          <cell r="P369" t="str">
            <v>0</v>
          </cell>
          <cell r="Q369" t="str">
            <v>0</v>
          </cell>
          <cell r="R369" t="str">
            <v>0</v>
          </cell>
          <cell r="S369" t="str">
            <v>0</v>
          </cell>
          <cell r="T369" t="str">
            <v>0</v>
          </cell>
          <cell r="U369" t="str">
            <v>0</v>
          </cell>
          <cell r="V369" t="str">
            <v>0</v>
          </cell>
          <cell r="W369" t="str">
            <v>0</v>
          </cell>
          <cell r="X369" t="str">
            <v>0</v>
          </cell>
          <cell r="Y369" t="str">
            <v>0</v>
          </cell>
          <cell r="Z369" t="str">
            <v>0</v>
          </cell>
          <cell r="AA369" t="str">
            <v>0</v>
          </cell>
          <cell r="AB369" t="str">
            <v>0</v>
          </cell>
          <cell r="AC369" t="str">
            <v>0</v>
          </cell>
          <cell r="AD369" t="str">
            <v>0</v>
          </cell>
          <cell r="AE369" t="str">
            <v>0</v>
          </cell>
          <cell r="AF369" t="str">
            <v>0</v>
          </cell>
          <cell r="AG369" t="str">
            <v>0</v>
          </cell>
          <cell r="AH369" t="str">
            <v>0</v>
          </cell>
          <cell r="AI369" t="str">
            <v>0</v>
          </cell>
          <cell r="AJ369" t="str">
            <v>0</v>
          </cell>
          <cell r="AK369" t="str">
            <v>0</v>
          </cell>
          <cell r="AL369" t="str">
            <v>0</v>
          </cell>
          <cell r="AM369" t="str">
            <v>0</v>
          </cell>
          <cell r="AN369" t="str">
            <v>0</v>
          </cell>
          <cell r="AO369" t="str">
            <v>0</v>
          </cell>
          <cell r="AP369" t="str">
            <v>0</v>
          </cell>
          <cell r="AQ369" t="str">
            <v>0</v>
          </cell>
          <cell r="AR369" t="str">
            <v>0</v>
          </cell>
          <cell r="AS369" t="str">
            <v>0</v>
          </cell>
          <cell r="AT369" t="str">
            <v>0</v>
          </cell>
          <cell r="AU369" t="str">
            <v>0</v>
          </cell>
          <cell r="AV369" t="str">
            <v>0</v>
          </cell>
          <cell r="AW369" t="str">
            <v>0</v>
          </cell>
          <cell r="AX369" t="str">
            <v>0</v>
          </cell>
          <cell r="AY369" t="str">
            <v>0</v>
          </cell>
          <cell r="AZ369" t="str">
            <v>0</v>
          </cell>
          <cell r="BA369" t="str">
            <v>0</v>
          </cell>
          <cell r="BB369" t="str">
            <v>0</v>
          </cell>
          <cell r="BC369" t="str">
            <v>0</v>
          </cell>
          <cell r="BD369" t="str">
            <v>0</v>
          </cell>
          <cell r="BE369" t="str">
            <v>0</v>
          </cell>
          <cell r="BF369" t="str">
            <v>0</v>
          </cell>
          <cell r="BG369" t="str">
            <v>0</v>
          </cell>
          <cell r="BH369" t="str">
            <v>0</v>
          </cell>
          <cell r="BI369" t="str">
            <v>0</v>
          </cell>
          <cell r="BJ369" t="str">
            <v>0</v>
          </cell>
          <cell r="BK369" t="str">
            <v>0</v>
          </cell>
          <cell r="BL369" t="str">
            <v>0</v>
          </cell>
          <cell r="BM369" t="str">
            <v>0</v>
          </cell>
          <cell r="BN369" t="str">
            <v>0</v>
          </cell>
          <cell r="BO369" t="str">
            <v>0</v>
          </cell>
          <cell r="BP369" t="str">
            <v>0</v>
          </cell>
          <cell r="BQ369" t="str">
            <v>0</v>
          </cell>
          <cell r="BR369" t="str">
            <v>0</v>
          </cell>
          <cell r="BS369" t="str">
            <v>0</v>
          </cell>
          <cell r="BT369" t="str">
            <v>0</v>
          </cell>
          <cell r="BU369" t="str">
            <v>0</v>
          </cell>
          <cell r="BV369" t="str">
            <v>0</v>
          </cell>
          <cell r="BW369" t="str">
            <v>0</v>
          </cell>
          <cell r="BX369" t="str">
            <v>0</v>
          </cell>
          <cell r="BY369" t="str">
            <v>0</v>
          </cell>
          <cell r="BZ369" t="str">
            <v>0</v>
          </cell>
          <cell r="CA369" t="str">
            <v>0</v>
          </cell>
          <cell r="CB369" t="str">
            <v>0</v>
          </cell>
          <cell r="CC369" t="str">
            <v>0</v>
          </cell>
          <cell r="CD369" t="str">
            <v>0</v>
          </cell>
          <cell r="CE369" t="str">
            <v>0</v>
          </cell>
          <cell r="CF369" t="str">
            <v>0</v>
          </cell>
          <cell r="CG369" t="str">
            <v>0</v>
          </cell>
          <cell r="CH369" t="str">
            <v>0</v>
          </cell>
          <cell r="CI369" t="str">
            <v>0</v>
          </cell>
          <cell r="CJ369" t="str">
            <v>0</v>
          </cell>
          <cell r="CK369" t="str">
            <v>0</v>
          </cell>
          <cell r="CL369" t="str">
            <v>0</v>
          </cell>
          <cell r="CM369" t="str">
            <v>0</v>
          </cell>
          <cell r="CN369" t="str">
            <v>0</v>
          </cell>
          <cell r="CO369" t="str">
            <v>0</v>
          </cell>
          <cell r="CP369" t="str">
            <v>0</v>
          </cell>
          <cell r="CQ369" t="str">
            <v>0</v>
          </cell>
          <cell r="CR369" t="str">
            <v>0</v>
          </cell>
          <cell r="CS369" t="str">
            <v>0</v>
          </cell>
          <cell r="CT369" t="str">
            <v>0</v>
          </cell>
          <cell r="CU369" t="str">
            <v>0</v>
          </cell>
          <cell r="CV369" t="str">
            <v>0</v>
          </cell>
          <cell r="CW369" t="str">
            <v>0</v>
          </cell>
          <cell r="CX369" t="str">
            <v>0</v>
          </cell>
          <cell r="CY369" t="str">
            <v>0</v>
          </cell>
          <cell r="CZ369" t="str">
            <v>0</v>
          </cell>
          <cell r="DA369" t="str">
            <v>0</v>
          </cell>
          <cell r="DB369" t="str">
            <v>0</v>
          </cell>
          <cell r="DC369" t="str">
            <v>0</v>
          </cell>
          <cell r="DD369" t="str">
            <v>0</v>
          </cell>
          <cell r="DE369" t="str">
            <v>0</v>
          </cell>
          <cell r="DF369" t="str">
            <v>0</v>
          </cell>
          <cell r="DG369" t="str">
            <v>0</v>
          </cell>
          <cell r="DH369" t="str">
            <v>0</v>
          </cell>
          <cell r="DI369" t="str">
            <v>0</v>
          </cell>
          <cell r="DJ369" t="str">
            <v>0</v>
          </cell>
          <cell r="DK369" t="str">
            <v>0</v>
          </cell>
          <cell r="DL369" t="str">
            <v>0</v>
          </cell>
          <cell r="DM369" t="str">
            <v>0</v>
          </cell>
          <cell r="DN369" t="str">
            <v>0</v>
          </cell>
          <cell r="DO369" t="str">
            <v>0</v>
          </cell>
          <cell r="DP369" t="str">
            <v>0</v>
          </cell>
        </row>
        <row r="370">
          <cell r="C370"/>
          <cell r="D370" t="str">
            <v>0</v>
          </cell>
          <cell r="E370" t="str">
            <v>0</v>
          </cell>
          <cell r="F370" t="str">
            <v>0</v>
          </cell>
          <cell r="G370" t="str">
            <v>0</v>
          </cell>
          <cell r="H370" t="str">
            <v>0</v>
          </cell>
          <cell r="I370" t="str">
            <v>0</v>
          </cell>
          <cell r="J370" t="str">
            <v>0</v>
          </cell>
          <cell r="K370" t="str">
            <v>0</v>
          </cell>
          <cell r="L370" t="str">
            <v>0</v>
          </cell>
          <cell r="M370" t="str">
            <v>0</v>
          </cell>
          <cell r="N370" t="str">
            <v>0</v>
          </cell>
          <cell r="O370" t="str">
            <v>0</v>
          </cell>
          <cell r="P370" t="str">
            <v>0</v>
          </cell>
          <cell r="Q370" t="str">
            <v>0</v>
          </cell>
          <cell r="R370" t="str">
            <v>0</v>
          </cell>
          <cell r="S370" t="str">
            <v>0</v>
          </cell>
          <cell r="T370" t="str">
            <v>0</v>
          </cell>
          <cell r="U370" t="str">
            <v>0</v>
          </cell>
          <cell r="V370" t="str">
            <v>0</v>
          </cell>
          <cell r="W370" t="str">
            <v>0</v>
          </cell>
          <cell r="X370" t="str">
            <v>0</v>
          </cell>
          <cell r="Y370" t="str">
            <v>0</v>
          </cell>
          <cell r="Z370" t="str">
            <v>0</v>
          </cell>
          <cell r="AA370" t="str">
            <v>0</v>
          </cell>
          <cell r="AB370" t="str">
            <v>0</v>
          </cell>
          <cell r="AC370" t="str">
            <v>0</v>
          </cell>
          <cell r="AD370" t="str">
            <v>0</v>
          </cell>
          <cell r="AE370" t="str">
            <v>0</v>
          </cell>
          <cell r="AF370" t="str">
            <v>0</v>
          </cell>
          <cell r="AG370" t="str">
            <v>0</v>
          </cell>
          <cell r="AH370" t="str">
            <v>0</v>
          </cell>
          <cell r="AI370" t="str">
            <v>0</v>
          </cell>
          <cell r="AJ370" t="str">
            <v>0</v>
          </cell>
          <cell r="AK370" t="str">
            <v>0</v>
          </cell>
          <cell r="AL370" t="str">
            <v>0</v>
          </cell>
          <cell r="AM370" t="str">
            <v>0</v>
          </cell>
          <cell r="AN370" t="str">
            <v>0</v>
          </cell>
          <cell r="AO370" t="str">
            <v>0</v>
          </cell>
          <cell r="AP370" t="str">
            <v>0</v>
          </cell>
          <cell r="AQ370" t="str">
            <v>0</v>
          </cell>
          <cell r="AR370" t="str">
            <v>0</v>
          </cell>
          <cell r="AS370" t="str">
            <v>0</v>
          </cell>
          <cell r="AT370" t="str">
            <v>0</v>
          </cell>
          <cell r="AU370" t="str">
            <v>0</v>
          </cell>
          <cell r="AV370" t="str">
            <v>0</v>
          </cell>
          <cell r="AW370" t="str">
            <v>0</v>
          </cell>
          <cell r="AX370" t="str">
            <v>0</v>
          </cell>
          <cell r="AY370" t="str">
            <v>0</v>
          </cell>
          <cell r="AZ370" t="str">
            <v>0</v>
          </cell>
          <cell r="BA370" t="str">
            <v>0</v>
          </cell>
          <cell r="BB370" t="str">
            <v>0</v>
          </cell>
          <cell r="BC370" t="str">
            <v>0</v>
          </cell>
          <cell r="BD370" t="str">
            <v>0</v>
          </cell>
          <cell r="BE370" t="str">
            <v>0</v>
          </cell>
          <cell r="BF370" t="str">
            <v>0</v>
          </cell>
          <cell r="BG370" t="str">
            <v>0</v>
          </cell>
          <cell r="BH370" t="str">
            <v>0</v>
          </cell>
          <cell r="BI370" t="str">
            <v>0</v>
          </cell>
          <cell r="BJ370" t="str">
            <v>0</v>
          </cell>
          <cell r="BK370" t="str">
            <v>0</v>
          </cell>
          <cell r="BL370" t="str">
            <v>0</v>
          </cell>
          <cell r="BM370" t="str">
            <v>0</v>
          </cell>
          <cell r="BN370" t="str">
            <v>0</v>
          </cell>
          <cell r="BO370" t="str">
            <v>0</v>
          </cell>
          <cell r="BP370" t="str">
            <v>0</v>
          </cell>
          <cell r="BQ370" t="str">
            <v>0</v>
          </cell>
          <cell r="BR370" t="str">
            <v>0</v>
          </cell>
          <cell r="BS370" t="str">
            <v>0</v>
          </cell>
          <cell r="BT370" t="str">
            <v>0</v>
          </cell>
          <cell r="BU370" t="str">
            <v>0</v>
          </cell>
          <cell r="BV370" t="str">
            <v>0</v>
          </cell>
          <cell r="BW370" t="str">
            <v>0</v>
          </cell>
          <cell r="BX370" t="str">
            <v>0</v>
          </cell>
          <cell r="BY370" t="str">
            <v>0</v>
          </cell>
          <cell r="BZ370" t="str">
            <v>0</v>
          </cell>
          <cell r="CA370" t="str">
            <v>0</v>
          </cell>
          <cell r="CB370" t="str">
            <v>0</v>
          </cell>
          <cell r="CC370" t="str">
            <v>0</v>
          </cell>
          <cell r="CD370" t="str">
            <v>0</v>
          </cell>
          <cell r="CE370" t="str">
            <v>0</v>
          </cell>
          <cell r="CF370" t="str">
            <v>0</v>
          </cell>
          <cell r="CG370" t="str">
            <v>0</v>
          </cell>
          <cell r="CH370" t="str">
            <v>0</v>
          </cell>
          <cell r="CI370" t="str">
            <v>0</v>
          </cell>
          <cell r="CJ370" t="str">
            <v>0</v>
          </cell>
          <cell r="CK370" t="str">
            <v>0</v>
          </cell>
          <cell r="CL370" t="str">
            <v>0</v>
          </cell>
          <cell r="CM370" t="str">
            <v>0</v>
          </cell>
          <cell r="CN370" t="str">
            <v>0</v>
          </cell>
          <cell r="CO370" t="str">
            <v>0</v>
          </cell>
          <cell r="CP370" t="str">
            <v>0</v>
          </cell>
          <cell r="CQ370" t="str">
            <v>0</v>
          </cell>
          <cell r="CR370" t="str">
            <v>0</v>
          </cell>
          <cell r="CS370" t="str">
            <v>0</v>
          </cell>
          <cell r="CT370" t="str">
            <v>0</v>
          </cell>
          <cell r="CU370" t="str">
            <v>0</v>
          </cell>
          <cell r="CV370" t="str">
            <v>0</v>
          </cell>
          <cell r="CW370" t="str">
            <v>0</v>
          </cell>
          <cell r="CX370" t="str">
            <v>0</v>
          </cell>
          <cell r="CY370" t="str">
            <v>0</v>
          </cell>
          <cell r="CZ370" t="str">
            <v>0</v>
          </cell>
          <cell r="DA370" t="str">
            <v>0</v>
          </cell>
          <cell r="DB370" t="str">
            <v>0</v>
          </cell>
          <cell r="DC370" t="str">
            <v>0</v>
          </cell>
          <cell r="DD370" t="str">
            <v>0</v>
          </cell>
          <cell r="DE370" t="str">
            <v>0</v>
          </cell>
          <cell r="DF370" t="str">
            <v>0</v>
          </cell>
          <cell r="DG370" t="str">
            <v>0</v>
          </cell>
          <cell r="DH370" t="str">
            <v>0</v>
          </cell>
          <cell r="DI370" t="str">
            <v>0</v>
          </cell>
          <cell r="DJ370" t="str">
            <v>0</v>
          </cell>
          <cell r="DK370" t="str">
            <v>0</v>
          </cell>
          <cell r="DL370" t="str">
            <v>0</v>
          </cell>
          <cell r="DM370" t="str">
            <v>0</v>
          </cell>
          <cell r="DN370" t="str">
            <v>0</v>
          </cell>
          <cell r="DO370" t="str">
            <v>0</v>
          </cell>
          <cell r="DP370" t="str">
            <v>0</v>
          </cell>
        </row>
        <row r="371">
          <cell r="C371"/>
          <cell r="D371" t="str">
            <v>0</v>
          </cell>
          <cell r="E371" t="str">
            <v>0</v>
          </cell>
          <cell r="F371" t="str">
            <v>0</v>
          </cell>
          <cell r="G371" t="str">
            <v>0</v>
          </cell>
          <cell r="H371" t="str">
            <v>0</v>
          </cell>
          <cell r="I371" t="str">
            <v>0</v>
          </cell>
          <cell r="J371" t="str">
            <v>0</v>
          </cell>
          <cell r="K371" t="str">
            <v>0</v>
          </cell>
          <cell r="L371" t="str">
            <v>0</v>
          </cell>
          <cell r="M371" t="str">
            <v>0</v>
          </cell>
          <cell r="N371" t="str">
            <v>0</v>
          </cell>
          <cell r="O371" t="str">
            <v>0</v>
          </cell>
          <cell r="P371" t="str">
            <v>0</v>
          </cell>
          <cell r="Q371" t="str">
            <v>0</v>
          </cell>
          <cell r="R371" t="str">
            <v>0</v>
          </cell>
          <cell r="S371" t="str">
            <v>0</v>
          </cell>
          <cell r="T371" t="str">
            <v>0</v>
          </cell>
          <cell r="U371" t="str">
            <v>0</v>
          </cell>
          <cell r="V371" t="str">
            <v>0</v>
          </cell>
          <cell r="W371" t="str">
            <v>0</v>
          </cell>
          <cell r="X371" t="str">
            <v>0</v>
          </cell>
          <cell r="Y371" t="str">
            <v>0</v>
          </cell>
          <cell r="Z371" t="str">
            <v>0</v>
          </cell>
          <cell r="AA371" t="str">
            <v>0</v>
          </cell>
          <cell r="AB371" t="str">
            <v>0</v>
          </cell>
          <cell r="AC371" t="str">
            <v>0</v>
          </cell>
          <cell r="AD371" t="str">
            <v>0</v>
          </cell>
          <cell r="AE371" t="str">
            <v>0</v>
          </cell>
          <cell r="AF371" t="str">
            <v>0</v>
          </cell>
          <cell r="AG371" t="str">
            <v>0</v>
          </cell>
          <cell r="AH371" t="str">
            <v>0</v>
          </cell>
          <cell r="AI371" t="str">
            <v>0</v>
          </cell>
          <cell r="AJ371" t="str">
            <v>0</v>
          </cell>
          <cell r="AK371" t="str">
            <v>0</v>
          </cell>
          <cell r="AL371" t="str">
            <v>0</v>
          </cell>
          <cell r="AM371" t="str">
            <v>0</v>
          </cell>
          <cell r="AN371" t="str">
            <v>0</v>
          </cell>
          <cell r="AO371" t="str">
            <v>0</v>
          </cell>
          <cell r="AP371" t="str">
            <v>0</v>
          </cell>
          <cell r="AQ371" t="str">
            <v>0</v>
          </cell>
          <cell r="AR371" t="str">
            <v>0</v>
          </cell>
          <cell r="AS371" t="str">
            <v>0</v>
          </cell>
          <cell r="AT371" t="str">
            <v>0</v>
          </cell>
          <cell r="AU371" t="str">
            <v>0</v>
          </cell>
          <cell r="AV371" t="str">
            <v>0</v>
          </cell>
          <cell r="AW371" t="str">
            <v>0</v>
          </cell>
          <cell r="AX371" t="str">
            <v>0</v>
          </cell>
          <cell r="AY371" t="str">
            <v>0</v>
          </cell>
          <cell r="AZ371" t="str">
            <v>0</v>
          </cell>
          <cell r="BA371" t="str">
            <v>0</v>
          </cell>
          <cell r="BB371" t="str">
            <v>0</v>
          </cell>
          <cell r="BC371" t="str">
            <v>0</v>
          </cell>
          <cell r="BD371" t="str">
            <v>0</v>
          </cell>
          <cell r="BE371" t="str">
            <v>0</v>
          </cell>
          <cell r="BF371" t="str">
            <v>0</v>
          </cell>
          <cell r="BG371" t="str">
            <v>0</v>
          </cell>
          <cell r="BH371" t="str">
            <v>0</v>
          </cell>
          <cell r="BI371" t="str">
            <v>0</v>
          </cell>
          <cell r="BJ371" t="str">
            <v>0</v>
          </cell>
          <cell r="BK371" t="str">
            <v>0</v>
          </cell>
          <cell r="BL371" t="str">
            <v>0</v>
          </cell>
          <cell r="BM371" t="str">
            <v>0</v>
          </cell>
          <cell r="BN371" t="str">
            <v>0</v>
          </cell>
          <cell r="BO371" t="str">
            <v>0</v>
          </cell>
          <cell r="BP371" t="str">
            <v>0</v>
          </cell>
          <cell r="BQ371" t="str">
            <v>0</v>
          </cell>
          <cell r="BR371" t="str">
            <v>0</v>
          </cell>
          <cell r="BS371" t="str">
            <v>0</v>
          </cell>
          <cell r="BT371" t="str">
            <v>0</v>
          </cell>
          <cell r="BU371" t="str">
            <v>0</v>
          </cell>
          <cell r="BV371" t="str">
            <v>0</v>
          </cell>
          <cell r="BW371" t="str">
            <v>0</v>
          </cell>
          <cell r="BX371" t="str">
            <v>0</v>
          </cell>
          <cell r="BY371" t="str">
            <v>0</v>
          </cell>
          <cell r="BZ371" t="str">
            <v>0</v>
          </cell>
          <cell r="CA371" t="str">
            <v>0</v>
          </cell>
          <cell r="CB371" t="str">
            <v>0</v>
          </cell>
          <cell r="CC371" t="str">
            <v>0</v>
          </cell>
          <cell r="CD371" t="str">
            <v>0</v>
          </cell>
          <cell r="CE371" t="str">
            <v>0</v>
          </cell>
          <cell r="CF371" t="str">
            <v>0</v>
          </cell>
          <cell r="CG371" t="str">
            <v>0</v>
          </cell>
          <cell r="CH371" t="str">
            <v>0</v>
          </cell>
          <cell r="CI371" t="str">
            <v>0</v>
          </cell>
          <cell r="CJ371" t="str">
            <v>0</v>
          </cell>
          <cell r="CK371" t="str">
            <v>0</v>
          </cell>
          <cell r="CL371" t="str">
            <v>0</v>
          </cell>
          <cell r="CM371" t="str">
            <v>0</v>
          </cell>
          <cell r="CN371" t="str">
            <v>0</v>
          </cell>
          <cell r="CO371" t="str">
            <v>0</v>
          </cell>
          <cell r="CP371" t="str">
            <v>0</v>
          </cell>
          <cell r="CQ371" t="str">
            <v>0</v>
          </cell>
          <cell r="CR371" t="str">
            <v>0</v>
          </cell>
          <cell r="CS371" t="str">
            <v>0</v>
          </cell>
          <cell r="CT371" t="str">
            <v>0</v>
          </cell>
          <cell r="CU371" t="str">
            <v>0</v>
          </cell>
          <cell r="CV371" t="str">
            <v>0</v>
          </cell>
          <cell r="CW371" t="str">
            <v>0</v>
          </cell>
          <cell r="CX371" t="str">
            <v>0</v>
          </cell>
          <cell r="CY371" t="str">
            <v>0</v>
          </cell>
          <cell r="CZ371" t="str">
            <v>0</v>
          </cell>
          <cell r="DA371" t="str">
            <v>0</v>
          </cell>
          <cell r="DB371" t="str">
            <v>0</v>
          </cell>
          <cell r="DC371" t="str">
            <v>0</v>
          </cell>
          <cell r="DD371" t="str">
            <v>0</v>
          </cell>
          <cell r="DE371" t="str">
            <v>0</v>
          </cell>
          <cell r="DF371" t="str">
            <v>0</v>
          </cell>
          <cell r="DG371" t="str">
            <v>0</v>
          </cell>
          <cell r="DH371" t="str">
            <v>0</v>
          </cell>
          <cell r="DI371" t="str">
            <v>0</v>
          </cell>
          <cell r="DJ371" t="str">
            <v>0</v>
          </cell>
          <cell r="DK371" t="str">
            <v>0</v>
          </cell>
          <cell r="DL371" t="str">
            <v>0</v>
          </cell>
          <cell r="DM371" t="str">
            <v>0</v>
          </cell>
          <cell r="DN371" t="str">
            <v>0</v>
          </cell>
          <cell r="DO371" t="str">
            <v>0</v>
          </cell>
          <cell r="DP371" t="str">
            <v>0</v>
          </cell>
        </row>
        <row r="372">
          <cell r="C372"/>
          <cell r="D372" t="str">
            <v>0</v>
          </cell>
          <cell r="E372" t="str">
            <v>0</v>
          </cell>
          <cell r="F372" t="str">
            <v>0</v>
          </cell>
          <cell r="G372" t="str">
            <v>0</v>
          </cell>
          <cell r="H372" t="str">
            <v>0</v>
          </cell>
          <cell r="I372" t="str">
            <v>0</v>
          </cell>
          <cell r="J372" t="str">
            <v>0</v>
          </cell>
          <cell r="K372" t="str">
            <v>0</v>
          </cell>
          <cell r="L372" t="str">
            <v>0</v>
          </cell>
          <cell r="M372" t="str">
            <v>0</v>
          </cell>
          <cell r="N372" t="str">
            <v>0</v>
          </cell>
          <cell r="O372" t="str">
            <v>0</v>
          </cell>
          <cell r="P372" t="str">
            <v>0</v>
          </cell>
          <cell r="Q372" t="str">
            <v>0</v>
          </cell>
          <cell r="R372" t="str">
            <v>0</v>
          </cell>
          <cell r="S372" t="str">
            <v>0</v>
          </cell>
          <cell r="T372" t="str">
            <v>0</v>
          </cell>
          <cell r="U372" t="str">
            <v>0</v>
          </cell>
          <cell r="V372" t="str">
            <v>0</v>
          </cell>
          <cell r="W372" t="str">
            <v>0</v>
          </cell>
          <cell r="X372" t="str">
            <v>0</v>
          </cell>
          <cell r="Y372" t="str">
            <v>0</v>
          </cell>
          <cell r="Z372" t="str">
            <v>0</v>
          </cell>
          <cell r="AA372" t="str">
            <v>0</v>
          </cell>
          <cell r="AB372" t="str">
            <v>0</v>
          </cell>
          <cell r="AC372" t="str">
            <v>0</v>
          </cell>
          <cell r="AD372" t="str">
            <v>0</v>
          </cell>
          <cell r="AE372" t="str">
            <v>0</v>
          </cell>
          <cell r="AF372" t="str">
            <v>0</v>
          </cell>
          <cell r="AG372" t="str">
            <v>0</v>
          </cell>
          <cell r="AH372" t="str">
            <v>0</v>
          </cell>
          <cell r="AI372" t="str">
            <v>0</v>
          </cell>
          <cell r="AJ372" t="str">
            <v>0</v>
          </cell>
          <cell r="AK372" t="str">
            <v>0</v>
          </cell>
          <cell r="AL372" t="str">
            <v>0</v>
          </cell>
          <cell r="AM372" t="str">
            <v>0</v>
          </cell>
          <cell r="AN372" t="str">
            <v>0</v>
          </cell>
          <cell r="AO372" t="str">
            <v>0</v>
          </cell>
          <cell r="AP372" t="str">
            <v>0</v>
          </cell>
          <cell r="AQ372" t="str">
            <v>0</v>
          </cell>
          <cell r="AR372" t="str">
            <v>0</v>
          </cell>
          <cell r="AS372" t="str">
            <v>0</v>
          </cell>
          <cell r="AT372" t="str">
            <v>0</v>
          </cell>
          <cell r="AU372" t="str">
            <v>0</v>
          </cell>
          <cell r="AV372" t="str">
            <v>0</v>
          </cell>
          <cell r="AW372" t="str">
            <v>0</v>
          </cell>
          <cell r="AX372" t="str">
            <v>0</v>
          </cell>
          <cell r="AY372" t="str">
            <v>0</v>
          </cell>
          <cell r="AZ372" t="str">
            <v>0</v>
          </cell>
          <cell r="BA372" t="str">
            <v>0</v>
          </cell>
          <cell r="BB372" t="str">
            <v>0</v>
          </cell>
          <cell r="BC372" t="str">
            <v>0</v>
          </cell>
          <cell r="BD372" t="str">
            <v>0</v>
          </cell>
          <cell r="BE372" t="str">
            <v>0</v>
          </cell>
          <cell r="BF372" t="str">
            <v>0</v>
          </cell>
          <cell r="BG372" t="str">
            <v>0</v>
          </cell>
          <cell r="BH372" t="str">
            <v>0</v>
          </cell>
          <cell r="BI372" t="str">
            <v>0</v>
          </cell>
          <cell r="BJ372" t="str">
            <v>0</v>
          </cell>
          <cell r="BK372" t="str">
            <v>0</v>
          </cell>
          <cell r="BL372" t="str">
            <v>0</v>
          </cell>
          <cell r="BM372" t="str">
            <v>0</v>
          </cell>
          <cell r="BN372" t="str">
            <v>0</v>
          </cell>
          <cell r="BO372" t="str">
            <v>0</v>
          </cell>
          <cell r="BP372" t="str">
            <v>0</v>
          </cell>
          <cell r="BQ372" t="str">
            <v>0</v>
          </cell>
          <cell r="BR372" t="str">
            <v>0</v>
          </cell>
          <cell r="BS372" t="str">
            <v>0</v>
          </cell>
          <cell r="BT372" t="str">
            <v>0</v>
          </cell>
          <cell r="BU372" t="str">
            <v>0</v>
          </cell>
          <cell r="BV372" t="str">
            <v>0</v>
          </cell>
          <cell r="BW372" t="str">
            <v>0</v>
          </cell>
          <cell r="BX372" t="str">
            <v>0</v>
          </cell>
          <cell r="BY372" t="str">
            <v>0</v>
          </cell>
          <cell r="BZ372" t="str">
            <v>0</v>
          </cell>
          <cell r="CA372" t="str">
            <v>0</v>
          </cell>
          <cell r="CB372" t="str">
            <v>0</v>
          </cell>
          <cell r="CC372" t="str">
            <v>0</v>
          </cell>
          <cell r="CD372" t="str">
            <v>0</v>
          </cell>
          <cell r="CE372" t="str">
            <v>0</v>
          </cell>
          <cell r="CF372" t="str">
            <v>0</v>
          </cell>
          <cell r="CG372" t="str">
            <v>0</v>
          </cell>
          <cell r="CH372" t="str">
            <v>0</v>
          </cell>
          <cell r="CI372" t="str">
            <v>0</v>
          </cell>
          <cell r="CJ372" t="str">
            <v>0</v>
          </cell>
          <cell r="CK372" t="str">
            <v>0</v>
          </cell>
          <cell r="CL372" t="str">
            <v>0</v>
          </cell>
          <cell r="CM372" t="str">
            <v>0</v>
          </cell>
          <cell r="CN372" t="str">
            <v>0</v>
          </cell>
          <cell r="CO372" t="str">
            <v>0</v>
          </cell>
          <cell r="CP372" t="str">
            <v>0</v>
          </cell>
          <cell r="CQ372" t="str">
            <v>0</v>
          </cell>
          <cell r="CR372" t="str">
            <v>0</v>
          </cell>
          <cell r="CS372" t="str">
            <v>0</v>
          </cell>
          <cell r="CT372" t="str">
            <v>0</v>
          </cell>
          <cell r="CU372" t="str">
            <v>0</v>
          </cell>
          <cell r="CV372" t="str">
            <v>0</v>
          </cell>
          <cell r="CW372" t="str">
            <v>0</v>
          </cell>
          <cell r="CX372" t="str">
            <v>0</v>
          </cell>
          <cell r="CY372" t="str">
            <v>0</v>
          </cell>
          <cell r="CZ372" t="str">
            <v>0</v>
          </cell>
          <cell r="DA372" t="str">
            <v>0</v>
          </cell>
          <cell r="DB372" t="str">
            <v>0</v>
          </cell>
          <cell r="DC372" t="str">
            <v>0</v>
          </cell>
          <cell r="DD372" t="str">
            <v>0</v>
          </cell>
          <cell r="DE372" t="str">
            <v>0</v>
          </cell>
          <cell r="DF372" t="str">
            <v>0</v>
          </cell>
          <cell r="DG372" t="str">
            <v>0</v>
          </cell>
          <cell r="DH372" t="str">
            <v>0</v>
          </cell>
          <cell r="DI372" t="str">
            <v>0</v>
          </cell>
          <cell r="DJ372" t="str">
            <v>0</v>
          </cell>
          <cell r="DK372" t="str">
            <v>0</v>
          </cell>
          <cell r="DL372" t="str">
            <v>0</v>
          </cell>
          <cell r="DM372" t="str">
            <v>0</v>
          </cell>
          <cell r="DN372" t="str">
            <v>0</v>
          </cell>
          <cell r="DO372" t="str">
            <v>0</v>
          </cell>
          <cell r="DP372" t="str">
            <v>0</v>
          </cell>
        </row>
        <row r="373">
          <cell r="C373"/>
          <cell r="D373" t="str">
            <v>0</v>
          </cell>
          <cell r="E373" t="str">
            <v>0</v>
          </cell>
          <cell r="F373" t="str">
            <v>0</v>
          </cell>
          <cell r="G373" t="str">
            <v>0</v>
          </cell>
          <cell r="H373" t="str">
            <v>0</v>
          </cell>
          <cell r="I373" t="str">
            <v>0</v>
          </cell>
          <cell r="J373" t="str">
            <v>0</v>
          </cell>
          <cell r="K373" t="str">
            <v>0</v>
          </cell>
          <cell r="L373" t="str">
            <v>0</v>
          </cell>
          <cell r="M373" t="str">
            <v>0</v>
          </cell>
          <cell r="N373" t="str">
            <v>0</v>
          </cell>
          <cell r="O373" t="str">
            <v>0</v>
          </cell>
          <cell r="P373" t="str">
            <v>0</v>
          </cell>
          <cell r="Q373" t="str">
            <v>0</v>
          </cell>
          <cell r="R373" t="str">
            <v>0</v>
          </cell>
          <cell r="S373" t="str">
            <v>0</v>
          </cell>
          <cell r="T373" t="str">
            <v>0</v>
          </cell>
          <cell r="U373" t="str">
            <v>0</v>
          </cell>
          <cell r="V373" t="str">
            <v>0</v>
          </cell>
          <cell r="W373" t="str">
            <v>0</v>
          </cell>
          <cell r="X373" t="str">
            <v>0</v>
          </cell>
          <cell r="Y373" t="str">
            <v>0</v>
          </cell>
          <cell r="Z373" t="str">
            <v>0</v>
          </cell>
          <cell r="AA373" t="str">
            <v>0</v>
          </cell>
          <cell r="AB373" t="str">
            <v>0</v>
          </cell>
          <cell r="AC373" t="str">
            <v>0</v>
          </cell>
          <cell r="AD373" t="str">
            <v>0</v>
          </cell>
          <cell r="AE373" t="str">
            <v>0</v>
          </cell>
          <cell r="AF373" t="str">
            <v>0</v>
          </cell>
          <cell r="AG373" t="str">
            <v>0</v>
          </cell>
          <cell r="AH373" t="str">
            <v>0</v>
          </cell>
          <cell r="AI373" t="str">
            <v>0</v>
          </cell>
          <cell r="AJ373" t="str">
            <v>0</v>
          </cell>
          <cell r="AK373" t="str">
            <v>0</v>
          </cell>
          <cell r="AL373" t="str">
            <v>0</v>
          </cell>
          <cell r="AM373" t="str">
            <v>0</v>
          </cell>
          <cell r="AN373" t="str">
            <v>0</v>
          </cell>
          <cell r="AO373" t="str">
            <v>0</v>
          </cell>
          <cell r="AP373" t="str">
            <v>0</v>
          </cell>
          <cell r="AQ373" t="str">
            <v>0</v>
          </cell>
          <cell r="AR373" t="str">
            <v>0</v>
          </cell>
          <cell r="AS373" t="str">
            <v>0</v>
          </cell>
          <cell r="AT373" t="str">
            <v>0</v>
          </cell>
          <cell r="AU373" t="str">
            <v>0</v>
          </cell>
          <cell r="AV373" t="str">
            <v>0</v>
          </cell>
          <cell r="AW373" t="str">
            <v>0</v>
          </cell>
          <cell r="AX373" t="str">
            <v>0</v>
          </cell>
          <cell r="AY373" t="str">
            <v>0</v>
          </cell>
          <cell r="AZ373" t="str">
            <v>0</v>
          </cell>
          <cell r="BA373" t="str">
            <v>0</v>
          </cell>
          <cell r="BB373" t="str">
            <v>0</v>
          </cell>
          <cell r="BC373" t="str">
            <v>0</v>
          </cell>
          <cell r="BD373" t="str">
            <v>0</v>
          </cell>
          <cell r="BE373" t="str">
            <v>0</v>
          </cell>
          <cell r="BF373" t="str">
            <v>0</v>
          </cell>
          <cell r="BG373" t="str">
            <v>0</v>
          </cell>
          <cell r="BH373" t="str">
            <v>0</v>
          </cell>
          <cell r="BI373" t="str">
            <v>0</v>
          </cell>
          <cell r="BJ373" t="str">
            <v>0</v>
          </cell>
          <cell r="BK373" t="str">
            <v>0</v>
          </cell>
          <cell r="BL373" t="str">
            <v>0</v>
          </cell>
          <cell r="BM373" t="str">
            <v>0</v>
          </cell>
          <cell r="BN373" t="str">
            <v>0</v>
          </cell>
          <cell r="BO373" t="str">
            <v>0</v>
          </cell>
          <cell r="BP373" t="str">
            <v>0</v>
          </cell>
          <cell r="BQ373" t="str">
            <v>0</v>
          </cell>
          <cell r="BR373" t="str">
            <v>0</v>
          </cell>
          <cell r="BS373" t="str">
            <v>0</v>
          </cell>
          <cell r="BT373" t="str">
            <v>0</v>
          </cell>
          <cell r="BU373" t="str">
            <v>0</v>
          </cell>
          <cell r="BV373" t="str">
            <v>0</v>
          </cell>
          <cell r="BW373" t="str">
            <v>0</v>
          </cell>
          <cell r="BX373" t="str">
            <v>0</v>
          </cell>
          <cell r="BY373" t="str">
            <v>0</v>
          </cell>
          <cell r="BZ373" t="str">
            <v>0</v>
          </cell>
          <cell r="CA373" t="str">
            <v>0</v>
          </cell>
          <cell r="CB373" t="str">
            <v>0</v>
          </cell>
          <cell r="CC373" t="str">
            <v>0</v>
          </cell>
          <cell r="CD373" t="str">
            <v>0</v>
          </cell>
          <cell r="CE373" t="str">
            <v>0</v>
          </cell>
          <cell r="CF373" t="str">
            <v>0</v>
          </cell>
          <cell r="CG373" t="str">
            <v>0</v>
          </cell>
          <cell r="CH373" t="str">
            <v>0</v>
          </cell>
          <cell r="CI373" t="str">
            <v>0</v>
          </cell>
          <cell r="CJ373" t="str">
            <v>0</v>
          </cell>
          <cell r="CK373" t="str">
            <v>0</v>
          </cell>
          <cell r="CL373" t="str">
            <v>0</v>
          </cell>
          <cell r="CM373" t="str">
            <v>0</v>
          </cell>
          <cell r="CN373" t="str">
            <v>0</v>
          </cell>
          <cell r="CO373" t="str">
            <v>0</v>
          </cell>
          <cell r="CP373" t="str">
            <v>0</v>
          </cell>
          <cell r="CQ373" t="str">
            <v>0</v>
          </cell>
          <cell r="CR373" t="str">
            <v>0</v>
          </cell>
          <cell r="CS373" t="str">
            <v>0</v>
          </cell>
          <cell r="CT373" t="str">
            <v>0</v>
          </cell>
          <cell r="CU373" t="str">
            <v>0</v>
          </cell>
          <cell r="CV373" t="str">
            <v>0</v>
          </cell>
          <cell r="CW373" t="str">
            <v>0</v>
          </cell>
          <cell r="CX373" t="str">
            <v>0</v>
          </cell>
          <cell r="CY373" t="str">
            <v>0</v>
          </cell>
          <cell r="CZ373" t="str">
            <v>0</v>
          </cell>
          <cell r="DA373" t="str">
            <v>0</v>
          </cell>
          <cell r="DB373" t="str">
            <v>0</v>
          </cell>
          <cell r="DC373" t="str">
            <v>0</v>
          </cell>
          <cell r="DD373" t="str">
            <v>0</v>
          </cell>
          <cell r="DE373" t="str">
            <v>0</v>
          </cell>
          <cell r="DF373" t="str">
            <v>0</v>
          </cell>
          <cell r="DG373" t="str">
            <v>0</v>
          </cell>
          <cell r="DH373" t="str">
            <v>0</v>
          </cell>
          <cell r="DI373" t="str">
            <v>0</v>
          </cell>
          <cell r="DJ373" t="str">
            <v>0</v>
          </cell>
          <cell r="DK373" t="str">
            <v>0</v>
          </cell>
          <cell r="DL373" t="str">
            <v>0</v>
          </cell>
          <cell r="DM373" t="str">
            <v>0</v>
          </cell>
          <cell r="DN373" t="str">
            <v>0</v>
          </cell>
          <cell r="DO373" t="str">
            <v>0</v>
          </cell>
          <cell r="DP373" t="str">
            <v>0</v>
          </cell>
        </row>
        <row r="374">
          <cell r="C374"/>
          <cell r="D374" t="str">
            <v>0</v>
          </cell>
          <cell r="E374" t="str">
            <v>0</v>
          </cell>
          <cell r="F374" t="str">
            <v>0</v>
          </cell>
          <cell r="G374" t="str">
            <v>0</v>
          </cell>
          <cell r="H374" t="str">
            <v>0</v>
          </cell>
          <cell r="I374" t="str">
            <v>0</v>
          </cell>
          <cell r="J374" t="str">
            <v>0</v>
          </cell>
          <cell r="K374" t="str">
            <v>0</v>
          </cell>
          <cell r="L374" t="str">
            <v>0</v>
          </cell>
          <cell r="M374" t="str">
            <v>0</v>
          </cell>
          <cell r="N374" t="str">
            <v>0</v>
          </cell>
          <cell r="O374" t="str">
            <v>0</v>
          </cell>
          <cell r="P374" t="str">
            <v>0</v>
          </cell>
          <cell r="Q374" t="str">
            <v>0</v>
          </cell>
          <cell r="R374" t="str">
            <v>0</v>
          </cell>
          <cell r="S374" t="str">
            <v>0</v>
          </cell>
          <cell r="T374" t="str">
            <v>0</v>
          </cell>
          <cell r="U374" t="str">
            <v>0</v>
          </cell>
          <cell r="V374" t="str">
            <v>0</v>
          </cell>
          <cell r="W374" t="str">
            <v>0</v>
          </cell>
          <cell r="X374" t="str">
            <v>0</v>
          </cell>
          <cell r="Y374" t="str">
            <v>0</v>
          </cell>
          <cell r="Z374" t="str">
            <v>0</v>
          </cell>
          <cell r="AA374" t="str">
            <v>0</v>
          </cell>
          <cell r="AB374" t="str">
            <v>0</v>
          </cell>
          <cell r="AC374" t="str">
            <v>0</v>
          </cell>
          <cell r="AD374" t="str">
            <v>0</v>
          </cell>
          <cell r="AE374" t="str">
            <v>0</v>
          </cell>
          <cell r="AF374" t="str">
            <v>0</v>
          </cell>
          <cell r="AG374" t="str">
            <v>0</v>
          </cell>
          <cell r="AH374" t="str">
            <v>0</v>
          </cell>
          <cell r="AI374" t="str">
            <v>0</v>
          </cell>
          <cell r="AJ374" t="str">
            <v>0</v>
          </cell>
          <cell r="AK374" t="str">
            <v>0</v>
          </cell>
          <cell r="AL374" t="str">
            <v>0</v>
          </cell>
          <cell r="AM374" t="str">
            <v>0</v>
          </cell>
          <cell r="AN374" t="str">
            <v>0</v>
          </cell>
          <cell r="AO374" t="str">
            <v>0</v>
          </cell>
          <cell r="AP374" t="str">
            <v>0</v>
          </cell>
          <cell r="AQ374" t="str">
            <v>0</v>
          </cell>
          <cell r="AR374" t="str">
            <v>0</v>
          </cell>
          <cell r="AS374" t="str">
            <v>0</v>
          </cell>
          <cell r="AT374" t="str">
            <v>0</v>
          </cell>
          <cell r="AU374" t="str">
            <v>0</v>
          </cell>
          <cell r="AV374" t="str">
            <v>0</v>
          </cell>
          <cell r="AW374" t="str">
            <v>0</v>
          </cell>
          <cell r="AX374" t="str">
            <v>0</v>
          </cell>
          <cell r="AY374" t="str">
            <v>0</v>
          </cell>
          <cell r="AZ374" t="str">
            <v>0</v>
          </cell>
          <cell r="BA374" t="str">
            <v>0</v>
          </cell>
          <cell r="BB374" t="str">
            <v>0</v>
          </cell>
          <cell r="BC374" t="str">
            <v>0</v>
          </cell>
          <cell r="BD374" t="str">
            <v>0</v>
          </cell>
          <cell r="BE374" t="str">
            <v>0</v>
          </cell>
          <cell r="BF374" t="str">
            <v>0</v>
          </cell>
          <cell r="BG374" t="str">
            <v>0</v>
          </cell>
          <cell r="BH374" t="str">
            <v>0</v>
          </cell>
          <cell r="BI374" t="str">
            <v>0</v>
          </cell>
          <cell r="BJ374" t="str">
            <v>0</v>
          </cell>
          <cell r="BK374" t="str">
            <v>0</v>
          </cell>
          <cell r="BL374" t="str">
            <v>0</v>
          </cell>
          <cell r="BM374" t="str">
            <v>0</v>
          </cell>
          <cell r="BN374" t="str">
            <v>0</v>
          </cell>
          <cell r="BO374" t="str">
            <v>0</v>
          </cell>
          <cell r="BP374" t="str">
            <v>0</v>
          </cell>
          <cell r="BQ374" t="str">
            <v>0</v>
          </cell>
          <cell r="BR374" t="str">
            <v>0</v>
          </cell>
          <cell r="BS374" t="str">
            <v>0</v>
          </cell>
          <cell r="BT374" t="str">
            <v>0</v>
          </cell>
          <cell r="BU374" t="str">
            <v>0</v>
          </cell>
          <cell r="BV374" t="str">
            <v>0</v>
          </cell>
          <cell r="BW374" t="str">
            <v>0</v>
          </cell>
          <cell r="BX374" t="str">
            <v>0</v>
          </cell>
          <cell r="BY374" t="str">
            <v>0</v>
          </cell>
          <cell r="BZ374" t="str">
            <v>0</v>
          </cell>
          <cell r="CA374" t="str">
            <v>0</v>
          </cell>
          <cell r="CB374" t="str">
            <v>0</v>
          </cell>
          <cell r="CC374" t="str">
            <v>0</v>
          </cell>
          <cell r="CD374" t="str">
            <v>0</v>
          </cell>
          <cell r="CE374" t="str">
            <v>0</v>
          </cell>
          <cell r="CF374" t="str">
            <v>0</v>
          </cell>
          <cell r="CG374" t="str">
            <v>0</v>
          </cell>
          <cell r="CH374" t="str">
            <v>0</v>
          </cell>
          <cell r="CI374" t="str">
            <v>0</v>
          </cell>
          <cell r="CJ374" t="str">
            <v>0</v>
          </cell>
          <cell r="CK374" t="str">
            <v>0</v>
          </cell>
          <cell r="CL374" t="str">
            <v>0</v>
          </cell>
          <cell r="CM374" t="str">
            <v>0</v>
          </cell>
          <cell r="CN374" t="str">
            <v>0</v>
          </cell>
          <cell r="CO374" t="str">
            <v>0</v>
          </cell>
          <cell r="CP374" t="str">
            <v>0</v>
          </cell>
          <cell r="CQ374" t="str">
            <v>0</v>
          </cell>
          <cell r="CR374" t="str">
            <v>0</v>
          </cell>
          <cell r="CS374" t="str">
            <v>0</v>
          </cell>
          <cell r="CT374" t="str">
            <v>0</v>
          </cell>
          <cell r="CU374" t="str">
            <v>0</v>
          </cell>
          <cell r="CV374" t="str">
            <v>0</v>
          </cell>
          <cell r="CW374" t="str">
            <v>0</v>
          </cell>
          <cell r="CX374" t="str">
            <v>0</v>
          </cell>
          <cell r="CY374" t="str">
            <v>0</v>
          </cell>
          <cell r="CZ374" t="str">
            <v>0</v>
          </cell>
          <cell r="DA374" t="str">
            <v>0</v>
          </cell>
          <cell r="DB374" t="str">
            <v>0</v>
          </cell>
          <cell r="DC374" t="str">
            <v>0</v>
          </cell>
          <cell r="DD374" t="str">
            <v>0</v>
          </cell>
          <cell r="DE374" t="str">
            <v>0</v>
          </cell>
          <cell r="DF374" t="str">
            <v>0</v>
          </cell>
          <cell r="DG374" t="str">
            <v>0</v>
          </cell>
          <cell r="DH374" t="str">
            <v>0</v>
          </cell>
          <cell r="DI374" t="str">
            <v>0</v>
          </cell>
          <cell r="DJ374" t="str">
            <v>0</v>
          </cell>
          <cell r="DK374" t="str">
            <v>0</v>
          </cell>
          <cell r="DL374" t="str">
            <v>0</v>
          </cell>
          <cell r="DM374" t="str">
            <v>0</v>
          </cell>
          <cell r="DN374" t="str">
            <v>0</v>
          </cell>
          <cell r="DO374" t="str">
            <v>0</v>
          </cell>
          <cell r="DP374" t="str">
            <v>0</v>
          </cell>
        </row>
        <row r="375">
          <cell r="C375"/>
          <cell r="D375" t="str">
            <v>0</v>
          </cell>
          <cell r="E375" t="str">
            <v>0</v>
          </cell>
          <cell r="F375" t="str">
            <v>0</v>
          </cell>
          <cell r="G375" t="str">
            <v>0</v>
          </cell>
          <cell r="H375" t="str">
            <v>0</v>
          </cell>
          <cell r="I375" t="str">
            <v>0</v>
          </cell>
          <cell r="J375" t="str">
            <v>0</v>
          </cell>
          <cell r="K375" t="str">
            <v>0</v>
          </cell>
          <cell r="L375" t="str">
            <v>0</v>
          </cell>
          <cell r="M375" t="str">
            <v>0</v>
          </cell>
          <cell r="N375" t="str">
            <v>0</v>
          </cell>
          <cell r="O375" t="str">
            <v>0</v>
          </cell>
          <cell r="P375" t="str">
            <v>0</v>
          </cell>
          <cell r="Q375" t="str">
            <v>0</v>
          </cell>
          <cell r="R375" t="str">
            <v>0</v>
          </cell>
          <cell r="S375" t="str">
            <v>0</v>
          </cell>
          <cell r="T375" t="str">
            <v>0</v>
          </cell>
          <cell r="U375" t="str">
            <v>0</v>
          </cell>
          <cell r="V375" t="str">
            <v>0</v>
          </cell>
          <cell r="W375" t="str">
            <v>0</v>
          </cell>
          <cell r="X375" t="str">
            <v>0</v>
          </cell>
          <cell r="Y375" t="str">
            <v>0</v>
          </cell>
          <cell r="Z375" t="str">
            <v>0</v>
          </cell>
          <cell r="AA375" t="str">
            <v>0</v>
          </cell>
          <cell r="AB375" t="str">
            <v>0</v>
          </cell>
          <cell r="AC375" t="str">
            <v>0</v>
          </cell>
          <cell r="AD375" t="str">
            <v>0</v>
          </cell>
          <cell r="AE375" t="str">
            <v>0</v>
          </cell>
          <cell r="AF375" t="str">
            <v>0</v>
          </cell>
          <cell r="AG375" t="str">
            <v>0</v>
          </cell>
          <cell r="AH375" t="str">
            <v>0</v>
          </cell>
          <cell r="AI375" t="str">
            <v>0</v>
          </cell>
          <cell r="AJ375" t="str">
            <v>0</v>
          </cell>
          <cell r="AK375" t="str">
            <v>0</v>
          </cell>
          <cell r="AL375" t="str">
            <v>0</v>
          </cell>
          <cell r="AM375" t="str">
            <v>0</v>
          </cell>
          <cell r="AN375" t="str">
            <v>0</v>
          </cell>
          <cell r="AO375" t="str">
            <v>0</v>
          </cell>
          <cell r="AP375" t="str">
            <v>0</v>
          </cell>
          <cell r="AQ375" t="str">
            <v>0</v>
          </cell>
          <cell r="AR375" t="str">
            <v>0</v>
          </cell>
          <cell r="AS375" t="str">
            <v>0</v>
          </cell>
          <cell r="AT375" t="str">
            <v>0</v>
          </cell>
          <cell r="AU375" t="str">
            <v>0</v>
          </cell>
          <cell r="AV375" t="str">
            <v>0</v>
          </cell>
          <cell r="AW375" t="str">
            <v>0</v>
          </cell>
          <cell r="AX375" t="str">
            <v>0</v>
          </cell>
          <cell r="AY375" t="str">
            <v>0</v>
          </cell>
          <cell r="AZ375" t="str">
            <v>0</v>
          </cell>
          <cell r="BA375" t="str">
            <v>0</v>
          </cell>
          <cell r="BB375" t="str">
            <v>0</v>
          </cell>
          <cell r="BC375" t="str">
            <v>0</v>
          </cell>
          <cell r="BD375" t="str">
            <v>0</v>
          </cell>
          <cell r="BE375" t="str">
            <v>0</v>
          </cell>
          <cell r="BF375" t="str">
            <v>0</v>
          </cell>
          <cell r="BG375" t="str">
            <v>0</v>
          </cell>
          <cell r="BH375" t="str">
            <v>0</v>
          </cell>
          <cell r="BI375" t="str">
            <v>0</v>
          </cell>
          <cell r="BJ375" t="str">
            <v>0</v>
          </cell>
          <cell r="BK375" t="str">
            <v>0</v>
          </cell>
          <cell r="BL375" t="str">
            <v>0</v>
          </cell>
          <cell r="BM375" t="str">
            <v>0</v>
          </cell>
          <cell r="BN375" t="str">
            <v>0</v>
          </cell>
          <cell r="BO375" t="str">
            <v>0</v>
          </cell>
          <cell r="BP375" t="str">
            <v>0</v>
          </cell>
          <cell r="BQ375" t="str">
            <v>0</v>
          </cell>
          <cell r="BR375" t="str">
            <v>0</v>
          </cell>
          <cell r="BS375" t="str">
            <v>0</v>
          </cell>
          <cell r="BT375" t="str">
            <v>0</v>
          </cell>
          <cell r="BU375" t="str">
            <v>0</v>
          </cell>
          <cell r="BV375" t="str">
            <v>0</v>
          </cell>
          <cell r="BW375" t="str">
            <v>0</v>
          </cell>
          <cell r="BX375" t="str">
            <v>0</v>
          </cell>
          <cell r="BY375" t="str">
            <v>0</v>
          </cell>
          <cell r="BZ375" t="str">
            <v>0</v>
          </cell>
          <cell r="CA375" t="str">
            <v>0</v>
          </cell>
          <cell r="CB375" t="str">
            <v>0</v>
          </cell>
          <cell r="CC375" t="str">
            <v>0</v>
          </cell>
          <cell r="CD375" t="str">
            <v>0</v>
          </cell>
          <cell r="CE375" t="str">
            <v>0</v>
          </cell>
          <cell r="CF375" t="str">
            <v>0</v>
          </cell>
          <cell r="CG375" t="str">
            <v>0</v>
          </cell>
          <cell r="CH375" t="str">
            <v>0</v>
          </cell>
          <cell r="CI375" t="str">
            <v>0</v>
          </cell>
          <cell r="CJ375" t="str">
            <v>0</v>
          </cell>
          <cell r="CK375" t="str">
            <v>0</v>
          </cell>
          <cell r="CL375" t="str">
            <v>0</v>
          </cell>
          <cell r="CM375" t="str">
            <v>0</v>
          </cell>
          <cell r="CN375" t="str">
            <v>0</v>
          </cell>
          <cell r="CO375" t="str">
            <v>0</v>
          </cell>
          <cell r="CP375" t="str">
            <v>0</v>
          </cell>
          <cell r="CQ375" t="str">
            <v>0</v>
          </cell>
          <cell r="CR375" t="str">
            <v>0</v>
          </cell>
          <cell r="CS375" t="str">
            <v>0</v>
          </cell>
          <cell r="CT375" t="str">
            <v>0</v>
          </cell>
          <cell r="CU375" t="str">
            <v>0</v>
          </cell>
          <cell r="CV375" t="str">
            <v>0</v>
          </cell>
          <cell r="CW375" t="str">
            <v>0</v>
          </cell>
          <cell r="CX375" t="str">
            <v>0</v>
          </cell>
          <cell r="CY375" t="str">
            <v>0</v>
          </cell>
          <cell r="CZ375" t="str">
            <v>0</v>
          </cell>
          <cell r="DA375" t="str">
            <v>0</v>
          </cell>
          <cell r="DB375" t="str">
            <v>0</v>
          </cell>
          <cell r="DC375" t="str">
            <v>0</v>
          </cell>
          <cell r="DD375" t="str">
            <v>0</v>
          </cell>
          <cell r="DE375" t="str">
            <v>0</v>
          </cell>
          <cell r="DF375" t="str">
            <v>0</v>
          </cell>
          <cell r="DG375" t="str">
            <v>0</v>
          </cell>
          <cell r="DH375" t="str">
            <v>0</v>
          </cell>
          <cell r="DI375" t="str">
            <v>0</v>
          </cell>
          <cell r="DJ375" t="str">
            <v>0</v>
          </cell>
          <cell r="DK375" t="str">
            <v>0</v>
          </cell>
          <cell r="DL375" t="str">
            <v>0</v>
          </cell>
          <cell r="DM375" t="str">
            <v>0</v>
          </cell>
          <cell r="DN375" t="str">
            <v>0</v>
          </cell>
          <cell r="DO375" t="str">
            <v>0</v>
          </cell>
          <cell r="DP375" t="str">
            <v>0</v>
          </cell>
        </row>
        <row r="376">
          <cell r="C376"/>
          <cell r="D376" t="str">
            <v>0</v>
          </cell>
          <cell r="E376" t="str">
            <v>0</v>
          </cell>
          <cell r="F376" t="str">
            <v>0</v>
          </cell>
          <cell r="G376" t="str">
            <v>0</v>
          </cell>
          <cell r="H376" t="str">
            <v>0</v>
          </cell>
          <cell r="I376" t="str">
            <v>0</v>
          </cell>
          <cell r="J376" t="str">
            <v>0</v>
          </cell>
          <cell r="K376" t="str">
            <v>0</v>
          </cell>
          <cell r="L376" t="str">
            <v>0</v>
          </cell>
          <cell r="M376" t="str">
            <v>0</v>
          </cell>
          <cell r="N376" t="str">
            <v>0</v>
          </cell>
          <cell r="O376" t="str">
            <v>0</v>
          </cell>
          <cell r="P376" t="str">
            <v>0</v>
          </cell>
          <cell r="Q376" t="str">
            <v>0</v>
          </cell>
          <cell r="R376" t="str">
            <v>0</v>
          </cell>
          <cell r="S376" t="str">
            <v>0</v>
          </cell>
          <cell r="T376" t="str">
            <v>0</v>
          </cell>
          <cell r="U376" t="str">
            <v>0</v>
          </cell>
          <cell r="V376" t="str">
            <v>0</v>
          </cell>
          <cell r="W376" t="str">
            <v>0</v>
          </cell>
          <cell r="X376" t="str">
            <v>0</v>
          </cell>
          <cell r="Y376" t="str">
            <v>0</v>
          </cell>
          <cell r="Z376" t="str">
            <v>0</v>
          </cell>
          <cell r="AA376" t="str">
            <v>0</v>
          </cell>
          <cell r="AB376" t="str">
            <v>0</v>
          </cell>
          <cell r="AC376" t="str">
            <v>0</v>
          </cell>
          <cell r="AD376" t="str">
            <v>0</v>
          </cell>
          <cell r="AE376" t="str">
            <v>0</v>
          </cell>
          <cell r="AF376" t="str">
            <v>0</v>
          </cell>
          <cell r="AG376" t="str">
            <v>0</v>
          </cell>
          <cell r="AH376" t="str">
            <v>0</v>
          </cell>
          <cell r="AI376" t="str">
            <v>0</v>
          </cell>
          <cell r="AJ376" t="str">
            <v>0</v>
          </cell>
          <cell r="AK376" t="str">
            <v>0</v>
          </cell>
          <cell r="AL376" t="str">
            <v>0</v>
          </cell>
          <cell r="AM376" t="str">
            <v>0</v>
          </cell>
          <cell r="AN376" t="str">
            <v>0</v>
          </cell>
          <cell r="AO376" t="str">
            <v>0</v>
          </cell>
          <cell r="AP376" t="str">
            <v>0</v>
          </cell>
          <cell r="AQ376" t="str">
            <v>0</v>
          </cell>
          <cell r="AR376" t="str">
            <v>0</v>
          </cell>
          <cell r="AS376" t="str">
            <v>0</v>
          </cell>
          <cell r="AT376" t="str">
            <v>0</v>
          </cell>
          <cell r="AU376" t="str">
            <v>0</v>
          </cell>
          <cell r="AV376" t="str">
            <v>0</v>
          </cell>
          <cell r="AW376" t="str">
            <v>0</v>
          </cell>
          <cell r="AX376" t="str">
            <v>0</v>
          </cell>
          <cell r="AY376" t="str">
            <v>0</v>
          </cell>
          <cell r="AZ376" t="str">
            <v>0</v>
          </cell>
          <cell r="BA376" t="str">
            <v>0</v>
          </cell>
          <cell r="BB376" t="str">
            <v>0</v>
          </cell>
          <cell r="BC376" t="str">
            <v>0</v>
          </cell>
          <cell r="BD376" t="str">
            <v>0</v>
          </cell>
          <cell r="BE376" t="str">
            <v>0</v>
          </cell>
          <cell r="BF376" t="str">
            <v>0</v>
          </cell>
          <cell r="BG376" t="str">
            <v>0</v>
          </cell>
          <cell r="BH376" t="str">
            <v>0</v>
          </cell>
          <cell r="BI376" t="str">
            <v>0</v>
          </cell>
          <cell r="BJ376" t="str">
            <v>0</v>
          </cell>
          <cell r="BK376" t="str">
            <v>0</v>
          </cell>
          <cell r="BL376" t="str">
            <v>0</v>
          </cell>
          <cell r="BM376" t="str">
            <v>0</v>
          </cell>
          <cell r="BN376" t="str">
            <v>0</v>
          </cell>
          <cell r="BO376" t="str">
            <v>0</v>
          </cell>
          <cell r="BP376" t="str">
            <v>0</v>
          </cell>
          <cell r="BQ376" t="str">
            <v>0</v>
          </cell>
          <cell r="BR376" t="str">
            <v>0</v>
          </cell>
          <cell r="BS376" t="str">
            <v>0</v>
          </cell>
          <cell r="BT376" t="str">
            <v>0</v>
          </cell>
          <cell r="BU376" t="str">
            <v>0</v>
          </cell>
          <cell r="BV376" t="str">
            <v>0</v>
          </cell>
          <cell r="BW376" t="str">
            <v>0</v>
          </cell>
          <cell r="BX376" t="str">
            <v>0</v>
          </cell>
          <cell r="BY376" t="str">
            <v>0</v>
          </cell>
          <cell r="BZ376" t="str">
            <v>0</v>
          </cell>
          <cell r="CA376" t="str">
            <v>0</v>
          </cell>
          <cell r="CB376" t="str">
            <v>0</v>
          </cell>
          <cell r="CC376" t="str">
            <v>0</v>
          </cell>
          <cell r="CD376" t="str">
            <v>0</v>
          </cell>
          <cell r="CE376" t="str">
            <v>0</v>
          </cell>
          <cell r="CF376" t="str">
            <v>0</v>
          </cell>
          <cell r="CG376" t="str">
            <v>0</v>
          </cell>
          <cell r="CH376" t="str">
            <v>0</v>
          </cell>
          <cell r="CI376" t="str">
            <v>0</v>
          </cell>
          <cell r="CJ376" t="str">
            <v>0</v>
          </cell>
          <cell r="CK376" t="str">
            <v>0</v>
          </cell>
          <cell r="CL376" t="str">
            <v>0</v>
          </cell>
          <cell r="CM376" t="str">
            <v>0</v>
          </cell>
          <cell r="CN376" t="str">
            <v>0</v>
          </cell>
          <cell r="CO376" t="str">
            <v>0</v>
          </cell>
          <cell r="CP376" t="str">
            <v>0</v>
          </cell>
          <cell r="CQ376" t="str">
            <v>0</v>
          </cell>
          <cell r="CR376" t="str">
            <v>0</v>
          </cell>
          <cell r="CS376" t="str">
            <v>0</v>
          </cell>
          <cell r="CT376" t="str">
            <v>0</v>
          </cell>
          <cell r="CU376" t="str">
            <v>0</v>
          </cell>
          <cell r="CV376" t="str">
            <v>0</v>
          </cell>
          <cell r="CW376" t="str">
            <v>0</v>
          </cell>
          <cell r="CX376" t="str">
            <v>0</v>
          </cell>
          <cell r="CY376" t="str">
            <v>0</v>
          </cell>
          <cell r="CZ376" t="str">
            <v>0</v>
          </cell>
          <cell r="DA376" t="str">
            <v>0</v>
          </cell>
          <cell r="DB376" t="str">
            <v>0</v>
          </cell>
          <cell r="DC376" t="str">
            <v>0</v>
          </cell>
          <cell r="DD376" t="str">
            <v>0</v>
          </cell>
          <cell r="DE376" t="str">
            <v>0</v>
          </cell>
          <cell r="DF376" t="str">
            <v>0</v>
          </cell>
          <cell r="DG376" t="str">
            <v>0</v>
          </cell>
          <cell r="DH376" t="str">
            <v>0</v>
          </cell>
          <cell r="DI376" t="str">
            <v>0</v>
          </cell>
          <cell r="DJ376" t="str">
            <v>0</v>
          </cell>
          <cell r="DK376" t="str">
            <v>0</v>
          </cell>
          <cell r="DL376" t="str">
            <v>0</v>
          </cell>
          <cell r="DM376" t="str">
            <v>0</v>
          </cell>
          <cell r="DN376" t="str">
            <v>0</v>
          </cell>
          <cell r="DO376" t="str">
            <v>0</v>
          </cell>
          <cell r="DP376" t="str">
            <v>0</v>
          </cell>
        </row>
        <row r="377">
          <cell r="C377"/>
          <cell r="D377" t="str">
            <v>0</v>
          </cell>
          <cell r="E377" t="str">
            <v>0</v>
          </cell>
          <cell r="F377" t="str">
            <v>0</v>
          </cell>
          <cell r="G377" t="str">
            <v>0</v>
          </cell>
          <cell r="H377" t="str">
            <v>0</v>
          </cell>
          <cell r="I377" t="str">
            <v>0</v>
          </cell>
          <cell r="J377" t="str">
            <v>0</v>
          </cell>
          <cell r="K377" t="str">
            <v>0</v>
          </cell>
          <cell r="L377" t="str">
            <v>0</v>
          </cell>
          <cell r="M377" t="str">
            <v>0</v>
          </cell>
          <cell r="N377" t="str">
            <v>0</v>
          </cell>
          <cell r="O377" t="str">
            <v>0</v>
          </cell>
          <cell r="P377" t="str">
            <v>0</v>
          </cell>
          <cell r="Q377" t="str">
            <v>0</v>
          </cell>
          <cell r="R377" t="str">
            <v>0</v>
          </cell>
          <cell r="S377" t="str">
            <v>0</v>
          </cell>
          <cell r="T377" t="str">
            <v>0</v>
          </cell>
          <cell r="U377" t="str">
            <v>0</v>
          </cell>
          <cell r="V377" t="str">
            <v>0</v>
          </cell>
          <cell r="W377" t="str">
            <v>0</v>
          </cell>
          <cell r="X377" t="str">
            <v>0</v>
          </cell>
          <cell r="Y377" t="str">
            <v>0</v>
          </cell>
          <cell r="Z377" t="str">
            <v>0</v>
          </cell>
          <cell r="AA377" t="str">
            <v>0</v>
          </cell>
          <cell r="AB377" t="str">
            <v>0</v>
          </cell>
          <cell r="AC377" t="str">
            <v>0</v>
          </cell>
          <cell r="AD377" t="str">
            <v>0</v>
          </cell>
          <cell r="AE377" t="str">
            <v>0</v>
          </cell>
          <cell r="AF377" t="str">
            <v>0</v>
          </cell>
          <cell r="AG377" t="str">
            <v>0</v>
          </cell>
          <cell r="AH377" t="str">
            <v>0</v>
          </cell>
          <cell r="AI377" t="str">
            <v>0</v>
          </cell>
          <cell r="AJ377" t="str">
            <v>0</v>
          </cell>
          <cell r="AK377" t="str">
            <v>0</v>
          </cell>
          <cell r="AL377" t="str">
            <v>0</v>
          </cell>
          <cell r="AM377" t="str">
            <v>0</v>
          </cell>
          <cell r="AN377" t="str">
            <v>0</v>
          </cell>
          <cell r="AO377" t="str">
            <v>0</v>
          </cell>
          <cell r="AP377" t="str">
            <v>0</v>
          </cell>
          <cell r="AQ377" t="str">
            <v>0</v>
          </cell>
          <cell r="AR377" t="str">
            <v>0</v>
          </cell>
          <cell r="AS377" t="str">
            <v>0</v>
          </cell>
          <cell r="AT377" t="str">
            <v>0</v>
          </cell>
          <cell r="AU377" t="str">
            <v>0</v>
          </cell>
          <cell r="AV377" t="str">
            <v>0</v>
          </cell>
          <cell r="AW377" t="str">
            <v>0</v>
          </cell>
          <cell r="AX377" t="str">
            <v>0</v>
          </cell>
          <cell r="AY377" t="str">
            <v>0</v>
          </cell>
          <cell r="AZ377" t="str">
            <v>0</v>
          </cell>
          <cell r="BA377" t="str">
            <v>0</v>
          </cell>
          <cell r="BB377" t="str">
            <v>0</v>
          </cell>
          <cell r="BC377" t="str">
            <v>0</v>
          </cell>
          <cell r="BD377" t="str">
            <v>0</v>
          </cell>
          <cell r="BE377" t="str">
            <v>0</v>
          </cell>
          <cell r="BF377" t="str">
            <v>0</v>
          </cell>
          <cell r="BG377" t="str">
            <v>0</v>
          </cell>
          <cell r="BH377" t="str">
            <v>0</v>
          </cell>
          <cell r="BI377" t="str">
            <v>0</v>
          </cell>
          <cell r="BJ377" t="str">
            <v>0</v>
          </cell>
          <cell r="BK377" t="str">
            <v>0</v>
          </cell>
          <cell r="BL377" t="str">
            <v>0</v>
          </cell>
          <cell r="BM377" t="str">
            <v>0</v>
          </cell>
          <cell r="BN377" t="str">
            <v>0</v>
          </cell>
          <cell r="BO377" t="str">
            <v>0</v>
          </cell>
          <cell r="BP377" t="str">
            <v>0</v>
          </cell>
          <cell r="BQ377" t="str">
            <v>0</v>
          </cell>
          <cell r="BR377" t="str">
            <v>0</v>
          </cell>
          <cell r="BS377" t="str">
            <v>0</v>
          </cell>
          <cell r="BT377" t="str">
            <v>0</v>
          </cell>
          <cell r="BU377" t="str">
            <v>0</v>
          </cell>
          <cell r="BV377" t="str">
            <v>0</v>
          </cell>
          <cell r="BW377" t="str">
            <v>0</v>
          </cell>
          <cell r="BX377" t="str">
            <v>0</v>
          </cell>
          <cell r="BY377" t="str">
            <v>0</v>
          </cell>
          <cell r="BZ377" t="str">
            <v>0</v>
          </cell>
          <cell r="CA377" t="str">
            <v>0</v>
          </cell>
          <cell r="CB377" t="str">
            <v>0</v>
          </cell>
          <cell r="CC377" t="str">
            <v>0</v>
          </cell>
          <cell r="CD377" t="str">
            <v>0</v>
          </cell>
          <cell r="CE377" t="str">
            <v>0</v>
          </cell>
          <cell r="CF377" t="str">
            <v>0</v>
          </cell>
          <cell r="CG377" t="str">
            <v>0</v>
          </cell>
          <cell r="CH377" t="str">
            <v>0</v>
          </cell>
          <cell r="CI377" t="str">
            <v>0</v>
          </cell>
          <cell r="CJ377" t="str">
            <v>0</v>
          </cell>
          <cell r="CK377" t="str">
            <v>0</v>
          </cell>
          <cell r="CL377" t="str">
            <v>0</v>
          </cell>
          <cell r="CM377" t="str">
            <v>0</v>
          </cell>
          <cell r="CN377" t="str">
            <v>0</v>
          </cell>
          <cell r="CO377" t="str">
            <v>0</v>
          </cell>
          <cell r="CP377" t="str">
            <v>0</v>
          </cell>
          <cell r="CQ377" t="str">
            <v>0</v>
          </cell>
          <cell r="CR377" t="str">
            <v>0</v>
          </cell>
          <cell r="CS377" t="str">
            <v>0</v>
          </cell>
          <cell r="CT377" t="str">
            <v>0</v>
          </cell>
          <cell r="CU377" t="str">
            <v>0</v>
          </cell>
          <cell r="CV377" t="str">
            <v>0</v>
          </cell>
          <cell r="CW377" t="str">
            <v>0</v>
          </cell>
          <cell r="CX377" t="str">
            <v>0</v>
          </cell>
          <cell r="CY377" t="str">
            <v>0</v>
          </cell>
          <cell r="CZ377" t="str">
            <v>0</v>
          </cell>
          <cell r="DA377" t="str">
            <v>0</v>
          </cell>
          <cell r="DB377" t="str">
            <v>0</v>
          </cell>
          <cell r="DC377" t="str">
            <v>0</v>
          </cell>
          <cell r="DD377" t="str">
            <v>0</v>
          </cell>
          <cell r="DE377" t="str">
            <v>0</v>
          </cell>
          <cell r="DF377" t="str">
            <v>0</v>
          </cell>
          <cell r="DG377" t="str">
            <v>0</v>
          </cell>
          <cell r="DH377" t="str">
            <v>0</v>
          </cell>
          <cell r="DI377" t="str">
            <v>0</v>
          </cell>
          <cell r="DJ377" t="str">
            <v>0</v>
          </cell>
          <cell r="DK377" t="str">
            <v>0</v>
          </cell>
          <cell r="DL377" t="str">
            <v>0</v>
          </cell>
          <cell r="DM377" t="str">
            <v>0</v>
          </cell>
          <cell r="DN377" t="str">
            <v>0</v>
          </cell>
          <cell r="DO377" t="str">
            <v>0</v>
          </cell>
          <cell r="DP377" t="str">
            <v>0</v>
          </cell>
        </row>
        <row r="378">
          <cell r="C378"/>
          <cell r="D378" t="str">
            <v>0</v>
          </cell>
          <cell r="E378" t="str">
            <v>0</v>
          </cell>
          <cell r="F378" t="str">
            <v>0</v>
          </cell>
          <cell r="G378" t="str">
            <v>0</v>
          </cell>
          <cell r="H378" t="str">
            <v>0</v>
          </cell>
          <cell r="I378" t="str">
            <v>0</v>
          </cell>
          <cell r="J378" t="str">
            <v>0</v>
          </cell>
          <cell r="K378" t="str">
            <v>0</v>
          </cell>
          <cell r="L378" t="str">
            <v>0</v>
          </cell>
          <cell r="M378" t="str">
            <v>0</v>
          </cell>
          <cell r="N378" t="str">
            <v>0</v>
          </cell>
          <cell r="O378" t="str">
            <v>0</v>
          </cell>
          <cell r="P378" t="str">
            <v>0</v>
          </cell>
          <cell r="Q378" t="str">
            <v>0</v>
          </cell>
          <cell r="R378" t="str">
            <v>0</v>
          </cell>
          <cell r="S378" t="str">
            <v>0</v>
          </cell>
          <cell r="T378" t="str">
            <v>0</v>
          </cell>
          <cell r="U378" t="str">
            <v>0</v>
          </cell>
          <cell r="V378" t="str">
            <v>0</v>
          </cell>
          <cell r="W378" t="str">
            <v>0</v>
          </cell>
          <cell r="X378" t="str">
            <v>0</v>
          </cell>
          <cell r="Y378" t="str">
            <v>0</v>
          </cell>
          <cell r="Z378" t="str">
            <v>0</v>
          </cell>
          <cell r="AA378" t="str">
            <v>0</v>
          </cell>
          <cell r="AB378" t="str">
            <v>0</v>
          </cell>
          <cell r="AC378" t="str">
            <v>0</v>
          </cell>
          <cell r="AD378" t="str">
            <v>0</v>
          </cell>
          <cell r="AE378" t="str">
            <v>0</v>
          </cell>
          <cell r="AF378" t="str">
            <v>0</v>
          </cell>
          <cell r="AG378" t="str">
            <v>0</v>
          </cell>
          <cell r="AH378" t="str">
            <v>0</v>
          </cell>
          <cell r="AI378" t="str">
            <v>0</v>
          </cell>
          <cell r="AJ378" t="str">
            <v>0</v>
          </cell>
          <cell r="AK378" t="str">
            <v>0</v>
          </cell>
          <cell r="AL378" t="str">
            <v>0</v>
          </cell>
          <cell r="AM378" t="str">
            <v>0</v>
          </cell>
          <cell r="AN378" t="str">
            <v>0</v>
          </cell>
          <cell r="AO378" t="str">
            <v>0</v>
          </cell>
          <cell r="AP378" t="str">
            <v>0</v>
          </cell>
          <cell r="AQ378" t="str">
            <v>0</v>
          </cell>
          <cell r="AR378" t="str">
            <v>0</v>
          </cell>
          <cell r="AS378" t="str">
            <v>0</v>
          </cell>
          <cell r="AT378" t="str">
            <v>0</v>
          </cell>
          <cell r="AU378" t="str">
            <v>0</v>
          </cell>
          <cell r="AV378" t="str">
            <v>0</v>
          </cell>
          <cell r="AW378" t="str">
            <v>0</v>
          </cell>
          <cell r="AX378" t="str">
            <v>0</v>
          </cell>
          <cell r="AY378" t="str">
            <v>0</v>
          </cell>
          <cell r="AZ378" t="str">
            <v>0</v>
          </cell>
          <cell r="BA378" t="str">
            <v>0</v>
          </cell>
          <cell r="BB378" t="str">
            <v>0</v>
          </cell>
          <cell r="BC378" t="str">
            <v>0</v>
          </cell>
          <cell r="BD378" t="str">
            <v>0</v>
          </cell>
          <cell r="BE378" t="str">
            <v>0</v>
          </cell>
          <cell r="BF378" t="str">
            <v>0</v>
          </cell>
          <cell r="BG378" t="str">
            <v>0</v>
          </cell>
          <cell r="BH378" t="str">
            <v>0</v>
          </cell>
          <cell r="BI378" t="str">
            <v>0</v>
          </cell>
          <cell r="BJ378" t="str">
            <v>0</v>
          </cell>
          <cell r="BK378" t="str">
            <v>0</v>
          </cell>
          <cell r="BL378" t="str">
            <v>0</v>
          </cell>
          <cell r="BM378" t="str">
            <v>0</v>
          </cell>
          <cell r="BN378" t="str">
            <v>0</v>
          </cell>
          <cell r="BO378" t="str">
            <v>0</v>
          </cell>
          <cell r="BP378" t="str">
            <v>0</v>
          </cell>
          <cell r="BQ378" t="str">
            <v>0</v>
          </cell>
          <cell r="BR378" t="str">
            <v>0</v>
          </cell>
          <cell r="BS378" t="str">
            <v>0</v>
          </cell>
          <cell r="BT378" t="str">
            <v>0</v>
          </cell>
          <cell r="BU378" t="str">
            <v>0</v>
          </cell>
          <cell r="BV378" t="str">
            <v>0</v>
          </cell>
          <cell r="BW378" t="str">
            <v>0</v>
          </cell>
          <cell r="BX378" t="str">
            <v>0</v>
          </cell>
          <cell r="BY378" t="str">
            <v>0</v>
          </cell>
          <cell r="BZ378" t="str">
            <v>0</v>
          </cell>
          <cell r="CA378" t="str">
            <v>0</v>
          </cell>
          <cell r="CB378" t="str">
            <v>0</v>
          </cell>
          <cell r="CC378" t="str">
            <v>0</v>
          </cell>
          <cell r="CD378" t="str">
            <v>0</v>
          </cell>
          <cell r="CE378" t="str">
            <v>0</v>
          </cell>
          <cell r="CF378" t="str">
            <v>0</v>
          </cell>
          <cell r="CG378" t="str">
            <v>0</v>
          </cell>
          <cell r="CH378" t="str">
            <v>0</v>
          </cell>
          <cell r="CI378" t="str">
            <v>0</v>
          </cell>
          <cell r="CJ378" t="str">
            <v>0</v>
          </cell>
          <cell r="CK378" t="str">
            <v>0</v>
          </cell>
          <cell r="CL378" t="str">
            <v>0</v>
          </cell>
          <cell r="CM378" t="str">
            <v>0</v>
          </cell>
          <cell r="CN378" t="str">
            <v>0</v>
          </cell>
          <cell r="CO378" t="str">
            <v>0</v>
          </cell>
          <cell r="CP378" t="str">
            <v>0</v>
          </cell>
          <cell r="CQ378" t="str">
            <v>0</v>
          </cell>
          <cell r="CR378" t="str">
            <v>0</v>
          </cell>
          <cell r="CS378" t="str">
            <v>0</v>
          </cell>
          <cell r="CT378" t="str">
            <v>0</v>
          </cell>
          <cell r="CU378" t="str">
            <v>0</v>
          </cell>
          <cell r="CV378" t="str">
            <v>0</v>
          </cell>
          <cell r="CW378" t="str">
            <v>0</v>
          </cell>
          <cell r="CX378" t="str">
            <v>0</v>
          </cell>
          <cell r="CY378" t="str">
            <v>0</v>
          </cell>
          <cell r="CZ378" t="str">
            <v>0</v>
          </cell>
          <cell r="DA378" t="str">
            <v>0</v>
          </cell>
          <cell r="DB378" t="str">
            <v>0</v>
          </cell>
          <cell r="DC378" t="str">
            <v>0</v>
          </cell>
          <cell r="DD378" t="str">
            <v>0</v>
          </cell>
          <cell r="DE378" t="str">
            <v>0</v>
          </cell>
          <cell r="DF378" t="str">
            <v>0</v>
          </cell>
          <cell r="DG378" t="str">
            <v>0</v>
          </cell>
          <cell r="DH378" t="str">
            <v>0</v>
          </cell>
          <cell r="DI378" t="str">
            <v>0</v>
          </cell>
          <cell r="DJ378" t="str">
            <v>0</v>
          </cell>
          <cell r="DK378" t="str">
            <v>0</v>
          </cell>
          <cell r="DL378" t="str">
            <v>0</v>
          </cell>
          <cell r="DM378" t="str">
            <v>0</v>
          </cell>
          <cell r="DN378" t="str">
            <v>0</v>
          </cell>
          <cell r="DO378" t="str">
            <v>0</v>
          </cell>
          <cell r="DP378" t="str">
            <v>0</v>
          </cell>
        </row>
        <row r="379">
          <cell r="C379"/>
          <cell r="D379" t="str">
            <v>0</v>
          </cell>
          <cell r="E379" t="str">
            <v>0</v>
          </cell>
          <cell r="F379" t="str">
            <v>0</v>
          </cell>
          <cell r="G379" t="str">
            <v>0</v>
          </cell>
          <cell r="H379" t="str">
            <v>0</v>
          </cell>
          <cell r="I379" t="str">
            <v>0</v>
          </cell>
          <cell r="J379" t="str">
            <v>0</v>
          </cell>
          <cell r="K379" t="str">
            <v>0</v>
          </cell>
          <cell r="L379" t="str">
            <v>0</v>
          </cell>
          <cell r="M379" t="str">
            <v>0</v>
          </cell>
          <cell r="N379" t="str">
            <v>0</v>
          </cell>
          <cell r="O379" t="str">
            <v>0</v>
          </cell>
          <cell r="P379" t="str">
            <v>0</v>
          </cell>
          <cell r="Q379" t="str">
            <v>0</v>
          </cell>
          <cell r="R379" t="str">
            <v>0</v>
          </cell>
          <cell r="S379" t="str">
            <v>0</v>
          </cell>
          <cell r="T379" t="str">
            <v>0</v>
          </cell>
          <cell r="U379" t="str">
            <v>0</v>
          </cell>
          <cell r="V379" t="str">
            <v>0</v>
          </cell>
          <cell r="W379" t="str">
            <v>0</v>
          </cell>
          <cell r="X379" t="str">
            <v>0</v>
          </cell>
          <cell r="Y379" t="str">
            <v>0</v>
          </cell>
          <cell r="Z379" t="str">
            <v>0</v>
          </cell>
          <cell r="AA379" t="str">
            <v>0</v>
          </cell>
          <cell r="AB379" t="str">
            <v>0</v>
          </cell>
          <cell r="AC379" t="str">
            <v>0</v>
          </cell>
          <cell r="AD379" t="str">
            <v>0</v>
          </cell>
          <cell r="AE379" t="str">
            <v>0</v>
          </cell>
          <cell r="AF379" t="str">
            <v>0</v>
          </cell>
          <cell r="AG379" t="str">
            <v>0</v>
          </cell>
          <cell r="AH379" t="str">
            <v>0</v>
          </cell>
          <cell r="AI379" t="str">
            <v>0</v>
          </cell>
          <cell r="AJ379" t="str">
            <v>0</v>
          </cell>
          <cell r="AK379" t="str">
            <v>0</v>
          </cell>
          <cell r="AL379" t="str">
            <v>0</v>
          </cell>
          <cell r="AM379" t="str">
            <v>0</v>
          </cell>
          <cell r="AN379" t="str">
            <v>0</v>
          </cell>
          <cell r="AO379" t="str">
            <v>0</v>
          </cell>
          <cell r="AP379" t="str">
            <v>0</v>
          </cell>
          <cell r="AQ379" t="str">
            <v>0</v>
          </cell>
          <cell r="AR379" t="str">
            <v>0</v>
          </cell>
          <cell r="AS379" t="str">
            <v>0</v>
          </cell>
          <cell r="AT379" t="str">
            <v>0</v>
          </cell>
          <cell r="AU379" t="str">
            <v>0</v>
          </cell>
          <cell r="AV379" t="str">
            <v>0</v>
          </cell>
          <cell r="AW379" t="str">
            <v>0</v>
          </cell>
          <cell r="AX379" t="str">
            <v>0</v>
          </cell>
          <cell r="AY379" t="str">
            <v>0</v>
          </cell>
          <cell r="AZ379" t="str">
            <v>0</v>
          </cell>
          <cell r="BA379" t="str">
            <v>0</v>
          </cell>
          <cell r="BB379" t="str">
            <v>0</v>
          </cell>
          <cell r="BC379" t="str">
            <v>0</v>
          </cell>
          <cell r="BD379" t="str">
            <v>0</v>
          </cell>
          <cell r="BE379" t="str">
            <v>0</v>
          </cell>
          <cell r="BF379" t="str">
            <v>0</v>
          </cell>
          <cell r="BG379" t="str">
            <v>0</v>
          </cell>
          <cell r="BH379" t="str">
            <v>0</v>
          </cell>
          <cell r="BI379" t="str">
            <v>0</v>
          </cell>
          <cell r="BJ379" t="str">
            <v>0</v>
          </cell>
          <cell r="BK379" t="str">
            <v>0</v>
          </cell>
          <cell r="BL379" t="str">
            <v>0</v>
          </cell>
          <cell r="BM379" t="str">
            <v>0</v>
          </cell>
          <cell r="BN379" t="str">
            <v>0</v>
          </cell>
          <cell r="BO379" t="str">
            <v>0</v>
          </cell>
          <cell r="BP379" t="str">
            <v>0</v>
          </cell>
          <cell r="BQ379" t="str">
            <v>0</v>
          </cell>
          <cell r="BR379" t="str">
            <v>0</v>
          </cell>
          <cell r="BS379" t="str">
            <v>0</v>
          </cell>
          <cell r="BT379" t="str">
            <v>0</v>
          </cell>
          <cell r="BU379" t="str">
            <v>0</v>
          </cell>
          <cell r="BV379" t="str">
            <v>0</v>
          </cell>
          <cell r="BW379" t="str">
            <v>0</v>
          </cell>
          <cell r="BX379" t="str">
            <v>0</v>
          </cell>
          <cell r="BY379" t="str">
            <v>0</v>
          </cell>
          <cell r="BZ379" t="str">
            <v>0</v>
          </cell>
          <cell r="CA379" t="str">
            <v>0</v>
          </cell>
          <cell r="CB379" t="str">
            <v>0</v>
          </cell>
          <cell r="CC379" t="str">
            <v>0</v>
          </cell>
          <cell r="CD379" t="str">
            <v>0</v>
          </cell>
          <cell r="CE379" t="str">
            <v>0</v>
          </cell>
          <cell r="CF379" t="str">
            <v>0</v>
          </cell>
          <cell r="CG379" t="str">
            <v>0</v>
          </cell>
          <cell r="CH379" t="str">
            <v>0</v>
          </cell>
          <cell r="CI379" t="str">
            <v>0</v>
          </cell>
          <cell r="CJ379" t="str">
            <v>0</v>
          </cell>
          <cell r="CK379" t="str">
            <v>0</v>
          </cell>
          <cell r="CL379" t="str">
            <v>0</v>
          </cell>
          <cell r="CM379" t="str">
            <v>0</v>
          </cell>
          <cell r="CN379" t="str">
            <v>0</v>
          </cell>
          <cell r="CO379" t="str">
            <v>0</v>
          </cell>
          <cell r="CP379" t="str">
            <v>0</v>
          </cell>
          <cell r="CQ379" t="str">
            <v>0</v>
          </cell>
          <cell r="CR379" t="str">
            <v>0</v>
          </cell>
          <cell r="CS379" t="str">
            <v>0</v>
          </cell>
          <cell r="CT379" t="str">
            <v>0</v>
          </cell>
          <cell r="CU379" t="str">
            <v>0</v>
          </cell>
          <cell r="CV379" t="str">
            <v>0</v>
          </cell>
          <cell r="CW379" t="str">
            <v>0</v>
          </cell>
          <cell r="CX379" t="str">
            <v>0</v>
          </cell>
          <cell r="CY379" t="str">
            <v>0</v>
          </cell>
          <cell r="CZ379" t="str">
            <v>0</v>
          </cell>
          <cell r="DA379" t="str">
            <v>0</v>
          </cell>
          <cell r="DB379" t="str">
            <v>0</v>
          </cell>
          <cell r="DC379" t="str">
            <v>0</v>
          </cell>
          <cell r="DD379" t="str">
            <v>0</v>
          </cell>
          <cell r="DE379" t="str">
            <v>0</v>
          </cell>
          <cell r="DF379" t="str">
            <v>0</v>
          </cell>
          <cell r="DG379" t="str">
            <v>0</v>
          </cell>
          <cell r="DH379" t="str">
            <v>0</v>
          </cell>
          <cell r="DI379" t="str">
            <v>0</v>
          </cell>
          <cell r="DJ379" t="str">
            <v>0</v>
          </cell>
          <cell r="DK379" t="str">
            <v>0</v>
          </cell>
          <cell r="DL379" t="str">
            <v>0</v>
          </cell>
          <cell r="DM379" t="str">
            <v>0</v>
          </cell>
          <cell r="DN379" t="str">
            <v>0</v>
          </cell>
          <cell r="DO379" t="str">
            <v>0</v>
          </cell>
          <cell r="DP379" t="str">
            <v>0</v>
          </cell>
        </row>
        <row r="380">
          <cell r="C380"/>
          <cell r="D380" t="str">
            <v>0</v>
          </cell>
          <cell r="E380" t="str">
            <v>0</v>
          </cell>
          <cell r="F380" t="str">
            <v>0</v>
          </cell>
          <cell r="G380" t="str">
            <v>0</v>
          </cell>
          <cell r="H380" t="str">
            <v>0</v>
          </cell>
          <cell r="I380" t="str">
            <v>0</v>
          </cell>
          <cell r="J380" t="str">
            <v>0</v>
          </cell>
          <cell r="K380" t="str">
            <v>0</v>
          </cell>
          <cell r="L380" t="str">
            <v>0</v>
          </cell>
          <cell r="M380" t="str">
            <v>0</v>
          </cell>
          <cell r="N380" t="str">
            <v>0</v>
          </cell>
          <cell r="O380" t="str">
            <v>0</v>
          </cell>
          <cell r="P380" t="str">
            <v>0</v>
          </cell>
          <cell r="Q380" t="str">
            <v>0</v>
          </cell>
          <cell r="R380" t="str">
            <v>0</v>
          </cell>
          <cell r="S380" t="str">
            <v>0</v>
          </cell>
          <cell r="T380" t="str">
            <v>0</v>
          </cell>
          <cell r="U380" t="str">
            <v>0</v>
          </cell>
          <cell r="V380" t="str">
            <v>0</v>
          </cell>
          <cell r="W380" t="str">
            <v>0</v>
          </cell>
          <cell r="X380" t="str">
            <v>0</v>
          </cell>
          <cell r="Y380" t="str">
            <v>0</v>
          </cell>
          <cell r="Z380" t="str">
            <v>0</v>
          </cell>
          <cell r="AA380" t="str">
            <v>0</v>
          </cell>
          <cell r="AB380" t="str">
            <v>0</v>
          </cell>
          <cell r="AC380" t="str">
            <v>0</v>
          </cell>
          <cell r="AD380" t="str">
            <v>0</v>
          </cell>
          <cell r="AE380" t="str">
            <v>0</v>
          </cell>
          <cell r="AF380" t="str">
            <v>0</v>
          </cell>
          <cell r="AG380" t="str">
            <v>0</v>
          </cell>
          <cell r="AH380" t="str">
            <v>0</v>
          </cell>
          <cell r="AI380" t="str">
            <v>0</v>
          </cell>
          <cell r="AJ380" t="str">
            <v>0</v>
          </cell>
          <cell r="AK380" t="str">
            <v>0</v>
          </cell>
          <cell r="AL380" t="str">
            <v>0</v>
          </cell>
          <cell r="AM380" t="str">
            <v>0</v>
          </cell>
          <cell r="AN380" t="str">
            <v>0</v>
          </cell>
          <cell r="AO380" t="str">
            <v>0</v>
          </cell>
          <cell r="AP380" t="str">
            <v>0</v>
          </cell>
          <cell r="AQ380" t="str">
            <v>0</v>
          </cell>
          <cell r="AR380" t="str">
            <v>0</v>
          </cell>
          <cell r="AS380" t="str">
            <v>0</v>
          </cell>
          <cell r="AT380" t="str">
            <v>0</v>
          </cell>
          <cell r="AU380" t="str">
            <v>0</v>
          </cell>
          <cell r="AV380" t="str">
            <v>0</v>
          </cell>
          <cell r="AW380" t="str">
            <v>0</v>
          </cell>
          <cell r="AX380" t="str">
            <v>0</v>
          </cell>
          <cell r="AY380" t="str">
            <v>0</v>
          </cell>
          <cell r="AZ380" t="str">
            <v>0</v>
          </cell>
          <cell r="BA380" t="str">
            <v>0</v>
          </cell>
          <cell r="BB380" t="str">
            <v>0</v>
          </cell>
          <cell r="BC380" t="str">
            <v>0</v>
          </cell>
          <cell r="BD380" t="str">
            <v>0</v>
          </cell>
          <cell r="BE380" t="str">
            <v>0</v>
          </cell>
          <cell r="BF380" t="str">
            <v>0</v>
          </cell>
          <cell r="BG380" t="str">
            <v>0</v>
          </cell>
          <cell r="BH380" t="str">
            <v>0</v>
          </cell>
          <cell r="BI380" t="str">
            <v>0</v>
          </cell>
          <cell r="BJ380" t="str">
            <v>0</v>
          </cell>
          <cell r="BK380" t="str">
            <v>0</v>
          </cell>
          <cell r="BL380" t="str">
            <v>0</v>
          </cell>
          <cell r="BM380" t="str">
            <v>0</v>
          </cell>
          <cell r="BN380" t="str">
            <v>0</v>
          </cell>
          <cell r="BO380" t="str">
            <v>0</v>
          </cell>
          <cell r="BP380" t="str">
            <v>0</v>
          </cell>
          <cell r="BQ380" t="str">
            <v>0</v>
          </cell>
          <cell r="BR380" t="str">
            <v>0</v>
          </cell>
          <cell r="BS380" t="str">
            <v>0</v>
          </cell>
          <cell r="BT380" t="str">
            <v>0</v>
          </cell>
          <cell r="BU380" t="str">
            <v>0</v>
          </cell>
          <cell r="BV380" t="str">
            <v>0</v>
          </cell>
          <cell r="BW380" t="str">
            <v>0</v>
          </cell>
          <cell r="BX380" t="str">
            <v>0</v>
          </cell>
          <cell r="BY380" t="str">
            <v>0</v>
          </cell>
          <cell r="BZ380" t="str">
            <v>0</v>
          </cell>
          <cell r="CA380" t="str">
            <v>0</v>
          </cell>
          <cell r="CB380" t="str">
            <v>0</v>
          </cell>
          <cell r="CC380" t="str">
            <v>0</v>
          </cell>
          <cell r="CD380" t="str">
            <v>0</v>
          </cell>
          <cell r="CE380" t="str">
            <v>0</v>
          </cell>
          <cell r="CF380" t="str">
            <v>0</v>
          </cell>
          <cell r="CG380" t="str">
            <v>0</v>
          </cell>
          <cell r="CH380" t="str">
            <v>0</v>
          </cell>
          <cell r="CI380" t="str">
            <v>0</v>
          </cell>
          <cell r="CJ380" t="str">
            <v>0</v>
          </cell>
          <cell r="CK380" t="str">
            <v>0</v>
          </cell>
          <cell r="CL380" t="str">
            <v>0</v>
          </cell>
          <cell r="CM380" t="str">
            <v>0</v>
          </cell>
          <cell r="CN380" t="str">
            <v>0</v>
          </cell>
          <cell r="CO380" t="str">
            <v>0</v>
          </cell>
          <cell r="CP380" t="str">
            <v>0</v>
          </cell>
          <cell r="CQ380" t="str">
            <v>0</v>
          </cell>
          <cell r="CR380" t="str">
            <v>0</v>
          </cell>
          <cell r="CS380" t="str">
            <v>0</v>
          </cell>
          <cell r="CT380" t="str">
            <v>0</v>
          </cell>
          <cell r="CU380" t="str">
            <v>0</v>
          </cell>
          <cell r="CV380" t="str">
            <v>0</v>
          </cell>
          <cell r="CW380" t="str">
            <v>0</v>
          </cell>
          <cell r="CX380" t="str">
            <v>0</v>
          </cell>
          <cell r="CY380" t="str">
            <v>0</v>
          </cell>
          <cell r="CZ380" t="str">
            <v>0</v>
          </cell>
          <cell r="DA380" t="str">
            <v>0</v>
          </cell>
          <cell r="DB380" t="str">
            <v>0</v>
          </cell>
          <cell r="DC380" t="str">
            <v>0</v>
          </cell>
          <cell r="DD380" t="str">
            <v>0</v>
          </cell>
          <cell r="DE380" t="str">
            <v>0</v>
          </cell>
          <cell r="DF380" t="str">
            <v>0</v>
          </cell>
          <cell r="DG380" t="str">
            <v>0</v>
          </cell>
          <cell r="DH380" t="str">
            <v>0</v>
          </cell>
          <cell r="DI380" t="str">
            <v>0</v>
          </cell>
          <cell r="DJ380" t="str">
            <v>0</v>
          </cell>
          <cell r="DK380" t="str">
            <v>0</v>
          </cell>
          <cell r="DL380" t="str">
            <v>0</v>
          </cell>
          <cell r="DM380" t="str">
            <v>0</v>
          </cell>
          <cell r="DN380" t="str">
            <v>0</v>
          </cell>
          <cell r="DO380" t="str">
            <v>0</v>
          </cell>
          <cell r="DP380" t="str">
            <v>0</v>
          </cell>
        </row>
        <row r="381">
          <cell r="C381"/>
          <cell r="D381" t="str">
            <v>0</v>
          </cell>
          <cell r="E381" t="str">
            <v>0</v>
          </cell>
          <cell r="F381" t="str">
            <v>0</v>
          </cell>
          <cell r="G381" t="str">
            <v>0</v>
          </cell>
          <cell r="H381" t="str">
            <v>0</v>
          </cell>
          <cell r="I381" t="str">
            <v>0</v>
          </cell>
          <cell r="J381" t="str">
            <v>0</v>
          </cell>
          <cell r="K381" t="str">
            <v>0</v>
          </cell>
          <cell r="L381" t="str">
            <v>0</v>
          </cell>
          <cell r="M381" t="str">
            <v>0</v>
          </cell>
          <cell r="N381" t="str">
            <v>0</v>
          </cell>
          <cell r="O381" t="str">
            <v>0</v>
          </cell>
          <cell r="P381" t="str">
            <v>0</v>
          </cell>
          <cell r="Q381" t="str">
            <v>0</v>
          </cell>
          <cell r="R381" t="str">
            <v>0</v>
          </cell>
          <cell r="S381" t="str">
            <v>0</v>
          </cell>
          <cell r="T381" t="str">
            <v>0</v>
          </cell>
          <cell r="U381" t="str">
            <v>0</v>
          </cell>
          <cell r="V381" t="str">
            <v>0</v>
          </cell>
          <cell r="W381" t="str">
            <v>0</v>
          </cell>
          <cell r="X381" t="str">
            <v>0</v>
          </cell>
          <cell r="Y381" t="str">
            <v>0</v>
          </cell>
          <cell r="Z381" t="str">
            <v>0</v>
          </cell>
          <cell r="AA381" t="str">
            <v>0</v>
          </cell>
          <cell r="AB381" t="str">
            <v>0</v>
          </cell>
          <cell r="AC381" t="str">
            <v>0</v>
          </cell>
          <cell r="AD381" t="str">
            <v>0</v>
          </cell>
          <cell r="AE381" t="str">
            <v>0</v>
          </cell>
          <cell r="AF381" t="str">
            <v>0</v>
          </cell>
          <cell r="AG381" t="str">
            <v>0</v>
          </cell>
          <cell r="AH381" t="str">
            <v>0</v>
          </cell>
          <cell r="AI381" t="str">
            <v>0</v>
          </cell>
          <cell r="AJ381" t="str">
            <v>0</v>
          </cell>
          <cell r="AK381" t="str">
            <v>0</v>
          </cell>
          <cell r="AL381" t="str">
            <v>0</v>
          </cell>
          <cell r="AM381" t="str">
            <v>0</v>
          </cell>
          <cell r="AN381" t="str">
            <v>0</v>
          </cell>
          <cell r="AO381" t="str">
            <v>0</v>
          </cell>
          <cell r="AP381" t="str">
            <v>0</v>
          </cell>
          <cell r="AQ381" t="str">
            <v>0</v>
          </cell>
          <cell r="AR381" t="str">
            <v>0</v>
          </cell>
          <cell r="AS381" t="str">
            <v>0</v>
          </cell>
          <cell r="AT381" t="str">
            <v>0</v>
          </cell>
          <cell r="AU381" t="str">
            <v>0</v>
          </cell>
          <cell r="AV381" t="str">
            <v>0</v>
          </cell>
          <cell r="AW381" t="str">
            <v>0</v>
          </cell>
          <cell r="AX381" t="str">
            <v>0</v>
          </cell>
          <cell r="AY381" t="str">
            <v>0</v>
          </cell>
          <cell r="AZ381" t="str">
            <v>0</v>
          </cell>
          <cell r="BA381" t="str">
            <v>0</v>
          </cell>
          <cell r="BB381" t="str">
            <v>0</v>
          </cell>
          <cell r="BC381" t="str">
            <v>0</v>
          </cell>
          <cell r="BD381" t="str">
            <v>0</v>
          </cell>
          <cell r="BE381" t="str">
            <v>0</v>
          </cell>
          <cell r="BF381" t="str">
            <v>0</v>
          </cell>
          <cell r="BG381" t="str">
            <v>0</v>
          </cell>
          <cell r="BH381" t="str">
            <v>0</v>
          </cell>
          <cell r="BI381" t="str">
            <v>0</v>
          </cell>
          <cell r="BJ381" t="str">
            <v>0</v>
          </cell>
          <cell r="BK381" t="str">
            <v>0</v>
          </cell>
          <cell r="BL381" t="str">
            <v>0</v>
          </cell>
          <cell r="BM381" t="str">
            <v>0</v>
          </cell>
          <cell r="BN381" t="str">
            <v>0</v>
          </cell>
          <cell r="BO381" t="str">
            <v>0</v>
          </cell>
          <cell r="BP381" t="str">
            <v>0</v>
          </cell>
          <cell r="BQ381" t="str">
            <v>0</v>
          </cell>
          <cell r="BR381" t="str">
            <v>0</v>
          </cell>
          <cell r="BS381" t="str">
            <v>0</v>
          </cell>
          <cell r="BT381" t="str">
            <v>0</v>
          </cell>
          <cell r="BU381" t="str">
            <v>0</v>
          </cell>
          <cell r="BV381" t="str">
            <v>0</v>
          </cell>
          <cell r="BW381" t="str">
            <v>0</v>
          </cell>
          <cell r="BX381" t="str">
            <v>0</v>
          </cell>
          <cell r="BY381" t="str">
            <v>0</v>
          </cell>
          <cell r="BZ381" t="str">
            <v>0</v>
          </cell>
          <cell r="CA381" t="str">
            <v>0</v>
          </cell>
          <cell r="CB381" t="str">
            <v>0</v>
          </cell>
          <cell r="CC381" t="str">
            <v>0</v>
          </cell>
          <cell r="CD381" t="str">
            <v>0</v>
          </cell>
          <cell r="CE381" t="str">
            <v>0</v>
          </cell>
          <cell r="CF381" t="str">
            <v>0</v>
          </cell>
          <cell r="CG381" t="str">
            <v>0</v>
          </cell>
          <cell r="CH381" t="str">
            <v>0</v>
          </cell>
          <cell r="CI381" t="str">
            <v>0</v>
          </cell>
          <cell r="CJ381" t="str">
            <v>0</v>
          </cell>
          <cell r="CK381" t="str">
            <v>0</v>
          </cell>
          <cell r="CL381" t="str">
            <v>0</v>
          </cell>
          <cell r="CM381" t="str">
            <v>0</v>
          </cell>
          <cell r="CN381" t="str">
            <v>0</v>
          </cell>
          <cell r="CO381" t="str">
            <v>0</v>
          </cell>
          <cell r="CP381" t="str">
            <v>0</v>
          </cell>
          <cell r="CQ381" t="str">
            <v>0</v>
          </cell>
          <cell r="CR381" t="str">
            <v>0</v>
          </cell>
          <cell r="CS381" t="str">
            <v>0</v>
          </cell>
          <cell r="CT381" t="str">
            <v>0</v>
          </cell>
          <cell r="CU381" t="str">
            <v>0</v>
          </cell>
          <cell r="CV381" t="str">
            <v>0</v>
          </cell>
          <cell r="CW381" t="str">
            <v>0</v>
          </cell>
          <cell r="CX381" t="str">
            <v>0</v>
          </cell>
          <cell r="CY381" t="str">
            <v>0</v>
          </cell>
          <cell r="CZ381" t="str">
            <v>0</v>
          </cell>
          <cell r="DA381" t="str">
            <v>0</v>
          </cell>
          <cell r="DB381" t="str">
            <v>0</v>
          </cell>
          <cell r="DC381" t="str">
            <v>0</v>
          </cell>
          <cell r="DD381" t="str">
            <v>0</v>
          </cell>
          <cell r="DE381" t="str">
            <v>0</v>
          </cell>
          <cell r="DF381" t="str">
            <v>0</v>
          </cell>
          <cell r="DG381" t="str">
            <v>0</v>
          </cell>
          <cell r="DH381" t="str">
            <v>0</v>
          </cell>
          <cell r="DI381" t="str">
            <v>0</v>
          </cell>
          <cell r="DJ381" t="str">
            <v>0</v>
          </cell>
          <cell r="DK381" t="str">
            <v>0</v>
          </cell>
          <cell r="DL381" t="str">
            <v>0</v>
          </cell>
          <cell r="DM381" t="str">
            <v>0</v>
          </cell>
          <cell r="DN381" t="str">
            <v>0</v>
          </cell>
          <cell r="DO381" t="str">
            <v>0</v>
          </cell>
          <cell r="DP381" t="str">
            <v>0</v>
          </cell>
        </row>
        <row r="382">
          <cell r="C382"/>
          <cell r="D382" t="str">
            <v>0</v>
          </cell>
          <cell r="E382" t="str">
            <v>0</v>
          </cell>
          <cell r="F382" t="str">
            <v>0</v>
          </cell>
          <cell r="G382" t="str">
            <v>0</v>
          </cell>
          <cell r="H382" t="str">
            <v>0</v>
          </cell>
          <cell r="I382" t="str">
            <v>0</v>
          </cell>
          <cell r="J382" t="str">
            <v>0</v>
          </cell>
          <cell r="K382" t="str">
            <v>0</v>
          </cell>
          <cell r="L382" t="str">
            <v>0</v>
          </cell>
          <cell r="M382" t="str">
            <v>0</v>
          </cell>
          <cell r="N382" t="str">
            <v>0</v>
          </cell>
          <cell r="O382" t="str">
            <v>0</v>
          </cell>
          <cell r="P382" t="str">
            <v>0</v>
          </cell>
          <cell r="Q382" t="str">
            <v>0</v>
          </cell>
          <cell r="R382" t="str">
            <v>0</v>
          </cell>
          <cell r="S382" t="str">
            <v>0</v>
          </cell>
          <cell r="T382" t="str">
            <v>0</v>
          </cell>
          <cell r="U382" t="str">
            <v>0</v>
          </cell>
          <cell r="V382" t="str">
            <v>0</v>
          </cell>
          <cell r="W382" t="str">
            <v>0</v>
          </cell>
          <cell r="X382" t="str">
            <v>0</v>
          </cell>
          <cell r="Y382" t="str">
            <v>0</v>
          </cell>
          <cell r="Z382" t="str">
            <v>0</v>
          </cell>
          <cell r="AA382" t="str">
            <v>0</v>
          </cell>
          <cell r="AB382" t="str">
            <v>0</v>
          </cell>
          <cell r="AC382" t="str">
            <v>0</v>
          </cell>
          <cell r="AD382" t="str">
            <v>0</v>
          </cell>
          <cell r="AE382" t="str">
            <v>0</v>
          </cell>
          <cell r="AF382" t="str">
            <v>0</v>
          </cell>
          <cell r="AG382" t="str">
            <v>0</v>
          </cell>
          <cell r="AH382" t="str">
            <v>0</v>
          </cell>
          <cell r="AI382" t="str">
            <v>0</v>
          </cell>
          <cell r="AJ382" t="str">
            <v>0</v>
          </cell>
          <cell r="AK382" t="str">
            <v>0</v>
          </cell>
          <cell r="AL382" t="str">
            <v>0</v>
          </cell>
          <cell r="AM382" t="str">
            <v>0</v>
          </cell>
          <cell r="AN382" t="str">
            <v>0</v>
          </cell>
          <cell r="AO382" t="str">
            <v>0</v>
          </cell>
          <cell r="AP382" t="str">
            <v>0</v>
          </cell>
          <cell r="AQ382" t="str">
            <v>0</v>
          </cell>
          <cell r="AR382" t="str">
            <v>0</v>
          </cell>
          <cell r="AS382" t="str">
            <v>0</v>
          </cell>
          <cell r="AT382" t="str">
            <v>0</v>
          </cell>
          <cell r="AU382" t="str">
            <v>0</v>
          </cell>
          <cell r="AV382" t="str">
            <v>0</v>
          </cell>
          <cell r="AW382" t="str">
            <v>0</v>
          </cell>
          <cell r="AX382" t="str">
            <v>0</v>
          </cell>
          <cell r="AY382" t="str">
            <v>0</v>
          </cell>
          <cell r="AZ382" t="str">
            <v>0</v>
          </cell>
          <cell r="BA382" t="str">
            <v>0</v>
          </cell>
          <cell r="BB382" t="str">
            <v>0</v>
          </cell>
          <cell r="BC382" t="str">
            <v>0</v>
          </cell>
          <cell r="BD382" t="str">
            <v>0</v>
          </cell>
          <cell r="BE382" t="str">
            <v>0</v>
          </cell>
          <cell r="BF382" t="str">
            <v>0</v>
          </cell>
          <cell r="BG382" t="str">
            <v>0</v>
          </cell>
          <cell r="BH382" t="str">
            <v>0</v>
          </cell>
          <cell r="BI382" t="str">
            <v>0</v>
          </cell>
          <cell r="BJ382" t="str">
            <v>0</v>
          </cell>
          <cell r="BK382" t="str">
            <v>0</v>
          </cell>
          <cell r="BL382" t="str">
            <v>0</v>
          </cell>
          <cell r="BM382" t="str">
            <v>0</v>
          </cell>
          <cell r="BN382" t="str">
            <v>0</v>
          </cell>
          <cell r="BO382" t="str">
            <v>0</v>
          </cell>
          <cell r="BP382" t="str">
            <v>0</v>
          </cell>
          <cell r="BQ382" t="str">
            <v>0</v>
          </cell>
          <cell r="BR382" t="str">
            <v>0</v>
          </cell>
          <cell r="BS382" t="str">
            <v>0</v>
          </cell>
          <cell r="BT382" t="str">
            <v>0</v>
          </cell>
          <cell r="BU382" t="str">
            <v>0</v>
          </cell>
          <cell r="BV382" t="str">
            <v>0</v>
          </cell>
          <cell r="BW382" t="str">
            <v>0</v>
          </cell>
          <cell r="BX382" t="str">
            <v>0</v>
          </cell>
          <cell r="BY382" t="str">
            <v>0</v>
          </cell>
          <cell r="BZ382" t="str">
            <v>0</v>
          </cell>
          <cell r="CA382" t="str">
            <v>0</v>
          </cell>
          <cell r="CB382" t="str">
            <v>0</v>
          </cell>
          <cell r="CC382" t="str">
            <v>0</v>
          </cell>
          <cell r="CD382" t="str">
            <v>0</v>
          </cell>
          <cell r="CE382" t="str">
            <v>0</v>
          </cell>
          <cell r="CF382" t="str">
            <v>0</v>
          </cell>
          <cell r="CG382" t="str">
            <v>0</v>
          </cell>
          <cell r="CH382" t="str">
            <v>0</v>
          </cell>
          <cell r="CI382" t="str">
            <v>0</v>
          </cell>
          <cell r="CJ382" t="str">
            <v>0</v>
          </cell>
          <cell r="CK382" t="str">
            <v>0</v>
          </cell>
          <cell r="CL382" t="str">
            <v>0</v>
          </cell>
          <cell r="CM382" t="str">
            <v>0</v>
          </cell>
          <cell r="CN382" t="str">
            <v>0</v>
          </cell>
          <cell r="CO382" t="str">
            <v>0</v>
          </cell>
          <cell r="CP382" t="str">
            <v>0</v>
          </cell>
          <cell r="CQ382" t="str">
            <v>0</v>
          </cell>
          <cell r="CR382" t="str">
            <v>0</v>
          </cell>
          <cell r="CS382" t="str">
            <v>0</v>
          </cell>
          <cell r="CT382" t="str">
            <v>0</v>
          </cell>
          <cell r="CU382" t="str">
            <v>0</v>
          </cell>
          <cell r="CV382" t="str">
            <v>0</v>
          </cell>
          <cell r="CW382" t="str">
            <v>0</v>
          </cell>
          <cell r="CX382" t="str">
            <v>0</v>
          </cell>
          <cell r="CY382" t="str">
            <v>0</v>
          </cell>
          <cell r="CZ382" t="str">
            <v>0</v>
          </cell>
          <cell r="DA382" t="str">
            <v>0</v>
          </cell>
          <cell r="DB382" t="str">
            <v>0</v>
          </cell>
          <cell r="DC382" t="str">
            <v>0</v>
          </cell>
          <cell r="DD382" t="str">
            <v>0</v>
          </cell>
          <cell r="DE382" t="str">
            <v>0</v>
          </cell>
          <cell r="DF382" t="str">
            <v>0</v>
          </cell>
          <cell r="DG382" t="str">
            <v>0</v>
          </cell>
          <cell r="DH382" t="str">
            <v>0</v>
          </cell>
          <cell r="DI382" t="str">
            <v>0</v>
          </cell>
          <cell r="DJ382" t="str">
            <v>0</v>
          </cell>
          <cell r="DK382" t="str">
            <v>0</v>
          </cell>
          <cell r="DL382" t="str">
            <v>0</v>
          </cell>
          <cell r="DM382" t="str">
            <v>0</v>
          </cell>
          <cell r="DN382" t="str">
            <v>0</v>
          </cell>
          <cell r="DO382" t="str">
            <v>0</v>
          </cell>
          <cell r="DP382" t="str">
            <v>0</v>
          </cell>
        </row>
        <row r="383">
          <cell r="C383"/>
          <cell r="D383" t="str">
            <v>0</v>
          </cell>
          <cell r="E383" t="str">
            <v>0</v>
          </cell>
          <cell r="F383" t="str">
            <v>0</v>
          </cell>
          <cell r="G383" t="str">
            <v>0</v>
          </cell>
          <cell r="H383" t="str">
            <v>0</v>
          </cell>
          <cell r="I383" t="str">
            <v>0</v>
          </cell>
          <cell r="J383" t="str">
            <v>0</v>
          </cell>
          <cell r="K383" t="str">
            <v>0</v>
          </cell>
          <cell r="L383" t="str">
            <v>0</v>
          </cell>
          <cell r="M383" t="str">
            <v>0</v>
          </cell>
          <cell r="N383" t="str">
            <v>0</v>
          </cell>
          <cell r="O383" t="str">
            <v>0</v>
          </cell>
          <cell r="P383" t="str">
            <v>0</v>
          </cell>
          <cell r="Q383" t="str">
            <v>0</v>
          </cell>
          <cell r="R383" t="str">
            <v>0</v>
          </cell>
          <cell r="S383" t="str">
            <v>0</v>
          </cell>
          <cell r="T383" t="str">
            <v>0</v>
          </cell>
          <cell r="U383" t="str">
            <v>0</v>
          </cell>
          <cell r="V383" t="str">
            <v>0</v>
          </cell>
          <cell r="W383" t="str">
            <v>0</v>
          </cell>
          <cell r="X383" t="str">
            <v>0</v>
          </cell>
          <cell r="Y383" t="str">
            <v>0</v>
          </cell>
          <cell r="Z383" t="str">
            <v>0</v>
          </cell>
          <cell r="AA383" t="str">
            <v>0</v>
          </cell>
          <cell r="AB383" t="str">
            <v>0</v>
          </cell>
          <cell r="AC383" t="str">
            <v>0</v>
          </cell>
          <cell r="AD383" t="str">
            <v>0</v>
          </cell>
          <cell r="AE383" t="str">
            <v>0</v>
          </cell>
          <cell r="AF383" t="str">
            <v>0</v>
          </cell>
          <cell r="AG383" t="str">
            <v>0</v>
          </cell>
          <cell r="AH383" t="str">
            <v>0</v>
          </cell>
          <cell r="AI383" t="str">
            <v>0</v>
          </cell>
          <cell r="AJ383" t="str">
            <v>0</v>
          </cell>
          <cell r="AK383" t="str">
            <v>0</v>
          </cell>
          <cell r="AL383" t="str">
            <v>0</v>
          </cell>
          <cell r="AM383" t="str">
            <v>0</v>
          </cell>
          <cell r="AN383" t="str">
            <v>0</v>
          </cell>
          <cell r="AO383" t="str">
            <v>0</v>
          </cell>
          <cell r="AP383" t="str">
            <v>0</v>
          </cell>
          <cell r="AQ383" t="str">
            <v>0</v>
          </cell>
          <cell r="AR383" t="str">
            <v>0</v>
          </cell>
          <cell r="AS383" t="str">
            <v>0</v>
          </cell>
          <cell r="AT383" t="str">
            <v>0</v>
          </cell>
          <cell r="AU383" t="str">
            <v>0</v>
          </cell>
          <cell r="AV383" t="str">
            <v>0</v>
          </cell>
          <cell r="AW383" t="str">
            <v>0</v>
          </cell>
          <cell r="AX383" t="str">
            <v>0</v>
          </cell>
          <cell r="AY383" t="str">
            <v>0</v>
          </cell>
          <cell r="AZ383" t="str">
            <v>0</v>
          </cell>
          <cell r="BA383" t="str">
            <v>0</v>
          </cell>
          <cell r="BB383" t="str">
            <v>0</v>
          </cell>
          <cell r="BC383" t="str">
            <v>0</v>
          </cell>
          <cell r="BD383" t="str">
            <v>0</v>
          </cell>
          <cell r="BE383" t="str">
            <v>0</v>
          </cell>
          <cell r="BF383" t="str">
            <v>0</v>
          </cell>
          <cell r="BG383" t="str">
            <v>0</v>
          </cell>
          <cell r="BH383" t="str">
            <v>0</v>
          </cell>
          <cell r="BI383" t="str">
            <v>0</v>
          </cell>
          <cell r="BJ383" t="str">
            <v>0</v>
          </cell>
          <cell r="BK383" t="str">
            <v>0</v>
          </cell>
          <cell r="BL383" t="str">
            <v>0</v>
          </cell>
          <cell r="BM383" t="str">
            <v>0</v>
          </cell>
          <cell r="BN383" t="str">
            <v>0</v>
          </cell>
          <cell r="BO383" t="str">
            <v>0</v>
          </cell>
          <cell r="BP383" t="str">
            <v>0</v>
          </cell>
          <cell r="BQ383" t="str">
            <v>0</v>
          </cell>
          <cell r="BR383" t="str">
            <v>0</v>
          </cell>
          <cell r="BS383" t="str">
            <v>0</v>
          </cell>
          <cell r="BT383" t="str">
            <v>0</v>
          </cell>
          <cell r="BU383" t="str">
            <v>0</v>
          </cell>
          <cell r="BV383" t="str">
            <v>0</v>
          </cell>
          <cell r="BW383" t="str">
            <v>0</v>
          </cell>
          <cell r="BX383" t="str">
            <v>0</v>
          </cell>
          <cell r="BY383" t="str">
            <v>0</v>
          </cell>
          <cell r="BZ383" t="str">
            <v>0</v>
          </cell>
          <cell r="CA383" t="str">
            <v>0</v>
          </cell>
          <cell r="CB383" t="str">
            <v>0</v>
          </cell>
          <cell r="CC383" t="str">
            <v>0</v>
          </cell>
          <cell r="CD383" t="str">
            <v>0</v>
          </cell>
          <cell r="CE383" t="str">
            <v>0</v>
          </cell>
          <cell r="CF383" t="str">
            <v>0</v>
          </cell>
          <cell r="CG383" t="str">
            <v>0</v>
          </cell>
          <cell r="CH383" t="str">
            <v>0</v>
          </cell>
          <cell r="CI383" t="str">
            <v>0</v>
          </cell>
          <cell r="CJ383" t="str">
            <v>0</v>
          </cell>
          <cell r="CK383" t="str">
            <v>0</v>
          </cell>
          <cell r="CL383" t="str">
            <v>0</v>
          </cell>
          <cell r="CM383" t="str">
            <v>0</v>
          </cell>
          <cell r="CN383" t="str">
            <v>0</v>
          </cell>
          <cell r="CO383" t="str">
            <v>0</v>
          </cell>
          <cell r="CP383" t="str">
            <v>0</v>
          </cell>
          <cell r="CQ383" t="str">
            <v>0</v>
          </cell>
          <cell r="CR383" t="str">
            <v>0</v>
          </cell>
          <cell r="CS383" t="str">
            <v>0</v>
          </cell>
          <cell r="CT383" t="str">
            <v>0</v>
          </cell>
          <cell r="CU383" t="str">
            <v>0</v>
          </cell>
          <cell r="CV383" t="str">
            <v>0</v>
          </cell>
          <cell r="CW383" t="str">
            <v>0</v>
          </cell>
          <cell r="CX383" t="str">
            <v>0</v>
          </cell>
          <cell r="CY383" t="str">
            <v>0</v>
          </cell>
          <cell r="CZ383" t="str">
            <v>0</v>
          </cell>
          <cell r="DA383" t="str">
            <v>0</v>
          </cell>
          <cell r="DB383" t="str">
            <v>0</v>
          </cell>
          <cell r="DC383" t="str">
            <v>0</v>
          </cell>
          <cell r="DD383" t="str">
            <v>0</v>
          </cell>
          <cell r="DE383" t="str">
            <v>0</v>
          </cell>
          <cell r="DF383" t="str">
            <v>0</v>
          </cell>
          <cell r="DG383" t="str">
            <v>0</v>
          </cell>
          <cell r="DH383" t="str">
            <v>0</v>
          </cell>
          <cell r="DI383" t="str">
            <v>0</v>
          </cell>
          <cell r="DJ383" t="str">
            <v>0</v>
          </cell>
          <cell r="DK383" t="str">
            <v>0</v>
          </cell>
          <cell r="DL383" t="str">
            <v>0</v>
          </cell>
          <cell r="DM383" t="str">
            <v>0</v>
          </cell>
          <cell r="DN383" t="str">
            <v>0</v>
          </cell>
          <cell r="DO383" t="str">
            <v>0</v>
          </cell>
          <cell r="DP383" t="str">
            <v>0</v>
          </cell>
        </row>
        <row r="384">
          <cell r="C384"/>
          <cell r="D384" t="str">
            <v>0</v>
          </cell>
          <cell r="E384" t="str">
            <v>0</v>
          </cell>
          <cell r="F384" t="str">
            <v>0</v>
          </cell>
          <cell r="G384" t="str">
            <v>0</v>
          </cell>
          <cell r="H384" t="str">
            <v>0</v>
          </cell>
          <cell r="I384" t="str">
            <v>0</v>
          </cell>
          <cell r="J384" t="str">
            <v>0</v>
          </cell>
          <cell r="K384" t="str">
            <v>0</v>
          </cell>
          <cell r="L384" t="str">
            <v>0</v>
          </cell>
          <cell r="M384" t="str">
            <v>0</v>
          </cell>
          <cell r="N384" t="str">
            <v>0</v>
          </cell>
          <cell r="O384" t="str">
            <v>0</v>
          </cell>
          <cell r="P384" t="str">
            <v>0</v>
          </cell>
          <cell r="Q384" t="str">
            <v>0</v>
          </cell>
          <cell r="R384" t="str">
            <v>0</v>
          </cell>
          <cell r="S384" t="str">
            <v>0</v>
          </cell>
          <cell r="T384" t="str">
            <v>0</v>
          </cell>
          <cell r="U384" t="str">
            <v>0</v>
          </cell>
          <cell r="V384" t="str">
            <v>0</v>
          </cell>
          <cell r="W384" t="str">
            <v>0</v>
          </cell>
          <cell r="X384" t="str">
            <v>0</v>
          </cell>
          <cell r="Y384" t="str">
            <v>0</v>
          </cell>
          <cell r="Z384" t="str">
            <v>0</v>
          </cell>
          <cell r="AA384" t="str">
            <v>0</v>
          </cell>
          <cell r="AB384" t="str">
            <v>0</v>
          </cell>
          <cell r="AC384" t="str">
            <v>0</v>
          </cell>
          <cell r="AD384" t="str">
            <v>0</v>
          </cell>
          <cell r="AE384" t="str">
            <v>0</v>
          </cell>
          <cell r="AF384" t="str">
            <v>0</v>
          </cell>
          <cell r="AG384" t="str">
            <v>0</v>
          </cell>
          <cell r="AH384" t="str">
            <v>0</v>
          </cell>
          <cell r="AI384" t="str">
            <v>0</v>
          </cell>
          <cell r="AJ384" t="str">
            <v>0</v>
          </cell>
          <cell r="AK384" t="str">
            <v>0</v>
          </cell>
          <cell r="AL384" t="str">
            <v>0</v>
          </cell>
          <cell r="AM384" t="str">
            <v>0</v>
          </cell>
          <cell r="AN384" t="str">
            <v>0</v>
          </cell>
          <cell r="AO384" t="str">
            <v>0</v>
          </cell>
          <cell r="AP384" t="str">
            <v>0</v>
          </cell>
          <cell r="AQ384" t="str">
            <v>0</v>
          </cell>
          <cell r="AR384" t="str">
            <v>0</v>
          </cell>
          <cell r="AS384" t="str">
            <v>0</v>
          </cell>
          <cell r="AT384" t="str">
            <v>0</v>
          </cell>
          <cell r="AU384" t="str">
            <v>0</v>
          </cell>
          <cell r="AV384" t="str">
            <v>0</v>
          </cell>
          <cell r="AW384" t="str">
            <v>0</v>
          </cell>
          <cell r="AX384" t="str">
            <v>0</v>
          </cell>
          <cell r="AY384" t="str">
            <v>0</v>
          </cell>
          <cell r="AZ384" t="str">
            <v>0</v>
          </cell>
          <cell r="BA384" t="str">
            <v>0</v>
          </cell>
          <cell r="BB384" t="str">
            <v>0</v>
          </cell>
          <cell r="BC384" t="str">
            <v>0</v>
          </cell>
          <cell r="BD384" t="str">
            <v>0</v>
          </cell>
          <cell r="BE384" t="str">
            <v>0</v>
          </cell>
          <cell r="BF384" t="str">
            <v>0</v>
          </cell>
          <cell r="BG384" t="str">
            <v>0</v>
          </cell>
          <cell r="BH384" t="str">
            <v>0</v>
          </cell>
          <cell r="BI384" t="str">
            <v>0</v>
          </cell>
          <cell r="BJ384" t="str">
            <v>0</v>
          </cell>
          <cell r="BK384" t="str">
            <v>0</v>
          </cell>
          <cell r="BL384" t="str">
            <v>0</v>
          </cell>
          <cell r="BM384" t="str">
            <v>0</v>
          </cell>
          <cell r="BN384" t="str">
            <v>0</v>
          </cell>
          <cell r="BO384" t="str">
            <v>0</v>
          </cell>
          <cell r="BP384" t="str">
            <v>0</v>
          </cell>
          <cell r="BQ384" t="str">
            <v>0</v>
          </cell>
          <cell r="BR384" t="str">
            <v>0</v>
          </cell>
          <cell r="BS384" t="str">
            <v>0</v>
          </cell>
          <cell r="BT384" t="str">
            <v>0</v>
          </cell>
          <cell r="BU384" t="str">
            <v>0</v>
          </cell>
          <cell r="BV384" t="str">
            <v>0</v>
          </cell>
          <cell r="BW384" t="str">
            <v>0</v>
          </cell>
          <cell r="BX384" t="str">
            <v>0</v>
          </cell>
          <cell r="BY384" t="str">
            <v>0</v>
          </cell>
          <cell r="BZ384" t="str">
            <v>0</v>
          </cell>
          <cell r="CA384" t="str">
            <v>0</v>
          </cell>
          <cell r="CB384" t="str">
            <v>0</v>
          </cell>
          <cell r="CC384" t="str">
            <v>0</v>
          </cell>
          <cell r="CD384" t="str">
            <v>0</v>
          </cell>
          <cell r="CE384" t="str">
            <v>0</v>
          </cell>
          <cell r="CF384" t="str">
            <v>0</v>
          </cell>
          <cell r="CG384" t="str">
            <v>0</v>
          </cell>
          <cell r="CH384" t="str">
            <v>0</v>
          </cell>
          <cell r="CI384" t="str">
            <v>0</v>
          </cell>
          <cell r="CJ384" t="str">
            <v>0</v>
          </cell>
          <cell r="CK384" t="str">
            <v>0</v>
          </cell>
          <cell r="CL384" t="str">
            <v>0</v>
          </cell>
          <cell r="CM384" t="str">
            <v>0</v>
          </cell>
          <cell r="CN384" t="str">
            <v>0</v>
          </cell>
          <cell r="CO384" t="str">
            <v>0</v>
          </cell>
          <cell r="CP384" t="str">
            <v>0</v>
          </cell>
          <cell r="CQ384" t="str">
            <v>0</v>
          </cell>
          <cell r="CR384" t="str">
            <v>0</v>
          </cell>
          <cell r="CS384" t="str">
            <v>0</v>
          </cell>
          <cell r="CT384" t="str">
            <v>0</v>
          </cell>
          <cell r="CU384" t="str">
            <v>0</v>
          </cell>
          <cell r="CV384" t="str">
            <v>0</v>
          </cell>
          <cell r="CW384" t="str">
            <v>0</v>
          </cell>
          <cell r="CX384" t="str">
            <v>0</v>
          </cell>
          <cell r="CY384" t="str">
            <v>0</v>
          </cell>
          <cell r="CZ384" t="str">
            <v>0</v>
          </cell>
          <cell r="DA384" t="str">
            <v>0</v>
          </cell>
          <cell r="DB384" t="str">
            <v>0</v>
          </cell>
          <cell r="DC384" t="str">
            <v>0</v>
          </cell>
          <cell r="DD384" t="str">
            <v>0</v>
          </cell>
          <cell r="DE384" t="str">
            <v>0</v>
          </cell>
          <cell r="DF384" t="str">
            <v>0</v>
          </cell>
          <cell r="DG384" t="str">
            <v>0</v>
          </cell>
          <cell r="DH384" t="str">
            <v>0</v>
          </cell>
          <cell r="DI384" t="str">
            <v>0</v>
          </cell>
          <cell r="DJ384" t="str">
            <v>0</v>
          </cell>
          <cell r="DK384" t="str">
            <v>0</v>
          </cell>
          <cell r="DL384" t="str">
            <v>0</v>
          </cell>
          <cell r="DM384" t="str">
            <v>0</v>
          </cell>
          <cell r="DN384" t="str">
            <v>0</v>
          </cell>
          <cell r="DO384" t="str">
            <v>0</v>
          </cell>
          <cell r="DP384" t="str">
            <v>0</v>
          </cell>
        </row>
        <row r="385">
          <cell r="C385"/>
          <cell r="D385" t="str">
            <v>0</v>
          </cell>
          <cell r="E385" t="str">
            <v>0</v>
          </cell>
          <cell r="F385" t="str">
            <v>0</v>
          </cell>
          <cell r="G385" t="str">
            <v>0</v>
          </cell>
          <cell r="H385" t="str">
            <v>0</v>
          </cell>
          <cell r="I385" t="str">
            <v>0</v>
          </cell>
          <cell r="J385" t="str">
            <v>0</v>
          </cell>
          <cell r="K385" t="str">
            <v>0</v>
          </cell>
          <cell r="L385" t="str">
            <v>0</v>
          </cell>
          <cell r="M385" t="str">
            <v>0</v>
          </cell>
          <cell r="N385" t="str">
            <v>0</v>
          </cell>
          <cell r="O385" t="str">
            <v>0</v>
          </cell>
          <cell r="P385" t="str">
            <v>0</v>
          </cell>
          <cell r="Q385" t="str">
            <v>0</v>
          </cell>
          <cell r="R385" t="str">
            <v>0</v>
          </cell>
          <cell r="S385" t="str">
            <v>0</v>
          </cell>
          <cell r="T385" t="str">
            <v>0</v>
          </cell>
          <cell r="U385" t="str">
            <v>0</v>
          </cell>
          <cell r="V385" t="str">
            <v>0</v>
          </cell>
          <cell r="W385" t="str">
            <v>0</v>
          </cell>
          <cell r="X385" t="str">
            <v>0</v>
          </cell>
          <cell r="Y385" t="str">
            <v>0</v>
          </cell>
          <cell r="Z385" t="str">
            <v>0</v>
          </cell>
          <cell r="AA385" t="str">
            <v>0</v>
          </cell>
          <cell r="AB385" t="str">
            <v>0</v>
          </cell>
          <cell r="AC385" t="str">
            <v>0</v>
          </cell>
          <cell r="AD385" t="str">
            <v>0</v>
          </cell>
          <cell r="AE385" t="str">
            <v>0</v>
          </cell>
          <cell r="AF385" t="str">
            <v>0</v>
          </cell>
          <cell r="AG385" t="str">
            <v>0</v>
          </cell>
          <cell r="AH385" t="str">
            <v>0</v>
          </cell>
          <cell r="AI385" t="str">
            <v>0</v>
          </cell>
          <cell r="AJ385" t="str">
            <v>0</v>
          </cell>
          <cell r="AK385" t="str">
            <v>0</v>
          </cell>
          <cell r="AL385" t="str">
            <v>0</v>
          </cell>
          <cell r="AM385" t="str">
            <v>0</v>
          </cell>
          <cell r="AN385" t="str">
            <v>0</v>
          </cell>
          <cell r="AO385" t="str">
            <v>0</v>
          </cell>
          <cell r="AP385" t="str">
            <v>0</v>
          </cell>
          <cell r="AQ385" t="str">
            <v>0</v>
          </cell>
          <cell r="AR385" t="str">
            <v>0</v>
          </cell>
          <cell r="AS385" t="str">
            <v>0</v>
          </cell>
          <cell r="AT385" t="str">
            <v>0</v>
          </cell>
          <cell r="AU385" t="str">
            <v>0</v>
          </cell>
          <cell r="AV385" t="str">
            <v>0</v>
          </cell>
          <cell r="AW385" t="str">
            <v>0</v>
          </cell>
          <cell r="AX385" t="str">
            <v>0</v>
          </cell>
          <cell r="AY385" t="str">
            <v>0</v>
          </cell>
          <cell r="AZ385" t="str">
            <v>0</v>
          </cell>
          <cell r="BA385" t="str">
            <v>0</v>
          </cell>
          <cell r="BB385" t="str">
            <v>0</v>
          </cell>
          <cell r="BC385" t="str">
            <v>0</v>
          </cell>
          <cell r="BD385" t="str">
            <v>0</v>
          </cell>
          <cell r="BE385" t="str">
            <v>0</v>
          </cell>
          <cell r="BF385" t="str">
            <v>0</v>
          </cell>
          <cell r="BG385" t="str">
            <v>0</v>
          </cell>
          <cell r="BH385" t="str">
            <v>0</v>
          </cell>
          <cell r="BI385" t="str">
            <v>0</v>
          </cell>
          <cell r="BJ385" t="str">
            <v>0</v>
          </cell>
          <cell r="BK385" t="str">
            <v>0</v>
          </cell>
          <cell r="BL385" t="str">
            <v>0</v>
          </cell>
          <cell r="BM385" t="str">
            <v>0</v>
          </cell>
          <cell r="BN385" t="str">
            <v>0</v>
          </cell>
          <cell r="BO385" t="str">
            <v>0</v>
          </cell>
          <cell r="BP385" t="str">
            <v>0</v>
          </cell>
          <cell r="BQ385" t="str">
            <v>0</v>
          </cell>
          <cell r="BR385" t="str">
            <v>0</v>
          </cell>
          <cell r="BS385" t="str">
            <v>0</v>
          </cell>
          <cell r="BT385" t="str">
            <v>0</v>
          </cell>
          <cell r="BU385" t="str">
            <v>0</v>
          </cell>
          <cell r="BV385" t="str">
            <v>0</v>
          </cell>
          <cell r="BW385" t="str">
            <v>0</v>
          </cell>
          <cell r="BX385" t="str">
            <v>0</v>
          </cell>
          <cell r="BY385" t="str">
            <v>0</v>
          </cell>
          <cell r="BZ385" t="str">
            <v>0</v>
          </cell>
          <cell r="CA385" t="str">
            <v>0</v>
          </cell>
          <cell r="CB385" t="str">
            <v>0</v>
          </cell>
          <cell r="CC385" t="str">
            <v>0</v>
          </cell>
          <cell r="CD385" t="str">
            <v>0</v>
          </cell>
          <cell r="CE385" t="str">
            <v>0</v>
          </cell>
          <cell r="CF385" t="str">
            <v>0</v>
          </cell>
          <cell r="CG385" t="str">
            <v>0</v>
          </cell>
          <cell r="CH385" t="str">
            <v>0</v>
          </cell>
          <cell r="CI385" t="str">
            <v>0</v>
          </cell>
          <cell r="CJ385" t="str">
            <v>0</v>
          </cell>
          <cell r="CK385" t="str">
            <v>0</v>
          </cell>
          <cell r="CL385" t="str">
            <v>0</v>
          </cell>
          <cell r="CM385" t="str">
            <v>0</v>
          </cell>
          <cell r="CN385" t="str">
            <v>0</v>
          </cell>
          <cell r="CO385" t="str">
            <v>0</v>
          </cell>
          <cell r="CP385" t="str">
            <v>0</v>
          </cell>
          <cell r="CQ385" t="str">
            <v>0</v>
          </cell>
          <cell r="CR385" t="str">
            <v>0</v>
          </cell>
          <cell r="CS385" t="str">
            <v>0</v>
          </cell>
          <cell r="CT385" t="str">
            <v>0</v>
          </cell>
          <cell r="CU385" t="str">
            <v>0</v>
          </cell>
          <cell r="CV385" t="str">
            <v>0</v>
          </cell>
          <cell r="CW385" t="str">
            <v>0</v>
          </cell>
          <cell r="CX385" t="str">
            <v>0</v>
          </cell>
          <cell r="CY385" t="str">
            <v>0</v>
          </cell>
          <cell r="CZ385" t="str">
            <v>0</v>
          </cell>
          <cell r="DA385" t="str">
            <v>0</v>
          </cell>
          <cell r="DB385" t="str">
            <v>0</v>
          </cell>
          <cell r="DC385" t="str">
            <v>0</v>
          </cell>
          <cell r="DD385" t="str">
            <v>0</v>
          </cell>
          <cell r="DE385" t="str">
            <v>0</v>
          </cell>
          <cell r="DF385" t="str">
            <v>0</v>
          </cell>
          <cell r="DG385" t="str">
            <v>0</v>
          </cell>
          <cell r="DH385" t="str">
            <v>0</v>
          </cell>
          <cell r="DI385" t="str">
            <v>0</v>
          </cell>
          <cell r="DJ385" t="str">
            <v>0</v>
          </cell>
          <cell r="DK385" t="str">
            <v>0</v>
          </cell>
          <cell r="DL385" t="str">
            <v>0</v>
          </cell>
          <cell r="DM385" t="str">
            <v>0</v>
          </cell>
          <cell r="DN385" t="str">
            <v>0</v>
          </cell>
          <cell r="DO385" t="str">
            <v>0</v>
          </cell>
          <cell r="DP385" t="str">
            <v>0</v>
          </cell>
        </row>
        <row r="386">
          <cell r="C386"/>
          <cell r="D386" t="str">
            <v>0</v>
          </cell>
          <cell r="E386" t="str">
            <v>0</v>
          </cell>
          <cell r="F386" t="str">
            <v>0</v>
          </cell>
          <cell r="G386" t="str">
            <v>0</v>
          </cell>
          <cell r="H386" t="str">
            <v>0</v>
          </cell>
          <cell r="I386" t="str">
            <v>0</v>
          </cell>
          <cell r="J386" t="str">
            <v>0</v>
          </cell>
          <cell r="K386" t="str">
            <v>0</v>
          </cell>
          <cell r="L386" t="str">
            <v>0</v>
          </cell>
          <cell r="M386" t="str">
            <v>0</v>
          </cell>
          <cell r="N386" t="str">
            <v>0</v>
          </cell>
          <cell r="O386" t="str">
            <v>0</v>
          </cell>
          <cell r="P386" t="str">
            <v>0</v>
          </cell>
          <cell r="Q386" t="str">
            <v>0</v>
          </cell>
          <cell r="R386" t="str">
            <v>0</v>
          </cell>
          <cell r="S386" t="str">
            <v>0</v>
          </cell>
          <cell r="T386" t="str">
            <v>0</v>
          </cell>
          <cell r="U386" t="str">
            <v>0</v>
          </cell>
          <cell r="V386" t="str">
            <v>0</v>
          </cell>
          <cell r="W386" t="str">
            <v>0</v>
          </cell>
          <cell r="X386" t="str">
            <v>0</v>
          </cell>
          <cell r="Y386" t="str">
            <v>0</v>
          </cell>
          <cell r="Z386" t="str">
            <v>0</v>
          </cell>
          <cell r="AA386" t="str">
            <v>0</v>
          </cell>
          <cell r="AB386" t="str">
            <v>0</v>
          </cell>
          <cell r="AC386" t="str">
            <v>0</v>
          </cell>
          <cell r="AD386" t="str">
            <v>0</v>
          </cell>
          <cell r="AE386" t="str">
            <v>0</v>
          </cell>
          <cell r="AF386" t="str">
            <v>0</v>
          </cell>
          <cell r="AG386" t="str">
            <v>0</v>
          </cell>
          <cell r="AH386" t="str">
            <v>0</v>
          </cell>
          <cell r="AI386" t="str">
            <v>0</v>
          </cell>
          <cell r="AJ386" t="str">
            <v>0</v>
          </cell>
          <cell r="AK386" t="str">
            <v>0</v>
          </cell>
          <cell r="AL386" t="str">
            <v>0</v>
          </cell>
          <cell r="AM386" t="str">
            <v>0</v>
          </cell>
          <cell r="AN386" t="str">
            <v>0</v>
          </cell>
          <cell r="AO386" t="str">
            <v>0</v>
          </cell>
          <cell r="AP386" t="str">
            <v>0</v>
          </cell>
          <cell r="AQ386" t="str">
            <v>0</v>
          </cell>
          <cell r="AR386" t="str">
            <v>0</v>
          </cell>
          <cell r="AS386" t="str">
            <v>0</v>
          </cell>
          <cell r="AT386" t="str">
            <v>0</v>
          </cell>
          <cell r="AU386" t="str">
            <v>0</v>
          </cell>
          <cell r="AV386" t="str">
            <v>0</v>
          </cell>
          <cell r="AW386" t="str">
            <v>0</v>
          </cell>
          <cell r="AX386" t="str">
            <v>0</v>
          </cell>
          <cell r="AY386" t="str">
            <v>0</v>
          </cell>
          <cell r="AZ386" t="str">
            <v>0</v>
          </cell>
          <cell r="BA386" t="str">
            <v>0</v>
          </cell>
          <cell r="BB386" t="str">
            <v>0</v>
          </cell>
          <cell r="BC386" t="str">
            <v>0</v>
          </cell>
          <cell r="BD386" t="str">
            <v>0</v>
          </cell>
          <cell r="BE386" t="str">
            <v>0</v>
          </cell>
          <cell r="BF386" t="str">
            <v>0</v>
          </cell>
          <cell r="BG386" t="str">
            <v>0</v>
          </cell>
          <cell r="BH386" t="str">
            <v>0</v>
          </cell>
          <cell r="BI386" t="str">
            <v>0</v>
          </cell>
          <cell r="BJ386" t="str">
            <v>0</v>
          </cell>
          <cell r="BK386" t="str">
            <v>0</v>
          </cell>
          <cell r="BL386" t="str">
            <v>0</v>
          </cell>
          <cell r="BM386" t="str">
            <v>0</v>
          </cell>
          <cell r="BN386" t="str">
            <v>0</v>
          </cell>
          <cell r="BO386" t="str">
            <v>0</v>
          </cell>
          <cell r="BP386" t="str">
            <v>0</v>
          </cell>
          <cell r="BQ386" t="str">
            <v>0</v>
          </cell>
          <cell r="BR386" t="str">
            <v>0</v>
          </cell>
          <cell r="BS386" t="str">
            <v>0</v>
          </cell>
          <cell r="BT386" t="str">
            <v>0</v>
          </cell>
          <cell r="BU386" t="str">
            <v>0</v>
          </cell>
          <cell r="BV386" t="str">
            <v>0</v>
          </cell>
          <cell r="BW386" t="str">
            <v>0</v>
          </cell>
          <cell r="BX386" t="str">
            <v>0</v>
          </cell>
          <cell r="BY386" t="str">
            <v>0</v>
          </cell>
          <cell r="BZ386" t="str">
            <v>0</v>
          </cell>
          <cell r="CA386" t="str">
            <v>0</v>
          </cell>
          <cell r="CB386" t="str">
            <v>0</v>
          </cell>
          <cell r="CC386" t="str">
            <v>0</v>
          </cell>
          <cell r="CD386" t="str">
            <v>0</v>
          </cell>
          <cell r="CE386" t="str">
            <v>0</v>
          </cell>
          <cell r="CF386" t="str">
            <v>0</v>
          </cell>
          <cell r="CG386" t="str">
            <v>0</v>
          </cell>
          <cell r="CH386" t="str">
            <v>0</v>
          </cell>
          <cell r="CI386" t="str">
            <v>0</v>
          </cell>
          <cell r="CJ386" t="str">
            <v>0</v>
          </cell>
          <cell r="CK386" t="str">
            <v>0</v>
          </cell>
          <cell r="CL386" t="str">
            <v>0</v>
          </cell>
          <cell r="CM386" t="str">
            <v>0</v>
          </cell>
          <cell r="CN386" t="str">
            <v>0</v>
          </cell>
          <cell r="CO386" t="str">
            <v>0</v>
          </cell>
          <cell r="CP386" t="str">
            <v>0</v>
          </cell>
          <cell r="CQ386" t="str">
            <v>0</v>
          </cell>
          <cell r="CR386" t="str">
            <v>0</v>
          </cell>
          <cell r="CS386" t="str">
            <v>0</v>
          </cell>
          <cell r="CT386" t="str">
            <v>0</v>
          </cell>
          <cell r="CU386" t="str">
            <v>0</v>
          </cell>
          <cell r="CV386" t="str">
            <v>0</v>
          </cell>
          <cell r="CW386" t="str">
            <v>0</v>
          </cell>
          <cell r="CX386" t="str">
            <v>0</v>
          </cell>
          <cell r="CY386" t="str">
            <v>0</v>
          </cell>
          <cell r="CZ386" t="str">
            <v>0</v>
          </cell>
          <cell r="DA386" t="str">
            <v>0</v>
          </cell>
          <cell r="DB386" t="str">
            <v>0</v>
          </cell>
          <cell r="DC386" t="str">
            <v>0</v>
          </cell>
          <cell r="DD386" t="str">
            <v>0</v>
          </cell>
          <cell r="DE386" t="str">
            <v>0</v>
          </cell>
          <cell r="DF386" t="str">
            <v>0</v>
          </cell>
          <cell r="DG386" t="str">
            <v>0</v>
          </cell>
          <cell r="DH386" t="str">
            <v>0</v>
          </cell>
          <cell r="DI386" t="str">
            <v>0</v>
          </cell>
          <cell r="DJ386" t="str">
            <v>0</v>
          </cell>
          <cell r="DK386" t="str">
            <v>0</v>
          </cell>
          <cell r="DL386" t="str">
            <v>0</v>
          </cell>
          <cell r="DM386" t="str">
            <v>0</v>
          </cell>
          <cell r="DN386" t="str">
            <v>0</v>
          </cell>
          <cell r="DO386" t="str">
            <v>0</v>
          </cell>
          <cell r="DP386" t="str">
            <v>0</v>
          </cell>
        </row>
        <row r="387">
          <cell r="C387"/>
          <cell r="D387" t="str">
            <v>0</v>
          </cell>
          <cell r="E387" t="str">
            <v>0</v>
          </cell>
          <cell r="F387" t="str">
            <v>0</v>
          </cell>
          <cell r="G387" t="str">
            <v>0</v>
          </cell>
          <cell r="H387" t="str">
            <v>0</v>
          </cell>
          <cell r="I387" t="str">
            <v>0</v>
          </cell>
          <cell r="J387" t="str">
            <v>0</v>
          </cell>
          <cell r="K387" t="str">
            <v>0</v>
          </cell>
          <cell r="L387" t="str">
            <v>0</v>
          </cell>
          <cell r="M387" t="str">
            <v>0</v>
          </cell>
          <cell r="N387" t="str">
            <v>0</v>
          </cell>
          <cell r="O387" t="str">
            <v>0</v>
          </cell>
          <cell r="P387" t="str">
            <v>0</v>
          </cell>
          <cell r="Q387" t="str">
            <v>0</v>
          </cell>
          <cell r="R387" t="str">
            <v>0</v>
          </cell>
          <cell r="S387" t="str">
            <v>0</v>
          </cell>
          <cell r="T387" t="str">
            <v>0</v>
          </cell>
          <cell r="U387" t="str">
            <v>0</v>
          </cell>
          <cell r="V387" t="str">
            <v>0</v>
          </cell>
          <cell r="W387" t="str">
            <v>0</v>
          </cell>
          <cell r="X387" t="str">
            <v>0</v>
          </cell>
          <cell r="Y387" t="str">
            <v>0</v>
          </cell>
          <cell r="Z387" t="str">
            <v>0</v>
          </cell>
          <cell r="AA387" t="str">
            <v>0</v>
          </cell>
          <cell r="AB387" t="str">
            <v>0</v>
          </cell>
          <cell r="AC387" t="str">
            <v>0</v>
          </cell>
          <cell r="AD387" t="str">
            <v>0</v>
          </cell>
          <cell r="AE387" t="str">
            <v>0</v>
          </cell>
          <cell r="AF387" t="str">
            <v>0</v>
          </cell>
          <cell r="AG387" t="str">
            <v>0</v>
          </cell>
          <cell r="AH387" t="str">
            <v>0</v>
          </cell>
          <cell r="AI387" t="str">
            <v>0</v>
          </cell>
          <cell r="AJ387" t="str">
            <v>0</v>
          </cell>
          <cell r="AK387" t="str">
            <v>0</v>
          </cell>
          <cell r="AL387" t="str">
            <v>0</v>
          </cell>
          <cell r="AM387" t="str">
            <v>0</v>
          </cell>
          <cell r="AN387" t="str">
            <v>0</v>
          </cell>
          <cell r="AO387" t="str">
            <v>0</v>
          </cell>
          <cell r="AP387" t="str">
            <v>0</v>
          </cell>
          <cell r="AQ387" t="str">
            <v>0</v>
          </cell>
          <cell r="AR387" t="str">
            <v>0</v>
          </cell>
          <cell r="AS387" t="str">
            <v>0</v>
          </cell>
          <cell r="AT387" t="str">
            <v>0</v>
          </cell>
          <cell r="AU387" t="str">
            <v>0</v>
          </cell>
          <cell r="AV387" t="str">
            <v>0</v>
          </cell>
          <cell r="AW387" t="str">
            <v>0</v>
          </cell>
          <cell r="AX387" t="str">
            <v>0</v>
          </cell>
          <cell r="AY387" t="str">
            <v>0</v>
          </cell>
          <cell r="AZ387" t="str">
            <v>0</v>
          </cell>
          <cell r="BA387" t="str">
            <v>0</v>
          </cell>
          <cell r="BB387" t="str">
            <v>0</v>
          </cell>
          <cell r="BC387" t="str">
            <v>0</v>
          </cell>
          <cell r="BD387" t="str">
            <v>0</v>
          </cell>
          <cell r="BE387" t="str">
            <v>0</v>
          </cell>
          <cell r="BF387" t="str">
            <v>0</v>
          </cell>
          <cell r="BG387" t="str">
            <v>0</v>
          </cell>
          <cell r="BH387" t="str">
            <v>0</v>
          </cell>
          <cell r="BI387" t="str">
            <v>0</v>
          </cell>
          <cell r="BJ387" t="str">
            <v>0</v>
          </cell>
          <cell r="BK387" t="str">
            <v>0</v>
          </cell>
          <cell r="BL387" t="str">
            <v>0</v>
          </cell>
          <cell r="BM387" t="str">
            <v>0</v>
          </cell>
          <cell r="BN387" t="str">
            <v>0</v>
          </cell>
          <cell r="BO387" t="str">
            <v>0</v>
          </cell>
          <cell r="BP387" t="str">
            <v>0</v>
          </cell>
          <cell r="BQ387" t="str">
            <v>0</v>
          </cell>
          <cell r="BR387" t="str">
            <v>0</v>
          </cell>
          <cell r="BS387" t="str">
            <v>0</v>
          </cell>
          <cell r="BT387" t="str">
            <v>0</v>
          </cell>
          <cell r="BU387" t="str">
            <v>0</v>
          </cell>
          <cell r="BV387" t="str">
            <v>0</v>
          </cell>
          <cell r="BW387" t="str">
            <v>0</v>
          </cell>
          <cell r="BX387" t="str">
            <v>0</v>
          </cell>
          <cell r="BY387" t="str">
            <v>0</v>
          </cell>
          <cell r="BZ387" t="str">
            <v>0</v>
          </cell>
          <cell r="CA387" t="str">
            <v>0</v>
          </cell>
          <cell r="CB387" t="str">
            <v>0</v>
          </cell>
          <cell r="CC387" t="str">
            <v>0</v>
          </cell>
          <cell r="CD387" t="str">
            <v>0</v>
          </cell>
          <cell r="CE387" t="str">
            <v>0</v>
          </cell>
          <cell r="CF387" t="str">
            <v>0</v>
          </cell>
          <cell r="CG387" t="str">
            <v>0</v>
          </cell>
          <cell r="CH387" t="str">
            <v>0</v>
          </cell>
          <cell r="CI387" t="str">
            <v>0</v>
          </cell>
          <cell r="CJ387" t="str">
            <v>0</v>
          </cell>
          <cell r="CK387" t="str">
            <v>0</v>
          </cell>
          <cell r="CL387" t="str">
            <v>0</v>
          </cell>
          <cell r="CM387" t="str">
            <v>0</v>
          </cell>
          <cell r="CN387" t="str">
            <v>0</v>
          </cell>
          <cell r="CO387" t="str">
            <v>0</v>
          </cell>
          <cell r="CP387" t="str">
            <v>0</v>
          </cell>
          <cell r="CQ387" t="str">
            <v>0</v>
          </cell>
          <cell r="CR387" t="str">
            <v>0</v>
          </cell>
          <cell r="CS387" t="str">
            <v>0</v>
          </cell>
          <cell r="CT387" t="str">
            <v>0</v>
          </cell>
          <cell r="CU387" t="str">
            <v>0</v>
          </cell>
          <cell r="CV387" t="str">
            <v>0</v>
          </cell>
          <cell r="CW387" t="str">
            <v>0</v>
          </cell>
          <cell r="CX387" t="str">
            <v>0</v>
          </cell>
          <cell r="CY387" t="str">
            <v>0</v>
          </cell>
          <cell r="CZ387" t="str">
            <v>0</v>
          </cell>
          <cell r="DA387" t="str">
            <v>0</v>
          </cell>
          <cell r="DB387" t="str">
            <v>0</v>
          </cell>
          <cell r="DC387" t="str">
            <v>0</v>
          </cell>
          <cell r="DD387" t="str">
            <v>0</v>
          </cell>
          <cell r="DE387" t="str">
            <v>0</v>
          </cell>
          <cell r="DF387" t="str">
            <v>0</v>
          </cell>
          <cell r="DG387" t="str">
            <v>0</v>
          </cell>
          <cell r="DH387" t="str">
            <v>0</v>
          </cell>
          <cell r="DI387" t="str">
            <v>0</v>
          </cell>
          <cell r="DJ387" t="str">
            <v>0</v>
          </cell>
          <cell r="DK387" t="str">
            <v>0</v>
          </cell>
          <cell r="DL387" t="str">
            <v>0</v>
          </cell>
          <cell r="DM387" t="str">
            <v>0</v>
          </cell>
          <cell r="DN387" t="str">
            <v>0</v>
          </cell>
          <cell r="DO387" t="str">
            <v>0</v>
          </cell>
          <cell r="DP387" t="str">
            <v>0</v>
          </cell>
        </row>
        <row r="388">
          <cell r="C388"/>
          <cell r="D388" t="str">
            <v>0</v>
          </cell>
          <cell r="E388" t="str">
            <v>0</v>
          </cell>
          <cell r="F388" t="str">
            <v>0</v>
          </cell>
          <cell r="G388" t="str">
            <v>0</v>
          </cell>
          <cell r="H388" t="str">
            <v>0</v>
          </cell>
          <cell r="I388" t="str">
            <v>0</v>
          </cell>
          <cell r="J388" t="str">
            <v>0</v>
          </cell>
          <cell r="K388" t="str">
            <v>0</v>
          </cell>
          <cell r="L388" t="str">
            <v>0</v>
          </cell>
          <cell r="M388" t="str">
            <v>0</v>
          </cell>
          <cell r="N388" t="str">
            <v>0</v>
          </cell>
          <cell r="O388" t="str">
            <v>0</v>
          </cell>
          <cell r="P388" t="str">
            <v>0</v>
          </cell>
          <cell r="Q388" t="str">
            <v>0</v>
          </cell>
          <cell r="R388" t="str">
            <v>0</v>
          </cell>
          <cell r="S388" t="str">
            <v>0</v>
          </cell>
          <cell r="T388" t="str">
            <v>0</v>
          </cell>
          <cell r="U388" t="str">
            <v>0</v>
          </cell>
          <cell r="V388" t="str">
            <v>0</v>
          </cell>
          <cell r="W388" t="str">
            <v>0</v>
          </cell>
          <cell r="X388" t="str">
            <v>0</v>
          </cell>
          <cell r="Y388" t="str">
            <v>0</v>
          </cell>
          <cell r="Z388" t="str">
            <v>0</v>
          </cell>
          <cell r="AA388" t="str">
            <v>0</v>
          </cell>
          <cell r="AB388" t="str">
            <v>0</v>
          </cell>
          <cell r="AC388" t="str">
            <v>0</v>
          </cell>
          <cell r="AD388" t="str">
            <v>0</v>
          </cell>
          <cell r="AE388" t="str">
            <v>0</v>
          </cell>
          <cell r="AF388" t="str">
            <v>0</v>
          </cell>
          <cell r="AG388" t="str">
            <v>0</v>
          </cell>
          <cell r="AH388" t="str">
            <v>0</v>
          </cell>
          <cell r="AI388" t="str">
            <v>0</v>
          </cell>
          <cell r="AJ388" t="str">
            <v>0</v>
          </cell>
          <cell r="AK388" t="str">
            <v>0</v>
          </cell>
          <cell r="AL388" t="str">
            <v>0</v>
          </cell>
          <cell r="AM388" t="str">
            <v>0</v>
          </cell>
          <cell r="AN388" t="str">
            <v>0</v>
          </cell>
          <cell r="AO388" t="str">
            <v>0</v>
          </cell>
          <cell r="AP388" t="str">
            <v>0</v>
          </cell>
          <cell r="AQ388" t="str">
            <v>0</v>
          </cell>
          <cell r="AR388" t="str">
            <v>0</v>
          </cell>
          <cell r="AS388" t="str">
            <v>0</v>
          </cell>
          <cell r="AT388" t="str">
            <v>0</v>
          </cell>
          <cell r="AU388" t="str">
            <v>0</v>
          </cell>
          <cell r="AV388" t="str">
            <v>0</v>
          </cell>
          <cell r="AW388" t="str">
            <v>0</v>
          </cell>
          <cell r="AX388" t="str">
            <v>0</v>
          </cell>
          <cell r="AY388" t="str">
            <v>0</v>
          </cell>
          <cell r="AZ388" t="str">
            <v>0</v>
          </cell>
          <cell r="BA388" t="str">
            <v>0</v>
          </cell>
          <cell r="BB388" t="str">
            <v>0</v>
          </cell>
          <cell r="BC388" t="str">
            <v>0</v>
          </cell>
          <cell r="BD388" t="str">
            <v>0</v>
          </cell>
          <cell r="BE388" t="str">
            <v>0</v>
          </cell>
          <cell r="BF388" t="str">
            <v>0</v>
          </cell>
          <cell r="BG388" t="str">
            <v>0</v>
          </cell>
          <cell r="BH388" t="str">
            <v>0</v>
          </cell>
          <cell r="BI388" t="str">
            <v>0</v>
          </cell>
          <cell r="BJ388" t="str">
            <v>0</v>
          </cell>
          <cell r="BK388" t="str">
            <v>0</v>
          </cell>
          <cell r="BL388" t="str">
            <v>0</v>
          </cell>
          <cell r="BM388" t="str">
            <v>0</v>
          </cell>
          <cell r="BN388" t="str">
            <v>0</v>
          </cell>
          <cell r="BO388" t="str">
            <v>0</v>
          </cell>
          <cell r="BP388" t="str">
            <v>0</v>
          </cell>
          <cell r="BQ388" t="str">
            <v>0</v>
          </cell>
          <cell r="BR388" t="str">
            <v>0</v>
          </cell>
          <cell r="BS388" t="str">
            <v>0</v>
          </cell>
          <cell r="BT388" t="str">
            <v>0</v>
          </cell>
          <cell r="BU388" t="str">
            <v>0</v>
          </cell>
          <cell r="BV388" t="str">
            <v>0</v>
          </cell>
          <cell r="BW388" t="str">
            <v>0</v>
          </cell>
          <cell r="BX388" t="str">
            <v>0</v>
          </cell>
          <cell r="BY388" t="str">
            <v>0</v>
          </cell>
          <cell r="BZ388" t="str">
            <v>0</v>
          </cell>
          <cell r="CA388" t="str">
            <v>0</v>
          </cell>
          <cell r="CB388" t="str">
            <v>0</v>
          </cell>
          <cell r="CC388" t="str">
            <v>0</v>
          </cell>
          <cell r="CD388" t="str">
            <v>0</v>
          </cell>
          <cell r="CE388" t="str">
            <v>0</v>
          </cell>
          <cell r="CF388" t="str">
            <v>0</v>
          </cell>
          <cell r="CG388" t="str">
            <v>0</v>
          </cell>
          <cell r="CH388" t="str">
            <v>0</v>
          </cell>
          <cell r="CI388" t="str">
            <v>0</v>
          </cell>
          <cell r="CJ388" t="str">
            <v>0</v>
          </cell>
          <cell r="CK388" t="str">
            <v>0</v>
          </cell>
          <cell r="CL388" t="str">
            <v>0</v>
          </cell>
          <cell r="CM388" t="str">
            <v>0</v>
          </cell>
          <cell r="CN388" t="str">
            <v>0</v>
          </cell>
          <cell r="CO388" t="str">
            <v>0</v>
          </cell>
          <cell r="CP388" t="str">
            <v>0</v>
          </cell>
          <cell r="CQ388" t="str">
            <v>0</v>
          </cell>
          <cell r="CR388" t="str">
            <v>0</v>
          </cell>
          <cell r="CS388" t="str">
            <v>0</v>
          </cell>
          <cell r="CT388" t="str">
            <v>0</v>
          </cell>
          <cell r="CU388" t="str">
            <v>0</v>
          </cell>
          <cell r="CV388" t="str">
            <v>0</v>
          </cell>
          <cell r="CW388" t="str">
            <v>0</v>
          </cell>
          <cell r="CX388" t="str">
            <v>0</v>
          </cell>
          <cell r="CY388" t="str">
            <v>0</v>
          </cell>
          <cell r="CZ388" t="str">
            <v>0</v>
          </cell>
          <cell r="DA388" t="str">
            <v>0</v>
          </cell>
          <cell r="DB388" t="str">
            <v>0</v>
          </cell>
          <cell r="DC388" t="str">
            <v>0</v>
          </cell>
          <cell r="DD388" t="str">
            <v>0</v>
          </cell>
          <cell r="DE388" t="str">
            <v>0</v>
          </cell>
          <cell r="DF388" t="str">
            <v>0</v>
          </cell>
          <cell r="DG388" t="str">
            <v>0</v>
          </cell>
          <cell r="DH388" t="str">
            <v>0</v>
          </cell>
          <cell r="DI388" t="str">
            <v>0</v>
          </cell>
          <cell r="DJ388" t="str">
            <v>0</v>
          </cell>
          <cell r="DK388" t="str">
            <v>0</v>
          </cell>
          <cell r="DL388" t="str">
            <v>0</v>
          </cell>
          <cell r="DM388" t="str">
            <v>0</v>
          </cell>
          <cell r="DN388" t="str">
            <v>0</v>
          </cell>
          <cell r="DO388" t="str">
            <v>0</v>
          </cell>
          <cell r="DP388" t="str">
            <v>0</v>
          </cell>
        </row>
        <row r="389">
          <cell r="C389"/>
          <cell r="D389" t="str">
            <v>0</v>
          </cell>
          <cell r="E389" t="str">
            <v>0</v>
          </cell>
          <cell r="F389" t="str">
            <v>0</v>
          </cell>
          <cell r="G389" t="str">
            <v>0</v>
          </cell>
          <cell r="H389" t="str">
            <v>0</v>
          </cell>
          <cell r="I389" t="str">
            <v>0</v>
          </cell>
          <cell r="J389" t="str">
            <v>0</v>
          </cell>
          <cell r="K389" t="str">
            <v>0</v>
          </cell>
          <cell r="L389" t="str">
            <v>0</v>
          </cell>
          <cell r="M389" t="str">
            <v>0</v>
          </cell>
          <cell r="N389" t="str">
            <v>0</v>
          </cell>
          <cell r="O389" t="str">
            <v>0</v>
          </cell>
          <cell r="P389" t="str">
            <v>0</v>
          </cell>
          <cell r="Q389" t="str">
            <v>0</v>
          </cell>
          <cell r="R389" t="str">
            <v>0</v>
          </cell>
          <cell r="S389" t="str">
            <v>0</v>
          </cell>
          <cell r="T389" t="str">
            <v>0</v>
          </cell>
          <cell r="U389" t="str">
            <v>0</v>
          </cell>
          <cell r="V389" t="str">
            <v>0</v>
          </cell>
          <cell r="W389" t="str">
            <v>0</v>
          </cell>
          <cell r="X389" t="str">
            <v>0</v>
          </cell>
          <cell r="Y389" t="str">
            <v>0</v>
          </cell>
          <cell r="Z389" t="str">
            <v>0</v>
          </cell>
          <cell r="AA389" t="str">
            <v>0</v>
          </cell>
          <cell r="AB389" t="str">
            <v>0</v>
          </cell>
          <cell r="AC389" t="str">
            <v>0</v>
          </cell>
          <cell r="AD389" t="str">
            <v>0</v>
          </cell>
          <cell r="AE389" t="str">
            <v>0</v>
          </cell>
          <cell r="AF389" t="str">
            <v>0</v>
          </cell>
          <cell r="AG389" t="str">
            <v>0</v>
          </cell>
          <cell r="AH389" t="str">
            <v>0</v>
          </cell>
          <cell r="AI389" t="str">
            <v>0</v>
          </cell>
          <cell r="AJ389" t="str">
            <v>0</v>
          </cell>
          <cell r="AK389" t="str">
            <v>0</v>
          </cell>
          <cell r="AL389" t="str">
            <v>0</v>
          </cell>
          <cell r="AM389" t="str">
            <v>0</v>
          </cell>
          <cell r="AN389" t="str">
            <v>0</v>
          </cell>
          <cell r="AO389" t="str">
            <v>0</v>
          </cell>
          <cell r="AP389" t="str">
            <v>0</v>
          </cell>
          <cell r="AQ389" t="str">
            <v>0</v>
          </cell>
          <cell r="AR389" t="str">
            <v>0</v>
          </cell>
          <cell r="AS389" t="str">
            <v>0</v>
          </cell>
          <cell r="AT389" t="str">
            <v>0</v>
          </cell>
          <cell r="AU389" t="str">
            <v>0</v>
          </cell>
          <cell r="AV389" t="str">
            <v>0</v>
          </cell>
          <cell r="AW389" t="str">
            <v>0</v>
          </cell>
          <cell r="AX389" t="str">
            <v>0</v>
          </cell>
          <cell r="AY389" t="str">
            <v>0</v>
          </cell>
          <cell r="AZ389" t="str">
            <v>0</v>
          </cell>
          <cell r="BA389" t="str">
            <v>0</v>
          </cell>
          <cell r="BB389" t="str">
            <v>0</v>
          </cell>
          <cell r="BC389" t="str">
            <v>0</v>
          </cell>
          <cell r="BD389" t="str">
            <v>0</v>
          </cell>
          <cell r="BE389" t="str">
            <v>0</v>
          </cell>
          <cell r="BF389" t="str">
            <v>0</v>
          </cell>
          <cell r="BG389" t="str">
            <v>0</v>
          </cell>
          <cell r="BH389" t="str">
            <v>0</v>
          </cell>
          <cell r="BI389" t="str">
            <v>0</v>
          </cell>
          <cell r="BJ389" t="str">
            <v>0</v>
          </cell>
          <cell r="BK389" t="str">
            <v>0</v>
          </cell>
          <cell r="BL389" t="str">
            <v>0</v>
          </cell>
          <cell r="BM389" t="str">
            <v>0</v>
          </cell>
          <cell r="BN389" t="str">
            <v>0</v>
          </cell>
          <cell r="BO389" t="str">
            <v>0</v>
          </cell>
          <cell r="BP389" t="str">
            <v>0</v>
          </cell>
          <cell r="BQ389" t="str">
            <v>0</v>
          </cell>
          <cell r="BR389" t="str">
            <v>0</v>
          </cell>
          <cell r="BS389" t="str">
            <v>0</v>
          </cell>
          <cell r="BT389" t="str">
            <v>0</v>
          </cell>
          <cell r="BU389" t="str">
            <v>0</v>
          </cell>
          <cell r="BV389" t="str">
            <v>0</v>
          </cell>
          <cell r="BW389" t="str">
            <v>0</v>
          </cell>
          <cell r="BX389" t="str">
            <v>0</v>
          </cell>
          <cell r="BY389" t="str">
            <v>0</v>
          </cell>
          <cell r="BZ389" t="str">
            <v>0</v>
          </cell>
          <cell r="CA389" t="str">
            <v>0</v>
          </cell>
          <cell r="CB389" t="str">
            <v>0</v>
          </cell>
          <cell r="CC389" t="str">
            <v>0</v>
          </cell>
          <cell r="CD389" t="str">
            <v>0</v>
          </cell>
          <cell r="CE389" t="str">
            <v>0</v>
          </cell>
          <cell r="CF389" t="str">
            <v>0</v>
          </cell>
          <cell r="CG389" t="str">
            <v>0</v>
          </cell>
          <cell r="CH389" t="str">
            <v>0</v>
          </cell>
          <cell r="CI389" t="str">
            <v>0</v>
          </cell>
          <cell r="CJ389" t="str">
            <v>0</v>
          </cell>
          <cell r="CK389" t="str">
            <v>0</v>
          </cell>
          <cell r="CL389" t="str">
            <v>0</v>
          </cell>
          <cell r="CM389" t="str">
            <v>0</v>
          </cell>
          <cell r="CN389" t="str">
            <v>0</v>
          </cell>
          <cell r="CO389" t="str">
            <v>0</v>
          </cell>
          <cell r="CP389" t="str">
            <v>0</v>
          </cell>
          <cell r="CQ389" t="str">
            <v>0</v>
          </cell>
          <cell r="CR389" t="str">
            <v>0</v>
          </cell>
          <cell r="CS389" t="str">
            <v>0</v>
          </cell>
          <cell r="CT389" t="str">
            <v>0</v>
          </cell>
          <cell r="CU389" t="str">
            <v>0</v>
          </cell>
          <cell r="CV389" t="str">
            <v>0</v>
          </cell>
          <cell r="CW389" t="str">
            <v>0</v>
          </cell>
          <cell r="CX389" t="str">
            <v>0</v>
          </cell>
          <cell r="CY389" t="str">
            <v>0</v>
          </cell>
          <cell r="CZ389" t="str">
            <v>0</v>
          </cell>
          <cell r="DA389" t="str">
            <v>0</v>
          </cell>
          <cell r="DB389" t="str">
            <v>0</v>
          </cell>
          <cell r="DC389" t="str">
            <v>0</v>
          </cell>
          <cell r="DD389" t="str">
            <v>0</v>
          </cell>
          <cell r="DE389" t="str">
            <v>0</v>
          </cell>
          <cell r="DF389" t="str">
            <v>0</v>
          </cell>
          <cell r="DG389" t="str">
            <v>0</v>
          </cell>
          <cell r="DH389" t="str">
            <v>0</v>
          </cell>
          <cell r="DI389" t="str">
            <v>0</v>
          </cell>
          <cell r="DJ389" t="str">
            <v>0</v>
          </cell>
          <cell r="DK389" t="str">
            <v>0</v>
          </cell>
          <cell r="DL389" t="str">
            <v>0</v>
          </cell>
          <cell r="DM389" t="str">
            <v>0</v>
          </cell>
          <cell r="DN389" t="str">
            <v>0</v>
          </cell>
          <cell r="DO389" t="str">
            <v>0</v>
          </cell>
          <cell r="DP389" t="str">
            <v>0</v>
          </cell>
        </row>
        <row r="390">
          <cell r="C390"/>
          <cell r="D390" t="str">
            <v>0</v>
          </cell>
          <cell r="E390" t="str">
            <v>0</v>
          </cell>
          <cell r="F390" t="str">
            <v>0</v>
          </cell>
          <cell r="G390" t="str">
            <v>0</v>
          </cell>
          <cell r="H390" t="str">
            <v>0</v>
          </cell>
          <cell r="I390" t="str">
            <v>0</v>
          </cell>
          <cell r="J390" t="str">
            <v>0</v>
          </cell>
          <cell r="K390" t="str">
            <v>0</v>
          </cell>
          <cell r="L390" t="str">
            <v>0</v>
          </cell>
          <cell r="M390" t="str">
            <v>0</v>
          </cell>
          <cell r="N390" t="str">
            <v>0</v>
          </cell>
          <cell r="O390" t="str">
            <v>0</v>
          </cell>
          <cell r="P390" t="str">
            <v>0</v>
          </cell>
          <cell r="Q390" t="str">
            <v>0</v>
          </cell>
          <cell r="R390" t="str">
            <v>0</v>
          </cell>
          <cell r="S390" t="str">
            <v>0</v>
          </cell>
          <cell r="T390" t="str">
            <v>0</v>
          </cell>
          <cell r="U390" t="str">
            <v>0</v>
          </cell>
          <cell r="V390" t="str">
            <v>0</v>
          </cell>
          <cell r="W390" t="str">
            <v>0</v>
          </cell>
          <cell r="X390" t="str">
            <v>0</v>
          </cell>
          <cell r="Y390" t="str">
            <v>0</v>
          </cell>
          <cell r="Z390" t="str">
            <v>0</v>
          </cell>
          <cell r="AA390" t="str">
            <v>0</v>
          </cell>
          <cell r="AB390" t="str">
            <v>0</v>
          </cell>
          <cell r="AC390" t="str">
            <v>0</v>
          </cell>
          <cell r="AD390" t="str">
            <v>0</v>
          </cell>
          <cell r="AE390" t="str">
            <v>0</v>
          </cell>
          <cell r="AF390" t="str">
            <v>0</v>
          </cell>
          <cell r="AG390" t="str">
            <v>0</v>
          </cell>
          <cell r="AH390" t="str">
            <v>0</v>
          </cell>
          <cell r="AI390" t="str">
            <v>0</v>
          </cell>
          <cell r="AJ390" t="str">
            <v>0</v>
          </cell>
          <cell r="AK390" t="str">
            <v>0</v>
          </cell>
          <cell r="AL390" t="str">
            <v>0</v>
          </cell>
          <cell r="AM390" t="str">
            <v>0</v>
          </cell>
          <cell r="AN390" t="str">
            <v>0</v>
          </cell>
          <cell r="AO390" t="str">
            <v>0</v>
          </cell>
          <cell r="AP390" t="str">
            <v>0</v>
          </cell>
          <cell r="AQ390" t="str">
            <v>0</v>
          </cell>
          <cell r="AR390" t="str">
            <v>0</v>
          </cell>
          <cell r="AS390" t="str">
            <v>0</v>
          </cell>
          <cell r="AT390" t="str">
            <v>0</v>
          </cell>
          <cell r="AU390" t="str">
            <v>0</v>
          </cell>
          <cell r="AV390" t="str">
            <v>0</v>
          </cell>
          <cell r="AW390" t="str">
            <v>0</v>
          </cell>
          <cell r="AX390" t="str">
            <v>0</v>
          </cell>
          <cell r="AY390" t="str">
            <v>0</v>
          </cell>
          <cell r="AZ390" t="str">
            <v>0</v>
          </cell>
          <cell r="BA390" t="str">
            <v>0</v>
          </cell>
          <cell r="BB390" t="str">
            <v>0</v>
          </cell>
          <cell r="BC390" t="str">
            <v>0</v>
          </cell>
          <cell r="BD390" t="str">
            <v>0</v>
          </cell>
          <cell r="BE390" t="str">
            <v>0</v>
          </cell>
          <cell r="BF390" t="str">
            <v>0</v>
          </cell>
          <cell r="BG390" t="str">
            <v>0</v>
          </cell>
          <cell r="BH390" t="str">
            <v>0</v>
          </cell>
          <cell r="BI390" t="str">
            <v>0</v>
          </cell>
          <cell r="BJ390" t="str">
            <v>0</v>
          </cell>
          <cell r="BK390" t="str">
            <v>0</v>
          </cell>
          <cell r="BL390" t="str">
            <v>0</v>
          </cell>
          <cell r="BM390" t="str">
            <v>0</v>
          </cell>
          <cell r="BN390" t="str">
            <v>0</v>
          </cell>
          <cell r="BO390" t="str">
            <v>0</v>
          </cell>
          <cell r="BP390" t="str">
            <v>0</v>
          </cell>
          <cell r="BQ390" t="str">
            <v>0</v>
          </cell>
          <cell r="BR390" t="str">
            <v>0</v>
          </cell>
          <cell r="BS390" t="str">
            <v>0</v>
          </cell>
          <cell r="BT390" t="str">
            <v>0</v>
          </cell>
          <cell r="BU390" t="str">
            <v>0</v>
          </cell>
          <cell r="BV390" t="str">
            <v>0</v>
          </cell>
          <cell r="BW390" t="str">
            <v>0</v>
          </cell>
          <cell r="BX390" t="str">
            <v>0</v>
          </cell>
          <cell r="BY390" t="str">
            <v>0</v>
          </cell>
          <cell r="BZ390" t="str">
            <v>0</v>
          </cell>
          <cell r="CA390" t="str">
            <v>0</v>
          </cell>
          <cell r="CB390" t="str">
            <v>0</v>
          </cell>
          <cell r="CC390" t="str">
            <v>0</v>
          </cell>
          <cell r="CD390" t="str">
            <v>0</v>
          </cell>
          <cell r="CE390" t="str">
            <v>0</v>
          </cell>
          <cell r="CF390" t="str">
            <v>0</v>
          </cell>
          <cell r="CG390" t="str">
            <v>0</v>
          </cell>
          <cell r="CH390" t="str">
            <v>0</v>
          </cell>
          <cell r="CI390" t="str">
            <v>0</v>
          </cell>
          <cell r="CJ390" t="str">
            <v>0</v>
          </cell>
          <cell r="CK390" t="str">
            <v>0</v>
          </cell>
          <cell r="CL390" t="str">
            <v>0</v>
          </cell>
          <cell r="CM390" t="str">
            <v>0</v>
          </cell>
          <cell r="CN390" t="str">
            <v>0</v>
          </cell>
          <cell r="CO390" t="str">
            <v>0</v>
          </cell>
          <cell r="CP390" t="str">
            <v>0</v>
          </cell>
          <cell r="CQ390" t="str">
            <v>0</v>
          </cell>
          <cell r="CR390" t="str">
            <v>0</v>
          </cell>
          <cell r="CS390" t="str">
            <v>0</v>
          </cell>
          <cell r="CT390" t="str">
            <v>0</v>
          </cell>
          <cell r="CU390" t="str">
            <v>0</v>
          </cell>
          <cell r="CV390" t="str">
            <v>0</v>
          </cell>
          <cell r="CW390" t="str">
            <v>0</v>
          </cell>
          <cell r="CX390" t="str">
            <v>0</v>
          </cell>
          <cell r="CY390" t="str">
            <v>0</v>
          </cell>
          <cell r="CZ390" t="str">
            <v>0</v>
          </cell>
          <cell r="DA390" t="str">
            <v>0</v>
          </cell>
          <cell r="DB390" t="str">
            <v>0</v>
          </cell>
          <cell r="DC390" t="str">
            <v>0</v>
          </cell>
          <cell r="DD390" t="str">
            <v>0</v>
          </cell>
          <cell r="DE390" t="str">
            <v>0</v>
          </cell>
          <cell r="DF390" t="str">
            <v>0</v>
          </cell>
          <cell r="DG390" t="str">
            <v>0</v>
          </cell>
          <cell r="DH390" t="str">
            <v>0</v>
          </cell>
          <cell r="DI390" t="str">
            <v>0</v>
          </cell>
          <cell r="DJ390" t="str">
            <v>0</v>
          </cell>
          <cell r="DK390" t="str">
            <v>0</v>
          </cell>
          <cell r="DL390" t="str">
            <v>0</v>
          </cell>
          <cell r="DM390" t="str">
            <v>0</v>
          </cell>
          <cell r="DN390" t="str">
            <v>0</v>
          </cell>
          <cell r="DO390" t="str">
            <v>0</v>
          </cell>
          <cell r="DP390" t="str">
            <v>0</v>
          </cell>
        </row>
        <row r="391">
          <cell r="C391"/>
          <cell r="D391" t="str">
            <v>0</v>
          </cell>
          <cell r="E391" t="str">
            <v>0</v>
          </cell>
          <cell r="F391" t="str">
            <v>0</v>
          </cell>
          <cell r="G391" t="str">
            <v>0</v>
          </cell>
          <cell r="H391" t="str">
            <v>0</v>
          </cell>
          <cell r="I391" t="str">
            <v>0</v>
          </cell>
          <cell r="J391" t="str">
            <v>0</v>
          </cell>
          <cell r="K391" t="str">
            <v>0</v>
          </cell>
          <cell r="L391" t="str">
            <v>0</v>
          </cell>
          <cell r="M391" t="str">
            <v>0</v>
          </cell>
          <cell r="N391" t="str">
            <v>0</v>
          </cell>
          <cell r="O391" t="str">
            <v>0</v>
          </cell>
          <cell r="P391" t="str">
            <v>0</v>
          </cell>
          <cell r="Q391" t="str">
            <v>0</v>
          </cell>
          <cell r="R391" t="str">
            <v>0</v>
          </cell>
          <cell r="S391" t="str">
            <v>0</v>
          </cell>
          <cell r="T391" t="str">
            <v>0</v>
          </cell>
          <cell r="U391" t="str">
            <v>0</v>
          </cell>
          <cell r="V391" t="str">
            <v>0</v>
          </cell>
          <cell r="W391" t="str">
            <v>0</v>
          </cell>
          <cell r="X391" t="str">
            <v>0</v>
          </cell>
          <cell r="Y391" t="str">
            <v>0</v>
          </cell>
          <cell r="Z391" t="str">
            <v>0</v>
          </cell>
          <cell r="AA391" t="str">
            <v>0</v>
          </cell>
          <cell r="AB391" t="str">
            <v>0</v>
          </cell>
          <cell r="AC391" t="str">
            <v>0</v>
          </cell>
          <cell r="AD391" t="str">
            <v>0</v>
          </cell>
          <cell r="AE391" t="str">
            <v>0</v>
          </cell>
          <cell r="AF391" t="str">
            <v>0</v>
          </cell>
          <cell r="AG391" t="str">
            <v>0</v>
          </cell>
          <cell r="AH391" t="str">
            <v>0</v>
          </cell>
          <cell r="AI391" t="str">
            <v>0</v>
          </cell>
          <cell r="AJ391" t="str">
            <v>0</v>
          </cell>
          <cell r="AK391" t="str">
            <v>0</v>
          </cell>
          <cell r="AL391" t="str">
            <v>0</v>
          </cell>
          <cell r="AM391" t="str">
            <v>0</v>
          </cell>
          <cell r="AN391" t="str">
            <v>0</v>
          </cell>
          <cell r="AO391" t="str">
            <v>0</v>
          </cell>
          <cell r="AP391" t="str">
            <v>0</v>
          </cell>
          <cell r="AQ391" t="str">
            <v>0</v>
          </cell>
          <cell r="AR391" t="str">
            <v>0</v>
          </cell>
          <cell r="AS391" t="str">
            <v>0</v>
          </cell>
          <cell r="AT391" t="str">
            <v>0</v>
          </cell>
          <cell r="AU391" t="str">
            <v>0</v>
          </cell>
          <cell r="AV391" t="str">
            <v>0</v>
          </cell>
          <cell r="AW391" t="str">
            <v>0</v>
          </cell>
          <cell r="AX391" t="str">
            <v>0</v>
          </cell>
          <cell r="AY391" t="str">
            <v>0</v>
          </cell>
          <cell r="AZ391" t="str">
            <v>0</v>
          </cell>
          <cell r="BA391" t="str">
            <v>0</v>
          </cell>
          <cell r="BB391" t="str">
            <v>0</v>
          </cell>
          <cell r="BC391" t="str">
            <v>0</v>
          </cell>
          <cell r="BD391" t="str">
            <v>0</v>
          </cell>
          <cell r="BE391" t="str">
            <v>0</v>
          </cell>
          <cell r="BF391" t="str">
            <v>0</v>
          </cell>
          <cell r="BG391" t="str">
            <v>0</v>
          </cell>
          <cell r="BH391" t="str">
            <v>0</v>
          </cell>
          <cell r="BI391" t="str">
            <v>0</v>
          </cell>
          <cell r="BJ391" t="str">
            <v>0</v>
          </cell>
          <cell r="BK391" t="str">
            <v>0</v>
          </cell>
          <cell r="BL391" t="str">
            <v>0</v>
          </cell>
          <cell r="BM391" t="str">
            <v>0</v>
          </cell>
          <cell r="BN391" t="str">
            <v>0</v>
          </cell>
          <cell r="BO391" t="str">
            <v>0</v>
          </cell>
          <cell r="BP391" t="str">
            <v>0</v>
          </cell>
          <cell r="BQ391" t="str">
            <v>0</v>
          </cell>
          <cell r="BR391" t="str">
            <v>0</v>
          </cell>
          <cell r="BS391" t="str">
            <v>0</v>
          </cell>
          <cell r="BT391" t="str">
            <v>0</v>
          </cell>
          <cell r="BU391" t="str">
            <v>0</v>
          </cell>
          <cell r="BV391" t="str">
            <v>0</v>
          </cell>
          <cell r="BW391" t="str">
            <v>0</v>
          </cell>
          <cell r="BX391" t="str">
            <v>0</v>
          </cell>
          <cell r="BY391" t="str">
            <v>0</v>
          </cell>
          <cell r="BZ391" t="str">
            <v>0</v>
          </cell>
          <cell r="CA391" t="str">
            <v>0</v>
          </cell>
          <cell r="CB391" t="str">
            <v>0</v>
          </cell>
          <cell r="CC391" t="str">
            <v>0</v>
          </cell>
          <cell r="CD391" t="str">
            <v>0</v>
          </cell>
          <cell r="CE391" t="str">
            <v>0</v>
          </cell>
          <cell r="CF391" t="str">
            <v>0</v>
          </cell>
          <cell r="CG391" t="str">
            <v>0</v>
          </cell>
          <cell r="CH391" t="str">
            <v>0</v>
          </cell>
          <cell r="CI391" t="str">
            <v>0</v>
          </cell>
          <cell r="CJ391" t="str">
            <v>0</v>
          </cell>
          <cell r="CK391" t="str">
            <v>0</v>
          </cell>
          <cell r="CL391" t="str">
            <v>0</v>
          </cell>
          <cell r="CM391" t="str">
            <v>0</v>
          </cell>
          <cell r="CN391" t="str">
            <v>0</v>
          </cell>
          <cell r="CO391" t="str">
            <v>0</v>
          </cell>
          <cell r="CP391" t="str">
            <v>0</v>
          </cell>
          <cell r="CQ391" t="str">
            <v>0</v>
          </cell>
          <cell r="CR391" t="str">
            <v>0</v>
          </cell>
          <cell r="CS391" t="str">
            <v>0</v>
          </cell>
          <cell r="CT391" t="str">
            <v>0</v>
          </cell>
          <cell r="CU391" t="str">
            <v>0</v>
          </cell>
          <cell r="CV391" t="str">
            <v>0</v>
          </cell>
          <cell r="CW391" t="str">
            <v>0</v>
          </cell>
          <cell r="CX391" t="str">
            <v>0</v>
          </cell>
          <cell r="CY391" t="str">
            <v>0</v>
          </cell>
          <cell r="CZ391" t="str">
            <v>0</v>
          </cell>
          <cell r="DA391" t="str">
            <v>0</v>
          </cell>
          <cell r="DB391" t="str">
            <v>0</v>
          </cell>
          <cell r="DC391" t="str">
            <v>0</v>
          </cell>
          <cell r="DD391" t="str">
            <v>0</v>
          </cell>
          <cell r="DE391" t="str">
            <v>0</v>
          </cell>
          <cell r="DF391" t="str">
            <v>0</v>
          </cell>
          <cell r="DG391" t="str">
            <v>0</v>
          </cell>
          <cell r="DH391" t="str">
            <v>0</v>
          </cell>
          <cell r="DI391" t="str">
            <v>0</v>
          </cell>
          <cell r="DJ391" t="str">
            <v>0</v>
          </cell>
          <cell r="DK391" t="str">
            <v>0</v>
          </cell>
          <cell r="DL391" t="str">
            <v>0</v>
          </cell>
          <cell r="DM391" t="str">
            <v>0</v>
          </cell>
          <cell r="DN391" t="str">
            <v>0</v>
          </cell>
          <cell r="DO391" t="str">
            <v>0</v>
          </cell>
          <cell r="DP391" t="str">
            <v>0</v>
          </cell>
        </row>
        <row r="392">
          <cell r="C392"/>
          <cell r="D392" t="str">
            <v>0</v>
          </cell>
          <cell r="E392" t="str">
            <v>0</v>
          </cell>
          <cell r="F392" t="str">
            <v>0</v>
          </cell>
          <cell r="G392" t="str">
            <v>0</v>
          </cell>
          <cell r="H392" t="str">
            <v>0</v>
          </cell>
          <cell r="I392" t="str">
            <v>0</v>
          </cell>
          <cell r="J392" t="str">
            <v>0</v>
          </cell>
          <cell r="K392" t="str">
            <v>0</v>
          </cell>
          <cell r="L392" t="str">
            <v>0</v>
          </cell>
          <cell r="M392" t="str">
            <v>0</v>
          </cell>
          <cell r="N392" t="str">
            <v>0</v>
          </cell>
          <cell r="O392" t="str">
            <v>0</v>
          </cell>
          <cell r="P392" t="str">
            <v>0</v>
          </cell>
          <cell r="Q392" t="str">
            <v>0</v>
          </cell>
          <cell r="R392" t="str">
            <v>0</v>
          </cell>
          <cell r="S392" t="str">
            <v>0</v>
          </cell>
          <cell r="T392" t="str">
            <v>0</v>
          </cell>
          <cell r="U392" t="str">
            <v>0</v>
          </cell>
          <cell r="V392" t="str">
            <v>0</v>
          </cell>
          <cell r="W392" t="str">
            <v>0</v>
          </cell>
          <cell r="X392" t="str">
            <v>0</v>
          </cell>
          <cell r="Y392" t="str">
            <v>0</v>
          </cell>
          <cell r="Z392" t="str">
            <v>0</v>
          </cell>
          <cell r="AA392" t="str">
            <v>0</v>
          </cell>
          <cell r="AB392" t="str">
            <v>0</v>
          </cell>
          <cell r="AC392" t="str">
            <v>0</v>
          </cell>
          <cell r="AD392" t="str">
            <v>0</v>
          </cell>
          <cell r="AE392" t="str">
            <v>0</v>
          </cell>
          <cell r="AF392" t="str">
            <v>0</v>
          </cell>
          <cell r="AG392" t="str">
            <v>0</v>
          </cell>
          <cell r="AH392" t="str">
            <v>0</v>
          </cell>
          <cell r="AI392" t="str">
            <v>0</v>
          </cell>
          <cell r="AJ392" t="str">
            <v>0</v>
          </cell>
          <cell r="AK392" t="str">
            <v>0</v>
          </cell>
          <cell r="AL392" t="str">
            <v>0</v>
          </cell>
          <cell r="AM392" t="str">
            <v>0</v>
          </cell>
          <cell r="AN392" t="str">
            <v>0</v>
          </cell>
          <cell r="AO392" t="str">
            <v>0</v>
          </cell>
          <cell r="AP392" t="str">
            <v>0</v>
          </cell>
          <cell r="AQ392" t="str">
            <v>0</v>
          </cell>
          <cell r="AR392" t="str">
            <v>0</v>
          </cell>
          <cell r="AS392" t="str">
            <v>0</v>
          </cell>
          <cell r="AT392" t="str">
            <v>0</v>
          </cell>
          <cell r="AU392" t="str">
            <v>0</v>
          </cell>
          <cell r="AV392" t="str">
            <v>0</v>
          </cell>
          <cell r="AW392" t="str">
            <v>0</v>
          </cell>
          <cell r="AX392" t="str">
            <v>0</v>
          </cell>
          <cell r="AY392" t="str">
            <v>0</v>
          </cell>
          <cell r="AZ392" t="str">
            <v>0</v>
          </cell>
          <cell r="BA392" t="str">
            <v>0</v>
          </cell>
          <cell r="BB392" t="str">
            <v>0</v>
          </cell>
          <cell r="BC392" t="str">
            <v>0</v>
          </cell>
          <cell r="BD392" t="str">
            <v>0</v>
          </cell>
          <cell r="BE392" t="str">
            <v>0</v>
          </cell>
          <cell r="BF392" t="str">
            <v>0</v>
          </cell>
          <cell r="BG392" t="str">
            <v>0</v>
          </cell>
          <cell r="BH392" t="str">
            <v>0</v>
          </cell>
          <cell r="BI392" t="str">
            <v>0</v>
          </cell>
          <cell r="BJ392" t="str">
            <v>0</v>
          </cell>
          <cell r="BK392" t="str">
            <v>0</v>
          </cell>
          <cell r="BL392" t="str">
            <v>0</v>
          </cell>
          <cell r="BM392" t="str">
            <v>0</v>
          </cell>
          <cell r="BN392" t="str">
            <v>0</v>
          </cell>
          <cell r="BO392" t="str">
            <v>0</v>
          </cell>
          <cell r="BP392" t="str">
            <v>0</v>
          </cell>
          <cell r="BQ392" t="str">
            <v>0</v>
          </cell>
          <cell r="BR392" t="str">
            <v>0</v>
          </cell>
          <cell r="BS392" t="str">
            <v>0</v>
          </cell>
          <cell r="BT392" t="str">
            <v>0</v>
          </cell>
          <cell r="BU392" t="str">
            <v>0</v>
          </cell>
          <cell r="BV392" t="str">
            <v>0</v>
          </cell>
          <cell r="BW392" t="str">
            <v>0</v>
          </cell>
          <cell r="BX392" t="str">
            <v>0</v>
          </cell>
          <cell r="BY392" t="str">
            <v>0</v>
          </cell>
          <cell r="BZ392" t="str">
            <v>0</v>
          </cell>
          <cell r="CA392" t="str">
            <v>0</v>
          </cell>
          <cell r="CB392" t="str">
            <v>0</v>
          </cell>
          <cell r="CC392" t="str">
            <v>0</v>
          </cell>
          <cell r="CD392" t="str">
            <v>0</v>
          </cell>
          <cell r="CE392" t="str">
            <v>0</v>
          </cell>
          <cell r="CF392" t="str">
            <v>0</v>
          </cell>
          <cell r="CG392" t="str">
            <v>0</v>
          </cell>
          <cell r="CH392" t="str">
            <v>0</v>
          </cell>
          <cell r="CI392" t="str">
            <v>0</v>
          </cell>
          <cell r="CJ392" t="str">
            <v>0</v>
          </cell>
          <cell r="CK392" t="str">
            <v>0</v>
          </cell>
          <cell r="CL392" t="str">
            <v>0</v>
          </cell>
          <cell r="CM392" t="str">
            <v>0</v>
          </cell>
          <cell r="CN392" t="str">
            <v>0</v>
          </cell>
          <cell r="CO392" t="str">
            <v>0</v>
          </cell>
          <cell r="CP392" t="str">
            <v>0</v>
          </cell>
          <cell r="CQ392" t="str">
            <v>0</v>
          </cell>
          <cell r="CR392" t="str">
            <v>0</v>
          </cell>
          <cell r="CS392" t="str">
            <v>0</v>
          </cell>
          <cell r="CT392" t="str">
            <v>0</v>
          </cell>
          <cell r="CU392" t="str">
            <v>0</v>
          </cell>
          <cell r="CV392" t="str">
            <v>0</v>
          </cell>
          <cell r="CW392" t="str">
            <v>0</v>
          </cell>
          <cell r="CX392" t="str">
            <v>0</v>
          </cell>
          <cell r="CY392" t="str">
            <v>0</v>
          </cell>
          <cell r="CZ392" t="str">
            <v>0</v>
          </cell>
          <cell r="DA392" t="str">
            <v>0</v>
          </cell>
          <cell r="DB392" t="str">
            <v>0</v>
          </cell>
          <cell r="DC392" t="str">
            <v>0</v>
          </cell>
          <cell r="DD392" t="str">
            <v>0</v>
          </cell>
          <cell r="DE392" t="str">
            <v>0</v>
          </cell>
          <cell r="DF392" t="str">
            <v>0</v>
          </cell>
          <cell r="DG392" t="str">
            <v>0</v>
          </cell>
          <cell r="DH392" t="str">
            <v>0</v>
          </cell>
          <cell r="DI392" t="str">
            <v>0</v>
          </cell>
          <cell r="DJ392" t="str">
            <v>0</v>
          </cell>
          <cell r="DK392" t="str">
            <v>0</v>
          </cell>
          <cell r="DL392" t="str">
            <v>0</v>
          </cell>
          <cell r="DM392" t="str">
            <v>0</v>
          </cell>
          <cell r="DN392" t="str">
            <v>0</v>
          </cell>
          <cell r="DO392" t="str">
            <v>0</v>
          </cell>
          <cell r="DP392" t="str">
            <v>0</v>
          </cell>
        </row>
        <row r="393">
          <cell r="C393"/>
          <cell r="D393" t="str">
            <v>0</v>
          </cell>
          <cell r="E393" t="str">
            <v>0</v>
          </cell>
          <cell r="F393" t="str">
            <v>0</v>
          </cell>
          <cell r="G393" t="str">
            <v>0</v>
          </cell>
          <cell r="H393" t="str">
            <v>0</v>
          </cell>
          <cell r="I393" t="str">
            <v>0</v>
          </cell>
          <cell r="J393" t="str">
            <v>0</v>
          </cell>
          <cell r="K393" t="str">
            <v>0</v>
          </cell>
          <cell r="L393" t="str">
            <v>0</v>
          </cell>
          <cell r="M393" t="str">
            <v>0</v>
          </cell>
          <cell r="N393" t="str">
            <v>0</v>
          </cell>
          <cell r="O393" t="str">
            <v>0</v>
          </cell>
          <cell r="P393" t="str">
            <v>0</v>
          </cell>
          <cell r="Q393" t="str">
            <v>0</v>
          </cell>
          <cell r="R393" t="str">
            <v>0</v>
          </cell>
          <cell r="S393" t="str">
            <v>0</v>
          </cell>
          <cell r="T393" t="str">
            <v>0</v>
          </cell>
          <cell r="U393" t="str">
            <v>0</v>
          </cell>
          <cell r="V393" t="str">
            <v>0</v>
          </cell>
          <cell r="W393" t="str">
            <v>0</v>
          </cell>
          <cell r="X393" t="str">
            <v>0</v>
          </cell>
          <cell r="Y393" t="str">
            <v>0</v>
          </cell>
          <cell r="Z393" t="str">
            <v>0</v>
          </cell>
          <cell r="AA393" t="str">
            <v>0</v>
          </cell>
          <cell r="AB393" t="str">
            <v>0</v>
          </cell>
          <cell r="AC393" t="str">
            <v>0</v>
          </cell>
          <cell r="AD393" t="str">
            <v>0</v>
          </cell>
          <cell r="AE393" t="str">
            <v>0</v>
          </cell>
          <cell r="AF393" t="str">
            <v>0</v>
          </cell>
          <cell r="AG393" t="str">
            <v>0</v>
          </cell>
          <cell r="AH393" t="str">
            <v>0</v>
          </cell>
          <cell r="AI393" t="str">
            <v>0</v>
          </cell>
          <cell r="AJ393" t="str">
            <v>0</v>
          </cell>
          <cell r="AK393" t="str">
            <v>0</v>
          </cell>
          <cell r="AL393" t="str">
            <v>0</v>
          </cell>
          <cell r="AM393" t="str">
            <v>0</v>
          </cell>
          <cell r="AN393" t="str">
            <v>0</v>
          </cell>
          <cell r="AO393" t="str">
            <v>0</v>
          </cell>
          <cell r="AP393" t="str">
            <v>0</v>
          </cell>
          <cell r="AQ393" t="str">
            <v>0</v>
          </cell>
          <cell r="AR393" t="str">
            <v>0</v>
          </cell>
          <cell r="AS393" t="str">
            <v>0</v>
          </cell>
          <cell r="AT393" t="str">
            <v>0</v>
          </cell>
          <cell r="AU393" t="str">
            <v>0</v>
          </cell>
          <cell r="AV393" t="str">
            <v>0</v>
          </cell>
          <cell r="AW393" t="str">
            <v>0</v>
          </cell>
          <cell r="AX393" t="str">
            <v>0</v>
          </cell>
          <cell r="AY393" t="str">
            <v>0</v>
          </cell>
          <cell r="AZ393" t="str">
            <v>0</v>
          </cell>
          <cell r="BA393" t="str">
            <v>0</v>
          </cell>
          <cell r="BB393" t="str">
            <v>0</v>
          </cell>
          <cell r="BC393" t="str">
            <v>0</v>
          </cell>
          <cell r="BD393" t="str">
            <v>0</v>
          </cell>
          <cell r="BE393" t="str">
            <v>0</v>
          </cell>
          <cell r="BF393" t="str">
            <v>0</v>
          </cell>
          <cell r="BG393" t="str">
            <v>0</v>
          </cell>
          <cell r="BH393" t="str">
            <v>0</v>
          </cell>
          <cell r="BI393" t="str">
            <v>0</v>
          </cell>
          <cell r="BJ393" t="str">
            <v>0</v>
          </cell>
          <cell r="BK393" t="str">
            <v>0</v>
          </cell>
          <cell r="BL393" t="str">
            <v>0</v>
          </cell>
          <cell r="BM393" t="str">
            <v>0</v>
          </cell>
          <cell r="BN393" t="str">
            <v>0</v>
          </cell>
          <cell r="BO393" t="str">
            <v>0</v>
          </cell>
          <cell r="BP393" t="str">
            <v>0</v>
          </cell>
          <cell r="BQ393" t="str">
            <v>0</v>
          </cell>
          <cell r="BR393" t="str">
            <v>0</v>
          </cell>
          <cell r="BS393" t="str">
            <v>0</v>
          </cell>
          <cell r="BT393" t="str">
            <v>0</v>
          </cell>
          <cell r="BU393" t="str">
            <v>0</v>
          </cell>
          <cell r="BV393" t="str">
            <v>0</v>
          </cell>
          <cell r="BW393" t="str">
            <v>0</v>
          </cell>
          <cell r="BX393" t="str">
            <v>0</v>
          </cell>
          <cell r="BY393" t="str">
            <v>0</v>
          </cell>
          <cell r="BZ393" t="str">
            <v>0</v>
          </cell>
          <cell r="CA393" t="str">
            <v>0</v>
          </cell>
          <cell r="CB393" t="str">
            <v>0</v>
          </cell>
          <cell r="CC393" t="str">
            <v>0</v>
          </cell>
          <cell r="CD393" t="str">
            <v>0</v>
          </cell>
          <cell r="CE393" t="str">
            <v>0</v>
          </cell>
          <cell r="CF393" t="str">
            <v>0</v>
          </cell>
          <cell r="CG393" t="str">
            <v>0</v>
          </cell>
          <cell r="CH393" t="str">
            <v>0</v>
          </cell>
          <cell r="CI393" t="str">
            <v>0</v>
          </cell>
          <cell r="CJ393" t="str">
            <v>0</v>
          </cell>
          <cell r="CK393" t="str">
            <v>0</v>
          </cell>
          <cell r="CL393" t="str">
            <v>0</v>
          </cell>
          <cell r="CM393" t="str">
            <v>0</v>
          </cell>
          <cell r="CN393" t="str">
            <v>0</v>
          </cell>
          <cell r="CO393" t="str">
            <v>0</v>
          </cell>
          <cell r="CP393" t="str">
            <v>0</v>
          </cell>
          <cell r="CQ393" t="str">
            <v>0</v>
          </cell>
          <cell r="CR393" t="str">
            <v>0</v>
          </cell>
          <cell r="CS393" t="str">
            <v>0</v>
          </cell>
          <cell r="CT393" t="str">
            <v>0</v>
          </cell>
          <cell r="CU393" t="str">
            <v>0</v>
          </cell>
          <cell r="CV393" t="str">
            <v>0</v>
          </cell>
          <cell r="CW393" t="str">
            <v>0</v>
          </cell>
          <cell r="CX393" t="str">
            <v>0</v>
          </cell>
          <cell r="CY393" t="str">
            <v>0</v>
          </cell>
          <cell r="CZ393" t="str">
            <v>0</v>
          </cell>
          <cell r="DA393" t="str">
            <v>0</v>
          </cell>
          <cell r="DB393" t="str">
            <v>0</v>
          </cell>
          <cell r="DC393" t="str">
            <v>0</v>
          </cell>
          <cell r="DD393" t="str">
            <v>0</v>
          </cell>
          <cell r="DE393" t="str">
            <v>0</v>
          </cell>
          <cell r="DF393" t="str">
            <v>0</v>
          </cell>
          <cell r="DG393" t="str">
            <v>0</v>
          </cell>
          <cell r="DH393" t="str">
            <v>0</v>
          </cell>
          <cell r="DI393" t="str">
            <v>0</v>
          </cell>
          <cell r="DJ393" t="str">
            <v>0</v>
          </cell>
          <cell r="DK393" t="str">
            <v>0</v>
          </cell>
          <cell r="DL393" t="str">
            <v>0</v>
          </cell>
          <cell r="DM393" t="str">
            <v>0</v>
          </cell>
          <cell r="DN393" t="str">
            <v>0</v>
          </cell>
          <cell r="DO393" t="str">
            <v>0</v>
          </cell>
          <cell r="DP393" t="str">
            <v>0</v>
          </cell>
        </row>
        <row r="394">
          <cell r="C394"/>
          <cell r="D394" t="str">
            <v>0</v>
          </cell>
          <cell r="E394" t="str">
            <v>0</v>
          </cell>
          <cell r="F394" t="str">
            <v>0</v>
          </cell>
          <cell r="G394" t="str">
            <v>0</v>
          </cell>
          <cell r="H394" t="str">
            <v>0</v>
          </cell>
          <cell r="I394" t="str">
            <v>0</v>
          </cell>
          <cell r="J394" t="str">
            <v>0</v>
          </cell>
          <cell r="K394" t="str">
            <v>0</v>
          </cell>
          <cell r="L394" t="str">
            <v>0</v>
          </cell>
          <cell r="M394" t="str">
            <v>0</v>
          </cell>
          <cell r="N394" t="str">
            <v>0</v>
          </cell>
          <cell r="O394" t="str">
            <v>0</v>
          </cell>
          <cell r="P394" t="str">
            <v>0</v>
          </cell>
          <cell r="Q394" t="str">
            <v>0</v>
          </cell>
          <cell r="R394" t="str">
            <v>0</v>
          </cell>
          <cell r="S394" t="str">
            <v>0</v>
          </cell>
          <cell r="T394" t="str">
            <v>0</v>
          </cell>
          <cell r="U394" t="str">
            <v>0</v>
          </cell>
          <cell r="V394" t="str">
            <v>0</v>
          </cell>
          <cell r="W394" t="str">
            <v>0</v>
          </cell>
          <cell r="X394" t="str">
            <v>0</v>
          </cell>
          <cell r="Y394" t="str">
            <v>0</v>
          </cell>
          <cell r="Z394" t="str">
            <v>0</v>
          </cell>
          <cell r="AA394" t="str">
            <v>0</v>
          </cell>
          <cell r="AB394" t="str">
            <v>0</v>
          </cell>
          <cell r="AC394" t="str">
            <v>0</v>
          </cell>
          <cell r="AD394" t="str">
            <v>0</v>
          </cell>
          <cell r="AE394" t="str">
            <v>0</v>
          </cell>
          <cell r="AF394" t="str">
            <v>0</v>
          </cell>
          <cell r="AG394" t="str">
            <v>0</v>
          </cell>
          <cell r="AH394" t="str">
            <v>0</v>
          </cell>
          <cell r="AI394" t="str">
            <v>0</v>
          </cell>
          <cell r="AJ394" t="str">
            <v>0</v>
          </cell>
          <cell r="AK394" t="str">
            <v>0</v>
          </cell>
          <cell r="AL394" t="str">
            <v>0</v>
          </cell>
          <cell r="AM394" t="str">
            <v>0</v>
          </cell>
          <cell r="AN394" t="str">
            <v>0</v>
          </cell>
          <cell r="AO394" t="str">
            <v>0</v>
          </cell>
          <cell r="AP394" t="str">
            <v>0</v>
          </cell>
          <cell r="AQ394" t="str">
            <v>0</v>
          </cell>
          <cell r="AR394" t="str">
            <v>0</v>
          </cell>
          <cell r="AS394" t="str">
            <v>0</v>
          </cell>
          <cell r="AT394" t="str">
            <v>0</v>
          </cell>
          <cell r="AU394" t="str">
            <v>0</v>
          </cell>
          <cell r="AV394" t="str">
            <v>0</v>
          </cell>
          <cell r="AW394" t="str">
            <v>0</v>
          </cell>
          <cell r="AX394" t="str">
            <v>0</v>
          </cell>
          <cell r="AY394" t="str">
            <v>0</v>
          </cell>
          <cell r="AZ394" t="str">
            <v>0</v>
          </cell>
          <cell r="BA394" t="str">
            <v>0</v>
          </cell>
          <cell r="BB394" t="str">
            <v>0</v>
          </cell>
          <cell r="BC394" t="str">
            <v>0</v>
          </cell>
          <cell r="BD394" t="str">
            <v>0</v>
          </cell>
          <cell r="BE394" t="str">
            <v>0</v>
          </cell>
          <cell r="BF394" t="str">
            <v>0</v>
          </cell>
          <cell r="BG394" t="str">
            <v>0</v>
          </cell>
          <cell r="BH394" t="str">
            <v>0</v>
          </cell>
          <cell r="BI394" t="str">
            <v>0</v>
          </cell>
          <cell r="BJ394" t="str">
            <v>0</v>
          </cell>
          <cell r="BK394" t="str">
            <v>0</v>
          </cell>
          <cell r="BL394" t="str">
            <v>0</v>
          </cell>
          <cell r="BM394" t="str">
            <v>0</v>
          </cell>
          <cell r="BN394" t="str">
            <v>0</v>
          </cell>
          <cell r="BO394" t="str">
            <v>0</v>
          </cell>
          <cell r="BP394" t="str">
            <v>0</v>
          </cell>
          <cell r="BQ394" t="str">
            <v>0</v>
          </cell>
          <cell r="BR394" t="str">
            <v>0</v>
          </cell>
          <cell r="BS394" t="str">
            <v>0</v>
          </cell>
          <cell r="BT394" t="str">
            <v>0</v>
          </cell>
          <cell r="BU394" t="str">
            <v>0</v>
          </cell>
          <cell r="BV394" t="str">
            <v>0</v>
          </cell>
          <cell r="BW394" t="str">
            <v>0</v>
          </cell>
          <cell r="BX394" t="str">
            <v>0</v>
          </cell>
          <cell r="BY394" t="str">
            <v>0</v>
          </cell>
          <cell r="BZ394" t="str">
            <v>0</v>
          </cell>
          <cell r="CA394" t="str">
            <v>0</v>
          </cell>
          <cell r="CB394" t="str">
            <v>0</v>
          </cell>
          <cell r="CC394" t="str">
            <v>0</v>
          </cell>
          <cell r="CD394" t="str">
            <v>0</v>
          </cell>
          <cell r="CE394" t="str">
            <v>0</v>
          </cell>
          <cell r="CF394" t="str">
            <v>0</v>
          </cell>
          <cell r="CG394" t="str">
            <v>0</v>
          </cell>
          <cell r="CH394" t="str">
            <v>0</v>
          </cell>
          <cell r="CI394" t="str">
            <v>0</v>
          </cell>
          <cell r="CJ394" t="str">
            <v>0</v>
          </cell>
          <cell r="CK394" t="str">
            <v>0</v>
          </cell>
          <cell r="CL394" t="str">
            <v>0</v>
          </cell>
          <cell r="CM394" t="str">
            <v>0</v>
          </cell>
          <cell r="CN394" t="str">
            <v>0</v>
          </cell>
          <cell r="CO394" t="str">
            <v>0</v>
          </cell>
          <cell r="CP394" t="str">
            <v>0</v>
          </cell>
          <cell r="CQ394" t="str">
            <v>0</v>
          </cell>
          <cell r="CR394" t="str">
            <v>0</v>
          </cell>
          <cell r="CS394" t="str">
            <v>0</v>
          </cell>
          <cell r="CT394" t="str">
            <v>0</v>
          </cell>
          <cell r="CU394" t="str">
            <v>0</v>
          </cell>
          <cell r="CV394" t="str">
            <v>0</v>
          </cell>
          <cell r="CW394" t="str">
            <v>0</v>
          </cell>
          <cell r="CX394" t="str">
            <v>0</v>
          </cell>
          <cell r="CY394" t="str">
            <v>0</v>
          </cell>
          <cell r="CZ394" t="str">
            <v>0</v>
          </cell>
          <cell r="DA394" t="str">
            <v>0</v>
          </cell>
          <cell r="DB394" t="str">
            <v>0</v>
          </cell>
          <cell r="DC394" t="str">
            <v>0</v>
          </cell>
          <cell r="DD394" t="str">
            <v>0</v>
          </cell>
          <cell r="DE394" t="str">
            <v>0</v>
          </cell>
          <cell r="DF394" t="str">
            <v>0</v>
          </cell>
          <cell r="DG394" t="str">
            <v>0</v>
          </cell>
          <cell r="DH394" t="str">
            <v>0</v>
          </cell>
          <cell r="DI394" t="str">
            <v>0</v>
          </cell>
          <cell r="DJ394" t="str">
            <v>0</v>
          </cell>
          <cell r="DK394" t="str">
            <v>0</v>
          </cell>
          <cell r="DL394" t="str">
            <v>0</v>
          </cell>
          <cell r="DM394" t="str">
            <v>0</v>
          </cell>
          <cell r="DN394" t="str">
            <v>0</v>
          </cell>
          <cell r="DO394" t="str">
            <v>0</v>
          </cell>
          <cell r="DP394" t="str">
            <v>0</v>
          </cell>
        </row>
        <row r="395">
          <cell r="C395"/>
          <cell r="D395" t="str">
            <v>0</v>
          </cell>
          <cell r="E395" t="str">
            <v>0</v>
          </cell>
          <cell r="F395" t="str">
            <v>0</v>
          </cell>
          <cell r="G395" t="str">
            <v>0</v>
          </cell>
          <cell r="H395" t="str">
            <v>0</v>
          </cell>
          <cell r="I395" t="str">
            <v>0</v>
          </cell>
          <cell r="J395" t="str">
            <v>0</v>
          </cell>
          <cell r="K395" t="str">
            <v>0</v>
          </cell>
          <cell r="L395" t="str">
            <v>0</v>
          </cell>
          <cell r="M395" t="str">
            <v>0</v>
          </cell>
          <cell r="N395" t="str">
            <v>0</v>
          </cell>
          <cell r="O395" t="str">
            <v>0</v>
          </cell>
          <cell r="P395" t="str">
            <v>0</v>
          </cell>
          <cell r="Q395" t="str">
            <v>0</v>
          </cell>
          <cell r="R395" t="str">
            <v>0</v>
          </cell>
          <cell r="S395" t="str">
            <v>0</v>
          </cell>
          <cell r="T395" t="str">
            <v>0</v>
          </cell>
          <cell r="U395" t="str">
            <v>0</v>
          </cell>
          <cell r="V395" t="str">
            <v>0</v>
          </cell>
          <cell r="W395" t="str">
            <v>0</v>
          </cell>
          <cell r="X395" t="str">
            <v>0</v>
          </cell>
          <cell r="Y395" t="str">
            <v>0</v>
          </cell>
          <cell r="Z395" t="str">
            <v>0</v>
          </cell>
          <cell r="AA395" t="str">
            <v>0</v>
          </cell>
          <cell r="AB395" t="str">
            <v>0</v>
          </cell>
          <cell r="AC395" t="str">
            <v>0</v>
          </cell>
          <cell r="AD395" t="str">
            <v>0</v>
          </cell>
          <cell r="AE395" t="str">
            <v>0</v>
          </cell>
          <cell r="AF395" t="str">
            <v>0</v>
          </cell>
          <cell r="AG395" t="str">
            <v>0</v>
          </cell>
          <cell r="AH395" t="str">
            <v>0</v>
          </cell>
          <cell r="AI395" t="str">
            <v>0</v>
          </cell>
          <cell r="AJ395" t="str">
            <v>0</v>
          </cell>
          <cell r="AK395" t="str">
            <v>0</v>
          </cell>
          <cell r="AL395" t="str">
            <v>0</v>
          </cell>
          <cell r="AM395" t="str">
            <v>0</v>
          </cell>
          <cell r="AN395" t="str">
            <v>0</v>
          </cell>
          <cell r="AO395" t="str">
            <v>0</v>
          </cell>
          <cell r="AP395" t="str">
            <v>0</v>
          </cell>
          <cell r="AQ395" t="str">
            <v>0</v>
          </cell>
          <cell r="AR395" t="str">
            <v>0</v>
          </cell>
          <cell r="AS395" t="str">
            <v>0</v>
          </cell>
          <cell r="AT395" t="str">
            <v>0</v>
          </cell>
          <cell r="AU395" t="str">
            <v>0</v>
          </cell>
          <cell r="AV395" t="str">
            <v>0</v>
          </cell>
          <cell r="AW395" t="str">
            <v>0</v>
          </cell>
          <cell r="AX395" t="str">
            <v>0</v>
          </cell>
          <cell r="AY395" t="str">
            <v>0</v>
          </cell>
          <cell r="AZ395" t="str">
            <v>0</v>
          </cell>
          <cell r="BA395" t="str">
            <v>0</v>
          </cell>
          <cell r="BB395" t="str">
            <v>0</v>
          </cell>
          <cell r="BC395" t="str">
            <v>0</v>
          </cell>
          <cell r="BD395" t="str">
            <v>0</v>
          </cell>
          <cell r="BE395" t="str">
            <v>0</v>
          </cell>
          <cell r="BF395" t="str">
            <v>0</v>
          </cell>
          <cell r="BG395" t="str">
            <v>0</v>
          </cell>
          <cell r="BH395" t="str">
            <v>0</v>
          </cell>
          <cell r="BI395" t="str">
            <v>0</v>
          </cell>
          <cell r="BJ395" t="str">
            <v>0</v>
          </cell>
          <cell r="BK395" t="str">
            <v>0</v>
          </cell>
          <cell r="BL395" t="str">
            <v>0</v>
          </cell>
          <cell r="BM395" t="str">
            <v>0</v>
          </cell>
          <cell r="BN395" t="str">
            <v>0</v>
          </cell>
          <cell r="BO395" t="str">
            <v>0</v>
          </cell>
          <cell r="BP395" t="str">
            <v>0</v>
          </cell>
          <cell r="BQ395" t="str">
            <v>0</v>
          </cell>
          <cell r="BR395" t="str">
            <v>0</v>
          </cell>
          <cell r="BS395" t="str">
            <v>0</v>
          </cell>
          <cell r="BT395" t="str">
            <v>0</v>
          </cell>
          <cell r="BU395" t="str">
            <v>0</v>
          </cell>
          <cell r="BV395" t="str">
            <v>0</v>
          </cell>
          <cell r="BW395" t="str">
            <v>0</v>
          </cell>
          <cell r="BX395" t="str">
            <v>0</v>
          </cell>
          <cell r="BY395" t="str">
            <v>0</v>
          </cell>
          <cell r="BZ395" t="str">
            <v>0</v>
          </cell>
          <cell r="CA395" t="str">
            <v>0</v>
          </cell>
          <cell r="CB395" t="str">
            <v>0</v>
          </cell>
          <cell r="CC395" t="str">
            <v>0</v>
          </cell>
          <cell r="CD395" t="str">
            <v>0</v>
          </cell>
          <cell r="CE395" t="str">
            <v>0</v>
          </cell>
          <cell r="CF395" t="str">
            <v>0</v>
          </cell>
          <cell r="CG395" t="str">
            <v>0</v>
          </cell>
          <cell r="CH395" t="str">
            <v>0</v>
          </cell>
          <cell r="CI395" t="str">
            <v>0</v>
          </cell>
          <cell r="CJ395" t="str">
            <v>0</v>
          </cell>
          <cell r="CK395" t="str">
            <v>0</v>
          </cell>
          <cell r="CL395" t="str">
            <v>0</v>
          </cell>
          <cell r="CM395" t="str">
            <v>0</v>
          </cell>
          <cell r="CN395" t="str">
            <v>0</v>
          </cell>
          <cell r="CO395" t="str">
            <v>0</v>
          </cell>
          <cell r="CP395" t="str">
            <v>0</v>
          </cell>
          <cell r="CQ395" t="str">
            <v>0</v>
          </cell>
          <cell r="CR395" t="str">
            <v>0</v>
          </cell>
          <cell r="CS395" t="str">
            <v>0</v>
          </cell>
          <cell r="CT395" t="str">
            <v>0</v>
          </cell>
          <cell r="CU395" t="str">
            <v>0</v>
          </cell>
          <cell r="CV395" t="str">
            <v>0</v>
          </cell>
          <cell r="CW395" t="str">
            <v>0</v>
          </cell>
          <cell r="CX395" t="str">
            <v>0</v>
          </cell>
          <cell r="CY395" t="str">
            <v>0</v>
          </cell>
          <cell r="CZ395" t="str">
            <v>0</v>
          </cell>
          <cell r="DA395" t="str">
            <v>0</v>
          </cell>
          <cell r="DB395" t="str">
            <v>0</v>
          </cell>
          <cell r="DC395" t="str">
            <v>0</v>
          </cell>
          <cell r="DD395" t="str">
            <v>0</v>
          </cell>
          <cell r="DE395" t="str">
            <v>0</v>
          </cell>
          <cell r="DF395" t="str">
            <v>0</v>
          </cell>
          <cell r="DG395" t="str">
            <v>0</v>
          </cell>
          <cell r="DH395" t="str">
            <v>0</v>
          </cell>
          <cell r="DI395" t="str">
            <v>0</v>
          </cell>
          <cell r="DJ395" t="str">
            <v>0</v>
          </cell>
          <cell r="DK395" t="str">
            <v>0</v>
          </cell>
          <cell r="DL395" t="str">
            <v>0</v>
          </cell>
          <cell r="DM395" t="str">
            <v>0</v>
          </cell>
          <cell r="DN395" t="str">
            <v>0</v>
          </cell>
          <cell r="DO395" t="str">
            <v>0</v>
          </cell>
          <cell r="DP395" t="str">
            <v>0</v>
          </cell>
        </row>
        <row r="396">
          <cell r="C396"/>
          <cell r="D396" t="str">
            <v>0</v>
          </cell>
          <cell r="E396" t="str">
            <v>0</v>
          </cell>
          <cell r="F396" t="str">
            <v>0</v>
          </cell>
          <cell r="G396" t="str">
            <v>0</v>
          </cell>
          <cell r="H396" t="str">
            <v>0</v>
          </cell>
          <cell r="I396" t="str">
            <v>0</v>
          </cell>
          <cell r="J396" t="str">
            <v>0</v>
          </cell>
          <cell r="K396" t="str">
            <v>0</v>
          </cell>
          <cell r="L396" t="str">
            <v>0</v>
          </cell>
          <cell r="M396" t="str">
            <v>0</v>
          </cell>
          <cell r="N396" t="str">
            <v>0</v>
          </cell>
          <cell r="O396" t="str">
            <v>0</v>
          </cell>
          <cell r="P396" t="str">
            <v>0</v>
          </cell>
          <cell r="Q396" t="str">
            <v>0</v>
          </cell>
          <cell r="R396" t="str">
            <v>0</v>
          </cell>
          <cell r="S396" t="str">
            <v>0</v>
          </cell>
          <cell r="T396" t="str">
            <v>0</v>
          </cell>
          <cell r="U396" t="str">
            <v>0</v>
          </cell>
          <cell r="V396" t="str">
            <v>0</v>
          </cell>
          <cell r="W396" t="str">
            <v>0</v>
          </cell>
          <cell r="X396" t="str">
            <v>0</v>
          </cell>
          <cell r="Y396" t="str">
            <v>0</v>
          </cell>
          <cell r="Z396" t="str">
            <v>0</v>
          </cell>
          <cell r="AA396" t="str">
            <v>0</v>
          </cell>
          <cell r="AB396" t="str">
            <v>0</v>
          </cell>
          <cell r="AC396" t="str">
            <v>0</v>
          </cell>
          <cell r="AD396" t="str">
            <v>0</v>
          </cell>
          <cell r="AE396" t="str">
            <v>0</v>
          </cell>
          <cell r="AF396" t="str">
            <v>0</v>
          </cell>
          <cell r="AG396" t="str">
            <v>0</v>
          </cell>
          <cell r="AH396" t="str">
            <v>0</v>
          </cell>
          <cell r="AI396" t="str">
            <v>0</v>
          </cell>
          <cell r="AJ396" t="str">
            <v>0</v>
          </cell>
          <cell r="AK396" t="str">
            <v>0</v>
          </cell>
          <cell r="AL396" t="str">
            <v>0</v>
          </cell>
          <cell r="AM396" t="str">
            <v>0</v>
          </cell>
          <cell r="AN396" t="str">
            <v>0</v>
          </cell>
          <cell r="AO396" t="str">
            <v>0</v>
          </cell>
          <cell r="AP396" t="str">
            <v>0</v>
          </cell>
          <cell r="AQ396" t="str">
            <v>0</v>
          </cell>
          <cell r="AR396" t="str">
            <v>0</v>
          </cell>
          <cell r="AS396" t="str">
            <v>0</v>
          </cell>
          <cell r="AT396" t="str">
            <v>0</v>
          </cell>
          <cell r="AU396" t="str">
            <v>0</v>
          </cell>
          <cell r="AV396" t="str">
            <v>0</v>
          </cell>
          <cell r="AW396" t="str">
            <v>0</v>
          </cell>
          <cell r="AX396" t="str">
            <v>0</v>
          </cell>
          <cell r="AY396" t="str">
            <v>0</v>
          </cell>
          <cell r="AZ396" t="str">
            <v>0</v>
          </cell>
          <cell r="BA396" t="str">
            <v>0</v>
          </cell>
          <cell r="BB396" t="str">
            <v>0</v>
          </cell>
          <cell r="BC396" t="str">
            <v>0</v>
          </cell>
          <cell r="BD396" t="str">
            <v>0</v>
          </cell>
          <cell r="BE396" t="str">
            <v>0</v>
          </cell>
          <cell r="BF396" t="str">
            <v>0</v>
          </cell>
          <cell r="BG396" t="str">
            <v>0</v>
          </cell>
          <cell r="BH396" t="str">
            <v>0</v>
          </cell>
          <cell r="BI396" t="str">
            <v>0</v>
          </cell>
          <cell r="BJ396" t="str">
            <v>0</v>
          </cell>
          <cell r="BK396" t="str">
            <v>0</v>
          </cell>
          <cell r="BL396" t="str">
            <v>0</v>
          </cell>
          <cell r="BM396" t="str">
            <v>0</v>
          </cell>
          <cell r="BN396" t="str">
            <v>0</v>
          </cell>
          <cell r="BO396" t="str">
            <v>0</v>
          </cell>
          <cell r="BP396" t="str">
            <v>0</v>
          </cell>
          <cell r="BQ396" t="str">
            <v>0</v>
          </cell>
          <cell r="BR396" t="str">
            <v>0</v>
          </cell>
          <cell r="BS396" t="str">
            <v>0</v>
          </cell>
          <cell r="BT396" t="str">
            <v>0</v>
          </cell>
          <cell r="BU396" t="str">
            <v>0</v>
          </cell>
          <cell r="BV396" t="str">
            <v>0</v>
          </cell>
          <cell r="BW396" t="str">
            <v>0</v>
          </cell>
          <cell r="BX396" t="str">
            <v>0</v>
          </cell>
          <cell r="BY396" t="str">
            <v>0</v>
          </cell>
          <cell r="BZ396" t="str">
            <v>0</v>
          </cell>
          <cell r="CA396" t="str">
            <v>0</v>
          </cell>
          <cell r="CB396" t="str">
            <v>0</v>
          </cell>
          <cell r="CC396" t="str">
            <v>0</v>
          </cell>
          <cell r="CD396" t="str">
            <v>0</v>
          </cell>
          <cell r="CE396" t="str">
            <v>0</v>
          </cell>
          <cell r="CF396" t="str">
            <v>0</v>
          </cell>
          <cell r="CG396" t="str">
            <v>0</v>
          </cell>
          <cell r="CH396" t="str">
            <v>0</v>
          </cell>
          <cell r="CI396" t="str">
            <v>0</v>
          </cell>
          <cell r="CJ396" t="str">
            <v>0</v>
          </cell>
          <cell r="CK396" t="str">
            <v>0</v>
          </cell>
          <cell r="CL396" t="str">
            <v>0</v>
          </cell>
          <cell r="CM396" t="str">
            <v>0</v>
          </cell>
          <cell r="CN396" t="str">
            <v>0</v>
          </cell>
          <cell r="CO396" t="str">
            <v>0</v>
          </cell>
          <cell r="CP396" t="str">
            <v>0</v>
          </cell>
          <cell r="CQ396" t="str">
            <v>0</v>
          </cell>
          <cell r="CR396" t="str">
            <v>0</v>
          </cell>
          <cell r="CS396" t="str">
            <v>0</v>
          </cell>
          <cell r="CT396" t="str">
            <v>0</v>
          </cell>
          <cell r="CU396" t="str">
            <v>0</v>
          </cell>
          <cell r="CV396" t="str">
            <v>0</v>
          </cell>
          <cell r="CW396" t="str">
            <v>0</v>
          </cell>
          <cell r="CX396" t="str">
            <v>0</v>
          </cell>
          <cell r="CY396" t="str">
            <v>0</v>
          </cell>
          <cell r="CZ396" t="str">
            <v>0</v>
          </cell>
          <cell r="DA396" t="str">
            <v>0</v>
          </cell>
          <cell r="DB396" t="str">
            <v>0</v>
          </cell>
          <cell r="DC396" t="str">
            <v>0</v>
          </cell>
          <cell r="DD396" t="str">
            <v>0</v>
          </cell>
          <cell r="DE396" t="str">
            <v>0</v>
          </cell>
          <cell r="DF396" t="str">
            <v>0</v>
          </cell>
          <cell r="DG396" t="str">
            <v>0</v>
          </cell>
          <cell r="DH396" t="str">
            <v>0</v>
          </cell>
          <cell r="DI396" t="str">
            <v>0</v>
          </cell>
          <cell r="DJ396" t="str">
            <v>0</v>
          </cell>
          <cell r="DK396" t="str">
            <v>0</v>
          </cell>
          <cell r="DL396" t="str">
            <v>0</v>
          </cell>
          <cell r="DM396" t="str">
            <v>0</v>
          </cell>
          <cell r="DN396" t="str">
            <v>0</v>
          </cell>
          <cell r="DO396" t="str">
            <v>0</v>
          </cell>
          <cell r="DP396" t="str">
            <v>0</v>
          </cell>
        </row>
        <row r="397">
          <cell r="C397"/>
          <cell r="D397" t="str">
            <v>0</v>
          </cell>
          <cell r="E397" t="str">
            <v>0</v>
          </cell>
          <cell r="F397" t="str">
            <v>0</v>
          </cell>
          <cell r="G397" t="str">
            <v>0</v>
          </cell>
          <cell r="H397" t="str">
            <v>0</v>
          </cell>
          <cell r="I397" t="str">
            <v>0</v>
          </cell>
          <cell r="J397" t="str">
            <v>0</v>
          </cell>
          <cell r="K397" t="str">
            <v>0</v>
          </cell>
          <cell r="L397" t="str">
            <v>0</v>
          </cell>
          <cell r="M397" t="str">
            <v>0</v>
          </cell>
          <cell r="N397" t="str">
            <v>0</v>
          </cell>
          <cell r="O397" t="str">
            <v>0</v>
          </cell>
          <cell r="P397" t="str">
            <v>0</v>
          </cell>
          <cell r="Q397" t="str">
            <v>0</v>
          </cell>
          <cell r="R397" t="str">
            <v>0</v>
          </cell>
          <cell r="S397" t="str">
            <v>0</v>
          </cell>
          <cell r="T397" t="str">
            <v>0</v>
          </cell>
          <cell r="U397" t="str">
            <v>0</v>
          </cell>
          <cell r="V397" t="str">
            <v>0</v>
          </cell>
          <cell r="W397" t="str">
            <v>0</v>
          </cell>
          <cell r="X397" t="str">
            <v>0</v>
          </cell>
          <cell r="Y397" t="str">
            <v>0</v>
          </cell>
          <cell r="Z397" t="str">
            <v>0</v>
          </cell>
          <cell r="AA397" t="str">
            <v>0</v>
          </cell>
          <cell r="AB397" t="str">
            <v>0</v>
          </cell>
          <cell r="AC397" t="str">
            <v>0</v>
          </cell>
          <cell r="AD397" t="str">
            <v>0</v>
          </cell>
          <cell r="AE397" t="str">
            <v>0</v>
          </cell>
          <cell r="AF397" t="str">
            <v>0</v>
          </cell>
          <cell r="AG397" t="str">
            <v>0</v>
          </cell>
          <cell r="AH397" t="str">
            <v>0</v>
          </cell>
          <cell r="AI397" t="str">
            <v>0</v>
          </cell>
          <cell r="AJ397" t="str">
            <v>0</v>
          </cell>
          <cell r="AK397" t="str">
            <v>0</v>
          </cell>
          <cell r="AL397" t="str">
            <v>0</v>
          </cell>
          <cell r="AM397" t="str">
            <v>0</v>
          </cell>
          <cell r="AN397" t="str">
            <v>0</v>
          </cell>
          <cell r="AO397" t="str">
            <v>0</v>
          </cell>
          <cell r="AP397" t="str">
            <v>0</v>
          </cell>
          <cell r="AQ397" t="str">
            <v>0</v>
          </cell>
          <cell r="AR397" t="str">
            <v>0</v>
          </cell>
          <cell r="AS397" t="str">
            <v>0</v>
          </cell>
          <cell r="AT397" t="str">
            <v>0</v>
          </cell>
          <cell r="AU397" t="str">
            <v>0</v>
          </cell>
          <cell r="AV397" t="str">
            <v>0</v>
          </cell>
          <cell r="AW397" t="str">
            <v>0</v>
          </cell>
          <cell r="AX397" t="str">
            <v>0</v>
          </cell>
          <cell r="AY397" t="str">
            <v>0</v>
          </cell>
          <cell r="AZ397" t="str">
            <v>0</v>
          </cell>
          <cell r="BA397" t="str">
            <v>0</v>
          </cell>
          <cell r="BB397" t="str">
            <v>0</v>
          </cell>
          <cell r="BC397" t="str">
            <v>0</v>
          </cell>
          <cell r="BD397" t="str">
            <v>0</v>
          </cell>
          <cell r="BE397" t="str">
            <v>0</v>
          </cell>
          <cell r="BF397" t="str">
            <v>0</v>
          </cell>
          <cell r="BG397" t="str">
            <v>0</v>
          </cell>
          <cell r="BH397" t="str">
            <v>0</v>
          </cell>
          <cell r="BI397" t="str">
            <v>0</v>
          </cell>
          <cell r="BJ397" t="str">
            <v>0</v>
          </cell>
          <cell r="BK397" t="str">
            <v>0</v>
          </cell>
          <cell r="BL397" t="str">
            <v>0</v>
          </cell>
          <cell r="BM397" t="str">
            <v>0</v>
          </cell>
          <cell r="BN397" t="str">
            <v>0</v>
          </cell>
          <cell r="BO397" t="str">
            <v>0</v>
          </cell>
          <cell r="BP397" t="str">
            <v>0</v>
          </cell>
          <cell r="BQ397" t="str">
            <v>0</v>
          </cell>
          <cell r="BR397" t="str">
            <v>0</v>
          </cell>
          <cell r="BS397" t="str">
            <v>0</v>
          </cell>
          <cell r="BT397" t="str">
            <v>0</v>
          </cell>
          <cell r="BU397" t="str">
            <v>0</v>
          </cell>
          <cell r="BV397" t="str">
            <v>0</v>
          </cell>
          <cell r="BW397" t="str">
            <v>0</v>
          </cell>
          <cell r="BX397" t="str">
            <v>0</v>
          </cell>
          <cell r="BY397" t="str">
            <v>0</v>
          </cell>
          <cell r="BZ397" t="str">
            <v>0</v>
          </cell>
          <cell r="CA397" t="str">
            <v>0</v>
          </cell>
          <cell r="CB397" t="str">
            <v>0</v>
          </cell>
          <cell r="CC397" t="str">
            <v>0</v>
          </cell>
          <cell r="CD397" t="str">
            <v>0</v>
          </cell>
          <cell r="CE397" t="str">
            <v>0</v>
          </cell>
          <cell r="CF397" t="str">
            <v>0</v>
          </cell>
          <cell r="CG397" t="str">
            <v>0</v>
          </cell>
          <cell r="CH397" t="str">
            <v>0</v>
          </cell>
          <cell r="CI397" t="str">
            <v>0</v>
          </cell>
          <cell r="CJ397" t="str">
            <v>0</v>
          </cell>
          <cell r="CK397" t="str">
            <v>0</v>
          </cell>
          <cell r="CL397" t="str">
            <v>0</v>
          </cell>
          <cell r="CM397" t="str">
            <v>0</v>
          </cell>
          <cell r="CN397" t="str">
            <v>0</v>
          </cell>
          <cell r="CO397" t="str">
            <v>0</v>
          </cell>
          <cell r="CP397" t="str">
            <v>0</v>
          </cell>
          <cell r="CQ397" t="str">
            <v>0</v>
          </cell>
          <cell r="CR397" t="str">
            <v>0</v>
          </cell>
          <cell r="CS397" t="str">
            <v>0</v>
          </cell>
          <cell r="CT397" t="str">
            <v>0</v>
          </cell>
          <cell r="CU397" t="str">
            <v>0</v>
          </cell>
          <cell r="CV397" t="str">
            <v>0</v>
          </cell>
          <cell r="CW397" t="str">
            <v>0</v>
          </cell>
          <cell r="CX397" t="str">
            <v>0</v>
          </cell>
          <cell r="CY397" t="str">
            <v>0</v>
          </cell>
          <cell r="CZ397" t="str">
            <v>0</v>
          </cell>
          <cell r="DA397" t="str">
            <v>0</v>
          </cell>
          <cell r="DB397" t="str">
            <v>0</v>
          </cell>
          <cell r="DC397" t="str">
            <v>0</v>
          </cell>
          <cell r="DD397" t="str">
            <v>0</v>
          </cell>
          <cell r="DE397" t="str">
            <v>0</v>
          </cell>
          <cell r="DF397" t="str">
            <v>0</v>
          </cell>
          <cell r="DG397" t="str">
            <v>0</v>
          </cell>
          <cell r="DH397" t="str">
            <v>0</v>
          </cell>
          <cell r="DI397" t="str">
            <v>0</v>
          </cell>
          <cell r="DJ397" t="str">
            <v>0</v>
          </cell>
          <cell r="DK397" t="str">
            <v>0</v>
          </cell>
          <cell r="DL397" t="str">
            <v>0</v>
          </cell>
          <cell r="DM397" t="str">
            <v>0</v>
          </cell>
          <cell r="DN397" t="str">
            <v>0</v>
          </cell>
          <cell r="DO397" t="str">
            <v>0</v>
          </cell>
          <cell r="DP397" t="str">
            <v>0</v>
          </cell>
        </row>
        <row r="398">
          <cell r="C398"/>
          <cell r="D398" t="str">
            <v>0</v>
          </cell>
          <cell r="E398" t="str">
            <v>0</v>
          </cell>
          <cell r="F398" t="str">
            <v>0</v>
          </cell>
          <cell r="G398" t="str">
            <v>0</v>
          </cell>
          <cell r="H398" t="str">
            <v>0</v>
          </cell>
          <cell r="I398" t="str">
            <v>0</v>
          </cell>
          <cell r="J398" t="str">
            <v>0</v>
          </cell>
          <cell r="K398" t="str">
            <v>0</v>
          </cell>
          <cell r="L398" t="str">
            <v>0</v>
          </cell>
          <cell r="M398" t="str">
            <v>0</v>
          </cell>
          <cell r="N398" t="str">
            <v>0</v>
          </cell>
          <cell r="O398" t="str">
            <v>0</v>
          </cell>
          <cell r="P398" t="str">
            <v>0</v>
          </cell>
          <cell r="Q398" t="str">
            <v>0</v>
          </cell>
          <cell r="R398" t="str">
            <v>0</v>
          </cell>
          <cell r="S398" t="str">
            <v>0</v>
          </cell>
          <cell r="T398" t="str">
            <v>0</v>
          </cell>
          <cell r="U398" t="str">
            <v>0</v>
          </cell>
          <cell r="V398" t="str">
            <v>0</v>
          </cell>
          <cell r="W398" t="str">
            <v>0</v>
          </cell>
          <cell r="X398" t="str">
            <v>0</v>
          </cell>
          <cell r="Y398" t="str">
            <v>0</v>
          </cell>
          <cell r="Z398" t="str">
            <v>0</v>
          </cell>
          <cell r="AA398" t="str">
            <v>0</v>
          </cell>
          <cell r="AB398" t="str">
            <v>0</v>
          </cell>
          <cell r="AC398" t="str">
            <v>0</v>
          </cell>
          <cell r="AD398" t="str">
            <v>0</v>
          </cell>
          <cell r="AE398" t="str">
            <v>0</v>
          </cell>
          <cell r="AF398" t="str">
            <v>0</v>
          </cell>
          <cell r="AG398" t="str">
            <v>0</v>
          </cell>
          <cell r="AH398" t="str">
            <v>0</v>
          </cell>
          <cell r="AI398" t="str">
            <v>0</v>
          </cell>
          <cell r="AJ398" t="str">
            <v>0</v>
          </cell>
          <cell r="AK398" t="str">
            <v>0</v>
          </cell>
          <cell r="AL398" t="str">
            <v>0</v>
          </cell>
          <cell r="AM398" t="str">
            <v>0</v>
          </cell>
          <cell r="AN398" t="str">
            <v>0</v>
          </cell>
          <cell r="AO398" t="str">
            <v>0</v>
          </cell>
          <cell r="AP398" t="str">
            <v>0</v>
          </cell>
          <cell r="AQ398" t="str">
            <v>0</v>
          </cell>
          <cell r="AR398" t="str">
            <v>0</v>
          </cell>
          <cell r="AS398" t="str">
            <v>0</v>
          </cell>
          <cell r="AT398" t="str">
            <v>0</v>
          </cell>
          <cell r="AU398" t="str">
            <v>0</v>
          </cell>
          <cell r="AV398" t="str">
            <v>0</v>
          </cell>
          <cell r="AW398" t="str">
            <v>0</v>
          </cell>
          <cell r="AX398" t="str">
            <v>0</v>
          </cell>
          <cell r="AY398" t="str">
            <v>0</v>
          </cell>
          <cell r="AZ398" t="str">
            <v>0</v>
          </cell>
          <cell r="BA398" t="str">
            <v>0</v>
          </cell>
          <cell r="BB398" t="str">
            <v>0</v>
          </cell>
          <cell r="BC398" t="str">
            <v>0</v>
          </cell>
          <cell r="BD398" t="str">
            <v>0</v>
          </cell>
          <cell r="BE398" t="str">
            <v>0</v>
          </cell>
          <cell r="BF398" t="str">
            <v>0</v>
          </cell>
          <cell r="BG398" t="str">
            <v>0</v>
          </cell>
          <cell r="BH398" t="str">
            <v>0</v>
          </cell>
          <cell r="BI398" t="str">
            <v>0</v>
          </cell>
          <cell r="BJ398" t="str">
            <v>0</v>
          </cell>
          <cell r="BK398" t="str">
            <v>0</v>
          </cell>
          <cell r="BL398" t="str">
            <v>0</v>
          </cell>
          <cell r="BM398" t="str">
            <v>0</v>
          </cell>
          <cell r="BN398" t="str">
            <v>0</v>
          </cell>
          <cell r="BO398" t="str">
            <v>0</v>
          </cell>
          <cell r="BP398" t="str">
            <v>0</v>
          </cell>
          <cell r="BQ398" t="str">
            <v>0</v>
          </cell>
          <cell r="BR398" t="str">
            <v>0</v>
          </cell>
          <cell r="BS398" t="str">
            <v>0</v>
          </cell>
          <cell r="BT398" t="str">
            <v>0</v>
          </cell>
          <cell r="BU398" t="str">
            <v>0</v>
          </cell>
          <cell r="BV398" t="str">
            <v>0</v>
          </cell>
          <cell r="BW398" t="str">
            <v>0</v>
          </cell>
          <cell r="BX398" t="str">
            <v>0</v>
          </cell>
          <cell r="BY398" t="str">
            <v>0</v>
          </cell>
          <cell r="BZ398" t="str">
            <v>0</v>
          </cell>
          <cell r="CA398" t="str">
            <v>0</v>
          </cell>
          <cell r="CB398" t="str">
            <v>0</v>
          </cell>
          <cell r="CC398" t="str">
            <v>0</v>
          </cell>
          <cell r="CD398" t="str">
            <v>0</v>
          </cell>
          <cell r="CE398" t="str">
            <v>0</v>
          </cell>
          <cell r="CF398" t="str">
            <v>0</v>
          </cell>
          <cell r="CG398" t="str">
            <v>0</v>
          </cell>
          <cell r="CH398" t="str">
            <v>0</v>
          </cell>
          <cell r="CI398" t="str">
            <v>0</v>
          </cell>
          <cell r="CJ398" t="str">
            <v>0</v>
          </cell>
          <cell r="CK398" t="str">
            <v>0</v>
          </cell>
          <cell r="CL398" t="str">
            <v>0</v>
          </cell>
          <cell r="CM398" t="str">
            <v>0</v>
          </cell>
          <cell r="CN398" t="str">
            <v>0</v>
          </cell>
          <cell r="CO398" t="str">
            <v>0</v>
          </cell>
          <cell r="CP398" t="str">
            <v>0</v>
          </cell>
          <cell r="CQ398" t="str">
            <v>0</v>
          </cell>
          <cell r="CR398" t="str">
            <v>0</v>
          </cell>
          <cell r="CS398" t="str">
            <v>0</v>
          </cell>
          <cell r="CT398" t="str">
            <v>0</v>
          </cell>
          <cell r="CU398" t="str">
            <v>0</v>
          </cell>
          <cell r="CV398" t="str">
            <v>0</v>
          </cell>
          <cell r="CW398" t="str">
            <v>0</v>
          </cell>
          <cell r="CX398" t="str">
            <v>0</v>
          </cell>
          <cell r="CY398" t="str">
            <v>0</v>
          </cell>
          <cell r="CZ398" t="str">
            <v>0</v>
          </cell>
          <cell r="DA398" t="str">
            <v>0</v>
          </cell>
          <cell r="DB398" t="str">
            <v>0</v>
          </cell>
          <cell r="DC398" t="str">
            <v>0</v>
          </cell>
          <cell r="DD398" t="str">
            <v>0</v>
          </cell>
          <cell r="DE398" t="str">
            <v>0</v>
          </cell>
          <cell r="DF398" t="str">
            <v>0</v>
          </cell>
          <cell r="DG398" t="str">
            <v>0</v>
          </cell>
          <cell r="DH398" t="str">
            <v>0</v>
          </cell>
          <cell r="DI398" t="str">
            <v>0</v>
          </cell>
          <cell r="DJ398" t="str">
            <v>0</v>
          </cell>
          <cell r="DK398" t="str">
            <v>0</v>
          </cell>
          <cell r="DL398" t="str">
            <v>0</v>
          </cell>
          <cell r="DM398" t="str">
            <v>0</v>
          </cell>
          <cell r="DN398" t="str">
            <v>0</v>
          </cell>
          <cell r="DO398" t="str">
            <v>0</v>
          </cell>
          <cell r="DP398" t="str">
            <v>0</v>
          </cell>
        </row>
        <row r="399">
          <cell r="C399"/>
          <cell r="D399" t="str">
            <v>0</v>
          </cell>
          <cell r="E399" t="str">
            <v>0</v>
          </cell>
          <cell r="F399" t="str">
            <v>0</v>
          </cell>
          <cell r="G399" t="str">
            <v>0</v>
          </cell>
          <cell r="H399" t="str">
            <v>0</v>
          </cell>
          <cell r="I399" t="str">
            <v>0</v>
          </cell>
          <cell r="J399" t="str">
            <v>0</v>
          </cell>
          <cell r="K399" t="str">
            <v>0</v>
          </cell>
          <cell r="L399" t="str">
            <v>0</v>
          </cell>
          <cell r="M399" t="str">
            <v>0</v>
          </cell>
          <cell r="N399" t="str">
            <v>0</v>
          </cell>
          <cell r="O399" t="str">
            <v>0</v>
          </cell>
          <cell r="P399" t="str">
            <v>0</v>
          </cell>
          <cell r="Q399" t="str">
            <v>0</v>
          </cell>
          <cell r="R399" t="str">
            <v>0</v>
          </cell>
          <cell r="S399" t="str">
            <v>0</v>
          </cell>
          <cell r="T399" t="str">
            <v>0</v>
          </cell>
          <cell r="U399" t="str">
            <v>0</v>
          </cell>
          <cell r="V399" t="str">
            <v>0</v>
          </cell>
          <cell r="W399" t="str">
            <v>0</v>
          </cell>
          <cell r="X399" t="str">
            <v>0</v>
          </cell>
          <cell r="Y399" t="str">
            <v>0</v>
          </cell>
          <cell r="Z399" t="str">
            <v>0</v>
          </cell>
          <cell r="AA399" t="str">
            <v>0</v>
          </cell>
          <cell r="AB399" t="str">
            <v>0</v>
          </cell>
          <cell r="AC399" t="str">
            <v>0</v>
          </cell>
          <cell r="AD399" t="str">
            <v>0</v>
          </cell>
          <cell r="AE399" t="str">
            <v>0</v>
          </cell>
          <cell r="AF399" t="str">
            <v>0</v>
          </cell>
          <cell r="AG399" t="str">
            <v>0</v>
          </cell>
          <cell r="AH399" t="str">
            <v>0</v>
          </cell>
          <cell r="AI399" t="str">
            <v>0</v>
          </cell>
          <cell r="AJ399" t="str">
            <v>0</v>
          </cell>
          <cell r="AK399" t="str">
            <v>0</v>
          </cell>
          <cell r="AL399" t="str">
            <v>0</v>
          </cell>
          <cell r="AM399" t="str">
            <v>0</v>
          </cell>
          <cell r="AN399" t="str">
            <v>0</v>
          </cell>
          <cell r="AO399" t="str">
            <v>0</v>
          </cell>
          <cell r="AP399" t="str">
            <v>0</v>
          </cell>
          <cell r="AQ399" t="str">
            <v>0</v>
          </cell>
          <cell r="AR399" t="str">
            <v>0</v>
          </cell>
          <cell r="AS399" t="str">
            <v>0</v>
          </cell>
          <cell r="AT399" t="str">
            <v>0</v>
          </cell>
          <cell r="AU399" t="str">
            <v>0</v>
          </cell>
          <cell r="AV399" t="str">
            <v>0</v>
          </cell>
          <cell r="AW399" t="str">
            <v>0</v>
          </cell>
          <cell r="AX399" t="str">
            <v>0</v>
          </cell>
          <cell r="AY399" t="str">
            <v>0</v>
          </cell>
          <cell r="AZ399" t="str">
            <v>0</v>
          </cell>
          <cell r="BA399" t="str">
            <v>0</v>
          </cell>
          <cell r="BB399" t="str">
            <v>0</v>
          </cell>
          <cell r="BC399" t="str">
            <v>0</v>
          </cell>
          <cell r="BD399" t="str">
            <v>0</v>
          </cell>
          <cell r="BE399" t="str">
            <v>0</v>
          </cell>
          <cell r="BF399" t="str">
            <v>0</v>
          </cell>
          <cell r="BG399" t="str">
            <v>0</v>
          </cell>
          <cell r="BH399" t="str">
            <v>0</v>
          </cell>
          <cell r="BI399" t="str">
            <v>0</v>
          </cell>
          <cell r="BJ399" t="str">
            <v>0</v>
          </cell>
          <cell r="BK399" t="str">
            <v>0</v>
          </cell>
          <cell r="BL399" t="str">
            <v>0</v>
          </cell>
          <cell r="BM399" t="str">
            <v>0</v>
          </cell>
          <cell r="BN399" t="str">
            <v>0</v>
          </cell>
          <cell r="BO399" t="str">
            <v>0</v>
          </cell>
          <cell r="BP399" t="str">
            <v>0</v>
          </cell>
          <cell r="BQ399" t="str">
            <v>0</v>
          </cell>
          <cell r="BR399" t="str">
            <v>0</v>
          </cell>
          <cell r="BS399" t="str">
            <v>0</v>
          </cell>
          <cell r="BT399" t="str">
            <v>0</v>
          </cell>
          <cell r="BU399" t="str">
            <v>0</v>
          </cell>
          <cell r="BV399" t="str">
            <v>0</v>
          </cell>
          <cell r="BW399" t="str">
            <v>0</v>
          </cell>
          <cell r="BX399" t="str">
            <v>0</v>
          </cell>
          <cell r="BY399" t="str">
            <v>0</v>
          </cell>
          <cell r="BZ399" t="str">
            <v>0</v>
          </cell>
          <cell r="CA399" t="str">
            <v>0</v>
          </cell>
          <cell r="CB399" t="str">
            <v>0</v>
          </cell>
          <cell r="CC399" t="str">
            <v>0</v>
          </cell>
          <cell r="CD399" t="str">
            <v>0</v>
          </cell>
          <cell r="CE399" t="str">
            <v>0</v>
          </cell>
          <cell r="CF399" t="str">
            <v>0</v>
          </cell>
          <cell r="CG399" t="str">
            <v>0</v>
          </cell>
          <cell r="CH399" t="str">
            <v>0</v>
          </cell>
          <cell r="CI399" t="str">
            <v>0</v>
          </cell>
          <cell r="CJ399" t="str">
            <v>0</v>
          </cell>
          <cell r="CK399" t="str">
            <v>0</v>
          </cell>
          <cell r="CL399" t="str">
            <v>0</v>
          </cell>
          <cell r="CM399" t="str">
            <v>0</v>
          </cell>
          <cell r="CN399" t="str">
            <v>0</v>
          </cell>
          <cell r="CO399" t="str">
            <v>0</v>
          </cell>
          <cell r="CP399" t="str">
            <v>0</v>
          </cell>
          <cell r="CQ399" t="str">
            <v>0</v>
          </cell>
          <cell r="CR399" t="str">
            <v>0</v>
          </cell>
          <cell r="CS399" t="str">
            <v>0</v>
          </cell>
          <cell r="CT399" t="str">
            <v>0</v>
          </cell>
          <cell r="CU399" t="str">
            <v>0</v>
          </cell>
          <cell r="CV399" t="str">
            <v>0</v>
          </cell>
          <cell r="CW399" t="str">
            <v>0</v>
          </cell>
          <cell r="CX399" t="str">
            <v>0</v>
          </cell>
          <cell r="CY399" t="str">
            <v>0</v>
          </cell>
          <cell r="CZ399" t="str">
            <v>0</v>
          </cell>
          <cell r="DA399" t="str">
            <v>0</v>
          </cell>
          <cell r="DB399" t="str">
            <v>0</v>
          </cell>
          <cell r="DC399" t="str">
            <v>0</v>
          </cell>
          <cell r="DD399" t="str">
            <v>0</v>
          </cell>
          <cell r="DE399" t="str">
            <v>0</v>
          </cell>
          <cell r="DF399" t="str">
            <v>0</v>
          </cell>
          <cell r="DG399" t="str">
            <v>0</v>
          </cell>
          <cell r="DH399" t="str">
            <v>0</v>
          </cell>
          <cell r="DI399" t="str">
            <v>0</v>
          </cell>
          <cell r="DJ399" t="str">
            <v>0</v>
          </cell>
          <cell r="DK399" t="str">
            <v>0</v>
          </cell>
          <cell r="DL399" t="str">
            <v>0</v>
          </cell>
          <cell r="DM399" t="str">
            <v>0</v>
          </cell>
          <cell r="DN399" t="str">
            <v>0</v>
          </cell>
          <cell r="DO399" t="str">
            <v>0</v>
          </cell>
          <cell r="DP399" t="str">
            <v>0</v>
          </cell>
        </row>
        <row r="400">
          <cell r="C400"/>
          <cell r="D400" t="str">
            <v>0</v>
          </cell>
          <cell r="E400" t="str">
            <v>0</v>
          </cell>
          <cell r="F400" t="str">
            <v>0</v>
          </cell>
          <cell r="G400" t="str">
            <v>0</v>
          </cell>
          <cell r="H400" t="str">
            <v>0</v>
          </cell>
          <cell r="I400" t="str">
            <v>0</v>
          </cell>
          <cell r="J400" t="str">
            <v>0</v>
          </cell>
          <cell r="K400" t="str">
            <v>0</v>
          </cell>
          <cell r="L400" t="str">
            <v>0</v>
          </cell>
          <cell r="M400" t="str">
            <v>0</v>
          </cell>
          <cell r="N400" t="str">
            <v>0</v>
          </cell>
          <cell r="O400" t="str">
            <v>0</v>
          </cell>
          <cell r="P400" t="str">
            <v>0</v>
          </cell>
          <cell r="Q400" t="str">
            <v>0</v>
          </cell>
          <cell r="R400" t="str">
            <v>0</v>
          </cell>
          <cell r="S400" t="str">
            <v>0</v>
          </cell>
          <cell r="T400" t="str">
            <v>0</v>
          </cell>
          <cell r="U400" t="str">
            <v>0</v>
          </cell>
          <cell r="V400" t="str">
            <v>0</v>
          </cell>
          <cell r="W400" t="str">
            <v>0</v>
          </cell>
          <cell r="X400" t="str">
            <v>0</v>
          </cell>
          <cell r="Y400" t="str">
            <v>0</v>
          </cell>
          <cell r="Z400" t="str">
            <v>0</v>
          </cell>
          <cell r="AA400" t="str">
            <v>0</v>
          </cell>
          <cell r="AB400" t="str">
            <v>0</v>
          </cell>
          <cell r="AC400" t="str">
            <v>0</v>
          </cell>
          <cell r="AD400" t="str">
            <v>0</v>
          </cell>
          <cell r="AE400" t="str">
            <v>0</v>
          </cell>
          <cell r="AF400" t="str">
            <v>0</v>
          </cell>
          <cell r="AG400" t="str">
            <v>0</v>
          </cell>
          <cell r="AH400" t="str">
            <v>0</v>
          </cell>
          <cell r="AI400" t="str">
            <v>0</v>
          </cell>
          <cell r="AJ400" t="str">
            <v>0</v>
          </cell>
          <cell r="AK400" t="str">
            <v>0</v>
          </cell>
          <cell r="AL400" t="str">
            <v>0</v>
          </cell>
          <cell r="AM400" t="str">
            <v>0</v>
          </cell>
          <cell r="AN400" t="str">
            <v>0</v>
          </cell>
          <cell r="AO400" t="str">
            <v>0</v>
          </cell>
          <cell r="AP400" t="str">
            <v>0</v>
          </cell>
          <cell r="AQ400" t="str">
            <v>0</v>
          </cell>
          <cell r="AR400" t="str">
            <v>0</v>
          </cell>
          <cell r="AS400" t="str">
            <v>0</v>
          </cell>
          <cell r="AT400" t="str">
            <v>0</v>
          </cell>
          <cell r="AU400" t="str">
            <v>0</v>
          </cell>
          <cell r="AV400" t="str">
            <v>0</v>
          </cell>
          <cell r="AW400" t="str">
            <v>0</v>
          </cell>
          <cell r="AX400" t="str">
            <v>0</v>
          </cell>
          <cell r="AY400" t="str">
            <v>0</v>
          </cell>
          <cell r="AZ400" t="str">
            <v>0</v>
          </cell>
          <cell r="BA400" t="str">
            <v>0</v>
          </cell>
          <cell r="BB400" t="str">
            <v>0</v>
          </cell>
          <cell r="BC400" t="str">
            <v>0</v>
          </cell>
          <cell r="BD400" t="str">
            <v>0</v>
          </cell>
          <cell r="BE400" t="str">
            <v>0</v>
          </cell>
          <cell r="BF400" t="str">
            <v>0</v>
          </cell>
          <cell r="BG400" t="str">
            <v>0</v>
          </cell>
          <cell r="BH400" t="str">
            <v>0</v>
          </cell>
          <cell r="BI400" t="str">
            <v>0</v>
          </cell>
          <cell r="BJ400" t="str">
            <v>0</v>
          </cell>
          <cell r="BK400" t="str">
            <v>0</v>
          </cell>
          <cell r="BL400" t="str">
            <v>0</v>
          </cell>
          <cell r="BM400" t="str">
            <v>0</v>
          </cell>
          <cell r="BN400" t="str">
            <v>0</v>
          </cell>
          <cell r="BO400" t="str">
            <v>0</v>
          </cell>
          <cell r="BP400" t="str">
            <v>0</v>
          </cell>
          <cell r="BQ400" t="str">
            <v>0</v>
          </cell>
          <cell r="BR400" t="str">
            <v>0</v>
          </cell>
          <cell r="BS400" t="str">
            <v>0</v>
          </cell>
          <cell r="BT400" t="str">
            <v>0</v>
          </cell>
          <cell r="BU400" t="str">
            <v>0</v>
          </cell>
          <cell r="BV400" t="str">
            <v>0</v>
          </cell>
          <cell r="BW400" t="str">
            <v>0</v>
          </cell>
          <cell r="BX400" t="str">
            <v>0</v>
          </cell>
          <cell r="BY400" t="str">
            <v>0</v>
          </cell>
          <cell r="BZ400" t="str">
            <v>0</v>
          </cell>
          <cell r="CA400" t="str">
            <v>0</v>
          </cell>
          <cell r="CB400" t="str">
            <v>0</v>
          </cell>
          <cell r="CC400" t="str">
            <v>0</v>
          </cell>
          <cell r="CD400" t="str">
            <v>0</v>
          </cell>
          <cell r="CE400" t="str">
            <v>0</v>
          </cell>
          <cell r="CF400" t="str">
            <v>0</v>
          </cell>
          <cell r="CG400" t="str">
            <v>0</v>
          </cell>
          <cell r="CH400" t="str">
            <v>0</v>
          </cell>
          <cell r="CI400" t="str">
            <v>0</v>
          </cell>
          <cell r="CJ400" t="str">
            <v>0</v>
          </cell>
          <cell r="CK400" t="str">
            <v>0</v>
          </cell>
          <cell r="CL400" t="str">
            <v>0</v>
          </cell>
          <cell r="CM400" t="str">
            <v>0</v>
          </cell>
          <cell r="CN400" t="str">
            <v>0</v>
          </cell>
          <cell r="CO400" t="str">
            <v>0</v>
          </cell>
          <cell r="CP400" t="str">
            <v>0</v>
          </cell>
          <cell r="CQ400" t="str">
            <v>0</v>
          </cell>
          <cell r="CR400" t="str">
            <v>0</v>
          </cell>
          <cell r="CS400" t="str">
            <v>0</v>
          </cell>
          <cell r="CT400" t="str">
            <v>0</v>
          </cell>
          <cell r="CU400" t="str">
            <v>0</v>
          </cell>
          <cell r="CV400" t="str">
            <v>0</v>
          </cell>
          <cell r="CW400" t="str">
            <v>0</v>
          </cell>
          <cell r="CX400" t="str">
            <v>0</v>
          </cell>
          <cell r="CY400" t="str">
            <v>0</v>
          </cell>
          <cell r="CZ400" t="str">
            <v>0</v>
          </cell>
          <cell r="DA400" t="str">
            <v>0</v>
          </cell>
          <cell r="DB400" t="str">
            <v>0</v>
          </cell>
          <cell r="DC400" t="str">
            <v>0</v>
          </cell>
          <cell r="DD400" t="str">
            <v>0</v>
          </cell>
          <cell r="DE400" t="str">
            <v>0</v>
          </cell>
          <cell r="DF400" t="str">
            <v>0</v>
          </cell>
          <cell r="DG400" t="str">
            <v>0</v>
          </cell>
          <cell r="DH400" t="str">
            <v>0</v>
          </cell>
          <cell r="DI400" t="str">
            <v>0</v>
          </cell>
          <cell r="DJ400" t="str">
            <v>0</v>
          </cell>
          <cell r="DK400" t="str">
            <v>0</v>
          </cell>
          <cell r="DL400" t="str">
            <v>0</v>
          </cell>
          <cell r="DM400" t="str">
            <v>0</v>
          </cell>
          <cell r="DN400" t="str">
            <v>0</v>
          </cell>
          <cell r="DO400" t="str">
            <v>0</v>
          </cell>
          <cell r="DP400" t="str">
            <v>0</v>
          </cell>
        </row>
        <row r="401">
          <cell r="C401"/>
          <cell r="D401" t="str">
            <v>0</v>
          </cell>
          <cell r="E401" t="str">
            <v>0</v>
          </cell>
          <cell r="F401" t="str">
            <v>0</v>
          </cell>
          <cell r="G401" t="str">
            <v>0</v>
          </cell>
          <cell r="H401" t="str">
            <v>0</v>
          </cell>
          <cell r="I401" t="str">
            <v>0</v>
          </cell>
          <cell r="J401" t="str">
            <v>0</v>
          </cell>
          <cell r="K401" t="str">
            <v>0</v>
          </cell>
          <cell r="L401" t="str">
            <v>0</v>
          </cell>
          <cell r="M401" t="str">
            <v>0</v>
          </cell>
          <cell r="N401" t="str">
            <v>0</v>
          </cell>
          <cell r="O401" t="str">
            <v>0</v>
          </cell>
          <cell r="P401" t="str">
            <v>0</v>
          </cell>
          <cell r="Q401" t="str">
            <v>0</v>
          </cell>
          <cell r="R401" t="str">
            <v>0</v>
          </cell>
          <cell r="S401" t="str">
            <v>0</v>
          </cell>
          <cell r="T401" t="str">
            <v>0</v>
          </cell>
          <cell r="U401" t="str">
            <v>0</v>
          </cell>
          <cell r="V401" t="str">
            <v>0</v>
          </cell>
          <cell r="W401" t="str">
            <v>0</v>
          </cell>
          <cell r="X401" t="str">
            <v>0</v>
          </cell>
          <cell r="Y401" t="str">
            <v>0</v>
          </cell>
          <cell r="Z401" t="str">
            <v>0</v>
          </cell>
          <cell r="AA401" t="str">
            <v>0</v>
          </cell>
          <cell r="AB401" t="str">
            <v>0</v>
          </cell>
          <cell r="AC401" t="str">
            <v>0</v>
          </cell>
          <cell r="AD401" t="str">
            <v>0</v>
          </cell>
          <cell r="AE401" t="str">
            <v>0</v>
          </cell>
          <cell r="AF401" t="str">
            <v>0</v>
          </cell>
          <cell r="AG401" t="str">
            <v>0</v>
          </cell>
          <cell r="AH401" t="str">
            <v>0</v>
          </cell>
          <cell r="AI401" t="str">
            <v>0</v>
          </cell>
          <cell r="AJ401" t="str">
            <v>0</v>
          </cell>
          <cell r="AK401" t="str">
            <v>0</v>
          </cell>
          <cell r="AL401" t="str">
            <v>0</v>
          </cell>
          <cell r="AM401" t="str">
            <v>0</v>
          </cell>
          <cell r="AN401" t="str">
            <v>0</v>
          </cell>
          <cell r="AO401" t="str">
            <v>0</v>
          </cell>
          <cell r="AP401" t="str">
            <v>0</v>
          </cell>
          <cell r="AQ401" t="str">
            <v>0</v>
          </cell>
          <cell r="AR401" t="str">
            <v>0</v>
          </cell>
          <cell r="AS401" t="str">
            <v>0</v>
          </cell>
          <cell r="AT401" t="str">
            <v>0</v>
          </cell>
          <cell r="AU401" t="str">
            <v>0</v>
          </cell>
          <cell r="AV401" t="str">
            <v>0</v>
          </cell>
          <cell r="AW401" t="str">
            <v>0</v>
          </cell>
          <cell r="AX401" t="str">
            <v>0</v>
          </cell>
          <cell r="AY401" t="str">
            <v>0</v>
          </cell>
          <cell r="AZ401" t="str">
            <v>0</v>
          </cell>
          <cell r="BA401" t="str">
            <v>0</v>
          </cell>
          <cell r="BB401" t="str">
            <v>0</v>
          </cell>
          <cell r="BC401" t="str">
            <v>0</v>
          </cell>
          <cell r="BD401" t="str">
            <v>0</v>
          </cell>
          <cell r="BE401" t="str">
            <v>0</v>
          </cell>
          <cell r="BF401" t="str">
            <v>0</v>
          </cell>
          <cell r="BG401" t="str">
            <v>0</v>
          </cell>
          <cell r="BH401" t="str">
            <v>0</v>
          </cell>
          <cell r="BI401" t="str">
            <v>0</v>
          </cell>
          <cell r="BJ401" t="str">
            <v>0</v>
          </cell>
          <cell r="BK401" t="str">
            <v>0</v>
          </cell>
          <cell r="BL401" t="str">
            <v>0</v>
          </cell>
          <cell r="BM401" t="str">
            <v>0</v>
          </cell>
          <cell r="BN401" t="str">
            <v>0</v>
          </cell>
          <cell r="BO401" t="str">
            <v>0</v>
          </cell>
          <cell r="BP401" t="str">
            <v>0</v>
          </cell>
          <cell r="BQ401" t="str">
            <v>0</v>
          </cell>
          <cell r="BR401" t="str">
            <v>0</v>
          </cell>
          <cell r="BS401" t="str">
            <v>0</v>
          </cell>
          <cell r="BT401" t="str">
            <v>0</v>
          </cell>
          <cell r="BU401" t="str">
            <v>0</v>
          </cell>
          <cell r="BV401" t="str">
            <v>0</v>
          </cell>
          <cell r="BW401" t="str">
            <v>0</v>
          </cell>
          <cell r="BX401" t="str">
            <v>0</v>
          </cell>
          <cell r="BY401" t="str">
            <v>0</v>
          </cell>
          <cell r="BZ401" t="str">
            <v>0</v>
          </cell>
          <cell r="CA401" t="str">
            <v>0</v>
          </cell>
          <cell r="CB401" t="str">
            <v>0</v>
          </cell>
          <cell r="CC401" t="str">
            <v>0</v>
          </cell>
          <cell r="CD401" t="str">
            <v>0</v>
          </cell>
          <cell r="CE401" t="str">
            <v>0</v>
          </cell>
          <cell r="CF401" t="str">
            <v>0</v>
          </cell>
          <cell r="CG401" t="str">
            <v>0</v>
          </cell>
          <cell r="CH401" t="str">
            <v>0</v>
          </cell>
          <cell r="CI401" t="str">
            <v>0</v>
          </cell>
          <cell r="CJ401" t="str">
            <v>0</v>
          </cell>
          <cell r="CK401" t="str">
            <v>0</v>
          </cell>
          <cell r="CL401" t="str">
            <v>0</v>
          </cell>
          <cell r="CM401" t="str">
            <v>0</v>
          </cell>
          <cell r="CN401" t="str">
            <v>0</v>
          </cell>
          <cell r="CO401" t="str">
            <v>0</v>
          </cell>
          <cell r="CP401" t="str">
            <v>0</v>
          </cell>
          <cell r="CQ401" t="str">
            <v>0</v>
          </cell>
          <cell r="CR401" t="str">
            <v>0</v>
          </cell>
          <cell r="CS401" t="str">
            <v>0</v>
          </cell>
          <cell r="CT401" t="str">
            <v>0</v>
          </cell>
          <cell r="CU401" t="str">
            <v>0</v>
          </cell>
          <cell r="CV401" t="str">
            <v>0</v>
          </cell>
          <cell r="CW401" t="str">
            <v>0</v>
          </cell>
          <cell r="CX401" t="str">
            <v>0</v>
          </cell>
          <cell r="CY401" t="str">
            <v>0</v>
          </cell>
          <cell r="CZ401" t="str">
            <v>0</v>
          </cell>
          <cell r="DA401" t="str">
            <v>0</v>
          </cell>
          <cell r="DB401" t="str">
            <v>0</v>
          </cell>
          <cell r="DC401" t="str">
            <v>0</v>
          </cell>
          <cell r="DD401" t="str">
            <v>0</v>
          </cell>
          <cell r="DE401" t="str">
            <v>0</v>
          </cell>
          <cell r="DF401" t="str">
            <v>0</v>
          </cell>
          <cell r="DG401" t="str">
            <v>0</v>
          </cell>
          <cell r="DH401" t="str">
            <v>0</v>
          </cell>
          <cell r="DI401" t="str">
            <v>0</v>
          </cell>
          <cell r="DJ401" t="str">
            <v>0</v>
          </cell>
          <cell r="DK401" t="str">
            <v>0</v>
          </cell>
          <cell r="DL401" t="str">
            <v>0</v>
          </cell>
          <cell r="DM401" t="str">
            <v>0</v>
          </cell>
          <cell r="DN401" t="str">
            <v>0</v>
          </cell>
          <cell r="DO401" t="str">
            <v>0</v>
          </cell>
          <cell r="DP401" t="str">
            <v>0</v>
          </cell>
        </row>
        <row r="402">
          <cell r="C402"/>
          <cell r="D402" t="str">
            <v>0</v>
          </cell>
          <cell r="E402" t="str">
            <v>0</v>
          </cell>
          <cell r="F402" t="str">
            <v>0</v>
          </cell>
          <cell r="G402" t="str">
            <v>0</v>
          </cell>
          <cell r="H402" t="str">
            <v>0</v>
          </cell>
          <cell r="I402" t="str">
            <v>0</v>
          </cell>
          <cell r="J402" t="str">
            <v>0</v>
          </cell>
          <cell r="K402" t="str">
            <v>0</v>
          </cell>
          <cell r="L402" t="str">
            <v>0</v>
          </cell>
          <cell r="M402" t="str">
            <v>0</v>
          </cell>
          <cell r="N402" t="str">
            <v>0</v>
          </cell>
          <cell r="O402" t="str">
            <v>0</v>
          </cell>
          <cell r="P402" t="str">
            <v>0</v>
          </cell>
          <cell r="Q402" t="str">
            <v>0</v>
          </cell>
          <cell r="R402" t="str">
            <v>0</v>
          </cell>
          <cell r="S402" t="str">
            <v>0</v>
          </cell>
          <cell r="T402" t="str">
            <v>0</v>
          </cell>
          <cell r="U402" t="str">
            <v>0</v>
          </cell>
          <cell r="V402" t="str">
            <v>0</v>
          </cell>
          <cell r="W402" t="str">
            <v>0</v>
          </cell>
          <cell r="X402" t="str">
            <v>0</v>
          </cell>
          <cell r="Y402" t="str">
            <v>0</v>
          </cell>
          <cell r="Z402" t="str">
            <v>0</v>
          </cell>
          <cell r="AA402" t="str">
            <v>0</v>
          </cell>
          <cell r="AB402" t="str">
            <v>0</v>
          </cell>
          <cell r="AC402" t="str">
            <v>0</v>
          </cell>
          <cell r="AD402" t="str">
            <v>0</v>
          </cell>
          <cell r="AE402" t="str">
            <v>0</v>
          </cell>
          <cell r="AF402" t="str">
            <v>0</v>
          </cell>
          <cell r="AG402" t="str">
            <v>0</v>
          </cell>
          <cell r="AH402" t="str">
            <v>0</v>
          </cell>
          <cell r="AI402" t="str">
            <v>0</v>
          </cell>
          <cell r="AJ402" t="str">
            <v>0</v>
          </cell>
          <cell r="AK402" t="str">
            <v>0</v>
          </cell>
          <cell r="AL402" t="str">
            <v>0</v>
          </cell>
          <cell r="AM402" t="str">
            <v>0</v>
          </cell>
          <cell r="AN402" t="str">
            <v>0</v>
          </cell>
          <cell r="AO402" t="str">
            <v>0</v>
          </cell>
          <cell r="AP402" t="str">
            <v>0</v>
          </cell>
          <cell r="AQ402" t="str">
            <v>0</v>
          </cell>
          <cell r="AR402" t="str">
            <v>0</v>
          </cell>
          <cell r="AS402" t="str">
            <v>0</v>
          </cell>
          <cell r="AT402" t="str">
            <v>0</v>
          </cell>
          <cell r="AU402" t="str">
            <v>0</v>
          </cell>
          <cell r="AV402" t="str">
            <v>0</v>
          </cell>
          <cell r="AW402" t="str">
            <v>0</v>
          </cell>
          <cell r="AX402" t="str">
            <v>0</v>
          </cell>
          <cell r="AY402" t="str">
            <v>0</v>
          </cell>
          <cell r="AZ402" t="str">
            <v>0</v>
          </cell>
          <cell r="BA402" t="str">
            <v>0</v>
          </cell>
          <cell r="BB402" t="str">
            <v>0</v>
          </cell>
          <cell r="BC402" t="str">
            <v>0</v>
          </cell>
          <cell r="BD402" t="str">
            <v>0</v>
          </cell>
          <cell r="BE402" t="str">
            <v>0</v>
          </cell>
          <cell r="BF402" t="str">
            <v>0</v>
          </cell>
          <cell r="BG402" t="str">
            <v>0</v>
          </cell>
          <cell r="BH402" t="str">
            <v>0</v>
          </cell>
          <cell r="BI402" t="str">
            <v>0</v>
          </cell>
          <cell r="BJ402" t="str">
            <v>0</v>
          </cell>
          <cell r="BK402" t="str">
            <v>0</v>
          </cell>
          <cell r="BL402" t="str">
            <v>0</v>
          </cell>
          <cell r="BM402" t="str">
            <v>0</v>
          </cell>
          <cell r="BN402" t="str">
            <v>0</v>
          </cell>
          <cell r="BO402" t="str">
            <v>0</v>
          </cell>
          <cell r="BP402" t="str">
            <v>0</v>
          </cell>
          <cell r="BQ402" t="str">
            <v>0</v>
          </cell>
          <cell r="BR402" t="str">
            <v>0</v>
          </cell>
          <cell r="BS402" t="str">
            <v>0</v>
          </cell>
          <cell r="BT402" t="str">
            <v>0</v>
          </cell>
          <cell r="BU402" t="str">
            <v>0</v>
          </cell>
          <cell r="BV402" t="str">
            <v>0</v>
          </cell>
          <cell r="BW402" t="str">
            <v>0</v>
          </cell>
          <cell r="BX402" t="str">
            <v>0</v>
          </cell>
          <cell r="BY402" t="str">
            <v>0</v>
          </cell>
          <cell r="BZ402" t="str">
            <v>0</v>
          </cell>
          <cell r="CA402" t="str">
            <v>0</v>
          </cell>
          <cell r="CB402" t="str">
            <v>0</v>
          </cell>
          <cell r="CC402" t="str">
            <v>0</v>
          </cell>
          <cell r="CD402" t="str">
            <v>0</v>
          </cell>
          <cell r="CE402" t="str">
            <v>0</v>
          </cell>
          <cell r="CF402" t="str">
            <v>0</v>
          </cell>
          <cell r="CG402" t="str">
            <v>0</v>
          </cell>
          <cell r="CH402" t="str">
            <v>0</v>
          </cell>
          <cell r="CI402" t="str">
            <v>0</v>
          </cell>
          <cell r="CJ402" t="str">
            <v>0</v>
          </cell>
          <cell r="CK402" t="str">
            <v>0</v>
          </cell>
          <cell r="CL402" t="str">
            <v>0</v>
          </cell>
          <cell r="CM402" t="str">
            <v>0</v>
          </cell>
          <cell r="CN402" t="str">
            <v>0</v>
          </cell>
          <cell r="CO402" t="str">
            <v>0</v>
          </cell>
          <cell r="CP402" t="str">
            <v>0</v>
          </cell>
          <cell r="CQ402" t="str">
            <v>0</v>
          </cell>
          <cell r="CR402" t="str">
            <v>0</v>
          </cell>
          <cell r="CS402" t="str">
            <v>0</v>
          </cell>
          <cell r="CT402" t="str">
            <v>0</v>
          </cell>
          <cell r="CU402" t="str">
            <v>0</v>
          </cell>
          <cell r="CV402" t="str">
            <v>0</v>
          </cell>
          <cell r="CW402" t="str">
            <v>0</v>
          </cell>
          <cell r="CX402" t="str">
            <v>0</v>
          </cell>
          <cell r="CY402" t="str">
            <v>0</v>
          </cell>
          <cell r="CZ402" t="str">
            <v>0</v>
          </cell>
          <cell r="DA402" t="str">
            <v>0</v>
          </cell>
          <cell r="DB402" t="str">
            <v>0</v>
          </cell>
          <cell r="DC402" t="str">
            <v>0</v>
          </cell>
          <cell r="DD402" t="str">
            <v>0</v>
          </cell>
          <cell r="DE402" t="str">
            <v>0</v>
          </cell>
          <cell r="DF402" t="str">
            <v>0</v>
          </cell>
          <cell r="DG402" t="str">
            <v>0</v>
          </cell>
          <cell r="DH402" t="str">
            <v>0</v>
          </cell>
          <cell r="DI402" t="str">
            <v>0</v>
          </cell>
          <cell r="DJ402" t="str">
            <v>0</v>
          </cell>
          <cell r="DK402" t="str">
            <v>0</v>
          </cell>
          <cell r="DL402" t="str">
            <v>0</v>
          </cell>
          <cell r="DM402" t="str">
            <v>0</v>
          </cell>
          <cell r="DN402" t="str">
            <v>0</v>
          </cell>
          <cell r="DO402" t="str">
            <v>0</v>
          </cell>
          <cell r="DP402" t="str">
            <v>0</v>
          </cell>
        </row>
        <row r="403">
          <cell r="C403"/>
          <cell r="D403" t="str">
            <v>0</v>
          </cell>
          <cell r="E403" t="str">
            <v>0</v>
          </cell>
          <cell r="F403" t="str">
            <v>0</v>
          </cell>
          <cell r="G403" t="str">
            <v>0</v>
          </cell>
          <cell r="H403" t="str">
            <v>0</v>
          </cell>
          <cell r="I403" t="str">
            <v>0</v>
          </cell>
          <cell r="J403" t="str">
            <v>0</v>
          </cell>
          <cell r="K403" t="str">
            <v>0</v>
          </cell>
          <cell r="L403" t="str">
            <v>0</v>
          </cell>
          <cell r="M403" t="str">
            <v>0</v>
          </cell>
          <cell r="N403" t="str">
            <v>0</v>
          </cell>
          <cell r="O403" t="str">
            <v>0</v>
          </cell>
          <cell r="P403" t="str">
            <v>0</v>
          </cell>
          <cell r="Q403" t="str">
            <v>0</v>
          </cell>
          <cell r="R403" t="str">
            <v>0</v>
          </cell>
          <cell r="S403" t="str">
            <v>0</v>
          </cell>
          <cell r="T403" t="str">
            <v>0</v>
          </cell>
          <cell r="U403" t="str">
            <v>0</v>
          </cell>
          <cell r="V403" t="str">
            <v>0</v>
          </cell>
          <cell r="W403" t="str">
            <v>0</v>
          </cell>
          <cell r="X403" t="str">
            <v>0</v>
          </cell>
          <cell r="Y403" t="str">
            <v>0</v>
          </cell>
          <cell r="Z403" t="str">
            <v>0</v>
          </cell>
          <cell r="AA403" t="str">
            <v>0</v>
          </cell>
          <cell r="AB403" t="str">
            <v>0</v>
          </cell>
          <cell r="AC403" t="str">
            <v>0</v>
          </cell>
          <cell r="AD403" t="str">
            <v>0</v>
          </cell>
          <cell r="AE403" t="str">
            <v>0</v>
          </cell>
          <cell r="AF403" t="str">
            <v>0</v>
          </cell>
          <cell r="AG403" t="str">
            <v>0</v>
          </cell>
          <cell r="AH403" t="str">
            <v>0</v>
          </cell>
          <cell r="AI403" t="str">
            <v>0</v>
          </cell>
          <cell r="AJ403" t="str">
            <v>0</v>
          </cell>
          <cell r="AK403" t="str">
            <v>0</v>
          </cell>
          <cell r="AL403" t="str">
            <v>0</v>
          </cell>
          <cell r="AM403" t="str">
            <v>0</v>
          </cell>
          <cell r="AN403" t="str">
            <v>0</v>
          </cell>
          <cell r="AO403" t="str">
            <v>0</v>
          </cell>
          <cell r="AP403" t="str">
            <v>0</v>
          </cell>
          <cell r="AQ403" t="str">
            <v>0</v>
          </cell>
          <cell r="AR403" t="str">
            <v>0</v>
          </cell>
          <cell r="AS403" t="str">
            <v>0</v>
          </cell>
          <cell r="AT403" t="str">
            <v>0</v>
          </cell>
          <cell r="AU403" t="str">
            <v>0</v>
          </cell>
          <cell r="AV403" t="str">
            <v>0</v>
          </cell>
          <cell r="AW403" t="str">
            <v>0</v>
          </cell>
          <cell r="AX403" t="str">
            <v>0</v>
          </cell>
          <cell r="AY403" t="str">
            <v>0</v>
          </cell>
          <cell r="AZ403" t="str">
            <v>0</v>
          </cell>
          <cell r="BA403" t="str">
            <v>0</v>
          </cell>
          <cell r="BB403" t="str">
            <v>0</v>
          </cell>
          <cell r="BC403" t="str">
            <v>0</v>
          </cell>
          <cell r="BD403" t="str">
            <v>0</v>
          </cell>
          <cell r="BE403" t="str">
            <v>0</v>
          </cell>
          <cell r="BF403" t="str">
            <v>0</v>
          </cell>
          <cell r="BG403" t="str">
            <v>0</v>
          </cell>
          <cell r="BH403" t="str">
            <v>0</v>
          </cell>
          <cell r="BI403" t="str">
            <v>0</v>
          </cell>
          <cell r="BJ403" t="str">
            <v>0</v>
          </cell>
          <cell r="BK403" t="str">
            <v>0</v>
          </cell>
          <cell r="BL403" t="str">
            <v>0</v>
          </cell>
          <cell r="BM403" t="str">
            <v>0</v>
          </cell>
          <cell r="BN403" t="str">
            <v>0</v>
          </cell>
          <cell r="BO403" t="str">
            <v>0</v>
          </cell>
          <cell r="BP403" t="str">
            <v>0</v>
          </cell>
          <cell r="BQ403" t="str">
            <v>0</v>
          </cell>
          <cell r="BR403" t="str">
            <v>0</v>
          </cell>
          <cell r="BS403" t="str">
            <v>0</v>
          </cell>
          <cell r="BT403" t="str">
            <v>0</v>
          </cell>
          <cell r="BU403" t="str">
            <v>0</v>
          </cell>
          <cell r="BV403" t="str">
            <v>0</v>
          </cell>
          <cell r="BW403" t="str">
            <v>0</v>
          </cell>
          <cell r="BX403" t="str">
            <v>0</v>
          </cell>
          <cell r="BY403" t="str">
            <v>0</v>
          </cell>
          <cell r="BZ403" t="str">
            <v>0</v>
          </cell>
          <cell r="CA403" t="str">
            <v>0</v>
          </cell>
          <cell r="CB403" t="str">
            <v>0</v>
          </cell>
          <cell r="CC403" t="str">
            <v>0</v>
          </cell>
          <cell r="CD403" t="str">
            <v>0</v>
          </cell>
          <cell r="CE403" t="str">
            <v>0</v>
          </cell>
          <cell r="CF403" t="str">
            <v>0</v>
          </cell>
          <cell r="CG403" t="str">
            <v>0</v>
          </cell>
          <cell r="CH403" t="str">
            <v>0</v>
          </cell>
          <cell r="CI403" t="str">
            <v>0</v>
          </cell>
          <cell r="CJ403" t="str">
            <v>0</v>
          </cell>
          <cell r="CK403" t="str">
            <v>0</v>
          </cell>
          <cell r="CL403" t="str">
            <v>0</v>
          </cell>
          <cell r="CM403" t="str">
            <v>0</v>
          </cell>
          <cell r="CN403" t="str">
            <v>0</v>
          </cell>
          <cell r="CO403" t="str">
            <v>0</v>
          </cell>
          <cell r="CP403" t="str">
            <v>0</v>
          </cell>
          <cell r="CQ403" t="str">
            <v>0</v>
          </cell>
          <cell r="CR403" t="str">
            <v>0</v>
          </cell>
          <cell r="CS403" t="str">
            <v>0</v>
          </cell>
          <cell r="CT403" t="str">
            <v>0</v>
          </cell>
          <cell r="CU403" t="str">
            <v>0</v>
          </cell>
          <cell r="CV403" t="str">
            <v>0</v>
          </cell>
          <cell r="CW403" t="str">
            <v>0</v>
          </cell>
          <cell r="CX403" t="str">
            <v>0</v>
          </cell>
          <cell r="CY403" t="str">
            <v>0</v>
          </cell>
          <cell r="CZ403" t="str">
            <v>0</v>
          </cell>
          <cell r="DA403" t="str">
            <v>0</v>
          </cell>
          <cell r="DB403" t="str">
            <v>0</v>
          </cell>
          <cell r="DC403" t="str">
            <v>0</v>
          </cell>
          <cell r="DD403" t="str">
            <v>0</v>
          </cell>
          <cell r="DE403" t="str">
            <v>0</v>
          </cell>
          <cell r="DF403" t="str">
            <v>0</v>
          </cell>
          <cell r="DG403" t="str">
            <v>0</v>
          </cell>
          <cell r="DH403" t="str">
            <v>0</v>
          </cell>
          <cell r="DI403" t="str">
            <v>0</v>
          </cell>
          <cell r="DJ403" t="str">
            <v>0</v>
          </cell>
          <cell r="DK403" t="str">
            <v>0</v>
          </cell>
          <cell r="DL403" t="str">
            <v>0</v>
          </cell>
          <cell r="DM403" t="str">
            <v>0</v>
          </cell>
          <cell r="DN403" t="str">
            <v>0</v>
          </cell>
          <cell r="DO403" t="str">
            <v>0</v>
          </cell>
          <cell r="DP403" t="str">
            <v>0</v>
          </cell>
        </row>
        <row r="404">
          <cell r="C404"/>
          <cell r="D404" t="str">
            <v>0</v>
          </cell>
          <cell r="E404" t="str">
            <v>0</v>
          </cell>
          <cell r="F404" t="str">
            <v>0</v>
          </cell>
          <cell r="G404" t="str">
            <v>0</v>
          </cell>
          <cell r="H404" t="str">
            <v>0</v>
          </cell>
          <cell r="I404" t="str">
            <v>0</v>
          </cell>
          <cell r="J404" t="str">
            <v>0</v>
          </cell>
          <cell r="K404" t="str">
            <v>0</v>
          </cell>
          <cell r="L404" t="str">
            <v>0</v>
          </cell>
          <cell r="M404" t="str">
            <v>0</v>
          </cell>
          <cell r="N404" t="str">
            <v>0</v>
          </cell>
          <cell r="O404" t="str">
            <v>0</v>
          </cell>
          <cell r="P404" t="str">
            <v>0</v>
          </cell>
          <cell r="Q404" t="str">
            <v>0</v>
          </cell>
          <cell r="R404" t="str">
            <v>0</v>
          </cell>
          <cell r="S404" t="str">
            <v>0</v>
          </cell>
          <cell r="T404" t="str">
            <v>0</v>
          </cell>
          <cell r="U404" t="str">
            <v>0</v>
          </cell>
          <cell r="V404" t="str">
            <v>0</v>
          </cell>
          <cell r="W404" t="str">
            <v>0</v>
          </cell>
          <cell r="X404" t="str">
            <v>0</v>
          </cell>
          <cell r="Y404" t="str">
            <v>0</v>
          </cell>
          <cell r="Z404" t="str">
            <v>0</v>
          </cell>
          <cell r="AA404" t="str">
            <v>0</v>
          </cell>
          <cell r="AB404" t="str">
            <v>0</v>
          </cell>
          <cell r="AC404" t="str">
            <v>0</v>
          </cell>
          <cell r="AD404" t="str">
            <v>0</v>
          </cell>
          <cell r="AE404" t="str">
            <v>0</v>
          </cell>
          <cell r="AF404" t="str">
            <v>0</v>
          </cell>
          <cell r="AG404" t="str">
            <v>0</v>
          </cell>
          <cell r="AH404" t="str">
            <v>0</v>
          </cell>
          <cell r="AI404" t="str">
            <v>0</v>
          </cell>
          <cell r="AJ404" t="str">
            <v>0</v>
          </cell>
          <cell r="AK404" t="str">
            <v>0</v>
          </cell>
          <cell r="AL404" t="str">
            <v>0</v>
          </cell>
          <cell r="AM404" t="str">
            <v>0</v>
          </cell>
          <cell r="AN404" t="str">
            <v>0</v>
          </cell>
          <cell r="AO404" t="str">
            <v>0</v>
          </cell>
          <cell r="AP404" t="str">
            <v>0</v>
          </cell>
          <cell r="AQ404" t="str">
            <v>0</v>
          </cell>
          <cell r="AR404" t="str">
            <v>0</v>
          </cell>
          <cell r="AS404" t="str">
            <v>0</v>
          </cell>
          <cell r="AT404" t="str">
            <v>0</v>
          </cell>
          <cell r="AU404" t="str">
            <v>0</v>
          </cell>
          <cell r="AV404" t="str">
            <v>0</v>
          </cell>
          <cell r="AW404" t="str">
            <v>0</v>
          </cell>
          <cell r="AX404" t="str">
            <v>0</v>
          </cell>
          <cell r="AY404" t="str">
            <v>0</v>
          </cell>
          <cell r="AZ404" t="str">
            <v>0</v>
          </cell>
          <cell r="BA404" t="str">
            <v>0</v>
          </cell>
          <cell r="BB404" t="str">
            <v>0</v>
          </cell>
          <cell r="BC404" t="str">
            <v>0</v>
          </cell>
          <cell r="BD404" t="str">
            <v>0</v>
          </cell>
          <cell r="BE404" t="str">
            <v>0</v>
          </cell>
          <cell r="BF404" t="str">
            <v>0</v>
          </cell>
          <cell r="BG404" t="str">
            <v>0</v>
          </cell>
          <cell r="BH404" t="str">
            <v>0</v>
          </cell>
          <cell r="BI404" t="str">
            <v>0</v>
          </cell>
          <cell r="BJ404" t="str">
            <v>0</v>
          </cell>
          <cell r="BK404" t="str">
            <v>0</v>
          </cell>
          <cell r="BL404" t="str">
            <v>0</v>
          </cell>
          <cell r="BM404" t="str">
            <v>0</v>
          </cell>
          <cell r="BN404" t="str">
            <v>0</v>
          </cell>
          <cell r="BO404" t="str">
            <v>0</v>
          </cell>
          <cell r="BP404" t="str">
            <v>0</v>
          </cell>
          <cell r="BQ404" t="str">
            <v>0</v>
          </cell>
          <cell r="BR404" t="str">
            <v>0</v>
          </cell>
          <cell r="BS404" t="str">
            <v>0</v>
          </cell>
          <cell r="BT404" t="str">
            <v>0</v>
          </cell>
          <cell r="BU404" t="str">
            <v>0</v>
          </cell>
          <cell r="BV404" t="str">
            <v>0</v>
          </cell>
          <cell r="BW404" t="str">
            <v>0</v>
          </cell>
          <cell r="BX404" t="str">
            <v>0</v>
          </cell>
          <cell r="BY404" t="str">
            <v>0</v>
          </cell>
          <cell r="BZ404" t="str">
            <v>0</v>
          </cell>
          <cell r="CA404" t="str">
            <v>0</v>
          </cell>
          <cell r="CB404" t="str">
            <v>0</v>
          </cell>
          <cell r="CC404" t="str">
            <v>0</v>
          </cell>
          <cell r="CD404" t="str">
            <v>0</v>
          </cell>
          <cell r="CE404" t="str">
            <v>0</v>
          </cell>
          <cell r="CF404" t="str">
            <v>0</v>
          </cell>
          <cell r="CG404" t="str">
            <v>0</v>
          </cell>
          <cell r="CH404" t="str">
            <v>0</v>
          </cell>
          <cell r="CI404" t="str">
            <v>0</v>
          </cell>
          <cell r="CJ404" t="str">
            <v>0</v>
          </cell>
          <cell r="CK404" t="str">
            <v>0</v>
          </cell>
          <cell r="CL404" t="str">
            <v>0</v>
          </cell>
          <cell r="CM404" t="str">
            <v>0</v>
          </cell>
          <cell r="CN404" t="str">
            <v>0</v>
          </cell>
          <cell r="CO404" t="str">
            <v>0</v>
          </cell>
          <cell r="CP404" t="str">
            <v>0</v>
          </cell>
          <cell r="CQ404" t="str">
            <v>0</v>
          </cell>
          <cell r="CR404" t="str">
            <v>0</v>
          </cell>
          <cell r="CS404" t="str">
            <v>0</v>
          </cell>
          <cell r="CT404" t="str">
            <v>0</v>
          </cell>
          <cell r="CU404" t="str">
            <v>0</v>
          </cell>
          <cell r="CV404" t="str">
            <v>0</v>
          </cell>
          <cell r="CW404" t="str">
            <v>0</v>
          </cell>
          <cell r="CX404" t="str">
            <v>0</v>
          </cell>
          <cell r="CY404" t="str">
            <v>0</v>
          </cell>
          <cell r="CZ404" t="str">
            <v>0</v>
          </cell>
          <cell r="DA404" t="str">
            <v>0</v>
          </cell>
          <cell r="DB404" t="str">
            <v>0</v>
          </cell>
          <cell r="DC404" t="str">
            <v>0</v>
          </cell>
          <cell r="DD404" t="str">
            <v>0</v>
          </cell>
          <cell r="DE404" t="str">
            <v>0</v>
          </cell>
          <cell r="DF404" t="str">
            <v>0</v>
          </cell>
          <cell r="DG404" t="str">
            <v>0</v>
          </cell>
          <cell r="DH404" t="str">
            <v>0</v>
          </cell>
          <cell r="DI404" t="str">
            <v>0</v>
          </cell>
          <cell r="DJ404" t="str">
            <v>0</v>
          </cell>
          <cell r="DK404" t="str">
            <v>0</v>
          </cell>
          <cell r="DL404" t="str">
            <v>0</v>
          </cell>
          <cell r="DM404" t="str">
            <v>0</v>
          </cell>
          <cell r="DN404" t="str">
            <v>0</v>
          </cell>
          <cell r="DO404" t="str">
            <v>0</v>
          </cell>
          <cell r="DP404" t="str">
            <v>0</v>
          </cell>
        </row>
        <row r="405">
          <cell r="C405"/>
          <cell r="D405" t="str">
            <v>0</v>
          </cell>
          <cell r="E405" t="str">
            <v>0</v>
          </cell>
          <cell r="F405" t="str">
            <v>0</v>
          </cell>
          <cell r="G405" t="str">
            <v>0</v>
          </cell>
          <cell r="H405" t="str">
            <v>0</v>
          </cell>
          <cell r="I405" t="str">
            <v>0</v>
          </cell>
          <cell r="J405" t="str">
            <v>0</v>
          </cell>
          <cell r="K405" t="str">
            <v>0</v>
          </cell>
          <cell r="L405" t="str">
            <v>0</v>
          </cell>
          <cell r="M405" t="str">
            <v>0</v>
          </cell>
          <cell r="N405" t="str">
            <v>0</v>
          </cell>
          <cell r="O405" t="str">
            <v>0</v>
          </cell>
          <cell r="P405" t="str">
            <v>0</v>
          </cell>
          <cell r="Q405" t="str">
            <v>0</v>
          </cell>
          <cell r="R405" t="str">
            <v>0</v>
          </cell>
          <cell r="S405" t="str">
            <v>0</v>
          </cell>
          <cell r="T405" t="str">
            <v>0</v>
          </cell>
          <cell r="U405" t="str">
            <v>0</v>
          </cell>
          <cell r="V405" t="str">
            <v>0</v>
          </cell>
          <cell r="W405" t="str">
            <v>0</v>
          </cell>
          <cell r="X405" t="str">
            <v>0</v>
          </cell>
          <cell r="Y405" t="str">
            <v>0</v>
          </cell>
          <cell r="Z405" t="str">
            <v>0</v>
          </cell>
          <cell r="AA405" t="str">
            <v>0</v>
          </cell>
          <cell r="AB405" t="str">
            <v>0</v>
          </cell>
          <cell r="AC405" t="str">
            <v>0</v>
          </cell>
          <cell r="AD405" t="str">
            <v>0</v>
          </cell>
          <cell r="AE405" t="str">
            <v>0</v>
          </cell>
          <cell r="AF405" t="str">
            <v>0</v>
          </cell>
          <cell r="AG405" t="str">
            <v>0</v>
          </cell>
          <cell r="AH405" t="str">
            <v>0</v>
          </cell>
          <cell r="AI405" t="str">
            <v>0</v>
          </cell>
          <cell r="AJ405" t="str">
            <v>0</v>
          </cell>
          <cell r="AK405" t="str">
            <v>0</v>
          </cell>
          <cell r="AL405" t="str">
            <v>0</v>
          </cell>
          <cell r="AM405" t="str">
            <v>0</v>
          </cell>
          <cell r="AN405" t="str">
            <v>0</v>
          </cell>
          <cell r="AO405" t="str">
            <v>0</v>
          </cell>
          <cell r="AP405" t="str">
            <v>0</v>
          </cell>
          <cell r="AQ405" t="str">
            <v>0</v>
          </cell>
          <cell r="AR405" t="str">
            <v>0</v>
          </cell>
          <cell r="AS405" t="str">
            <v>0</v>
          </cell>
          <cell r="AT405" t="str">
            <v>0</v>
          </cell>
          <cell r="AU405" t="str">
            <v>0</v>
          </cell>
          <cell r="AV405" t="str">
            <v>0</v>
          </cell>
          <cell r="AW405" t="str">
            <v>0</v>
          </cell>
          <cell r="AX405" t="str">
            <v>0</v>
          </cell>
          <cell r="AY405" t="str">
            <v>0</v>
          </cell>
          <cell r="AZ405" t="str">
            <v>0</v>
          </cell>
          <cell r="BA405" t="str">
            <v>0</v>
          </cell>
          <cell r="BB405" t="str">
            <v>0</v>
          </cell>
          <cell r="BC405" t="str">
            <v>0</v>
          </cell>
          <cell r="BD405" t="str">
            <v>0</v>
          </cell>
          <cell r="BE405" t="str">
            <v>0</v>
          </cell>
          <cell r="BF405" t="str">
            <v>0</v>
          </cell>
          <cell r="BG405" t="str">
            <v>0</v>
          </cell>
          <cell r="BH405" t="str">
            <v>0</v>
          </cell>
          <cell r="BI405" t="str">
            <v>0</v>
          </cell>
          <cell r="BJ405" t="str">
            <v>0</v>
          </cell>
          <cell r="BK405" t="str">
            <v>0</v>
          </cell>
          <cell r="BL405" t="str">
            <v>0</v>
          </cell>
          <cell r="BM405" t="str">
            <v>0</v>
          </cell>
          <cell r="BN405" t="str">
            <v>0</v>
          </cell>
          <cell r="BO405" t="str">
            <v>0</v>
          </cell>
          <cell r="BP405" t="str">
            <v>0</v>
          </cell>
          <cell r="BQ405" t="str">
            <v>0</v>
          </cell>
          <cell r="BR405" t="str">
            <v>0</v>
          </cell>
          <cell r="BS405" t="str">
            <v>0</v>
          </cell>
          <cell r="BT405" t="str">
            <v>0</v>
          </cell>
          <cell r="BU405" t="str">
            <v>0</v>
          </cell>
          <cell r="BV405" t="str">
            <v>0</v>
          </cell>
          <cell r="BW405" t="str">
            <v>0</v>
          </cell>
          <cell r="BX405" t="str">
            <v>0</v>
          </cell>
          <cell r="BY405" t="str">
            <v>0</v>
          </cell>
          <cell r="BZ405" t="str">
            <v>0</v>
          </cell>
          <cell r="CA405" t="str">
            <v>0</v>
          </cell>
          <cell r="CB405" t="str">
            <v>0</v>
          </cell>
          <cell r="CC405" t="str">
            <v>0</v>
          </cell>
          <cell r="CD405" t="str">
            <v>0</v>
          </cell>
          <cell r="CE405" t="str">
            <v>0</v>
          </cell>
          <cell r="CF405" t="str">
            <v>0</v>
          </cell>
          <cell r="CG405" t="str">
            <v>0</v>
          </cell>
          <cell r="CH405" t="str">
            <v>0</v>
          </cell>
          <cell r="CI405" t="str">
            <v>0</v>
          </cell>
          <cell r="CJ405" t="str">
            <v>0</v>
          </cell>
          <cell r="CK405" t="str">
            <v>0</v>
          </cell>
          <cell r="CL405" t="str">
            <v>0</v>
          </cell>
          <cell r="CM405" t="str">
            <v>0</v>
          </cell>
          <cell r="CN405" t="str">
            <v>0</v>
          </cell>
          <cell r="CO405" t="str">
            <v>0</v>
          </cell>
          <cell r="CP405" t="str">
            <v>0</v>
          </cell>
          <cell r="CQ405" t="str">
            <v>0</v>
          </cell>
          <cell r="CR405" t="str">
            <v>0</v>
          </cell>
          <cell r="CS405" t="str">
            <v>0</v>
          </cell>
          <cell r="CT405" t="str">
            <v>0</v>
          </cell>
          <cell r="CU405" t="str">
            <v>0</v>
          </cell>
          <cell r="CV405" t="str">
            <v>0</v>
          </cell>
          <cell r="CW405" t="str">
            <v>0</v>
          </cell>
          <cell r="CX405" t="str">
            <v>0</v>
          </cell>
          <cell r="CY405" t="str">
            <v>0</v>
          </cell>
          <cell r="CZ405" t="str">
            <v>0</v>
          </cell>
          <cell r="DA405" t="str">
            <v>0</v>
          </cell>
          <cell r="DB405" t="str">
            <v>0</v>
          </cell>
          <cell r="DC405" t="str">
            <v>0</v>
          </cell>
          <cell r="DD405" t="str">
            <v>0</v>
          </cell>
          <cell r="DE405" t="str">
            <v>0</v>
          </cell>
          <cell r="DF405" t="str">
            <v>0</v>
          </cell>
          <cell r="DG405" t="str">
            <v>0</v>
          </cell>
          <cell r="DH405" t="str">
            <v>0</v>
          </cell>
          <cell r="DI405" t="str">
            <v>0</v>
          </cell>
          <cell r="DJ405" t="str">
            <v>0</v>
          </cell>
          <cell r="DK405" t="str">
            <v>0</v>
          </cell>
          <cell r="DL405" t="str">
            <v>0</v>
          </cell>
          <cell r="DM405" t="str">
            <v>0</v>
          </cell>
          <cell r="DN405" t="str">
            <v>0</v>
          </cell>
          <cell r="DO405" t="str">
            <v>0</v>
          </cell>
          <cell r="DP405" t="str">
            <v>0</v>
          </cell>
        </row>
        <row r="406">
          <cell r="C406"/>
          <cell r="D406" t="str">
            <v>0</v>
          </cell>
          <cell r="E406" t="str">
            <v>0</v>
          </cell>
          <cell r="F406" t="str">
            <v>0</v>
          </cell>
          <cell r="G406" t="str">
            <v>0</v>
          </cell>
          <cell r="H406" t="str">
            <v>0</v>
          </cell>
          <cell r="I406" t="str">
            <v>0</v>
          </cell>
          <cell r="J406" t="str">
            <v>0</v>
          </cell>
          <cell r="K406" t="str">
            <v>0</v>
          </cell>
          <cell r="L406" t="str">
            <v>0</v>
          </cell>
          <cell r="M406" t="str">
            <v>0</v>
          </cell>
          <cell r="N406" t="str">
            <v>0</v>
          </cell>
          <cell r="O406" t="str">
            <v>0</v>
          </cell>
          <cell r="P406" t="str">
            <v>0</v>
          </cell>
          <cell r="Q406" t="str">
            <v>0</v>
          </cell>
          <cell r="R406" t="str">
            <v>0</v>
          </cell>
          <cell r="S406" t="str">
            <v>0</v>
          </cell>
          <cell r="T406" t="str">
            <v>0</v>
          </cell>
          <cell r="U406" t="str">
            <v>0</v>
          </cell>
          <cell r="V406" t="str">
            <v>0</v>
          </cell>
          <cell r="W406" t="str">
            <v>0</v>
          </cell>
          <cell r="X406" t="str">
            <v>0</v>
          </cell>
          <cell r="Y406" t="str">
            <v>0</v>
          </cell>
          <cell r="Z406" t="str">
            <v>0</v>
          </cell>
          <cell r="AA406" t="str">
            <v>0</v>
          </cell>
          <cell r="AB406" t="str">
            <v>0</v>
          </cell>
          <cell r="AC406" t="str">
            <v>0</v>
          </cell>
          <cell r="AD406" t="str">
            <v>0</v>
          </cell>
          <cell r="AE406" t="str">
            <v>0</v>
          </cell>
          <cell r="AF406" t="str">
            <v>0</v>
          </cell>
          <cell r="AG406" t="str">
            <v>0</v>
          </cell>
          <cell r="AH406" t="str">
            <v>0</v>
          </cell>
          <cell r="AI406" t="str">
            <v>0</v>
          </cell>
          <cell r="AJ406" t="str">
            <v>0</v>
          </cell>
          <cell r="AK406" t="str">
            <v>0</v>
          </cell>
          <cell r="AL406" t="str">
            <v>0</v>
          </cell>
          <cell r="AM406" t="str">
            <v>0</v>
          </cell>
          <cell r="AN406" t="str">
            <v>0</v>
          </cell>
          <cell r="AO406" t="str">
            <v>0</v>
          </cell>
          <cell r="AP406" t="str">
            <v>0</v>
          </cell>
          <cell r="AQ406" t="str">
            <v>0</v>
          </cell>
          <cell r="AR406" t="str">
            <v>0</v>
          </cell>
          <cell r="AS406" t="str">
            <v>0</v>
          </cell>
          <cell r="AT406" t="str">
            <v>0</v>
          </cell>
          <cell r="AU406" t="str">
            <v>0</v>
          </cell>
          <cell r="AV406" t="str">
            <v>0</v>
          </cell>
          <cell r="AW406" t="str">
            <v>0</v>
          </cell>
          <cell r="AX406" t="str">
            <v>0</v>
          </cell>
          <cell r="AY406" t="str">
            <v>0</v>
          </cell>
          <cell r="AZ406" t="str">
            <v>0</v>
          </cell>
          <cell r="BA406" t="str">
            <v>0</v>
          </cell>
          <cell r="BB406" t="str">
            <v>0</v>
          </cell>
          <cell r="BC406" t="str">
            <v>0</v>
          </cell>
          <cell r="BD406" t="str">
            <v>0</v>
          </cell>
          <cell r="BE406" t="str">
            <v>0</v>
          </cell>
          <cell r="BF406" t="str">
            <v>0</v>
          </cell>
          <cell r="BG406" t="str">
            <v>0</v>
          </cell>
          <cell r="BH406" t="str">
            <v>0</v>
          </cell>
          <cell r="BI406" t="str">
            <v>0</v>
          </cell>
          <cell r="BJ406" t="str">
            <v>0</v>
          </cell>
          <cell r="BK406" t="str">
            <v>0</v>
          </cell>
          <cell r="BL406" t="str">
            <v>0</v>
          </cell>
          <cell r="BM406" t="str">
            <v>0</v>
          </cell>
          <cell r="BN406" t="str">
            <v>0</v>
          </cell>
          <cell r="BO406" t="str">
            <v>0</v>
          </cell>
          <cell r="BP406" t="str">
            <v>0</v>
          </cell>
          <cell r="BQ406" t="str">
            <v>0</v>
          </cell>
          <cell r="BR406" t="str">
            <v>0</v>
          </cell>
          <cell r="BS406" t="str">
            <v>0</v>
          </cell>
          <cell r="BT406" t="str">
            <v>0</v>
          </cell>
          <cell r="BU406" t="str">
            <v>0</v>
          </cell>
          <cell r="BV406" t="str">
            <v>0</v>
          </cell>
          <cell r="BW406" t="str">
            <v>0</v>
          </cell>
          <cell r="BX406" t="str">
            <v>0</v>
          </cell>
          <cell r="BY406" t="str">
            <v>0</v>
          </cell>
          <cell r="BZ406" t="str">
            <v>0</v>
          </cell>
          <cell r="CA406" t="str">
            <v>0</v>
          </cell>
          <cell r="CB406" t="str">
            <v>0</v>
          </cell>
          <cell r="CC406" t="str">
            <v>0</v>
          </cell>
          <cell r="CD406" t="str">
            <v>0</v>
          </cell>
          <cell r="CE406" t="str">
            <v>0</v>
          </cell>
          <cell r="CF406" t="str">
            <v>0</v>
          </cell>
          <cell r="CG406" t="str">
            <v>0</v>
          </cell>
          <cell r="CH406" t="str">
            <v>0</v>
          </cell>
          <cell r="CI406" t="str">
            <v>0</v>
          </cell>
          <cell r="CJ406" t="str">
            <v>0</v>
          </cell>
          <cell r="CK406" t="str">
            <v>0</v>
          </cell>
          <cell r="CL406" t="str">
            <v>0</v>
          </cell>
          <cell r="CM406" t="str">
            <v>0</v>
          </cell>
          <cell r="CN406" t="str">
            <v>0</v>
          </cell>
          <cell r="CO406" t="str">
            <v>0</v>
          </cell>
          <cell r="CP406" t="str">
            <v>0</v>
          </cell>
          <cell r="CQ406" t="str">
            <v>0</v>
          </cell>
          <cell r="CR406" t="str">
            <v>0</v>
          </cell>
          <cell r="CS406" t="str">
            <v>0</v>
          </cell>
          <cell r="CT406" t="str">
            <v>0</v>
          </cell>
          <cell r="CU406" t="str">
            <v>0</v>
          </cell>
          <cell r="CV406" t="str">
            <v>0</v>
          </cell>
          <cell r="CW406" t="str">
            <v>0</v>
          </cell>
          <cell r="CX406" t="str">
            <v>0</v>
          </cell>
          <cell r="CY406" t="str">
            <v>0</v>
          </cell>
          <cell r="CZ406" t="str">
            <v>0</v>
          </cell>
          <cell r="DA406" t="str">
            <v>0</v>
          </cell>
          <cell r="DB406" t="str">
            <v>0</v>
          </cell>
          <cell r="DC406" t="str">
            <v>0</v>
          </cell>
          <cell r="DD406" t="str">
            <v>0</v>
          </cell>
          <cell r="DE406" t="str">
            <v>0</v>
          </cell>
          <cell r="DF406" t="str">
            <v>0</v>
          </cell>
          <cell r="DG406" t="str">
            <v>0</v>
          </cell>
          <cell r="DH406" t="str">
            <v>0</v>
          </cell>
          <cell r="DI406" t="str">
            <v>0</v>
          </cell>
          <cell r="DJ406" t="str">
            <v>0</v>
          </cell>
          <cell r="DK406" t="str">
            <v>0</v>
          </cell>
          <cell r="DL406" t="str">
            <v>0</v>
          </cell>
          <cell r="DM406" t="str">
            <v>0</v>
          </cell>
          <cell r="DN406" t="str">
            <v>0</v>
          </cell>
          <cell r="DO406" t="str">
            <v>0</v>
          </cell>
          <cell r="DP406" t="str">
            <v>0</v>
          </cell>
        </row>
        <row r="407">
          <cell r="C407"/>
          <cell r="D407" t="str">
            <v>0</v>
          </cell>
          <cell r="E407" t="str">
            <v>0</v>
          </cell>
          <cell r="F407" t="str">
            <v>0</v>
          </cell>
          <cell r="G407" t="str">
            <v>0</v>
          </cell>
          <cell r="H407" t="str">
            <v>0</v>
          </cell>
          <cell r="I407" t="str">
            <v>0</v>
          </cell>
          <cell r="J407" t="str">
            <v>0</v>
          </cell>
          <cell r="K407" t="str">
            <v>0</v>
          </cell>
          <cell r="L407" t="str">
            <v>0</v>
          </cell>
          <cell r="M407" t="str">
            <v>0</v>
          </cell>
          <cell r="N407" t="str">
            <v>0</v>
          </cell>
          <cell r="O407" t="str">
            <v>0</v>
          </cell>
          <cell r="P407" t="str">
            <v>0</v>
          </cell>
          <cell r="Q407" t="str">
            <v>0</v>
          </cell>
          <cell r="R407" t="str">
            <v>0</v>
          </cell>
          <cell r="S407" t="str">
            <v>0</v>
          </cell>
          <cell r="T407" t="str">
            <v>0</v>
          </cell>
          <cell r="U407" t="str">
            <v>0</v>
          </cell>
          <cell r="V407" t="str">
            <v>0</v>
          </cell>
          <cell r="W407" t="str">
            <v>0</v>
          </cell>
          <cell r="X407" t="str">
            <v>0</v>
          </cell>
          <cell r="Y407" t="str">
            <v>0</v>
          </cell>
          <cell r="Z407" t="str">
            <v>0</v>
          </cell>
          <cell r="AA407" t="str">
            <v>0</v>
          </cell>
          <cell r="AB407" t="str">
            <v>0</v>
          </cell>
          <cell r="AC407" t="str">
            <v>0</v>
          </cell>
          <cell r="AD407" t="str">
            <v>0</v>
          </cell>
          <cell r="AE407" t="str">
            <v>0</v>
          </cell>
          <cell r="AF407" t="str">
            <v>0</v>
          </cell>
          <cell r="AG407" t="str">
            <v>0</v>
          </cell>
          <cell r="AH407" t="str">
            <v>0</v>
          </cell>
          <cell r="AI407" t="str">
            <v>0</v>
          </cell>
          <cell r="AJ407" t="str">
            <v>0</v>
          </cell>
          <cell r="AK407" t="str">
            <v>0</v>
          </cell>
          <cell r="AL407" t="str">
            <v>0</v>
          </cell>
          <cell r="AM407" t="str">
            <v>0</v>
          </cell>
          <cell r="AN407" t="str">
            <v>0</v>
          </cell>
          <cell r="AO407" t="str">
            <v>0</v>
          </cell>
          <cell r="AP407" t="str">
            <v>0</v>
          </cell>
          <cell r="AQ407" t="str">
            <v>0</v>
          </cell>
          <cell r="AR407" t="str">
            <v>0</v>
          </cell>
          <cell r="AS407" t="str">
            <v>0</v>
          </cell>
          <cell r="AT407" t="str">
            <v>0</v>
          </cell>
          <cell r="AU407" t="str">
            <v>0</v>
          </cell>
          <cell r="AV407" t="str">
            <v>0</v>
          </cell>
          <cell r="AW407" t="str">
            <v>0</v>
          </cell>
          <cell r="AX407" t="str">
            <v>0</v>
          </cell>
          <cell r="AY407" t="str">
            <v>0</v>
          </cell>
          <cell r="AZ407" t="str">
            <v>0</v>
          </cell>
          <cell r="BA407" t="str">
            <v>0</v>
          </cell>
          <cell r="BB407" t="str">
            <v>0</v>
          </cell>
          <cell r="BC407" t="str">
            <v>0</v>
          </cell>
          <cell r="BD407" t="str">
            <v>0</v>
          </cell>
          <cell r="BE407" t="str">
            <v>0</v>
          </cell>
          <cell r="BF407" t="str">
            <v>0</v>
          </cell>
          <cell r="BG407" t="str">
            <v>0</v>
          </cell>
          <cell r="BH407" t="str">
            <v>0</v>
          </cell>
          <cell r="BI407" t="str">
            <v>0</v>
          </cell>
          <cell r="BJ407" t="str">
            <v>0</v>
          </cell>
          <cell r="BK407" t="str">
            <v>0</v>
          </cell>
          <cell r="BL407" t="str">
            <v>0</v>
          </cell>
          <cell r="BM407" t="str">
            <v>0</v>
          </cell>
          <cell r="BN407" t="str">
            <v>0</v>
          </cell>
          <cell r="BO407" t="str">
            <v>0</v>
          </cell>
          <cell r="BP407" t="str">
            <v>0</v>
          </cell>
          <cell r="BQ407" t="str">
            <v>0</v>
          </cell>
          <cell r="BR407" t="str">
            <v>0</v>
          </cell>
          <cell r="BS407" t="str">
            <v>0</v>
          </cell>
          <cell r="BT407" t="str">
            <v>0</v>
          </cell>
          <cell r="BU407" t="str">
            <v>0</v>
          </cell>
          <cell r="BV407" t="str">
            <v>0</v>
          </cell>
          <cell r="BW407" t="str">
            <v>0</v>
          </cell>
          <cell r="BX407" t="str">
            <v>0</v>
          </cell>
          <cell r="BY407" t="str">
            <v>0</v>
          </cell>
          <cell r="BZ407" t="str">
            <v>0</v>
          </cell>
          <cell r="CA407" t="str">
            <v>0</v>
          </cell>
          <cell r="CB407" t="str">
            <v>0</v>
          </cell>
          <cell r="CC407" t="str">
            <v>0</v>
          </cell>
          <cell r="CD407" t="str">
            <v>0</v>
          </cell>
          <cell r="CE407" t="str">
            <v>0</v>
          </cell>
          <cell r="CF407" t="str">
            <v>0</v>
          </cell>
          <cell r="CG407" t="str">
            <v>0</v>
          </cell>
          <cell r="CH407" t="str">
            <v>0</v>
          </cell>
          <cell r="CI407" t="str">
            <v>0</v>
          </cell>
          <cell r="CJ407" t="str">
            <v>0</v>
          </cell>
          <cell r="CK407" t="str">
            <v>0</v>
          </cell>
          <cell r="CL407" t="str">
            <v>0</v>
          </cell>
          <cell r="CM407" t="str">
            <v>0</v>
          </cell>
          <cell r="CN407" t="str">
            <v>0</v>
          </cell>
          <cell r="CO407" t="str">
            <v>0</v>
          </cell>
          <cell r="CP407" t="str">
            <v>0</v>
          </cell>
          <cell r="CQ407" t="str">
            <v>0</v>
          </cell>
          <cell r="CR407" t="str">
            <v>0</v>
          </cell>
          <cell r="CS407" t="str">
            <v>0</v>
          </cell>
          <cell r="CT407" t="str">
            <v>0</v>
          </cell>
          <cell r="CU407" t="str">
            <v>0</v>
          </cell>
          <cell r="CV407" t="str">
            <v>0</v>
          </cell>
          <cell r="CW407" t="str">
            <v>0</v>
          </cell>
          <cell r="CX407" t="str">
            <v>0</v>
          </cell>
          <cell r="CY407" t="str">
            <v>0</v>
          </cell>
          <cell r="CZ407" t="str">
            <v>0</v>
          </cell>
          <cell r="DA407" t="str">
            <v>0</v>
          </cell>
          <cell r="DB407" t="str">
            <v>0</v>
          </cell>
          <cell r="DC407" t="str">
            <v>0</v>
          </cell>
          <cell r="DD407" t="str">
            <v>0</v>
          </cell>
          <cell r="DE407" t="str">
            <v>0</v>
          </cell>
          <cell r="DF407" t="str">
            <v>0</v>
          </cell>
          <cell r="DG407" t="str">
            <v>0</v>
          </cell>
          <cell r="DH407" t="str">
            <v>0</v>
          </cell>
          <cell r="DI407" t="str">
            <v>0</v>
          </cell>
          <cell r="DJ407" t="str">
            <v>0</v>
          </cell>
          <cell r="DK407" t="str">
            <v>0</v>
          </cell>
          <cell r="DL407" t="str">
            <v>0</v>
          </cell>
          <cell r="DM407" t="str">
            <v>0</v>
          </cell>
          <cell r="DN407" t="str">
            <v>0</v>
          </cell>
          <cell r="DO407" t="str">
            <v>0</v>
          </cell>
          <cell r="DP407" t="str">
            <v>0</v>
          </cell>
        </row>
        <row r="408">
          <cell r="C408"/>
          <cell r="D408" t="str">
            <v>0</v>
          </cell>
          <cell r="E408" t="str">
            <v>0</v>
          </cell>
          <cell r="F408" t="str">
            <v>0</v>
          </cell>
          <cell r="G408" t="str">
            <v>0</v>
          </cell>
          <cell r="H408" t="str">
            <v>0</v>
          </cell>
          <cell r="I408" t="str">
            <v>0</v>
          </cell>
          <cell r="J408" t="str">
            <v>0</v>
          </cell>
          <cell r="K408" t="str">
            <v>0</v>
          </cell>
          <cell r="L408" t="str">
            <v>0</v>
          </cell>
          <cell r="M408" t="str">
            <v>0</v>
          </cell>
          <cell r="N408" t="str">
            <v>0</v>
          </cell>
          <cell r="O408" t="str">
            <v>0</v>
          </cell>
          <cell r="P408" t="str">
            <v>0</v>
          </cell>
          <cell r="Q408" t="str">
            <v>0</v>
          </cell>
          <cell r="R408" t="str">
            <v>0</v>
          </cell>
          <cell r="S408" t="str">
            <v>0</v>
          </cell>
          <cell r="T408" t="str">
            <v>0</v>
          </cell>
          <cell r="U408" t="str">
            <v>0</v>
          </cell>
          <cell r="V408" t="str">
            <v>0</v>
          </cell>
          <cell r="W408" t="str">
            <v>0</v>
          </cell>
          <cell r="X408" t="str">
            <v>0</v>
          </cell>
          <cell r="Y408" t="str">
            <v>0</v>
          </cell>
          <cell r="Z408" t="str">
            <v>0</v>
          </cell>
          <cell r="AA408" t="str">
            <v>0</v>
          </cell>
          <cell r="AB408" t="str">
            <v>0</v>
          </cell>
          <cell r="AC408" t="str">
            <v>0</v>
          </cell>
          <cell r="AD408" t="str">
            <v>0</v>
          </cell>
          <cell r="AE408" t="str">
            <v>0</v>
          </cell>
          <cell r="AF408" t="str">
            <v>0</v>
          </cell>
          <cell r="AG408" t="str">
            <v>0</v>
          </cell>
          <cell r="AH408" t="str">
            <v>0</v>
          </cell>
          <cell r="AI408" t="str">
            <v>0</v>
          </cell>
          <cell r="AJ408" t="str">
            <v>0</v>
          </cell>
          <cell r="AK408" t="str">
            <v>0</v>
          </cell>
          <cell r="AL408" t="str">
            <v>0</v>
          </cell>
          <cell r="AM408" t="str">
            <v>0</v>
          </cell>
          <cell r="AN408" t="str">
            <v>0</v>
          </cell>
          <cell r="AO408" t="str">
            <v>0</v>
          </cell>
          <cell r="AP408" t="str">
            <v>0</v>
          </cell>
          <cell r="AQ408" t="str">
            <v>0</v>
          </cell>
          <cell r="AR408" t="str">
            <v>0</v>
          </cell>
          <cell r="AS408" t="str">
            <v>0</v>
          </cell>
          <cell r="AT408" t="str">
            <v>0</v>
          </cell>
          <cell r="AU408" t="str">
            <v>0</v>
          </cell>
          <cell r="AV408" t="str">
            <v>0</v>
          </cell>
          <cell r="AW408" t="str">
            <v>0</v>
          </cell>
          <cell r="AX408" t="str">
            <v>0</v>
          </cell>
          <cell r="AY408" t="str">
            <v>0</v>
          </cell>
          <cell r="AZ408" t="str">
            <v>0</v>
          </cell>
          <cell r="BA408" t="str">
            <v>0</v>
          </cell>
          <cell r="BB408" t="str">
            <v>0</v>
          </cell>
          <cell r="BC408" t="str">
            <v>0</v>
          </cell>
          <cell r="BD408" t="str">
            <v>0</v>
          </cell>
          <cell r="BE408" t="str">
            <v>0</v>
          </cell>
          <cell r="BF408" t="str">
            <v>0</v>
          </cell>
          <cell r="BG408" t="str">
            <v>0</v>
          </cell>
          <cell r="BH408" t="str">
            <v>0</v>
          </cell>
          <cell r="BI408" t="str">
            <v>0</v>
          </cell>
          <cell r="BJ408" t="str">
            <v>0</v>
          </cell>
          <cell r="BK408" t="str">
            <v>0</v>
          </cell>
          <cell r="BL408" t="str">
            <v>0</v>
          </cell>
          <cell r="BM408" t="str">
            <v>0</v>
          </cell>
          <cell r="BN408" t="str">
            <v>0</v>
          </cell>
          <cell r="BO408" t="str">
            <v>0</v>
          </cell>
          <cell r="BP408" t="str">
            <v>0</v>
          </cell>
          <cell r="BQ408" t="str">
            <v>0</v>
          </cell>
          <cell r="BR408" t="str">
            <v>0</v>
          </cell>
          <cell r="BS408" t="str">
            <v>0</v>
          </cell>
          <cell r="BT408" t="str">
            <v>0</v>
          </cell>
          <cell r="BU408" t="str">
            <v>0</v>
          </cell>
          <cell r="BV408" t="str">
            <v>0</v>
          </cell>
          <cell r="BW408" t="str">
            <v>0</v>
          </cell>
          <cell r="BX408" t="str">
            <v>0</v>
          </cell>
          <cell r="BY408" t="str">
            <v>0</v>
          </cell>
          <cell r="BZ408" t="str">
            <v>0</v>
          </cell>
          <cell r="CA408" t="str">
            <v>0</v>
          </cell>
          <cell r="CB408" t="str">
            <v>0</v>
          </cell>
          <cell r="CC408" t="str">
            <v>0</v>
          </cell>
          <cell r="CD408" t="str">
            <v>0</v>
          </cell>
          <cell r="CE408" t="str">
            <v>0</v>
          </cell>
          <cell r="CF408" t="str">
            <v>0</v>
          </cell>
          <cell r="CG408" t="str">
            <v>0</v>
          </cell>
          <cell r="CH408" t="str">
            <v>0</v>
          </cell>
          <cell r="CI408" t="str">
            <v>0</v>
          </cell>
          <cell r="CJ408" t="str">
            <v>0</v>
          </cell>
          <cell r="CK408" t="str">
            <v>0</v>
          </cell>
          <cell r="CL408" t="str">
            <v>0</v>
          </cell>
          <cell r="CM408" t="str">
            <v>0</v>
          </cell>
          <cell r="CN408" t="str">
            <v>0</v>
          </cell>
          <cell r="CO408" t="str">
            <v>0</v>
          </cell>
          <cell r="CP408" t="str">
            <v>0</v>
          </cell>
          <cell r="CQ408" t="str">
            <v>0</v>
          </cell>
          <cell r="CR408" t="str">
            <v>0</v>
          </cell>
          <cell r="CS408" t="str">
            <v>0</v>
          </cell>
          <cell r="CT408" t="str">
            <v>0</v>
          </cell>
          <cell r="CU408" t="str">
            <v>0</v>
          </cell>
          <cell r="CV408" t="str">
            <v>0</v>
          </cell>
          <cell r="CW408" t="str">
            <v>0</v>
          </cell>
          <cell r="CX408" t="str">
            <v>0</v>
          </cell>
          <cell r="CY408" t="str">
            <v>0</v>
          </cell>
          <cell r="CZ408" t="str">
            <v>0</v>
          </cell>
          <cell r="DA408" t="str">
            <v>0</v>
          </cell>
          <cell r="DB408" t="str">
            <v>0</v>
          </cell>
          <cell r="DC408" t="str">
            <v>0</v>
          </cell>
          <cell r="DD408" t="str">
            <v>0</v>
          </cell>
          <cell r="DE408" t="str">
            <v>0</v>
          </cell>
          <cell r="DF408" t="str">
            <v>0</v>
          </cell>
          <cell r="DG408" t="str">
            <v>0</v>
          </cell>
          <cell r="DH408" t="str">
            <v>0</v>
          </cell>
          <cell r="DI408" t="str">
            <v>0</v>
          </cell>
          <cell r="DJ408" t="str">
            <v>0</v>
          </cell>
          <cell r="DK408" t="str">
            <v>0</v>
          </cell>
          <cell r="DL408" t="str">
            <v>0</v>
          </cell>
          <cell r="DM408" t="str">
            <v>0</v>
          </cell>
          <cell r="DN408" t="str">
            <v>0</v>
          </cell>
          <cell r="DO408" t="str">
            <v>0</v>
          </cell>
          <cell r="DP408" t="str">
            <v>0</v>
          </cell>
        </row>
        <row r="409">
          <cell r="C409"/>
          <cell r="D409" t="str">
            <v>0</v>
          </cell>
          <cell r="E409" t="str">
            <v>0</v>
          </cell>
          <cell r="F409" t="str">
            <v>0</v>
          </cell>
          <cell r="G409" t="str">
            <v>0</v>
          </cell>
          <cell r="H409" t="str">
            <v>0</v>
          </cell>
          <cell r="I409" t="str">
            <v>0</v>
          </cell>
          <cell r="J409" t="str">
            <v>0</v>
          </cell>
          <cell r="K409" t="str">
            <v>0</v>
          </cell>
          <cell r="L409" t="str">
            <v>0</v>
          </cell>
          <cell r="M409" t="str">
            <v>0</v>
          </cell>
          <cell r="N409" t="str">
            <v>0</v>
          </cell>
          <cell r="O409" t="str">
            <v>0</v>
          </cell>
          <cell r="P409" t="str">
            <v>0</v>
          </cell>
          <cell r="Q409" t="str">
            <v>0</v>
          </cell>
          <cell r="R409" t="str">
            <v>0</v>
          </cell>
          <cell r="S409" t="str">
            <v>0</v>
          </cell>
          <cell r="T409" t="str">
            <v>0</v>
          </cell>
          <cell r="U409" t="str">
            <v>0</v>
          </cell>
          <cell r="V409" t="str">
            <v>0</v>
          </cell>
          <cell r="W409" t="str">
            <v>0</v>
          </cell>
          <cell r="X409" t="str">
            <v>0</v>
          </cell>
          <cell r="Y409" t="str">
            <v>0</v>
          </cell>
          <cell r="Z409" t="str">
            <v>0</v>
          </cell>
          <cell r="AA409" t="str">
            <v>0</v>
          </cell>
          <cell r="AB409" t="str">
            <v>0</v>
          </cell>
          <cell r="AC409" t="str">
            <v>0</v>
          </cell>
          <cell r="AD409" t="str">
            <v>0</v>
          </cell>
          <cell r="AE409" t="str">
            <v>0</v>
          </cell>
          <cell r="AF409" t="str">
            <v>0</v>
          </cell>
          <cell r="AG409" t="str">
            <v>0</v>
          </cell>
          <cell r="AH409" t="str">
            <v>0</v>
          </cell>
          <cell r="AI409" t="str">
            <v>0</v>
          </cell>
          <cell r="AJ409" t="str">
            <v>0</v>
          </cell>
          <cell r="AK409" t="str">
            <v>0</v>
          </cell>
          <cell r="AL409" t="str">
            <v>0</v>
          </cell>
          <cell r="AM409" t="str">
            <v>0</v>
          </cell>
          <cell r="AN409" t="str">
            <v>0</v>
          </cell>
          <cell r="AO409" t="str">
            <v>0</v>
          </cell>
          <cell r="AP409" t="str">
            <v>0</v>
          </cell>
          <cell r="AQ409" t="str">
            <v>0</v>
          </cell>
          <cell r="AR409" t="str">
            <v>0</v>
          </cell>
          <cell r="AS409" t="str">
            <v>0</v>
          </cell>
          <cell r="AT409" t="str">
            <v>0</v>
          </cell>
          <cell r="AU409" t="str">
            <v>0</v>
          </cell>
          <cell r="AV409" t="str">
            <v>0</v>
          </cell>
          <cell r="AW409" t="str">
            <v>0</v>
          </cell>
          <cell r="AX409" t="str">
            <v>0</v>
          </cell>
          <cell r="AY409" t="str">
            <v>0</v>
          </cell>
          <cell r="AZ409" t="str">
            <v>0</v>
          </cell>
          <cell r="BA409" t="str">
            <v>0</v>
          </cell>
          <cell r="BB409" t="str">
            <v>0</v>
          </cell>
          <cell r="BC409" t="str">
            <v>0</v>
          </cell>
          <cell r="BD409" t="str">
            <v>0</v>
          </cell>
          <cell r="BE409" t="str">
            <v>0</v>
          </cell>
          <cell r="BF409" t="str">
            <v>0</v>
          </cell>
          <cell r="BG409" t="str">
            <v>0</v>
          </cell>
          <cell r="BH409" t="str">
            <v>0</v>
          </cell>
          <cell r="BI409" t="str">
            <v>0</v>
          </cell>
          <cell r="BJ409" t="str">
            <v>0</v>
          </cell>
          <cell r="BK409" t="str">
            <v>0</v>
          </cell>
          <cell r="BL409" t="str">
            <v>0</v>
          </cell>
          <cell r="BM409" t="str">
            <v>0</v>
          </cell>
          <cell r="BN409" t="str">
            <v>0</v>
          </cell>
          <cell r="BO409" t="str">
            <v>0</v>
          </cell>
          <cell r="BP409" t="str">
            <v>0</v>
          </cell>
          <cell r="BQ409" t="str">
            <v>0</v>
          </cell>
          <cell r="BR409" t="str">
            <v>0</v>
          </cell>
          <cell r="BS409" t="str">
            <v>0</v>
          </cell>
          <cell r="BT409" t="str">
            <v>0</v>
          </cell>
          <cell r="BU409" t="str">
            <v>0</v>
          </cell>
          <cell r="BV409" t="str">
            <v>0</v>
          </cell>
          <cell r="BW409" t="str">
            <v>0</v>
          </cell>
          <cell r="BX409" t="str">
            <v>0</v>
          </cell>
          <cell r="BY409" t="str">
            <v>0</v>
          </cell>
          <cell r="BZ409" t="str">
            <v>0</v>
          </cell>
          <cell r="CA409" t="str">
            <v>0</v>
          </cell>
          <cell r="CB409" t="str">
            <v>0</v>
          </cell>
          <cell r="CC409" t="str">
            <v>0</v>
          </cell>
          <cell r="CD409" t="str">
            <v>0</v>
          </cell>
          <cell r="CE409" t="str">
            <v>0</v>
          </cell>
          <cell r="CF409" t="str">
            <v>0</v>
          </cell>
          <cell r="CG409" t="str">
            <v>0</v>
          </cell>
          <cell r="CH409" t="str">
            <v>0</v>
          </cell>
          <cell r="CI409" t="str">
            <v>0</v>
          </cell>
          <cell r="CJ409" t="str">
            <v>0</v>
          </cell>
          <cell r="CK409" t="str">
            <v>0</v>
          </cell>
          <cell r="CL409" t="str">
            <v>0</v>
          </cell>
          <cell r="CM409" t="str">
            <v>0</v>
          </cell>
          <cell r="CN409" t="str">
            <v>0</v>
          </cell>
          <cell r="CO409" t="str">
            <v>0</v>
          </cell>
          <cell r="CP409" t="str">
            <v>0</v>
          </cell>
          <cell r="CQ409" t="str">
            <v>0</v>
          </cell>
          <cell r="CR409" t="str">
            <v>0</v>
          </cell>
          <cell r="CS409" t="str">
            <v>0</v>
          </cell>
          <cell r="CT409" t="str">
            <v>0</v>
          </cell>
          <cell r="CU409" t="str">
            <v>0</v>
          </cell>
          <cell r="CV409" t="str">
            <v>0</v>
          </cell>
          <cell r="CW409" t="str">
            <v>0</v>
          </cell>
          <cell r="CX409" t="str">
            <v>0</v>
          </cell>
          <cell r="CY409" t="str">
            <v>0</v>
          </cell>
          <cell r="CZ409" t="str">
            <v>0</v>
          </cell>
          <cell r="DA409" t="str">
            <v>0</v>
          </cell>
          <cell r="DB409" t="str">
            <v>0</v>
          </cell>
          <cell r="DC409" t="str">
            <v>0</v>
          </cell>
          <cell r="DD409" t="str">
            <v>0</v>
          </cell>
          <cell r="DE409" t="str">
            <v>0</v>
          </cell>
          <cell r="DF409" t="str">
            <v>0</v>
          </cell>
          <cell r="DG409" t="str">
            <v>0</v>
          </cell>
          <cell r="DH409" t="str">
            <v>0</v>
          </cell>
          <cell r="DI409" t="str">
            <v>0</v>
          </cell>
          <cell r="DJ409" t="str">
            <v>0</v>
          </cell>
          <cell r="DK409" t="str">
            <v>0</v>
          </cell>
          <cell r="DL409" t="str">
            <v>0</v>
          </cell>
          <cell r="DM409" t="str">
            <v>0</v>
          </cell>
          <cell r="DN409" t="str">
            <v>0</v>
          </cell>
          <cell r="DO409" t="str">
            <v>0</v>
          </cell>
          <cell r="DP409" t="str">
            <v>0</v>
          </cell>
        </row>
        <row r="410">
          <cell r="C410"/>
          <cell r="D410" t="str">
            <v>0</v>
          </cell>
          <cell r="E410" t="str">
            <v>0</v>
          </cell>
          <cell r="F410" t="str">
            <v>0</v>
          </cell>
          <cell r="G410" t="str">
            <v>0</v>
          </cell>
          <cell r="H410" t="str">
            <v>0</v>
          </cell>
          <cell r="I410" t="str">
            <v>0</v>
          </cell>
          <cell r="J410" t="str">
            <v>0</v>
          </cell>
          <cell r="K410" t="str">
            <v>0</v>
          </cell>
          <cell r="L410" t="str">
            <v>0</v>
          </cell>
          <cell r="M410" t="str">
            <v>0</v>
          </cell>
          <cell r="N410" t="str">
            <v>0</v>
          </cell>
          <cell r="O410" t="str">
            <v>0</v>
          </cell>
          <cell r="P410" t="str">
            <v>0</v>
          </cell>
          <cell r="Q410" t="str">
            <v>0</v>
          </cell>
          <cell r="R410" t="str">
            <v>0</v>
          </cell>
          <cell r="S410" t="str">
            <v>0</v>
          </cell>
          <cell r="T410" t="str">
            <v>0</v>
          </cell>
          <cell r="U410" t="str">
            <v>0</v>
          </cell>
          <cell r="V410" t="str">
            <v>0</v>
          </cell>
          <cell r="W410" t="str">
            <v>0</v>
          </cell>
          <cell r="X410" t="str">
            <v>0</v>
          </cell>
          <cell r="Y410" t="str">
            <v>0</v>
          </cell>
          <cell r="Z410" t="str">
            <v>0</v>
          </cell>
          <cell r="AA410" t="str">
            <v>0</v>
          </cell>
          <cell r="AB410" t="str">
            <v>0</v>
          </cell>
          <cell r="AC410" t="str">
            <v>0</v>
          </cell>
          <cell r="AD410" t="str">
            <v>0</v>
          </cell>
          <cell r="AE410" t="str">
            <v>0</v>
          </cell>
          <cell r="AF410" t="str">
            <v>0</v>
          </cell>
          <cell r="AG410" t="str">
            <v>0</v>
          </cell>
          <cell r="AH410" t="str">
            <v>0</v>
          </cell>
          <cell r="AI410" t="str">
            <v>0</v>
          </cell>
          <cell r="AJ410" t="str">
            <v>0</v>
          </cell>
          <cell r="AK410" t="str">
            <v>0</v>
          </cell>
          <cell r="AL410" t="str">
            <v>0</v>
          </cell>
          <cell r="AM410" t="str">
            <v>0</v>
          </cell>
          <cell r="AN410" t="str">
            <v>0</v>
          </cell>
          <cell r="AO410" t="str">
            <v>0</v>
          </cell>
          <cell r="AP410" t="str">
            <v>0</v>
          </cell>
          <cell r="AQ410" t="str">
            <v>0</v>
          </cell>
          <cell r="AR410" t="str">
            <v>0</v>
          </cell>
          <cell r="AS410" t="str">
            <v>0</v>
          </cell>
          <cell r="AT410" t="str">
            <v>0</v>
          </cell>
          <cell r="AU410" t="str">
            <v>0</v>
          </cell>
          <cell r="AV410" t="str">
            <v>0</v>
          </cell>
          <cell r="AW410" t="str">
            <v>0</v>
          </cell>
          <cell r="AX410" t="str">
            <v>0</v>
          </cell>
          <cell r="AY410" t="str">
            <v>0</v>
          </cell>
          <cell r="AZ410" t="str">
            <v>0</v>
          </cell>
          <cell r="BA410" t="str">
            <v>0</v>
          </cell>
          <cell r="BB410" t="str">
            <v>0</v>
          </cell>
          <cell r="BC410" t="str">
            <v>0</v>
          </cell>
          <cell r="BD410" t="str">
            <v>0</v>
          </cell>
          <cell r="BE410" t="str">
            <v>0</v>
          </cell>
          <cell r="BF410" t="str">
            <v>0</v>
          </cell>
          <cell r="BG410" t="str">
            <v>0</v>
          </cell>
          <cell r="BH410" t="str">
            <v>0</v>
          </cell>
          <cell r="BI410" t="str">
            <v>0</v>
          </cell>
          <cell r="BJ410" t="str">
            <v>0</v>
          </cell>
          <cell r="BK410" t="str">
            <v>0</v>
          </cell>
          <cell r="BL410" t="str">
            <v>0</v>
          </cell>
          <cell r="BM410" t="str">
            <v>0</v>
          </cell>
          <cell r="BN410" t="str">
            <v>0</v>
          </cell>
          <cell r="BO410" t="str">
            <v>0</v>
          </cell>
          <cell r="BP410" t="str">
            <v>0</v>
          </cell>
          <cell r="BQ410" t="str">
            <v>0</v>
          </cell>
          <cell r="BR410" t="str">
            <v>0</v>
          </cell>
          <cell r="BS410" t="str">
            <v>0</v>
          </cell>
          <cell r="BT410" t="str">
            <v>0</v>
          </cell>
          <cell r="BU410" t="str">
            <v>0</v>
          </cell>
          <cell r="BV410" t="str">
            <v>0</v>
          </cell>
          <cell r="BW410" t="str">
            <v>0</v>
          </cell>
          <cell r="BX410" t="str">
            <v>0</v>
          </cell>
          <cell r="BY410" t="str">
            <v>0</v>
          </cell>
          <cell r="BZ410" t="str">
            <v>0</v>
          </cell>
          <cell r="CA410" t="str">
            <v>0</v>
          </cell>
          <cell r="CB410" t="str">
            <v>0</v>
          </cell>
          <cell r="CC410" t="str">
            <v>0</v>
          </cell>
          <cell r="CD410" t="str">
            <v>0</v>
          </cell>
          <cell r="CE410" t="str">
            <v>0</v>
          </cell>
          <cell r="CF410" t="str">
            <v>0</v>
          </cell>
          <cell r="CG410" t="str">
            <v>0</v>
          </cell>
          <cell r="CH410" t="str">
            <v>0</v>
          </cell>
          <cell r="CI410" t="str">
            <v>0</v>
          </cell>
          <cell r="CJ410" t="str">
            <v>0</v>
          </cell>
          <cell r="CK410" t="str">
            <v>0</v>
          </cell>
          <cell r="CL410" t="str">
            <v>0</v>
          </cell>
          <cell r="CM410" t="str">
            <v>0</v>
          </cell>
          <cell r="CN410" t="str">
            <v>0</v>
          </cell>
          <cell r="CO410" t="str">
            <v>0</v>
          </cell>
          <cell r="CP410" t="str">
            <v>0</v>
          </cell>
          <cell r="CQ410" t="str">
            <v>0</v>
          </cell>
          <cell r="CR410" t="str">
            <v>0</v>
          </cell>
          <cell r="CS410" t="str">
            <v>0</v>
          </cell>
          <cell r="CT410" t="str">
            <v>0</v>
          </cell>
          <cell r="CU410" t="str">
            <v>0</v>
          </cell>
          <cell r="CV410" t="str">
            <v>0</v>
          </cell>
          <cell r="CW410" t="str">
            <v>0</v>
          </cell>
          <cell r="CX410" t="str">
            <v>0</v>
          </cell>
          <cell r="CY410" t="str">
            <v>0</v>
          </cell>
          <cell r="CZ410" t="str">
            <v>0</v>
          </cell>
          <cell r="DA410" t="str">
            <v>0</v>
          </cell>
          <cell r="DB410" t="str">
            <v>0</v>
          </cell>
          <cell r="DC410" t="str">
            <v>0</v>
          </cell>
          <cell r="DD410" t="str">
            <v>0</v>
          </cell>
          <cell r="DE410" t="str">
            <v>0</v>
          </cell>
          <cell r="DF410" t="str">
            <v>0</v>
          </cell>
          <cell r="DG410" t="str">
            <v>0</v>
          </cell>
          <cell r="DH410" t="str">
            <v>0</v>
          </cell>
          <cell r="DI410" t="str">
            <v>0</v>
          </cell>
          <cell r="DJ410" t="str">
            <v>0</v>
          </cell>
          <cell r="DK410" t="str">
            <v>0</v>
          </cell>
          <cell r="DL410" t="str">
            <v>0</v>
          </cell>
          <cell r="DM410" t="str">
            <v>0</v>
          </cell>
          <cell r="DN410" t="str">
            <v>0</v>
          </cell>
          <cell r="DO410" t="str">
            <v>0</v>
          </cell>
          <cell r="DP410" t="str">
            <v>0</v>
          </cell>
        </row>
        <row r="411">
          <cell r="C411"/>
          <cell r="D411" t="str">
            <v>0</v>
          </cell>
          <cell r="E411" t="str">
            <v>0</v>
          </cell>
          <cell r="F411" t="str">
            <v>0</v>
          </cell>
          <cell r="G411" t="str">
            <v>0</v>
          </cell>
          <cell r="H411" t="str">
            <v>0</v>
          </cell>
          <cell r="I411" t="str">
            <v>0</v>
          </cell>
          <cell r="J411" t="str">
            <v>0</v>
          </cell>
          <cell r="K411" t="str">
            <v>0</v>
          </cell>
          <cell r="L411" t="str">
            <v>0</v>
          </cell>
          <cell r="M411" t="str">
            <v>0</v>
          </cell>
          <cell r="N411" t="str">
            <v>0</v>
          </cell>
          <cell r="O411" t="str">
            <v>0</v>
          </cell>
          <cell r="P411" t="str">
            <v>0</v>
          </cell>
          <cell r="Q411" t="str">
            <v>0</v>
          </cell>
          <cell r="R411" t="str">
            <v>0</v>
          </cell>
          <cell r="S411" t="str">
            <v>0</v>
          </cell>
          <cell r="T411" t="str">
            <v>0</v>
          </cell>
          <cell r="U411" t="str">
            <v>0</v>
          </cell>
          <cell r="V411" t="str">
            <v>0</v>
          </cell>
          <cell r="W411" t="str">
            <v>0</v>
          </cell>
          <cell r="X411" t="str">
            <v>0</v>
          </cell>
          <cell r="Y411" t="str">
            <v>0</v>
          </cell>
          <cell r="Z411" t="str">
            <v>0</v>
          </cell>
          <cell r="AA411" t="str">
            <v>0</v>
          </cell>
          <cell r="AB411" t="str">
            <v>0</v>
          </cell>
          <cell r="AC411" t="str">
            <v>0</v>
          </cell>
          <cell r="AD411" t="str">
            <v>0</v>
          </cell>
          <cell r="AE411" t="str">
            <v>0</v>
          </cell>
          <cell r="AF411" t="str">
            <v>0</v>
          </cell>
          <cell r="AG411" t="str">
            <v>0</v>
          </cell>
          <cell r="AH411" t="str">
            <v>0</v>
          </cell>
          <cell r="AI411" t="str">
            <v>0</v>
          </cell>
          <cell r="AJ411" t="str">
            <v>0</v>
          </cell>
          <cell r="AK411" t="str">
            <v>0</v>
          </cell>
          <cell r="AL411" t="str">
            <v>0</v>
          </cell>
          <cell r="AM411" t="str">
            <v>0</v>
          </cell>
          <cell r="AN411" t="str">
            <v>0</v>
          </cell>
          <cell r="AO411" t="str">
            <v>0</v>
          </cell>
          <cell r="AP411" t="str">
            <v>0</v>
          </cell>
          <cell r="AQ411" t="str">
            <v>0</v>
          </cell>
          <cell r="AR411" t="str">
            <v>0</v>
          </cell>
          <cell r="AS411" t="str">
            <v>0</v>
          </cell>
          <cell r="AT411" t="str">
            <v>0</v>
          </cell>
          <cell r="AU411" t="str">
            <v>0</v>
          </cell>
          <cell r="AV411" t="str">
            <v>0</v>
          </cell>
          <cell r="AW411" t="str">
            <v>0</v>
          </cell>
          <cell r="AX411" t="str">
            <v>0</v>
          </cell>
          <cell r="AY411" t="str">
            <v>0</v>
          </cell>
          <cell r="AZ411" t="str">
            <v>0</v>
          </cell>
          <cell r="BA411" t="str">
            <v>0</v>
          </cell>
          <cell r="BB411" t="str">
            <v>0</v>
          </cell>
          <cell r="BC411" t="str">
            <v>0</v>
          </cell>
          <cell r="BD411" t="str">
            <v>0</v>
          </cell>
          <cell r="BE411" t="str">
            <v>0</v>
          </cell>
          <cell r="BF411" t="str">
            <v>0</v>
          </cell>
          <cell r="BG411" t="str">
            <v>0</v>
          </cell>
          <cell r="BH411" t="str">
            <v>0</v>
          </cell>
          <cell r="BI411" t="str">
            <v>0</v>
          </cell>
          <cell r="BJ411" t="str">
            <v>0</v>
          </cell>
          <cell r="BK411" t="str">
            <v>0</v>
          </cell>
          <cell r="BL411" t="str">
            <v>0</v>
          </cell>
          <cell r="BM411" t="str">
            <v>0</v>
          </cell>
          <cell r="BN411" t="str">
            <v>0</v>
          </cell>
          <cell r="BO411" t="str">
            <v>0</v>
          </cell>
          <cell r="BP411" t="str">
            <v>0</v>
          </cell>
          <cell r="BQ411" t="str">
            <v>0</v>
          </cell>
          <cell r="BR411" t="str">
            <v>0</v>
          </cell>
          <cell r="BS411" t="str">
            <v>0</v>
          </cell>
          <cell r="BT411" t="str">
            <v>0</v>
          </cell>
          <cell r="BU411" t="str">
            <v>0</v>
          </cell>
          <cell r="BV411" t="str">
            <v>0</v>
          </cell>
          <cell r="BW411" t="str">
            <v>0</v>
          </cell>
          <cell r="BX411" t="str">
            <v>0</v>
          </cell>
          <cell r="BY411" t="str">
            <v>0</v>
          </cell>
          <cell r="BZ411" t="str">
            <v>0</v>
          </cell>
          <cell r="CA411" t="str">
            <v>0</v>
          </cell>
          <cell r="CB411" t="str">
            <v>0</v>
          </cell>
          <cell r="CC411" t="str">
            <v>0</v>
          </cell>
          <cell r="CD411" t="str">
            <v>0</v>
          </cell>
          <cell r="CE411" t="str">
            <v>0</v>
          </cell>
          <cell r="CF411" t="str">
            <v>0</v>
          </cell>
          <cell r="CG411" t="str">
            <v>0</v>
          </cell>
          <cell r="CH411" t="str">
            <v>0</v>
          </cell>
          <cell r="CI411" t="str">
            <v>0</v>
          </cell>
          <cell r="CJ411" t="str">
            <v>0</v>
          </cell>
          <cell r="CK411" t="str">
            <v>0</v>
          </cell>
          <cell r="CL411" t="str">
            <v>0</v>
          </cell>
          <cell r="CM411" t="str">
            <v>0</v>
          </cell>
          <cell r="CN411" t="str">
            <v>0</v>
          </cell>
          <cell r="CO411" t="str">
            <v>0</v>
          </cell>
          <cell r="CP411" t="str">
            <v>0</v>
          </cell>
          <cell r="CQ411" t="str">
            <v>0</v>
          </cell>
          <cell r="CR411" t="str">
            <v>0</v>
          </cell>
          <cell r="CS411" t="str">
            <v>0</v>
          </cell>
          <cell r="CT411" t="str">
            <v>0</v>
          </cell>
          <cell r="CU411" t="str">
            <v>0</v>
          </cell>
          <cell r="CV411" t="str">
            <v>0</v>
          </cell>
          <cell r="CW411" t="str">
            <v>0</v>
          </cell>
          <cell r="CX411" t="str">
            <v>0</v>
          </cell>
          <cell r="CY411" t="str">
            <v>0</v>
          </cell>
          <cell r="CZ411" t="str">
            <v>0</v>
          </cell>
          <cell r="DA411" t="str">
            <v>0</v>
          </cell>
          <cell r="DB411" t="str">
            <v>0</v>
          </cell>
          <cell r="DC411" t="str">
            <v>0</v>
          </cell>
          <cell r="DD411" t="str">
            <v>0</v>
          </cell>
          <cell r="DE411" t="str">
            <v>0</v>
          </cell>
          <cell r="DF411" t="str">
            <v>0</v>
          </cell>
          <cell r="DG411" t="str">
            <v>0</v>
          </cell>
          <cell r="DH411" t="str">
            <v>0</v>
          </cell>
          <cell r="DI411" t="str">
            <v>0</v>
          </cell>
          <cell r="DJ411" t="str">
            <v>0</v>
          </cell>
          <cell r="DK411" t="str">
            <v>0</v>
          </cell>
          <cell r="DL411" t="str">
            <v>0</v>
          </cell>
          <cell r="DM411" t="str">
            <v>0</v>
          </cell>
          <cell r="DN411" t="str">
            <v>0</v>
          </cell>
          <cell r="DO411" t="str">
            <v>0</v>
          </cell>
          <cell r="DP411" t="str">
            <v>0</v>
          </cell>
        </row>
        <row r="412">
          <cell r="C412"/>
          <cell r="D412" t="str">
            <v>0</v>
          </cell>
          <cell r="E412" t="str">
            <v>0</v>
          </cell>
          <cell r="F412" t="str">
            <v>0</v>
          </cell>
          <cell r="G412" t="str">
            <v>0</v>
          </cell>
          <cell r="H412" t="str">
            <v>0</v>
          </cell>
          <cell r="I412" t="str">
            <v>0</v>
          </cell>
          <cell r="J412" t="str">
            <v>0</v>
          </cell>
          <cell r="K412" t="str">
            <v>0</v>
          </cell>
          <cell r="L412" t="str">
            <v>0</v>
          </cell>
          <cell r="M412" t="str">
            <v>0</v>
          </cell>
          <cell r="N412" t="str">
            <v>0</v>
          </cell>
          <cell r="O412" t="str">
            <v>0</v>
          </cell>
          <cell r="P412" t="str">
            <v>0</v>
          </cell>
          <cell r="Q412" t="str">
            <v>0</v>
          </cell>
          <cell r="R412" t="str">
            <v>0</v>
          </cell>
          <cell r="S412" t="str">
            <v>0</v>
          </cell>
          <cell r="T412" t="str">
            <v>0</v>
          </cell>
          <cell r="U412" t="str">
            <v>0</v>
          </cell>
          <cell r="V412" t="str">
            <v>0</v>
          </cell>
          <cell r="W412" t="str">
            <v>0</v>
          </cell>
          <cell r="X412" t="str">
            <v>0</v>
          </cell>
          <cell r="Y412" t="str">
            <v>0</v>
          </cell>
          <cell r="Z412" t="str">
            <v>0</v>
          </cell>
          <cell r="AA412" t="str">
            <v>0</v>
          </cell>
          <cell r="AB412" t="str">
            <v>0</v>
          </cell>
          <cell r="AC412" t="str">
            <v>0</v>
          </cell>
          <cell r="AD412" t="str">
            <v>0</v>
          </cell>
          <cell r="AE412" t="str">
            <v>0</v>
          </cell>
          <cell r="AF412" t="str">
            <v>0</v>
          </cell>
          <cell r="AG412" t="str">
            <v>0</v>
          </cell>
          <cell r="AH412" t="str">
            <v>0</v>
          </cell>
          <cell r="AI412" t="str">
            <v>0</v>
          </cell>
          <cell r="AJ412" t="str">
            <v>0</v>
          </cell>
          <cell r="AK412" t="str">
            <v>0</v>
          </cell>
          <cell r="AL412" t="str">
            <v>0</v>
          </cell>
          <cell r="AM412" t="str">
            <v>0</v>
          </cell>
          <cell r="AN412" t="str">
            <v>0</v>
          </cell>
          <cell r="AO412" t="str">
            <v>0</v>
          </cell>
          <cell r="AP412" t="str">
            <v>0</v>
          </cell>
          <cell r="AQ412" t="str">
            <v>0</v>
          </cell>
          <cell r="AR412" t="str">
            <v>0</v>
          </cell>
          <cell r="AS412" t="str">
            <v>0</v>
          </cell>
          <cell r="AT412" t="str">
            <v>0</v>
          </cell>
          <cell r="AU412" t="str">
            <v>0</v>
          </cell>
          <cell r="AV412" t="str">
            <v>0</v>
          </cell>
          <cell r="AW412" t="str">
            <v>0</v>
          </cell>
          <cell r="AX412" t="str">
            <v>0</v>
          </cell>
          <cell r="AY412" t="str">
            <v>0</v>
          </cell>
          <cell r="AZ412" t="str">
            <v>0</v>
          </cell>
          <cell r="BA412" t="str">
            <v>0</v>
          </cell>
          <cell r="BB412" t="str">
            <v>0</v>
          </cell>
          <cell r="BC412" t="str">
            <v>0</v>
          </cell>
          <cell r="BD412" t="str">
            <v>0</v>
          </cell>
          <cell r="BE412" t="str">
            <v>0</v>
          </cell>
          <cell r="BF412" t="str">
            <v>0</v>
          </cell>
          <cell r="BG412" t="str">
            <v>0</v>
          </cell>
          <cell r="BH412" t="str">
            <v>0</v>
          </cell>
          <cell r="BI412" t="str">
            <v>0</v>
          </cell>
          <cell r="BJ412" t="str">
            <v>0</v>
          </cell>
          <cell r="BK412" t="str">
            <v>0</v>
          </cell>
          <cell r="BL412" t="str">
            <v>0</v>
          </cell>
          <cell r="BM412" t="str">
            <v>0</v>
          </cell>
          <cell r="BN412" t="str">
            <v>0</v>
          </cell>
          <cell r="BO412" t="str">
            <v>0</v>
          </cell>
          <cell r="BP412" t="str">
            <v>0</v>
          </cell>
          <cell r="BQ412" t="str">
            <v>0</v>
          </cell>
          <cell r="BR412" t="str">
            <v>0</v>
          </cell>
          <cell r="BS412" t="str">
            <v>0</v>
          </cell>
          <cell r="BT412" t="str">
            <v>0</v>
          </cell>
          <cell r="BU412" t="str">
            <v>0</v>
          </cell>
          <cell r="BV412" t="str">
            <v>0</v>
          </cell>
          <cell r="BW412" t="str">
            <v>0</v>
          </cell>
          <cell r="BX412" t="str">
            <v>0</v>
          </cell>
          <cell r="BY412" t="str">
            <v>0</v>
          </cell>
          <cell r="BZ412" t="str">
            <v>0</v>
          </cell>
          <cell r="CA412" t="str">
            <v>0</v>
          </cell>
          <cell r="CB412" t="str">
            <v>0</v>
          </cell>
          <cell r="CC412" t="str">
            <v>0</v>
          </cell>
          <cell r="CD412" t="str">
            <v>0</v>
          </cell>
          <cell r="CE412" t="str">
            <v>0</v>
          </cell>
          <cell r="CF412" t="str">
            <v>0</v>
          </cell>
          <cell r="CG412" t="str">
            <v>0</v>
          </cell>
          <cell r="CH412" t="str">
            <v>0</v>
          </cell>
          <cell r="CI412" t="str">
            <v>0</v>
          </cell>
          <cell r="CJ412" t="str">
            <v>0</v>
          </cell>
          <cell r="CK412" t="str">
            <v>0</v>
          </cell>
          <cell r="CL412" t="str">
            <v>0</v>
          </cell>
          <cell r="CM412" t="str">
            <v>0</v>
          </cell>
          <cell r="CN412" t="str">
            <v>0</v>
          </cell>
          <cell r="CO412" t="str">
            <v>0</v>
          </cell>
          <cell r="CP412" t="str">
            <v>0</v>
          </cell>
          <cell r="CQ412" t="str">
            <v>0</v>
          </cell>
          <cell r="CR412" t="str">
            <v>0</v>
          </cell>
          <cell r="CS412" t="str">
            <v>0</v>
          </cell>
          <cell r="CT412" t="str">
            <v>0</v>
          </cell>
          <cell r="CU412" t="str">
            <v>0</v>
          </cell>
          <cell r="CV412" t="str">
            <v>0</v>
          </cell>
          <cell r="CW412" t="str">
            <v>0</v>
          </cell>
          <cell r="CX412" t="str">
            <v>0</v>
          </cell>
          <cell r="CY412" t="str">
            <v>0</v>
          </cell>
          <cell r="CZ412" t="str">
            <v>0</v>
          </cell>
          <cell r="DA412" t="str">
            <v>0</v>
          </cell>
          <cell r="DB412" t="str">
            <v>0</v>
          </cell>
          <cell r="DC412" t="str">
            <v>0</v>
          </cell>
          <cell r="DD412" t="str">
            <v>0</v>
          </cell>
          <cell r="DE412" t="str">
            <v>0</v>
          </cell>
          <cell r="DF412" t="str">
            <v>0</v>
          </cell>
          <cell r="DG412" t="str">
            <v>0</v>
          </cell>
          <cell r="DH412" t="str">
            <v>0</v>
          </cell>
          <cell r="DI412" t="str">
            <v>0</v>
          </cell>
          <cell r="DJ412" t="str">
            <v>0</v>
          </cell>
          <cell r="DK412" t="str">
            <v>0</v>
          </cell>
          <cell r="DL412" t="str">
            <v>0</v>
          </cell>
          <cell r="DM412" t="str">
            <v>0</v>
          </cell>
          <cell r="DN412" t="str">
            <v>0</v>
          </cell>
          <cell r="DO412" t="str">
            <v>0</v>
          </cell>
          <cell r="DP412" t="str">
            <v>0</v>
          </cell>
        </row>
        <row r="413">
          <cell r="C413"/>
          <cell r="D413" t="str">
            <v>0</v>
          </cell>
          <cell r="E413" t="str">
            <v>0</v>
          </cell>
          <cell r="F413" t="str">
            <v>0</v>
          </cell>
          <cell r="G413" t="str">
            <v>0</v>
          </cell>
          <cell r="H413" t="str">
            <v>0</v>
          </cell>
          <cell r="I413" t="str">
            <v>0</v>
          </cell>
          <cell r="J413" t="str">
            <v>0</v>
          </cell>
          <cell r="K413" t="str">
            <v>0</v>
          </cell>
          <cell r="L413" t="str">
            <v>0</v>
          </cell>
          <cell r="M413" t="str">
            <v>0</v>
          </cell>
          <cell r="N413" t="str">
            <v>0</v>
          </cell>
          <cell r="O413" t="str">
            <v>0</v>
          </cell>
          <cell r="P413" t="str">
            <v>0</v>
          </cell>
          <cell r="Q413" t="str">
            <v>0</v>
          </cell>
          <cell r="R413" t="str">
            <v>0</v>
          </cell>
          <cell r="S413" t="str">
            <v>0</v>
          </cell>
          <cell r="T413" t="str">
            <v>0</v>
          </cell>
          <cell r="U413" t="str">
            <v>0</v>
          </cell>
          <cell r="V413" t="str">
            <v>0</v>
          </cell>
          <cell r="W413" t="str">
            <v>0</v>
          </cell>
          <cell r="X413" t="str">
            <v>0</v>
          </cell>
          <cell r="Y413" t="str">
            <v>0</v>
          </cell>
          <cell r="Z413" t="str">
            <v>0</v>
          </cell>
          <cell r="AA413" t="str">
            <v>0</v>
          </cell>
          <cell r="AB413" t="str">
            <v>0</v>
          </cell>
          <cell r="AC413" t="str">
            <v>0</v>
          </cell>
          <cell r="AD413" t="str">
            <v>0</v>
          </cell>
          <cell r="AE413" t="str">
            <v>0</v>
          </cell>
          <cell r="AF413" t="str">
            <v>0</v>
          </cell>
          <cell r="AG413" t="str">
            <v>0</v>
          </cell>
          <cell r="AH413" t="str">
            <v>0</v>
          </cell>
          <cell r="AI413" t="str">
            <v>0</v>
          </cell>
          <cell r="AJ413" t="str">
            <v>0</v>
          </cell>
          <cell r="AK413" t="str">
            <v>0</v>
          </cell>
          <cell r="AL413" t="str">
            <v>0</v>
          </cell>
          <cell r="AM413" t="str">
            <v>0</v>
          </cell>
          <cell r="AN413" t="str">
            <v>0</v>
          </cell>
          <cell r="AO413" t="str">
            <v>0</v>
          </cell>
          <cell r="AP413" t="str">
            <v>0</v>
          </cell>
          <cell r="AQ413" t="str">
            <v>0</v>
          </cell>
          <cell r="AR413" t="str">
            <v>0</v>
          </cell>
          <cell r="AS413" t="str">
            <v>0</v>
          </cell>
          <cell r="AT413" t="str">
            <v>0</v>
          </cell>
          <cell r="AU413" t="str">
            <v>0</v>
          </cell>
          <cell r="AV413" t="str">
            <v>0</v>
          </cell>
          <cell r="AW413" t="str">
            <v>0</v>
          </cell>
          <cell r="AX413" t="str">
            <v>0</v>
          </cell>
          <cell r="AY413" t="str">
            <v>0</v>
          </cell>
          <cell r="AZ413" t="str">
            <v>0</v>
          </cell>
          <cell r="BA413" t="str">
            <v>0</v>
          </cell>
          <cell r="BB413" t="str">
            <v>0</v>
          </cell>
          <cell r="BC413" t="str">
            <v>0</v>
          </cell>
          <cell r="BD413" t="str">
            <v>0</v>
          </cell>
          <cell r="BE413" t="str">
            <v>0</v>
          </cell>
          <cell r="BF413" t="str">
            <v>0</v>
          </cell>
          <cell r="BG413" t="str">
            <v>0</v>
          </cell>
          <cell r="BH413" t="str">
            <v>0</v>
          </cell>
          <cell r="BI413" t="str">
            <v>0</v>
          </cell>
          <cell r="BJ413" t="str">
            <v>0</v>
          </cell>
          <cell r="BK413" t="str">
            <v>0</v>
          </cell>
          <cell r="BL413" t="str">
            <v>0</v>
          </cell>
          <cell r="BM413" t="str">
            <v>0</v>
          </cell>
          <cell r="BN413" t="str">
            <v>0</v>
          </cell>
          <cell r="BO413" t="str">
            <v>0</v>
          </cell>
          <cell r="BP413" t="str">
            <v>0</v>
          </cell>
          <cell r="BQ413" t="str">
            <v>0</v>
          </cell>
          <cell r="BR413" t="str">
            <v>0</v>
          </cell>
          <cell r="BS413" t="str">
            <v>0</v>
          </cell>
          <cell r="BT413" t="str">
            <v>0</v>
          </cell>
          <cell r="BU413" t="str">
            <v>0</v>
          </cell>
          <cell r="BV413" t="str">
            <v>0</v>
          </cell>
          <cell r="BW413" t="str">
            <v>0</v>
          </cell>
          <cell r="BX413" t="str">
            <v>0</v>
          </cell>
          <cell r="BY413" t="str">
            <v>0</v>
          </cell>
          <cell r="BZ413" t="str">
            <v>0</v>
          </cell>
          <cell r="CA413" t="str">
            <v>0</v>
          </cell>
          <cell r="CB413" t="str">
            <v>0</v>
          </cell>
          <cell r="CC413" t="str">
            <v>0</v>
          </cell>
          <cell r="CD413" t="str">
            <v>0</v>
          </cell>
          <cell r="CE413" t="str">
            <v>0</v>
          </cell>
          <cell r="CF413" t="str">
            <v>0</v>
          </cell>
          <cell r="CG413" t="str">
            <v>0</v>
          </cell>
          <cell r="CH413" t="str">
            <v>0</v>
          </cell>
          <cell r="CI413" t="str">
            <v>0</v>
          </cell>
          <cell r="CJ413" t="str">
            <v>0</v>
          </cell>
          <cell r="CK413" t="str">
            <v>0</v>
          </cell>
          <cell r="CL413" t="str">
            <v>0</v>
          </cell>
          <cell r="CM413" t="str">
            <v>0</v>
          </cell>
          <cell r="CN413" t="str">
            <v>0</v>
          </cell>
          <cell r="CO413" t="str">
            <v>0</v>
          </cell>
          <cell r="CP413" t="str">
            <v>0</v>
          </cell>
          <cell r="CQ413" t="str">
            <v>0</v>
          </cell>
          <cell r="CR413" t="str">
            <v>0</v>
          </cell>
          <cell r="CS413" t="str">
            <v>0</v>
          </cell>
          <cell r="CT413" t="str">
            <v>0</v>
          </cell>
          <cell r="CU413" t="str">
            <v>0</v>
          </cell>
          <cell r="CV413" t="str">
            <v>0</v>
          </cell>
          <cell r="CW413" t="str">
            <v>0</v>
          </cell>
          <cell r="CX413" t="str">
            <v>0</v>
          </cell>
          <cell r="CY413" t="str">
            <v>0</v>
          </cell>
          <cell r="CZ413" t="str">
            <v>0</v>
          </cell>
          <cell r="DA413" t="str">
            <v>0</v>
          </cell>
          <cell r="DB413" t="str">
            <v>0</v>
          </cell>
          <cell r="DC413" t="str">
            <v>0</v>
          </cell>
          <cell r="DD413" t="str">
            <v>0</v>
          </cell>
          <cell r="DE413" t="str">
            <v>0</v>
          </cell>
          <cell r="DF413" t="str">
            <v>0</v>
          </cell>
          <cell r="DG413" t="str">
            <v>0</v>
          </cell>
          <cell r="DH413" t="str">
            <v>0</v>
          </cell>
          <cell r="DI413" t="str">
            <v>0</v>
          </cell>
          <cell r="DJ413" t="str">
            <v>0</v>
          </cell>
          <cell r="DK413" t="str">
            <v>0</v>
          </cell>
          <cell r="DL413" t="str">
            <v>0</v>
          </cell>
          <cell r="DM413" t="str">
            <v>0</v>
          </cell>
          <cell r="DN413" t="str">
            <v>0</v>
          </cell>
          <cell r="DO413" t="str">
            <v>0</v>
          </cell>
          <cell r="DP413" t="str">
            <v>0</v>
          </cell>
        </row>
        <row r="414">
          <cell r="C414"/>
          <cell r="D414" t="str">
            <v>0</v>
          </cell>
          <cell r="E414" t="str">
            <v>0</v>
          </cell>
          <cell r="F414" t="str">
            <v>0</v>
          </cell>
          <cell r="G414" t="str">
            <v>0</v>
          </cell>
          <cell r="H414" t="str">
            <v>0</v>
          </cell>
          <cell r="I414" t="str">
            <v>0</v>
          </cell>
          <cell r="J414" t="str">
            <v>0</v>
          </cell>
          <cell r="K414" t="str">
            <v>0</v>
          </cell>
          <cell r="L414" t="str">
            <v>0</v>
          </cell>
          <cell r="M414" t="str">
            <v>0</v>
          </cell>
          <cell r="N414" t="str">
            <v>0</v>
          </cell>
          <cell r="O414" t="str">
            <v>0</v>
          </cell>
          <cell r="P414" t="str">
            <v>0</v>
          </cell>
          <cell r="Q414" t="str">
            <v>0</v>
          </cell>
          <cell r="R414" t="str">
            <v>0</v>
          </cell>
          <cell r="S414" t="str">
            <v>0</v>
          </cell>
          <cell r="T414" t="str">
            <v>0</v>
          </cell>
          <cell r="U414" t="str">
            <v>0</v>
          </cell>
          <cell r="V414" t="str">
            <v>0</v>
          </cell>
          <cell r="W414" t="str">
            <v>0</v>
          </cell>
          <cell r="X414" t="str">
            <v>0</v>
          </cell>
          <cell r="Y414" t="str">
            <v>0</v>
          </cell>
          <cell r="Z414" t="str">
            <v>0</v>
          </cell>
          <cell r="AA414" t="str">
            <v>0</v>
          </cell>
          <cell r="AB414" t="str">
            <v>0</v>
          </cell>
          <cell r="AC414" t="str">
            <v>0</v>
          </cell>
          <cell r="AD414" t="str">
            <v>0</v>
          </cell>
          <cell r="AE414" t="str">
            <v>0</v>
          </cell>
          <cell r="AF414" t="str">
            <v>0</v>
          </cell>
          <cell r="AG414" t="str">
            <v>0</v>
          </cell>
          <cell r="AH414" t="str">
            <v>0</v>
          </cell>
          <cell r="AI414" t="str">
            <v>0</v>
          </cell>
          <cell r="AJ414" t="str">
            <v>0</v>
          </cell>
          <cell r="AK414" t="str">
            <v>0</v>
          </cell>
          <cell r="AL414" t="str">
            <v>0</v>
          </cell>
          <cell r="AM414" t="str">
            <v>0</v>
          </cell>
          <cell r="AN414" t="str">
            <v>0</v>
          </cell>
          <cell r="AO414" t="str">
            <v>0</v>
          </cell>
          <cell r="AP414" t="str">
            <v>0</v>
          </cell>
          <cell r="AQ414" t="str">
            <v>0</v>
          </cell>
          <cell r="AR414" t="str">
            <v>0</v>
          </cell>
          <cell r="AS414" t="str">
            <v>0</v>
          </cell>
          <cell r="AT414" t="str">
            <v>0</v>
          </cell>
          <cell r="AU414" t="str">
            <v>0</v>
          </cell>
          <cell r="AV414" t="str">
            <v>0</v>
          </cell>
          <cell r="AW414" t="str">
            <v>0</v>
          </cell>
          <cell r="AX414" t="str">
            <v>0</v>
          </cell>
          <cell r="AY414" t="str">
            <v>0</v>
          </cell>
          <cell r="AZ414" t="str">
            <v>0</v>
          </cell>
          <cell r="BA414" t="str">
            <v>0</v>
          </cell>
          <cell r="BB414" t="str">
            <v>0</v>
          </cell>
          <cell r="BC414" t="str">
            <v>0</v>
          </cell>
          <cell r="BD414" t="str">
            <v>0</v>
          </cell>
          <cell r="BE414" t="str">
            <v>0</v>
          </cell>
          <cell r="BF414" t="str">
            <v>0</v>
          </cell>
          <cell r="BG414" t="str">
            <v>0</v>
          </cell>
          <cell r="BH414" t="str">
            <v>0</v>
          </cell>
          <cell r="BI414" t="str">
            <v>0</v>
          </cell>
          <cell r="BJ414" t="str">
            <v>0</v>
          </cell>
          <cell r="BK414" t="str">
            <v>0</v>
          </cell>
          <cell r="BL414" t="str">
            <v>0</v>
          </cell>
          <cell r="BM414" t="str">
            <v>0</v>
          </cell>
          <cell r="BN414" t="str">
            <v>0</v>
          </cell>
          <cell r="BO414" t="str">
            <v>0</v>
          </cell>
          <cell r="BP414" t="str">
            <v>0</v>
          </cell>
          <cell r="BQ414" t="str">
            <v>0</v>
          </cell>
          <cell r="BR414" t="str">
            <v>0</v>
          </cell>
          <cell r="BS414" t="str">
            <v>0</v>
          </cell>
          <cell r="BT414" t="str">
            <v>0</v>
          </cell>
          <cell r="BU414" t="str">
            <v>0</v>
          </cell>
          <cell r="BV414" t="str">
            <v>0</v>
          </cell>
          <cell r="BW414" t="str">
            <v>0</v>
          </cell>
          <cell r="BX414" t="str">
            <v>0</v>
          </cell>
          <cell r="BY414" t="str">
            <v>0</v>
          </cell>
          <cell r="BZ414" t="str">
            <v>0</v>
          </cell>
          <cell r="CA414" t="str">
            <v>0</v>
          </cell>
          <cell r="CB414" t="str">
            <v>0</v>
          </cell>
          <cell r="CC414" t="str">
            <v>0</v>
          </cell>
          <cell r="CD414" t="str">
            <v>0</v>
          </cell>
          <cell r="CE414" t="str">
            <v>0</v>
          </cell>
          <cell r="CF414" t="str">
            <v>0</v>
          </cell>
          <cell r="CG414" t="str">
            <v>0</v>
          </cell>
          <cell r="CH414" t="str">
            <v>0</v>
          </cell>
          <cell r="CI414" t="str">
            <v>0</v>
          </cell>
          <cell r="CJ414" t="str">
            <v>0</v>
          </cell>
          <cell r="CK414" t="str">
            <v>0</v>
          </cell>
          <cell r="CL414" t="str">
            <v>0</v>
          </cell>
          <cell r="CM414" t="str">
            <v>0</v>
          </cell>
          <cell r="CN414" t="str">
            <v>0</v>
          </cell>
          <cell r="CO414" t="str">
            <v>0</v>
          </cell>
          <cell r="CP414" t="str">
            <v>0</v>
          </cell>
          <cell r="CQ414" t="str">
            <v>0</v>
          </cell>
          <cell r="CR414" t="str">
            <v>0</v>
          </cell>
          <cell r="CS414" t="str">
            <v>0</v>
          </cell>
          <cell r="CT414" t="str">
            <v>0</v>
          </cell>
          <cell r="CU414" t="str">
            <v>0</v>
          </cell>
          <cell r="CV414" t="str">
            <v>0</v>
          </cell>
          <cell r="CW414" t="str">
            <v>0</v>
          </cell>
          <cell r="CX414" t="str">
            <v>0</v>
          </cell>
          <cell r="CY414" t="str">
            <v>0</v>
          </cell>
          <cell r="CZ414" t="str">
            <v>0</v>
          </cell>
          <cell r="DA414" t="str">
            <v>0</v>
          </cell>
          <cell r="DB414" t="str">
            <v>0</v>
          </cell>
          <cell r="DC414" t="str">
            <v>0</v>
          </cell>
          <cell r="DD414" t="str">
            <v>0</v>
          </cell>
          <cell r="DE414" t="str">
            <v>0</v>
          </cell>
          <cell r="DF414" t="str">
            <v>0</v>
          </cell>
          <cell r="DG414" t="str">
            <v>0</v>
          </cell>
          <cell r="DH414" t="str">
            <v>0</v>
          </cell>
          <cell r="DI414" t="str">
            <v>0</v>
          </cell>
          <cell r="DJ414" t="str">
            <v>0</v>
          </cell>
          <cell r="DK414" t="str">
            <v>0</v>
          </cell>
          <cell r="DL414" t="str">
            <v>0</v>
          </cell>
          <cell r="DM414" t="str">
            <v>0</v>
          </cell>
          <cell r="DN414" t="str">
            <v>0</v>
          </cell>
          <cell r="DO414" t="str">
            <v>0</v>
          </cell>
          <cell r="DP414" t="str">
            <v>0</v>
          </cell>
        </row>
        <row r="415">
          <cell r="C415"/>
          <cell r="D415" t="str">
            <v>0</v>
          </cell>
          <cell r="E415" t="str">
            <v>0</v>
          </cell>
          <cell r="F415" t="str">
            <v>0</v>
          </cell>
          <cell r="G415" t="str">
            <v>0</v>
          </cell>
          <cell r="H415" t="str">
            <v>0</v>
          </cell>
          <cell r="I415" t="str">
            <v>0</v>
          </cell>
          <cell r="J415" t="str">
            <v>0</v>
          </cell>
          <cell r="K415" t="str">
            <v>0</v>
          </cell>
          <cell r="L415" t="str">
            <v>0</v>
          </cell>
          <cell r="M415" t="str">
            <v>0</v>
          </cell>
          <cell r="N415" t="str">
            <v>0</v>
          </cell>
          <cell r="O415" t="str">
            <v>0</v>
          </cell>
          <cell r="P415" t="str">
            <v>0</v>
          </cell>
          <cell r="Q415" t="str">
            <v>0</v>
          </cell>
          <cell r="R415" t="str">
            <v>0</v>
          </cell>
          <cell r="S415" t="str">
            <v>0</v>
          </cell>
          <cell r="T415" t="str">
            <v>0</v>
          </cell>
          <cell r="U415" t="str">
            <v>0</v>
          </cell>
          <cell r="V415" t="str">
            <v>0</v>
          </cell>
          <cell r="W415" t="str">
            <v>0</v>
          </cell>
          <cell r="X415" t="str">
            <v>0</v>
          </cell>
          <cell r="Y415" t="str">
            <v>0</v>
          </cell>
          <cell r="Z415" t="str">
            <v>0</v>
          </cell>
          <cell r="AA415" t="str">
            <v>0</v>
          </cell>
          <cell r="AB415" t="str">
            <v>0</v>
          </cell>
          <cell r="AC415" t="str">
            <v>0</v>
          </cell>
          <cell r="AD415" t="str">
            <v>0</v>
          </cell>
          <cell r="AE415" t="str">
            <v>0</v>
          </cell>
          <cell r="AF415" t="str">
            <v>0</v>
          </cell>
          <cell r="AG415" t="str">
            <v>0</v>
          </cell>
          <cell r="AH415" t="str">
            <v>0</v>
          </cell>
          <cell r="AI415" t="str">
            <v>0</v>
          </cell>
          <cell r="AJ415" t="str">
            <v>0</v>
          </cell>
          <cell r="AK415" t="str">
            <v>0</v>
          </cell>
          <cell r="AL415" t="str">
            <v>0</v>
          </cell>
          <cell r="AM415" t="str">
            <v>0</v>
          </cell>
          <cell r="AN415" t="str">
            <v>0</v>
          </cell>
          <cell r="AO415" t="str">
            <v>0</v>
          </cell>
          <cell r="AP415" t="str">
            <v>0</v>
          </cell>
          <cell r="AQ415" t="str">
            <v>0</v>
          </cell>
          <cell r="AR415" t="str">
            <v>0</v>
          </cell>
          <cell r="AS415" t="str">
            <v>0</v>
          </cell>
          <cell r="AT415" t="str">
            <v>0</v>
          </cell>
          <cell r="AU415" t="str">
            <v>0</v>
          </cell>
          <cell r="AV415" t="str">
            <v>0</v>
          </cell>
          <cell r="AW415" t="str">
            <v>0</v>
          </cell>
          <cell r="AX415" t="str">
            <v>0</v>
          </cell>
          <cell r="AY415" t="str">
            <v>0</v>
          </cell>
          <cell r="AZ415" t="str">
            <v>0</v>
          </cell>
          <cell r="BA415" t="str">
            <v>0</v>
          </cell>
          <cell r="BB415" t="str">
            <v>0</v>
          </cell>
          <cell r="BC415" t="str">
            <v>0</v>
          </cell>
          <cell r="BD415" t="str">
            <v>0</v>
          </cell>
          <cell r="BE415" t="str">
            <v>0</v>
          </cell>
          <cell r="BF415" t="str">
            <v>0</v>
          </cell>
          <cell r="BG415" t="str">
            <v>0</v>
          </cell>
          <cell r="BH415" t="str">
            <v>0</v>
          </cell>
          <cell r="BI415" t="str">
            <v>0</v>
          </cell>
          <cell r="BJ415" t="str">
            <v>0</v>
          </cell>
          <cell r="BK415" t="str">
            <v>0</v>
          </cell>
          <cell r="BL415" t="str">
            <v>0</v>
          </cell>
          <cell r="BM415" t="str">
            <v>0</v>
          </cell>
          <cell r="BN415" t="str">
            <v>0</v>
          </cell>
          <cell r="BO415" t="str">
            <v>0</v>
          </cell>
          <cell r="BP415" t="str">
            <v>0</v>
          </cell>
          <cell r="BQ415" t="str">
            <v>0</v>
          </cell>
          <cell r="BR415" t="str">
            <v>0</v>
          </cell>
          <cell r="BS415" t="str">
            <v>0</v>
          </cell>
          <cell r="BT415" t="str">
            <v>0</v>
          </cell>
          <cell r="BU415" t="str">
            <v>0</v>
          </cell>
          <cell r="BV415" t="str">
            <v>0</v>
          </cell>
          <cell r="BW415" t="str">
            <v>0</v>
          </cell>
          <cell r="BX415" t="str">
            <v>0</v>
          </cell>
          <cell r="BY415" t="str">
            <v>0</v>
          </cell>
          <cell r="BZ415" t="str">
            <v>0</v>
          </cell>
          <cell r="CA415" t="str">
            <v>0</v>
          </cell>
          <cell r="CB415" t="str">
            <v>0</v>
          </cell>
          <cell r="CC415" t="str">
            <v>0</v>
          </cell>
          <cell r="CD415" t="str">
            <v>0</v>
          </cell>
          <cell r="CE415" t="str">
            <v>0</v>
          </cell>
          <cell r="CF415" t="str">
            <v>0</v>
          </cell>
          <cell r="CG415" t="str">
            <v>0</v>
          </cell>
          <cell r="CH415" t="str">
            <v>0</v>
          </cell>
          <cell r="CI415" t="str">
            <v>0</v>
          </cell>
          <cell r="CJ415" t="str">
            <v>0</v>
          </cell>
          <cell r="CK415" t="str">
            <v>0</v>
          </cell>
          <cell r="CL415" t="str">
            <v>0</v>
          </cell>
          <cell r="CM415" t="str">
            <v>0</v>
          </cell>
          <cell r="CN415" t="str">
            <v>0</v>
          </cell>
          <cell r="CO415" t="str">
            <v>0</v>
          </cell>
          <cell r="CP415" t="str">
            <v>0</v>
          </cell>
          <cell r="CQ415" t="str">
            <v>0</v>
          </cell>
          <cell r="CR415" t="str">
            <v>0</v>
          </cell>
          <cell r="CS415" t="str">
            <v>0</v>
          </cell>
          <cell r="CT415" t="str">
            <v>0</v>
          </cell>
          <cell r="CU415" t="str">
            <v>0</v>
          </cell>
          <cell r="CV415" t="str">
            <v>0</v>
          </cell>
          <cell r="CW415" t="str">
            <v>0</v>
          </cell>
          <cell r="CX415" t="str">
            <v>0</v>
          </cell>
          <cell r="CY415" t="str">
            <v>0</v>
          </cell>
          <cell r="CZ415" t="str">
            <v>0</v>
          </cell>
          <cell r="DA415" t="str">
            <v>0</v>
          </cell>
          <cell r="DB415" t="str">
            <v>0</v>
          </cell>
          <cell r="DC415" t="str">
            <v>0</v>
          </cell>
          <cell r="DD415" t="str">
            <v>0</v>
          </cell>
          <cell r="DE415" t="str">
            <v>0</v>
          </cell>
          <cell r="DF415" t="str">
            <v>0</v>
          </cell>
          <cell r="DG415" t="str">
            <v>0</v>
          </cell>
          <cell r="DH415" t="str">
            <v>0</v>
          </cell>
          <cell r="DI415" t="str">
            <v>0</v>
          </cell>
          <cell r="DJ415" t="str">
            <v>0</v>
          </cell>
          <cell r="DK415" t="str">
            <v>0</v>
          </cell>
          <cell r="DL415" t="str">
            <v>0</v>
          </cell>
          <cell r="DM415" t="str">
            <v>0</v>
          </cell>
          <cell r="DN415" t="str">
            <v>0</v>
          </cell>
          <cell r="DO415" t="str">
            <v>0</v>
          </cell>
          <cell r="DP415" t="str">
            <v>0</v>
          </cell>
        </row>
        <row r="416">
          <cell r="C416"/>
          <cell r="D416" t="str">
            <v>0</v>
          </cell>
          <cell r="E416" t="str">
            <v>0</v>
          </cell>
          <cell r="F416" t="str">
            <v>0</v>
          </cell>
          <cell r="G416" t="str">
            <v>0</v>
          </cell>
          <cell r="H416" t="str">
            <v>0</v>
          </cell>
          <cell r="I416" t="str">
            <v>0</v>
          </cell>
          <cell r="J416" t="str">
            <v>0</v>
          </cell>
          <cell r="K416" t="str">
            <v>0</v>
          </cell>
          <cell r="L416" t="str">
            <v>0</v>
          </cell>
          <cell r="M416" t="str">
            <v>0</v>
          </cell>
          <cell r="N416" t="str">
            <v>0</v>
          </cell>
          <cell r="O416" t="str">
            <v>0</v>
          </cell>
          <cell r="P416" t="str">
            <v>0</v>
          </cell>
          <cell r="Q416" t="str">
            <v>0</v>
          </cell>
          <cell r="R416" t="str">
            <v>0</v>
          </cell>
          <cell r="S416" t="str">
            <v>0</v>
          </cell>
          <cell r="T416" t="str">
            <v>0</v>
          </cell>
          <cell r="U416" t="str">
            <v>0</v>
          </cell>
          <cell r="V416" t="str">
            <v>0</v>
          </cell>
          <cell r="W416" t="str">
            <v>0</v>
          </cell>
          <cell r="X416" t="str">
            <v>0</v>
          </cell>
          <cell r="Y416" t="str">
            <v>0</v>
          </cell>
          <cell r="Z416" t="str">
            <v>0</v>
          </cell>
          <cell r="AA416" t="str">
            <v>0</v>
          </cell>
          <cell r="AB416" t="str">
            <v>0</v>
          </cell>
          <cell r="AC416" t="str">
            <v>0</v>
          </cell>
          <cell r="AD416" t="str">
            <v>0</v>
          </cell>
          <cell r="AE416" t="str">
            <v>0</v>
          </cell>
          <cell r="AF416" t="str">
            <v>0</v>
          </cell>
          <cell r="AG416" t="str">
            <v>0</v>
          </cell>
          <cell r="AH416" t="str">
            <v>0</v>
          </cell>
          <cell r="AI416" t="str">
            <v>0</v>
          </cell>
          <cell r="AJ416" t="str">
            <v>0</v>
          </cell>
          <cell r="AK416" t="str">
            <v>0</v>
          </cell>
          <cell r="AL416" t="str">
            <v>0</v>
          </cell>
          <cell r="AM416" t="str">
            <v>0</v>
          </cell>
          <cell r="AN416" t="str">
            <v>0</v>
          </cell>
          <cell r="AO416" t="str">
            <v>0</v>
          </cell>
          <cell r="AP416" t="str">
            <v>0</v>
          </cell>
          <cell r="AQ416" t="str">
            <v>0</v>
          </cell>
          <cell r="AR416" t="str">
            <v>0</v>
          </cell>
          <cell r="AS416" t="str">
            <v>0</v>
          </cell>
          <cell r="AT416" t="str">
            <v>0</v>
          </cell>
          <cell r="AU416" t="str">
            <v>0</v>
          </cell>
          <cell r="AV416" t="str">
            <v>0</v>
          </cell>
          <cell r="AW416" t="str">
            <v>0</v>
          </cell>
          <cell r="AX416" t="str">
            <v>0</v>
          </cell>
          <cell r="AY416" t="str">
            <v>0</v>
          </cell>
          <cell r="AZ416" t="str">
            <v>0</v>
          </cell>
          <cell r="BA416" t="str">
            <v>0</v>
          </cell>
          <cell r="BB416" t="str">
            <v>0</v>
          </cell>
          <cell r="BC416" t="str">
            <v>0</v>
          </cell>
          <cell r="BD416" t="str">
            <v>0</v>
          </cell>
          <cell r="BE416" t="str">
            <v>0</v>
          </cell>
          <cell r="BF416" t="str">
            <v>0</v>
          </cell>
          <cell r="BG416" t="str">
            <v>0</v>
          </cell>
          <cell r="BH416" t="str">
            <v>0</v>
          </cell>
          <cell r="BI416" t="str">
            <v>0</v>
          </cell>
          <cell r="BJ416" t="str">
            <v>0</v>
          </cell>
          <cell r="BK416" t="str">
            <v>0</v>
          </cell>
          <cell r="BL416" t="str">
            <v>0</v>
          </cell>
          <cell r="BM416" t="str">
            <v>0</v>
          </cell>
          <cell r="BN416" t="str">
            <v>0</v>
          </cell>
          <cell r="BO416" t="str">
            <v>0</v>
          </cell>
          <cell r="BP416" t="str">
            <v>0</v>
          </cell>
          <cell r="BQ416" t="str">
            <v>0</v>
          </cell>
          <cell r="BR416" t="str">
            <v>0</v>
          </cell>
          <cell r="BS416" t="str">
            <v>0</v>
          </cell>
          <cell r="BT416" t="str">
            <v>0</v>
          </cell>
          <cell r="BU416" t="str">
            <v>0</v>
          </cell>
          <cell r="BV416" t="str">
            <v>0</v>
          </cell>
          <cell r="BW416" t="str">
            <v>0</v>
          </cell>
          <cell r="BX416" t="str">
            <v>0</v>
          </cell>
          <cell r="BY416" t="str">
            <v>0</v>
          </cell>
          <cell r="BZ416" t="str">
            <v>0</v>
          </cell>
          <cell r="CA416" t="str">
            <v>0</v>
          </cell>
          <cell r="CB416" t="str">
            <v>0</v>
          </cell>
          <cell r="CC416" t="str">
            <v>0</v>
          </cell>
          <cell r="CD416" t="str">
            <v>0</v>
          </cell>
          <cell r="CE416" t="str">
            <v>0</v>
          </cell>
          <cell r="CF416" t="str">
            <v>0</v>
          </cell>
          <cell r="CG416" t="str">
            <v>0</v>
          </cell>
          <cell r="CH416" t="str">
            <v>0</v>
          </cell>
          <cell r="CI416" t="str">
            <v>0</v>
          </cell>
          <cell r="CJ416" t="str">
            <v>0</v>
          </cell>
          <cell r="CK416" t="str">
            <v>0</v>
          </cell>
          <cell r="CL416" t="str">
            <v>0</v>
          </cell>
          <cell r="CM416" t="str">
            <v>0</v>
          </cell>
          <cell r="CN416" t="str">
            <v>0</v>
          </cell>
          <cell r="CO416" t="str">
            <v>0</v>
          </cell>
          <cell r="CP416" t="str">
            <v>0</v>
          </cell>
          <cell r="CQ416" t="str">
            <v>0</v>
          </cell>
          <cell r="CR416" t="str">
            <v>0</v>
          </cell>
          <cell r="CS416" t="str">
            <v>0</v>
          </cell>
          <cell r="CT416" t="str">
            <v>0</v>
          </cell>
          <cell r="CU416" t="str">
            <v>0</v>
          </cell>
          <cell r="CV416" t="str">
            <v>0</v>
          </cell>
          <cell r="CW416" t="str">
            <v>0</v>
          </cell>
          <cell r="CX416" t="str">
            <v>0</v>
          </cell>
          <cell r="CY416" t="str">
            <v>0</v>
          </cell>
          <cell r="CZ416" t="str">
            <v>0</v>
          </cell>
          <cell r="DA416" t="str">
            <v>0</v>
          </cell>
          <cell r="DB416" t="str">
            <v>0</v>
          </cell>
          <cell r="DC416" t="str">
            <v>0</v>
          </cell>
          <cell r="DD416" t="str">
            <v>0</v>
          </cell>
          <cell r="DE416" t="str">
            <v>0</v>
          </cell>
          <cell r="DF416" t="str">
            <v>0</v>
          </cell>
          <cell r="DG416" t="str">
            <v>0</v>
          </cell>
          <cell r="DH416" t="str">
            <v>0</v>
          </cell>
          <cell r="DI416" t="str">
            <v>0</v>
          </cell>
          <cell r="DJ416" t="str">
            <v>0</v>
          </cell>
          <cell r="DK416" t="str">
            <v>0</v>
          </cell>
          <cell r="DL416" t="str">
            <v>0</v>
          </cell>
          <cell r="DM416" t="str">
            <v>0</v>
          </cell>
          <cell r="DN416" t="str">
            <v>0</v>
          </cell>
          <cell r="DO416" t="str">
            <v>0</v>
          </cell>
          <cell r="DP416" t="str">
            <v>0</v>
          </cell>
        </row>
        <row r="417">
          <cell r="C417"/>
          <cell r="D417" t="str">
            <v>0</v>
          </cell>
          <cell r="E417" t="str">
            <v>0</v>
          </cell>
          <cell r="F417" t="str">
            <v>0</v>
          </cell>
          <cell r="G417" t="str">
            <v>0</v>
          </cell>
          <cell r="H417" t="str">
            <v>0</v>
          </cell>
          <cell r="I417" t="str">
            <v>0</v>
          </cell>
          <cell r="J417" t="str">
            <v>0</v>
          </cell>
          <cell r="K417" t="str">
            <v>0</v>
          </cell>
          <cell r="L417" t="str">
            <v>0</v>
          </cell>
          <cell r="M417" t="str">
            <v>0</v>
          </cell>
          <cell r="N417" t="str">
            <v>0</v>
          </cell>
          <cell r="O417" t="str">
            <v>0</v>
          </cell>
          <cell r="P417" t="str">
            <v>0</v>
          </cell>
          <cell r="Q417" t="str">
            <v>0</v>
          </cell>
          <cell r="R417" t="str">
            <v>0</v>
          </cell>
          <cell r="S417" t="str">
            <v>0</v>
          </cell>
          <cell r="T417" t="str">
            <v>0</v>
          </cell>
          <cell r="U417" t="str">
            <v>0</v>
          </cell>
          <cell r="V417" t="str">
            <v>0</v>
          </cell>
          <cell r="W417" t="str">
            <v>0</v>
          </cell>
          <cell r="X417" t="str">
            <v>0</v>
          </cell>
          <cell r="Y417" t="str">
            <v>0</v>
          </cell>
          <cell r="Z417" t="str">
            <v>0</v>
          </cell>
          <cell r="AA417" t="str">
            <v>0</v>
          </cell>
          <cell r="AB417" t="str">
            <v>0</v>
          </cell>
          <cell r="AC417" t="str">
            <v>0</v>
          </cell>
          <cell r="AD417" t="str">
            <v>0</v>
          </cell>
          <cell r="AE417" t="str">
            <v>0</v>
          </cell>
          <cell r="AF417" t="str">
            <v>0</v>
          </cell>
          <cell r="AG417" t="str">
            <v>0</v>
          </cell>
          <cell r="AH417" t="str">
            <v>0</v>
          </cell>
          <cell r="AI417" t="str">
            <v>0</v>
          </cell>
          <cell r="AJ417" t="str">
            <v>0</v>
          </cell>
          <cell r="AK417" t="str">
            <v>0</v>
          </cell>
          <cell r="AL417" t="str">
            <v>0</v>
          </cell>
          <cell r="AM417" t="str">
            <v>0</v>
          </cell>
          <cell r="AN417" t="str">
            <v>0</v>
          </cell>
          <cell r="AO417" t="str">
            <v>0</v>
          </cell>
          <cell r="AP417" t="str">
            <v>0</v>
          </cell>
          <cell r="AQ417" t="str">
            <v>0</v>
          </cell>
          <cell r="AR417" t="str">
            <v>0</v>
          </cell>
          <cell r="AS417" t="str">
            <v>0</v>
          </cell>
          <cell r="AT417" t="str">
            <v>0</v>
          </cell>
          <cell r="AU417" t="str">
            <v>0</v>
          </cell>
          <cell r="AV417" t="str">
            <v>0</v>
          </cell>
          <cell r="AW417" t="str">
            <v>0</v>
          </cell>
          <cell r="AX417" t="str">
            <v>0</v>
          </cell>
          <cell r="AY417" t="str">
            <v>0</v>
          </cell>
          <cell r="AZ417" t="str">
            <v>0</v>
          </cell>
          <cell r="BA417" t="str">
            <v>0</v>
          </cell>
          <cell r="BB417" t="str">
            <v>0</v>
          </cell>
          <cell r="BC417" t="str">
            <v>0</v>
          </cell>
          <cell r="BD417" t="str">
            <v>0</v>
          </cell>
          <cell r="BE417" t="str">
            <v>0</v>
          </cell>
          <cell r="BF417" t="str">
            <v>0</v>
          </cell>
          <cell r="BG417" t="str">
            <v>0</v>
          </cell>
          <cell r="BH417" t="str">
            <v>0</v>
          </cell>
          <cell r="BI417" t="str">
            <v>0</v>
          </cell>
          <cell r="BJ417" t="str">
            <v>0</v>
          </cell>
          <cell r="BK417" t="str">
            <v>0</v>
          </cell>
          <cell r="BL417" t="str">
            <v>0</v>
          </cell>
          <cell r="BM417" t="str">
            <v>0</v>
          </cell>
          <cell r="BN417" t="str">
            <v>0</v>
          </cell>
          <cell r="BO417" t="str">
            <v>0</v>
          </cell>
          <cell r="BP417" t="str">
            <v>0</v>
          </cell>
          <cell r="BQ417" t="str">
            <v>0</v>
          </cell>
          <cell r="BR417" t="str">
            <v>0</v>
          </cell>
          <cell r="BS417" t="str">
            <v>0</v>
          </cell>
          <cell r="BT417" t="str">
            <v>0</v>
          </cell>
          <cell r="BU417" t="str">
            <v>0</v>
          </cell>
          <cell r="BV417" t="str">
            <v>0</v>
          </cell>
          <cell r="BW417" t="str">
            <v>0</v>
          </cell>
          <cell r="BX417" t="str">
            <v>0</v>
          </cell>
          <cell r="BY417" t="str">
            <v>0</v>
          </cell>
          <cell r="BZ417" t="str">
            <v>0</v>
          </cell>
          <cell r="CA417" t="str">
            <v>0</v>
          </cell>
          <cell r="CB417" t="str">
            <v>0</v>
          </cell>
          <cell r="CC417" t="str">
            <v>0</v>
          </cell>
          <cell r="CD417" t="str">
            <v>0</v>
          </cell>
          <cell r="CE417" t="str">
            <v>0</v>
          </cell>
          <cell r="CF417" t="str">
            <v>0</v>
          </cell>
          <cell r="CG417" t="str">
            <v>0</v>
          </cell>
          <cell r="CH417" t="str">
            <v>0</v>
          </cell>
          <cell r="CI417" t="str">
            <v>0</v>
          </cell>
          <cell r="CJ417" t="str">
            <v>0</v>
          </cell>
          <cell r="CK417" t="str">
            <v>0</v>
          </cell>
          <cell r="CL417" t="str">
            <v>0</v>
          </cell>
          <cell r="CM417" t="str">
            <v>0</v>
          </cell>
          <cell r="CN417" t="str">
            <v>0</v>
          </cell>
          <cell r="CO417" t="str">
            <v>0</v>
          </cell>
          <cell r="CP417" t="str">
            <v>0</v>
          </cell>
          <cell r="CQ417" t="str">
            <v>0</v>
          </cell>
          <cell r="CR417" t="str">
            <v>0</v>
          </cell>
          <cell r="CS417" t="str">
            <v>0</v>
          </cell>
          <cell r="CT417" t="str">
            <v>0</v>
          </cell>
          <cell r="CU417" t="str">
            <v>0</v>
          </cell>
          <cell r="CV417" t="str">
            <v>0</v>
          </cell>
          <cell r="CW417" t="str">
            <v>0</v>
          </cell>
          <cell r="CX417" t="str">
            <v>0</v>
          </cell>
          <cell r="CY417" t="str">
            <v>0</v>
          </cell>
          <cell r="CZ417" t="str">
            <v>0</v>
          </cell>
          <cell r="DA417" t="str">
            <v>0</v>
          </cell>
          <cell r="DB417" t="str">
            <v>0</v>
          </cell>
          <cell r="DC417" t="str">
            <v>0</v>
          </cell>
          <cell r="DD417" t="str">
            <v>0</v>
          </cell>
          <cell r="DE417" t="str">
            <v>0</v>
          </cell>
          <cell r="DF417" t="str">
            <v>0</v>
          </cell>
          <cell r="DG417" t="str">
            <v>0</v>
          </cell>
          <cell r="DH417" t="str">
            <v>0</v>
          </cell>
          <cell r="DI417" t="str">
            <v>0</v>
          </cell>
          <cell r="DJ417" t="str">
            <v>0</v>
          </cell>
          <cell r="DK417" t="str">
            <v>0</v>
          </cell>
          <cell r="DL417" t="str">
            <v>0</v>
          </cell>
          <cell r="DM417" t="str">
            <v>0</v>
          </cell>
          <cell r="DN417" t="str">
            <v>0</v>
          </cell>
          <cell r="DO417" t="str">
            <v>0</v>
          </cell>
          <cell r="DP417" t="str">
            <v>0</v>
          </cell>
        </row>
        <row r="418">
          <cell r="C418"/>
          <cell r="D418" t="str">
            <v>0</v>
          </cell>
          <cell r="E418" t="str">
            <v>0</v>
          </cell>
          <cell r="F418" t="str">
            <v>0</v>
          </cell>
          <cell r="G418" t="str">
            <v>0</v>
          </cell>
          <cell r="H418" t="str">
            <v>0</v>
          </cell>
          <cell r="I418" t="str">
            <v>0</v>
          </cell>
          <cell r="J418" t="str">
            <v>0</v>
          </cell>
          <cell r="K418" t="str">
            <v>0</v>
          </cell>
          <cell r="L418" t="str">
            <v>0</v>
          </cell>
          <cell r="M418" t="str">
            <v>0</v>
          </cell>
          <cell r="N418" t="str">
            <v>0</v>
          </cell>
          <cell r="O418" t="str">
            <v>0</v>
          </cell>
          <cell r="P418" t="str">
            <v>0</v>
          </cell>
          <cell r="Q418" t="str">
            <v>0</v>
          </cell>
          <cell r="R418" t="str">
            <v>0</v>
          </cell>
          <cell r="S418" t="str">
            <v>0</v>
          </cell>
          <cell r="T418" t="str">
            <v>0</v>
          </cell>
          <cell r="U418" t="str">
            <v>0</v>
          </cell>
          <cell r="V418" t="str">
            <v>0</v>
          </cell>
          <cell r="W418" t="str">
            <v>0</v>
          </cell>
          <cell r="X418" t="str">
            <v>0</v>
          </cell>
          <cell r="Y418" t="str">
            <v>0</v>
          </cell>
          <cell r="Z418" t="str">
            <v>0</v>
          </cell>
          <cell r="AA418" t="str">
            <v>0</v>
          </cell>
          <cell r="AB418" t="str">
            <v>0</v>
          </cell>
          <cell r="AC418" t="str">
            <v>0</v>
          </cell>
          <cell r="AD418" t="str">
            <v>0</v>
          </cell>
          <cell r="AE418" t="str">
            <v>0</v>
          </cell>
          <cell r="AF418" t="str">
            <v>0</v>
          </cell>
          <cell r="AG418" t="str">
            <v>0</v>
          </cell>
          <cell r="AH418" t="str">
            <v>0</v>
          </cell>
          <cell r="AI418" t="str">
            <v>0</v>
          </cell>
          <cell r="AJ418" t="str">
            <v>0</v>
          </cell>
          <cell r="AK418" t="str">
            <v>0</v>
          </cell>
          <cell r="AL418" t="str">
            <v>0</v>
          </cell>
          <cell r="AM418" t="str">
            <v>0</v>
          </cell>
          <cell r="AN418" t="str">
            <v>0</v>
          </cell>
          <cell r="AO418" t="str">
            <v>0</v>
          </cell>
          <cell r="AP418" t="str">
            <v>0</v>
          </cell>
          <cell r="AQ418" t="str">
            <v>0</v>
          </cell>
          <cell r="AR418" t="str">
            <v>0</v>
          </cell>
          <cell r="AS418" t="str">
            <v>0</v>
          </cell>
          <cell r="AT418" t="str">
            <v>0</v>
          </cell>
          <cell r="AU418" t="str">
            <v>0</v>
          </cell>
          <cell r="AV418" t="str">
            <v>0</v>
          </cell>
          <cell r="AW418" t="str">
            <v>0</v>
          </cell>
          <cell r="AX418" t="str">
            <v>0</v>
          </cell>
          <cell r="AY418" t="str">
            <v>0</v>
          </cell>
          <cell r="AZ418" t="str">
            <v>0</v>
          </cell>
          <cell r="BA418" t="str">
            <v>0</v>
          </cell>
          <cell r="BB418" t="str">
            <v>0</v>
          </cell>
          <cell r="BC418" t="str">
            <v>0</v>
          </cell>
          <cell r="BD418" t="str">
            <v>0</v>
          </cell>
          <cell r="BE418" t="str">
            <v>0</v>
          </cell>
          <cell r="BF418" t="str">
            <v>0</v>
          </cell>
          <cell r="BG418" t="str">
            <v>0</v>
          </cell>
          <cell r="BH418" t="str">
            <v>0</v>
          </cell>
          <cell r="BI418" t="str">
            <v>0</v>
          </cell>
          <cell r="BJ418" t="str">
            <v>0</v>
          </cell>
          <cell r="BK418" t="str">
            <v>0</v>
          </cell>
          <cell r="BL418" t="str">
            <v>0</v>
          </cell>
          <cell r="BM418" t="str">
            <v>0</v>
          </cell>
          <cell r="BN418" t="str">
            <v>0</v>
          </cell>
          <cell r="BO418" t="str">
            <v>0</v>
          </cell>
          <cell r="BP418" t="str">
            <v>0</v>
          </cell>
          <cell r="BQ418" t="str">
            <v>0</v>
          </cell>
          <cell r="BR418" t="str">
            <v>0</v>
          </cell>
          <cell r="BS418" t="str">
            <v>0</v>
          </cell>
          <cell r="BT418" t="str">
            <v>0</v>
          </cell>
          <cell r="BU418" t="str">
            <v>0</v>
          </cell>
          <cell r="BV418" t="str">
            <v>0</v>
          </cell>
          <cell r="BW418" t="str">
            <v>0</v>
          </cell>
          <cell r="BX418" t="str">
            <v>0</v>
          </cell>
          <cell r="BY418" t="str">
            <v>0</v>
          </cell>
          <cell r="BZ418" t="str">
            <v>0</v>
          </cell>
          <cell r="CA418" t="str">
            <v>0</v>
          </cell>
          <cell r="CB418" t="str">
            <v>0</v>
          </cell>
          <cell r="CC418" t="str">
            <v>0</v>
          </cell>
          <cell r="CD418" t="str">
            <v>0</v>
          </cell>
          <cell r="CE418" t="str">
            <v>0</v>
          </cell>
          <cell r="CF418" t="str">
            <v>0</v>
          </cell>
          <cell r="CG418" t="str">
            <v>0</v>
          </cell>
          <cell r="CH418" t="str">
            <v>0</v>
          </cell>
          <cell r="CI418" t="str">
            <v>0</v>
          </cell>
          <cell r="CJ418" t="str">
            <v>0</v>
          </cell>
          <cell r="CK418" t="str">
            <v>0</v>
          </cell>
          <cell r="CL418" t="str">
            <v>0</v>
          </cell>
          <cell r="CM418" t="str">
            <v>0</v>
          </cell>
          <cell r="CN418" t="str">
            <v>0</v>
          </cell>
          <cell r="CO418" t="str">
            <v>0</v>
          </cell>
          <cell r="CP418" t="str">
            <v>0</v>
          </cell>
          <cell r="CQ418" t="str">
            <v>0</v>
          </cell>
          <cell r="CR418" t="str">
            <v>0</v>
          </cell>
          <cell r="CS418" t="str">
            <v>0</v>
          </cell>
          <cell r="CT418" t="str">
            <v>0</v>
          </cell>
          <cell r="CU418" t="str">
            <v>0</v>
          </cell>
          <cell r="CV418" t="str">
            <v>0</v>
          </cell>
          <cell r="CW418" t="str">
            <v>0</v>
          </cell>
          <cell r="CX418" t="str">
            <v>0</v>
          </cell>
          <cell r="CY418" t="str">
            <v>0</v>
          </cell>
          <cell r="CZ418" t="str">
            <v>0</v>
          </cell>
          <cell r="DA418" t="str">
            <v>0</v>
          </cell>
          <cell r="DB418" t="str">
            <v>0</v>
          </cell>
          <cell r="DC418" t="str">
            <v>0</v>
          </cell>
          <cell r="DD418" t="str">
            <v>0</v>
          </cell>
          <cell r="DE418" t="str">
            <v>0</v>
          </cell>
          <cell r="DF418" t="str">
            <v>0</v>
          </cell>
          <cell r="DG418" t="str">
            <v>0</v>
          </cell>
          <cell r="DH418" t="str">
            <v>0</v>
          </cell>
          <cell r="DI418" t="str">
            <v>0</v>
          </cell>
          <cell r="DJ418" t="str">
            <v>0</v>
          </cell>
          <cell r="DK418" t="str">
            <v>0</v>
          </cell>
          <cell r="DL418" t="str">
            <v>0</v>
          </cell>
          <cell r="DM418" t="str">
            <v>0</v>
          </cell>
          <cell r="DN418" t="str">
            <v>0</v>
          </cell>
          <cell r="DO418" t="str">
            <v>0</v>
          </cell>
          <cell r="DP418" t="str">
            <v>0</v>
          </cell>
        </row>
        <row r="419">
          <cell r="C419"/>
          <cell r="D419" t="str">
            <v>0</v>
          </cell>
          <cell r="E419" t="str">
            <v>0</v>
          </cell>
          <cell r="F419" t="str">
            <v>0</v>
          </cell>
          <cell r="G419" t="str">
            <v>0</v>
          </cell>
          <cell r="H419" t="str">
            <v>0</v>
          </cell>
          <cell r="I419" t="str">
            <v>0</v>
          </cell>
          <cell r="J419" t="str">
            <v>0</v>
          </cell>
          <cell r="K419" t="str">
            <v>0</v>
          </cell>
          <cell r="L419" t="str">
            <v>0</v>
          </cell>
          <cell r="M419" t="str">
            <v>0</v>
          </cell>
          <cell r="N419" t="str">
            <v>0</v>
          </cell>
          <cell r="O419" t="str">
            <v>0</v>
          </cell>
          <cell r="P419" t="str">
            <v>0</v>
          </cell>
          <cell r="Q419" t="str">
            <v>0</v>
          </cell>
          <cell r="R419" t="str">
            <v>0</v>
          </cell>
          <cell r="S419" t="str">
            <v>0</v>
          </cell>
          <cell r="T419" t="str">
            <v>0</v>
          </cell>
          <cell r="U419" t="str">
            <v>0</v>
          </cell>
          <cell r="V419" t="str">
            <v>0</v>
          </cell>
          <cell r="W419" t="str">
            <v>0</v>
          </cell>
          <cell r="X419" t="str">
            <v>0</v>
          </cell>
          <cell r="Y419" t="str">
            <v>0</v>
          </cell>
          <cell r="Z419" t="str">
            <v>0</v>
          </cell>
          <cell r="AA419" t="str">
            <v>0</v>
          </cell>
          <cell r="AB419" t="str">
            <v>0</v>
          </cell>
          <cell r="AC419" t="str">
            <v>0</v>
          </cell>
          <cell r="AD419" t="str">
            <v>0</v>
          </cell>
          <cell r="AE419" t="str">
            <v>0</v>
          </cell>
          <cell r="AF419" t="str">
            <v>0</v>
          </cell>
          <cell r="AG419" t="str">
            <v>0</v>
          </cell>
          <cell r="AH419" t="str">
            <v>0</v>
          </cell>
          <cell r="AI419" t="str">
            <v>0</v>
          </cell>
          <cell r="AJ419" t="str">
            <v>0</v>
          </cell>
          <cell r="AK419" t="str">
            <v>0</v>
          </cell>
          <cell r="AL419" t="str">
            <v>0</v>
          </cell>
          <cell r="AM419" t="str">
            <v>0</v>
          </cell>
          <cell r="AN419" t="str">
            <v>0</v>
          </cell>
          <cell r="AO419" t="str">
            <v>0</v>
          </cell>
          <cell r="AP419" t="str">
            <v>0</v>
          </cell>
          <cell r="AQ419" t="str">
            <v>0</v>
          </cell>
          <cell r="AR419" t="str">
            <v>0</v>
          </cell>
          <cell r="AS419" t="str">
            <v>0</v>
          </cell>
          <cell r="AT419" t="str">
            <v>0</v>
          </cell>
          <cell r="AU419" t="str">
            <v>0</v>
          </cell>
          <cell r="AV419" t="str">
            <v>0</v>
          </cell>
          <cell r="AW419" t="str">
            <v>0</v>
          </cell>
          <cell r="AX419" t="str">
            <v>0</v>
          </cell>
          <cell r="AY419" t="str">
            <v>0</v>
          </cell>
          <cell r="AZ419" t="str">
            <v>0</v>
          </cell>
          <cell r="BA419" t="str">
            <v>0</v>
          </cell>
          <cell r="BB419" t="str">
            <v>0</v>
          </cell>
          <cell r="BC419" t="str">
            <v>0</v>
          </cell>
          <cell r="BD419" t="str">
            <v>0</v>
          </cell>
          <cell r="BE419" t="str">
            <v>0</v>
          </cell>
          <cell r="BF419" t="str">
            <v>0</v>
          </cell>
          <cell r="BG419" t="str">
            <v>0</v>
          </cell>
          <cell r="BH419" t="str">
            <v>0</v>
          </cell>
          <cell r="BI419" t="str">
            <v>0</v>
          </cell>
          <cell r="BJ419" t="str">
            <v>0</v>
          </cell>
          <cell r="BK419" t="str">
            <v>0</v>
          </cell>
          <cell r="BL419" t="str">
            <v>0</v>
          </cell>
          <cell r="BM419" t="str">
            <v>0</v>
          </cell>
          <cell r="BN419" t="str">
            <v>0</v>
          </cell>
          <cell r="BO419" t="str">
            <v>0</v>
          </cell>
          <cell r="BP419" t="str">
            <v>0</v>
          </cell>
          <cell r="BQ419" t="str">
            <v>0</v>
          </cell>
          <cell r="BR419" t="str">
            <v>0</v>
          </cell>
          <cell r="BS419" t="str">
            <v>0</v>
          </cell>
          <cell r="BT419" t="str">
            <v>0</v>
          </cell>
          <cell r="BU419" t="str">
            <v>0</v>
          </cell>
          <cell r="BV419" t="str">
            <v>0</v>
          </cell>
          <cell r="BW419" t="str">
            <v>0</v>
          </cell>
          <cell r="BX419" t="str">
            <v>0</v>
          </cell>
          <cell r="BY419" t="str">
            <v>0</v>
          </cell>
          <cell r="BZ419" t="str">
            <v>0</v>
          </cell>
          <cell r="CA419" t="str">
            <v>0</v>
          </cell>
          <cell r="CB419" t="str">
            <v>0</v>
          </cell>
          <cell r="CC419" t="str">
            <v>0</v>
          </cell>
          <cell r="CD419" t="str">
            <v>0</v>
          </cell>
          <cell r="CE419" t="str">
            <v>0</v>
          </cell>
          <cell r="CF419" t="str">
            <v>0</v>
          </cell>
          <cell r="CG419" t="str">
            <v>0</v>
          </cell>
          <cell r="CH419" t="str">
            <v>0</v>
          </cell>
          <cell r="CI419" t="str">
            <v>0</v>
          </cell>
          <cell r="CJ419" t="str">
            <v>0</v>
          </cell>
          <cell r="CK419" t="str">
            <v>0</v>
          </cell>
          <cell r="CL419" t="str">
            <v>0</v>
          </cell>
          <cell r="CM419" t="str">
            <v>0</v>
          </cell>
          <cell r="CN419" t="str">
            <v>0</v>
          </cell>
          <cell r="CO419" t="str">
            <v>0</v>
          </cell>
          <cell r="CP419" t="str">
            <v>0</v>
          </cell>
          <cell r="CQ419" t="str">
            <v>0</v>
          </cell>
          <cell r="CR419" t="str">
            <v>0</v>
          </cell>
          <cell r="CS419" t="str">
            <v>0</v>
          </cell>
          <cell r="CT419" t="str">
            <v>0</v>
          </cell>
          <cell r="CU419" t="str">
            <v>0</v>
          </cell>
          <cell r="CV419" t="str">
            <v>0</v>
          </cell>
          <cell r="CW419" t="str">
            <v>0</v>
          </cell>
          <cell r="CX419" t="str">
            <v>0</v>
          </cell>
          <cell r="CY419" t="str">
            <v>0</v>
          </cell>
          <cell r="CZ419" t="str">
            <v>0</v>
          </cell>
          <cell r="DA419" t="str">
            <v>0</v>
          </cell>
          <cell r="DB419" t="str">
            <v>0</v>
          </cell>
          <cell r="DC419" t="str">
            <v>0</v>
          </cell>
          <cell r="DD419" t="str">
            <v>0</v>
          </cell>
          <cell r="DE419" t="str">
            <v>0</v>
          </cell>
          <cell r="DF419" t="str">
            <v>0</v>
          </cell>
          <cell r="DG419" t="str">
            <v>0</v>
          </cell>
          <cell r="DH419" t="str">
            <v>0</v>
          </cell>
          <cell r="DI419" t="str">
            <v>0</v>
          </cell>
          <cell r="DJ419" t="str">
            <v>0</v>
          </cell>
          <cell r="DK419" t="str">
            <v>0</v>
          </cell>
          <cell r="DL419" t="str">
            <v>0</v>
          </cell>
          <cell r="DM419" t="str">
            <v>0</v>
          </cell>
          <cell r="DN419" t="str">
            <v>0</v>
          </cell>
          <cell r="DO419" t="str">
            <v>0</v>
          </cell>
          <cell r="DP419" t="str">
            <v>0</v>
          </cell>
        </row>
        <row r="420">
          <cell r="C420"/>
          <cell r="D420" t="str">
            <v>0</v>
          </cell>
          <cell r="E420" t="str">
            <v>0</v>
          </cell>
          <cell r="F420" t="str">
            <v>0</v>
          </cell>
          <cell r="G420" t="str">
            <v>0</v>
          </cell>
          <cell r="H420" t="str">
            <v>0</v>
          </cell>
          <cell r="I420" t="str">
            <v>0</v>
          </cell>
          <cell r="J420" t="str">
            <v>0</v>
          </cell>
          <cell r="K420" t="str">
            <v>0</v>
          </cell>
          <cell r="L420" t="str">
            <v>0</v>
          </cell>
          <cell r="M420" t="str">
            <v>0</v>
          </cell>
          <cell r="N420" t="str">
            <v>0</v>
          </cell>
          <cell r="O420" t="str">
            <v>0</v>
          </cell>
          <cell r="P420" t="str">
            <v>0</v>
          </cell>
          <cell r="Q420" t="str">
            <v>0</v>
          </cell>
          <cell r="R420" t="str">
            <v>0</v>
          </cell>
          <cell r="S420" t="str">
            <v>0</v>
          </cell>
          <cell r="T420" t="str">
            <v>0</v>
          </cell>
          <cell r="U420" t="str">
            <v>0</v>
          </cell>
          <cell r="V420" t="str">
            <v>0</v>
          </cell>
          <cell r="W420" t="str">
            <v>0</v>
          </cell>
          <cell r="X420" t="str">
            <v>0</v>
          </cell>
          <cell r="Y420" t="str">
            <v>0</v>
          </cell>
          <cell r="Z420" t="str">
            <v>0</v>
          </cell>
          <cell r="AA420" t="str">
            <v>0</v>
          </cell>
          <cell r="AB420" t="str">
            <v>0</v>
          </cell>
          <cell r="AC420" t="str">
            <v>0</v>
          </cell>
          <cell r="AD420" t="str">
            <v>0</v>
          </cell>
          <cell r="AE420" t="str">
            <v>0</v>
          </cell>
          <cell r="AF420" t="str">
            <v>0</v>
          </cell>
          <cell r="AG420" t="str">
            <v>0</v>
          </cell>
          <cell r="AH420" t="str">
            <v>0</v>
          </cell>
          <cell r="AI420" t="str">
            <v>0</v>
          </cell>
          <cell r="AJ420" t="str">
            <v>0</v>
          </cell>
          <cell r="AK420" t="str">
            <v>0</v>
          </cell>
          <cell r="AL420" t="str">
            <v>0</v>
          </cell>
          <cell r="AM420" t="str">
            <v>0</v>
          </cell>
          <cell r="AN420" t="str">
            <v>0</v>
          </cell>
          <cell r="AO420" t="str">
            <v>0</v>
          </cell>
          <cell r="AP420" t="str">
            <v>0</v>
          </cell>
          <cell r="AQ420" t="str">
            <v>0</v>
          </cell>
          <cell r="AR420" t="str">
            <v>0</v>
          </cell>
          <cell r="AS420" t="str">
            <v>0</v>
          </cell>
          <cell r="AT420" t="str">
            <v>0</v>
          </cell>
          <cell r="AU420" t="str">
            <v>0</v>
          </cell>
          <cell r="AV420" t="str">
            <v>0</v>
          </cell>
          <cell r="AW420" t="str">
            <v>0</v>
          </cell>
          <cell r="AX420" t="str">
            <v>0</v>
          </cell>
          <cell r="AY420" t="str">
            <v>0</v>
          </cell>
          <cell r="AZ420" t="str">
            <v>0</v>
          </cell>
          <cell r="BA420" t="str">
            <v>0</v>
          </cell>
          <cell r="BB420" t="str">
            <v>0</v>
          </cell>
          <cell r="BC420" t="str">
            <v>0</v>
          </cell>
          <cell r="BD420" t="str">
            <v>0</v>
          </cell>
          <cell r="BE420" t="str">
            <v>0</v>
          </cell>
          <cell r="BF420" t="str">
            <v>0</v>
          </cell>
          <cell r="BG420" t="str">
            <v>0</v>
          </cell>
          <cell r="BH420" t="str">
            <v>0</v>
          </cell>
          <cell r="BI420" t="str">
            <v>0</v>
          </cell>
          <cell r="BJ420" t="str">
            <v>0</v>
          </cell>
          <cell r="BK420" t="str">
            <v>0</v>
          </cell>
          <cell r="BL420" t="str">
            <v>0</v>
          </cell>
          <cell r="BM420" t="str">
            <v>0</v>
          </cell>
          <cell r="BN420" t="str">
            <v>0</v>
          </cell>
          <cell r="BO420" t="str">
            <v>0</v>
          </cell>
          <cell r="BP420" t="str">
            <v>0</v>
          </cell>
          <cell r="BQ420" t="str">
            <v>0</v>
          </cell>
          <cell r="BR420" t="str">
            <v>0</v>
          </cell>
          <cell r="BS420" t="str">
            <v>0</v>
          </cell>
          <cell r="BT420" t="str">
            <v>0</v>
          </cell>
          <cell r="BU420" t="str">
            <v>0</v>
          </cell>
          <cell r="BV420" t="str">
            <v>0</v>
          </cell>
          <cell r="BW420" t="str">
            <v>0</v>
          </cell>
          <cell r="BX420" t="str">
            <v>0</v>
          </cell>
          <cell r="BY420" t="str">
            <v>0</v>
          </cell>
          <cell r="BZ420" t="str">
            <v>0</v>
          </cell>
          <cell r="CA420" t="str">
            <v>0</v>
          </cell>
          <cell r="CB420" t="str">
            <v>0</v>
          </cell>
          <cell r="CC420" t="str">
            <v>0</v>
          </cell>
          <cell r="CD420" t="str">
            <v>0</v>
          </cell>
          <cell r="CE420" t="str">
            <v>0</v>
          </cell>
          <cell r="CF420" t="str">
            <v>0</v>
          </cell>
          <cell r="CG420" t="str">
            <v>0</v>
          </cell>
          <cell r="CH420" t="str">
            <v>0</v>
          </cell>
          <cell r="CI420" t="str">
            <v>0</v>
          </cell>
          <cell r="CJ420" t="str">
            <v>0</v>
          </cell>
          <cell r="CK420" t="str">
            <v>0</v>
          </cell>
          <cell r="CL420" t="str">
            <v>0</v>
          </cell>
          <cell r="CM420" t="str">
            <v>0</v>
          </cell>
          <cell r="CN420" t="str">
            <v>0</v>
          </cell>
          <cell r="CO420" t="str">
            <v>0</v>
          </cell>
          <cell r="CP420" t="str">
            <v>0</v>
          </cell>
          <cell r="CQ420" t="str">
            <v>0</v>
          </cell>
          <cell r="CR420" t="str">
            <v>0</v>
          </cell>
          <cell r="CS420" t="str">
            <v>0</v>
          </cell>
          <cell r="CT420" t="str">
            <v>0</v>
          </cell>
          <cell r="CU420" t="str">
            <v>0</v>
          </cell>
          <cell r="CV420" t="str">
            <v>0</v>
          </cell>
          <cell r="CW420" t="str">
            <v>0</v>
          </cell>
          <cell r="CX420" t="str">
            <v>0</v>
          </cell>
          <cell r="CY420" t="str">
            <v>0</v>
          </cell>
          <cell r="CZ420" t="str">
            <v>0</v>
          </cell>
          <cell r="DA420" t="str">
            <v>0</v>
          </cell>
          <cell r="DB420" t="str">
            <v>0</v>
          </cell>
          <cell r="DC420" t="str">
            <v>0</v>
          </cell>
          <cell r="DD420" t="str">
            <v>0</v>
          </cell>
          <cell r="DE420" t="str">
            <v>0</v>
          </cell>
          <cell r="DF420" t="str">
            <v>0</v>
          </cell>
          <cell r="DG420" t="str">
            <v>0</v>
          </cell>
          <cell r="DH420" t="str">
            <v>0</v>
          </cell>
          <cell r="DI420" t="str">
            <v>0</v>
          </cell>
          <cell r="DJ420" t="str">
            <v>0</v>
          </cell>
          <cell r="DK420" t="str">
            <v>0</v>
          </cell>
          <cell r="DL420" t="str">
            <v>0</v>
          </cell>
          <cell r="DM420" t="str">
            <v>0</v>
          </cell>
          <cell r="DN420" t="str">
            <v>0</v>
          </cell>
          <cell r="DO420" t="str">
            <v>0</v>
          </cell>
          <cell r="DP420" t="str">
            <v>0</v>
          </cell>
        </row>
        <row r="421">
          <cell r="C421"/>
          <cell r="D421" t="str">
            <v>0</v>
          </cell>
          <cell r="E421" t="str">
            <v>0</v>
          </cell>
          <cell r="F421" t="str">
            <v>0</v>
          </cell>
          <cell r="G421" t="str">
            <v>0</v>
          </cell>
          <cell r="H421" t="str">
            <v>0</v>
          </cell>
          <cell r="I421" t="str">
            <v>0</v>
          </cell>
          <cell r="J421" t="str">
            <v>0</v>
          </cell>
          <cell r="K421" t="str">
            <v>0</v>
          </cell>
          <cell r="L421" t="str">
            <v>0</v>
          </cell>
          <cell r="M421" t="str">
            <v>0</v>
          </cell>
          <cell r="N421" t="str">
            <v>0</v>
          </cell>
          <cell r="O421" t="str">
            <v>0</v>
          </cell>
          <cell r="P421" t="str">
            <v>0</v>
          </cell>
          <cell r="Q421" t="str">
            <v>0</v>
          </cell>
          <cell r="R421" t="str">
            <v>0</v>
          </cell>
          <cell r="S421" t="str">
            <v>0</v>
          </cell>
          <cell r="T421" t="str">
            <v>0</v>
          </cell>
          <cell r="U421" t="str">
            <v>0</v>
          </cell>
          <cell r="V421" t="str">
            <v>0</v>
          </cell>
          <cell r="W421" t="str">
            <v>0</v>
          </cell>
          <cell r="X421" t="str">
            <v>0</v>
          </cell>
          <cell r="Y421" t="str">
            <v>0</v>
          </cell>
          <cell r="Z421" t="str">
            <v>0</v>
          </cell>
          <cell r="AA421" t="str">
            <v>0</v>
          </cell>
          <cell r="AB421" t="str">
            <v>0</v>
          </cell>
          <cell r="AC421" t="str">
            <v>0</v>
          </cell>
          <cell r="AD421" t="str">
            <v>0</v>
          </cell>
          <cell r="AE421" t="str">
            <v>0</v>
          </cell>
          <cell r="AF421" t="str">
            <v>0</v>
          </cell>
          <cell r="AG421" t="str">
            <v>0</v>
          </cell>
          <cell r="AH421" t="str">
            <v>0</v>
          </cell>
          <cell r="AI421" t="str">
            <v>0</v>
          </cell>
          <cell r="AJ421" t="str">
            <v>0</v>
          </cell>
          <cell r="AK421" t="str">
            <v>0</v>
          </cell>
          <cell r="AL421" t="str">
            <v>0</v>
          </cell>
          <cell r="AM421" t="str">
            <v>0</v>
          </cell>
          <cell r="AN421" t="str">
            <v>0</v>
          </cell>
          <cell r="AO421" t="str">
            <v>0</v>
          </cell>
          <cell r="AP421" t="str">
            <v>0</v>
          </cell>
          <cell r="AQ421" t="str">
            <v>0</v>
          </cell>
          <cell r="AR421" t="str">
            <v>0</v>
          </cell>
          <cell r="AS421" t="str">
            <v>0</v>
          </cell>
          <cell r="AT421" t="str">
            <v>0</v>
          </cell>
          <cell r="AU421" t="str">
            <v>0</v>
          </cell>
          <cell r="AV421" t="str">
            <v>0</v>
          </cell>
          <cell r="AW421" t="str">
            <v>0</v>
          </cell>
          <cell r="AX421" t="str">
            <v>0</v>
          </cell>
          <cell r="AY421" t="str">
            <v>0</v>
          </cell>
          <cell r="AZ421" t="str">
            <v>0</v>
          </cell>
          <cell r="BA421" t="str">
            <v>0</v>
          </cell>
          <cell r="BB421" t="str">
            <v>0</v>
          </cell>
          <cell r="BC421" t="str">
            <v>0</v>
          </cell>
          <cell r="BD421" t="str">
            <v>0</v>
          </cell>
          <cell r="BE421" t="str">
            <v>0</v>
          </cell>
          <cell r="BF421" t="str">
            <v>0</v>
          </cell>
          <cell r="BG421" t="str">
            <v>0</v>
          </cell>
          <cell r="BH421" t="str">
            <v>0</v>
          </cell>
          <cell r="BI421" t="str">
            <v>0</v>
          </cell>
          <cell r="BJ421" t="str">
            <v>0</v>
          </cell>
          <cell r="BK421" t="str">
            <v>0</v>
          </cell>
          <cell r="BL421" t="str">
            <v>0</v>
          </cell>
          <cell r="BM421" t="str">
            <v>0</v>
          </cell>
          <cell r="BN421" t="str">
            <v>0</v>
          </cell>
          <cell r="BO421" t="str">
            <v>0</v>
          </cell>
          <cell r="BP421" t="str">
            <v>0</v>
          </cell>
          <cell r="BQ421" t="str">
            <v>0</v>
          </cell>
          <cell r="BR421" t="str">
            <v>0</v>
          </cell>
          <cell r="BS421" t="str">
            <v>0</v>
          </cell>
          <cell r="BT421" t="str">
            <v>0</v>
          </cell>
          <cell r="BU421" t="str">
            <v>0</v>
          </cell>
          <cell r="BV421" t="str">
            <v>0</v>
          </cell>
          <cell r="BW421" t="str">
            <v>0</v>
          </cell>
          <cell r="BX421" t="str">
            <v>0</v>
          </cell>
          <cell r="BY421" t="str">
            <v>0</v>
          </cell>
          <cell r="BZ421" t="str">
            <v>0</v>
          </cell>
          <cell r="CA421" t="str">
            <v>0</v>
          </cell>
          <cell r="CB421" t="str">
            <v>0</v>
          </cell>
          <cell r="CC421" t="str">
            <v>0</v>
          </cell>
          <cell r="CD421" t="str">
            <v>0</v>
          </cell>
          <cell r="CE421" t="str">
            <v>0</v>
          </cell>
          <cell r="CF421" t="str">
            <v>0</v>
          </cell>
          <cell r="CG421" t="str">
            <v>0</v>
          </cell>
          <cell r="CH421" t="str">
            <v>0</v>
          </cell>
          <cell r="CI421" t="str">
            <v>0</v>
          </cell>
          <cell r="CJ421" t="str">
            <v>0</v>
          </cell>
          <cell r="CK421" t="str">
            <v>0</v>
          </cell>
          <cell r="CL421" t="str">
            <v>0</v>
          </cell>
          <cell r="CM421" t="str">
            <v>0</v>
          </cell>
          <cell r="CN421" t="str">
            <v>0</v>
          </cell>
          <cell r="CO421" t="str">
            <v>0</v>
          </cell>
          <cell r="CP421" t="str">
            <v>0</v>
          </cell>
          <cell r="CQ421" t="str">
            <v>0</v>
          </cell>
          <cell r="CR421" t="str">
            <v>0</v>
          </cell>
          <cell r="CS421" t="str">
            <v>0</v>
          </cell>
          <cell r="CT421" t="str">
            <v>0</v>
          </cell>
          <cell r="CU421" t="str">
            <v>0</v>
          </cell>
          <cell r="CV421" t="str">
            <v>0</v>
          </cell>
          <cell r="CW421" t="str">
            <v>0</v>
          </cell>
          <cell r="CX421" t="str">
            <v>0</v>
          </cell>
          <cell r="CY421" t="str">
            <v>0</v>
          </cell>
          <cell r="CZ421" t="str">
            <v>0</v>
          </cell>
          <cell r="DA421" t="str">
            <v>0</v>
          </cell>
          <cell r="DB421" t="str">
            <v>0</v>
          </cell>
          <cell r="DC421" t="str">
            <v>0</v>
          </cell>
          <cell r="DD421" t="str">
            <v>0</v>
          </cell>
          <cell r="DE421" t="str">
            <v>0</v>
          </cell>
          <cell r="DF421" t="str">
            <v>0</v>
          </cell>
          <cell r="DG421" t="str">
            <v>0</v>
          </cell>
          <cell r="DH421" t="str">
            <v>0</v>
          </cell>
          <cell r="DI421" t="str">
            <v>0</v>
          </cell>
          <cell r="DJ421" t="str">
            <v>0</v>
          </cell>
          <cell r="DK421" t="str">
            <v>0</v>
          </cell>
          <cell r="DL421" t="str">
            <v>0</v>
          </cell>
          <cell r="DM421" t="str">
            <v>0</v>
          </cell>
          <cell r="DN421" t="str">
            <v>0</v>
          </cell>
          <cell r="DO421" t="str">
            <v>0</v>
          </cell>
          <cell r="DP421" t="str">
            <v>0</v>
          </cell>
        </row>
        <row r="422">
          <cell r="C422"/>
          <cell r="D422" t="str">
            <v>0</v>
          </cell>
          <cell r="E422" t="str">
            <v>0</v>
          </cell>
          <cell r="F422" t="str">
            <v>0</v>
          </cell>
          <cell r="G422" t="str">
            <v>0</v>
          </cell>
          <cell r="H422" t="str">
            <v>0</v>
          </cell>
          <cell r="I422" t="str">
            <v>0</v>
          </cell>
          <cell r="J422" t="str">
            <v>0</v>
          </cell>
          <cell r="K422" t="str">
            <v>0</v>
          </cell>
          <cell r="L422" t="str">
            <v>0</v>
          </cell>
          <cell r="M422" t="str">
            <v>0</v>
          </cell>
          <cell r="N422" t="str">
            <v>0</v>
          </cell>
          <cell r="O422" t="str">
            <v>0</v>
          </cell>
          <cell r="P422" t="str">
            <v>0</v>
          </cell>
          <cell r="Q422" t="str">
            <v>0</v>
          </cell>
          <cell r="R422" t="str">
            <v>0</v>
          </cell>
          <cell r="S422" t="str">
            <v>0</v>
          </cell>
          <cell r="T422" t="str">
            <v>0</v>
          </cell>
          <cell r="U422" t="str">
            <v>0</v>
          </cell>
          <cell r="V422" t="str">
            <v>0</v>
          </cell>
          <cell r="W422" t="str">
            <v>0</v>
          </cell>
          <cell r="X422" t="str">
            <v>0</v>
          </cell>
          <cell r="Y422" t="str">
            <v>0</v>
          </cell>
          <cell r="Z422" t="str">
            <v>0</v>
          </cell>
          <cell r="AA422" t="str">
            <v>0</v>
          </cell>
          <cell r="AB422" t="str">
            <v>0</v>
          </cell>
          <cell r="AC422" t="str">
            <v>0</v>
          </cell>
          <cell r="AD422" t="str">
            <v>0</v>
          </cell>
          <cell r="AE422" t="str">
            <v>0</v>
          </cell>
          <cell r="AF422" t="str">
            <v>0</v>
          </cell>
          <cell r="AG422" t="str">
            <v>0</v>
          </cell>
          <cell r="AH422" t="str">
            <v>0</v>
          </cell>
          <cell r="AI422" t="str">
            <v>0</v>
          </cell>
          <cell r="AJ422" t="str">
            <v>0</v>
          </cell>
          <cell r="AK422" t="str">
            <v>0</v>
          </cell>
          <cell r="AL422" t="str">
            <v>0</v>
          </cell>
          <cell r="AM422" t="str">
            <v>0</v>
          </cell>
          <cell r="AN422" t="str">
            <v>0</v>
          </cell>
          <cell r="AO422" t="str">
            <v>0</v>
          </cell>
          <cell r="AP422" t="str">
            <v>0</v>
          </cell>
          <cell r="AQ422" t="str">
            <v>0</v>
          </cell>
          <cell r="AR422" t="str">
            <v>0</v>
          </cell>
          <cell r="AS422" t="str">
            <v>0</v>
          </cell>
          <cell r="AT422" t="str">
            <v>0</v>
          </cell>
          <cell r="AU422" t="str">
            <v>0</v>
          </cell>
          <cell r="AV422" t="str">
            <v>0</v>
          </cell>
          <cell r="AW422" t="str">
            <v>0</v>
          </cell>
          <cell r="AX422" t="str">
            <v>0</v>
          </cell>
          <cell r="AY422" t="str">
            <v>0</v>
          </cell>
          <cell r="AZ422" t="str">
            <v>0</v>
          </cell>
          <cell r="BA422" t="str">
            <v>0</v>
          </cell>
          <cell r="BB422" t="str">
            <v>0</v>
          </cell>
          <cell r="BC422" t="str">
            <v>0</v>
          </cell>
          <cell r="BD422" t="str">
            <v>0</v>
          </cell>
          <cell r="BE422" t="str">
            <v>0</v>
          </cell>
          <cell r="BF422" t="str">
            <v>0</v>
          </cell>
          <cell r="BG422" t="str">
            <v>0</v>
          </cell>
          <cell r="BH422" t="str">
            <v>0</v>
          </cell>
          <cell r="BI422" t="str">
            <v>0</v>
          </cell>
          <cell r="BJ422" t="str">
            <v>0</v>
          </cell>
          <cell r="BK422" t="str">
            <v>0</v>
          </cell>
          <cell r="BL422" t="str">
            <v>0</v>
          </cell>
          <cell r="BM422" t="str">
            <v>0</v>
          </cell>
          <cell r="BN422" t="str">
            <v>0</v>
          </cell>
          <cell r="BO422" t="str">
            <v>0</v>
          </cell>
          <cell r="BP422" t="str">
            <v>0</v>
          </cell>
          <cell r="BQ422" t="str">
            <v>0</v>
          </cell>
          <cell r="BR422" t="str">
            <v>0</v>
          </cell>
          <cell r="BS422" t="str">
            <v>0</v>
          </cell>
          <cell r="BT422" t="str">
            <v>0</v>
          </cell>
          <cell r="BU422" t="str">
            <v>0</v>
          </cell>
          <cell r="BV422" t="str">
            <v>0</v>
          </cell>
          <cell r="BW422" t="str">
            <v>0</v>
          </cell>
          <cell r="BX422" t="str">
            <v>0</v>
          </cell>
          <cell r="BY422" t="str">
            <v>0</v>
          </cell>
          <cell r="BZ422" t="str">
            <v>0</v>
          </cell>
          <cell r="CA422" t="str">
            <v>0</v>
          </cell>
          <cell r="CB422" t="str">
            <v>0</v>
          </cell>
          <cell r="CC422" t="str">
            <v>0</v>
          </cell>
          <cell r="CD422" t="str">
            <v>0</v>
          </cell>
          <cell r="CE422" t="str">
            <v>0</v>
          </cell>
          <cell r="CF422" t="str">
            <v>0</v>
          </cell>
          <cell r="CG422" t="str">
            <v>0</v>
          </cell>
          <cell r="CH422" t="str">
            <v>0</v>
          </cell>
          <cell r="CI422" t="str">
            <v>0</v>
          </cell>
          <cell r="CJ422" t="str">
            <v>0</v>
          </cell>
          <cell r="CK422" t="str">
            <v>0</v>
          </cell>
          <cell r="CL422" t="str">
            <v>0</v>
          </cell>
          <cell r="CM422" t="str">
            <v>0</v>
          </cell>
          <cell r="CN422" t="str">
            <v>0</v>
          </cell>
          <cell r="CO422" t="str">
            <v>0</v>
          </cell>
          <cell r="CP422" t="str">
            <v>0</v>
          </cell>
          <cell r="CQ422" t="str">
            <v>0</v>
          </cell>
          <cell r="CR422" t="str">
            <v>0</v>
          </cell>
          <cell r="CS422" t="str">
            <v>0</v>
          </cell>
          <cell r="CT422" t="str">
            <v>0</v>
          </cell>
          <cell r="CU422" t="str">
            <v>0</v>
          </cell>
          <cell r="CV422" t="str">
            <v>0</v>
          </cell>
          <cell r="CW422" t="str">
            <v>0</v>
          </cell>
          <cell r="CX422" t="str">
            <v>0</v>
          </cell>
          <cell r="CY422" t="str">
            <v>0</v>
          </cell>
          <cell r="CZ422" t="str">
            <v>0</v>
          </cell>
          <cell r="DA422" t="str">
            <v>0</v>
          </cell>
          <cell r="DB422" t="str">
            <v>0</v>
          </cell>
          <cell r="DC422" t="str">
            <v>0</v>
          </cell>
          <cell r="DD422" t="str">
            <v>0</v>
          </cell>
          <cell r="DE422" t="str">
            <v>0</v>
          </cell>
          <cell r="DF422" t="str">
            <v>0</v>
          </cell>
          <cell r="DG422" t="str">
            <v>0</v>
          </cell>
          <cell r="DH422" t="str">
            <v>0</v>
          </cell>
          <cell r="DI422" t="str">
            <v>0</v>
          </cell>
          <cell r="DJ422" t="str">
            <v>0</v>
          </cell>
          <cell r="DK422" t="str">
            <v>0</v>
          </cell>
          <cell r="DL422" t="str">
            <v>0</v>
          </cell>
          <cell r="DM422" t="str">
            <v>0</v>
          </cell>
          <cell r="DN422" t="str">
            <v>0</v>
          </cell>
          <cell r="DO422" t="str">
            <v>0</v>
          </cell>
          <cell r="DP422" t="str">
            <v>0</v>
          </cell>
        </row>
        <row r="423">
          <cell r="C423"/>
          <cell r="D423" t="str">
            <v>0</v>
          </cell>
          <cell r="E423" t="str">
            <v>0</v>
          </cell>
          <cell r="F423" t="str">
            <v>0</v>
          </cell>
          <cell r="G423" t="str">
            <v>0</v>
          </cell>
          <cell r="H423" t="str">
            <v>0</v>
          </cell>
          <cell r="I423" t="str">
            <v>0</v>
          </cell>
          <cell r="J423" t="str">
            <v>0</v>
          </cell>
          <cell r="K423" t="str">
            <v>0</v>
          </cell>
          <cell r="L423" t="str">
            <v>0</v>
          </cell>
          <cell r="M423" t="str">
            <v>0</v>
          </cell>
          <cell r="N423" t="str">
            <v>0</v>
          </cell>
          <cell r="O423" t="str">
            <v>0</v>
          </cell>
          <cell r="P423" t="str">
            <v>0</v>
          </cell>
          <cell r="Q423" t="str">
            <v>0</v>
          </cell>
          <cell r="R423" t="str">
            <v>0</v>
          </cell>
          <cell r="S423" t="str">
            <v>0</v>
          </cell>
          <cell r="T423" t="str">
            <v>0</v>
          </cell>
          <cell r="U423" t="str">
            <v>0</v>
          </cell>
          <cell r="V423" t="str">
            <v>0</v>
          </cell>
          <cell r="W423" t="str">
            <v>0</v>
          </cell>
          <cell r="X423" t="str">
            <v>0</v>
          </cell>
          <cell r="Y423" t="str">
            <v>0</v>
          </cell>
          <cell r="Z423" t="str">
            <v>0</v>
          </cell>
          <cell r="AA423" t="str">
            <v>0</v>
          </cell>
          <cell r="AB423" t="str">
            <v>0</v>
          </cell>
          <cell r="AC423" t="str">
            <v>0</v>
          </cell>
          <cell r="AD423" t="str">
            <v>0</v>
          </cell>
          <cell r="AE423" t="str">
            <v>0</v>
          </cell>
          <cell r="AF423" t="str">
            <v>0</v>
          </cell>
          <cell r="AG423" t="str">
            <v>0</v>
          </cell>
          <cell r="AH423" t="str">
            <v>0</v>
          </cell>
          <cell r="AI423" t="str">
            <v>0</v>
          </cell>
          <cell r="AJ423" t="str">
            <v>0</v>
          </cell>
          <cell r="AK423" t="str">
            <v>0</v>
          </cell>
          <cell r="AL423" t="str">
            <v>0</v>
          </cell>
          <cell r="AM423" t="str">
            <v>0</v>
          </cell>
          <cell r="AN423" t="str">
            <v>0</v>
          </cell>
          <cell r="AO423" t="str">
            <v>0</v>
          </cell>
          <cell r="AP423" t="str">
            <v>0</v>
          </cell>
          <cell r="AQ423" t="str">
            <v>0</v>
          </cell>
          <cell r="AR423" t="str">
            <v>0</v>
          </cell>
          <cell r="AS423" t="str">
            <v>0</v>
          </cell>
          <cell r="AT423" t="str">
            <v>0</v>
          </cell>
          <cell r="AU423" t="str">
            <v>0</v>
          </cell>
          <cell r="AV423" t="str">
            <v>0</v>
          </cell>
          <cell r="AW423" t="str">
            <v>0</v>
          </cell>
          <cell r="AX423" t="str">
            <v>0</v>
          </cell>
          <cell r="AY423" t="str">
            <v>0</v>
          </cell>
          <cell r="AZ423" t="str">
            <v>0</v>
          </cell>
          <cell r="BA423" t="str">
            <v>0</v>
          </cell>
          <cell r="BB423" t="str">
            <v>0</v>
          </cell>
          <cell r="BC423" t="str">
            <v>0</v>
          </cell>
          <cell r="BD423" t="str">
            <v>0</v>
          </cell>
          <cell r="BE423" t="str">
            <v>0</v>
          </cell>
          <cell r="BF423" t="str">
            <v>0</v>
          </cell>
          <cell r="BG423" t="str">
            <v>0</v>
          </cell>
          <cell r="BH423" t="str">
            <v>0</v>
          </cell>
          <cell r="BI423" t="str">
            <v>0</v>
          </cell>
          <cell r="BJ423" t="str">
            <v>0</v>
          </cell>
          <cell r="BK423" t="str">
            <v>0</v>
          </cell>
          <cell r="BL423" t="str">
            <v>0</v>
          </cell>
          <cell r="BM423" t="str">
            <v>0</v>
          </cell>
          <cell r="BN423" t="str">
            <v>0</v>
          </cell>
          <cell r="BO423" t="str">
            <v>0</v>
          </cell>
          <cell r="BP423" t="str">
            <v>0</v>
          </cell>
          <cell r="BQ423" t="str">
            <v>0</v>
          </cell>
          <cell r="BR423" t="str">
            <v>0</v>
          </cell>
          <cell r="BS423" t="str">
            <v>0</v>
          </cell>
          <cell r="BT423" t="str">
            <v>0</v>
          </cell>
          <cell r="BU423" t="str">
            <v>0</v>
          </cell>
          <cell r="BV423" t="str">
            <v>0</v>
          </cell>
          <cell r="BW423" t="str">
            <v>0</v>
          </cell>
          <cell r="BX423" t="str">
            <v>0</v>
          </cell>
          <cell r="BY423" t="str">
            <v>0</v>
          </cell>
          <cell r="BZ423" t="str">
            <v>0</v>
          </cell>
          <cell r="CA423" t="str">
            <v>0</v>
          </cell>
          <cell r="CB423" t="str">
            <v>0</v>
          </cell>
          <cell r="CC423" t="str">
            <v>0</v>
          </cell>
          <cell r="CD423" t="str">
            <v>0</v>
          </cell>
          <cell r="CE423" t="str">
            <v>0</v>
          </cell>
          <cell r="CF423" t="str">
            <v>0</v>
          </cell>
          <cell r="CG423" t="str">
            <v>0</v>
          </cell>
          <cell r="CH423" t="str">
            <v>0</v>
          </cell>
          <cell r="CI423" t="str">
            <v>0</v>
          </cell>
          <cell r="CJ423" t="str">
            <v>0</v>
          </cell>
          <cell r="CK423" t="str">
            <v>0</v>
          </cell>
          <cell r="CL423" t="str">
            <v>0</v>
          </cell>
          <cell r="CM423" t="str">
            <v>0</v>
          </cell>
          <cell r="CN423" t="str">
            <v>0</v>
          </cell>
          <cell r="CO423" t="str">
            <v>0</v>
          </cell>
          <cell r="CP423" t="str">
            <v>0</v>
          </cell>
          <cell r="CQ423" t="str">
            <v>0</v>
          </cell>
          <cell r="CR423" t="str">
            <v>0</v>
          </cell>
          <cell r="CS423" t="str">
            <v>0</v>
          </cell>
          <cell r="CT423" t="str">
            <v>0</v>
          </cell>
          <cell r="CU423" t="str">
            <v>0</v>
          </cell>
          <cell r="CV423" t="str">
            <v>0</v>
          </cell>
          <cell r="CW423" t="str">
            <v>0</v>
          </cell>
          <cell r="CX423" t="str">
            <v>0</v>
          </cell>
          <cell r="CY423" t="str">
            <v>0</v>
          </cell>
          <cell r="CZ423" t="str">
            <v>0</v>
          </cell>
          <cell r="DA423" t="str">
            <v>0</v>
          </cell>
          <cell r="DB423" t="str">
            <v>0</v>
          </cell>
          <cell r="DC423" t="str">
            <v>0</v>
          </cell>
          <cell r="DD423" t="str">
            <v>0</v>
          </cell>
          <cell r="DE423" t="str">
            <v>0</v>
          </cell>
          <cell r="DF423" t="str">
            <v>0</v>
          </cell>
          <cell r="DG423" t="str">
            <v>0</v>
          </cell>
          <cell r="DH423" t="str">
            <v>0</v>
          </cell>
          <cell r="DI423" t="str">
            <v>0</v>
          </cell>
          <cell r="DJ423" t="str">
            <v>0</v>
          </cell>
          <cell r="DK423" t="str">
            <v>0</v>
          </cell>
          <cell r="DL423" t="str">
            <v>0</v>
          </cell>
          <cell r="DM423" t="str">
            <v>0</v>
          </cell>
          <cell r="DN423" t="str">
            <v>0</v>
          </cell>
          <cell r="DO423" t="str">
            <v>0</v>
          </cell>
          <cell r="DP423" t="str">
            <v>0</v>
          </cell>
        </row>
        <row r="424">
          <cell r="C424"/>
          <cell r="D424" t="str">
            <v>0</v>
          </cell>
          <cell r="E424" t="str">
            <v>0</v>
          </cell>
          <cell r="F424" t="str">
            <v>0</v>
          </cell>
          <cell r="G424" t="str">
            <v>0</v>
          </cell>
          <cell r="H424" t="str">
            <v>0</v>
          </cell>
          <cell r="I424" t="str">
            <v>0</v>
          </cell>
          <cell r="J424" t="str">
            <v>0</v>
          </cell>
          <cell r="K424" t="str">
            <v>0</v>
          </cell>
          <cell r="L424" t="str">
            <v>0</v>
          </cell>
          <cell r="M424" t="str">
            <v>0</v>
          </cell>
          <cell r="N424" t="str">
            <v>0</v>
          </cell>
          <cell r="O424" t="str">
            <v>0</v>
          </cell>
          <cell r="P424" t="str">
            <v>0</v>
          </cell>
          <cell r="Q424" t="str">
            <v>0</v>
          </cell>
          <cell r="R424" t="str">
            <v>0</v>
          </cell>
          <cell r="S424" t="str">
            <v>0</v>
          </cell>
          <cell r="T424" t="str">
            <v>0</v>
          </cell>
          <cell r="U424" t="str">
            <v>0</v>
          </cell>
          <cell r="V424" t="str">
            <v>0</v>
          </cell>
          <cell r="W424" t="str">
            <v>0</v>
          </cell>
          <cell r="X424" t="str">
            <v>0</v>
          </cell>
          <cell r="Y424" t="str">
            <v>0</v>
          </cell>
          <cell r="Z424" t="str">
            <v>0</v>
          </cell>
          <cell r="AA424" t="str">
            <v>0</v>
          </cell>
          <cell r="AB424" t="str">
            <v>0</v>
          </cell>
          <cell r="AC424" t="str">
            <v>0</v>
          </cell>
          <cell r="AD424" t="str">
            <v>0</v>
          </cell>
          <cell r="AE424" t="str">
            <v>0</v>
          </cell>
          <cell r="AF424" t="str">
            <v>0</v>
          </cell>
          <cell r="AG424" t="str">
            <v>0</v>
          </cell>
          <cell r="AH424" t="str">
            <v>0</v>
          </cell>
          <cell r="AI424" t="str">
            <v>0</v>
          </cell>
          <cell r="AJ424" t="str">
            <v>0</v>
          </cell>
          <cell r="AK424" t="str">
            <v>0</v>
          </cell>
          <cell r="AL424" t="str">
            <v>0</v>
          </cell>
          <cell r="AM424" t="str">
            <v>0</v>
          </cell>
          <cell r="AN424" t="str">
            <v>0</v>
          </cell>
          <cell r="AO424" t="str">
            <v>0</v>
          </cell>
          <cell r="AP424" t="str">
            <v>0</v>
          </cell>
          <cell r="AQ424" t="str">
            <v>0</v>
          </cell>
          <cell r="AR424" t="str">
            <v>0</v>
          </cell>
          <cell r="AS424" t="str">
            <v>0</v>
          </cell>
          <cell r="AT424" t="str">
            <v>0</v>
          </cell>
          <cell r="AU424" t="str">
            <v>0</v>
          </cell>
          <cell r="AV424" t="str">
            <v>0</v>
          </cell>
          <cell r="AW424" t="str">
            <v>0</v>
          </cell>
          <cell r="AX424" t="str">
            <v>0</v>
          </cell>
          <cell r="AY424" t="str">
            <v>0</v>
          </cell>
          <cell r="AZ424" t="str">
            <v>0</v>
          </cell>
          <cell r="BA424" t="str">
            <v>0</v>
          </cell>
          <cell r="BB424" t="str">
            <v>0</v>
          </cell>
          <cell r="BC424" t="str">
            <v>0</v>
          </cell>
          <cell r="BD424" t="str">
            <v>0</v>
          </cell>
          <cell r="BE424" t="str">
            <v>0</v>
          </cell>
          <cell r="BF424" t="str">
            <v>0</v>
          </cell>
          <cell r="BG424" t="str">
            <v>0</v>
          </cell>
          <cell r="BH424" t="str">
            <v>0</v>
          </cell>
          <cell r="BI424" t="str">
            <v>0</v>
          </cell>
          <cell r="BJ424" t="str">
            <v>0</v>
          </cell>
          <cell r="BK424" t="str">
            <v>0</v>
          </cell>
          <cell r="BL424" t="str">
            <v>0</v>
          </cell>
          <cell r="BM424" t="str">
            <v>0</v>
          </cell>
          <cell r="BN424" t="str">
            <v>0</v>
          </cell>
          <cell r="BO424" t="str">
            <v>0</v>
          </cell>
          <cell r="BP424" t="str">
            <v>0</v>
          </cell>
          <cell r="BQ424" t="str">
            <v>0</v>
          </cell>
          <cell r="BR424" t="str">
            <v>0</v>
          </cell>
          <cell r="BS424" t="str">
            <v>0</v>
          </cell>
          <cell r="BT424" t="str">
            <v>0</v>
          </cell>
          <cell r="BU424" t="str">
            <v>0</v>
          </cell>
          <cell r="BV424" t="str">
            <v>0</v>
          </cell>
          <cell r="BW424" t="str">
            <v>0</v>
          </cell>
          <cell r="BX424" t="str">
            <v>0</v>
          </cell>
          <cell r="BY424" t="str">
            <v>0</v>
          </cell>
          <cell r="BZ424" t="str">
            <v>0</v>
          </cell>
          <cell r="CA424" t="str">
            <v>0</v>
          </cell>
          <cell r="CB424" t="str">
            <v>0</v>
          </cell>
          <cell r="CC424" t="str">
            <v>0</v>
          </cell>
          <cell r="CD424" t="str">
            <v>0</v>
          </cell>
          <cell r="CE424" t="str">
            <v>0</v>
          </cell>
          <cell r="CF424" t="str">
            <v>0</v>
          </cell>
          <cell r="CG424" t="str">
            <v>0</v>
          </cell>
          <cell r="CH424" t="str">
            <v>0</v>
          </cell>
          <cell r="CI424" t="str">
            <v>0</v>
          </cell>
          <cell r="CJ424" t="str">
            <v>0</v>
          </cell>
          <cell r="CK424" t="str">
            <v>0</v>
          </cell>
          <cell r="CL424" t="str">
            <v>0</v>
          </cell>
          <cell r="CM424" t="str">
            <v>0</v>
          </cell>
          <cell r="CN424" t="str">
            <v>0</v>
          </cell>
          <cell r="CO424" t="str">
            <v>0</v>
          </cell>
          <cell r="CP424" t="str">
            <v>0</v>
          </cell>
          <cell r="CQ424" t="str">
            <v>0</v>
          </cell>
          <cell r="CR424" t="str">
            <v>0</v>
          </cell>
          <cell r="CS424" t="str">
            <v>0</v>
          </cell>
          <cell r="CT424" t="str">
            <v>0</v>
          </cell>
          <cell r="CU424" t="str">
            <v>0</v>
          </cell>
          <cell r="CV424" t="str">
            <v>0</v>
          </cell>
          <cell r="CW424" t="str">
            <v>0</v>
          </cell>
          <cell r="CX424" t="str">
            <v>0</v>
          </cell>
          <cell r="CY424" t="str">
            <v>0</v>
          </cell>
          <cell r="CZ424" t="str">
            <v>0</v>
          </cell>
          <cell r="DA424" t="str">
            <v>0</v>
          </cell>
          <cell r="DB424" t="str">
            <v>0</v>
          </cell>
          <cell r="DC424" t="str">
            <v>0</v>
          </cell>
          <cell r="DD424" t="str">
            <v>0</v>
          </cell>
          <cell r="DE424" t="str">
            <v>0</v>
          </cell>
          <cell r="DF424" t="str">
            <v>0</v>
          </cell>
          <cell r="DG424" t="str">
            <v>0</v>
          </cell>
          <cell r="DH424" t="str">
            <v>0</v>
          </cell>
          <cell r="DI424" t="str">
            <v>0</v>
          </cell>
          <cell r="DJ424" t="str">
            <v>0</v>
          </cell>
          <cell r="DK424" t="str">
            <v>0</v>
          </cell>
          <cell r="DL424" t="str">
            <v>0</v>
          </cell>
          <cell r="DM424" t="str">
            <v>0</v>
          </cell>
          <cell r="DN424" t="str">
            <v>0</v>
          </cell>
          <cell r="DO424" t="str">
            <v>0</v>
          </cell>
          <cell r="DP424" t="str">
            <v>0</v>
          </cell>
        </row>
        <row r="425">
          <cell r="C425"/>
          <cell r="D425" t="str">
            <v>0</v>
          </cell>
          <cell r="E425" t="str">
            <v>0</v>
          </cell>
          <cell r="F425" t="str">
            <v>0</v>
          </cell>
          <cell r="G425" t="str">
            <v>0</v>
          </cell>
          <cell r="H425" t="str">
            <v>0</v>
          </cell>
          <cell r="I425" t="str">
            <v>0</v>
          </cell>
          <cell r="J425" t="str">
            <v>0</v>
          </cell>
          <cell r="K425" t="str">
            <v>0</v>
          </cell>
          <cell r="L425" t="str">
            <v>0</v>
          </cell>
          <cell r="M425" t="str">
            <v>0</v>
          </cell>
          <cell r="N425" t="str">
            <v>0</v>
          </cell>
          <cell r="O425" t="str">
            <v>0</v>
          </cell>
          <cell r="P425" t="str">
            <v>0</v>
          </cell>
          <cell r="Q425" t="str">
            <v>0</v>
          </cell>
          <cell r="R425" t="str">
            <v>0</v>
          </cell>
          <cell r="S425" t="str">
            <v>0</v>
          </cell>
          <cell r="T425" t="str">
            <v>0</v>
          </cell>
          <cell r="U425" t="str">
            <v>0</v>
          </cell>
          <cell r="V425" t="str">
            <v>0</v>
          </cell>
          <cell r="W425" t="str">
            <v>0</v>
          </cell>
          <cell r="X425" t="str">
            <v>0</v>
          </cell>
          <cell r="Y425" t="str">
            <v>0</v>
          </cell>
          <cell r="Z425" t="str">
            <v>0</v>
          </cell>
          <cell r="AA425" t="str">
            <v>0</v>
          </cell>
          <cell r="AB425" t="str">
            <v>0</v>
          </cell>
          <cell r="AC425" t="str">
            <v>0</v>
          </cell>
          <cell r="AD425" t="str">
            <v>0</v>
          </cell>
          <cell r="AE425" t="str">
            <v>0</v>
          </cell>
          <cell r="AF425" t="str">
            <v>0</v>
          </cell>
          <cell r="AG425" t="str">
            <v>0</v>
          </cell>
          <cell r="AH425" t="str">
            <v>0</v>
          </cell>
          <cell r="AI425" t="str">
            <v>0</v>
          </cell>
          <cell r="AJ425" t="str">
            <v>0</v>
          </cell>
          <cell r="AK425" t="str">
            <v>0</v>
          </cell>
          <cell r="AL425" t="str">
            <v>0</v>
          </cell>
          <cell r="AM425" t="str">
            <v>0</v>
          </cell>
          <cell r="AN425" t="str">
            <v>0</v>
          </cell>
          <cell r="AO425" t="str">
            <v>0</v>
          </cell>
          <cell r="AP425" t="str">
            <v>0</v>
          </cell>
          <cell r="AQ425" t="str">
            <v>0</v>
          </cell>
          <cell r="AR425" t="str">
            <v>0</v>
          </cell>
          <cell r="AS425" t="str">
            <v>0</v>
          </cell>
          <cell r="AT425" t="str">
            <v>0</v>
          </cell>
          <cell r="AU425" t="str">
            <v>0</v>
          </cell>
          <cell r="AV425" t="str">
            <v>0</v>
          </cell>
          <cell r="AW425" t="str">
            <v>0</v>
          </cell>
          <cell r="AX425" t="str">
            <v>0</v>
          </cell>
          <cell r="AY425" t="str">
            <v>0</v>
          </cell>
          <cell r="AZ425" t="str">
            <v>0</v>
          </cell>
          <cell r="BA425" t="str">
            <v>0</v>
          </cell>
          <cell r="BB425" t="str">
            <v>0</v>
          </cell>
          <cell r="BC425" t="str">
            <v>0</v>
          </cell>
          <cell r="BD425" t="str">
            <v>0</v>
          </cell>
          <cell r="BE425" t="str">
            <v>0</v>
          </cell>
          <cell r="BF425" t="str">
            <v>0</v>
          </cell>
          <cell r="BG425" t="str">
            <v>0</v>
          </cell>
          <cell r="BH425" t="str">
            <v>0</v>
          </cell>
          <cell r="BI425" t="str">
            <v>0</v>
          </cell>
          <cell r="BJ425" t="str">
            <v>0</v>
          </cell>
          <cell r="BK425" t="str">
            <v>0</v>
          </cell>
          <cell r="BL425" t="str">
            <v>0</v>
          </cell>
          <cell r="BM425" t="str">
            <v>0</v>
          </cell>
          <cell r="BN425" t="str">
            <v>0</v>
          </cell>
          <cell r="BO425" t="str">
            <v>0</v>
          </cell>
          <cell r="BP425" t="str">
            <v>0</v>
          </cell>
          <cell r="BQ425" t="str">
            <v>0</v>
          </cell>
          <cell r="BR425" t="str">
            <v>0</v>
          </cell>
          <cell r="BS425" t="str">
            <v>0</v>
          </cell>
          <cell r="BT425" t="str">
            <v>0</v>
          </cell>
          <cell r="BU425" t="str">
            <v>0</v>
          </cell>
          <cell r="BV425" t="str">
            <v>0</v>
          </cell>
          <cell r="BW425" t="str">
            <v>0</v>
          </cell>
          <cell r="BX425" t="str">
            <v>0</v>
          </cell>
          <cell r="BY425" t="str">
            <v>0</v>
          </cell>
          <cell r="BZ425" t="str">
            <v>0</v>
          </cell>
          <cell r="CA425" t="str">
            <v>0</v>
          </cell>
          <cell r="CB425" t="str">
            <v>0</v>
          </cell>
          <cell r="CC425" t="str">
            <v>0</v>
          </cell>
          <cell r="CD425" t="str">
            <v>0</v>
          </cell>
          <cell r="CE425" t="str">
            <v>0</v>
          </cell>
          <cell r="CF425" t="str">
            <v>0</v>
          </cell>
          <cell r="CG425" t="str">
            <v>0</v>
          </cell>
          <cell r="CH425" t="str">
            <v>0</v>
          </cell>
          <cell r="CI425" t="str">
            <v>0</v>
          </cell>
          <cell r="CJ425" t="str">
            <v>0</v>
          </cell>
          <cell r="CK425" t="str">
            <v>0</v>
          </cell>
          <cell r="CL425" t="str">
            <v>0</v>
          </cell>
          <cell r="CM425" t="str">
            <v>0</v>
          </cell>
          <cell r="CN425" t="str">
            <v>0</v>
          </cell>
          <cell r="CO425" t="str">
            <v>0</v>
          </cell>
          <cell r="CP425" t="str">
            <v>0</v>
          </cell>
          <cell r="CQ425" t="str">
            <v>0</v>
          </cell>
          <cell r="CR425" t="str">
            <v>0</v>
          </cell>
          <cell r="CS425" t="str">
            <v>0</v>
          </cell>
          <cell r="CT425" t="str">
            <v>0</v>
          </cell>
          <cell r="CU425" t="str">
            <v>0</v>
          </cell>
          <cell r="CV425" t="str">
            <v>0</v>
          </cell>
          <cell r="CW425" t="str">
            <v>0</v>
          </cell>
          <cell r="CX425" t="str">
            <v>0</v>
          </cell>
          <cell r="CY425" t="str">
            <v>0</v>
          </cell>
          <cell r="CZ425" t="str">
            <v>0</v>
          </cell>
          <cell r="DA425" t="str">
            <v>0</v>
          </cell>
          <cell r="DB425" t="str">
            <v>0</v>
          </cell>
          <cell r="DC425" t="str">
            <v>0</v>
          </cell>
          <cell r="DD425" t="str">
            <v>0</v>
          </cell>
          <cell r="DE425" t="str">
            <v>0</v>
          </cell>
          <cell r="DF425" t="str">
            <v>0</v>
          </cell>
          <cell r="DG425" t="str">
            <v>0</v>
          </cell>
          <cell r="DH425" t="str">
            <v>0</v>
          </cell>
          <cell r="DI425" t="str">
            <v>0</v>
          </cell>
          <cell r="DJ425" t="str">
            <v>0</v>
          </cell>
          <cell r="DK425" t="str">
            <v>0</v>
          </cell>
          <cell r="DL425" t="str">
            <v>0</v>
          </cell>
          <cell r="DM425" t="str">
            <v>0</v>
          </cell>
          <cell r="DN425" t="str">
            <v>0</v>
          </cell>
          <cell r="DO425" t="str">
            <v>0</v>
          </cell>
          <cell r="DP425" t="str">
            <v>0</v>
          </cell>
        </row>
        <row r="426">
          <cell r="C426"/>
          <cell r="D426" t="str">
            <v>0</v>
          </cell>
          <cell r="E426" t="str">
            <v>0</v>
          </cell>
          <cell r="F426" t="str">
            <v>0</v>
          </cell>
          <cell r="G426" t="str">
            <v>0</v>
          </cell>
          <cell r="H426" t="str">
            <v>0</v>
          </cell>
          <cell r="I426" t="str">
            <v>0</v>
          </cell>
          <cell r="J426" t="str">
            <v>0</v>
          </cell>
          <cell r="K426" t="str">
            <v>0</v>
          </cell>
          <cell r="L426" t="str">
            <v>0</v>
          </cell>
          <cell r="M426" t="str">
            <v>0</v>
          </cell>
          <cell r="N426" t="str">
            <v>0</v>
          </cell>
          <cell r="O426" t="str">
            <v>0</v>
          </cell>
          <cell r="P426" t="str">
            <v>0</v>
          </cell>
          <cell r="Q426" t="str">
            <v>0</v>
          </cell>
          <cell r="R426" t="str">
            <v>0</v>
          </cell>
          <cell r="S426" t="str">
            <v>0</v>
          </cell>
          <cell r="T426" t="str">
            <v>0</v>
          </cell>
          <cell r="U426" t="str">
            <v>0</v>
          </cell>
          <cell r="V426" t="str">
            <v>0</v>
          </cell>
          <cell r="W426" t="str">
            <v>0</v>
          </cell>
          <cell r="X426" t="str">
            <v>0</v>
          </cell>
          <cell r="Y426" t="str">
            <v>0</v>
          </cell>
          <cell r="Z426" t="str">
            <v>0</v>
          </cell>
          <cell r="AA426" t="str">
            <v>0</v>
          </cell>
          <cell r="AB426" t="str">
            <v>0</v>
          </cell>
          <cell r="AC426" t="str">
            <v>0</v>
          </cell>
          <cell r="AD426" t="str">
            <v>0</v>
          </cell>
          <cell r="AE426" t="str">
            <v>0</v>
          </cell>
          <cell r="AF426" t="str">
            <v>0</v>
          </cell>
          <cell r="AG426" t="str">
            <v>0</v>
          </cell>
          <cell r="AH426" t="str">
            <v>0</v>
          </cell>
          <cell r="AI426" t="str">
            <v>0</v>
          </cell>
          <cell r="AJ426" t="str">
            <v>0</v>
          </cell>
          <cell r="AK426" t="str">
            <v>0</v>
          </cell>
          <cell r="AL426" t="str">
            <v>0</v>
          </cell>
          <cell r="AM426" t="str">
            <v>0</v>
          </cell>
          <cell r="AN426" t="str">
            <v>0</v>
          </cell>
          <cell r="AO426" t="str">
            <v>0</v>
          </cell>
          <cell r="AP426" t="str">
            <v>0</v>
          </cell>
          <cell r="AQ426" t="str">
            <v>0</v>
          </cell>
          <cell r="AR426" t="str">
            <v>0</v>
          </cell>
          <cell r="AS426" t="str">
            <v>0</v>
          </cell>
          <cell r="AT426" t="str">
            <v>0</v>
          </cell>
          <cell r="AU426" t="str">
            <v>0</v>
          </cell>
          <cell r="AV426" t="str">
            <v>0</v>
          </cell>
          <cell r="AW426" t="str">
            <v>0</v>
          </cell>
          <cell r="AX426" t="str">
            <v>0</v>
          </cell>
          <cell r="AY426" t="str">
            <v>0</v>
          </cell>
          <cell r="AZ426" t="str">
            <v>0</v>
          </cell>
          <cell r="BA426" t="str">
            <v>0</v>
          </cell>
          <cell r="BB426" t="str">
            <v>0</v>
          </cell>
          <cell r="BC426" t="str">
            <v>0</v>
          </cell>
          <cell r="BD426" t="str">
            <v>0</v>
          </cell>
          <cell r="BE426" t="str">
            <v>0</v>
          </cell>
          <cell r="BF426" t="str">
            <v>0</v>
          </cell>
          <cell r="BG426" t="str">
            <v>0</v>
          </cell>
          <cell r="BH426" t="str">
            <v>0</v>
          </cell>
          <cell r="BI426" t="str">
            <v>0</v>
          </cell>
          <cell r="BJ426" t="str">
            <v>0</v>
          </cell>
          <cell r="BK426" t="str">
            <v>0</v>
          </cell>
          <cell r="BL426" t="str">
            <v>0</v>
          </cell>
          <cell r="BM426" t="str">
            <v>0</v>
          </cell>
          <cell r="BN426" t="str">
            <v>0</v>
          </cell>
          <cell r="BO426" t="str">
            <v>0</v>
          </cell>
          <cell r="BP426" t="str">
            <v>0</v>
          </cell>
          <cell r="BQ426" t="str">
            <v>0</v>
          </cell>
          <cell r="BR426" t="str">
            <v>0</v>
          </cell>
          <cell r="BS426" t="str">
            <v>0</v>
          </cell>
          <cell r="BT426" t="str">
            <v>0</v>
          </cell>
          <cell r="BU426" t="str">
            <v>0</v>
          </cell>
          <cell r="BV426" t="str">
            <v>0</v>
          </cell>
          <cell r="BW426" t="str">
            <v>0</v>
          </cell>
          <cell r="BX426" t="str">
            <v>0</v>
          </cell>
          <cell r="BY426" t="str">
            <v>0</v>
          </cell>
          <cell r="BZ426" t="str">
            <v>0</v>
          </cell>
          <cell r="CA426" t="str">
            <v>0</v>
          </cell>
          <cell r="CB426" t="str">
            <v>0</v>
          </cell>
          <cell r="CC426" t="str">
            <v>0</v>
          </cell>
          <cell r="CD426" t="str">
            <v>0</v>
          </cell>
          <cell r="CE426" t="str">
            <v>0</v>
          </cell>
          <cell r="CF426" t="str">
            <v>0</v>
          </cell>
          <cell r="CG426" t="str">
            <v>0</v>
          </cell>
          <cell r="CH426" t="str">
            <v>0</v>
          </cell>
          <cell r="CI426" t="str">
            <v>0</v>
          </cell>
          <cell r="CJ426" t="str">
            <v>0</v>
          </cell>
          <cell r="CK426" t="str">
            <v>0</v>
          </cell>
          <cell r="CL426" t="str">
            <v>0</v>
          </cell>
          <cell r="CM426" t="str">
            <v>0</v>
          </cell>
          <cell r="CN426" t="str">
            <v>0</v>
          </cell>
          <cell r="CO426" t="str">
            <v>0</v>
          </cell>
          <cell r="CP426" t="str">
            <v>0</v>
          </cell>
          <cell r="CQ426" t="str">
            <v>0</v>
          </cell>
          <cell r="CR426" t="str">
            <v>0</v>
          </cell>
          <cell r="CS426" t="str">
            <v>0</v>
          </cell>
          <cell r="CT426" t="str">
            <v>0</v>
          </cell>
          <cell r="CU426" t="str">
            <v>0</v>
          </cell>
          <cell r="CV426" t="str">
            <v>0</v>
          </cell>
          <cell r="CW426" t="str">
            <v>0</v>
          </cell>
          <cell r="CX426" t="str">
            <v>0</v>
          </cell>
          <cell r="CY426" t="str">
            <v>0</v>
          </cell>
          <cell r="CZ426" t="str">
            <v>0</v>
          </cell>
          <cell r="DA426" t="str">
            <v>0</v>
          </cell>
          <cell r="DB426" t="str">
            <v>0</v>
          </cell>
          <cell r="DC426" t="str">
            <v>0</v>
          </cell>
          <cell r="DD426" t="str">
            <v>0</v>
          </cell>
          <cell r="DE426" t="str">
            <v>0</v>
          </cell>
          <cell r="DF426" t="str">
            <v>0</v>
          </cell>
          <cell r="DG426" t="str">
            <v>0</v>
          </cell>
          <cell r="DH426" t="str">
            <v>0</v>
          </cell>
          <cell r="DI426" t="str">
            <v>0</v>
          </cell>
          <cell r="DJ426" t="str">
            <v>0</v>
          </cell>
          <cell r="DK426" t="str">
            <v>0</v>
          </cell>
          <cell r="DL426" t="str">
            <v>0</v>
          </cell>
          <cell r="DM426" t="str">
            <v>0</v>
          </cell>
          <cell r="DN426" t="str">
            <v>0</v>
          </cell>
          <cell r="DO426" t="str">
            <v>0</v>
          </cell>
          <cell r="DP426" t="str">
            <v>0</v>
          </cell>
        </row>
        <row r="427">
          <cell r="C427"/>
          <cell r="D427" t="str">
            <v>0</v>
          </cell>
          <cell r="E427" t="str">
            <v>0</v>
          </cell>
          <cell r="F427" t="str">
            <v>0</v>
          </cell>
          <cell r="G427" t="str">
            <v>0</v>
          </cell>
          <cell r="H427" t="str">
            <v>0</v>
          </cell>
          <cell r="I427" t="str">
            <v>0</v>
          </cell>
          <cell r="J427" t="str">
            <v>0</v>
          </cell>
          <cell r="K427" t="str">
            <v>0</v>
          </cell>
          <cell r="L427" t="str">
            <v>0</v>
          </cell>
          <cell r="M427" t="str">
            <v>0</v>
          </cell>
          <cell r="N427" t="str">
            <v>0</v>
          </cell>
          <cell r="O427" t="str">
            <v>0</v>
          </cell>
          <cell r="P427" t="str">
            <v>0</v>
          </cell>
          <cell r="Q427" t="str">
            <v>0</v>
          </cell>
          <cell r="R427" t="str">
            <v>0</v>
          </cell>
          <cell r="S427" t="str">
            <v>0</v>
          </cell>
          <cell r="T427" t="str">
            <v>0</v>
          </cell>
          <cell r="U427" t="str">
            <v>0</v>
          </cell>
          <cell r="V427" t="str">
            <v>0</v>
          </cell>
          <cell r="W427" t="str">
            <v>0</v>
          </cell>
          <cell r="X427" t="str">
            <v>0</v>
          </cell>
          <cell r="Y427" t="str">
            <v>0</v>
          </cell>
          <cell r="Z427" t="str">
            <v>0</v>
          </cell>
          <cell r="AA427" t="str">
            <v>0</v>
          </cell>
          <cell r="AB427" t="str">
            <v>0</v>
          </cell>
          <cell r="AC427" t="str">
            <v>0</v>
          </cell>
          <cell r="AD427" t="str">
            <v>0</v>
          </cell>
          <cell r="AE427" t="str">
            <v>0</v>
          </cell>
          <cell r="AF427" t="str">
            <v>0</v>
          </cell>
          <cell r="AG427" t="str">
            <v>0</v>
          </cell>
          <cell r="AH427" t="str">
            <v>0</v>
          </cell>
          <cell r="AI427" t="str">
            <v>0</v>
          </cell>
          <cell r="AJ427" t="str">
            <v>0</v>
          </cell>
          <cell r="AK427" t="str">
            <v>0</v>
          </cell>
          <cell r="AL427" t="str">
            <v>0</v>
          </cell>
          <cell r="AM427" t="str">
            <v>0</v>
          </cell>
          <cell r="AN427" t="str">
            <v>0</v>
          </cell>
          <cell r="AO427" t="str">
            <v>0</v>
          </cell>
          <cell r="AP427" t="str">
            <v>0</v>
          </cell>
          <cell r="AQ427" t="str">
            <v>0</v>
          </cell>
          <cell r="AR427" t="str">
            <v>0</v>
          </cell>
          <cell r="AS427" t="str">
            <v>0</v>
          </cell>
          <cell r="AT427" t="str">
            <v>0</v>
          </cell>
          <cell r="AU427" t="str">
            <v>0</v>
          </cell>
          <cell r="AV427" t="str">
            <v>0</v>
          </cell>
          <cell r="AW427" t="str">
            <v>0</v>
          </cell>
          <cell r="AX427" t="str">
            <v>0</v>
          </cell>
          <cell r="AY427" t="str">
            <v>0</v>
          </cell>
          <cell r="AZ427" t="str">
            <v>0</v>
          </cell>
          <cell r="BA427" t="str">
            <v>0</v>
          </cell>
          <cell r="BB427" t="str">
            <v>0</v>
          </cell>
          <cell r="BC427" t="str">
            <v>0</v>
          </cell>
          <cell r="BD427" t="str">
            <v>0</v>
          </cell>
          <cell r="BE427" t="str">
            <v>0</v>
          </cell>
          <cell r="BF427" t="str">
            <v>0</v>
          </cell>
          <cell r="BG427" t="str">
            <v>0</v>
          </cell>
          <cell r="BH427" t="str">
            <v>0</v>
          </cell>
          <cell r="BI427" t="str">
            <v>0</v>
          </cell>
          <cell r="BJ427" t="str">
            <v>0</v>
          </cell>
          <cell r="BK427" t="str">
            <v>0</v>
          </cell>
          <cell r="BL427" t="str">
            <v>0</v>
          </cell>
          <cell r="BM427" t="str">
            <v>0</v>
          </cell>
          <cell r="BN427" t="str">
            <v>0</v>
          </cell>
          <cell r="BO427" t="str">
            <v>0</v>
          </cell>
          <cell r="BP427" t="str">
            <v>0</v>
          </cell>
          <cell r="BQ427" t="str">
            <v>0</v>
          </cell>
          <cell r="BR427" t="str">
            <v>0</v>
          </cell>
          <cell r="BS427" t="str">
            <v>0</v>
          </cell>
          <cell r="BT427" t="str">
            <v>0</v>
          </cell>
          <cell r="BU427" t="str">
            <v>0</v>
          </cell>
          <cell r="BV427" t="str">
            <v>0</v>
          </cell>
          <cell r="BW427" t="str">
            <v>0</v>
          </cell>
          <cell r="BX427" t="str">
            <v>0</v>
          </cell>
          <cell r="BY427" t="str">
            <v>0</v>
          </cell>
          <cell r="BZ427" t="str">
            <v>0</v>
          </cell>
          <cell r="CA427" t="str">
            <v>0</v>
          </cell>
          <cell r="CB427" t="str">
            <v>0</v>
          </cell>
          <cell r="CC427" t="str">
            <v>0</v>
          </cell>
          <cell r="CD427" t="str">
            <v>0</v>
          </cell>
          <cell r="CE427" t="str">
            <v>0</v>
          </cell>
          <cell r="CF427" t="str">
            <v>0</v>
          </cell>
          <cell r="CG427" t="str">
            <v>0</v>
          </cell>
          <cell r="CH427" t="str">
            <v>0</v>
          </cell>
          <cell r="CI427" t="str">
            <v>0</v>
          </cell>
          <cell r="CJ427" t="str">
            <v>0</v>
          </cell>
          <cell r="CK427" t="str">
            <v>0</v>
          </cell>
          <cell r="CL427" t="str">
            <v>0</v>
          </cell>
          <cell r="CM427" t="str">
            <v>0</v>
          </cell>
          <cell r="CN427" t="str">
            <v>0</v>
          </cell>
          <cell r="CO427" t="str">
            <v>0</v>
          </cell>
          <cell r="CP427" t="str">
            <v>0</v>
          </cell>
          <cell r="CQ427" t="str">
            <v>0</v>
          </cell>
          <cell r="CR427" t="str">
            <v>0</v>
          </cell>
          <cell r="CS427" t="str">
            <v>0</v>
          </cell>
          <cell r="CT427" t="str">
            <v>0</v>
          </cell>
          <cell r="CU427" t="str">
            <v>0</v>
          </cell>
          <cell r="CV427" t="str">
            <v>0</v>
          </cell>
          <cell r="CW427" t="str">
            <v>0</v>
          </cell>
          <cell r="CX427" t="str">
            <v>0</v>
          </cell>
          <cell r="CY427" t="str">
            <v>0</v>
          </cell>
          <cell r="CZ427" t="str">
            <v>0</v>
          </cell>
          <cell r="DA427" t="str">
            <v>0</v>
          </cell>
          <cell r="DB427" t="str">
            <v>0</v>
          </cell>
          <cell r="DC427" t="str">
            <v>0</v>
          </cell>
          <cell r="DD427" t="str">
            <v>0</v>
          </cell>
          <cell r="DE427" t="str">
            <v>0</v>
          </cell>
          <cell r="DF427" t="str">
            <v>0</v>
          </cell>
          <cell r="DG427" t="str">
            <v>0</v>
          </cell>
          <cell r="DH427" t="str">
            <v>0</v>
          </cell>
          <cell r="DI427" t="str">
            <v>0</v>
          </cell>
          <cell r="DJ427" t="str">
            <v>0</v>
          </cell>
          <cell r="DK427" t="str">
            <v>0</v>
          </cell>
          <cell r="DL427" t="str">
            <v>0</v>
          </cell>
          <cell r="DM427" t="str">
            <v>0</v>
          </cell>
          <cell r="DN427" t="str">
            <v>0</v>
          </cell>
          <cell r="DO427" t="str">
            <v>0</v>
          </cell>
          <cell r="DP427" t="str">
            <v>0</v>
          </cell>
        </row>
        <row r="428">
          <cell r="C428"/>
          <cell r="D428" t="str">
            <v>0</v>
          </cell>
          <cell r="E428" t="str">
            <v>0</v>
          </cell>
          <cell r="F428" t="str">
            <v>0</v>
          </cell>
          <cell r="G428" t="str">
            <v>0</v>
          </cell>
          <cell r="H428" t="str">
            <v>0</v>
          </cell>
          <cell r="I428" t="str">
            <v>0</v>
          </cell>
          <cell r="J428" t="str">
            <v>0</v>
          </cell>
          <cell r="K428" t="str">
            <v>0</v>
          </cell>
          <cell r="L428" t="str">
            <v>0</v>
          </cell>
          <cell r="M428" t="str">
            <v>0</v>
          </cell>
          <cell r="N428" t="str">
            <v>0</v>
          </cell>
          <cell r="O428" t="str">
            <v>0</v>
          </cell>
          <cell r="P428" t="str">
            <v>0</v>
          </cell>
          <cell r="Q428" t="str">
            <v>0</v>
          </cell>
          <cell r="R428" t="str">
            <v>0</v>
          </cell>
          <cell r="S428" t="str">
            <v>0</v>
          </cell>
          <cell r="T428" t="str">
            <v>0</v>
          </cell>
          <cell r="U428" t="str">
            <v>0</v>
          </cell>
          <cell r="V428" t="str">
            <v>0</v>
          </cell>
          <cell r="W428" t="str">
            <v>0</v>
          </cell>
          <cell r="X428" t="str">
            <v>0</v>
          </cell>
          <cell r="Y428" t="str">
            <v>0</v>
          </cell>
          <cell r="Z428" t="str">
            <v>0</v>
          </cell>
          <cell r="AA428" t="str">
            <v>0</v>
          </cell>
          <cell r="AB428" t="str">
            <v>0</v>
          </cell>
          <cell r="AC428" t="str">
            <v>0</v>
          </cell>
          <cell r="AD428" t="str">
            <v>0</v>
          </cell>
          <cell r="AE428" t="str">
            <v>0</v>
          </cell>
          <cell r="AF428" t="str">
            <v>0</v>
          </cell>
          <cell r="AG428" t="str">
            <v>0</v>
          </cell>
          <cell r="AH428" t="str">
            <v>0</v>
          </cell>
          <cell r="AI428" t="str">
            <v>0</v>
          </cell>
          <cell r="AJ428" t="str">
            <v>0</v>
          </cell>
          <cell r="AK428" t="str">
            <v>0</v>
          </cell>
          <cell r="AL428" t="str">
            <v>0</v>
          </cell>
          <cell r="AM428" t="str">
            <v>0</v>
          </cell>
          <cell r="AN428" t="str">
            <v>0</v>
          </cell>
          <cell r="AO428" t="str">
            <v>0</v>
          </cell>
          <cell r="AP428" t="str">
            <v>0</v>
          </cell>
          <cell r="AQ428" t="str">
            <v>0</v>
          </cell>
          <cell r="AR428" t="str">
            <v>0</v>
          </cell>
          <cell r="AS428" t="str">
            <v>0</v>
          </cell>
          <cell r="AT428" t="str">
            <v>0</v>
          </cell>
          <cell r="AU428" t="str">
            <v>0</v>
          </cell>
          <cell r="AV428" t="str">
            <v>0</v>
          </cell>
          <cell r="AW428" t="str">
            <v>0</v>
          </cell>
          <cell r="AX428" t="str">
            <v>0</v>
          </cell>
          <cell r="AY428" t="str">
            <v>0</v>
          </cell>
          <cell r="AZ428" t="str">
            <v>0</v>
          </cell>
          <cell r="BA428" t="str">
            <v>0</v>
          </cell>
          <cell r="BB428" t="str">
            <v>0</v>
          </cell>
          <cell r="BC428" t="str">
            <v>0</v>
          </cell>
          <cell r="BD428" t="str">
            <v>0</v>
          </cell>
          <cell r="BE428" t="str">
            <v>0</v>
          </cell>
          <cell r="BF428" t="str">
            <v>0</v>
          </cell>
          <cell r="BG428" t="str">
            <v>0</v>
          </cell>
          <cell r="BH428" t="str">
            <v>0</v>
          </cell>
          <cell r="BI428" t="str">
            <v>0</v>
          </cell>
          <cell r="BJ428" t="str">
            <v>0</v>
          </cell>
          <cell r="BK428" t="str">
            <v>0</v>
          </cell>
          <cell r="BL428" t="str">
            <v>0</v>
          </cell>
          <cell r="BM428" t="str">
            <v>0</v>
          </cell>
          <cell r="BN428" t="str">
            <v>0</v>
          </cell>
          <cell r="BO428" t="str">
            <v>0</v>
          </cell>
          <cell r="BP428" t="str">
            <v>0</v>
          </cell>
          <cell r="BQ428" t="str">
            <v>0</v>
          </cell>
          <cell r="BR428" t="str">
            <v>0</v>
          </cell>
          <cell r="BS428" t="str">
            <v>0</v>
          </cell>
          <cell r="BT428" t="str">
            <v>0</v>
          </cell>
          <cell r="BU428" t="str">
            <v>0</v>
          </cell>
          <cell r="BV428" t="str">
            <v>0</v>
          </cell>
          <cell r="BW428" t="str">
            <v>0</v>
          </cell>
          <cell r="BX428" t="str">
            <v>0</v>
          </cell>
          <cell r="BY428" t="str">
            <v>0</v>
          </cell>
          <cell r="BZ428" t="str">
            <v>0</v>
          </cell>
          <cell r="CA428" t="str">
            <v>0</v>
          </cell>
          <cell r="CB428" t="str">
            <v>0</v>
          </cell>
          <cell r="CC428" t="str">
            <v>0</v>
          </cell>
          <cell r="CD428" t="str">
            <v>0</v>
          </cell>
          <cell r="CE428" t="str">
            <v>0</v>
          </cell>
          <cell r="CF428" t="str">
            <v>0</v>
          </cell>
          <cell r="CG428" t="str">
            <v>0</v>
          </cell>
          <cell r="CH428" t="str">
            <v>0</v>
          </cell>
          <cell r="CI428" t="str">
            <v>0</v>
          </cell>
          <cell r="CJ428" t="str">
            <v>0</v>
          </cell>
          <cell r="CK428" t="str">
            <v>0</v>
          </cell>
          <cell r="CL428" t="str">
            <v>0</v>
          </cell>
          <cell r="CM428" t="str">
            <v>0</v>
          </cell>
          <cell r="CN428" t="str">
            <v>0</v>
          </cell>
          <cell r="CO428" t="str">
            <v>0</v>
          </cell>
          <cell r="CP428" t="str">
            <v>0</v>
          </cell>
          <cell r="CQ428" t="str">
            <v>0</v>
          </cell>
          <cell r="CR428" t="str">
            <v>0</v>
          </cell>
          <cell r="CS428" t="str">
            <v>0</v>
          </cell>
          <cell r="CT428" t="str">
            <v>0</v>
          </cell>
          <cell r="CU428" t="str">
            <v>0</v>
          </cell>
          <cell r="CV428" t="str">
            <v>0</v>
          </cell>
          <cell r="CW428" t="str">
            <v>0</v>
          </cell>
          <cell r="CX428" t="str">
            <v>0</v>
          </cell>
          <cell r="CY428" t="str">
            <v>0</v>
          </cell>
          <cell r="CZ428" t="str">
            <v>0</v>
          </cell>
          <cell r="DA428" t="str">
            <v>0</v>
          </cell>
          <cell r="DB428" t="str">
            <v>0</v>
          </cell>
          <cell r="DC428" t="str">
            <v>0</v>
          </cell>
          <cell r="DD428" t="str">
            <v>0</v>
          </cell>
          <cell r="DE428" t="str">
            <v>0</v>
          </cell>
          <cell r="DF428" t="str">
            <v>0</v>
          </cell>
          <cell r="DG428" t="str">
            <v>0</v>
          </cell>
          <cell r="DH428" t="str">
            <v>0</v>
          </cell>
          <cell r="DI428" t="str">
            <v>0</v>
          </cell>
          <cell r="DJ428" t="str">
            <v>0</v>
          </cell>
          <cell r="DK428" t="str">
            <v>0</v>
          </cell>
          <cell r="DL428" t="str">
            <v>0</v>
          </cell>
          <cell r="DM428" t="str">
            <v>0</v>
          </cell>
          <cell r="DN428" t="str">
            <v>0</v>
          </cell>
          <cell r="DO428" t="str">
            <v>0</v>
          </cell>
          <cell r="DP428" t="str">
            <v>0</v>
          </cell>
        </row>
        <row r="429">
          <cell r="C429"/>
          <cell r="D429" t="str">
            <v>0</v>
          </cell>
          <cell r="E429" t="str">
            <v>0</v>
          </cell>
          <cell r="F429" t="str">
            <v>0</v>
          </cell>
          <cell r="G429" t="str">
            <v>0</v>
          </cell>
          <cell r="H429" t="str">
            <v>0</v>
          </cell>
          <cell r="I429" t="str">
            <v>0</v>
          </cell>
          <cell r="J429" t="str">
            <v>0</v>
          </cell>
          <cell r="K429" t="str">
            <v>0</v>
          </cell>
          <cell r="L429" t="str">
            <v>0</v>
          </cell>
          <cell r="M429" t="str">
            <v>0</v>
          </cell>
          <cell r="N429" t="str">
            <v>0</v>
          </cell>
          <cell r="O429" t="str">
            <v>0</v>
          </cell>
          <cell r="P429" t="str">
            <v>0</v>
          </cell>
          <cell r="Q429" t="str">
            <v>0</v>
          </cell>
          <cell r="R429" t="str">
            <v>0</v>
          </cell>
          <cell r="S429" t="str">
            <v>0</v>
          </cell>
          <cell r="T429" t="str">
            <v>0</v>
          </cell>
          <cell r="U429" t="str">
            <v>0</v>
          </cell>
          <cell r="V429" t="str">
            <v>0</v>
          </cell>
          <cell r="W429" t="str">
            <v>0</v>
          </cell>
          <cell r="X429" t="str">
            <v>0</v>
          </cell>
          <cell r="Y429" t="str">
            <v>0</v>
          </cell>
          <cell r="Z429" t="str">
            <v>0</v>
          </cell>
          <cell r="AA429" t="str">
            <v>0</v>
          </cell>
          <cell r="AB429" t="str">
            <v>0</v>
          </cell>
          <cell r="AC429" t="str">
            <v>0</v>
          </cell>
          <cell r="AD429" t="str">
            <v>0</v>
          </cell>
          <cell r="AE429" t="str">
            <v>0</v>
          </cell>
          <cell r="AF429" t="str">
            <v>0</v>
          </cell>
          <cell r="AG429" t="str">
            <v>0</v>
          </cell>
          <cell r="AH429" t="str">
            <v>0</v>
          </cell>
          <cell r="AI429" t="str">
            <v>0</v>
          </cell>
          <cell r="AJ429" t="str">
            <v>0</v>
          </cell>
          <cell r="AK429" t="str">
            <v>0</v>
          </cell>
          <cell r="AL429" t="str">
            <v>0</v>
          </cell>
          <cell r="AM429" t="str">
            <v>0</v>
          </cell>
          <cell r="AN429" t="str">
            <v>0</v>
          </cell>
          <cell r="AO429" t="str">
            <v>0</v>
          </cell>
          <cell r="AP429" t="str">
            <v>0</v>
          </cell>
          <cell r="AQ429" t="str">
            <v>0</v>
          </cell>
          <cell r="AR429" t="str">
            <v>0</v>
          </cell>
          <cell r="AS429" t="str">
            <v>0</v>
          </cell>
          <cell r="AT429" t="str">
            <v>0</v>
          </cell>
          <cell r="AU429" t="str">
            <v>0</v>
          </cell>
          <cell r="AV429" t="str">
            <v>0</v>
          </cell>
          <cell r="AW429" t="str">
            <v>0</v>
          </cell>
          <cell r="AX429" t="str">
            <v>0</v>
          </cell>
          <cell r="AY429" t="str">
            <v>0</v>
          </cell>
          <cell r="AZ429" t="str">
            <v>0</v>
          </cell>
          <cell r="BA429" t="str">
            <v>0</v>
          </cell>
          <cell r="BB429" t="str">
            <v>0</v>
          </cell>
          <cell r="BC429" t="str">
            <v>0</v>
          </cell>
          <cell r="BD429" t="str">
            <v>0</v>
          </cell>
          <cell r="BE429" t="str">
            <v>0</v>
          </cell>
          <cell r="BF429" t="str">
            <v>0</v>
          </cell>
          <cell r="BG429" t="str">
            <v>0</v>
          </cell>
          <cell r="BH429" t="str">
            <v>0</v>
          </cell>
          <cell r="BI429" t="str">
            <v>0</v>
          </cell>
          <cell r="BJ429" t="str">
            <v>0</v>
          </cell>
          <cell r="BK429" t="str">
            <v>0</v>
          </cell>
          <cell r="BL429" t="str">
            <v>0</v>
          </cell>
          <cell r="BM429" t="str">
            <v>0</v>
          </cell>
          <cell r="BN429" t="str">
            <v>0</v>
          </cell>
          <cell r="BO429" t="str">
            <v>0</v>
          </cell>
          <cell r="BP429" t="str">
            <v>0</v>
          </cell>
          <cell r="BQ429" t="str">
            <v>0</v>
          </cell>
          <cell r="BR429" t="str">
            <v>0</v>
          </cell>
          <cell r="BS429" t="str">
            <v>0</v>
          </cell>
          <cell r="BT429" t="str">
            <v>0</v>
          </cell>
          <cell r="BU429" t="str">
            <v>0</v>
          </cell>
          <cell r="BV429" t="str">
            <v>0</v>
          </cell>
          <cell r="BW429" t="str">
            <v>0</v>
          </cell>
          <cell r="BX429" t="str">
            <v>0</v>
          </cell>
          <cell r="BY429" t="str">
            <v>0</v>
          </cell>
          <cell r="BZ429" t="str">
            <v>0</v>
          </cell>
          <cell r="CA429" t="str">
            <v>0</v>
          </cell>
          <cell r="CB429" t="str">
            <v>0</v>
          </cell>
          <cell r="CC429" t="str">
            <v>0</v>
          </cell>
          <cell r="CD429" t="str">
            <v>0</v>
          </cell>
          <cell r="CE429" t="str">
            <v>0</v>
          </cell>
          <cell r="CF429" t="str">
            <v>0</v>
          </cell>
          <cell r="CG429" t="str">
            <v>0</v>
          </cell>
          <cell r="CH429" t="str">
            <v>0</v>
          </cell>
          <cell r="CI429" t="str">
            <v>0</v>
          </cell>
          <cell r="CJ429" t="str">
            <v>0</v>
          </cell>
          <cell r="CK429" t="str">
            <v>0</v>
          </cell>
          <cell r="CL429" t="str">
            <v>0</v>
          </cell>
          <cell r="CM429" t="str">
            <v>0</v>
          </cell>
          <cell r="CN429" t="str">
            <v>0</v>
          </cell>
          <cell r="CO429" t="str">
            <v>0</v>
          </cell>
          <cell r="CP429" t="str">
            <v>0</v>
          </cell>
          <cell r="CQ429" t="str">
            <v>0</v>
          </cell>
          <cell r="CR429" t="str">
            <v>0</v>
          </cell>
          <cell r="CS429" t="str">
            <v>0</v>
          </cell>
          <cell r="CT429" t="str">
            <v>0</v>
          </cell>
          <cell r="CU429" t="str">
            <v>0</v>
          </cell>
          <cell r="CV429" t="str">
            <v>0</v>
          </cell>
          <cell r="CW429" t="str">
            <v>0</v>
          </cell>
          <cell r="CX429" t="str">
            <v>0</v>
          </cell>
          <cell r="CY429" t="str">
            <v>0</v>
          </cell>
          <cell r="CZ429" t="str">
            <v>0</v>
          </cell>
          <cell r="DA429" t="str">
            <v>0</v>
          </cell>
          <cell r="DB429" t="str">
            <v>0</v>
          </cell>
          <cell r="DC429" t="str">
            <v>0</v>
          </cell>
          <cell r="DD429" t="str">
            <v>0</v>
          </cell>
          <cell r="DE429" t="str">
            <v>0</v>
          </cell>
          <cell r="DF429" t="str">
            <v>0</v>
          </cell>
          <cell r="DG429" t="str">
            <v>0</v>
          </cell>
          <cell r="DH429" t="str">
            <v>0</v>
          </cell>
          <cell r="DI429" t="str">
            <v>0</v>
          </cell>
          <cell r="DJ429" t="str">
            <v>0</v>
          </cell>
          <cell r="DK429" t="str">
            <v>0</v>
          </cell>
          <cell r="DL429" t="str">
            <v>0</v>
          </cell>
          <cell r="DM429" t="str">
            <v>0</v>
          </cell>
          <cell r="DN429" t="str">
            <v>0</v>
          </cell>
          <cell r="DO429" t="str">
            <v>0</v>
          </cell>
          <cell r="DP429" t="str">
            <v>0</v>
          </cell>
        </row>
        <row r="430">
          <cell r="C430"/>
          <cell r="D430" t="str">
            <v>0</v>
          </cell>
          <cell r="E430" t="str">
            <v>0</v>
          </cell>
          <cell r="F430" t="str">
            <v>0</v>
          </cell>
          <cell r="G430" t="str">
            <v>0</v>
          </cell>
          <cell r="H430" t="str">
            <v>0</v>
          </cell>
          <cell r="I430" t="str">
            <v>0</v>
          </cell>
          <cell r="J430" t="str">
            <v>0</v>
          </cell>
          <cell r="K430" t="str">
            <v>0</v>
          </cell>
          <cell r="L430" t="str">
            <v>0</v>
          </cell>
          <cell r="M430" t="str">
            <v>0</v>
          </cell>
          <cell r="N430" t="str">
            <v>0</v>
          </cell>
          <cell r="O430" t="str">
            <v>0</v>
          </cell>
          <cell r="P430" t="str">
            <v>0</v>
          </cell>
          <cell r="Q430" t="str">
            <v>0</v>
          </cell>
          <cell r="R430" t="str">
            <v>0</v>
          </cell>
          <cell r="S430" t="str">
            <v>0</v>
          </cell>
          <cell r="T430" t="str">
            <v>0</v>
          </cell>
          <cell r="U430" t="str">
            <v>0</v>
          </cell>
          <cell r="V430" t="str">
            <v>0</v>
          </cell>
          <cell r="W430" t="str">
            <v>0</v>
          </cell>
          <cell r="X430" t="str">
            <v>0</v>
          </cell>
          <cell r="Y430" t="str">
            <v>0</v>
          </cell>
          <cell r="Z430" t="str">
            <v>0</v>
          </cell>
          <cell r="AA430" t="str">
            <v>0</v>
          </cell>
          <cell r="AB430" t="str">
            <v>0</v>
          </cell>
          <cell r="AC430" t="str">
            <v>0</v>
          </cell>
          <cell r="AD430" t="str">
            <v>0</v>
          </cell>
          <cell r="AE430" t="str">
            <v>0</v>
          </cell>
          <cell r="AF430" t="str">
            <v>0</v>
          </cell>
          <cell r="AG430" t="str">
            <v>0</v>
          </cell>
          <cell r="AH430" t="str">
            <v>0</v>
          </cell>
          <cell r="AI430" t="str">
            <v>0</v>
          </cell>
          <cell r="AJ430" t="str">
            <v>0</v>
          </cell>
          <cell r="AK430" t="str">
            <v>0</v>
          </cell>
          <cell r="AL430" t="str">
            <v>0</v>
          </cell>
          <cell r="AM430" t="str">
            <v>0</v>
          </cell>
          <cell r="AN430" t="str">
            <v>0</v>
          </cell>
          <cell r="AO430" t="str">
            <v>0</v>
          </cell>
          <cell r="AP430" t="str">
            <v>0</v>
          </cell>
          <cell r="AQ430" t="str">
            <v>0</v>
          </cell>
          <cell r="AR430" t="str">
            <v>0</v>
          </cell>
          <cell r="AS430" t="str">
            <v>0</v>
          </cell>
          <cell r="AT430" t="str">
            <v>0</v>
          </cell>
          <cell r="AU430" t="str">
            <v>0</v>
          </cell>
          <cell r="AV430" t="str">
            <v>0</v>
          </cell>
          <cell r="AW430" t="str">
            <v>0</v>
          </cell>
          <cell r="AX430" t="str">
            <v>0</v>
          </cell>
          <cell r="AY430" t="str">
            <v>0</v>
          </cell>
          <cell r="AZ430" t="str">
            <v>0</v>
          </cell>
          <cell r="BA430" t="str">
            <v>0</v>
          </cell>
          <cell r="BB430" t="str">
            <v>0</v>
          </cell>
          <cell r="BC430" t="str">
            <v>0</v>
          </cell>
          <cell r="BD430" t="str">
            <v>0</v>
          </cell>
          <cell r="BE430" t="str">
            <v>0</v>
          </cell>
          <cell r="BF430" t="str">
            <v>0</v>
          </cell>
          <cell r="BG430" t="str">
            <v>0</v>
          </cell>
          <cell r="BH430" t="str">
            <v>0</v>
          </cell>
          <cell r="BI430" t="str">
            <v>0</v>
          </cell>
          <cell r="BJ430" t="str">
            <v>0</v>
          </cell>
          <cell r="BK430" t="str">
            <v>0</v>
          </cell>
          <cell r="BL430" t="str">
            <v>0</v>
          </cell>
          <cell r="BM430" t="str">
            <v>0</v>
          </cell>
          <cell r="BN430" t="str">
            <v>0</v>
          </cell>
          <cell r="BO430" t="str">
            <v>0</v>
          </cell>
          <cell r="BP430" t="str">
            <v>0</v>
          </cell>
          <cell r="BQ430" t="str">
            <v>0</v>
          </cell>
          <cell r="BR430" t="str">
            <v>0</v>
          </cell>
          <cell r="BS430" t="str">
            <v>0</v>
          </cell>
          <cell r="BT430" t="str">
            <v>0</v>
          </cell>
          <cell r="BU430" t="str">
            <v>0</v>
          </cell>
          <cell r="BV430" t="str">
            <v>0</v>
          </cell>
          <cell r="BW430" t="str">
            <v>0</v>
          </cell>
          <cell r="BX430" t="str">
            <v>0</v>
          </cell>
          <cell r="BY430" t="str">
            <v>0</v>
          </cell>
          <cell r="BZ430" t="str">
            <v>0</v>
          </cell>
          <cell r="CA430" t="str">
            <v>0</v>
          </cell>
          <cell r="CB430" t="str">
            <v>0</v>
          </cell>
          <cell r="CC430" t="str">
            <v>0</v>
          </cell>
          <cell r="CD430" t="str">
            <v>0</v>
          </cell>
          <cell r="CE430" t="str">
            <v>0</v>
          </cell>
          <cell r="CF430" t="str">
            <v>0</v>
          </cell>
          <cell r="CG430" t="str">
            <v>0</v>
          </cell>
          <cell r="CH430" t="str">
            <v>0</v>
          </cell>
          <cell r="CI430" t="str">
            <v>0</v>
          </cell>
          <cell r="CJ430" t="str">
            <v>0</v>
          </cell>
          <cell r="CK430" t="str">
            <v>0</v>
          </cell>
          <cell r="CL430" t="str">
            <v>0</v>
          </cell>
          <cell r="CM430" t="str">
            <v>0</v>
          </cell>
          <cell r="CN430" t="str">
            <v>0</v>
          </cell>
          <cell r="CO430" t="str">
            <v>0</v>
          </cell>
          <cell r="CP430" t="str">
            <v>0</v>
          </cell>
          <cell r="CQ430" t="str">
            <v>0</v>
          </cell>
          <cell r="CR430" t="str">
            <v>0</v>
          </cell>
          <cell r="CS430" t="str">
            <v>0</v>
          </cell>
          <cell r="CT430" t="str">
            <v>0</v>
          </cell>
          <cell r="CU430" t="str">
            <v>0</v>
          </cell>
          <cell r="CV430" t="str">
            <v>0</v>
          </cell>
          <cell r="CW430" t="str">
            <v>0</v>
          </cell>
          <cell r="CX430" t="str">
            <v>0</v>
          </cell>
          <cell r="CY430" t="str">
            <v>0</v>
          </cell>
          <cell r="CZ430" t="str">
            <v>0</v>
          </cell>
          <cell r="DA430" t="str">
            <v>0</v>
          </cell>
          <cell r="DB430" t="str">
            <v>0</v>
          </cell>
          <cell r="DC430" t="str">
            <v>0</v>
          </cell>
          <cell r="DD430" t="str">
            <v>0</v>
          </cell>
          <cell r="DE430" t="str">
            <v>0</v>
          </cell>
          <cell r="DF430" t="str">
            <v>0</v>
          </cell>
          <cell r="DG430" t="str">
            <v>0</v>
          </cell>
          <cell r="DH430" t="str">
            <v>0</v>
          </cell>
          <cell r="DI430" t="str">
            <v>0</v>
          </cell>
          <cell r="DJ430" t="str">
            <v>0</v>
          </cell>
          <cell r="DK430" t="str">
            <v>0</v>
          </cell>
          <cell r="DL430" t="str">
            <v>0</v>
          </cell>
          <cell r="DM430" t="str">
            <v>0</v>
          </cell>
          <cell r="DN430" t="str">
            <v>0</v>
          </cell>
          <cell r="DO430" t="str">
            <v>0</v>
          </cell>
          <cell r="DP430" t="str">
            <v>0</v>
          </cell>
        </row>
        <row r="431">
          <cell r="C431"/>
          <cell r="D431" t="str">
            <v>0</v>
          </cell>
          <cell r="E431" t="str">
            <v>0</v>
          </cell>
          <cell r="F431" t="str">
            <v>0</v>
          </cell>
          <cell r="G431" t="str">
            <v>0</v>
          </cell>
          <cell r="H431" t="str">
            <v>0</v>
          </cell>
          <cell r="I431" t="str">
            <v>0</v>
          </cell>
          <cell r="J431" t="str">
            <v>0</v>
          </cell>
          <cell r="K431" t="str">
            <v>0</v>
          </cell>
          <cell r="L431" t="str">
            <v>0</v>
          </cell>
          <cell r="M431" t="str">
            <v>0</v>
          </cell>
          <cell r="N431" t="str">
            <v>0</v>
          </cell>
          <cell r="O431" t="str">
            <v>0</v>
          </cell>
          <cell r="P431" t="str">
            <v>0</v>
          </cell>
          <cell r="Q431" t="str">
            <v>0</v>
          </cell>
          <cell r="R431" t="str">
            <v>0</v>
          </cell>
          <cell r="S431" t="str">
            <v>0</v>
          </cell>
          <cell r="T431" t="str">
            <v>0</v>
          </cell>
          <cell r="U431" t="str">
            <v>0</v>
          </cell>
          <cell r="V431" t="str">
            <v>0</v>
          </cell>
          <cell r="W431" t="str">
            <v>0</v>
          </cell>
          <cell r="X431" t="str">
            <v>0</v>
          </cell>
          <cell r="Y431" t="str">
            <v>0</v>
          </cell>
          <cell r="Z431" t="str">
            <v>0</v>
          </cell>
          <cell r="AA431" t="str">
            <v>0</v>
          </cell>
          <cell r="AB431" t="str">
            <v>0</v>
          </cell>
          <cell r="AC431" t="str">
            <v>0</v>
          </cell>
          <cell r="AD431" t="str">
            <v>0</v>
          </cell>
          <cell r="AE431" t="str">
            <v>0</v>
          </cell>
          <cell r="AF431" t="str">
            <v>0</v>
          </cell>
          <cell r="AG431" t="str">
            <v>0</v>
          </cell>
          <cell r="AH431" t="str">
            <v>0</v>
          </cell>
          <cell r="AI431" t="str">
            <v>0</v>
          </cell>
          <cell r="AJ431" t="str">
            <v>0</v>
          </cell>
          <cell r="AK431" t="str">
            <v>0</v>
          </cell>
          <cell r="AL431" t="str">
            <v>0</v>
          </cell>
          <cell r="AM431" t="str">
            <v>0</v>
          </cell>
          <cell r="AN431" t="str">
            <v>0</v>
          </cell>
          <cell r="AO431" t="str">
            <v>0</v>
          </cell>
          <cell r="AP431" t="str">
            <v>0</v>
          </cell>
          <cell r="AQ431" t="str">
            <v>0</v>
          </cell>
          <cell r="AR431" t="str">
            <v>0</v>
          </cell>
          <cell r="AS431" t="str">
            <v>0</v>
          </cell>
          <cell r="AT431" t="str">
            <v>0</v>
          </cell>
          <cell r="AU431" t="str">
            <v>0</v>
          </cell>
          <cell r="AV431" t="str">
            <v>0</v>
          </cell>
          <cell r="AW431" t="str">
            <v>0</v>
          </cell>
          <cell r="AX431" t="str">
            <v>0</v>
          </cell>
          <cell r="AY431" t="str">
            <v>0</v>
          </cell>
          <cell r="AZ431" t="str">
            <v>0</v>
          </cell>
          <cell r="BA431" t="str">
            <v>0</v>
          </cell>
          <cell r="BB431" t="str">
            <v>0</v>
          </cell>
          <cell r="BC431" t="str">
            <v>0</v>
          </cell>
          <cell r="BD431" t="str">
            <v>0</v>
          </cell>
          <cell r="BE431" t="str">
            <v>0</v>
          </cell>
          <cell r="BF431" t="str">
            <v>0</v>
          </cell>
          <cell r="BG431" t="str">
            <v>0</v>
          </cell>
          <cell r="BH431" t="str">
            <v>0</v>
          </cell>
          <cell r="BI431" t="str">
            <v>0</v>
          </cell>
          <cell r="BJ431" t="str">
            <v>0</v>
          </cell>
          <cell r="BK431" t="str">
            <v>0</v>
          </cell>
          <cell r="BL431" t="str">
            <v>0</v>
          </cell>
          <cell r="BM431" t="str">
            <v>0</v>
          </cell>
          <cell r="BN431" t="str">
            <v>0</v>
          </cell>
          <cell r="BO431" t="str">
            <v>0</v>
          </cell>
          <cell r="BP431" t="str">
            <v>0</v>
          </cell>
          <cell r="BQ431" t="str">
            <v>0</v>
          </cell>
          <cell r="BR431" t="str">
            <v>0</v>
          </cell>
          <cell r="BS431" t="str">
            <v>0</v>
          </cell>
          <cell r="BT431" t="str">
            <v>0</v>
          </cell>
          <cell r="BU431" t="str">
            <v>0</v>
          </cell>
          <cell r="BV431" t="str">
            <v>0</v>
          </cell>
          <cell r="BW431" t="str">
            <v>0</v>
          </cell>
          <cell r="BX431" t="str">
            <v>0</v>
          </cell>
          <cell r="BY431" t="str">
            <v>0</v>
          </cell>
          <cell r="BZ431" t="str">
            <v>0</v>
          </cell>
          <cell r="CA431" t="str">
            <v>0</v>
          </cell>
          <cell r="CB431" t="str">
            <v>0</v>
          </cell>
          <cell r="CC431" t="str">
            <v>0</v>
          </cell>
          <cell r="CD431" t="str">
            <v>0</v>
          </cell>
          <cell r="CE431" t="str">
            <v>0</v>
          </cell>
          <cell r="CF431" t="str">
            <v>0</v>
          </cell>
          <cell r="CG431" t="str">
            <v>0</v>
          </cell>
          <cell r="CH431" t="str">
            <v>0</v>
          </cell>
          <cell r="CI431" t="str">
            <v>0</v>
          </cell>
          <cell r="CJ431" t="str">
            <v>0</v>
          </cell>
          <cell r="CK431" t="str">
            <v>0</v>
          </cell>
          <cell r="CL431" t="str">
            <v>0</v>
          </cell>
          <cell r="CM431" t="str">
            <v>0</v>
          </cell>
          <cell r="CN431" t="str">
            <v>0</v>
          </cell>
          <cell r="CO431" t="str">
            <v>0</v>
          </cell>
          <cell r="CP431" t="str">
            <v>0</v>
          </cell>
          <cell r="CQ431" t="str">
            <v>0</v>
          </cell>
          <cell r="CR431" t="str">
            <v>0</v>
          </cell>
          <cell r="CS431" t="str">
            <v>0</v>
          </cell>
          <cell r="CT431" t="str">
            <v>0</v>
          </cell>
          <cell r="CU431" t="str">
            <v>0</v>
          </cell>
          <cell r="CV431" t="str">
            <v>0</v>
          </cell>
          <cell r="CW431" t="str">
            <v>0</v>
          </cell>
          <cell r="CX431" t="str">
            <v>0</v>
          </cell>
          <cell r="CY431" t="str">
            <v>0</v>
          </cell>
          <cell r="CZ431" t="str">
            <v>0</v>
          </cell>
          <cell r="DA431" t="str">
            <v>0</v>
          </cell>
          <cell r="DB431" t="str">
            <v>0</v>
          </cell>
          <cell r="DC431" t="str">
            <v>0</v>
          </cell>
          <cell r="DD431" t="str">
            <v>0</v>
          </cell>
          <cell r="DE431" t="str">
            <v>0</v>
          </cell>
          <cell r="DF431" t="str">
            <v>0</v>
          </cell>
          <cell r="DG431" t="str">
            <v>0</v>
          </cell>
          <cell r="DH431" t="str">
            <v>0</v>
          </cell>
          <cell r="DI431" t="str">
            <v>0</v>
          </cell>
          <cell r="DJ431" t="str">
            <v>0</v>
          </cell>
          <cell r="DK431" t="str">
            <v>0</v>
          </cell>
          <cell r="DL431" t="str">
            <v>0</v>
          </cell>
          <cell r="DM431" t="str">
            <v>0</v>
          </cell>
          <cell r="DN431" t="str">
            <v>0</v>
          </cell>
          <cell r="DO431" t="str">
            <v>0</v>
          </cell>
          <cell r="DP431" t="str">
            <v>0</v>
          </cell>
        </row>
        <row r="432">
          <cell r="C432"/>
          <cell r="D432" t="str">
            <v>0</v>
          </cell>
          <cell r="E432" t="str">
            <v>0</v>
          </cell>
          <cell r="F432" t="str">
            <v>0</v>
          </cell>
          <cell r="G432" t="str">
            <v>0</v>
          </cell>
          <cell r="H432" t="str">
            <v>0</v>
          </cell>
          <cell r="I432" t="str">
            <v>0</v>
          </cell>
          <cell r="J432" t="str">
            <v>0</v>
          </cell>
          <cell r="K432" t="str">
            <v>0</v>
          </cell>
          <cell r="L432" t="str">
            <v>0</v>
          </cell>
          <cell r="M432" t="str">
            <v>0</v>
          </cell>
          <cell r="N432" t="str">
            <v>0</v>
          </cell>
          <cell r="O432" t="str">
            <v>0</v>
          </cell>
          <cell r="P432" t="str">
            <v>0</v>
          </cell>
          <cell r="Q432" t="str">
            <v>0</v>
          </cell>
          <cell r="R432" t="str">
            <v>0</v>
          </cell>
          <cell r="S432" t="str">
            <v>0</v>
          </cell>
          <cell r="T432" t="str">
            <v>0</v>
          </cell>
          <cell r="U432" t="str">
            <v>0</v>
          </cell>
          <cell r="V432" t="str">
            <v>0</v>
          </cell>
          <cell r="W432" t="str">
            <v>0</v>
          </cell>
          <cell r="X432" t="str">
            <v>0</v>
          </cell>
          <cell r="Y432" t="str">
            <v>0</v>
          </cell>
          <cell r="Z432" t="str">
            <v>0</v>
          </cell>
          <cell r="AA432" t="str">
            <v>0</v>
          </cell>
          <cell r="AB432" t="str">
            <v>0</v>
          </cell>
          <cell r="AC432" t="str">
            <v>0</v>
          </cell>
          <cell r="AD432" t="str">
            <v>0</v>
          </cell>
          <cell r="AE432" t="str">
            <v>0</v>
          </cell>
          <cell r="AF432" t="str">
            <v>0</v>
          </cell>
          <cell r="AG432" t="str">
            <v>0</v>
          </cell>
          <cell r="AH432" t="str">
            <v>0</v>
          </cell>
          <cell r="AI432" t="str">
            <v>0</v>
          </cell>
          <cell r="AJ432" t="str">
            <v>0</v>
          </cell>
          <cell r="AK432" t="str">
            <v>0</v>
          </cell>
          <cell r="AL432" t="str">
            <v>0</v>
          </cell>
          <cell r="AM432" t="str">
            <v>0</v>
          </cell>
          <cell r="AN432" t="str">
            <v>0</v>
          </cell>
          <cell r="AO432" t="str">
            <v>0</v>
          </cell>
          <cell r="AP432" t="str">
            <v>0</v>
          </cell>
          <cell r="AQ432" t="str">
            <v>0</v>
          </cell>
          <cell r="AR432" t="str">
            <v>0</v>
          </cell>
          <cell r="AS432" t="str">
            <v>0</v>
          </cell>
          <cell r="AT432" t="str">
            <v>0</v>
          </cell>
          <cell r="AU432" t="str">
            <v>0</v>
          </cell>
          <cell r="AV432" t="str">
            <v>0</v>
          </cell>
          <cell r="AW432" t="str">
            <v>0</v>
          </cell>
          <cell r="AX432" t="str">
            <v>0</v>
          </cell>
          <cell r="AY432" t="str">
            <v>0</v>
          </cell>
          <cell r="AZ432" t="str">
            <v>0</v>
          </cell>
          <cell r="BA432" t="str">
            <v>0</v>
          </cell>
          <cell r="BB432" t="str">
            <v>0</v>
          </cell>
          <cell r="BC432" t="str">
            <v>0</v>
          </cell>
          <cell r="BD432" t="str">
            <v>0</v>
          </cell>
          <cell r="BE432" t="str">
            <v>0</v>
          </cell>
          <cell r="BF432" t="str">
            <v>0</v>
          </cell>
          <cell r="BG432" t="str">
            <v>0</v>
          </cell>
          <cell r="BH432" t="str">
            <v>0</v>
          </cell>
          <cell r="BI432" t="str">
            <v>0</v>
          </cell>
          <cell r="BJ432" t="str">
            <v>0</v>
          </cell>
          <cell r="BK432" t="str">
            <v>0</v>
          </cell>
          <cell r="BL432" t="str">
            <v>0</v>
          </cell>
          <cell r="BM432" t="str">
            <v>0</v>
          </cell>
          <cell r="BN432" t="str">
            <v>0</v>
          </cell>
          <cell r="BO432" t="str">
            <v>0</v>
          </cell>
          <cell r="BP432" t="str">
            <v>0</v>
          </cell>
          <cell r="BQ432" t="str">
            <v>0</v>
          </cell>
          <cell r="BR432" t="str">
            <v>0</v>
          </cell>
          <cell r="BS432" t="str">
            <v>0</v>
          </cell>
          <cell r="BT432" t="str">
            <v>0</v>
          </cell>
          <cell r="BU432" t="str">
            <v>0</v>
          </cell>
          <cell r="BV432" t="str">
            <v>0</v>
          </cell>
          <cell r="BW432" t="str">
            <v>0</v>
          </cell>
          <cell r="BX432" t="str">
            <v>0</v>
          </cell>
          <cell r="BY432" t="str">
            <v>0</v>
          </cell>
          <cell r="BZ432" t="str">
            <v>0</v>
          </cell>
          <cell r="CA432" t="str">
            <v>0</v>
          </cell>
          <cell r="CB432" t="str">
            <v>0</v>
          </cell>
          <cell r="CC432" t="str">
            <v>0</v>
          </cell>
          <cell r="CD432" t="str">
            <v>0</v>
          </cell>
          <cell r="CE432" t="str">
            <v>0</v>
          </cell>
          <cell r="CF432" t="str">
            <v>0</v>
          </cell>
          <cell r="CG432" t="str">
            <v>0</v>
          </cell>
          <cell r="CH432" t="str">
            <v>0</v>
          </cell>
          <cell r="CI432" t="str">
            <v>0</v>
          </cell>
          <cell r="CJ432" t="str">
            <v>0</v>
          </cell>
          <cell r="CK432" t="str">
            <v>0</v>
          </cell>
          <cell r="CL432" t="str">
            <v>0</v>
          </cell>
          <cell r="CM432" t="str">
            <v>0</v>
          </cell>
          <cell r="CN432" t="str">
            <v>0</v>
          </cell>
          <cell r="CO432" t="str">
            <v>0</v>
          </cell>
          <cell r="CP432" t="str">
            <v>0</v>
          </cell>
          <cell r="CQ432" t="str">
            <v>0</v>
          </cell>
          <cell r="CR432" t="str">
            <v>0</v>
          </cell>
          <cell r="CS432" t="str">
            <v>0</v>
          </cell>
          <cell r="CT432" t="str">
            <v>0</v>
          </cell>
          <cell r="CU432" t="str">
            <v>0</v>
          </cell>
          <cell r="CV432" t="str">
            <v>0</v>
          </cell>
          <cell r="CW432" t="str">
            <v>0</v>
          </cell>
          <cell r="CX432" t="str">
            <v>0</v>
          </cell>
          <cell r="CY432" t="str">
            <v>0</v>
          </cell>
          <cell r="CZ432" t="str">
            <v>0</v>
          </cell>
          <cell r="DA432" t="str">
            <v>0</v>
          </cell>
          <cell r="DB432" t="str">
            <v>0</v>
          </cell>
          <cell r="DC432" t="str">
            <v>0</v>
          </cell>
          <cell r="DD432" t="str">
            <v>0</v>
          </cell>
          <cell r="DE432" t="str">
            <v>0</v>
          </cell>
          <cell r="DF432" t="str">
            <v>0</v>
          </cell>
          <cell r="DG432" t="str">
            <v>0</v>
          </cell>
          <cell r="DH432" t="str">
            <v>0</v>
          </cell>
          <cell r="DI432" t="str">
            <v>0</v>
          </cell>
          <cell r="DJ432" t="str">
            <v>0</v>
          </cell>
          <cell r="DK432" t="str">
            <v>0</v>
          </cell>
          <cell r="DL432" t="str">
            <v>0</v>
          </cell>
          <cell r="DM432" t="str">
            <v>0</v>
          </cell>
          <cell r="DN432" t="str">
            <v>0</v>
          </cell>
          <cell r="DO432" t="str">
            <v>0</v>
          </cell>
          <cell r="DP432" t="str">
            <v>0</v>
          </cell>
        </row>
        <row r="433">
          <cell r="C433"/>
          <cell r="D433" t="str">
            <v>0</v>
          </cell>
          <cell r="E433" t="str">
            <v>0</v>
          </cell>
          <cell r="F433" t="str">
            <v>0</v>
          </cell>
          <cell r="G433" t="str">
            <v>0</v>
          </cell>
          <cell r="H433" t="str">
            <v>0</v>
          </cell>
          <cell r="I433" t="str">
            <v>0</v>
          </cell>
          <cell r="J433" t="str">
            <v>0</v>
          </cell>
          <cell r="K433" t="str">
            <v>0</v>
          </cell>
          <cell r="L433" t="str">
            <v>0</v>
          </cell>
          <cell r="M433" t="str">
            <v>0</v>
          </cell>
          <cell r="N433" t="str">
            <v>0</v>
          </cell>
          <cell r="O433" t="str">
            <v>0</v>
          </cell>
          <cell r="P433" t="str">
            <v>0</v>
          </cell>
          <cell r="Q433" t="str">
            <v>0</v>
          </cell>
          <cell r="R433" t="str">
            <v>0</v>
          </cell>
          <cell r="S433" t="str">
            <v>0</v>
          </cell>
          <cell r="T433" t="str">
            <v>0</v>
          </cell>
          <cell r="U433" t="str">
            <v>0</v>
          </cell>
          <cell r="V433" t="str">
            <v>0</v>
          </cell>
          <cell r="W433" t="str">
            <v>0</v>
          </cell>
          <cell r="X433" t="str">
            <v>0</v>
          </cell>
          <cell r="Y433" t="str">
            <v>0</v>
          </cell>
          <cell r="Z433" t="str">
            <v>0</v>
          </cell>
          <cell r="AA433" t="str">
            <v>0</v>
          </cell>
          <cell r="AB433" t="str">
            <v>0</v>
          </cell>
          <cell r="AC433" t="str">
            <v>0</v>
          </cell>
          <cell r="AD433" t="str">
            <v>0</v>
          </cell>
          <cell r="AE433" t="str">
            <v>0</v>
          </cell>
          <cell r="AF433" t="str">
            <v>0</v>
          </cell>
          <cell r="AG433" t="str">
            <v>0</v>
          </cell>
          <cell r="AH433" t="str">
            <v>0</v>
          </cell>
          <cell r="AI433" t="str">
            <v>0</v>
          </cell>
          <cell r="AJ433" t="str">
            <v>0</v>
          </cell>
          <cell r="AK433" t="str">
            <v>0</v>
          </cell>
          <cell r="AL433" t="str">
            <v>0</v>
          </cell>
          <cell r="AM433" t="str">
            <v>0</v>
          </cell>
          <cell r="AN433" t="str">
            <v>0</v>
          </cell>
          <cell r="AO433" t="str">
            <v>0</v>
          </cell>
          <cell r="AP433" t="str">
            <v>0</v>
          </cell>
          <cell r="AQ433" t="str">
            <v>0</v>
          </cell>
          <cell r="AR433" t="str">
            <v>0</v>
          </cell>
          <cell r="AS433" t="str">
            <v>0</v>
          </cell>
          <cell r="AT433" t="str">
            <v>0</v>
          </cell>
          <cell r="AU433" t="str">
            <v>0</v>
          </cell>
          <cell r="AV433" t="str">
            <v>0</v>
          </cell>
          <cell r="AW433" t="str">
            <v>0</v>
          </cell>
          <cell r="AX433" t="str">
            <v>0</v>
          </cell>
          <cell r="AY433" t="str">
            <v>0</v>
          </cell>
          <cell r="AZ433" t="str">
            <v>0</v>
          </cell>
          <cell r="BA433" t="str">
            <v>0</v>
          </cell>
          <cell r="BB433" t="str">
            <v>0</v>
          </cell>
          <cell r="BC433" t="str">
            <v>0</v>
          </cell>
          <cell r="BD433" t="str">
            <v>0</v>
          </cell>
          <cell r="BE433" t="str">
            <v>0</v>
          </cell>
          <cell r="BF433" t="str">
            <v>0</v>
          </cell>
          <cell r="BG433" t="str">
            <v>0</v>
          </cell>
          <cell r="BH433" t="str">
            <v>0</v>
          </cell>
          <cell r="BI433" t="str">
            <v>0</v>
          </cell>
          <cell r="BJ433" t="str">
            <v>0</v>
          </cell>
          <cell r="BK433" t="str">
            <v>0</v>
          </cell>
          <cell r="BL433" t="str">
            <v>0</v>
          </cell>
          <cell r="BM433" t="str">
            <v>0</v>
          </cell>
          <cell r="BN433" t="str">
            <v>0</v>
          </cell>
          <cell r="BO433" t="str">
            <v>0</v>
          </cell>
          <cell r="BP433" t="str">
            <v>0</v>
          </cell>
          <cell r="BQ433" t="str">
            <v>0</v>
          </cell>
          <cell r="BR433" t="str">
            <v>0</v>
          </cell>
          <cell r="BS433" t="str">
            <v>0</v>
          </cell>
          <cell r="BT433" t="str">
            <v>0</v>
          </cell>
          <cell r="BU433" t="str">
            <v>0</v>
          </cell>
          <cell r="BV433" t="str">
            <v>0</v>
          </cell>
          <cell r="BW433" t="str">
            <v>0</v>
          </cell>
          <cell r="BX433" t="str">
            <v>0</v>
          </cell>
          <cell r="BY433" t="str">
            <v>0</v>
          </cell>
          <cell r="BZ433" t="str">
            <v>0</v>
          </cell>
          <cell r="CA433" t="str">
            <v>0</v>
          </cell>
          <cell r="CB433" t="str">
            <v>0</v>
          </cell>
          <cell r="CC433" t="str">
            <v>0</v>
          </cell>
          <cell r="CD433" t="str">
            <v>0</v>
          </cell>
          <cell r="CE433" t="str">
            <v>0</v>
          </cell>
          <cell r="CF433" t="str">
            <v>0</v>
          </cell>
          <cell r="CG433" t="str">
            <v>0</v>
          </cell>
          <cell r="CH433" t="str">
            <v>0</v>
          </cell>
          <cell r="CI433" t="str">
            <v>0</v>
          </cell>
          <cell r="CJ433" t="str">
            <v>0</v>
          </cell>
          <cell r="CK433" t="str">
            <v>0</v>
          </cell>
          <cell r="CL433" t="str">
            <v>0</v>
          </cell>
          <cell r="CM433" t="str">
            <v>0</v>
          </cell>
          <cell r="CN433" t="str">
            <v>0</v>
          </cell>
          <cell r="CO433" t="str">
            <v>0</v>
          </cell>
          <cell r="CP433" t="str">
            <v>0</v>
          </cell>
          <cell r="CQ433" t="str">
            <v>0</v>
          </cell>
          <cell r="CR433" t="str">
            <v>0</v>
          </cell>
          <cell r="CS433" t="str">
            <v>0</v>
          </cell>
          <cell r="CT433" t="str">
            <v>0</v>
          </cell>
          <cell r="CU433" t="str">
            <v>0</v>
          </cell>
          <cell r="CV433" t="str">
            <v>0</v>
          </cell>
          <cell r="CW433" t="str">
            <v>0</v>
          </cell>
          <cell r="CX433" t="str">
            <v>0</v>
          </cell>
          <cell r="CY433" t="str">
            <v>0</v>
          </cell>
          <cell r="CZ433" t="str">
            <v>0</v>
          </cell>
          <cell r="DA433" t="str">
            <v>0</v>
          </cell>
          <cell r="DB433" t="str">
            <v>0</v>
          </cell>
          <cell r="DC433" t="str">
            <v>0</v>
          </cell>
          <cell r="DD433" t="str">
            <v>0</v>
          </cell>
          <cell r="DE433" t="str">
            <v>0</v>
          </cell>
          <cell r="DF433" t="str">
            <v>0</v>
          </cell>
          <cell r="DG433" t="str">
            <v>0</v>
          </cell>
          <cell r="DH433" t="str">
            <v>0</v>
          </cell>
          <cell r="DI433" t="str">
            <v>0</v>
          </cell>
          <cell r="DJ433" t="str">
            <v>0</v>
          </cell>
          <cell r="DK433" t="str">
            <v>0</v>
          </cell>
          <cell r="DL433" t="str">
            <v>0</v>
          </cell>
          <cell r="DM433" t="str">
            <v>0</v>
          </cell>
          <cell r="DN433" t="str">
            <v>0</v>
          </cell>
          <cell r="DO433" t="str">
            <v>0</v>
          </cell>
          <cell r="DP433" t="str">
            <v>0</v>
          </cell>
        </row>
        <row r="434">
          <cell r="C434"/>
          <cell r="D434" t="str">
            <v>0</v>
          </cell>
          <cell r="E434" t="str">
            <v>0</v>
          </cell>
          <cell r="F434" t="str">
            <v>0</v>
          </cell>
          <cell r="G434" t="str">
            <v>0</v>
          </cell>
          <cell r="H434" t="str">
            <v>0</v>
          </cell>
          <cell r="I434" t="str">
            <v>0</v>
          </cell>
          <cell r="J434" t="str">
            <v>0</v>
          </cell>
          <cell r="K434" t="str">
            <v>0</v>
          </cell>
          <cell r="L434" t="str">
            <v>0</v>
          </cell>
          <cell r="M434" t="str">
            <v>0</v>
          </cell>
          <cell r="N434" t="str">
            <v>0</v>
          </cell>
          <cell r="O434" t="str">
            <v>0</v>
          </cell>
          <cell r="P434" t="str">
            <v>0</v>
          </cell>
          <cell r="Q434" t="str">
            <v>0</v>
          </cell>
          <cell r="R434" t="str">
            <v>0</v>
          </cell>
          <cell r="S434" t="str">
            <v>0</v>
          </cell>
          <cell r="T434" t="str">
            <v>0</v>
          </cell>
          <cell r="U434" t="str">
            <v>0</v>
          </cell>
          <cell r="V434" t="str">
            <v>0</v>
          </cell>
          <cell r="W434" t="str">
            <v>0</v>
          </cell>
          <cell r="X434" t="str">
            <v>0</v>
          </cell>
          <cell r="Y434" t="str">
            <v>0</v>
          </cell>
          <cell r="Z434" t="str">
            <v>0</v>
          </cell>
          <cell r="AA434" t="str">
            <v>0</v>
          </cell>
          <cell r="AB434" t="str">
            <v>0</v>
          </cell>
          <cell r="AC434" t="str">
            <v>0</v>
          </cell>
          <cell r="AD434" t="str">
            <v>0</v>
          </cell>
          <cell r="AE434" t="str">
            <v>0</v>
          </cell>
          <cell r="AF434" t="str">
            <v>0</v>
          </cell>
          <cell r="AG434" t="str">
            <v>0</v>
          </cell>
          <cell r="AH434" t="str">
            <v>0</v>
          </cell>
          <cell r="AI434" t="str">
            <v>0</v>
          </cell>
          <cell r="AJ434" t="str">
            <v>0</v>
          </cell>
          <cell r="AK434" t="str">
            <v>0</v>
          </cell>
          <cell r="AL434" t="str">
            <v>0</v>
          </cell>
          <cell r="AM434" t="str">
            <v>0</v>
          </cell>
          <cell r="AN434" t="str">
            <v>0</v>
          </cell>
          <cell r="AO434" t="str">
            <v>0</v>
          </cell>
          <cell r="AP434" t="str">
            <v>0</v>
          </cell>
          <cell r="AQ434" t="str">
            <v>0</v>
          </cell>
          <cell r="AR434" t="str">
            <v>0</v>
          </cell>
          <cell r="AS434" t="str">
            <v>0</v>
          </cell>
          <cell r="AT434" t="str">
            <v>0</v>
          </cell>
          <cell r="AU434" t="str">
            <v>0</v>
          </cell>
          <cell r="AV434" t="str">
            <v>0</v>
          </cell>
          <cell r="AW434" t="str">
            <v>0</v>
          </cell>
          <cell r="AX434" t="str">
            <v>0</v>
          </cell>
          <cell r="AY434" t="str">
            <v>0</v>
          </cell>
          <cell r="AZ434" t="str">
            <v>0</v>
          </cell>
          <cell r="BA434" t="str">
            <v>0</v>
          </cell>
          <cell r="BB434" t="str">
            <v>0</v>
          </cell>
          <cell r="BC434" t="str">
            <v>0</v>
          </cell>
          <cell r="BD434" t="str">
            <v>0</v>
          </cell>
          <cell r="BE434" t="str">
            <v>0</v>
          </cell>
          <cell r="BF434" t="str">
            <v>0</v>
          </cell>
          <cell r="BG434" t="str">
            <v>0</v>
          </cell>
          <cell r="BH434" t="str">
            <v>0</v>
          </cell>
          <cell r="BI434" t="str">
            <v>0</v>
          </cell>
          <cell r="BJ434" t="str">
            <v>0</v>
          </cell>
          <cell r="BK434" t="str">
            <v>0</v>
          </cell>
          <cell r="BL434" t="str">
            <v>0</v>
          </cell>
          <cell r="BM434" t="str">
            <v>0</v>
          </cell>
          <cell r="BN434" t="str">
            <v>0</v>
          </cell>
          <cell r="BO434" t="str">
            <v>0</v>
          </cell>
          <cell r="BP434" t="str">
            <v>0</v>
          </cell>
          <cell r="BQ434" t="str">
            <v>0</v>
          </cell>
          <cell r="BR434" t="str">
            <v>0</v>
          </cell>
          <cell r="BS434" t="str">
            <v>0</v>
          </cell>
          <cell r="BT434" t="str">
            <v>0</v>
          </cell>
          <cell r="BU434" t="str">
            <v>0</v>
          </cell>
          <cell r="BV434" t="str">
            <v>0</v>
          </cell>
          <cell r="BW434" t="str">
            <v>0</v>
          </cell>
          <cell r="BX434" t="str">
            <v>0</v>
          </cell>
          <cell r="BY434" t="str">
            <v>0</v>
          </cell>
          <cell r="BZ434" t="str">
            <v>0</v>
          </cell>
          <cell r="CA434" t="str">
            <v>0</v>
          </cell>
          <cell r="CB434" t="str">
            <v>0</v>
          </cell>
          <cell r="CC434" t="str">
            <v>0</v>
          </cell>
          <cell r="CD434" t="str">
            <v>0</v>
          </cell>
          <cell r="CE434" t="str">
            <v>0</v>
          </cell>
          <cell r="CF434" t="str">
            <v>0</v>
          </cell>
          <cell r="CG434" t="str">
            <v>0</v>
          </cell>
          <cell r="CH434" t="str">
            <v>0</v>
          </cell>
          <cell r="CI434" t="str">
            <v>0</v>
          </cell>
          <cell r="CJ434" t="str">
            <v>0</v>
          </cell>
          <cell r="CK434" t="str">
            <v>0</v>
          </cell>
          <cell r="CL434" t="str">
            <v>0</v>
          </cell>
          <cell r="CM434" t="str">
            <v>0</v>
          </cell>
          <cell r="CN434" t="str">
            <v>0</v>
          </cell>
          <cell r="CO434" t="str">
            <v>0</v>
          </cell>
          <cell r="CP434" t="str">
            <v>0</v>
          </cell>
          <cell r="CQ434" t="str">
            <v>0</v>
          </cell>
          <cell r="CR434" t="str">
            <v>0</v>
          </cell>
          <cell r="CS434" t="str">
            <v>0</v>
          </cell>
          <cell r="CT434" t="str">
            <v>0</v>
          </cell>
          <cell r="CU434" t="str">
            <v>0</v>
          </cell>
          <cell r="CV434" t="str">
            <v>0</v>
          </cell>
          <cell r="CW434" t="str">
            <v>0</v>
          </cell>
          <cell r="CX434" t="str">
            <v>0</v>
          </cell>
          <cell r="CY434" t="str">
            <v>0</v>
          </cell>
          <cell r="CZ434" t="str">
            <v>0</v>
          </cell>
          <cell r="DA434" t="str">
            <v>0</v>
          </cell>
          <cell r="DB434" t="str">
            <v>0</v>
          </cell>
          <cell r="DC434" t="str">
            <v>0</v>
          </cell>
          <cell r="DD434" t="str">
            <v>0</v>
          </cell>
          <cell r="DE434" t="str">
            <v>0</v>
          </cell>
          <cell r="DF434" t="str">
            <v>0</v>
          </cell>
          <cell r="DG434" t="str">
            <v>0</v>
          </cell>
          <cell r="DH434" t="str">
            <v>0</v>
          </cell>
          <cell r="DI434" t="str">
            <v>0</v>
          </cell>
          <cell r="DJ434" t="str">
            <v>0</v>
          </cell>
          <cell r="DK434" t="str">
            <v>0</v>
          </cell>
          <cell r="DL434" t="str">
            <v>0</v>
          </cell>
          <cell r="DM434" t="str">
            <v>0</v>
          </cell>
          <cell r="DN434" t="str">
            <v>0</v>
          </cell>
          <cell r="DO434" t="str">
            <v>0</v>
          </cell>
          <cell r="DP434" t="str">
            <v>0</v>
          </cell>
        </row>
        <row r="435">
          <cell r="C435"/>
          <cell r="D435" t="str">
            <v>0</v>
          </cell>
          <cell r="E435" t="str">
            <v>0</v>
          </cell>
          <cell r="F435" t="str">
            <v>0</v>
          </cell>
          <cell r="G435" t="str">
            <v>0</v>
          </cell>
          <cell r="H435" t="str">
            <v>0</v>
          </cell>
          <cell r="I435" t="str">
            <v>0</v>
          </cell>
          <cell r="J435" t="str">
            <v>0</v>
          </cell>
          <cell r="K435" t="str">
            <v>0</v>
          </cell>
          <cell r="L435" t="str">
            <v>0</v>
          </cell>
          <cell r="M435" t="str">
            <v>0</v>
          </cell>
          <cell r="N435" t="str">
            <v>0</v>
          </cell>
          <cell r="O435" t="str">
            <v>0</v>
          </cell>
          <cell r="P435" t="str">
            <v>0</v>
          </cell>
          <cell r="Q435" t="str">
            <v>0</v>
          </cell>
          <cell r="R435" t="str">
            <v>0</v>
          </cell>
          <cell r="S435" t="str">
            <v>0</v>
          </cell>
          <cell r="T435" t="str">
            <v>0</v>
          </cell>
          <cell r="U435" t="str">
            <v>0</v>
          </cell>
          <cell r="V435" t="str">
            <v>0</v>
          </cell>
          <cell r="W435" t="str">
            <v>0</v>
          </cell>
          <cell r="X435" t="str">
            <v>0</v>
          </cell>
          <cell r="Y435" t="str">
            <v>0</v>
          </cell>
          <cell r="Z435" t="str">
            <v>0</v>
          </cell>
          <cell r="AA435" t="str">
            <v>0</v>
          </cell>
          <cell r="AB435" t="str">
            <v>0</v>
          </cell>
          <cell r="AC435" t="str">
            <v>0</v>
          </cell>
          <cell r="AD435" t="str">
            <v>0</v>
          </cell>
          <cell r="AE435" t="str">
            <v>0</v>
          </cell>
          <cell r="AF435" t="str">
            <v>0</v>
          </cell>
          <cell r="AG435" t="str">
            <v>0</v>
          </cell>
          <cell r="AH435" t="str">
            <v>0</v>
          </cell>
          <cell r="AI435" t="str">
            <v>0</v>
          </cell>
          <cell r="AJ435" t="str">
            <v>0</v>
          </cell>
          <cell r="AK435" t="str">
            <v>0</v>
          </cell>
          <cell r="AL435" t="str">
            <v>0</v>
          </cell>
          <cell r="AM435" t="str">
            <v>0</v>
          </cell>
          <cell r="AN435" t="str">
            <v>0</v>
          </cell>
          <cell r="AO435" t="str">
            <v>0</v>
          </cell>
          <cell r="AP435" t="str">
            <v>0</v>
          </cell>
          <cell r="AQ435" t="str">
            <v>0</v>
          </cell>
          <cell r="AR435" t="str">
            <v>0</v>
          </cell>
          <cell r="AS435" t="str">
            <v>0</v>
          </cell>
          <cell r="AT435" t="str">
            <v>0</v>
          </cell>
          <cell r="AU435" t="str">
            <v>0</v>
          </cell>
          <cell r="AV435" t="str">
            <v>0</v>
          </cell>
          <cell r="AW435" t="str">
            <v>0</v>
          </cell>
          <cell r="AX435" t="str">
            <v>0</v>
          </cell>
          <cell r="AY435" t="str">
            <v>0</v>
          </cell>
          <cell r="AZ435" t="str">
            <v>0</v>
          </cell>
          <cell r="BA435" t="str">
            <v>0</v>
          </cell>
          <cell r="BB435" t="str">
            <v>0</v>
          </cell>
          <cell r="BC435" t="str">
            <v>0</v>
          </cell>
          <cell r="BD435" t="str">
            <v>0</v>
          </cell>
          <cell r="BE435" t="str">
            <v>0</v>
          </cell>
          <cell r="BF435" t="str">
            <v>0</v>
          </cell>
          <cell r="BG435" t="str">
            <v>0</v>
          </cell>
          <cell r="BH435" t="str">
            <v>0</v>
          </cell>
          <cell r="BI435" t="str">
            <v>0</v>
          </cell>
          <cell r="BJ435" t="str">
            <v>0</v>
          </cell>
          <cell r="BK435" t="str">
            <v>0</v>
          </cell>
          <cell r="BL435" t="str">
            <v>0</v>
          </cell>
          <cell r="BM435" t="str">
            <v>0</v>
          </cell>
          <cell r="BN435" t="str">
            <v>0</v>
          </cell>
          <cell r="BO435" t="str">
            <v>0</v>
          </cell>
          <cell r="BP435" t="str">
            <v>0</v>
          </cell>
          <cell r="BQ435" t="str">
            <v>0</v>
          </cell>
          <cell r="BR435" t="str">
            <v>0</v>
          </cell>
          <cell r="BS435" t="str">
            <v>0</v>
          </cell>
          <cell r="BT435" t="str">
            <v>0</v>
          </cell>
          <cell r="BU435" t="str">
            <v>0</v>
          </cell>
          <cell r="BV435" t="str">
            <v>0</v>
          </cell>
          <cell r="BW435" t="str">
            <v>0</v>
          </cell>
          <cell r="BX435" t="str">
            <v>0</v>
          </cell>
          <cell r="BY435" t="str">
            <v>0</v>
          </cell>
          <cell r="BZ435" t="str">
            <v>0</v>
          </cell>
          <cell r="CA435" t="str">
            <v>0</v>
          </cell>
          <cell r="CB435" t="str">
            <v>0</v>
          </cell>
          <cell r="CC435" t="str">
            <v>0</v>
          </cell>
          <cell r="CD435" t="str">
            <v>0</v>
          </cell>
          <cell r="CE435" t="str">
            <v>0</v>
          </cell>
          <cell r="CF435" t="str">
            <v>0</v>
          </cell>
          <cell r="CG435" t="str">
            <v>0</v>
          </cell>
          <cell r="CH435" t="str">
            <v>0</v>
          </cell>
          <cell r="CI435" t="str">
            <v>0</v>
          </cell>
          <cell r="CJ435" t="str">
            <v>0</v>
          </cell>
          <cell r="CK435" t="str">
            <v>0</v>
          </cell>
          <cell r="CL435" t="str">
            <v>0</v>
          </cell>
          <cell r="CM435" t="str">
            <v>0</v>
          </cell>
          <cell r="CN435" t="str">
            <v>0</v>
          </cell>
          <cell r="CO435" t="str">
            <v>0</v>
          </cell>
          <cell r="CP435" t="str">
            <v>0</v>
          </cell>
          <cell r="CQ435" t="str">
            <v>0</v>
          </cell>
          <cell r="CR435" t="str">
            <v>0</v>
          </cell>
          <cell r="CS435" t="str">
            <v>0</v>
          </cell>
          <cell r="CT435" t="str">
            <v>0</v>
          </cell>
          <cell r="CU435" t="str">
            <v>0</v>
          </cell>
          <cell r="CV435" t="str">
            <v>0</v>
          </cell>
          <cell r="CW435" t="str">
            <v>0</v>
          </cell>
          <cell r="CX435" t="str">
            <v>0</v>
          </cell>
          <cell r="CY435" t="str">
            <v>0</v>
          </cell>
          <cell r="CZ435" t="str">
            <v>0</v>
          </cell>
          <cell r="DA435" t="str">
            <v>0</v>
          </cell>
          <cell r="DB435" t="str">
            <v>0</v>
          </cell>
          <cell r="DC435" t="str">
            <v>0</v>
          </cell>
          <cell r="DD435" t="str">
            <v>0</v>
          </cell>
          <cell r="DE435" t="str">
            <v>0</v>
          </cell>
          <cell r="DF435" t="str">
            <v>0</v>
          </cell>
          <cell r="DG435" t="str">
            <v>0</v>
          </cell>
          <cell r="DH435" t="str">
            <v>0</v>
          </cell>
          <cell r="DI435" t="str">
            <v>0</v>
          </cell>
          <cell r="DJ435" t="str">
            <v>0</v>
          </cell>
          <cell r="DK435" t="str">
            <v>0</v>
          </cell>
          <cell r="DL435" t="str">
            <v>0</v>
          </cell>
          <cell r="DM435" t="str">
            <v>0</v>
          </cell>
          <cell r="DN435" t="str">
            <v>0</v>
          </cell>
          <cell r="DO435" t="str">
            <v>0</v>
          </cell>
          <cell r="DP435" t="str">
            <v>0</v>
          </cell>
        </row>
        <row r="436">
          <cell r="C436"/>
          <cell r="D436" t="str">
            <v>0</v>
          </cell>
          <cell r="E436" t="str">
            <v>0</v>
          </cell>
          <cell r="F436" t="str">
            <v>0</v>
          </cell>
          <cell r="G436" t="str">
            <v>0</v>
          </cell>
          <cell r="H436" t="str">
            <v>0</v>
          </cell>
          <cell r="I436" t="str">
            <v>0</v>
          </cell>
          <cell r="J436" t="str">
            <v>0</v>
          </cell>
          <cell r="K436" t="str">
            <v>0</v>
          </cell>
          <cell r="L436" t="str">
            <v>0</v>
          </cell>
          <cell r="M436" t="str">
            <v>0</v>
          </cell>
          <cell r="N436" t="str">
            <v>0</v>
          </cell>
          <cell r="O436" t="str">
            <v>0</v>
          </cell>
          <cell r="P436" t="str">
            <v>0</v>
          </cell>
          <cell r="Q436" t="str">
            <v>0</v>
          </cell>
          <cell r="R436" t="str">
            <v>0</v>
          </cell>
          <cell r="S436" t="str">
            <v>0</v>
          </cell>
          <cell r="T436" t="str">
            <v>0</v>
          </cell>
          <cell r="U436" t="str">
            <v>0</v>
          </cell>
          <cell r="V436" t="str">
            <v>0</v>
          </cell>
          <cell r="W436" t="str">
            <v>0</v>
          </cell>
          <cell r="X436" t="str">
            <v>0</v>
          </cell>
          <cell r="Y436" t="str">
            <v>0</v>
          </cell>
          <cell r="Z436" t="str">
            <v>0</v>
          </cell>
          <cell r="AA436" t="str">
            <v>0</v>
          </cell>
          <cell r="AB436" t="str">
            <v>0</v>
          </cell>
          <cell r="AC436" t="str">
            <v>0</v>
          </cell>
          <cell r="AD436" t="str">
            <v>0</v>
          </cell>
          <cell r="AE436" t="str">
            <v>0</v>
          </cell>
          <cell r="AF436" t="str">
            <v>0</v>
          </cell>
          <cell r="AG436" t="str">
            <v>0</v>
          </cell>
          <cell r="AH436" t="str">
            <v>0</v>
          </cell>
          <cell r="AI436" t="str">
            <v>0</v>
          </cell>
          <cell r="AJ436" t="str">
            <v>0</v>
          </cell>
          <cell r="AK436" t="str">
            <v>0</v>
          </cell>
          <cell r="AL436" t="str">
            <v>0</v>
          </cell>
          <cell r="AM436" t="str">
            <v>0</v>
          </cell>
          <cell r="AN436" t="str">
            <v>0</v>
          </cell>
          <cell r="AO436" t="str">
            <v>0</v>
          </cell>
          <cell r="AP436" t="str">
            <v>0</v>
          </cell>
          <cell r="AQ436" t="str">
            <v>0</v>
          </cell>
          <cell r="AR436" t="str">
            <v>0</v>
          </cell>
          <cell r="AS436" t="str">
            <v>0</v>
          </cell>
          <cell r="AT436" t="str">
            <v>0</v>
          </cell>
          <cell r="AU436" t="str">
            <v>0</v>
          </cell>
          <cell r="AV436" t="str">
            <v>0</v>
          </cell>
          <cell r="AW436" t="str">
            <v>0</v>
          </cell>
          <cell r="AX436" t="str">
            <v>0</v>
          </cell>
          <cell r="AY436" t="str">
            <v>0</v>
          </cell>
          <cell r="AZ436" t="str">
            <v>0</v>
          </cell>
          <cell r="BA436" t="str">
            <v>0</v>
          </cell>
          <cell r="BB436" t="str">
            <v>0</v>
          </cell>
          <cell r="BC436" t="str">
            <v>0</v>
          </cell>
          <cell r="BD436" t="str">
            <v>0</v>
          </cell>
          <cell r="BE436" t="str">
            <v>0</v>
          </cell>
          <cell r="BF436" t="str">
            <v>0</v>
          </cell>
          <cell r="BG436" t="str">
            <v>0</v>
          </cell>
          <cell r="BH436" t="str">
            <v>0</v>
          </cell>
          <cell r="BI436" t="str">
            <v>0</v>
          </cell>
          <cell r="BJ436" t="str">
            <v>0</v>
          </cell>
          <cell r="BK436" t="str">
            <v>0</v>
          </cell>
          <cell r="BL436" t="str">
            <v>0</v>
          </cell>
          <cell r="BM436" t="str">
            <v>0</v>
          </cell>
          <cell r="BN436" t="str">
            <v>0</v>
          </cell>
          <cell r="BO436" t="str">
            <v>0</v>
          </cell>
          <cell r="BP436" t="str">
            <v>0</v>
          </cell>
          <cell r="BQ436" t="str">
            <v>0</v>
          </cell>
          <cell r="BR436" t="str">
            <v>0</v>
          </cell>
          <cell r="BS436" t="str">
            <v>0</v>
          </cell>
          <cell r="BT436" t="str">
            <v>0</v>
          </cell>
          <cell r="BU436" t="str">
            <v>0</v>
          </cell>
          <cell r="BV436" t="str">
            <v>0</v>
          </cell>
          <cell r="BW436" t="str">
            <v>0</v>
          </cell>
          <cell r="BX436" t="str">
            <v>0</v>
          </cell>
          <cell r="BY436" t="str">
            <v>0</v>
          </cell>
          <cell r="BZ436" t="str">
            <v>0</v>
          </cell>
          <cell r="CA436" t="str">
            <v>0</v>
          </cell>
          <cell r="CB436" t="str">
            <v>0</v>
          </cell>
          <cell r="CC436" t="str">
            <v>0</v>
          </cell>
          <cell r="CD436" t="str">
            <v>0</v>
          </cell>
          <cell r="CE436" t="str">
            <v>0</v>
          </cell>
          <cell r="CF436" t="str">
            <v>0</v>
          </cell>
          <cell r="CG436" t="str">
            <v>0</v>
          </cell>
          <cell r="CH436" t="str">
            <v>0</v>
          </cell>
          <cell r="CI436" t="str">
            <v>0</v>
          </cell>
          <cell r="CJ436" t="str">
            <v>0</v>
          </cell>
          <cell r="CK436" t="str">
            <v>0</v>
          </cell>
          <cell r="CL436" t="str">
            <v>0</v>
          </cell>
          <cell r="CM436" t="str">
            <v>0</v>
          </cell>
          <cell r="CN436" t="str">
            <v>0</v>
          </cell>
          <cell r="CO436" t="str">
            <v>0</v>
          </cell>
          <cell r="CP436" t="str">
            <v>0</v>
          </cell>
          <cell r="CQ436" t="str">
            <v>0</v>
          </cell>
          <cell r="CR436" t="str">
            <v>0</v>
          </cell>
          <cell r="CS436" t="str">
            <v>0</v>
          </cell>
          <cell r="CT436" t="str">
            <v>0</v>
          </cell>
          <cell r="CU436" t="str">
            <v>0</v>
          </cell>
          <cell r="CV436" t="str">
            <v>0</v>
          </cell>
          <cell r="CW436" t="str">
            <v>0</v>
          </cell>
          <cell r="CX436" t="str">
            <v>0</v>
          </cell>
          <cell r="CY436" t="str">
            <v>0</v>
          </cell>
          <cell r="CZ436" t="str">
            <v>0</v>
          </cell>
          <cell r="DA436" t="str">
            <v>0</v>
          </cell>
          <cell r="DB436" t="str">
            <v>0</v>
          </cell>
          <cell r="DC436" t="str">
            <v>0</v>
          </cell>
          <cell r="DD436" t="str">
            <v>0</v>
          </cell>
          <cell r="DE436" t="str">
            <v>0</v>
          </cell>
          <cell r="DF436" t="str">
            <v>0</v>
          </cell>
          <cell r="DG436" t="str">
            <v>0</v>
          </cell>
          <cell r="DH436" t="str">
            <v>0</v>
          </cell>
          <cell r="DI436" t="str">
            <v>0</v>
          </cell>
          <cell r="DJ436" t="str">
            <v>0</v>
          </cell>
          <cell r="DK436" t="str">
            <v>0</v>
          </cell>
          <cell r="DL436" t="str">
            <v>0</v>
          </cell>
          <cell r="DM436" t="str">
            <v>0</v>
          </cell>
          <cell r="DN436" t="str">
            <v>0</v>
          </cell>
          <cell r="DO436" t="str">
            <v>0</v>
          </cell>
          <cell r="DP436" t="str">
            <v>0</v>
          </cell>
        </row>
        <row r="437">
          <cell r="C437"/>
          <cell r="D437" t="str">
            <v>0</v>
          </cell>
          <cell r="E437" t="str">
            <v>0</v>
          </cell>
          <cell r="F437" t="str">
            <v>0</v>
          </cell>
          <cell r="G437" t="str">
            <v>0</v>
          </cell>
          <cell r="H437" t="str">
            <v>0</v>
          </cell>
          <cell r="I437" t="str">
            <v>0</v>
          </cell>
          <cell r="J437" t="str">
            <v>0</v>
          </cell>
          <cell r="K437" t="str">
            <v>0</v>
          </cell>
          <cell r="L437" t="str">
            <v>0</v>
          </cell>
          <cell r="M437" t="str">
            <v>0</v>
          </cell>
          <cell r="N437" t="str">
            <v>0</v>
          </cell>
          <cell r="O437" t="str">
            <v>0</v>
          </cell>
          <cell r="P437" t="str">
            <v>0</v>
          </cell>
          <cell r="Q437" t="str">
            <v>0</v>
          </cell>
          <cell r="R437" t="str">
            <v>0</v>
          </cell>
          <cell r="S437" t="str">
            <v>0</v>
          </cell>
          <cell r="T437" t="str">
            <v>0</v>
          </cell>
          <cell r="U437" t="str">
            <v>0</v>
          </cell>
          <cell r="V437" t="str">
            <v>0</v>
          </cell>
          <cell r="W437" t="str">
            <v>0</v>
          </cell>
          <cell r="X437" t="str">
            <v>0</v>
          </cell>
          <cell r="Y437" t="str">
            <v>0</v>
          </cell>
          <cell r="Z437" t="str">
            <v>0</v>
          </cell>
          <cell r="AA437" t="str">
            <v>0</v>
          </cell>
          <cell r="AB437" t="str">
            <v>0</v>
          </cell>
          <cell r="AC437" t="str">
            <v>0</v>
          </cell>
          <cell r="AD437" t="str">
            <v>0</v>
          </cell>
          <cell r="AE437" t="str">
            <v>0</v>
          </cell>
          <cell r="AF437" t="str">
            <v>0</v>
          </cell>
          <cell r="AG437" t="str">
            <v>0</v>
          </cell>
          <cell r="AH437" t="str">
            <v>0</v>
          </cell>
          <cell r="AI437" t="str">
            <v>0</v>
          </cell>
          <cell r="AJ437" t="str">
            <v>0</v>
          </cell>
          <cell r="AK437" t="str">
            <v>0</v>
          </cell>
          <cell r="AL437" t="str">
            <v>0</v>
          </cell>
          <cell r="AM437" t="str">
            <v>0</v>
          </cell>
          <cell r="AN437" t="str">
            <v>0</v>
          </cell>
          <cell r="AO437" t="str">
            <v>0</v>
          </cell>
          <cell r="AP437" t="str">
            <v>0</v>
          </cell>
          <cell r="AQ437" t="str">
            <v>0</v>
          </cell>
          <cell r="AR437" t="str">
            <v>0</v>
          </cell>
          <cell r="AS437" t="str">
            <v>0</v>
          </cell>
          <cell r="AT437" t="str">
            <v>0</v>
          </cell>
          <cell r="AU437" t="str">
            <v>0</v>
          </cell>
          <cell r="AV437" t="str">
            <v>0</v>
          </cell>
          <cell r="AW437" t="str">
            <v>0</v>
          </cell>
          <cell r="AX437" t="str">
            <v>0</v>
          </cell>
          <cell r="AY437" t="str">
            <v>0</v>
          </cell>
          <cell r="AZ437" t="str">
            <v>0</v>
          </cell>
          <cell r="BA437" t="str">
            <v>0</v>
          </cell>
          <cell r="BB437" t="str">
            <v>0</v>
          </cell>
          <cell r="BC437" t="str">
            <v>0</v>
          </cell>
          <cell r="BD437" t="str">
            <v>0</v>
          </cell>
          <cell r="BE437" t="str">
            <v>0</v>
          </cell>
          <cell r="BF437" t="str">
            <v>0</v>
          </cell>
          <cell r="BG437" t="str">
            <v>0</v>
          </cell>
          <cell r="BH437" t="str">
            <v>0</v>
          </cell>
          <cell r="BI437" t="str">
            <v>0</v>
          </cell>
          <cell r="BJ437" t="str">
            <v>0</v>
          </cell>
          <cell r="BK437" t="str">
            <v>0</v>
          </cell>
          <cell r="BL437" t="str">
            <v>0</v>
          </cell>
          <cell r="BM437" t="str">
            <v>0</v>
          </cell>
          <cell r="BN437" t="str">
            <v>0</v>
          </cell>
          <cell r="BO437" t="str">
            <v>0</v>
          </cell>
          <cell r="BP437" t="str">
            <v>0</v>
          </cell>
          <cell r="BQ437" t="str">
            <v>0</v>
          </cell>
          <cell r="BR437" t="str">
            <v>0</v>
          </cell>
          <cell r="BS437" t="str">
            <v>0</v>
          </cell>
          <cell r="BT437" t="str">
            <v>0</v>
          </cell>
          <cell r="BU437" t="str">
            <v>0</v>
          </cell>
          <cell r="BV437" t="str">
            <v>0</v>
          </cell>
          <cell r="BW437" t="str">
            <v>0</v>
          </cell>
          <cell r="BX437" t="str">
            <v>0</v>
          </cell>
          <cell r="BY437" t="str">
            <v>0</v>
          </cell>
          <cell r="BZ437" t="str">
            <v>0</v>
          </cell>
          <cell r="CA437" t="str">
            <v>0</v>
          </cell>
          <cell r="CB437" t="str">
            <v>0</v>
          </cell>
          <cell r="CC437" t="str">
            <v>0</v>
          </cell>
          <cell r="CD437" t="str">
            <v>0</v>
          </cell>
          <cell r="CE437" t="str">
            <v>0</v>
          </cell>
          <cell r="CF437" t="str">
            <v>0</v>
          </cell>
          <cell r="CG437" t="str">
            <v>0</v>
          </cell>
          <cell r="CH437" t="str">
            <v>0</v>
          </cell>
          <cell r="CI437" t="str">
            <v>0</v>
          </cell>
          <cell r="CJ437" t="str">
            <v>0</v>
          </cell>
          <cell r="CK437" t="str">
            <v>0</v>
          </cell>
          <cell r="CL437" t="str">
            <v>0</v>
          </cell>
          <cell r="CM437" t="str">
            <v>0</v>
          </cell>
          <cell r="CN437" t="str">
            <v>0</v>
          </cell>
          <cell r="CO437" t="str">
            <v>0</v>
          </cell>
          <cell r="CP437" t="str">
            <v>0</v>
          </cell>
          <cell r="CQ437" t="str">
            <v>0</v>
          </cell>
          <cell r="CR437" t="str">
            <v>0</v>
          </cell>
          <cell r="CS437" t="str">
            <v>0</v>
          </cell>
          <cell r="CT437" t="str">
            <v>0</v>
          </cell>
          <cell r="CU437" t="str">
            <v>0</v>
          </cell>
          <cell r="CV437" t="str">
            <v>0</v>
          </cell>
          <cell r="CW437" t="str">
            <v>0</v>
          </cell>
          <cell r="CX437" t="str">
            <v>0</v>
          </cell>
          <cell r="CY437" t="str">
            <v>0</v>
          </cell>
          <cell r="CZ437" t="str">
            <v>0</v>
          </cell>
          <cell r="DA437" t="str">
            <v>0</v>
          </cell>
          <cell r="DB437" t="str">
            <v>0</v>
          </cell>
          <cell r="DC437" t="str">
            <v>0</v>
          </cell>
          <cell r="DD437" t="str">
            <v>0</v>
          </cell>
          <cell r="DE437" t="str">
            <v>0</v>
          </cell>
          <cell r="DF437" t="str">
            <v>0</v>
          </cell>
          <cell r="DG437" t="str">
            <v>0</v>
          </cell>
          <cell r="DH437" t="str">
            <v>0</v>
          </cell>
          <cell r="DI437" t="str">
            <v>0</v>
          </cell>
          <cell r="DJ437" t="str">
            <v>0</v>
          </cell>
          <cell r="DK437" t="str">
            <v>0</v>
          </cell>
          <cell r="DL437" t="str">
            <v>0</v>
          </cell>
          <cell r="DM437" t="str">
            <v>0</v>
          </cell>
          <cell r="DN437" t="str">
            <v>0</v>
          </cell>
          <cell r="DO437" t="str">
            <v>0</v>
          </cell>
          <cell r="DP437" t="str">
            <v>0</v>
          </cell>
        </row>
        <row r="438">
          <cell r="C438"/>
          <cell r="D438" t="str">
            <v>0</v>
          </cell>
          <cell r="E438" t="str">
            <v>0</v>
          </cell>
          <cell r="F438" t="str">
            <v>0</v>
          </cell>
          <cell r="G438" t="str">
            <v>0</v>
          </cell>
          <cell r="H438" t="str">
            <v>0</v>
          </cell>
          <cell r="I438" t="str">
            <v>0</v>
          </cell>
          <cell r="J438" t="str">
            <v>0</v>
          </cell>
          <cell r="K438" t="str">
            <v>0</v>
          </cell>
          <cell r="L438" t="str">
            <v>0</v>
          </cell>
          <cell r="M438" t="str">
            <v>0</v>
          </cell>
          <cell r="N438" t="str">
            <v>0</v>
          </cell>
          <cell r="O438" t="str">
            <v>0</v>
          </cell>
          <cell r="P438" t="str">
            <v>0</v>
          </cell>
          <cell r="Q438" t="str">
            <v>0</v>
          </cell>
          <cell r="R438" t="str">
            <v>0</v>
          </cell>
          <cell r="S438" t="str">
            <v>0</v>
          </cell>
          <cell r="T438" t="str">
            <v>0</v>
          </cell>
          <cell r="U438" t="str">
            <v>0</v>
          </cell>
          <cell r="V438" t="str">
            <v>0</v>
          </cell>
          <cell r="W438" t="str">
            <v>0</v>
          </cell>
          <cell r="X438" t="str">
            <v>0</v>
          </cell>
          <cell r="Y438" t="str">
            <v>0</v>
          </cell>
          <cell r="Z438" t="str">
            <v>0</v>
          </cell>
          <cell r="AA438" t="str">
            <v>0</v>
          </cell>
          <cell r="AB438" t="str">
            <v>0</v>
          </cell>
          <cell r="AC438" t="str">
            <v>0</v>
          </cell>
          <cell r="AD438" t="str">
            <v>0</v>
          </cell>
          <cell r="AE438" t="str">
            <v>0</v>
          </cell>
          <cell r="AF438" t="str">
            <v>0</v>
          </cell>
          <cell r="AG438" t="str">
            <v>0</v>
          </cell>
          <cell r="AH438" t="str">
            <v>0</v>
          </cell>
          <cell r="AI438" t="str">
            <v>0</v>
          </cell>
          <cell r="AJ438" t="str">
            <v>0</v>
          </cell>
          <cell r="AK438" t="str">
            <v>0</v>
          </cell>
          <cell r="AL438" t="str">
            <v>0</v>
          </cell>
          <cell r="AM438" t="str">
            <v>0</v>
          </cell>
          <cell r="AN438" t="str">
            <v>0</v>
          </cell>
          <cell r="AO438" t="str">
            <v>0</v>
          </cell>
          <cell r="AP438" t="str">
            <v>0</v>
          </cell>
          <cell r="AQ438" t="str">
            <v>0</v>
          </cell>
          <cell r="AR438" t="str">
            <v>0</v>
          </cell>
          <cell r="AS438" t="str">
            <v>0</v>
          </cell>
          <cell r="AT438" t="str">
            <v>0</v>
          </cell>
          <cell r="AU438" t="str">
            <v>0</v>
          </cell>
          <cell r="AV438" t="str">
            <v>0</v>
          </cell>
          <cell r="AW438" t="str">
            <v>0</v>
          </cell>
          <cell r="AX438" t="str">
            <v>0</v>
          </cell>
          <cell r="AY438" t="str">
            <v>0</v>
          </cell>
          <cell r="AZ438" t="str">
            <v>0</v>
          </cell>
          <cell r="BA438" t="str">
            <v>0</v>
          </cell>
          <cell r="BB438" t="str">
            <v>0</v>
          </cell>
          <cell r="BC438" t="str">
            <v>0</v>
          </cell>
          <cell r="BD438" t="str">
            <v>0</v>
          </cell>
          <cell r="BE438" t="str">
            <v>0</v>
          </cell>
          <cell r="BF438" t="str">
            <v>0</v>
          </cell>
          <cell r="BG438" t="str">
            <v>0</v>
          </cell>
          <cell r="BH438" t="str">
            <v>0</v>
          </cell>
          <cell r="BI438" t="str">
            <v>0</v>
          </cell>
          <cell r="BJ438" t="str">
            <v>0</v>
          </cell>
          <cell r="BK438" t="str">
            <v>0</v>
          </cell>
          <cell r="BL438" t="str">
            <v>0</v>
          </cell>
          <cell r="BM438" t="str">
            <v>0</v>
          </cell>
          <cell r="BN438" t="str">
            <v>0</v>
          </cell>
          <cell r="BO438" t="str">
            <v>0</v>
          </cell>
          <cell r="BP438" t="str">
            <v>0</v>
          </cell>
          <cell r="BQ438" t="str">
            <v>0</v>
          </cell>
          <cell r="BR438" t="str">
            <v>0</v>
          </cell>
          <cell r="BS438" t="str">
            <v>0</v>
          </cell>
          <cell r="BT438" t="str">
            <v>0</v>
          </cell>
          <cell r="BU438" t="str">
            <v>0</v>
          </cell>
          <cell r="BV438" t="str">
            <v>0</v>
          </cell>
          <cell r="BW438" t="str">
            <v>0</v>
          </cell>
          <cell r="BX438" t="str">
            <v>0</v>
          </cell>
          <cell r="BY438" t="str">
            <v>0</v>
          </cell>
          <cell r="BZ438" t="str">
            <v>0</v>
          </cell>
          <cell r="CA438" t="str">
            <v>0</v>
          </cell>
          <cell r="CB438" t="str">
            <v>0</v>
          </cell>
          <cell r="CC438" t="str">
            <v>0</v>
          </cell>
          <cell r="CD438" t="str">
            <v>0</v>
          </cell>
          <cell r="CE438" t="str">
            <v>0</v>
          </cell>
          <cell r="CF438" t="str">
            <v>0</v>
          </cell>
          <cell r="CG438" t="str">
            <v>0</v>
          </cell>
          <cell r="CH438" t="str">
            <v>0</v>
          </cell>
          <cell r="CI438" t="str">
            <v>0</v>
          </cell>
          <cell r="CJ438" t="str">
            <v>0</v>
          </cell>
          <cell r="CK438" t="str">
            <v>0</v>
          </cell>
          <cell r="CL438" t="str">
            <v>0</v>
          </cell>
          <cell r="CM438" t="str">
            <v>0</v>
          </cell>
          <cell r="CN438" t="str">
            <v>0</v>
          </cell>
          <cell r="CO438" t="str">
            <v>0</v>
          </cell>
          <cell r="CP438" t="str">
            <v>0</v>
          </cell>
          <cell r="CQ438" t="str">
            <v>0</v>
          </cell>
          <cell r="CR438" t="str">
            <v>0</v>
          </cell>
          <cell r="CS438" t="str">
            <v>0</v>
          </cell>
          <cell r="CT438" t="str">
            <v>0</v>
          </cell>
          <cell r="CU438" t="str">
            <v>0</v>
          </cell>
          <cell r="CV438" t="str">
            <v>0</v>
          </cell>
          <cell r="CW438" t="str">
            <v>0</v>
          </cell>
          <cell r="CX438" t="str">
            <v>0</v>
          </cell>
          <cell r="CY438" t="str">
            <v>0</v>
          </cell>
          <cell r="CZ438" t="str">
            <v>0</v>
          </cell>
          <cell r="DA438" t="str">
            <v>0</v>
          </cell>
          <cell r="DB438" t="str">
            <v>0</v>
          </cell>
          <cell r="DC438" t="str">
            <v>0</v>
          </cell>
          <cell r="DD438" t="str">
            <v>0</v>
          </cell>
          <cell r="DE438" t="str">
            <v>0</v>
          </cell>
          <cell r="DF438" t="str">
            <v>0</v>
          </cell>
          <cell r="DG438" t="str">
            <v>0</v>
          </cell>
          <cell r="DH438" t="str">
            <v>0</v>
          </cell>
          <cell r="DI438" t="str">
            <v>0</v>
          </cell>
          <cell r="DJ438" t="str">
            <v>0</v>
          </cell>
          <cell r="DK438" t="str">
            <v>0</v>
          </cell>
          <cell r="DL438" t="str">
            <v>0</v>
          </cell>
          <cell r="DM438" t="str">
            <v>0</v>
          </cell>
          <cell r="DN438" t="str">
            <v>0</v>
          </cell>
          <cell r="DO438" t="str">
            <v>0</v>
          </cell>
          <cell r="DP438" t="str">
            <v>0</v>
          </cell>
        </row>
        <row r="439">
          <cell r="C439"/>
          <cell r="D439" t="str">
            <v>0</v>
          </cell>
          <cell r="E439" t="str">
            <v>0</v>
          </cell>
          <cell r="F439" t="str">
            <v>0</v>
          </cell>
          <cell r="G439" t="str">
            <v>0</v>
          </cell>
          <cell r="H439" t="str">
            <v>0</v>
          </cell>
          <cell r="I439" t="str">
            <v>0</v>
          </cell>
          <cell r="J439" t="str">
            <v>0</v>
          </cell>
          <cell r="K439" t="str">
            <v>0</v>
          </cell>
          <cell r="L439" t="str">
            <v>0</v>
          </cell>
          <cell r="M439" t="str">
            <v>0</v>
          </cell>
          <cell r="N439" t="str">
            <v>0</v>
          </cell>
          <cell r="O439" t="str">
            <v>0</v>
          </cell>
          <cell r="P439" t="str">
            <v>0</v>
          </cell>
          <cell r="Q439" t="str">
            <v>0</v>
          </cell>
          <cell r="R439" t="str">
            <v>0</v>
          </cell>
          <cell r="S439" t="str">
            <v>0</v>
          </cell>
          <cell r="T439" t="str">
            <v>0</v>
          </cell>
          <cell r="U439" t="str">
            <v>0</v>
          </cell>
          <cell r="V439" t="str">
            <v>0</v>
          </cell>
          <cell r="W439" t="str">
            <v>0</v>
          </cell>
          <cell r="X439" t="str">
            <v>0</v>
          </cell>
          <cell r="Y439" t="str">
            <v>0</v>
          </cell>
          <cell r="Z439" t="str">
            <v>0</v>
          </cell>
          <cell r="AA439" t="str">
            <v>0</v>
          </cell>
          <cell r="AB439" t="str">
            <v>0</v>
          </cell>
          <cell r="AC439" t="str">
            <v>0</v>
          </cell>
          <cell r="AD439" t="str">
            <v>0</v>
          </cell>
          <cell r="AE439" t="str">
            <v>0</v>
          </cell>
          <cell r="AF439" t="str">
            <v>0</v>
          </cell>
          <cell r="AG439" t="str">
            <v>0</v>
          </cell>
          <cell r="AH439" t="str">
            <v>0</v>
          </cell>
          <cell r="AI439" t="str">
            <v>0</v>
          </cell>
          <cell r="AJ439" t="str">
            <v>0</v>
          </cell>
          <cell r="AK439" t="str">
            <v>0</v>
          </cell>
          <cell r="AL439" t="str">
            <v>0</v>
          </cell>
          <cell r="AM439" t="str">
            <v>0</v>
          </cell>
          <cell r="AN439" t="str">
            <v>0</v>
          </cell>
          <cell r="AO439" t="str">
            <v>0</v>
          </cell>
          <cell r="AP439" t="str">
            <v>0</v>
          </cell>
          <cell r="AQ439" t="str">
            <v>0</v>
          </cell>
          <cell r="AR439" t="str">
            <v>0</v>
          </cell>
          <cell r="AS439" t="str">
            <v>0</v>
          </cell>
          <cell r="AT439" t="str">
            <v>0</v>
          </cell>
          <cell r="AU439" t="str">
            <v>0</v>
          </cell>
          <cell r="AV439" t="str">
            <v>0</v>
          </cell>
          <cell r="AW439" t="str">
            <v>0</v>
          </cell>
          <cell r="AX439" t="str">
            <v>0</v>
          </cell>
          <cell r="AY439" t="str">
            <v>0</v>
          </cell>
          <cell r="AZ439" t="str">
            <v>0</v>
          </cell>
          <cell r="BA439" t="str">
            <v>0</v>
          </cell>
          <cell r="BB439" t="str">
            <v>0</v>
          </cell>
          <cell r="BC439" t="str">
            <v>0</v>
          </cell>
          <cell r="BD439" t="str">
            <v>0</v>
          </cell>
          <cell r="BE439" t="str">
            <v>0</v>
          </cell>
          <cell r="BF439" t="str">
            <v>0</v>
          </cell>
          <cell r="BG439" t="str">
            <v>0</v>
          </cell>
          <cell r="BH439" t="str">
            <v>0</v>
          </cell>
          <cell r="BI439" t="str">
            <v>0</v>
          </cell>
          <cell r="BJ439" t="str">
            <v>0</v>
          </cell>
          <cell r="BK439" t="str">
            <v>0</v>
          </cell>
          <cell r="BL439" t="str">
            <v>0</v>
          </cell>
          <cell r="BM439" t="str">
            <v>0</v>
          </cell>
          <cell r="BN439" t="str">
            <v>0</v>
          </cell>
          <cell r="BO439" t="str">
            <v>0</v>
          </cell>
          <cell r="BP439" t="str">
            <v>0</v>
          </cell>
          <cell r="BQ439" t="str">
            <v>0</v>
          </cell>
          <cell r="BR439" t="str">
            <v>0</v>
          </cell>
          <cell r="BS439" t="str">
            <v>0</v>
          </cell>
          <cell r="BT439" t="str">
            <v>0</v>
          </cell>
          <cell r="BU439" t="str">
            <v>0</v>
          </cell>
          <cell r="BV439" t="str">
            <v>0</v>
          </cell>
          <cell r="BW439" t="str">
            <v>0</v>
          </cell>
          <cell r="BX439" t="str">
            <v>0</v>
          </cell>
          <cell r="BY439" t="str">
            <v>0</v>
          </cell>
          <cell r="BZ439" t="str">
            <v>0</v>
          </cell>
          <cell r="CA439" t="str">
            <v>0</v>
          </cell>
          <cell r="CB439" t="str">
            <v>0</v>
          </cell>
          <cell r="CC439" t="str">
            <v>0</v>
          </cell>
          <cell r="CD439" t="str">
            <v>0</v>
          </cell>
          <cell r="CE439" t="str">
            <v>0</v>
          </cell>
          <cell r="CF439" t="str">
            <v>0</v>
          </cell>
          <cell r="CG439" t="str">
            <v>0</v>
          </cell>
          <cell r="CH439" t="str">
            <v>0</v>
          </cell>
          <cell r="CI439" t="str">
            <v>0</v>
          </cell>
          <cell r="CJ439" t="str">
            <v>0</v>
          </cell>
          <cell r="CK439" t="str">
            <v>0</v>
          </cell>
          <cell r="CL439" t="str">
            <v>0</v>
          </cell>
          <cell r="CM439" t="str">
            <v>0</v>
          </cell>
          <cell r="CN439" t="str">
            <v>0</v>
          </cell>
          <cell r="CO439" t="str">
            <v>0</v>
          </cell>
          <cell r="CP439" t="str">
            <v>0</v>
          </cell>
          <cell r="CQ439" t="str">
            <v>0</v>
          </cell>
          <cell r="CR439" t="str">
            <v>0</v>
          </cell>
          <cell r="CS439" t="str">
            <v>0</v>
          </cell>
          <cell r="CT439" t="str">
            <v>0</v>
          </cell>
          <cell r="CU439" t="str">
            <v>0</v>
          </cell>
          <cell r="CV439" t="str">
            <v>0</v>
          </cell>
          <cell r="CW439" t="str">
            <v>0</v>
          </cell>
          <cell r="CX439" t="str">
            <v>0</v>
          </cell>
          <cell r="CY439" t="str">
            <v>0</v>
          </cell>
          <cell r="CZ439" t="str">
            <v>0</v>
          </cell>
          <cell r="DA439" t="str">
            <v>0</v>
          </cell>
          <cell r="DB439" t="str">
            <v>0</v>
          </cell>
          <cell r="DC439" t="str">
            <v>0</v>
          </cell>
          <cell r="DD439" t="str">
            <v>0</v>
          </cell>
          <cell r="DE439" t="str">
            <v>0</v>
          </cell>
          <cell r="DF439" t="str">
            <v>0</v>
          </cell>
          <cell r="DG439" t="str">
            <v>0</v>
          </cell>
          <cell r="DH439" t="str">
            <v>0</v>
          </cell>
          <cell r="DI439" t="str">
            <v>0</v>
          </cell>
          <cell r="DJ439" t="str">
            <v>0</v>
          </cell>
          <cell r="DK439" t="str">
            <v>0</v>
          </cell>
          <cell r="DL439" t="str">
            <v>0</v>
          </cell>
          <cell r="DM439" t="str">
            <v>0</v>
          </cell>
          <cell r="DN439" t="str">
            <v>0</v>
          </cell>
          <cell r="DO439" t="str">
            <v>0</v>
          </cell>
          <cell r="DP439" t="str">
            <v>0</v>
          </cell>
        </row>
        <row r="440">
          <cell r="C440"/>
          <cell r="D440" t="str">
            <v>0</v>
          </cell>
          <cell r="E440" t="str">
            <v>0</v>
          </cell>
          <cell r="F440" t="str">
            <v>0</v>
          </cell>
          <cell r="G440" t="str">
            <v>0</v>
          </cell>
          <cell r="H440" t="str">
            <v>0</v>
          </cell>
          <cell r="I440" t="str">
            <v>0</v>
          </cell>
          <cell r="J440" t="str">
            <v>0</v>
          </cell>
          <cell r="K440" t="str">
            <v>0</v>
          </cell>
          <cell r="L440" t="str">
            <v>0</v>
          </cell>
          <cell r="M440" t="str">
            <v>0</v>
          </cell>
          <cell r="N440" t="str">
            <v>0</v>
          </cell>
          <cell r="O440" t="str">
            <v>0</v>
          </cell>
          <cell r="P440" t="str">
            <v>0</v>
          </cell>
          <cell r="Q440" t="str">
            <v>0</v>
          </cell>
          <cell r="R440" t="str">
            <v>0</v>
          </cell>
          <cell r="S440" t="str">
            <v>0</v>
          </cell>
          <cell r="T440" t="str">
            <v>0</v>
          </cell>
          <cell r="U440" t="str">
            <v>0</v>
          </cell>
          <cell r="V440" t="str">
            <v>0</v>
          </cell>
          <cell r="W440" t="str">
            <v>0</v>
          </cell>
          <cell r="X440" t="str">
            <v>0</v>
          </cell>
          <cell r="Y440" t="str">
            <v>0</v>
          </cell>
          <cell r="Z440" t="str">
            <v>0</v>
          </cell>
          <cell r="AA440" t="str">
            <v>0</v>
          </cell>
          <cell r="AB440" t="str">
            <v>0</v>
          </cell>
          <cell r="AC440" t="str">
            <v>0</v>
          </cell>
          <cell r="AD440" t="str">
            <v>0</v>
          </cell>
          <cell r="AE440" t="str">
            <v>0</v>
          </cell>
          <cell r="AF440" t="str">
            <v>0</v>
          </cell>
          <cell r="AG440" t="str">
            <v>0</v>
          </cell>
          <cell r="AH440" t="str">
            <v>0</v>
          </cell>
          <cell r="AI440" t="str">
            <v>0</v>
          </cell>
          <cell r="AJ440" t="str">
            <v>0</v>
          </cell>
          <cell r="AK440" t="str">
            <v>0</v>
          </cell>
          <cell r="AL440" t="str">
            <v>0</v>
          </cell>
          <cell r="AM440" t="str">
            <v>0</v>
          </cell>
          <cell r="AN440" t="str">
            <v>0</v>
          </cell>
          <cell r="AO440" t="str">
            <v>0</v>
          </cell>
          <cell r="AP440" t="str">
            <v>0</v>
          </cell>
          <cell r="AQ440" t="str">
            <v>0</v>
          </cell>
          <cell r="AR440" t="str">
            <v>0</v>
          </cell>
          <cell r="AS440" t="str">
            <v>0</v>
          </cell>
          <cell r="AT440" t="str">
            <v>0</v>
          </cell>
          <cell r="AU440" t="str">
            <v>0</v>
          </cell>
          <cell r="AV440" t="str">
            <v>0</v>
          </cell>
          <cell r="AW440" t="str">
            <v>0</v>
          </cell>
          <cell r="AX440" t="str">
            <v>0</v>
          </cell>
          <cell r="AY440" t="str">
            <v>0</v>
          </cell>
          <cell r="AZ440" t="str">
            <v>0</v>
          </cell>
          <cell r="BA440" t="str">
            <v>0</v>
          </cell>
          <cell r="BB440" t="str">
            <v>0</v>
          </cell>
          <cell r="BC440" t="str">
            <v>0</v>
          </cell>
          <cell r="BD440" t="str">
            <v>0</v>
          </cell>
          <cell r="BE440" t="str">
            <v>0</v>
          </cell>
          <cell r="BF440" t="str">
            <v>0</v>
          </cell>
          <cell r="BG440" t="str">
            <v>0</v>
          </cell>
          <cell r="BH440" t="str">
            <v>0</v>
          </cell>
          <cell r="BI440" t="str">
            <v>0</v>
          </cell>
          <cell r="BJ440" t="str">
            <v>0</v>
          </cell>
          <cell r="BK440" t="str">
            <v>0</v>
          </cell>
          <cell r="BL440" t="str">
            <v>0</v>
          </cell>
          <cell r="BM440" t="str">
            <v>0</v>
          </cell>
          <cell r="BN440" t="str">
            <v>0</v>
          </cell>
          <cell r="BO440" t="str">
            <v>0</v>
          </cell>
          <cell r="BP440" t="str">
            <v>0</v>
          </cell>
          <cell r="BQ440" t="str">
            <v>0</v>
          </cell>
          <cell r="BR440" t="str">
            <v>0</v>
          </cell>
          <cell r="BS440" t="str">
            <v>0</v>
          </cell>
          <cell r="BT440" t="str">
            <v>0</v>
          </cell>
          <cell r="BU440" t="str">
            <v>0</v>
          </cell>
          <cell r="BV440" t="str">
            <v>0</v>
          </cell>
          <cell r="BW440" t="str">
            <v>0</v>
          </cell>
          <cell r="BX440" t="str">
            <v>0</v>
          </cell>
          <cell r="BY440" t="str">
            <v>0</v>
          </cell>
          <cell r="BZ440" t="str">
            <v>0</v>
          </cell>
          <cell r="CA440" t="str">
            <v>0</v>
          </cell>
          <cell r="CB440" t="str">
            <v>0</v>
          </cell>
          <cell r="CC440" t="str">
            <v>0</v>
          </cell>
          <cell r="CD440" t="str">
            <v>0</v>
          </cell>
          <cell r="CE440" t="str">
            <v>0</v>
          </cell>
          <cell r="CF440" t="str">
            <v>0</v>
          </cell>
          <cell r="CG440" t="str">
            <v>0</v>
          </cell>
          <cell r="CH440" t="str">
            <v>0</v>
          </cell>
          <cell r="CI440" t="str">
            <v>0</v>
          </cell>
          <cell r="CJ440" t="str">
            <v>0</v>
          </cell>
          <cell r="CK440" t="str">
            <v>0</v>
          </cell>
          <cell r="CL440" t="str">
            <v>0</v>
          </cell>
          <cell r="CM440" t="str">
            <v>0</v>
          </cell>
          <cell r="CN440" t="str">
            <v>0</v>
          </cell>
          <cell r="CO440" t="str">
            <v>0</v>
          </cell>
          <cell r="CP440" t="str">
            <v>0</v>
          </cell>
          <cell r="CQ440" t="str">
            <v>0</v>
          </cell>
          <cell r="CR440" t="str">
            <v>0</v>
          </cell>
          <cell r="CS440" t="str">
            <v>0</v>
          </cell>
          <cell r="CT440" t="str">
            <v>0</v>
          </cell>
          <cell r="CU440" t="str">
            <v>0</v>
          </cell>
          <cell r="CV440" t="str">
            <v>0</v>
          </cell>
          <cell r="CW440" t="str">
            <v>0</v>
          </cell>
          <cell r="CX440" t="str">
            <v>0</v>
          </cell>
          <cell r="CY440" t="str">
            <v>0</v>
          </cell>
          <cell r="CZ440" t="str">
            <v>0</v>
          </cell>
          <cell r="DA440" t="str">
            <v>0</v>
          </cell>
          <cell r="DB440" t="str">
            <v>0</v>
          </cell>
          <cell r="DC440" t="str">
            <v>0</v>
          </cell>
          <cell r="DD440" t="str">
            <v>0</v>
          </cell>
          <cell r="DE440" t="str">
            <v>0</v>
          </cell>
          <cell r="DF440" t="str">
            <v>0</v>
          </cell>
          <cell r="DG440" t="str">
            <v>0</v>
          </cell>
          <cell r="DH440" t="str">
            <v>0</v>
          </cell>
          <cell r="DI440" t="str">
            <v>0</v>
          </cell>
          <cell r="DJ440" t="str">
            <v>0</v>
          </cell>
          <cell r="DK440" t="str">
            <v>0</v>
          </cell>
          <cell r="DL440" t="str">
            <v>0</v>
          </cell>
          <cell r="DM440" t="str">
            <v>0</v>
          </cell>
          <cell r="DN440" t="str">
            <v>0</v>
          </cell>
          <cell r="DO440" t="str">
            <v>0</v>
          </cell>
          <cell r="DP440" t="str">
            <v>0</v>
          </cell>
        </row>
        <row r="441">
          <cell r="C441"/>
          <cell r="D441" t="str">
            <v>0</v>
          </cell>
          <cell r="E441" t="str">
            <v>0</v>
          </cell>
          <cell r="F441" t="str">
            <v>0</v>
          </cell>
          <cell r="G441" t="str">
            <v>0</v>
          </cell>
          <cell r="H441" t="str">
            <v>0</v>
          </cell>
          <cell r="I441" t="str">
            <v>0</v>
          </cell>
          <cell r="J441" t="str">
            <v>0</v>
          </cell>
          <cell r="K441" t="str">
            <v>0</v>
          </cell>
          <cell r="L441" t="str">
            <v>0</v>
          </cell>
          <cell r="M441" t="str">
            <v>0</v>
          </cell>
          <cell r="N441" t="str">
            <v>0</v>
          </cell>
          <cell r="O441" t="str">
            <v>0</v>
          </cell>
          <cell r="P441" t="str">
            <v>0</v>
          </cell>
          <cell r="Q441" t="str">
            <v>0</v>
          </cell>
          <cell r="R441" t="str">
            <v>0</v>
          </cell>
          <cell r="S441" t="str">
            <v>0</v>
          </cell>
          <cell r="T441" t="str">
            <v>0</v>
          </cell>
          <cell r="U441" t="str">
            <v>0</v>
          </cell>
          <cell r="V441" t="str">
            <v>0</v>
          </cell>
          <cell r="W441" t="str">
            <v>0</v>
          </cell>
          <cell r="X441" t="str">
            <v>0</v>
          </cell>
          <cell r="Y441" t="str">
            <v>0</v>
          </cell>
          <cell r="Z441" t="str">
            <v>0</v>
          </cell>
          <cell r="AA441" t="str">
            <v>0</v>
          </cell>
          <cell r="AB441" t="str">
            <v>0</v>
          </cell>
          <cell r="AC441" t="str">
            <v>0</v>
          </cell>
          <cell r="AD441" t="str">
            <v>0</v>
          </cell>
          <cell r="AE441" t="str">
            <v>0</v>
          </cell>
          <cell r="AF441" t="str">
            <v>0</v>
          </cell>
          <cell r="AG441" t="str">
            <v>0</v>
          </cell>
          <cell r="AH441" t="str">
            <v>0</v>
          </cell>
          <cell r="AI441" t="str">
            <v>0</v>
          </cell>
          <cell r="AJ441" t="str">
            <v>0</v>
          </cell>
          <cell r="AK441" t="str">
            <v>0</v>
          </cell>
          <cell r="AL441" t="str">
            <v>0</v>
          </cell>
          <cell r="AM441" t="str">
            <v>0</v>
          </cell>
          <cell r="AN441" t="str">
            <v>0</v>
          </cell>
          <cell r="AO441" t="str">
            <v>0</v>
          </cell>
          <cell r="AP441" t="str">
            <v>0</v>
          </cell>
          <cell r="AQ441" t="str">
            <v>0</v>
          </cell>
          <cell r="AR441" t="str">
            <v>0</v>
          </cell>
          <cell r="AS441" t="str">
            <v>0</v>
          </cell>
          <cell r="AT441" t="str">
            <v>0</v>
          </cell>
          <cell r="AU441" t="str">
            <v>0</v>
          </cell>
          <cell r="AV441" t="str">
            <v>0</v>
          </cell>
          <cell r="AW441" t="str">
            <v>0</v>
          </cell>
          <cell r="AX441" t="str">
            <v>0</v>
          </cell>
          <cell r="AY441" t="str">
            <v>0</v>
          </cell>
          <cell r="AZ441" t="str">
            <v>0</v>
          </cell>
          <cell r="BA441" t="str">
            <v>0</v>
          </cell>
          <cell r="BB441" t="str">
            <v>0</v>
          </cell>
          <cell r="BC441" t="str">
            <v>0</v>
          </cell>
          <cell r="BD441" t="str">
            <v>0</v>
          </cell>
          <cell r="BE441" t="str">
            <v>0</v>
          </cell>
          <cell r="BF441" t="str">
            <v>0</v>
          </cell>
          <cell r="BG441" t="str">
            <v>0</v>
          </cell>
          <cell r="BH441" t="str">
            <v>0</v>
          </cell>
          <cell r="BI441" t="str">
            <v>0</v>
          </cell>
          <cell r="BJ441" t="str">
            <v>0</v>
          </cell>
          <cell r="BK441" t="str">
            <v>0</v>
          </cell>
          <cell r="BL441" t="str">
            <v>0</v>
          </cell>
          <cell r="BM441" t="str">
            <v>0</v>
          </cell>
          <cell r="BN441" t="str">
            <v>0</v>
          </cell>
          <cell r="BO441" t="str">
            <v>0</v>
          </cell>
          <cell r="BP441" t="str">
            <v>0</v>
          </cell>
          <cell r="BQ441" t="str">
            <v>0</v>
          </cell>
          <cell r="BR441" t="str">
            <v>0</v>
          </cell>
          <cell r="BS441" t="str">
            <v>0</v>
          </cell>
          <cell r="BT441" t="str">
            <v>0</v>
          </cell>
          <cell r="BU441" t="str">
            <v>0</v>
          </cell>
          <cell r="BV441" t="str">
            <v>0</v>
          </cell>
          <cell r="BW441" t="str">
            <v>0</v>
          </cell>
          <cell r="BX441" t="str">
            <v>0</v>
          </cell>
          <cell r="BY441" t="str">
            <v>0</v>
          </cell>
          <cell r="BZ441" t="str">
            <v>0</v>
          </cell>
          <cell r="CA441" t="str">
            <v>0</v>
          </cell>
          <cell r="CB441" t="str">
            <v>0</v>
          </cell>
          <cell r="CC441" t="str">
            <v>0</v>
          </cell>
          <cell r="CD441" t="str">
            <v>0</v>
          </cell>
          <cell r="CE441" t="str">
            <v>0</v>
          </cell>
          <cell r="CF441" t="str">
            <v>0</v>
          </cell>
          <cell r="CG441" t="str">
            <v>0</v>
          </cell>
          <cell r="CH441" t="str">
            <v>0</v>
          </cell>
          <cell r="CI441" t="str">
            <v>0</v>
          </cell>
          <cell r="CJ441" t="str">
            <v>0</v>
          </cell>
          <cell r="CK441" t="str">
            <v>0</v>
          </cell>
          <cell r="CL441" t="str">
            <v>0</v>
          </cell>
          <cell r="CM441" t="str">
            <v>0</v>
          </cell>
          <cell r="CN441" t="str">
            <v>0</v>
          </cell>
          <cell r="CO441" t="str">
            <v>0</v>
          </cell>
          <cell r="CP441" t="str">
            <v>0</v>
          </cell>
          <cell r="CQ441" t="str">
            <v>0</v>
          </cell>
          <cell r="CR441" t="str">
            <v>0</v>
          </cell>
          <cell r="CS441" t="str">
            <v>0</v>
          </cell>
          <cell r="CT441" t="str">
            <v>0</v>
          </cell>
          <cell r="CU441" t="str">
            <v>0</v>
          </cell>
          <cell r="CV441" t="str">
            <v>0</v>
          </cell>
          <cell r="CW441" t="str">
            <v>0</v>
          </cell>
          <cell r="CX441" t="str">
            <v>0</v>
          </cell>
          <cell r="CY441" t="str">
            <v>0</v>
          </cell>
          <cell r="CZ441" t="str">
            <v>0</v>
          </cell>
          <cell r="DA441" t="str">
            <v>0</v>
          </cell>
          <cell r="DB441" t="str">
            <v>0</v>
          </cell>
          <cell r="DC441" t="str">
            <v>0</v>
          </cell>
          <cell r="DD441" t="str">
            <v>0</v>
          </cell>
          <cell r="DE441" t="str">
            <v>0</v>
          </cell>
          <cell r="DF441" t="str">
            <v>0</v>
          </cell>
          <cell r="DG441" t="str">
            <v>0</v>
          </cell>
          <cell r="DH441" t="str">
            <v>0</v>
          </cell>
          <cell r="DI441" t="str">
            <v>0</v>
          </cell>
          <cell r="DJ441" t="str">
            <v>0</v>
          </cell>
          <cell r="DK441" t="str">
            <v>0</v>
          </cell>
          <cell r="DL441" t="str">
            <v>0</v>
          </cell>
          <cell r="DM441" t="str">
            <v>0</v>
          </cell>
          <cell r="DN441" t="str">
            <v>0</v>
          </cell>
          <cell r="DO441" t="str">
            <v>0</v>
          </cell>
          <cell r="DP441" t="str">
            <v>0</v>
          </cell>
        </row>
        <row r="442">
          <cell r="C442"/>
          <cell r="D442" t="str">
            <v>0</v>
          </cell>
          <cell r="E442" t="str">
            <v>0</v>
          </cell>
          <cell r="F442" t="str">
            <v>0</v>
          </cell>
          <cell r="G442" t="str">
            <v>0</v>
          </cell>
          <cell r="H442" t="str">
            <v>0</v>
          </cell>
          <cell r="I442" t="str">
            <v>0</v>
          </cell>
          <cell r="J442" t="str">
            <v>0</v>
          </cell>
          <cell r="K442" t="str">
            <v>0</v>
          </cell>
          <cell r="L442" t="str">
            <v>0</v>
          </cell>
          <cell r="M442" t="str">
            <v>0</v>
          </cell>
          <cell r="N442" t="str">
            <v>0</v>
          </cell>
          <cell r="O442" t="str">
            <v>0</v>
          </cell>
          <cell r="P442" t="str">
            <v>0</v>
          </cell>
          <cell r="Q442" t="str">
            <v>0</v>
          </cell>
          <cell r="R442" t="str">
            <v>0</v>
          </cell>
          <cell r="S442" t="str">
            <v>0</v>
          </cell>
          <cell r="T442" t="str">
            <v>0</v>
          </cell>
          <cell r="U442" t="str">
            <v>0</v>
          </cell>
          <cell r="V442" t="str">
            <v>0</v>
          </cell>
          <cell r="W442" t="str">
            <v>0</v>
          </cell>
          <cell r="X442" t="str">
            <v>0</v>
          </cell>
          <cell r="Y442" t="str">
            <v>0</v>
          </cell>
          <cell r="Z442" t="str">
            <v>0</v>
          </cell>
          <cell r="AA442" t="str">
            <v>0</v>
          </cell>
          <cell r="AB442" t="str">
            <v>0</v>
          </cell>
          <cell r="AC442" t="str">
            <v>0</v>
          </cell>
          <cell r="AD442" t="str">
            <v>0</v>
          </cell>
          <cell r="AE442" t="str">
            <v>0</v>
          </cell>
          <cell r="AF442" t="str">
            <v>0</v>
          </cell>
          <cell r="AG442" t="str">
            <v>0</v>
          </cell>
          <cell r="AH442" t="str">
            <v>0</v>
          </cell>
          <cell r="AI442" t="str">
            <v>0</v>
          </cell>
          <cell r="AJ442" t="str">
            <v>0</v>
          </cell>
          <cell r="AK442" t="str">
            <v>0</v>
          </cell>
          <cell r="AL442" t="str">
            <v>0</v>
          </cell>
          <cell r="AM442" t="str">
            <v>0</v>
          </cell>
          <cell r="AN442" t="str">
            <v>0</v>
          </cell>
          <cell r="AO442" t="str">
            <v>0</v>
          </cell>
          <cell r="AP442" t="str">
            <v>0</v>
          </cell>
          <cell r="AQ442" t="str">
            <v>0</v>
          </cell>
          <cell r="AR442" t="str">
            <v>0</v>
          </cell>
          <cell r="AS442" t="str">
            <v>0</v>
          </cell>
          <cell r="AT442" t="str">
            <v>0</v>
          </cell>
          <cell r="AU442" t="str">
            <v>0</v>
          </cell>
          <cell r="AV442" t="str">
            <v>0</v>
          </cell>
          <cell r="AW442" t="str">
            <v>0</v>
          </cell>
          <cell r="AX442" t="str">
            <v>0</v>
          </cell>
          <cell r="AY442" t="str">
            <v>0</v>
          </cell>
          <cell r="AZ442" t="str">
            <v>0</v>
          </cell>
          <cell r="BA442" t="str">
            <v>0</v>
          </cell>
          <cell r="BB442" t="str">
            <v>0</v>
          </cell>
          <cell r="BC442" t="str">
            <v>0</v>
          </cell>
          <cell r="BD442" t="str">
            <v>0</v>
          </cell>
          <cell r="BE442" t="str">
            <v>0</v>
          </cell>
          <cell r="BF442" t="str">
            <v>0</v>
          </cell>
          <cell r="BG442" t="str">
            <v>0</v>
          </cell>
          <cell r="BH442" t="str">
            <v>0</v>
          </cell>
          <cell r="BI442" t="str">
            <v>0</v>
          </cell>
          <cell r="BJ442" t="str">
            <v>0</v>
          </cell>
          <cell r="BK442" t="str">
            <v>0</v>
          </cell>
          <cell r="BL442" t="str">
            <v>0</v>
          </cell>
          <cell r="BM442" t="str">
            <v>0</v>
          </cell>
          <cell r="BN442" t="str">
            <v>0</v>
          </cell>
          <cell r="BO442" t="str">
            <v>0</v>
          </cell>
          <cell r="BP442" t="str">
            <v>0</v>
          </cell>
          <cell r="BQ442" t="str">
            <v>0</v>
          </cell>
          <cell r="BR442" t="str">
            <v>0</v>
          </cell>
          <cell r="BS442" t="str">
            <v>0</v>
          </cell>
          <cell r="BT442" t="str">
            <v>0</v>
          </cell>
          <cell r="BU442" t="str">
            <v>0</v>
          </cell>
          <cell r="BV442" t="str">
            <v>0</v>
          </cell>
          <cell r="BW442" t="str">
            <v>0</v>
          </cell>
          <cell r="BX442" t="str">
            <v>0</v>
          </cell>
          <cell r="BY442" t="str">
            <v>0</v>
          </cell>
          <cell r="BZ442" t="str">
            <v>0</v>
          </cell>
          <cell r="CA442" t="str">
            <v>0</v>
          </cell>
          <cell r="CB442" t="str">
            <v>0</v>
          </cell>
          <cell r="CC442" t="str">
            <v>0</v>
          </cell>
          <cell r="CD442" t="str">
            <v>0</v>
          </cell>
          <cell r="CE442" t="str">
            <v>0</v>
          </cell>
          <cell r="CF442" t="str">
            <v>0</v>
          </cell>
          <cell r="CG442" t="str">
            <v>0</v>
          </cell>
          <cell r="CH442" t="str">
            <v>0</v>
          </cell>
          <cell r="CI442" t="str">
            <v>0</v>
          </cell>
          <cell r="CJ442" t="str">
            <v>0</v>
          </cell>
          <cell r="CK442" t="str">
            <v>0</v>
          </cell>
          <cell r="CL442" t="str">
            <v>0</v>
          </cell>
          <cell r="CM442" t="str">
            <v>0</v>
          </cell>
          <cell r="CN442" t="str">
            <v>0</v>
          </cell>
          <cell r="CO442" t="str">
            <v>0</v>
          </cell>
          <cell r="CP442" t="str">
            <v>0</v>
          </cell>
          <cell r="CQ442" t="str">
            <v>0</v>
          </cell>
          <cell r="CR442" t="str">
            <v>0</v>
          </cell>
          <cell r="CS442" t="str">
            <v>0</v>
          </cell>
          <cell r="CT442" t="str">
            <v>0</v>
          </cell>
          <cell r="CU442" t="str">
            <v>0</v>
          </cell>
          <cell r="CV442" t="str">
            <v>0</v>
          </cell>
          <cell r="CW442" t="str">
            <v>0</v>
          </cell>
          <cell r="CX442" t="str">
            <v>0</v>
          </cell>
          <cell r="CY442" t="str">
            <v>0</v>
          </cell>
          <cell r="CZ442" t="str">
            <v>0</v>
          </cell>
          <cell r="DA442" t="str">
            <v>0</v>
          </cell>
          <cell r="DB442" t="str">
            <v>0</v>
          </cell>
          <cell r="DC442" t="str">
            <v>0</v>
          </cell>
          <cell r="DD442" t="str">
            <v>0</v>
          </cell>
          <cell r="DE442" t="str">
            <v>0</v>
          </cell>
          <cell r="DF442" t="str">
            <v>0</v>
          </cell>
          <cell r="DG442" t="str">
            <v>0</v>
          </cell>
          <cell r="DH442" t="str">
            <v>0</v>
          </cell>
          <cell r="DI442" t="str">
            <v>0</v>
          </cell>
          <cell r="DJ442" t="str">
            <v>0</v>
          </cell>
          <cell r="DK442" t="str">
            <v>0</v>
          </cell>
          <cell r="DL442" t="str">
            <v>0</v>
          </cell>
          <cell r="DM442" t="str">
            <v>0</v>
          </cell>
          <cell r="DN442" t="str">
            <v>0</v>
          </cell>
          <cell r="DO442" t="str">
            <v>0</v>
          </cell>
          <cell r="DP442" t="str">
            <v>0</v>
          </cell>
        </row>
        <row r="443">
          <cell r="C443"/>
          <cell r="D443" t="str">
            <v>0</v>
          </cell>
          <cell r="E443" t="str">
            <v>0</v>
          </cell>
          <cell r="F443" t="str">
            <v>0</v>
          </cell>
          <cell r="G443" t="str">
            <v>0</v>
          </cell>
          <cell r="H443" t="str">
            <v>0</v>
          </cell>
          <cell r="I443" t="str">
            <v>0</v>
          </cell>
          <cell r="J443" t="str">
            <v>0</v>
          </cell>
          <cell r="K443" t="str">
            <v>0</v>
          </cell>
          <cell r="L443" t="str">
            <v>0</v>
          </cell>
          <cell r="M443" t="str">
            <v>0</v>
          </cell>
          <cell r="N443" t="str">
            <v>0</v>
          </cell>
          <cell r="O443" t="str">
            <v>0</v>
          </cell>
          <cell r="P443" t="str">
            <v>0</v>
          </cell>
          <cell r="Q443" t="str">
            <v>0</v>
          </cell>
          <cell r="R443" t="str">
            <v>0</v>
          </cell>
          <cell r="S443" t="str">
            <v>0</v>
          </cell>
          <cell r="T443" t="str">
            <v>0</v>
          </cell>
          <cell r="U443" t="str">
            <v>0</v>
          </cell>
          <cell r="V443" t="str">
            <v>0</v>
          </cell>
          <cell r="W443" t="str">
            <v>0</v>
          </cell>
          <cell r="X443" t="str">
            <v>0</v>
          </cell>
          <cell r="Y443" t="str">
            <v>0</v>
          </cell>
          <cell r="Z443" t="str">
            <v>0</v>
          </cell>
          <cell r="AA443" t="str">
            <v>0</v>
          </cell>
          <cell r="AB443" t="str">
            <v>0</v>
          </cell>
          <cell r="AC443" t="str">
            <v>0</v>
          </cell>
          <cell r="AD443" t="str">
            <v>0</v>
          </cell>
          <cell r="AE443" t="str">
            <v>0</v>
          </cell>
          <cell r="AF443" t="str">
            <v>0</v>
          </cell>
          <cell r="AG443" t="str">
            <v>0</v>
          </cell>
          <cell r="AH443" t="str">
            <v>0</v>
          </cell>
          <cell r="AI443" t="str">
            <v>0</v>
          </cell>
          <cell r="AJ443" t="str">
            <v>0</v>
          </cell>
          <cell r="AK443" t="str">
            <v>0</v>
          </cell>
          <cell r="AL443" t="str">
            <v>0</v>
          </cell>
          <cell r="AM443" t="str">
            <v>0</v>
          </cell>
          <cell r="AN443" t="str">
            <v>0</v>
          </cell>
          <cell r="AO443" t="str">
            <v>0</v>
          </cell>
          <cell r="AP443" t="str">
            <v>0</v>
          </cell>
          <cell r="AQ443" t="str">
            <v>0</v>
          </cell>
          <cell r="AR443" t="str">
            <v>0</v>
          </cell>
          <cell r="AS443" t="str">
            <v>0</v>
          </cell>
          <cell r="AT443" t="str">
            <v>0</v>
          </cell>
          <cell r="AU443" t="str">
            <v>0</v>
          </cell>
          <cell r="AV443" t="str">
            <v>0</v>
          </cell>
          <cell r="AW443" t="str">
            <v>0</v>
          </cell>
          <cell r="AX443" t="str">
            <v>0</v>
          </cell>
          <cell r="AY443" t="str">
            <v>0</v>
          </cell>
          <cell r="AZ443" t="str">
            <v>0</v>
          </cell>
          <cell r="BA443" t="str">
            <v>0</v>
          </cell>
          <cell r="BB443" t="str">
            <v>0</v>
          </cell>
          <cell r="BC443" t="str">
            <v>0</v>
          </cell>
          <cell r="BD443" t="str">
            <v>0</v>
          </cell>
          <cell r="BE443" t="str">
            <v>0</v>
          </cell>
          <cell r="BF443" t="str">
            <v>0</v>
          </cell>
          <cell r="BG443" t="str">
            <v>0</v>
          </cell>
          <cell r="BH443" t="str">
            <v>0</v>
          </cell>
          <cell r="BI443" t="str">
            <v>0</v>
          </cell>
          <cell r="BJ443" t="str">
            <v>0</v>
          </cell>
          <cell r="BK443" t="str">
            <v>0</v>
          </cell>
          <cell r="BL443" t="str">
            <v>0</v>
          </cell>
          <cell r="BM443" t="str">
            <v>0</v>
          </cell>
          <cell r="BN443" t="str">
            <v>0</v>
          </cell>
          <cell r="BO443" t="str">
            <v>0</v>
          </cell>
          <cell r="BP443" t="str">
            <v>0</v>
          </cell>
          <cell r="BQ443" t="str">
            <v>0</v>
          </cell>
          <cell r="BR443" t="str">
            <v>0</v>
          </cell>
          <cell r="BS443" t="str">
            <v>0</v>
          </cell>
          <cell r="BT443" t="str">
            <v>0</v>
          </cell>
          <cell r="BU443" t="str">
            <v>0</v>
          </cell>
          <cell r="BV443" t="str">
            <v>0</v>
          </cell>
          <cell r="BW443" t="str">
            <v>0</v>
          </cell>
          <cell r="BX443" t="str">
            <v>0</v>
          </cell>
          <cell r="BY443" t="str">
            <v>0</v>
          </cell>
          <cell r="BZ443" t="str">
            <v>0</v>
          </cell>
          <cell r="CA443" t="str">
            <v>0</v>
          </cell>
          <cell r="CB443" t="str">
            <v>0</v>
          </cell>
          <cell r="CC443" t="str">
            <v>0</v>
          </cell>
          <cell r="CD443" t="str">
            <v>0</v>
          </cell>
          <cell r="CE443" t="str">
            <v>0</v>
          </cell>
          <cell r="CF443" t="str">
            <v>0</v>
          </cell>
          <cell r="CG443" t="str">
            <v>0</v>
          </cell>
          <cell r="CH443" t="str">
            <v>0</v>
          </cell>
          <cell r="CI443" t="str">
            <v>0</v>
          </cell>
          <cell r="CJ443" t="str">
            <v>0</v>
          </cell>
          <cell r="CK443" t="str">
            <v>0</v>
          </cell>
          <cell r="CL443" t="str">
            <v>0</v>
          </cell>
          <cell r="CM443" t="str">
            <v>0</v>
          </cell>
          <cell r="CN443" t="str">
            <v>0</v>
          </cell>
          <cell r="CO443" t="str">
            <v>0</v>
          </cell>
          <cell r="CP443" t="str">
            <v>0</v>
          </cell>
          <cell r="CQ443" t="str">
            <v>0</v>
          </cell>
          <cell r="CR443" t="str">
            <v>0</v>
          </cell>
          <cell r="CS443" t="str">
            <v>0</v>
          </cell>
          <cell r="CT443" t="str">
            <v>0</v>
          </cell>
          <cell r="CU443" t="str">
            <v>0</v>
          </cell>
          <cell r="CV443" t="str">
            <v>0</v>
          </cell>
          <cell r="CW443" t="str">
            <v>0</v>
          </cell>
          <cell r="CX443" t="str">
            <v>0</v>
          </cell>
          <cell r="CY443" t="str">
            <v>0</v>
          </cell>
          <cell r="CZ443" t="str">
            <v>0</v>
          </cell>
          <cell r="DA443" t="str">
            <v>0</v>
          </cell>
          <cell r="DB443" t="str">
            <v>0</v>
          </cell>
          <cell r="DC443" t="str">
            <v>0</v>
          </cell>
          <cell r="DD443" t="str">
            <v>0</v>
          </cell>
          <cell r="DE443" t="str">
            <v>0</v>
          </cell>
          <cell r="DF443" t="str">
            <v>0</v>
          </cell>
          <cell r="DG443" t="str">
            <v>0</v>
          </cell>
          <cell r="DH443" t="str">
            <v>0</v>
          </cell>
          <cell r="DI443" t="str">
            <v>0</v>
          </cell>
          <cell r="DJ443" t="str">
            <v>0</v>
          </cell>
          <cell r="DK443" t="str">
            <v>0</v>
          </cell>
          <cell r="DL443" t="str">
            <v>0</v>
          </cell>
          <cell r="DM443" t="str">
            <v>0</v>
          </cell>
          <cell r="DN443" t="str">
            <v>0</v>
          </cell>
          <cell r="DO443" t="str">
            <v>0</v>
          </cell>
          <cell r="DP443" t="str">
            <v>0</v>
          </cell>
        </row>
        <row r="444">
          <cell r="C444"/>
          <cell r="D444" t="str">
            <v>0</v>
          </cell>
          <cell r="E444" t="str">
            <v>0</v>
          </cell>
          <cell r="F444" t="str">
            <v>0</v>
          </cell>
          <cell r="G444" t="str">
            <v>0</v>
          </cell>
          <cell r="H444" t="str">
            <v>0</v>
          </cell>
          <cell r="I444" t="str">
            <v>0</v>
          </cell>
          <cell r="J444" t="str">
            <v>0</v>
          </cell>
          <cell r="K444" t="str">
            <v>0</v>
          </cell>
          <cell r="L444" t="str">
            <v>0</v>
          </cell>
          <cell r="M444" t="str">
            <v>0</v>
          </cell>
          <cell r="N444" t="str">
            <v>0</v>
          </cell>
          <cell r="O444" t="str">
            <v>0</v>
          </cell>
          <cell r="P444" t="str">
            <v>0</v>
          </cell>
          <cell r="Q444" t="str">
            <v>0</v>
          </cell>
          <cell r="R444" t="str">
            <v>0</v>
          </cell>
          <cell r="S444" t="str">
            <v>0</v>
          </cell>
          <cell r="T444" t="str">
            <v>0</v>
          </cell>
          <cell r="U444" t="str">
            <v>0</v>
          </cell>
          <cell r="V444" t="str">
            <v>0</v>
          </cell>
          <cell r="W444" t="str">
            <v>0</v>
          </cell>
          <cell r="X444" t="str">
            <v>0</v>
          </cell>
          <cell r="Y444" t="str">
            <v>0</v>
          </cell>
          <cell r="Z444" t="str">
            <v>0</v>
          </cell>
          <cell r="AA444" t="str">
            <v>0</v>
          </cell>
          <cell r="AB444" t="str">
            <v>0</v>
          </cell>
          <cell r="AC444" t="str">
            <v>0</v>
          </cell>
          <cell r="AD444" t="str">
            <v>0</v>
          </cell>
          <cell r="AE444" t="str">
            <v>0</v>
          </cell>
          <cell r="AF444" t="str">
            <v>0</v>
          </cell>
          <cell r="AG444" t="str">
            <v>0</v>
          </cell>
          <cell r="AH444" t="str">
            <v>0</v>
          </cell>
          <cell r="AI444" t="str">
            <v>0</v>
          </cell>
          <cell r="AJ444" t="str">
            <v>0</v>
          </cell>
          <cell r="AK444" t="str">
            <v>0</v>
          </cell>
          <cell r="AL444" t="str">
            <v>0</v>
          </cell>
          <cell r="AM444" t="str">
            <v>0</v>
          </cell>
          <cell r="AN444" t="str">
            <v>0</v>
          </cell>
          <cell r="AO444" t="str">
            <v>0</v>
          </cell>
          <cell r="AP444" t="str">
            <v>0</v>
          </cell>
          <cell r="AQ444" t="str">
            <v>0</v>
          </cell>
          <cell r="AR444" t="str">
            <v>0</v>
          </cell>
          <cell r="AS444" t="str">
            <v>0</v>
          </cell>
          <cell r="AT444" t="str">
            <v>0</v>
          </cell>
          <cell r="AU444" t="str">
            <v>0</v>
          </cell>
          <cell r="AV444" t="str">
            <v>0</v>
          </cell>
          <cell r="AW444" t="str">
            <v>0</v>
          </cell>
          <cell r="AX444" t="str">
            <v>0</v>
          </cell>
          <cell r="AY444" t="str">
            <v>0</v>
          </cell>
          <cell r="AZ444" t="str">
            <v>0</v>
          </cell>
          <cell r="BA444" t="str">
            <v>0</v>
          </cell>
          <cell r="BB444" t="str">
            <v>0</v>
          </cell>
          <cell r="BC444" t="str">
            <v>0</v>
          </cell>
          <cell r="BD444" t="str">
            <v>0</v>
          </cell>
          <cell r="BE444" t="str">
            <v>0</v>
          </cell>
          <cell r="BF444" t="str">
            <v>0</v>
          </cell>
          <cell r="BG444" t="str">
            <v>0</v>
          </cell>
          <cell r="BH444" t="str">
            <v>0</v>
          </cell>
          <cell r="BI444" t="str">
            <v>0</v>
          </cell>
          <cell r="BJ444" t="str">
            <v>0</v>
          </cell>
          <cell r="BK444" t="str">
            <v>0</v>
          </cell>
          <cell r="BL444" t="str">
            <v>0</v>
          </cell>
          <cell r="BM444" t="str">
            <v>0</v>
          </cell>
          <cell r="BN444" t="str">
            <v>0</v>
          </cell>
          <cell r="BO444" t="str">
            <v>0</v>
          </cell>
          <cell r="BP444" t="str">
            <v>0</v>
          </cell>
          <cell r="BQ444" t="str">
            <v>0</v>
          </cell>
          <cell r="BR444" t="str">
            <v>0</v>
          </cell>
          <cell r="BS444" t="str">
            <v>0</v>
          </cell>
          <cell r="BT444" t="str">
            <v>0</v>
          </cell>
          <cell r="BU444" t="str">
            <v>0</v>
          </cell>
          <cell r="BV444" t="str">
            <v>0</v>
          </cell>
          <cell r="BW444" t="str">
            <v>0</v>
          </cell>
          <cell r="BX444" t="str">
            <v>0</v>
          </cell>
          <cell r="BY444" t="str">
            <v>0</v>
          </cell>
          <cell r="BZ444" t="str">
            <v>0</v>
          </cell>
          <cell r="CA444" t="str">
            <v>0</v>
          </cell>
          <cell r="CB444" t="str">
            <v>0</v>
          </cell>
          <cell r="CC444" t="str">
            <v>0</v>
          </cell>
          <cell r="CD444" t="str">
            <v>0</v>
          </cell>
          <cell r="CE444" t="str">
            <v>0</v>
          </cell>
          <cell r="CF444" t="str">
            <v>0</v>
          </cell>
          <cell r="CG444" t="str">
            <v>0</v>
          </cell>
          <cell r="CH444" t="str">
            <v>0</v>
          </cell>
          <cell r="CI444" t="str">
            <v>0</v>
          </cell>
          <cell r="CJ444" t="str">
            <v>0</v>
          </cell>
          <cell r="CK444" t="str">
            <v>0</v>
          </cell>
          <cell r="CL444" t="str">
            <v>0</v>
          </cell>
          <cell r="CM444" t="str">
            <v>0</v>
          </cell>
          <cell r="CN444" t="str">
            <v>0</v>
          </cell>
          <cell r="CO444" t="str">
            <v>0</v>
          </cell>
          <cell r="CP444" t="str">
            <v>0</v>
          </cell>
          <cell r="CQ444" t="str">
            <v>0</v>
          </cell>
          <cell r="CR444" t="str">
            <v>0</v>
          </cell>
          <cell r="CS444" t="str">
            <v>0</v>
          </cell>
          <cell r="CT444" t="str">
            <v>0</v>
          </cell>
          <cell r="CU444" t="str">
            <v>0</v>
          </cell>
          <cell r="CV444" t="str">
            <v>0</v>
          </cell>
          <cell r="CW444" t="str">
            <v>0</v>
          </cell>
          <cell r="CX444" t="str">
            <v>0</v>
          </cell>
          <cell r="CY444" t="str">
            <v>0</v>
          </cell>
          <cell r="CZ444" t="str">
            <v>0</v>
          </cell>
          <cell r="DA444" t="str">
            <v>0</v>
          </cell>
          <cell r="DB444" t="str">
            <v>0</v>
          </cell>
          <cell r="DC444" t="str">
            <v>0</v>
          </cell>
          <cell r="DD444" t="str">
            <v>0</v>
          </cell>
          <cell r="DE444" t="str">
            <v>0</v>
          </cell>
          <cell r="DF444" t="str">
            <v>0</v>
          </cell>
          <cell r="DG444" t="str">
            <v>0</v>
          </cell>
          <cell r="DH444" t="str">
            <v>0</v>
          </cell>
          <cell r="DI444" t="str">
            <v>0</v>
          </cell>
          <cell r="DJ444" t="str">
            <v>0</v>
          </cell>
          <cell r="DK444" t="str">
            <v>0</v>
          </cell>
          <cell r="DL444" t="str">
            <v>0</v>
          </cell>
          <cell r="DM444" t="str">
            <v>0</v>
          </cell>
          <cell r="DN444" t="str">
            <v>0</v>
          </cell>
          <cell r="DO444" t="str">
            <v>0</v>
          </cell>
          <cell r="DP444" t="str">
            <v>0</v>
          </cell>
        </row>
        <row r="445">
          <cell r="C445"/>
          <cell r="D445" t="str">
            <v>0</v>
          </cell>
          <cell r="E445" t="str">
            <v>0</v>
          </cell>
          <cell r="F445" t="str">
            <v>0</v>
          </cell>
          <cell r="G445" t="str">
            <v>0</v>
          </cell>
          <cell r="H445" t="str">
            <v>0</v>
          </cell>
          <cell r="I445" t="str">
            <v>0</v>
          </cell>
          <cell r="J445" t="str">
            <v>0</v>
          </cell>
          <cell r="K445" t="str">
            <v>0</v>
          </cell>
          <cell r="L445" t="str">
            <v>0</v>
          </cell>
          <cell r="M445" t="str">
            <v>0</v>
          </cell>
          <cell r="N445" t="str">
            <v>0</v>
          </cell>
          <cell r="O445" t="str">
            <v>0</v>
          </cell>
          <cell r="P445" t="str">
            <v>0</v>
          </cell>
          <cell r="Q445" t="str">
            <v>0</v>
          </cell>
          <cell r="R445" t="str">
            <v>0</v>
          </cell>
          <cell r="S445" t="str">
            <v>0</v>
          </cell>
          <cell r="T445" t="str">
            <v>0</v>
          </cell>
          <cell r="U445" t="str">
            <v>0</v>
          </cell>
          <cell r="V445" t="str">
            <v>0</v>
          </cell>
          <cell r="W445" t="str">
            <v>0</v>
          </cell>
          <cell r="X445" t="str">
            <v>0</v>
          </cell>
          <cell r="Y445" t="str">
            <v>0</v>
          </cell>
          <cell r="Z445" t="str">
            <v>0</v>
          </cell>
          <cell r="AA445" t="str">
            <v>0</v>
          </cell>
          <cell r="AB445" t="str">
            <v>0</v>
          </cell>
          <cell r="AC445" t="str">
            <v>0</v>
          </cell>
          <cell r="AD445" t="str">
            <v>0</v>
          </cell>
          <cell r="AE445" t="str">
            <v>0</v>
          </cell>
          <cell r="AF445" t="str">
            <v>0</v>
          </cell>
          <cell r="AG445" t="str">
            <v>0</v>
          </cell>
          <cell r="AH445" t="str">
            <v>0</v>
          </cell>
          <cell r="AI445" t="str">
            <v>0</v>
          </cell>
          <cell r="AJ445" t="str">
            <v>0</v>
          </cell>
          <cell r="AK445" t="str">
            <v>0</v>
          </cell>
          <cell r="AL445" t="str">
            <v>0</v>
          </cell>
          <cell r="AM445" t="str">
            <v>0</v>
          </cell>
          <cell r="AN445" t="str">
            <v>0</v>
          </cell>
          <cell r="AO445" t="str">
            <v>0</v>
          </cell>
          <cell r="AP445" t="str">
            <v>0</v>
          </cell>
          <cell r="AQ445" t="str">
            <v>0</v>
          </cell>
          <cell r="AR445" t="str">
            <v>0</v>
          </cell>
          <cell r="AS445" t="str">
            <v>0</v>
          </cell>
          <cell r="AT445" t="str">
            <v>0</v>
          </cell>
          <cell r="AU445" t="str">
            <v>0</v>
          </cell>
          <cell r="AV445" t="str">
            <v>0</v>
          </cell>
          <cell r="AW445" t="str">
            <v>0</v>
          </cell>
          <cell r="AX445" t="str">
            <v>0</v>
          </cell>
          <cell r="AY445" t="str">
            <v>0</v>
          </cell>
          <cell r="AZ445" t="str">
            <v>0</v>
          </cell>
          <cell r="BA445" t="str">
            <v>0</v>
          </cell>
          <cell r="BB445" t="str">
            <v>0</v>
          </cell>
          <cell r="BC445" t="str">
            <v>0</v>
          </cell>
          <cell r="BD445" t="str">
            <v>0</v>
          </cell>
          <cell r="BE445" t="str">
            <v>0</v>
          </cell>
          <cell r="BF445" t="str">
            <v>0</v>
          </cell>
          <cell r="BG445" t="str">
            <v>0</v>
          </cell>
          <cell r="BH445" t="str">
            <v>0</v>
          </cell>
          <cell r="BI445" t="str">
            <v>0</v>
          </cell>
          <cell r="BJ445" t="str">
            <v>0</v>
          </cell>
          <cell r="BK445" t="str">
            <v>0</v>
          </cell>
          <cell r="BL445" t="str">
            <v>0</v>
          </cell>
          <cell r="BM445" t="str">
            <v>0</v>
          </cell>
          <cell r="BN445" t="str">
            <v>0</v>
          </cell>
          <cell r="BO445" t="str">
            <v>0</v>
          </cell>
          <cell r="BP445" t="str">
            <v>0</v>
          </cell>
          <cell r="BQ445" t="str">
            <v>0</v>
          </cell>
          <cell r="BR445" t="str">
            <v>0</v>
          </cell>
          <cell r="BS445" t="str">
            <v>0</v>
          </cell>
          <cell r="BT445" t="str">
            <v>0</v>
          </cell>
          <cell r="BU445" t="str">
            <v>0</v>
          </cell>
          <cell r="BV445" t="str">
            <v>0</v>
          </cell>
          <cell r="BW445" t="str">
            <v>0</v>
          </cell>
          <cell r="BX445" t="str">
            <v>0</v>
          </cell>
          <cell r="BY445" t="str">
            <v>0</v>
          </cell>
          <cell r="BZ445" t="str">
            <v>0</v>
          </cell>
          <cell r="CA445" t="str">
            <v>0</v>
          </cell>
          <cell r="CB445" t="str">
            <v>0</v>
          </cell>
          <cell r="CC445" t="str">
            <v>0</v>
          </cell>
          <cell r="CD445" t="str">
            <v>0</v>
          </cell>
          <cell r="CE445" t="str">
            <v>0</v>
          </cell>
          <cell r="CF445" t="str">
            <v>0</v>
          </cell>
          <cell r="CG445" t="str">
            <v>0</v>
          </cell>
          <cell r="CH445" t="str">
            <v>0</v>
          </cell>
          <cell r="CI445" t="str">
            <v>0</v>
          </cell>
          <cell r="CJ445" t="str">
            <v>0</v>
          </cell>
          <cell r="CK445" t="str">
            <v>0</v>
          </cell>
          <cell r="CL445" t="str">
            <v>0</v>
          </cell>
          <cell r="CM445" t="str">
            <v>0</v>
          </cell>
          <cell r="CN445" t="str">
            <v>0</v>
          </cell>
          <cell r="CO445" t="str">
            <v>0</v>
          </cell>
          <cell r="CP445" t="str">
            <v>0</v>
          </cell>
          <cell r="CQ445" t="str">
            <v>0</v>
          </cell>
          <cell r="CR445" t="str">
            <v>0</v>
          </cell>
          <cell r="CS445" t="str">
            <v>0</v>
          </cell>
          <cell r="CT445" t="str">
            <v>0</v>
          </cell>
          <cell r="CU445" t="str">
            <v>0</v>
          </cell>
          <cell r="CV445" t="str">
            <v>0</v>
          </cell>
          <cell r="CW445" t="str">
            <v>0</v>
          </cell>
          <cell r="CX445" t="str">
            <v>0</v>
          </cell>
          <cell r="CY445" t="str">
            <v>0</v>
          </cell>
          <cell r="CZ445" t="str">
            <v>0</v>
          </cell>
          <cell r="DA445" t="str">
            <v>0</v>
          </cell>
          <cell r="DB445" t="str">
            <v>0</v>
          </cell>
          <cell r="DC445" t="str">
            <v>0</v>
          </cell>
          <cell r="DD445" t="str">
            <v>0</v>
          </cell>
          <cell r="DE445" t="str">
            <v>0</v>
          </cell>
          <cell r="DF445" t="str">
            <v>0</v>
          </cell>
          <cell r="DG445" t="str">
            <v>0</v>
          </cell>
          <cell r="DH445" t="str">
            <v>0</v>
          </cell>
          <cell r="DI445" t="str">
            <v>0</v>
          </cell>
          <cell r="DJ445" t="str">
            <v>0</v>
          </cell>
          <cell r="DK445" t="str">
            <v>0</v>
          </cell>
          <cell r="DL445" t="str">
            <v>0</v>
          </cell>
          <cell r="DM445" t="str">
            <v>0</v>
          </cell>
          <cell r="DN445" t="str">
            <v>0</v>
          </cell>
          <cell r="DO445" t="str">
            <v>0</v>
          </cell>
          <cell r="DP445" t="str">
            <v>0</v>
          </cell>
        </row>
        <row r="446">
          <cell r="C446"/>
          <cell r="D446" t="str">
            <v>0</v>
          </cell>
          <cell r="E446" t="str">
            <v>0</v>
          </cell>
          <cell r="F446" t="str">
            <v>0</v>
          </cell>
          <cell r="G446" t="str">
            <v>0</v>
          </cell>
          <cell r="H446" t="str">
            <v>0</v>
          </cell>
          <cell r="I446" t="str">
            <v>0</v>
          </cell>
          <cell r="J446" t="str">
            <v>0</v>
          </cell>
          <cell r="K446" t="str">
            <v>0</v>
          </cell>
          <cell r="L446" t="str">
            <v>0</v>
          </cell>
          <cell r="M446" t="str">
            <v>0</v>
          </cell>
          <cell r="N446" t="str">
            <v>0</v>
          </cell>
          <cell r="O446" t="str">
            <v>0</v>
          </cell>
          <cell r="P446" t="str">
            <v>0</v>
          </cell>
          <cell r="Q446" t="str">
            <v>0</v>
          </cell>
          <cell r="R446" t="str">
            <v>0</v>
          </cell>
          <cell r="S446" t="str">
            <v>0</v>
          </cell>
          <cell r="T446" t="str">
            <v>0</v>
          </cell>
          <cell r="U446" t="str">
            <v>0</v>
          </cell>
          <cell r="V446" t="str">
            <v>0</v>
          </cell>
          <cell r="W446" t="str">
            <v>0</v>
          </cell>
          <cell r="X446" t="str">
            <v>0</v>
          </cell>
          <cell r="Y446" t="str">
            <v>0</v>
          </cell>
          <cell r="Z446" t="str">
            <v>0</v>
          </cell>
          <cell r="AA446" t="str">
            <v>0</v>
          </cell>
          <cell r="AB446" t="str">
            <v>0</v>
          </cell>
          <cell r="AC446" t="str">
            <v>0</v>
          </cell>
          <cell r="AD446" t="str">
            <v>0</v>
          </cell>
          <cell r="AE446" t="str">
            <v>0</v>
          </cell>
          <cell r="AF446" t="str">
            <v>0</v>
          </cell>
          <cell r="AG446" t="str">
            <v>0</v>
          </cell>
          <cell r="AH446" t="str">
            <v>0</v>
          </cell>
          <cell r="AI446" t="str">
            <v>0</v>
          </cell>
          <cell r="AJ446" t="str">
            <v>0</v>
          </cell>
          <cell r="AK446" t="str">
            <v>0</v>
          </cell>
          <cell r="AL446" t="str">
            <v>0</v>
          </cell>
          <cell r="AM446" t="str">
            <v>0</v>
          </cell>
          <cell r="AN446" t="str">
            <v>0</v>
          </cell>
          <cell r="AO446" t="str">
            <v>0</v>
          </cell>
          <cell r="AP446" t="str">
            <v>0</v>
          </cell>
          <cell r="AQ446" t="str">
            <v>0</v>
          </cell>
          <cell r="AR446" t="str">
            <v>0</v>
          </cell>
          <cell r="AS446" t="str">
            <v>0</v>
          </cell>
          <cell r="AT446" t="str">
            <v>0</v>
          </cell>
          <cell r="AU446" t="str">
            <v>0</v>
          </cell>
          <cell r="AV446" t="str">
            <v>0</v>
          </cell>
          <cell r="AW446" t="str">
            <v>0</v>
          </cell>
          <cell r="AX446" t="str">
            <v>0</v>
          </cell>
          <cell r="AY446" t="str">
            <v>0</v>
          </cell>
          <cell r="AZ446" t="str">
            <v>0</v>
          </cell>
          <cell r="BA446" t="str">
            <v>0</v>
          </cell>
          <cell r="BB446" t="str">
            <v>0</v>
          </cell>
          <cell r="BC446" t="str">
            <v>0</v>
          </cell>
          <cell r="BD446" t="str">
            <v>0</v>
          </cell>
          <cell r="BE446" t="str">
            <v>0</v>
          </cell>
          <cell r="BF446" t="str">
            <v>0</v>
          </cell>
          <cell r="BG446" t="str">
            <v>0</v>
          </cell>
          <cell r="BH446" t="str">
            <v>0</v>
          </cell>
          <cell r="BI446" t="str">
            <v>0</v>
          </cell>
          <cell r="BJ446" t="str">
            <v>0</v>
          </cell>
          <cell r="BK446" t="str">
            <v>0</v>
          </cell>
          <cell r="BL446" t="str">
            <v>0</v>
          </cell>
          <cell r="BM446" t="str">
            <v>0</v>
          </cell>
          <cell r="BN446" t="str">
            <v>0</v>
          </cell>
          <cell r="BO446" t="str">
            <v>0</v>
          </cell>
          <cell r="BP446" t="str">
            <v>0</v>
          </cell>
          <cell r="BQ446" t="str">
            <v>0</v>
          </cell>
          <cell r="BR446" t="str">
            <v>0</v>
          </cell>
          <cell r="BS446" t="str">
            <v>0</v>
          </cell>
          <cell r="BT446" t="str">
            <v>0</v>
          </cell>
          <cell r="BU446" t="str">
            <v>0</v>
          </cell>
          <cell r="BV446" t="str">
            <v>0</v>
          </cell>
          <cell r="BW446" t="str">
            <v>0</v>
          </cell>
          <cell r="BX446" t="str">
            <v>0</v>
          </cell>
          <cell r="BY446" t="str">
            <v>0</v>
          </cell>
          <cell r="BZ446" t="str">
            <v>0</v>
          </cell>
          <cell r="CA446" t="str">
            <v>0</v>
          </cell>
          <cell r="CB446" t="str">
            <v>0</v>
          </cell>
          <cell r="CC446" t="str">
            <v>0</v>
          </cell>
          <cell r="CD446" t="str">
            <v>0</v>
          </cell>
          <cell r="CE446" t="str">
            <v>0</v>
          </cell>
          <cell r="CF446" t="str">
            <v>0</v>
          </cell>
          <cell r="CG446" t="str">
            <v>0</v>
          </cell>
          <cell r="CH446" t="str">
            <v>0</v>
          </cell>
          <cell r="CI446" t="str">
            <v>0</v>
          </cell>
          <cell r="CJ446" t="str">
            <v>0</v>
          </cell>
          <cell r="CK446" t="str">
            <v>0</v>
          </cell>
          <cell r="CL446" t="str">
            <v>0</v>
          </cell>
          <cell r="CM446" t="str">
            <v>0</v>
          </cell>
          <cell r="CN446" t="str">
            <v>0</v>
          </cell>
          <cell r="CO446" t="str">
            <v>0</v>
          </cell>
          <cell r="CP446" t="str">
            <v>0</v>
          </cell>
          <cell r="CQ446" t="str">
            <v>0</v>
          </cell>
          <cell r="CR446" t="str">
            <v>0</v>
          </cell>
          <cell r="CS446" t="str">
            <v>0</v>
          </cell>
          <cell r="CT446" t="str">
            <v>0</v>
          </cell>
          <cell r="CU446" t="str">
            <v>0</v>
          </cell>
          <cell r="CV446" t="str">
            <v>0</v>
          </cell>
          <cell r="CW446" t="str">
            <v>0</v>
          </cell>
          <cell r="CX446" t="str">
            <v>0</v>
          </cell>
          <cell r="CY446" t="str">
            <v>0</v>
          </cell>
          <cell r="CZ446" t="str">
            <v>0</v>
          </cell>
          <cell r="DA446" t="str">
            <v>0</v>
          </cell>
          <cell r="DB446" t="str">
            <v>0</v>
          </cell>
          <cell r="DC446" t="str">
            <v>0</v>
          </cell>
          <cell r="DD446" t="str">
            <v>0</v>
          </cell>
          <cell r="DE446" t="str">
            <v>0</v>
          </cell>
          <cell r="DF446" t="str">
            <v>0</v>
          </cell>
          <cell r="DG446" t="str">
            <v>0</v>
          </cell>
          <cell r="DH446" t="str">
            <v>0</v>
          </cell>
          <cell r="DI446" t="str">
            <v>0</v>
          </cell>
          <cell r="DJ446" t="str">
            <v>0</v>
          </cell>
          <cell r="DK446" t="str">
            <v>0</v>
          </cell>
          <cell r="DL446" t="str">
            <v>0</v>
          </cell>
          <cell r="DM446" t="str">
            <v>0</v>
          </cell>
          <cell r="DN446" t="str">
            <v>0</v>
          </cell>
          <cell r="DO446" t="str">
            <v>0</v>
          </cell>
          <cell r="DP446" t="str">
            <v>0</v>
          </cell>
        </row>
        <row r="447">
          <cell r="C447"/>
          <cell r="D447" t="str">
            <v>0</v>
          </cell>
          <cell r="E447" t="str">
            <v>0</v>
          </cell>
          <cell r="F447" t="str">
            <v>0</v>
          </cell>
          <cell r="G447" t="str">
            <v>0</v>
          </cell>
          <cell r="H447" t="str">
            <v>0</v>
          </cell>
          <cell r="I447" t="str">
            <v>0</v>
          </cell>
          <cell r="J447" t="str">
            <v>0</v>
          </cell>
          <cell r="K447" t="str">
            <v>0</v>
          </cell>
          <cell r="L447" t="str">
            <v>0</v>
          </cell>
          <cell r="M447" t="str">
            <v>0</v>
          </cell>
          <cell r="N447" t="str">
            <v>0</v>
          </cell>
          <cell r="O447" t="str">
            <v>0</v>
          </cell>
          <cell r="P447" t="str">
            <v>0</v>
          </cell>
          <cell r="Q447" t="str">
            <v>0</v>
          </cell>
          <cell r="R447" t="str">
            <v>0</v>
          </cell>
          <cell r="S447" t="str">
            <v>0</v>
          </cell>
          <cell r="T447" t="str">
            <v>0</v>
          </cell>
          <cell r="U447" t="str">
            <v>0</v>
          </cell>
          <cell r="V447" t="str">
            <v>0</v>
          </cell>
          <cell r="W447" t="str">
            <v>0</v>
          </cell>
          <cell r="X447" t="str">
            <v>0</v>
          </cell>
          <cell r="Y447" t="str">
            <v>0</v>
          </cell>
          <cell r="Z447" t="str">
            <v>0</v>
          </cell>
          <cell r="AA447" t="str">
            <v>0</v>
          </cell>
          <cell r="AB447" t="str">
            <v>0</v>
          </cell>
          <cell r="AC447" t="str">
            <v>0</v>
          </cell>
          <cell r="AD447" t="str">
            <v>0</v>
          </cell>
          <cell r="AE447" t="str">
            <v>0</v>
          </cell>
          <cell r="AF447" t="str">
            <v>0</v>
          </cell>
          <cell r="AG447" t="str">
            <v>0</v>
          </cell>
          <cell r="AH447" t="str">
            <v>0</v>
          </cell>
          <cell r="AI447" t="str">
            <v>0</v>
          </cell>
          <cell r="AJ447" t="str">
            <v>0</v>
          </cell>
          <cell r="AK447" t="str">
            <v>0</v>
          </cell>
          <cell r="AL447" t="str">
            <v>0</v>
          </cell>
          <cell r="AM447" t="str">
            <v>0</v>
          </cell>
          <cell r="AN447" t="str">
            <v>0</v>
          </cell>
          <cell r="AO447" t="str">
            <v>0</v>
          </cell>
          <cell r="AP447" t="str">
            <v>0</v>
          </cell>
          <cell r="AQ447" t="str">
            <v>0</v>
          </cell>
          <cell r="AR447" t="str">
            <v>0</v>
          </cell>
          <cell r="AS447" t="str">
            <v>0</v>
          </cell>
          <cell r="AT447" t="str">
            <v>0</v>
          </cell>
          <cell r="AU447" t="str">
            <v>0</v>
          </cell>
          <cell r="AV447" t="str">
            <v>0</v>
          </cell>
          <cell r="AW447" t="str">
            <v>0</v>
          </cell>
          <cell r="AX447" t="str">
            <v>0</v>
          </cell>
          <cell r="AY447" t="str">
            <v>0</v>
          </cell>
          <cell r="AZ447" t="str">
            <v>0</v>
          </cell>
          <cell r="BA447" t="str">
            <v>0</v>
          </cell>
          <cell r="BB447" t="str">
            <v>0</v>
          </cell>
          <cell r="BC447" t="str">
            <v>0</v>
          </cell>
          <cell r="BD447" t="str">
            <v>0</v>
          </cell>
          <cell r="BE447" t="str">
            <v>0</v>
          </cell>
          <cell r="BF447" t="str">
            <v>0</v>
          </cell>
          <cell r="BG447" t="str">
            <v>0</v>
          </cell>
          <cell r="BH447" t="str">
            <v>0</v>
          </cell>
          <cell r="BI447" t="str">
            <v>0</v>
          </cell>
          <cell r="BJ447" t="str">
            <v>0</v>
          </cell>
          <cell r="BK447" t="str">
            <v>0</v>
          </cell>
          <cell r="BL447" t="str">
            <v>0</v>
          </cell>
          <cell r="BM447" t="str">
            <v>0</v>
          </cell>
          <cell r="BN447" t="str">
            <v>0</v>
          </cell>
          <cell r="BO447" t="str">
            <v>0</v>
          </cell>
          <cell r="BP447" t="str">
            <v>0</v>
          </cell>
          <cell r="BQ447" t="str">
            <v>0</v>
          </cell>
          <cell r="BR447" t="str">
            <v>0</v>
          </cell>
          <cell r="BS447" t="str">
            <v>0</v>
          </cell>
          <cell r="BT447" t="str">
            <v>0</v>
          </cell>
          <cell r="BU447" t="str">
            <v>0</v>
          </cell>
          <cell r="BV447" t="str">
            <v>0</v>
          </cell>
          <cell r="BW447" t="str">
            <v>0</v>
          </cell>
          <cell r="BX447" t="str">
            <v>0</v>
          </cell>
          <cell r="BY447" t="str">
            <v>0</v>
          </cell>
          <cell r="BZ447" t="str">
            <v>0</v>
          </cell>
          <cell r="CA447" t="str">
            <v>0</v>
          </cell>
          <cell r="CB447" t="str">
            <v>0</v>
          </cell>
          <cell r="CC447" t="str">
            <v>0</v>
          </cell>
          <cell r="CD447" t="str">
            <v>0</v>
          </cell>
          <cell r="CE447" t="str">
            <v>0</v>
          </cell>
          <cell r="CF447" t="str">
            <v>0</v>
          </cell>
          <cell r="CG447" t="str">
            <v>0</v>
          </cell>
          <cell r="CH447" t="str">
            <v>0</v>
          </cell>
          <cell r="CI447" t="str">
            <v>0</v>
          </cell>
          <cell r="CJ447" t="str">
            <v>0</v>
          </cell>
          <cell r="CK447" t="str">
            <v>0</v>
          </cell>
          <cell r="CL447" t="str">
            <v>0</v>
          </cell>
          <cell r="CM447" t="str">
            <v>0</v>
          </cell>
          <cell r="CN447" t="str">
            <v>0</v>
          </cell>
          <cell r="CO447" t="str">
            <v>0</v>
          </cell>
          <cell r="CP447" t="str">
            <v>0</v>
          </cell>
          <cell r="CQ447" t="str">
            <v>0</v>
          </cell>
          <cell r="CR447" t="str">
            <v>0</v>
          </cell>
          <cell r="CS447" t="str">
            <v>0</v>
          </cell>
          <cell r="CT447" t="str">
            <v>0</v>
          </cell>
          <cell r="CU447" t="str">
            <v>0</v>
          </cell>
          <cell r="CV447" t="str">
            <v>0</v>
          </cell>
          <cell r="CW447" t="str">
            <v>0</v>
          </cell>
          <cell r="CX447" t="str">
            <v>0</v>
          </cell>
          <cell r="CY447" t="str">
            <v>0</v>
          </cell>
          <cell r="CZ447" t="str">
            <v>0</v>
          </cell>
          <cell r="DA447" t="str">
            <v>0</v>
          </cell>
          <cell r="DB447" t="str">
            <v>0</v>
          </cell>
          <cell r="DC447" t="str">
            <v>0</v>
          </cell>
          <cell r="DD447" t="str">
            <v>0</v>
          </cell>
          <cell r="DE447" t="str">
            <v>0</v>
          </cell>
          <cell r="DF447" t="str">
            <v>0</v>
          </cell>
          <cell r="DG447" t="str">
            <v>0</v>
          </cell>
          <cell r="DH447" t="str">
            <v>0</v>
          </cell>
          <cell r="DI447" t="str">
            <v>0</v>
          </cell>
          <cell r="DJ447" t="str">
            <v>0</v>
          </cell>
          <cell r="DK447" t="str">
            <v>0</v>
          </cell>
          <cell r="DL447" t="str">
            <v>0</v>
          </cell>
          <cell r="DM447" t="str">
            <v>0</v>
          </cell>
          <cell r="DN447" t="str">
            <v>0</v>
          </cell>
          <cell r="DO447" t="str">
            <v>0</v>
          </cell>
          <cell r="DP447" t="str">
            <v>0</v>
          </cell>
        </row>
        <row r="448">
          <cell r="C448"/>
          <cell r="D448" t="str">
            <v>0</v>
          </cell>
          <cell r="E448" t="str">
            <v>0</v>
          </cell>
          <cell r="F448" t="str">
            <v>0</v>
          </cell>
          <cell r="G448" t="str">
            <v>0</v>
          </cell>
          <cell r="H448" t="str">
            <v>0</v>
          </cell>
          <cell r="I448" t="str">
            <v>0</v>
          </cell>
          <cell r="J448" t="str">
            <v>0</v>
          </cell>
          <cell r="K448" t="str">
            <v>0</v>
          </cell>
          <cell r="L448" t="str">
            <v>0</v>
          </cell>
          <cell r="M448" t="str">
            <v>0</v>
          </cell>
          <cell r="N448" t="str">
            <v>0</v>
          </cell>
          <cell r="O448" t="str">
            <v>0</v>
          </cell>
          <cell r="P448" t="str">
            <v>0</v>
          </cell>
          <cell r="Q448" t="str">
            <v>0</v>
          </cell>
          <cell r="R448" t="str">
            <v>0</v>
          </cell>
          <cell r="S448" t="str">
            <v>0</v>
          </cell>
          <cell r="T448" t="str">
            <v>0</v>
          </cell>
          <cell r="U448" t="str">
            <v>0</v>
          </cell>
          <cell r="V448" t="str">
            <v>0</v>
          </cell>
          <cell r="W448" t="str">
            <v>0</v>
          </cell>
          <cell r="X448" t="str">
            <v>0</v>
          </cell>
          <cell r="Y448" t="str">
            <v>0</v>
          </cell>
          <cell r="Z448" t="str">
            <v>0</v>
          </cell>
          <cell r="AA448" t="str">
            <v>0</v>
          </cell>
          <cell r="AB448" t="str">
            <v>0</v>
          </cell>
          <cell r="AC448" t="str">
            <v>0</v>
          </cell>
          <cell r="AD448" t="str">
            <v>0</v>
          </cell>
          <cell r="AE448" t="str">
            <v>0</v>
          </cell>
          <cell r="AF448" t="str">
            <v>0</v>
          </cell>
          <cell r="AG448" t="str">
            <v>0</v>
          </cell>
          <cell r="AH448" t="str">
            <v>0</v>
          </cell>
          <cell r="AI448" t="str">
            <v>0</v>
          </cell>
          <cell r="AJ448" t="str">
            <v>0</v>
          </cell>
          <cell r="AK448" t="str">
            <v>0</v>
          </cell>
          <cell r="AL448" t="str">
            <v>0</v>
          </cell>
          <cell r="AM448" t="str">
            <v>0</v>
          </cell>
          <cell r="AN448" t="str">
            <v>0</v>
          </cell>
          <cell r="AO448" t="str">
            <v>0</v>
          </cell>
          <cell r="AP448" t="str">
            <v>0</v>
          </cell>
          <cell r="AQ448" t="str">
            <v>0</v>
          </cell>
          <cell r="AR448" t="str">
            <v>0</v>
          </cell>
          <cell r="AS448" t="str">
            <v>0</v>
          </cell>
          <cell r="AT448" t="str">
            <v>0</v>
          </cell>
          <cell r="AU448" t="str">
            <v>0</v>
          </cell>
          <cell r="AV448" t="str">
            <v>0</v>
          </cell>
          <cell r="AW448" t="str">
            <v>0</v>
          </cell>
          <cell r="AX448" t="str">
            <v>0</v>
          </cell>
          <cell r="AY448" t="str">
            <v>0</v>
          </cell>
          <cell r="AZ448" t="str">
            <v>0</v>
          </cell>
          <cell r="BA448" t="str">
            <v>0</v>
          </cell>
          <cell r="BB448" t="str">
            <v>0</v>
          </cell>
          <cell r="BC448" t="str">
            <v>0</v>
          </cell>
          <cell r="BD448" t="str">
            <v>0</v>
          </cell>
          <cell r="BE448" t="str">
            <v>0</v>
          </cell>
          <cell r="BF448" t="str">
            <v>0</v>
          </cell>
          <cell r="BG448" t="str">
            <v>0</v>
          </cell>
          <cell r="BH448" t="str">
            <v>0</v>
          </cell>
          <cell r="BI448" t="str">
            <v>0</v>
          </cell>
          <cell r="BJ448" t="str">
            <v>0</v>
          </cell>
          <cell r="BK448" t="str">
            <v>0</v>
          </cell>
          <cell r="BL448" t="str">
            <v>0</v>
          </cell>
          <cell r="BM448" t="str">
            <v>0</v>
          </cell>
          <cell r="BN448" t="str">
            <v>0</v>
          </cell>
          <cell r="BO448" t="str">
            <v>0</v>
          </cell>
          <cell r="BP448" t="str">
            <v>0</v>
          </cell>
          <cell r="BQ448" t="str">
            <v>0</v>
          </cell>
          <cell r="BR448" t="str">
            <v>0</v>
          </cell>
          <cell r="BS448" t="str">
            <v>0</v>
          </cell>
          <cell r="BT448" t="str">
            <v>0</v>
          </cell>
          <cell r="BU448" t="str">
            <v>0</v>
          </cell>
          <cell r="BV448" t="str">
            <v>0</v>
          </cell>
          <cell r="BW448" t="str">
            <v>0</v>
          </cell>
          <cell r="BX448" t="str">
            <v>0</v>
          </cell>
          <cell r="BY448" t="str">
            <v>0</v>
          </cell>
          <cell r="BZ448" t="str">
            <v>0</v>
          </cell>
          <cell r="CA448" t="str">
            <v>0</v>
          </cell>
          <cell r="CB448" t="str">
            <v>0</v>
          </cell>
          <cell r="CC448" t="str">
            <v>0</v>
          </cell>
          <cell r="CD448" t="str">
            <v>0</v>
          </cell>
          <cell r="CE448" t="str">
            <v>0</v>
          </cell>
          <cell r="CF448" t="str">
            <v>0</v>
          </cell>
          <cell r="CG448" t="str">
            <v>0</v>
          </cell>
          <cell r="CH448" t="str">
            <v>0</v>
          </cell>
          <cell r="CI448" t="str">
            <v>0</v>
          </cell>
          <cell r="CJ448" t="str">
            <v>0</v>
          </cell>
          <cell r="CK448" t="str">
            <v>0</v>
          </cell>
          <cell r="CL448" t="str">
            <v>0</v>
          </cell>
          <cell r="CM448" t="str">
            <v>0</v>
          </cell>
          <cell r="CN448" t="str">
            <v>0</v>
          </cell>
          <cell r="CO448" t="str">
            <v>0</v>
          </cell>
          <cell r="CP448" t="str">
            <v>0</v>
          </cell>
          <cell r="CQ448" t="str">
            <v>0</v>
          </cell>
          <cell r="CR448" t="str">
            <v>0</v>
          </cell>
          <cell r="CS448" t="str">
            <v>0</v>
          </cell>
          <cell r="CT448" t="str">
            <v>0</v>
          </cell>
          <cell r="CU448" t="str">
            <v>0</v>
          </cell>
          <cell r="CV448" t="str">
            <v>0</v>
          </cell>
          <cell r="CW448" t="str">
            <v>0</v>
          </cell>
          <cell r="CX448" t="str">
            <v>0</v>
          </cell>
          <cell r="CY448" t="str">
            <v>0</v>
          </cell>
          <cell r="CZ448" t="str">
            <v>0</v>
          </cell>
          <cell r="DA448" t="str">
            <v>0</v>
          </cell>
          <cell r="DB448" t="str">
            <v>0</v>
          </cell>
          <cell r="DC448" t="str">
            <v>0</v>
          </cell>
          <cell r="DD448" t="str">
            <v>0</v>
          </cell>
          <cell r="DE448" t="str">
            <v>0</v>
          </cell>
          <cell r="DF448" t="str">
            <v>0</v>
          </cell>
          <cell r="DG448" t="str">
            <v>0</v>
          </cell>
          <cell r="DH448" t="str">
            <v>0</v>
          </cell>
          <cell r="DI448" t="str">
            <v>0</v>
          </cell>
          <cell r="DJ448" t="str">
            <v>0</v>
          </cell>
          <cell r="DK448" t="str">
            <v>0</v>
          </cell>
          <cell r="DL448" t="str">
            <v>0</v>
          </cell>
          <cell r="DM448" t="str">
            <v>0</v>
          </cell>
          <cell r="DN448" t="str">
            <v>0</v>
          </cell>
          <cell r="DO448" t="str">
            <v>0</v>
          </cell>
          <cell r="DP448" t="str">
            <v>0</v>
          </cell>
        </row>
        <row r="449">
          <cell r="C449"/>
          <cell r="D449" t="str">
            <v>0</v>
          </cell>
          <cell r="E449" t="str">
            <v>0</v>
          </cell>
          <cell r="F449" t="str">
            <v>0</v>
          </cell>
          <cell r="G449" t="str">
            <v>0</v>
          </cell>
          <cell r="H449" t="str">
            <v>0</v>
          </cell>
          <cell r="I449" t="str">
            <v>0</v>
          </cell>
          <cell r="J449" t="str">
            <v>0</v>
          </cell>
          <cell r="K449" t="str">
            <v>0</v>
          </cell>
          <cell r="L449" t="str">
            <v>0</v>
          </cell>
          <cell r="M449" t="str">
            <v>0</v>
          </cell>
          <cell r="N449" t="str">
            <v>0</v>
          </cell>
          <cell r="O449" t="str">
            <v>0</v>
          </cell>
          <cell r="P449" t="str">
            <v>0</v>
          </cell>
          <cell r="Q449" t="str">
            <v>0</v>
          </cell>
          <cell r="R449" t="str">
            <v>0</v>
          </cell>
          <cell r="S449" t="str">
            <v>0</v>
          </cell>
          <cell r="T449" t="str">
            <v>0</v>
          </cell>
          <cell r="U449" t="str">
            <v>0</v>
          </cell>
          <cell r="V449" t="str">
            <v>0</v>
          </cell>
          <cell r="W449" t="str">
            <v>0</v>
          </cell>
          <cell r="X449" t="str">
            <v>0</v>
          </cell>
          <cell r="Y449" t="str">
            <v>0</v>
          </cell>
          <cell r="Z449" t="str">
            <v>0</v>
          </cell>
          <cell r="AA449" t="str">
            <v>0</v>
          </cell>
          <cell r="AB449" t="str">
            <v>0</v>
          </cell>
          <cell r="AC449" t="str">
            <v>0</v>
          </cell>
          <cell r="AD449" t="str">
            <v>0</v>
          </cell>
          <cell r="AE449" t="str">
            <v>0</v>
          </cell>
          <cell r="AF449" t="str">
            <v>0</v>
          </cell>
          <cell r="AG449" t="str">
            <v>0</v>
          </cell>
          <cell r="AH449" t="str">
            <v>0</v>
          </cell>
          <cell r="AI449" t="str">
            <v>0</v>
          </cell>
          <cell r="AJ449" t="str">
            <v>0</v>
          </cell>
          <cell r="AK449" t="str">
            <v>0</v>
          </cell>
          <cell r="AL449" t="str">
            <v>0</v>
          </cell>
          <cell r="AM449" t="str">
            <v>0</v>
          </cell>
          <cell r="AN449" t="str">
            <v>0</v>
          </cell>
          <cell r="AO449" t="str">
            <v>0</v>
          </cell>
          <cell r="AP449" t="str">
            <v>0</v>
          </cell>
          <cell r="AQ449" t="str">
            <v>0</v>
          </cell>
          <cell r="AR449" t="str">
            <v>0</v>
          </cell>
          <cell r="AS449" t="str">
            <v>0</v>
          </cell>
          <cell r="AT449" t="str">
            <v>0</v>
          </cell>
          <cell r="AU449" t="str">
            <v>0</v>
          </cell>
          <cell r="AV449" t="str">
            <v>0</v>
          </cell>
          <cell r="AW449" t="str">
            <v>0</v>
          </cell>
          <cell r="AX449" t="str">
            <v>0</v>
          </cell>
          <cell r="AY449" t="str">
            <v>0</v>
          </cell>
          <cell r="AZ449" t="str">
            <v>0</v>
          </cell>
          <cell r="BA449" t="str">
            <v>0</v>
          </cell>
          <cell r="BB449" t="str">
            <v>0</v>
          </cell>
          <cell r="BC449" t="str">
            <v>0</v>
          </cell>
          <cell r="BD449" t="str">
            <v>0</v>
          </cell>
          <cell r="BE449" t="str">
            <v>0</v>
          </cell>
          <cell r="BF449" t="str">
            <v>0</v>
          </cell>
          <cell r="BG449" t="str">
            <v>0</v>
          </cell>
          <cell r="BH449" t="str">
            <v>0</v>
          </cell>
          <cell r="BI449" t="str">
            <v>0</v>
          </cell>
          <cell r="BJ449" t="str">
            <v>0</v>
          </cell>
          <cell r="BK449" t="str">
            <v>0</v>
          </cell>
          <cell r="BL449" t="str">
            <v>0</v>
          </cell>
          <cell r="BM449" t="str">
            <v>0</v>
          </cell>
          <cell r="BN449" t="str">
            <v>0</v>
          </cell>
          <cell r="BO449" t="str">
            <v>0</v>
          </cell>
          <cell r="BP449" t="str">
            <v>0</v>
          </cell>
          <cell r="BQ449" t="str">
            <v>0</v>
          </cell>
          <cell r="BR449" t="str">
            <v>0</v>
          </cell>
          <cell r="BS449" t="str">
            <v>0</v>
          </cell>
          <cell r="BT449" t="str">
            <v>0</v>
          </cell>
          <cell r="BU449" t="str">
            <v>0</v>
          </cell>
          <cell r="BV449" t="str">
            <v>0</v>
          </cell>
          <cell r="BW449" t="str">
            <v>0</v>
          </cell>
          <cell r="BX449" t="str">
            <v>0</v>
          </cell>
          <cell r="BY449" t="str">
            <v>0</v>
          </cell>
          <cell r="BZ449" t="str">
            <v>0</v>
          </cell>
          <cell r="CA449" t="str">
            <v>0</v>
          </cell>
          <cell r="CB449" t="str">
            <v>0</v>
          </cell>
          <cell r="CC449" t="str">
            <v>0</v>
          </cell>
          <cell r="CD449" t="str">
            <v>0</v>
          </cell>
          <cell r="CE449" t="str">
            <v>0</v>
          </cell>
          <cell r="CF449" t="str">
            <v>0</v>
          </cell>
          <cell r="CG449" t="str">
            <v>0</v>
          </cell>
          <cell r="CH449" t="str">
            <v>0</v>
          </cell>
          <cell r="CI449" t="str">
            <v>0</v>
          </cell>
          <cell r="CJ449" t="str">
            <v>0</v>
          </cell>
          <cell r="CK449" t="str">
            <v>0</v>
          </cell>
          <cell r="CL449" t="str">
            <v>0</v>
          </cell>
          <cell r="CM449" t="str">
            <v>0</v>
          </cell>
          <cell r="CN449" t="str">
            <v>0</v>
          </cell>
          <cell r="CO449" t="str">
            <v>0</v>
          </cell>
          <cell r="CP449" t="str">
            <v>0</v>
          </cell>
          <cell r="CQ449" t="str">
            <v>0</v>
          </cell>
          <cell r="CR449" t="str">
            <v>0</v>
          </cell>
          <cell r="CS449" t="str">
            <v>0</v>
          </cell>
          <cell r="CT449" t="str">
            <v>0</v>
          </cell>
          <cell r="CU449" t="str">
            <v>0</v>
          </cell>
          <cell r="CV449" t="str">
            <v>0</v>
          </cell>
          <cell r="CW449" t="str">
            <v>0</v>
          </cell>
          <cell r="CX449" t="str">
            <v>0</v>
          </cell>
          <cell r="CY449" t="str">
            <v>0</v>
          </cell>
          <cell r="CZ449" t="str">
            <v>0</v>
          </cell>
          <cell r="DA449" t="str">
            <v>0</v>
          </cell>
          <cell r="DB449" t="str">
            <v>0</v>
          </cell>
          <cell r="DC449" t="str">
            <v>0</v>
          </cell>
          <cell r="DD449" t="str">
            <v>0</v>
          </cell>
          <cell r="DE449" t="str">
            <v>0</v>
          </cell>
          <cell r="DF449" t="str">
            <v>0</v>
          </cell>
          <cell r="DG449" t="str">
            <v>0</v>
          </cell>
          <cell r="DH449" t="str">
            <v>0</v>
          </cell>
          <cell r="DI449" t="str">
            <v>0</v>
          </cell>
          <cell r="DJ449" t="str">
            <v>0</v>
          </cell>
          <cell r="DK449" t="str">
            <v>0</v>
          </cell>
          <cell r="DL449" t="str">
            <v>0</v>
          </cell>
          <cell r="DM449" t="str">
            <v>0</v>
          </cell>
          <cell r="DN449" t="str">
            <v>0</v>
          </cell>
          <cell r="DO449" t="str">
            <v>0</v>
          </cell>
          <cell r="DP449" t="str">
            <v>0</v>
          </cell>
        </row>
        <row r="450">
          <cell r="C450"/>
          <cell r="D450" t="str">
            <v>0</v>
          </cell>
          <cell r="E450" t="str">
            <v>0</v>
          </cell>
          <cell r="F450" t="str">
            <v>0</v>
          </cell>
          <cell r="G450" t="str">
            <v>0</v>
          </cell>
          <cell r="H450" t="str">
            <v>0</v>
          </cell>
          <cell r="I450" t="str">
            <v>0</v>
          </cell>
          <cell r="J450" t="str">
            <v>0</v>
          </cell>
          <cell r="K450" t="str">
            <v>0</v>
          </cell>
          <cell r="L450" t="str">
            <v>0</v>
          </cell>
          <cell r="M450" t="str">
            <v>0</v>
          </cell>
          <cell r="N450" t="str">
            <v>0</v>
          </cell>
          <cell r="O450" t="str">
            <v>0</v>
          </cell>
          <cell r="P450" t="str">
            <v>0</v>
          </cell>
          <cell r="Q450" t="str">
            <v>0</v>
          </cell>
          <cell r="R450" t="str">
            <v>0</v>
          </cell>
          <cell r="S450" t="str">
            <v>0</v>
          </cell>
          <cell r="T450" t="str">
            <v>0</v>
          </cell>
          <cell r="U450" t="str">
            <v>0</v>
          </cell>
          <cell r="V450" t="str">
            <v>0</v>
          </cell>
          <cell r="W450" t="str">
            <v>0</v>
          </cell>
          <cell r="X450" t="str">
            <v>0</v>
          </cell>
          <cell r="Y450" t="str">
            <v>0</v>
          </cell>
          <cell r="Z450" t="str">
            <v>0</v>
          </cell>
          <cell r="AA450" t="str">
            <v>0</v>
          </cell>
          <cell r="AB450" t="str">
            <v>0</v>
          </cell>
          <cell r="AC450" t="str">
            <v>0</v>
          </cell>
          <cell r="AD450" t="str">
            <v>0</v>
          </cell>
          <cell r="AE450" t="str">
            <v>0</v>
          </cell>
          <cell r="AF450" t="str">
            <v>0</v>
          </cell>
          <cell r="AG450" t="str">
            <v>0</v>
          </cell>
          <cell r="AH450" t="str">
            <v>0</v>
          </cell>
          <cell r="AI450" t="str">
            <v>0</v>
          </cell>
          <cell r="AJ450" t="str">
            <v>0</v>
          </cell>
          <cell r="AK450" t="str">
            <v>0</v>
          </cell>
          <cell r="AL450" t="str">
            <v>0</v>
          </cell>
          <cell r="AM450" t="str">
            <v>0</v>
          </cell>
          <cell r="AN450" t="str">
            <v>0</v>
          </cell>
          <cell r="AO450" t="str">
            <v>0</v>
          </cell>
          <cell r="AP450" t="str">
            <v>0</v>
          </cell>
          <cell r="AQ450" t="str">
            <v>0</v>
          </cell>
          <cell r="AR450" t="str">
            <v>0</v>
          </cell>
          <cell r="AS450" t="str">
            <v>0</v>
          </cell>
          <cell r="AT450" t="str">
            <v>0</v>
          </cell>
          <cell r="AU450" t="str">
            <v>0</v>
          </cell>
          <cell r="AV450" t="str">
            <v>0</v>
          </cell>
          <cell r="AW450" t="str">
            <v>0</v>
          </cell>
          <cell r="AX450" t="str">
            <v>0</v>
          </cell>
          <cell r="AY450" t="str">
            <v>0</v>
          </cell>
          <cell r="AZ450" t="str">
            <v>0</v>
          </cell>
          <cell r="BA450" t="str">
            <v>0</v>
          </cell>
          <cell r="BB450" t="str">
            <v>0</v>
          </cell>
          <cell r="BC450" t="str">
            <v>0</v>
          </cell>
          <cell r="BD450" t="str">
            <v>0</v>
          </cell>
          <cell r="BE450" t="str">
            <v>0</v>
          </cell>
          <cell r="BF450" t="str">
            <v>0</v>
          </cell>
          <cell r="BG450" t="str">
            <v>0</v>
          </cell>
          <cell r="BH450" t="str">
            <v>0</v>
          </cell>
          <cell r="BI450" t="str">
            <v>0</v>
          </cell>
          <cell r="BJ450" t="str">
            <v>0</v>
          </cell>
          <cell r="BK450" t="str">
            <v>0</v>
          </cell>
          <cell r="BL450" t="str">
            <v>0</v>
          </cell>
          <cell r="BM450" t="str">
            <v>0</v>
          </cell>
          <cell r="BN450" t="str">
            <v>0</v>
          </cell>
          <cell r="BO450" t="str">
            <v>0</v>
          </cell>
          <cell r="BP450" t="str">
            <v>0</v>
          </cell>
          <cell r="BQ450" t="str">
            <v>0</v>
          </cell>
          <cell r="BR450" t="str">
            <v>0</v>
          </cell>
          <cell r="BS450" t="str">
            <v>0</v>
          </cell>
          <cell r="BT450" t="str">
            <v>0</v>
          </cell>
          <cell r="BU450" t="str">
            <v>0</v>
          </cell>
          <cell r="BV450" t="str">
            <v>0</v>
          </cell>
          <cell r="BW450" t="str">
            <v>0</v>
          </cell>
          <cell r="BX450" t="str">
            <v>0</v>
          </cell>
          <cell r="BY450" t="str">
            <v>0</v>
          </cell>
          <cell r="BZ450" t="str">
            <v>0</v>
          </cell>
          <cell r="CA450" t="str">
            <v>0</v>
          </cell>
          <cell r="CB450" t="str">
            <v>0</v>
          </cell>
          <cell r="CC450" t="str">
            <v>0</v>
          </cell>
          <cell r="CD450" t="str">
            <v>0</v>
          </cell>
          <cell r="CE450" t="str">
            <v>0</v>
          </cell>
          <cell r="CF450" t="str">
            <v>0</v>
          </cell>
          <cell r="CG450" t="str">
            <v>0</v>
          </cell>
          <cell r="CH450" t="str">
            <v>0</v>
          </cell>
          <cell r="CI450" t="str">
            <v>0</v>
          </cell>
          <cell r="CJ450" t="str">
            <v>0</v>
          </cell>
          <cell r="CK450" t="str">
            <v>0</v>
          </cell>
          <cell r="CL450" t="str">
            <v>0</v>
          </cell>
          <cell r="CM450" t="str">
            <v>0</v>
          </cell>
          <cell r="CN450" t="str">
            <v>0</v>
          </cell>
          <cell r="CO450" t="str">
            <v>0</v>
          </cell>
          <cell r="CP450" t="str">
            <v>0</v>
          </cell>
          <cell r="CQ450" t="str">
            <v>0</v>
          </cell>
          <cell r="CR450" t="str">
            <v>0</v>
          </cell>
          <cell r="CS450" t="str">
            <v>0</v>
          </cell>
          <cell r="CT450" t="str">
            <v>0</v>
          </cell>
          <cell r="CU450" t="str">
            <v>0</v>
          </cell>
          <cell r="CV450" t="str">
            <v>0</v>
          </cell>
          <cell r="CW450" t="str">
            <v>0</v>
          </cell>
          <cell r="CX450" t="str">
            <v>0</v>
          </cell>
          <cell r="CY450" t="str">
            <v>0</v>
          </cell>
          <cell r="CZ450" t="str">
            <v>0</v>
          </cell>
          <cell r="DA450" t="str">
            <v>0</v>
          </cell>
          <cell r="DB450" t="str">
            <v>0</v>
          </cell>
          <cell r="DC450" t="str">
            <v>0</v>
          </cell>
          <cell r="DD450" t="str">
            <v>0</v>
          </cell>
          <cell r="DE450" t="str">
            <v>0</v>
          </cell>
          <cell r="DF450" t="str">
            <v>0</v>
          </cell>
          <cell r="DG450" t="str">
            <v>0</v>
          </cell>
          <cell r="DH450" t="str">
            <v>0</v>
          </cell>
          <cell r="DI450" t="str">
            <v>0</v>
          </cell>
          <cell r="DJ450" t="str">
            <v>0</v>
          </cell>
          <cell r="DK450" t="str">
            <v>0</v>
          </cell>
          <cell r="DL450" t="str">
            <v>0</v>
          </cell>
          <cell r="DM450" t="str">
            <v>0</v>
          </cell>
          <cell r="DN450" t="str">
            <v>0</v>
          </cell>
          <cell r="DO450" t="str">
            <v>0</v>
          </cell>
          <cell r="DP450" t="str">
            <v>0</v>
          </cell>
        </row>
        <row r="451">
          <cell r="C451"/>
          <cell r="D451" t="str">
            <v>0</v>
          </cell>
          <cell r="E451" t="str">
            <v>0</v>
          </cell>
          <cell r="F451" t="str">
            <v>0</v>
          </cell>
          <cell r="G451" t="str">
            <v>0</v>
          </cell>
          <cell r="H451" t="str">
            <v>0</v>
          </cell>
          <cell r="I451" t="str">
            <v>0</v>
          </cell>
          <cell r="J451" t="str">
            <v>0</v>
          </cell>
          <cell r="K451" t="str">
            <v>0</v>
          </cell>
          <cell r="L451" t="str">
            <v>0</v>
          </cell>
          <cell r="M451" t="str">
            <v>0</v>
          </cell>
          <cell r="N451" t="str">
            <v>0</v>
          </cell>
          <cell r="O451" t="str">
            <v>0</v>
          </cell>
          <cell r="P451" t="str">
            <v>0</v>
          </cell>
          <cell r="Q451" t="str">
            <v>0</v>
          </cell>
          <cell r="R451" t="str">
            <v>0</v>
          </cell>
          <cell r="S451" t="str">
            <v>0</v>
          </cell>
          <cell r="T451" t="str">
            <v>0</v>
          </cell>
          <cell r="U451" t="str">
            <v>0</v>
          </cell>
          <cell r="V451" t="str">
            <v>0</v>
          </cell>
          <cell r="W451" t="str">
            <v>0</v>
          </cell>
          <cell r="X451" t="str">
            <v>0</v>
          </cell>
          <cell r="Y451" t="str">
            <v>0</v>
          </cell>
          <cell r="Z451" t="str">
            <v>0</v>
          </cell>
          <cell r="AA451" t="str">
            <v>0</v>
          </cell>
          <cell r="AB451" t="str">
            <v>0</v>
          </cell>
          <cell r="AC451" t="str">
            <v>0</v>
          </cell>
          <cell r="AD451" t="str">
            <v>0</v>
          </cell>
          <cell r="AE451" t="str">
            <v>0</v>
          </cell>
          <cell r="AF451" t="str">
            <v>0</v>
          </cell>
          <cell r="AG451" t="str">
            <v>0</v>
          </cell>
          <cell r="AH451" t="str">
            <v>0</v>
          </cell>
          <cell r="AI451" t="str">
            <v>0</v>
          </cell>
          <cell r="AJ451" t="str">
            <v>0</v>
          </cell>
          <cell r="AK451" t="str">
            <v>0</v>
          </cell>
          <cell r="AL451" t="str">
            <v>0</v>
          </cell>
          <cell r="AM451" t="str">
            <v>0</v>
          </cell>
          <cell r="AN451" t="str">
            <v>0</v>
          </cell>
          <cell r="AO451" t="str">
            <v>0</v>
          </cell>
          <cell r="AP451" t="str">
            <v>0</v>
          </cell>
          <cell r="AQ451" t="str">
            <v>0</v>
          </cell>
          <cell r="AR451" t="str">
            <v>0</v>
          </cell>
          <cell r="AS451" t="str">
            <v>0</v>
          </cell>
          <cell r="AT451" t="str">
            <v>0</v>
          </cell>
          <cell r="AU451" t="str">
            <v>0</v>
          </cell>
          <cell r="AV451" t="str">
            <v>0</v>
          </cell>
          <cell r="AW451" t="str">
            <v>0</v>
          </cell>
          <cell r="AX451" t="str">
            <v>0</v>
          </cell>
          <cell r="AY451" t="str">
            <v>0</v>
          </cell>
          <cell r="AZ451" t="str">
            <v>0</v>
          </cell>
          <cell r="BA451" t="str">
            <v>0</v>
          </cell>
          <cell r="BB451" t="str">
            <v>0</v>
          </cell>
          <cell r="BC451" t="str">
            <v>0</v>
          </cell>
          <cell r="BD451" t="str">
            <v>0</v>
          </cell>
          <cell r="BE451" t="str">
            <v>0</v>
          </cell>
          <cell r="BF451" t="str">
            <v>0</v>
          </cell>
          <cell r="BG451" t="str">
            <v>0</v>
          </cell>
          <cell r="BH451" t="str">
            <v>0</v>
          </cell>
          <cell r="BI451" t="str">
            <v>0</v>
          </cell>
          <cell r="BJ451" t="str">
            <v>0</v>
          </cell>
          <cell r="BK451" t="str">
            <v>0</v>
          </cell>
          <cell r="BL451" t="str">
            <v>0</v>
          </cell>
          <cell r="BM451" t="str">
            <v>0</v>
          </cell>
          <cell r="BN451" t="str">
            <v>0</v>
          </cell>
          <cell r="BO451" t="str">
            <v>0</v>
          </cell>
          <cell r="BP451" t="str">
            <v>0</v>
          </cell>
          <cell r="BQ451" t="str">
            <v>0</v>
          </cell>
          <cell r="BR451" t="str">
            <v>0</v>
          </cell>
          <cell r="BS451" t="str">
            <v>0</v>
          </cell>
          <cell r="BT451" t="str">
            <v>0</v>
          </cell>
          <cell r="BU451" t="str">
            <v>0</v>
          </cell>
          <cell r="BV451" t="str">
            <v>0</v>
          </cell>
          <cell r="BW451" t="str">
            <v>0</v>
          </cell>
          <cell r="BX451" t="str">
            <v>0</v>
          </cell>
          <cell r="BY451" t="str">
            <v>0</v>
          </cell>
          <cell r="BZ451" t="str">
            <v>0</v>
          </cell>
          <cell r="CA451" t="str">
            <v>0</v>
          </cell>
          <cell r="CB451" t="str">
            <v>0</v>
          </cell>
          <cell r="CC451" t="str">
            <v>0</v>
          </cell>
          <cell r="CD451" t="str">
            <v>0</v>
          </cell>
          <cell r="CE451" t="str">
            <v>0</v>
          </cell>
          <cell r="CF451" t="str">
            <v>0</v>
          </cell>
          <cell r="CG451" t="str">
            <v>0</v>
          </cell>
          <cell r="CH451" t="str">
            <v>0</v>
          </cell>
          <cell r="CI451" t="str">
            <v>0</v>
          </cell>
          <cell r="CJ451" t="str">
            <v>0</v>
          </cell>
          <cell r="CK451" t="str">
            <v>0</v>
          </cell>
          <cell r="CL451" t="str">
            <v>0</v>
          </cell>
          <cell r="CM451" t="str">
            <v>0</v>
          </cell>
          <cell r="CN451" t="str">
            <v>0</v>
          </cell>
          <cell r="CO451" t="str">
            <v>0</v>
          </cell>
          <cell r="CP451" t="str">
            <v>0</v>
          </cell>
          <cell r="CQ451" t="str">
            <v>0</v>
          </cell>
          <cell r="CR451" t="str">
            <v>0</v>
          </cell>
          <cell r="CS451" t="str">
            <v>0</v>
          </cell>
          <cell r="CT451" t="str">
            <v>0</v>
          </cell>
          <cell r="CU451" t="str">
            <v>0</v>
          </cell>
          <cell r="CV451" t="str">
            <v>0</v>
          </cell>
          <cell r="CW451" t="str">
            <v>0</v>
          </cell>
          <cell r="CX451" t="str">
            <v>0</v>
          </cell>
          <cell r="CY451" t="str">
            <v>0</v>
          </cell>
          <cell r="CZ451" t="str">
            <v>0</v>
          </cell>
          <cell r="DA451" t="str">
            <v>0</v>
          </cell>
          <cell r="DB451" t="str">
            <v>0</v>
          </cell>
          <cell r="DC451" t="str">
            <v>0</v>
          </cell>
          <cell r="DD451" t="str">
            <v>0</v>
          </cell>
          <cell r="DE451" t="str">
            <v>0</v>
          </cell>
          <cell r="DF451" t="str">
            <v>0</v>
          </cell>
          <cell r="DG451" t="str">
            <v>0</v>
          </cell>
          <cell r="DH451" t="str">
            <v>0</v>
          </cell>
          <cell r="DI451" t="str">
            <v>0</v>
          </cell>
          <cell r="DJ451" t="str">
            <v>0</v>
          </cell>
          <cell r="DK451" t="str">
            <v>0</v>
          </cell>
          <cell r="DL451" t="str">
            <v>0</v>
          </cell>
          <cell r="DM451" t="str">
            <v>0</v>
          </cell>
          <cell r="DN451" t="str">
            <v>0</v>
          </cell>
          <cell r="DO451" t="str">
            <v>0</v>
          </cell>
          <cell r="DP451" t="str">
            <v>0</v>
          </cell>
        </row>
        <row r="452">
          <cell r="C452"/>
          <cell r="D452" t="str">
            <v>0</v>
          </cell>
          <cell r="E452" t="str">
            <v>0</v>
          </cell>
          <cell r="F452" t="str">
            <v>0</v>
          </cell>
          <cell r="G452" t="str">
            <v>0</v>
          </cell>
          <cell r="H452" t="str">
            <v>0</v>
          </cell>
          <cell r="I452" t="str">
            <v>0</v>
          </cell>
          <cell r="J452" t="str">
            <v>0</v>
          </cell>
          <cell r="K452" t="str">
            <v>0</v>
          </cell>
          <cell r="L452" t="str">
            <v>0</v>
          </cell>
          <cell r="M452" t="str">
            <v>0</v>
          </cell>
          <cell r="N452" t="str">
            <v>0</v>
          </cell>
          <cell r="O452" t="str">
            <v>0</v>
          </cell>
          <cell r="P452" t="str">
            <v>0</v>
          </cell>
          <cell r="Q452" t="str">
            <v>0</v>
          </cell>
          <cell r="R452" t="str">
            <v>0</v>
          </cell>
          <cell r="S452" t="str">
            <v>0</v>
          </cell>
          <cell r="T452" t="str">
            <v>0</v>
          </cell>
          <cell r="U452" t="str">
            <v>0</v>
          </cell>
          <cell r="V452" t="str">
            <v>0</v>
          </cell>
          <cell r="W452" t="str">
            <v>0</v>
          </cell>
          <cell r="X452" t="str">
            <v>0</v>
          </cell>
          <cell r="Y452" t="str">
            <v>0</v>
          </cell>
          <cell r="Z452" t="str">
            <v>0</v>
          </cell>
          <cell r="AA452" t="str">
            <v>0</v>
          </cell>
          <cell r="AB452" t="str">
            <v>0</v>
          </cell>
          <cell r="AC452" t="str">
            <v>0</v>
          </cell>
          <cell r="AD452" t="str">
            <v>0</v>
          </cell>
          <cell r="AE452" t="str">
            <v>0</v>
          </cell>
          <cell r="AF452" t="str">
            <v>0</v>
          </cell>
          <cell r="AG452" t="str">
            <v>0</v>
          </cell>
          <cell r="AH452" t="str">
            <v>0</v>
          </cell>
          <cell r="AI452" t="str">
            <v>0</v>
          </cell>
          <cell r="AJ452" t="str">
            <v>0</v>
          </cell>
          <cell r="AK452" t="str">
            <v>0</v>
          </cell>
          <cell r="AL452" t="str">
            <v>0</v>
          </cell>
          <cell r="AM452" t="str">
            <v>0</v>
          </cell>
          <cell r="AN452" t="str">
            <v>0</v>
          </cell>
          <cell r="AO452" t="str">
            <v>0</v>
          </cell>
          <cell r="AP452" t="str">
            <v>0</v>
          </cell>
          <cell r="AQ452" t="str">
            <v>0</v>
          </cell>
          <cell r="AR452" t="str">
            <v>0</v>
          </cell>
          <cell r="AS452" t="str">
            <v>0</v>
          </cell>
          <cell r="AT452" t="str">
            <v>0</v>
          </cell>
          <cell r="AU452" t="str">
            <v>0</v>
          </cell>
          <cell r="AV452" t="str">
            <v>0</v>
          </cell>
          <cell r="AW452" t="str">
            <v>0</v>
          </cell>
          <cell r="AX452" t="str">
            <v>0</v>
          </cell>
          <cell r="AY452" t="str">
            <v>0</v>
          </cell>
          <cell r="AZ452" t="str">
            <v>0</v>
          </cell>
          <cell r="BA452" t="str">
            <v>0</v>
          </cell>
          <cell r="BB452" t="str">
            <v>0</v>
          </cell>
          <cell r="BC452" t="str">
            <v>0</v>
          </cell>
          <cell r="BD452" t="str">
            <v>0</v>
          </cell>
          <cell r="BE452" t="str">
            <v>0</v>
          </cell>
          <cell r="BF452" t="str">
            <v>0</v>
          </cell>
          <cell r="BG452" t="str">
            <v>0</v>
          </cell>
          <cell r="BH452" t="str">
            <v>0</v>
          </cell>
          <cell r="BI452" t="str">
            <v>0</v>
          </cell>
          <cell r="BJ452" t="str">
            <v>0</v>
          </cell>
          <cell r="BK452" t="str">
            <v>0</v>
          </cell>
          <cell r="BL452" t="str">
            <v>0</v>
          </cell>
          <cell r="BM452" t="str">
            <v>0</v>
          </cell>
          <cell r="BN452" t="str">
            <v>0</v>
          </cell>
          <cell r="BO452" t="str">
            <v>0</v>
          </cell>
          <cell r="BP452" t="str">
            <v>0</v>
          </cell>
          <cell r="BQ452" t="str">
            <v>0</v>
          </cell>
          <cell r="BR452" t="str">
            <v>0</v>
          </cell>
          <cell r="BS452" t="str">
            <v>0</v>
          </cell>
          <cell r="BT452" t="str">
            <v>0</v>
          </cell>
          <cell r="BU452" t="str">
            <v>0</v>
          </cell>
          <cell r="BV452" t="str">
            <v>0</v>
          </cell>
          <cell r="BW452" t="str">
            <v>0</v>
          </cell>
          <cell r="BX452" t="str">
            <v>0</v>
          </cell>
          <cell r="BY452" t="str">
            <v>0</v>
          </cell>
          <cell r="BZ452" t="str">
            <v>0</v>
          </cell>
          <cell r="CA452" t="str">
            <v>0</v>
          </cell>
          <cell r="CB452" t="str">
            <v>0</v>
          </cell>
          <cell r="CC452" t="str">
            <v>0</v>
          </cell>
          <cell r="CD452" t="str">
            <v>0</v>
          </cell>
          <cell r="CE452" t="str">
            <v>0</v>
          </cell>
          <cell r="CF452" t="str">
            <v>0</v>
          </cell>
          <cell r="CG452" t="str">
            <v>0</v>
          </cell>
          <cell r="CH452" t="str">
            <v>0</v>
          </cell>
          <cell r="CI452" t="str">
            <v>0</v>
          </cell>
          <cell r="CJ452" t="str">
            <v>0</v>
          </cell>
          <cell r="CK452" t="str">
            <v>0</v>
          </cell>
          <cell r="CL452" t="str">
            <v>0</v>
          </cell>
          <cell r="CM452" t="str">
            <v>0</v>
          </cell>
          <cell r="CN452" t="str">
            <v>0</v>
          </cell>
          <cell r="CO452" t="str">
            <v>0</v>
          </cell>
          <cell r="CP452" t="str">
            <v>0</v>
          </cell>
          <cell r="CQ452" t="str">
            <v>0</v>
          </cell>
          <cell r="CR452" t="str">
            <v>0</v>
          </cell>
          <cell r="CS452" t="str">
            <v>0</v>
          </cell>
          <cell r="CT452" t="str">
            <v>0</v>
          </cell>
          <cell r="CU452" t="str">
            <v>0</v>
          </cell>
          <cell r="CV452" t="str">
            <v>0</v>
          </cell>
          <cell r="CW452" t="str">
            <v>0</v>
          </cell>
          <cell r="CX452" t="str">
            <v>0</v>
          </cell>
          <cell r="CY452" t="str">
            <v>0</v>
          </cell>
          <cell r="CZ452" t="str">
            <v>0</v>
          </cell>
          <cell r="DA452" t="str">
            <v>0</v>
          </cell>
          <cell r="DB452" t="str">
            <v>0</v>
          </cell>
          <cell r="DC452" t="str">
            <v>0</v>
          </cell>
          <cell r="DD452" t="str">
            <v>0</v>
          </cell>
          <cell r="DE452" t="str">
            <v>0</v>
          </cell>
          <cell r="DF452" t="str">
            <v>0</v>
          </cell>
          <cell r="DG452" t="str">
            <v>0</v>
          </cell>
          <cell r="DH452" t="str">
            <v>0</v>
          </cell>
          <cell r="DI452" t="str">
            <v>0</v>
          </cell>
          <cell r="DJ452" t="str">
            <v>0</v>
          </cell>
          <cell r="DK452" t="str">
            <v>0</v>
          </cell>
          <cell r="DL452" t="str">
            <v>0</v>
          </cell>
          <cell r="DM452" t="str">
            <v>0</v>
          </cell>
          <cell r="DN452" t="str">
            <v>0</v>
          </cell>
          <cell r="DO452" t="str">
            <v>0</v>
          </cell>
          <cell r="DP452" t="str">
            <v>0</v>
          </cell>
        </row>
        <row r="453">
          <cell r="C453"/>
          <cell r="D453" t="str">
            <v>0</v>
          </cell>
          <cell r="E453" t="str">
            <v>0</v>
          </cell>
          <cell r="F453" t="str">
            <v>0</v>
          </cell>
          <cell r="G453" t="str">
            <v>0</v>
          </cell>
          <cell r="H453" t="str">
            <v>0</v>
          </cell>
          <cell r="I453" t="str">
            <v>0</v>
          </cell>
          <cell r="J453" t="str">
            <v>0</v>
          </cell>
          <cell r="K453" t="str">
            <v>0</v>
          </cell>
          <cell r="L453" t="str">
            <v>0</v>
          </cell>
          <cell r="M453" t="str">
            <v>0</v>
          </cell>
          <cell r="N453" t="str">
            <v>0</v>
          </cell>
          <cell r="O453" t="str">
            <v>0</v>
          </cell>
          <cell r="P453" t="str">
            <v>0</v>
          </cell>
          <cell r="Q453" t="str">
            <v>0</v>
          </cell>
          <cell r="R453" t="str">
            <v>0</v>
          </cell>
          <cell r="S453" t="str">
            <v>0</v>
          </cell>
          <cell r="T453" t="str">
            <v>0</v>
          </cell>
          <cell r="U453" t="str">
            <v>0</v>
          </cell>
          <cell r="V453" t="str">
            <v>0</v>
          </cell>
          <cell r="W453" t="str">
            <v>0</v>
          </cell>
          <cell r="X453" t="str">
            <v>0</v>
          </cell>
          <cell r="Y453" t="str">
            <v>0</v>
          </cell>
          <cell r="Z453" t="str">
            <v>0</v>
          </cell>
          <cell r="AA453" t="str">
            <v>0</v>
          </cell>
          <cell r="AB453" t="str">
            <v>0</v>
          </cell>
          <cell r="AC453" t="str">
            <v>0</v>
          </cell>
          <cell r="AD453" t="str">
            <v>0</v>
          </cell>
          <cell r="AE453" t="str">
            <v>0</v>
          </cell>
          <cell r="AF453" t="str">
            <v>0</v>
          </cell>
          <cell r="AG453" t="str">
            <v>0</v>
          </cell>
          <cell r="AH453" t="str">
            <v>0</v>
          </cell>
          <cell r="AI453" t="str">
            <v>0</v>
          </cell>
          <cell r="AJ453" t="str">
            <v>0</v>
          </cell>
          <cell r="AK453" t="str">
            <v>0</v>
          </cell>
          <cell r="AL453" t="str">
            <v>0</v>
          </cell>
          <cell r="AM453" t="str">
            <v>0</v>
          </cell>
          <cell r="AN453" t="str">
            <v>0</v>
          </cell>
          <cell r="AO453" t="str">
            <v>0</v>
          </cell>
          <cell r="AP453" t="str">
            <v>0</v>
          </cell>
          <cell r="AQ453" t="str">
            <v>0</v>
          </cell>
          <cell r="AR453" t="str">
            <v>0</v>
          </cell>
          <cell r="AS453" t="str">
            <v>0</v>
          </cell>
          <cell r="AT453" t="str">
            <v>0</v>
          </cell>
          <cell r="AU453" t="str">
            <v>0</v>
          </cell>
          <cell r="AV453" t="str">
            <v>0</v>
          </cell>
          <cell r="AW453" t="str">
            <v>0</v>
          </cell>
          <cell r="AX453" t="str">
            <v>0</v>
          </cell>
          <cell r="AY453" t="str">
            <v>0</v>
          </cell>
          <cell r="AZ453" t="str">
            <v>0</v>
          </cell>
          <cell r="BA453" t="str">
            <v>0</v>
          </cell>
          <cell r="BB453" t="str">
            <v>0</v>
          </cell>
          <cell r="BC453" t="str">
            <v>0</v>
          </cell>
          <cell r="BD453" t="str">
            <v>0</v>
          </cell>
          <cell r="BE453" t="str">
            <v>0</v>
          </cell>
          <cell r="BF453" t="str">
            <v>0</v>
          </cell>
          <cell r="BG453" t="str">
            <v>0</v>
          </cell>
          <cell r="BH453" t="str">
            <v>0</v>
          </cell>
          <cell r="BI453" t="str">
            <v>0</v>
          </cell>
          <cell r="BJ453" t="str">
            <v>0</v>
          </cell>
          <cell r="BK453" t="str">
            <v>0</v>
          </cell>
          <cell r="BL453" t="str">
            <v>0</v>
          </cell>
          <cell r="BM453" t="str">
            <v>0</v>
          </cell>
          <cell r="BN453" t="str">
            <v>0</v>
          </cell>
          <cell r="BO453" t="str">
            <v>0</v>
          </cell>
          <cell r="BP453" t="str">
            <v>0</v>
          </cell>
          <cell r="BQ453" t="str">
            <v>0</v>
          </cell>
          <cell r="BR453" t="str">
            <v>0</v>
          </cell>
          <cell r="BS453" t="str">
            <v>0</v>
          </cell>
          <cell r="BT453" t="str">
            <v>0</v>
          </cell>
          <cell r="BU453" t="str">
            <v>0</v>
          </cell>
          <cell r="BV453" t="str">
            <v>0</v>
          </cell>
          <cell r="BW453" t="str">
            <v>0</v>
          </cell>
          <cell r="BX453" t="str">
            <v>0</v>
          </cell>
          <cell r="BY453" t="str">
            <v>0</v>
          </cell>
          <cell r="BZ453" t="str">
            <v>0</v>
          </cell>
          <cell r="CA453" t="str">
            <v>0</v>
          </cell>
          <cell r="CB453" t="str">
            <v>0</v>
          </cell>
          <cell r="CC453" t="str">
            <v>0</v>
          </cell>
          <cell r="CD453" t="str">
            <v>0</v>
          </cell>
          <cell r="CE453" t="str">
            <v>0</v>
          </cell>
          <cell r="CF453" t="str">
            <v>0</v>
          </cell>
          <cell r="CG453" t="str">
            <v>0</v>
          </cell>
          <cell r="CH453" t="str">
            <v>0</v>
          </cell>
          <cell r="CI453" t="str">
            <v>0</v>
          </cell>
          <cell r="CJ453" t="str">
            <v>0</v>
          </cell>
          <cell r="CK453" t="str">
            <v>0</v>
          </cell>
          <cell r="CL453" t="str">
            <v>0</v>
          </cell>
          <cell r="CM453" t="str">
            <v>0</v>
          </cell>
          <cell r="CN453" t="str">
            <v>0</v>
          </cell>
          <cell r="CO453" t="str">
            <v>0</v>
          </cell>
          <cell r="CP453" t="str">
            <v>0</v>
          </cell>
          <cell r="CQ453" t="str">
            <v>0</v>
          </cell>
          <cell r="CR453" t="str">
            <v>0</v>
          </cell>
          <cell r="CS453" t="str">
            <v>0</v>
          </cell>
          <cell r="CT453" t="str">
            <v>0</v>
          </cell>
          <cell r="CU453" t="str">
            <v>0</v>
          </cell>
          <cell r="CV453" t="str">
            <v>0</v>
          </cell>
          <cell r="CW453" t="str">
            <v>0</v>
          </cell>
          <cell r="CX453" t="str">
            <v>0</v>
          </cell>
          <cell r="CY453" t="str">
            <v>0</v>
          </cell>
          <cell r="CZ453" t="str">
            <v>0</v>
          </cell>
          <cell r="DA453" t="str">
            <v>0</v>
          </cell>
          <cell r="DB453" t="str">
            <v>0</v>
          </cell>
          <cell r="DC453" t="str">
            <v>0</v>
          </cell>
          <cell r="DD453" t="str">
            <v>0</v>
          </cell>
          <cell r="DE453" t="str">
            <v>0</v>
          </cell>
          <cell r="DF453" t="str">
            <v>0</v>
          </cell>
          <cell r="DG453" t="str">
            <v>0</v>
          </cell>
          <cell r="DH453" t="str">
            <v>0</v>
          </cell>
          <cell r="DI453" t="str">
            <v>0</v>
          </cell>
          <cell r="DJ453" t="str">
            <v>0</v>
          </cell>
          <cell r="DK453" t="str">
            <v>0</v>
          </cell>
          <cell r="DL453" t="str">
            <v>0</v>
          </cell>
          <cell r="DM453" t="str">
            <v>0</v>
          </cell>
          <cell r="DN453" t="str">
            <v>0</v>
          </cell>
          <cell r="DO453" t="str">
            <v>0</v>
          </cell>
          <cell r="DP453" t="str">
            <v>0</v>
          </cell>
        </row>
        <row r="454">
          <cell r="C454"/>
          <cell r="D454" t="str">
            <v>0</v>
          </cell>
          <cell r="E454" t="str">
            <v>0</v>
          </cell>
          <cell r="F454" t="str">
            <v>0</v>
          </cell>
          <cell r="G454" t="str">
            <v>0</v>
          </cell>
          <cell r="H454" t="str">
            <v>0</v>
          </cell>
          <cell r="I454" t="str">
            <v>0</v>
          </cell>
          <cell r="J454" t="str">
            <v>0</v>
          </cell>
          <cell r="K454" t="str">
            <v>0</v>
          </cell>
          <cell r="L454" t="str">
            <v>0</v>
          </cell>
          <cell r="M454" t="str">
            <v>0</v>
          </cell>
          <cell r="N454" t="str">
            <v>0</v>
          </cell>
          <cell r="O454" t="str">
            <v>0</v>
          </cell>
          <cell r="P454" t="str">
            <v>0</v>
          </cell>
          <cell r="Q454" t="str">
            <v>0</v>
          </cell>
          <cell r="R454" t="str">
            <v>0</v>
          </cell>
          <cell r="S454" t="str">
            <v>0</v>
          </cell>
          <cell r="T454" t="str">
            <v>0</v>
          </cell>
          <cell r="U454" t="str">
            <v>0</v>
          </cell>
          <cell r="V454" t="str">
            <v>0</v>
          </cell>
          <cell r="W454" t="str">
            <v>0</v>
          </cell>
          <cell r="X454" t="str">
            <v>0</v>
          </cell>
          <cell r="Y454" t="str">
            <v>0</v>
          </cell>
          <cell r="Z454" t="str">
            <v>0</v>
          </cell>
          <cell r="AA454" t="str">
            <v>0</v>
          </cell>
          <cell r="AB454" t="str">
            <v>0</v>
          </cell>
          <cell r="AC454" t="str">
            <v>0</v>
          </cell>
          <cell r="AD454" t="str">
            <v>0</v>
          </cell>
          <cell r="AE454" t="str">
            <v>0</v>
          </cell>
          <cell r="AF454" t="str">
            <v>0</v>
          </cell>
          <cell r="AG454" t="str">
            <v>0</v>
          </cell>
          <cell r="AH454" t="str">
            <v>0</v>
          </cell>
          <cell r="AI454" t="str">
            <v>0</v>
          </cell>
          <cell r="AJ454" t="str">
            <v>0</v>
          </cell>
          <cell r="AK454" t="str">
            <v>0</v>
          </cell>
          <cell r="AL454" t="str">
            <v>0</v>
          </cell>
          <cell r="AM454" t="str">
            <v>0</v>
          </cell>
          <cell r="AN454" t="str">
            <v>0</v>
          </cell>
          <cell r="AO454" t="str">
            <v>0</v>
          </cell>
          <cell r="AP454" t="str">
            <v>0</v>
          </cell>
          <cell r="AQ454" t="str">
            <v>0</v>
          </cell>
          <cell r="AR454" t="str">
            <v>0</v>
          </cell>
          <cell r="AS454" t="str">
            <v>0</v>
          </cell>
          <cell r="AT454" t="str">
            <v>0</v>
          </cell>
          <cell r="AU454" t="str">
            <v>0</v>
          </cell>
          <cell r="AV454" t="str">
            <v>0</v>
          </cell>
          <cell r="AW454" t="str">
            <v>0</v>
          </cell>
          <cell r="AX454" t="str">
            <v>0</v>
          </cell>
          <cell r="AY454" t="str">
            <v>0</v>
          </cell>
          <cell r="AZ454" t="str">
            <v>0</v>
          </cell>
          <cell r="BA454" t="str">
            <v>0</v>
          </cell>
          <cell r="BB454" t="str">
            <v>0</v>
          </cell>
          <cell r="BC454" t="str">
            <v>0</v>
          </cell>
          <cell r="BD454" t="str">
            <v>0</v>
          </cell>
          <cell r="BE454" t="str">
            <v>0</v>
          </cell>
          <cell r="BF454" t="str">
            <v>0</v>
          </cell>
          <cell r="BG454" t="str">
            <v>0</v>
          </cell>
          <cell r="BH454" t="str">
            <v>0</v>
          </cell>
          <cell r="BI454" t="str">
            <v>0</v>
          </cell>
          <cell r="BJ454" t="str">
            <v>0</v>
          </cell>
          <cell r="BK454" t="str">
            <v>0</v>
          </cell>
          <cell r="BL454" t="str">
            <v>0</v>
          </cell>
          <cell r="BM454" t="str">
            <v>0</v>
          </cell>
          <cell r="BN454" t="str">
            <v>0</v>
          </cell>
          <cell r="BO454" t="str">
            <v>0</v>
          </cell>
          <cell r="BP454" t="str">
            <v>0</v>
          </cell>
          <cell r="BQ454" t="str">
            <v>0</v>
          </cell>
          <cell r="BR454" t="str">
            <v>0</v>
          </cell>
          <cell r="BS454" t="str">
            <v>0</v>
          </cell>
          <cell r="BT454" t="str">
            <v>0</v>
          </cell>
          <cell r="BU454" t="str">
            <v>0</v>
          </cell>
          <cell r="BV454" t="str">
            <v>0</v>
          </cell>
          <cell r="BW454" t="str">
            <v>0</v>
          </cell>
          <cell r="BX454" t="str">
            <v>0</v>
          </cell>
          <cell r="BY454" t="str">
            <v>0</v>
          </cell>
          <cell r="BZ454" t="str">
            <v>0</v>
          </cell>
          <cell r="CA454" t="str">
            <v>0</v>
          </cell>
          <cell r="CB454" t="str">
            <v>0</v>
          </cell>
          <cell r="CC454" t="str">
            <v>0</v>
          </cell>
          <cell r="CD454" t="str">
            <v>0</v>
          </cell>
          <cell r="CE454" t="str">
            <v>0</v>
          </cell>
          <cell r="CF454" t="str">
            <v>0</v>
          </cell>
          <cell r="CG454" t="str">
            <v>0</v>
          </cell>
          <cell r="CH454" t="str">
            <v>0</v>
          </cell>
          <cell r="CI454" t="str">
            <v>0</v>
          </cell>
          <cell r="CJ454" t="str">
            <v>0</v>
          </cell>
          <cell r="CK454" t="str">
            <v>0</v>
          </cell>
          <cell r="CL454" t="str">
            <v>0</v>
          </cell>
          <cell r="CM454" t="str">
            <v>0</v>
          </cell>
          <cell r="CN454" t="str">
            <v>0</v>
          </cell>
          <cell r="CO454" t="str">
            <v>0</v>
          </cell>
          <cell r="CP454" t="str">
            <v>0</v>
          </cell>
          <cell r="CQ454" t="str">
            <v>0</v>
          </cell>
          <cell r="CR454" t="str">
            <v>0</v>
          </cell>
          <cell r="CS454" t="str">
            <v>0</v>
          </cell>
          <cell r="CT454" t="str">
            <v>0</v>
          </cell>
          <cell r="CU454" t="str">
            <v>0</v>
          </cell>
          <cell r="CV454" t="str">
            <v>0</v>
          </cell>
          <cell r="CW454" t="str">
            <v>0</v>
          </cell>
          <cell r="CX454" t="str">
            <v>0</v>
          </cell>
          <cell r="CY454" t="str">
            <v>0</v>
          </cell>
          <cell r="CZ454" t="str">
            <v>0</v>
          </cell>
          <cell r="DA454" t="str">
            <v>0</v>
          </cell>
          <cell r="DB454" t="str">
            <v>0</v>
          </cell>
          <cell r="DC454" t="str">
            <v>0</v>
          </cell>
          <cell r="DD454" t="str">
            <v>0</v>
          </cell>
          <cell r="DE454" t="str">
            <v>0</v>
          </cell>
          <cell r="DF454" t="str">
            <v>0</v>
          </cell>
          <cell r="DG454" t="str">
            <v>0</v>
          </cell>
          <cell r="DH454" t="str">
            <v>0</v>
          </cell>
          <cell r="DI454" t="str">
            <v>0</v>
          </cell>
          <cell r="DJ454" t="str">
            <v>0</v>
          </cell>
          <cell r="DK454" t="str">
            <v>0</v>
          </cell>
          <cell r="DL454" t="str">
            <v>0</v>
          </cell>
          <cell r="DM454" t="str">
            <v>0</v>
          </cell>
          <cell r="DN454" t="str">
            <v>0</v>
          </cell>
          <cell r="DO454" t="str">
            <v>0</v>
          </cell>
          <cell r="DP454" t="str">
            <v>0</v>
          </cell>
        </row>
        <row r="455">
          <cell r="C455"/>
          <cell r="D455" t="str">
            <v>0</v>
          </cell>
          <cell r="E455" t="str">
            <v>0</v>
          </cell>
          <cell r="F455" t="str">
            <v>0</v>
          </cell>
          <cell r="G455" t="str">
            <v>0</v>
          </cell>
          <cell r="H455" t="str">
            <v>0</v>
          </cell>
          <cell r="I455" t="str">
            <v>0</v>
          </cell>
          <cell r="J455" t="str">
            <v>0</v>
          </cell>
          <cell r="K455" t="str">
            <v>0</v>
          </cell>
          <cell r="L455" t="str">
            <v>0</v>
          </cell>
          <cell r="M455" t="str">
            <v>0</v>
          </cell>
          <cell r="N455" t="str">
            <v>0</v>
          </cell>
          <cell r="O455" t="str">
            <v>0</v>
          </cell>
          <cell r="P455" t="str">
            <v>0</v>
          </cell>
          <cell r="Q455" t="str">
            <v>0</v>
          </cell>
          <cell r="R455" t="str">
            <v>0</v>
          </cell>
          <cell r="S455" t="str">
            <v>0</v>
          </cell>
          <cell r="T455" t="str">
            <v>0</v>
          </cell>
          <cell r="U455" t="str">
            <v>0</v>
          </cell>
          <cell r="V455" t="str">
            <v>0</v>
          </cell>
          <cell r="W455" t="str">
            <v>0</v>
          </cell>
          <cell r="X455" t="str">
            <v>0</v>
          </cell>
          <cell r="Y455" t="str">
            <v>0</v>
          </cell>
          <cell r="Z455" t="str">
            <v>0</v>
          </cell>
          <cell r="AA455" t="str">
            <v>0</v>
          </cell>
          <cell r="AB455" t="str">
            <v>0</v>
          </cell>
          <cell r="AC455" t="str">
            <v>0</v>
          </cell>
          <cell r="AD455" t="str">
            <v>0</v>
          </cell>
          <cell r="AE455" t="str">
            <v>0</v>
          </cell>
          <cell r="AF455" t="str">
            <v>0</v>
          </cell>
          <cell r="AG455" t="str">
            <v>0</v>
          </cell>
          <cell r="AH455" t="str">
            <v>0</v>
          </cell>
          <cell r="AI455" t="str">
            <v>0</v>
          </cell>
          <cell r="AJ455" t="str">
            <v>0</v>
          </cell>
          <cell r="AK455" t="str">
            <v>0</v>
          </cell>
          <cell r="AL455" t="str">
            <v>0</v>
          </cell>
          <cell r="AM455" t="str">
            <v>0</v>
          </cell>
          <cell r="AN455" t="str">
            <v>0</v>
          </cell>
          <cell r="AO455" t="str">
            <v>0</v>
          </cell>
          <cell r="AP455" t="str">
            <v>0</v>
          </cell>
          <cell r="AQ455" t="str">
            <v>0</v>
          </cell>
          <cell r="AR455" t="str">
            <v>0</v>
          </cell>
          <cell r="AS455" t="str">
            <v>0</v>
          </cell>
          <cell r="AT455" t="str">
            <v>0</v>
          </cell>
          <cell r="AU455" t="str">
            <v>0</v>
          </cell>
          <cell r="AV455" t="str">
            <v>0</v>
          </cell>
          <cell r="AW455" t="str">
            <v>0</v>
          </cell>
          <cell r="AX455" t="str">
            <v>0</v>
          </cell>
          <cell r="AY455" t="str">
            <v>0</v>
          </cell>
          <cell r="AZ455" t="str">
            <v>0</v>
          </cell>
          <cell r="BA455" t="str">
            <v>0</v>
          </cell>
          <cell r="BB455" t="str">
            <v>0</v>
          </cell>
          <cell r="BC455" t="str">
            <v>0</v>
          </cell>
          <cell r="BD455" t="str">
            <v>0</v>
          </cell>
          <cell r="BE455" t="str">
            <v>0</v>
          </cell>
          <cell r="BF455" t="str">
            <v>0</v>
          </cell>
          <cell r="BG455" t="str">
            <v>0</v>
          </cell>
          <cell r="BH455" t="str">
            <v>0</v>
          </cell>
          <cell r="BI455" t="str">
            <v>0</v>
          </cell>
          <cell r="BJ455" t="str">
            <v>0</v>
          </cell>
          <cell r="BK455" t="str">
            <v>0</v>
          </cell>
          <cell r="BL455" t="str">
            <v>0</v>
          </cell>
          <cell r="BM455" t="str">
            <v>0</v>
          </cell>
          <cell r="BN455" t="str">
            <v>0</v>
          </cell>
          <cell r="BO455" t="str">
            <v>0</v>
          </cell>
          <cell r="BP455" t="str">
            <v>0</v>
          </cell>
          <cell r="BQ455" t="str">
            <v>0</v>
          </cell>
          <cell r="BR455" t="str">
            <v>0</v>
          </cell>
          <cell r="BS455" t="str">
            <v>0</v>
          </cell>
          <cell r="BT455" t="str">
            <v>0</v>
          </cell>
          <cell r="BU455" t="str">
            <v>0</v>
          </cell>
          <cell r="BV455" t="str">
            <v>0</v>
          </cell>
          <cell r="BW455" t="str">
            <v>0</v>
          </cell>
          <cell r="BX455" t="str">
            <v>0</v>
          </cell>
          <cell r="BY455" t="str">
            <v>0</v>
          </cell>
          <cell r="BZ455" t="str">
            <v>0</v>
          </cell>
          <cell r="CA455" t="str">
            <v>0</v>
          </cell>
          <cell r="CB455" t="str">
            <v>0</v>
          </cell>
          <cell r="CC455" t="str">
            <v>0</v>
          </cell>
          <cell r="CD455" t="str">
            <v>0</v>
          </cell>
          <cell r="CE455" t="str">
            <v>0</v>
          </cell>
          <cell r="CF455" t="str">
            <v>0</v>
          </cell>
          <cell r="CG455" t="str">
            <v>0</v>
          </cell>
          <cell r="CH455" t="str">
            <v>0</v>
          </cell>
          <cell r="CI455" t="str">
            <v>0</v>
          </cell>
          <cell r="CJ455" t="str">
            <v>0</v>
          </cell>
          <cell r="CK455" t="str">
            <v>0</v>
          </cell>
          <cell r="CL455" t="str">
            <v>0</v>
          </cell>
          <cell r="CM455" t="str">
            <v>0</v>
          </cell>
          <cell r="CN455" t="str">
            <v>0</v>
          </cell>
          <cell r="CO455" t="str">
            <v>0</v>
          </cell>
          <cell r="CP455" t="str">
            <v>0</v>
          </cell>
          <cell r="CQ455" t="str">
            <v>0</v>
          </cell>
          <cell r="CR455" t="str">
            <v>0</v>
          </cell>
          <cell r="CS455" t="str">
            <v>0</v>
          </cell>
          <cell r="CT455" t="str">
            <v>0</v>
          </cell>
          <cell r="CU455" t="str">
            <v>0</v>
          </cell>
          <cell r="CV455" t="str">
            <v>0</v>
          </cell>
          <cell r="CW455" t="str">
            <v>0</v>
          </cell>
          <cell r="CX455" t="str">
            <v>0</v>
          </cell>
          <cell r="CY455" t="str">
            <v>0</v>
          </cell>
          <cell r="CZ455" t="str">
            <v>0</v>
          </cell>
          <cell r="DA455" t="str">
            <v>0</v>
          </cell>
          <cell r="DB455" t="str">
            <v>0</v>
          </cell>
          <cell r="DC455" t="str">
            <v>0</v>
          </cell>
          <cell r="DD455" t="str">
            <v>0</v>
          </cell>
          <cell r="DE455" t="str">
            <v>0</v>
          </cell>
          <cell r="DF455" t="str">
            <v>0</v>
          </cell>
          <cell r="DG455" t="str">
            <v>0</v>
          </cell>
          <cell r="DH455" t="str">
            <v>0</v>
          </cell>
          <cell r="DI455" t="str">
            <v>0</v>
          </cell>
          <cell r="DJ455" t="str">
            <v>0</v>
          </cell>
          <cell r="DK455" t="str">
            <v>0</v>
          </cell>
          <cell r="DL455" t="str">
            <v>0</v>
          </cell>
          <cell r="DM455" t="str">
            <v>0</v>
          </cell>
          <cell r="DN455" t="str">
            <v>0</v>
          </cell>
          <cell r="DO455" t="str">
            <v>0</v>
          </cell>
          <cell r="DP455" t="str">
            <v>0</v>
          </cell>
        </row>
        <row r="456">
          <cell r="C456"/>
          <cell r="D456" t="str">
            <v>0</v>
          </cell>
          <cell r="E456" t="str">
            <v>0</v>
          </cell>
          <cell r="F456" t="str">
            <v>0</v>
          </cell>
          <cell r="G456" t="str">
            <v>0</v>
          </cell>
          <cell r="H456" t="str">
            <v>0</v>
          </cell>
          <cell r="I456" t="str">
            <v>0</v>
          </cell>
          <cell r="J456" t="str">
            <v>0</v>
          </cell>
          <cell r="K456" t="str">
            <v>0</v>
          </cell>
          <cell r="L456" t="str">
            <v>0</v>
          </cell>
          <cell r="M456" t="str">
            <v>0</v>
          </cell>
          <cell r="N456" t="str">
            <v>0</v>
          </cell>
          <cell r="O456" t="str">
            <v>0</v>
          </cell>
          <cell r="P456" t="str">
            <v>0</v>
          </cell>
          <cell r="Q456" t="str">
            <v>0</v>
          </cell>
          <cell r="R456" t="str">
            <v>0</v>
          </cell>
          <cell r="S456" t="str">
            <v>0</v>
          </cell>
          <cell r="T456" t="str">
            <v>0</v>
          </cell>
          <cell r="U456" t="str">
            <v>0</v>
          </cell>
          <cell r="V456" t="str">
            <v>0</v>
          </cell>
          <cell r="W456" t="str">
            <v>0</v>
          </cell>
          <cell r="X456" t="str">
            <v>0</v>
          </cell>
          <cell r="Y456" t="str">
            <v>0</v>
          </cell>
          <cell r="Z456" t="str">
            <v>0</v>
          </cell>
          <cell r="AA456" t="str">
            <v>0</v>
          </cell>
          <cell r="AB456" t="str">
            <v>0</v>
          </cell>
          <cell r="AC456" t="str">
            <v>0</v>
          </cell>
          <cell r="AD456" t="str">
            <v>0</v>
          </cell>
          <cell r="AE456" t="str">
            <v>0</v>
          </cell>
          <cell r="AF456" t="str">
            <v>0</v>
          </cell>
          <cell r="AG456" t="str">
            <v>0</v>
          </cell>
          <cell r="AH456" t="str">
            <v>0</v>
          </cell>
          <cell r="AI456" t="str">
            <v>0</v>
          </cell>
          <cell r="AJ456" t="str">
            <v>0</v>
          </cell>
          <cell r="AK456" t="str">
            <v>0</v>
          </cell>
          <cell r="AL456" t="str">
            <v>0</v>
          </cell>
          <cell r="AM456" t="str">
            <v>0</v>
          </cell>
          <cell r="AN456" t="str">
            <v>0</v>
          </cell>
          <cell r="AO456" t="str">
            <v>0</v>
          </cell>
          <cell r="AP456" t="str">
            <v>0</v>
          </cell>
          <cell r="AQ456" t="str">
            <v>0</v>
          </cell>
          <cell r="AR456" t="str">
            <v>0</v>
          </cell>
          <cell r="AS456" t="str">
            <v>0</v>
          </cell>
          <cell r="AT456" t="str">
            <v>0</v>
          </cell>
          <cell r="AU456" t="str">
            <v>0</v>
          </cell>
          <cell r="AV456" t="str">
            <v>0</v>
          </cell>
          <cell r="AW456" t="str">
            <v>0</v>
          </cell>
          <cell r="AX456" t="str">
            <v>0</v>
          </cell>
          <cell r="AY456" t="str">
            <v>0</v>
          </cell>
          <cell r="AZ456" t="str">
            <v>0</v>
          </cell>
          <cell r="BA456" t="str">
            <v>0</v>
          </cell>
          <cell r="BB456" t="str">
            <v>0</v>
          </cell>
          <cell r="BC456" t="str">
            <v>0</v>
          </cell>
          <cell r="BD456" t="str">
            <v>0</v>
          </cell>
          <cell r="BE456" t="str">
            <v>0</v>
          </cell>
          <cell r="BF456" t="str">
            <v>0</v>
          </cell>
          <cell r="BG456" t="str">
            <v>0</v>
          </cell>
          <cell r="BH456" t="str">
            <v>0</v>
          </cell>
          <cell r="BI456" t="str">
            <v>0</v>
          </cell>
          <cell r="BJ456" t="str">
            <v>0</v>
          </cell>
          <cell r="BK456" t="str">
            <v>0</v>
          </cell>
          <cell r="BL456" t="str">
            <v>0</v>
          </cell>
          <cell r="BM456" t="str">
            <v>0</v>
          </cell>
          <cell r="BN456" t="str">
            <v>0</v>
          </cell>
          <cell r="BO456" t="str">
            <v>0</v>
          </cell>
          <cell r="BP456" t="str">
            <v>0</v>
          </cell>
          <cell r="BQ456" t="str">
            <v>0</v>
          </cell>
          <cell r="BR456" t="str">
            <v>0</v>
          </cell>
          <cell r="BS456" t="str">
            <v>0</v>
          </cell>
          <cell r="BT456" t="str">
            <v>0</v>
          </cell>
          <cell r="BU456" t="str">
            <v>0</v>
          </cell>
          <cell r="BV456" t="str">
            <v>0</v>
          </cell>
          <cell r="BW456" t="str">
            <v>0</v>
          </cell>
          <cell r="BX456" t="str">
            <v>0</v>
          </cell>
          <cell r="BY456" t="str">
            <v>0</v>
          </cell>
          <cell r="BZ456" t="str">
            <v>0</v>
          </cell>
          <cell r="CA456" t="str">
            <v>0</v>
          </cell>
          <cell r="CB456" t="str">
            <v>0</v>
          </cell>
          <cell r="CC456" t="str">
            <v>0</v>
          </cell>
          <cell r="CD456" t="str">
            <v>0</v>
          </cell>
          <cell r="CE456" t="str">
            <v>0</v>
          </cell>
          <cell r="CF456" t="str">
            <v>0</v>
          </cell>
          <cell r="CG456" t="str">
            <v>0</v>
          </cell>
          <cell r="CH456" t="str">
            <v>0</v>
          </cell>
          <cell r="CI456" t="str">
            <v>0</v>
          </cell>
          <cell r="CJ456" t="str">
            <v>0</v>
          </cell>
          <cell r="CK456" t="str">
            <v>0</v>
          </cell>
          <cell r="CL456" t="str">
            <v>0</v>
          </cell>
          <cell r="CM456" t="str">
            <v>0</v>
          </cell>
          <cell r="CN456" t="str">
            <v>0</v>
          </cell>
          <cell r="CO456" t="str">
            <v>0</v>
          </cell>
          <cell r="CP456" t="str">
            <v>0</v>
          </cell>
          <cell r="CQ456" t="str">
            <v>0</v>
          </cell>
          <cell r="CR456" t="str">
            <v>0</v>
          </cell>
          <cell r="CS456" t="str">
            <v>0</v>
          </cell>
          <cell r="CT456" t="str">
            <v>0</v>
          </cell>
          <cell r="CU456" t="str">
            <v>0</v>
          </cell>
          <cell r="CV456" t="str">
            <v>0</v>
          </cell>
          <cell r="CW456" t="str">
            <v>0</v>
          </cell>
          <cell r="CX456" t="str">
            <v>0</v>
          </cell>
          <cell r="CY456" t="str">
            <v>0</v>
          </cell>
          <cell r="CZ456" t="str">
            <v>0</v>
          </cell>
          <cell r="DA456" t="str">
            <v>0</v>
          </cell>
          <cell r="DB456" t="str">
            <v>0</v>
          </cell>
          <cell r="DC456" t="str">
            <v>0</v>
          </cell>
          <cell r="DD456" t="str">
            <v>0</v>
          </cell>
          <cell r="DE456" t="str">
            <v>0</v>
          </cell>
          <cell r="DF456" t="str">
            <v>0</v>
          </cell>
          <cell r="DG456" t="str">
            <v>0</v>
          </cell>
          <cell r="DH456" t="str">
            <v>0</v>
          </cell>
          <cell r="DI456" t="str">
            <v>0</v>
          </cell>
          <cell r="DJ456" t="str">
            <v>0</v>
          </cell>
          <cell r="DK456" t="str">
            <v>0</v>
          </cell>
          <cell r="DL456" t="str">
            <v>0</v>
          </cell>
          <cell r="DM456" t="str">
            <v>0</v>
          </cell>
          <cell r="DN456" t="str">
            <v>0</v>
          </cell>
          <cell r="DO456" t="str">
            <v>0</v>
          </cell>
          <cell r="DP456" t="str">
            <v>0</v>
          </cell>
        </row>
        <row r="457">
          <cell r="C457"/>
          <cell r="D457" t="str">
            <v>0</v>
          </cell>
          <cell r="E457" t="str">
            <v>0</v>
          </cell>
          <cell r="F457" t="str">
            <v>0</v>
          </cell>
          <cell r="G457" t="str">
            <v>0</v>
          </cell>
          <cell r="H457" t="str">
            <v>0</v>
          </cell>
          <cell r="I457" t="str">
            <v>0</v>
          </cell>
          <cell r="J457" t="str">
            <v>0</v>
          </cell>
          <cell r="K457" t="str">
            <v>0</v>
          </cell>
          <cell r="L457" t="str">
            <v>0</v>
          </cell>
          <cell r="M457" t="str">
            <v>0</v>
          </cell>
          <cell r="N457" t="str">
            <v>0</v>
          </cell>
          <cell r="O457" t="str">
            <v>0</v>
          </cell>
          <cell r="P457" t="str">
            <v>0</v>
          </cell>
          <cell r="Q457" t="str">
            <v>0</v>
          </cell>
          <cell r="R457" t="str">
            <v>0</v>
          </cell>
          <cell r="S457" t="str">
            <v>0</v>
          </cell>
          <cell r="T457" t="str">
            <v>0</v>
          </cell>
          <cell r="U457" t="str">
            <v>0</v>
          </cell>
          <cell r="V457" t="str">
            <v>0</v>
          </cell>
          <cell r="W457" t="str">
            <v>0</v>
          </cell>
          <cell r="X457" t="str">
            <v>0</v>
          </cell>
          <cell r="Y457" t="str">
            <v>0</v>
          </cell>
          <cell r="Z457" t="str">
            <v>0</v>
          </cell>
          <cell r="AA457" t="str">
            <v>0</v>
          </cell>
          <cell r="AB457" t="str">
            <v>0</v>
          </cell>
          <cell r="AC457" t="str">
            <v>0</v>
          </cell>
          <cell r="AD457" t="str">
            <v>0</v>
          </cell>
          <cell r="AE457" t="str">
            <v>0</v>
          </cell>
          <cell r="AF457" t="str">
            <v>0</v>
          </cell>
          <cell r="AG457" t="str">
            <v>0</v>
          </cell>
          <cell r="AH457" t="str">
            <v>0</v>
          </cell>
          <cell r="AI457" t="str">
            <v>0</v>
          </cell>
          <cell r="AJ457" t="str">
            <v>0</v>
          </cell>
          <cell r="AK457" t="str">
            <v>0</v>
          </cell>
          <cell r="AL457" t="str">
            <v>0</v>
          </cell>
          <cell r="AM457" t="str">
            <v>0</v>
          </cell>
          <cell r="AN457" t="str">
            <v>0</v>
          </cell>
          <cell r="AO457" t="str">
            <v>0</v>
          </cell>
          <cell r="AP457" t="str">
            <v>0</v>
          </cell>
          <cell r="AQ457" t="str">
            <v>0</v>
          </cell>
          <cell r="AR457" t="str">
            <v>0</v>
          </cell>
          <cell r="AS457" t="str">
            <v>0</v>
          </cell>
          <cell r="AT457" t="str">
            <v>0</v>
          </cell>
          <cell r="AU457" t="str">
            <v>0</v>
          </cell>
          <cell r="AV457" t="str">
            <v>0</v>
          </cell>
          <cell r="AW457" t="str">
            <v>0</v>
          </cell>
          <cell r="AX457" t="str">
            <v>0</v>
          </cell>
          <cell r="AY457" t="str">
            <v>0</v>
          </cell>
          <cell r="AZ457" t="str">
            <v>0</v>
          </cell>
          <cell r="BA457" t="str">
            <v>0</v>
          </cell>
          <cell r="BB457" t="str">
            <v>0</v>
          </cell>
          <cell r="BC457" t="str">
            <v>0</v>
          </cell>
          <cell r="BD457" t="str">
            <v>0</v>
          </cell>
          <cell r="BE457" t="str">
            <v>0</v>
          </cell>
          <cell r="BF457" t="str">
            <v>0</v>
          </cell>
          <cell r="BG457" t="str">
            <v>0</v>
          </cell>
          <cell r="BH457" t="str">
            <v>0</v>
          </cell>
          <cell r="BI457" t="str">
            <v>0</v>
          </cell>
          <cell r="BJ457" t="str">
            <v>0</v>
          </cell>
          <cell r="BK457" t="str">
            <v>0</v>
          </cell>
          <cell r="BL457" t="str">
            <v>0</v>
          </cell>
          <cell r="BM457" t="str">
            <v>0</v>
          </cell>
          <cell r="BN457" t="str">
            <v>0</v>
          </cell>
          <cell r="BO457" t="str">
            <v>0</v>
          </cell>
          <cell r="BP457" t="str">
            <v>0</v>
          </cell>
          <cell r="BQ457" t="str">
            <v>0</v>
          </cell>
          <cell r="BR457" t="str">
            <v>0</v>
          </cell>
          <cell r="BS457" t="str">
            <v>0</v>
          </cell>
          <cell r="BT457" t="str">
            <v>0</v>
          </cell>
          <cell r="BU457" t="str">
            <v>0</v>
          </cell>
          <cell r="BV457" t="str">
            <v>0</v>
          </cell>
          <cell r="BW457" t="str">
            <v>0</v>
          </cell>
          <cell r="BX457" t="str">
            <v>0</v>
          </cell>
          <cell r="BY457" t="str">
            <v>0</v>
          </cell>
          <cell r="BZ457" t="str">
            <v>0</v>
          </cell>
          <cell r="CA457" t="str">
            <v>0</v>
          </cell>
          <cell r="CB457" t="str">
            <v>0</v>
          </cell>
          <cell r="CC457" t="str">
            <v>0</v>
          </cell>
          <cell r="CD457" t="str">
            <v>0</v>
          </cell>
          <cell r="CE457" t="str">
            <v>0</v>
          </cell>
          <cell r="CF457" t="str">
            <v>0</v>
          </cell>
          <cell r="CG457" t="str">
            <v>0</v>
          </cell>
          <cell r="CH457" t="str">
            <v>0</v>
          </cell>
          <cell r="CI457" t="str">
            <v>0</v>
          </cell>
          <cell r="CJ457" t="str">
            <v>0</v>
          </cell>
          <cell r="CK457" t="str">
            <v>0</v>
          </cell>
          <cell r="CL457" t="str">
            <v>0</v>
          </cell>
          <cell r="CM457" t="str">
            <v>0</v>
          </cell>
          <cell r="CN457" t="str">
            <v>0</v>
          </cell>
          <cell r="CO457" t="str">
            <v>0</v>
          </cell>
          <cell r="CP457" t="str">
            <v>0</v>
          </cell>
          <cell r="CQ457" t="str">
            <v>0</v>
          </cell>
          <cell r="CR457" t="str">
            <v>0</v>
          </cell>
          <cell r="CS457" t="str">
            <v>0</v>
          </cell>
          <cell r="CT457" t="str">
            <v>0</v>
          </cell>
          <cell r="CU457" t="str">
            <v>0</v>
          </cell>
          <cell r="CV457" t="str">
            <v>0</v>
          </cell>
          <cell r="CW457" t="str">
            <v>0</v>
          </cell>
          <cell r="CX457" t="str">
            <v>0</v>
          </cell>
          <cell r="CY457" t="str">
            <v>0</v>
          </cell>
          <cell r="CZ457" t="str">
            <v>0</v>
          </cell>
          <cell r="DA457" t="str">
            <v>0</v>
          </cell>
          <cell r="DB457" t="str">
            <v>0</v>
          </cell>
          <cell r="DC457" t="str">
            <v>0</v>
          </cell>
          <cell r="DD457" t="str">
            <v>0</v>
          </cell>
          <cell r="DE457" t="str">
            <v>0</v>
          </cell>
          <cell r="DF457" t="str">
            <v>0</v>
          </cell>
          <cell r="DG457" t="str">
            <v>0</v>
          </cell>
          <cell r="DH457" t="str">
            <v>0</v>
          </cell>
          <cell r="DI457" t="str">
            <v>0</v>
          </cell>
          <cell r="DJ457" t="str">
            <v>0</v>
          </cell>
          <cell r="DK457" t="str">
            <v>0</v>
          </cell>
          <cell r="DL457" t="str">
            <v>0</v>
          </cell>
          <cell r="DM457" t="str">
            <v>0</v>
          </cell>
          <cell r="DN457" t="str">
            <v>0</v>
          </cell>
          <cell r="DO457" t="str">
            <v>0</v>
          </cell>
          <cell r="DP457" t="str">
            <v>0</v>
          </cell>
        </row>
        <row r="458">
          <cell r="C458"/>
          <cell r="D458" t="str">
            <v>0</v>
          </cell>
          <cell r="E458" t="str">
            <v>0</v>
          </cell>
          <cell r="F458" t="str">
            <v>0</v>
          </cell>
          <cell r="G458" t="str">
            <v>0</v>
          </cell>
          <cell r="H458" t="str">
            <v>0</v>
          </cell>
          <cell r="I458" t="str">
            <v>0</v>
          </cell>
          <cell r="J458" t="str">
            <v>0</v>
          </cell>
          <cell r="K458" t="str">
            <v>0</v>
          </cell>
          <cell r="L458" t="str">
            <v>0</v>
          </cell>
          <cell r="M458" t="str">
            <v>0</v>
          </cell>
          <cell r="N458" t="str">
            <v>0</v>
          </cell>
          <cell r="O458" t="str">
            <v>0</v>
          </cell>
          <cell r="P458" t="str">
            <v>0</v>
          </cell>
          <cell r="Q458" t="str">
            <v>0</v>
          </cell>
          <cell r="R458" t="str">
            <v>0</v>
          </cell>
          <cell r="S458" t="str">
            <v>0</v>
          </cell>
          <cell r="T458" t="str">
            <v>0</v>
          </cell>
          <cell r="U458" t="str">
            <v>0</v>
          </cell>
          <cell r="V458" t="str">
            <v>0</v>
          </cell>
          <cell r="W458" t="str">
            <v>0</v>
          </cell>
          <cell r="X458" t="str">
            <v>0</v>
          </cell>
          <cell r="Y458" t="str">
            <v>0</v>
          </cell>
          <cell r="Z458" t="str">
            <v>0</v>
          </cell>
          <cell r="AA458" t="str">
            <v>0</v>
          </cell>
          <cell r="AB458" t="str">
            <v>0</v>
          </cell>
          <cell r="AC458" t="str">
            <v>0</v>
          </cell>
          <cell r="AD458" t="str">
            <v>0</v>
          </cell>
          <cell r="AE458" t="str">
            <v>0</v>
          </cell>
          <cell r="AF458" t="str">
            <v>0</v>
          </cell>
          <cell r="AG458" t="str">
            <v>0</v>
          </cell>
          <cell r="AH458" t="str">
            <v>0</v>
          </cell>
          <cell r="AI458" t="str">
            <v>0</v>
          </cell>
          <cell r="AJ458" t="str">
            <v>0</v>
          </cell>
          <cell r="AK458" t="str">
            <v>0</v>
          </cell>
          <cell r="AL458" t="str">
            <v>0</v>
          </cell>
          <cell r="AM458" t="str">
            <v>0</v>
          </cell>
          <cell r="AN458" t="str">
            <v>0</v>
          </cell>
          <cell r="AO458" t="str">
            <v>0</v>
          </cell>
          <cell r="AP458" t="str">
            <v>0</v>
          </cell>
          <cell r="AQ458" t="str">
            <v>0</v>
          </cell>
          <cell r="AR458" t="str">
            <v>0</v>
          </cell>
          <cell r="AS458" t="str">
            <v>0</v>
          </cell>
          <cell r="AT458" t="str">
            <v>0</v>
          </cell>
          <cell r="AU458" t="str">
            <v>0</v>
          </cell>
          <cell r="AV458" t="str">
            <v>0</v>
          </cell>
          <cell r="AW458" t="str">
            <v>0</v>
          </cell>
          <cell r="AX458" t="str">
            <v>0</v>
          </cell>
          <cell r="AY458" t="str">
            <v>0</v>
          </cell>
          <cell r="AZ458" t="str">
            <v>0</v>
          </cell>
          <cell r="BA458" t="str">
            <v>0</v>
          </cell>
          <cell r="BB458" t="str">
            <v>0</v>
          </cell>
          <cell r="BC458" t="str">
            <v>0</v>
          </cell>
          <cell r="BD458" t="str">
            <v>0</v>
          </cell>
          <cell r="BE458" t="str">
            <v>0</v>
          </cell>
          <cell r="BF458" t="str">
            <v>0</v>
          </cell>
          <cell r="BG458" t="str">
            <v>0</v>
          </cell>
          <cell r="BH458" t="str">
            <v>0</v>
          </cell>
          <cell r="BI458" t="str">
            <v>0</v>
          </cell>
          <cell r="BJ458" t="str">
            <v>0</v>
          </cell>
          <cell r="BK458" t="str">
            <v>0</v>
          </cell>
          <cell r="BL458" t="str">
            <v>0</v>
          </cell>
          <cell r="BM458" t="str">
            <v>0</v>
          </cell>
          <cell r="BN458" t="str">
            <v>0</v>
          </cell>
          <cell r="BO458" t="str">
            <v>0</v>
          </cell>
          <cell r="BP458" t="str">
            <v>0</v>
          </cell>
          <cell r="BQ458" t="str">
            <v>0</v>
          </cell>
          <cell r="BR458" t="str">
            <v>0</v>
          </cell>
          <cell r="BS458" t="str">
            <v>0</v>
          </cell>
          <cell r="BT458" t="str">
            <v>0</v>
          </cell>
          <cell r="BU458" t="str">
            <v>0</v>
          </cell>
          <cell r="BV458" t="str">
            <v>0</v>
          </cell>
          <cell r="BW458" t="str">
            <v>0</v>
          </cell>
          <cell r="BX458" t="str">
            <v>0</v>
          </cell>
          <cell r="BY458" t="str">
            <v>0</v>
          </cell>
          <cell r="BZ458" t="str">
            <v>0</v>
          </cell>
          <cell r="CA458" t="str">
            <v>0</v>
          </cell>
          <cell r="CB458" t="str">
            <v>0</v>
          </cell>
          <cell r="CC458" t="str">
            <v>0</v>
          </cell>
          <cell r="CD458" t="str">
            <v>0</v>
          </cell>
          <cell r="CE458" t="str">
            <v>0</v>
          </cell>
          <cell r="CF458" t="str">
            <v>0</v>
          </cell>
          <cell r="CG458" t="str">
            <v>0</v>
          </cell>
          <cell r="CH458" t="str">
            <v>0</v>
          </cell>
          <cell r="CI458" t="str">
            <v>0</v>
          </cell>
          <cell r="CJ458" t="str">
            <v>0</v>
          </cell>
          <cell r="CK458" t="str">
            <v>0</v>
          </cell>
          <cell r="CL458" t="str">
            <v>0</v>
          </cell>
          <cell r="CM458" t="str">
            <v>0</v>
          </cell>
          <cell r="CN458" t="str">
            <v>0</v>
          </cell>
          <cell r="CO458" t="str">
            <v>0</v>
          </cell>
          <cell r="CP458" t="str">
            <v>0</v>
          </cell>
          <cell r="CQ458" t="str">
            <v>0</v>
          </cell>
          <cell r="CR458" t="str">
            <v>0</v>
          </cell>
          <cell r="CS458" t="str">
            <v>0</v>
          </cell>
          <cell r="CT458" t="str">
            <v>0</v>
          </cell>
          <cell r="CU458" t="str">
            <v>0</v>
          </cell>
          <cell r="CV458" t="str">
            <v>0</v>
          </cell>
          <cell r="CW458" t="str">
            <v>0</v>
          </cell>
          <cell r="CX458" t="str">
            <v>0</v>
          </cell>
          <cell r="CY458" t="str">
            <v>0</v>
          </cell>
          <cell r="CZ458" t="str">
            <v>0</v>
          </cell>
          <cell r="DA458" t="str">
            <v>0</v>
          </cell>
          <cell r="DB458" t="str">
            <v>0</v>
          </cell>
          <cell r="DC458" t="str">
            <v>0</v>
          </cell>
          <cell r="DD458" t="str">
            <v>0</v>
          </cell>
          <cell r="DE458" t="str">
            <v>0</v>
          </cell>
          <cell r="DF458" t="str">
            <v>0</v>
          </cell>
          <cell r="DG458" t="str">
            <v>0</v>
          </cell>
          <cell r="DH458" t="str">
            <v>0</v>
          </cell>
          <cell r="DI458" t="str">
            <v>0</v>
          </cell>
          <cell r="DJ458" t="str">
            <v>0</v>
          </cell>
          <cell r="DK458" t="str">
            <v>0</v>
          </cell>
          <cell r="DL458" t="str">
            <v>0</v>
          </cell>
          <cell r="DM458" t="str">
            <v>0</v>
          </cell>
          <cell r="DN458" t="str">
            <v>0</v>
          </cell>
          <cell r="DO458" t="str">
            <v>0</v>
          </cell>
          <cell r="DP458" t="str">
            <v>0</v>
          </cell>
        </row>
        <row r="459">
          <cell r="C459"/>
          <cell r="D459" t="str">
            <v>0</v>
          </cell>
          <cell r="E459" t="str">
            <v>0</v>
          </cell>
          <cell r="F459" t="str">
            <v>0</v>
          </cell>
          <cell r="G459" t="str">
            <v>0</v>
          </cell>
          <cell r="H459" t="str">
            <v>0</v>
          </cell>
          <cell r="I459" t="str">
            <v>0</v>
          </cell>
          <cell r="J459" t="str">
            <v>0</v>
          </cell>
          <cell r="K459" t="str">
            <v>0</v>
          </cell>
          <cell r="L459" t="str">
            <v>0</v>
          </cell>
          <cell r="M459" t="str">
            <v>0</v>
          </cell>
          <cell r="N459" t="str">
            <v>0</v>
          </cell>
          <cell r="O459" t="str">
            <v>0</v>
          </cell>
          <cell r="P459" t="str">
            <v>0</v>
          </cell>
          <cell r="Q459" t="str">
            <v>0</v>
          </cell>
          <cell r="R459" t="str">
            <v>0</v>
          </cell>
          <cell r="S459" t="str">
            <v>0</v>
          </cell>
          <cell r="T459" t="str">
            <v>0</v>
          </cell>
          <cell r="U459" t="str">
            <v>0</v>
          </cell>
          <cell r="V459" t="str">
            <v>0</v>
          </cell>
          <cell r="W459" t="str">
            <v>0</v>
          </cell>
          <cell r="X459" t="str">
            <v>0</v>
          </cell>
          <cell r="Y459" t="str">
            <v>0</v>
          </cell>
          <cell r="Z459" t="str">
            <v>0</v>
          </cell>
          <cell r="AA459" t="str">
            <v>0</v>
          </cell>
          <cell r="AB459" t="str">
            <v>0</v>
          </cell>
          <cell r="AC459" t="str">
            <v>0</v>
          </cell>
          <cell r="AD459" t="str">
            <v>0</v>
          </cell>
          <cell r="AE459" t="str">
            <v>0</v>
          </cell>
          <cell r="AF459" t="str">
            <v>0</v>
          </cell>
          <cell r="AG459" t="str">
            <v>0</v>
          </cell>
          <cell r="AH459" t="str">
            <v>0</v>
          </cell>
          <cell r="AI459" t="str">
            <v>0</v>
          </cell>
          <cell r="AJ459" t="str">
            <v>0</v>
          </cell>
          <cell r="AK459" t="str">
            <v>0</v>
          </cell>
          <cell r="AL459" t="str">
            <v>0</v>
          </cell>
          <cell r="AM459" t="str">
            <v>0</v>
          </cell>
          <cell r="AN459" t="str">
            <v>0</v>
          </cell>
          <cell r="AO459" t="str">
            <v>0</v>
          </cell>
          <cell r="AP459" t="str">
            <v>0</v>
          </cell>
          <cell r="AQ459" t="str">
            <v>0</v>
          </cell>
          <cell r="AR459" t="str">
            <v>0</v>
          </cell>
          <cell r="AS459" t="str">
            <v>0</v>
          </cell>
          <cell r="AT459" t="str">
            <v>0</v>
          </cell>
          <cell r="AU459" t="str">
            <v>0</v>
          </cell>
          <cell r="AV459" t="str">
            <v>0</v>
          </cell>
          <cell r="AW459" t="str">
            <v>0</v>
          </cell>
          <cell r="AX459" t="str">
            <v>0</v>
          </cell>
          <cell r="AY459" t="str">
            <v>0</v>
          </cell>
          <cell r="AZ459" t="str">
            <v>0</v>
          </cell>
          <cell r="BA459" t="str">
            <v>0</v>
          </cell>
          <cell r="BB459" t="str">
            <v>0</v>
          </cell>
          <cell r="BC459" t="str">
            <v>0</v>
          </cell>
          <cell r="BD459" t="str">
            <v>0</v>
          </cell>
          <cell r="BE459" t="str">
            <v>0</v>
          </cell>
          <cell r="BF459" t="str">
            <v>0</v>
          </cell>
          <cell r="BG459" t="str">
            <v>0</v>
          </cell>
          <cell r="BH459" t="str">
            <v>0</v>
          </cell>
          <cell r="BI459" t="str">
            <v>0</v>
          </cell>
          <cell r="BJ459" t="str">
            <v>0</v>
          </cell>
          <cell r="BK459" t="str">
            <v>0</v>
          </cell>
          <cell r="BL459" t="str">
            <v>0</v>
          </cell>
          <cell r="BM459" t="str">
            <v>0</v>
          </cell>
          <cell r="BN459" t="str">
            <v>0</v>
          </cell>
          <cell r="BO459" t="str">
            <v>0</v>
          </cell>
          <cell r="BP459" t="str">
            <v>0</v>
          </cell>
          <cell r="BQ459" t="str">
            <v>0</v>
          </cell>
          <cell r="BR459" t="str">
            <v>0</v>
          </cell>
          <cell r="BS459" t="str">
            <v>0</v>
          </cell>
          <cell r="BT459" t="str">
            <v>0</v>
          </cell>
          <cell r="BU459" t="str">
            <v>0</v>
          </cell>
          <cell r="BV459" t="str">
            <v>0</v>
          </cell>
          <cell r="BW459" t="str">
            <v>0</v>
          </cell>
          <cell r="BX459" t="str">
            <v>0</v>
          </cell>
          <cell r="BY459" t="str">
            <v>0</v>
          </cell>
          <cell r="BZ459" t="str">
            <v>0</v>
          </cell>
          <cell r="CA459" t="str">
            <v>0</v>
          </cell>
          <cell r="CB459" t="str">
            <v>0</v>
          </cell>
          <cell r="CC459" t="str">
            <v>0</v>
          </cell>
          <cell r="CD459" t="str">
            <v>0</v>
          </cell>
          <cell r="CE459" t="str">
            <v>0</v>
          </cell>
          <cell r="CF459" t="str">
            <v>0</v>
          </cell>
          <cell r="CG459" t="str">
            <v>0</v>
          </cell>
          <cell r="CH459" t="str">
            <v>0</v>
          </cell>
          <cell r="CI459" t="str">
            <v>0</v>
          </cell>
          <cell r="CJ459" t="str">
            <v>0</v>
          </cell>
          <cell r="CK459" t="str">
            <v>0</v>
          </cell>
          <cell r="CL459" t="str">
            <v>0</v>
          </cell>
          <cell r="CM459" t="str">
            <v>0</v>
          </cell>
          <cell r="CN459" t="str">
            <v>0</v>
          </cell>
          <cell r="CO459" t="str">
            <v>0</v>
          </cell>
          <cell r="CP459" t="str">
            <v>0</v>
          </cell>
          <cell r="CQ459" t="str">
            <v>0</v>
          </cell>
          <cell r="CR459" t="str">
            <v>0</v>
          </cell>
          <cell r="CS459" t="str">
            <v>0</v>
          </cell>
          <cell r="CT459" t="str">
            <v>0</v>
          </cell>
          <cell r="CU459" t="str">
            <v>0</v>
          </cell>
          <cell r="CV459" t="str">
            <v>0</v>
          </cell>
          <cell r="CW459" t="str">
            <v>0</v>
          </cell>
          <cell r="CX459" t="str">
            <v>0</v>
          </cell>
          <cell r="CY459" t="str">
            <v>0</v>
          </cell>
          <cell r="CZ459" t="str">
            <v>0</v>
          </cell>
          <cell r="DA459" t="str">
            <v>0</v>
          </cell>
          <cell r="DB459" t="str">
            <v>0</v>
          </cell>
          <cell r="DC459" t="str">
            <v>0</v>
          </cell>
          <cell r="DD459" t="str">
            <v>0</v>
          </cell>
          <cell r="DE459" t="str">
            <v>0</v>
          </cell>
          <cell r="DF459" t="str">
            <v>0</v>
          </cell>
          <cell r="DG459" t="str">
            <v>0</v>
          </cell>
          <cell r="DH459" t="str">
            <v>0</v>
          </cell>
          <cell r="DI459" t="str">
            <v>0</v>
          </cell>
          <cell r="DJ459" t="str">
            <v>0</v>
          </cell>
          <cell r="DK459" t="str">
            <v>0</v>
          </cell>
          <cell r="DL459" t="str">
            <v>0</v>
          </cell>
          <cell r="DM459" t="str">
            <v>0</v>
          </cell>
          <cell r="DN459" t="str">
            <v>0</v>
          </cell>
          <cell r="DO459" t="str">
            <v>0</v>
          </cell>
          <cell r="DP459" t="str">
            <v>0</v>
          </cell>
        </row>
        <row r="460">
          <cell r="C460"/>
          <cell r="D460" t="str">
            <v>0</v>
          </cell>
          <cell r="E460" t="str">
            <v>0</v>
          </cell>
          <cell r="F460" t="str">
            <v>0</v>
          </cell>
          <cell r="G460" t="str">
            <v>0</v>
          </cell>
          <cell r="H460" t="str">
            <v>0</v>
          </cell>
          <cell r="I460" t="str">
            <v>0</v>
          </cell>
          <cell r="J460" t="str">
            <v>0</v>
          </cell>
          <cell r="K460" t="str">
            <v>0</v>
          </cell>
          <cell r="L460" t="str">
            <v>0</v>
          </cell>
          <cell r="M460" t="str">
            <v>0</v>
          </cell>
          <cell r="N460" t="str">
            <v>0</v>
          </cell>
          <cell r="O460" t="str">
            <v>0</v>
          </cell>
          <cell r="P460" t="str">
            <v>0</v>
          </cell>
          <cell r="Q460" t="str">
            <v>0</v>
          </cell>
          <cell r="R460" t="str">
            <v>0</v>
          </cell>
          <cell r="S460" t="str">
            <v>0</v>
          </cell>
          <cell r="T460" t="str">
            <v>0</v>
          </cell>
          <cell r="U460" t="str">
            <v>0</v>
          </cell>
          <cell r="V460" t="str">
            <v>0</v>
          </cell>
          <cell r="W460" t="str">
            <v>0</v>
          </cell>
          <cell r="X460" t="str">
            <v>0</v>
          </cell>
          <cell r="Y460" t="str">
            <v>0</v>
          </cell>
          <cell r="Z460" t="str">
            <v>0</v>
          </cell>
          <cell r="AA460" t="str">
            <v>0</v>
          </cell>
          <cell r="AB460" t="str">
            <v>0</v>
          </cell>
          <cell r="AC460" t="str">
            <v>0</v>
          </cell>
          <cell r="AD460" t="str">
            <v>0</v>
          </cell>
          <cell r="AE460" t="str">
            <v>0</v>
          </cell>
          <cell r="AF460" t="str">
            <v>0</v>
          </cell>
          <cell r="AG460" t="str">
            <v>0</v>
          </cell>
          <cell r="AH460" t="str">
            <v>0</v>
          </cell>
          <cell r="AI460" t="str">
            <v>0</v>
          </cell>
          <cell r="AJ460" t="str">
            <v>0</v>
          </cell>
          <cell r="AK460" t="str">
            <v>0</v>
          </cell>
          <cell r="AL460" t="str">
            <v>0</v>
          </cell>
          <cell r="AM460" t="str">
            <v>0</v>
          </cell>
          <cell r="AN460" t="str">
            <v>0</v>
          </cell>
          <cell r="AO460" t="str">
            <v>0</v>
          </cell>
          <cell r="AP460" t="str">
            <v>0</v>
          </cell>
          <cell r="AQ460" t="str">
            <v>0</v>
          </cell>
          <cell r="AR460" t="str">
            <v>0</v>
          </cell>
          <cell r="AS460" t="str">
            <v>0</v>
          </cell>
          <cell r="AT460" t="str">
            <v>0</v>
          </cell>
          <cell r="AU460" t="str">
            <v>0</v>
          </cell>
          <cell r="AV460" t="str">
            <v>0</v>
          </cell>
          <cell r="AW460" t="str">
            <v>0</v>
          </cell>
          <cell r="AX460" t="str">
            <v>0</v>
          </cell>
          <cell r="AY460" t="str">
            <v>0</v>
          </cell>
          <cell r="AZ460" t="str">
            <v>0</v>
          </cell>
          <cell r="BA460" t="str">
            <v>0</v>
          </cell>
          <cell r="BB460" t="str">
            <v>0</v>
          </cell>
          <cell r="BC460" t="str">
            <v>0</v>
          </cell>
          <cell r="BD460" t="str">
            <v>0</v>
          </cell>
          <cell r="BE460" t="str">
            <v>0</v>
          </cell>
          <cell r="BF460" t="str">
            <v>0</v>
          </cell>
          <cell r="BG460" t="str">
            <v>0</v>
          </cell>
          <cell r="BH460" t="str">
            <v>0</v>
          </cell>
          <cell r="BI460" t="str">
            <v>0</v>
          </cell>
          <cell r="BJ460" t="str">
            <v>0</v>
          </cell>
          <cell r="BK460" t="str">
            <v>0</v>
          </cell>
          <cell r="BL460" t="str">
            <v>0</v>
          </cell>
          <cell r="BM460" t="str">
            <v>0</v>
          </cell>
          <cell r="BN460" t="str">
            <v>0</v>
          </cell>
          <cell r="BO460" t="str">
            <v>0</v>
          </cell>
          <cell r="BP460" t="str">
            <v>0</v>
          </cell>
          <cell r="BQ460" t="str">
            <v>0</v>
          </cell>
          <cell r="BR460" t="str">
            <v>0</v>
          </cell>
          <cell r="BS460" t="str">
            <v>0</v>
          </cell>
          <cell r="BT460" t="str">
            <v>0</v>
          </cell>
          <cell r="BU460" t="str">
            <v>0</v>
          </cell>
          <cell r="BV460" t="str">
            <v>0</v>
          </cell>
          <cell r="BW460" t="str">
            <v>0</v>
          </cell>
          <cell r="BX460" t="str">
            <v>0</v>
          </cell>
          <cell r="BY460" t="str">
            <v>0</v>
          </cell>
          <cell r="BZ460" t="str">
            <v>0</v>
          </cell>
          <cell r="CA460" t="str">
            <v>0</v>
          </cell>
          <cell r="CB460" t="str">
            <v>0</v>
          </cell>
          <cell r="CC460" t="str">
            <v>0</v>
          </cell>
          <cell r="CD460" t="str">
            <v>0</v>
          </cell>
          <cell r="CE460" t="str">
            <v>0</v>
          </cell>
          <cell r="CF460" t="str">
            <v>0</v>
          </cell>
          <cell r="CG460" t="str">
            <v>0</v>
          </cell>
          <cell r="CH460" t="str">
            <v>0</v>
          </cell>
          <cell r="CI460" t="str">
            <v>0</v>
          </cell>
          <cell r="CJ460" t="str">
            <v>0</v>
          </cell>
          <cell r="CK460" t="str">
            <v>0</v>
          </cell>
          <cell r="CL460" t="str">
            <v>0</v>
          </cell>
          <cell r="CM460" t="str">
            <v>0</v>
          </cell>
          <cell r="CN460" t="str">
            <v>0</v>
          </cell>
          <cell r="CO460" t="str">
            <v>0</v>
          </cell>
          <cell r="CP460" t="str">
            <v>0</v>
          </cell>
          <cell r="CQ460" t="str">
            <v>0</v>
          </cell>
          <cell r="CR460" t="str">
            <v>0</v>
          </cell>
          <cell r="CS460" t="str">
            <v>0</v>
          </cell>
          <cell r="CT460" t="str">
            <v>0</v>
          </cell>
          <cell r="CU460" t="str">
            <v>0</v>
          </cell>
          <cell r="CV460" t="str">
            <v>0</v>
          </cell>
          <cell r="CW460" t="str">
            <v>0</v>
          </cell>
          <cell r="CX460" t="str">
            <v>0</v>
          </cell>
          <cell r="CY460" t="str">
            <v>0</v>
          </cell>
          <cell r="CZ460" t="str">
            <v>0</v>
          </cell>
          <cell r="DA460" t="str">
            <v>0</v>
          </cell>
          <cell r="DB460" t="str">
            <v>0</v>
          </cell>
          <cell r="DC460" t="str">
            <v>0</v>
          </cell>
          <cell r="DD460" t="str">
            <v>0</v>
          </cell>
          <cell r="DE460" t="str">
            <v>0</v>
          </cell>
          <cell r="DF460" t="str">
            <v>0</v>
          </cell>
          <cell r="DG460" t="str">
            <v>0</v>
          </cell>
          <cell r="DH460" t="str">
            <v>0</v>
          </cell>
          <cell r="DI460" t="str">
            <v>0</v>
          </cell>
          <cell r="DJ460" t="str">
            <v>0</v>
          </cell>
          <cell r="DK460" t="str">
            <v>0</v>
          </cell>
          <cell r="DL460" t="str">
            <v>0</v>
          </cell>
          <cell r="DM460" t="str">
            <v>0</v>
          </cell>
          <cell r="DN460" t="str">
            <v>0</v>
          </cell>
          <cell r="DO460" t="str">
            <v>0</v>
          </cell>
          <cell r="DP460" t="str">
            <v>0</v>
          </cell>
        </row>
        <row r="461">
          <cell r="C461"/>
          <cell r="D461" t="str">
            <v>0</v>
          </cell>
          <cell r="E461" t="str">
            <v>0</v>
          </cell>
          <cell r="F461" t="str">
            <v>0</v>
          </cell>
          <cell r="G461" t="str">
            <v>0</v>
          </cell>
          <cell r="H461" t="str">
            <v>0</v>
          </cell>
          <cell r="I461" t="str">
            <v>0</v>
          </cell>
          <cell r="J461" t="str">
            <v>0</v>
          </cell>
          <cell r="K461" t="str">
            <v>0</v>
          </cell>
          <cell r="L461" t="str">
            <v>0</v>
          </cell>
          <cell r="M461" t="str">
            <v>0</v>
          </cell>
          <cell r="N461" t="str">
            <v>0</v>
          </cell>
          <cell r="O461" t="str">
            <v>0</v>
          </cell>
          <cell r="P461" t="str">
            <v>0</v>
          </cell>
          <cell r="Q461" t="str">
            <v>0</v>
          </cell>
          <cell r="R461" t="str">
            <v>0</v>
          </cell>
          <cell r="S461" t="str">
            <v>0</v>
          </cell>
          <cell r="T461" t="str">
            <v>0</v>
          </cell>
          <cell r="U461" t="str">
            <v>0</v>
          </cell>
          <cell r="V461" t="str">
            <v>0</v>
          </cell>
          <cell r="W461" t="str">
            <v>0</v>
          </cell>
          <cell r="X461" t="str">
            <v>0</v>
          </cell>
          <cell r="Y461" t="str">
            <v>0</v>
          </cell>
          <cell r="Z461" t="str">
            <v>0</v>
          </cell>
          <cell r="AA461" t="str">
            <v>0</v>
          </cell>
          <cell r="AB461" t="str">
            <v>0</v>
          </cell>
          <cell r="AC461" t="str">
            <v>0</v>
          </cell>
          <cell r="AD461" t="str">
            <v>0</v>
          </cell>
          <cell r="AE461" t="str">
            <v>0</v>
          </cell>
          <cell r="AF461" t="str">
            <v>0</v>
          </cell>
          <cell r="AG461" t="str">
            <v>0</v>
          </cell>
          <cell r="AH461" t="str">
            <v>0</v>
          </cell>
          <cell r="AI461" t="str">
            <v>0</v>
          </cell>
          <cell r="AJ461" t="str">
            <v>0</v>
          </cell>
          <cell r="AK461" t="str">
            <v>0</v>
          </cell>
          <cell r="AL461" t="str">
            <v>0</v>
          </cell>
          <cell r="AM461" t="str">
            <v>0</v>
          </cell>
          <cell r="AN461" t="str">
            <v>0</v>
          </cell>
          <cell r="AO461" t="str">
            <v>0</v>
          </cell>
          <cell r="AP461" t="str">
            <v>0</v>
          </cell>
          <cell r="AQ461" t="str">
            <v>0</v>
          </cell>
          <cell r="AR461" t="str">
            <v>0</v>
          </cell>
          <cell r="AS461" t="str">
            <v>0</v>
          </cell>
          <cell r="AT461" t="str">
            <v>0</v>
          </cell>
          <cell r="AU461" t="str">
            <v>0</v>
          </cell>
          <cell r="AV461" t="str">
            <v>0</v>
          </cell>
          <cell r="AW461" t="str">
            <v>0</v>
          </cell>
          <cell r="AX461" t="str">
            <v>0</v>
          </cell>
          <cell r="AY461" t="str">
            <v>0</v>
          </cell>
          <cell r="AZ461" t="str">
            <v>0</v>
          </cell>
          <cell r="BA461" t="str">
            <v>0</v>
          </cell>
          <cell r="BB461" t="str">
            <v>0</v>
          </cell>
          <cell r="BC461" t="str">
            <v>0</v>
          </cell>
          <cell r="BD461" t="str">
            <v>0</v>
          </cell>
          <cell r="BE461" t="str">
            <v>0</v>
          </cell>
          <cell r="BF461" t="str">
            <v>0</v>
          </cell>
          <cell r="BG461" t="str">
            <v>0</v>
          </cell>
          <cell r="BH461" t="str">
            <v>0</v>
          </cell>
          <cell r="BI461" t="str">
            <v>0</v>
          </cell>
          <cell r="BJ461" t="str">
            <v>0</v>
          </cell>
          <cell r="BK461" t="str">
            <v>0</v>
          </cell>
          <cell r="BL461" t="str">
            <v>0</v>
          </cell>
          <cell r="BM461" t="str">
            <v>0</v>
          </cell>
          <cell r="BN461" t="str">
            <v>0</v>
          </cell>
          <cell r="BO461" t="str">
            <v>0</v>
          </cell>
          <cell r="BP461" t="str">
            <v>0</v>
          </cell>
          <cell r="BQ461" t="str">
            <v>0</v>
          </cell>
          <cell r="BR461" t="str">
            <v>0</v>
          </cell>
          <cell r="BS461" t="str">
            <v>0</v>
          </cell>
          <cell r="BT461" t="str">
            <v>0</v>
          </cell>
          <cell r="BU461" t="str">
            <v>0</v>
          </cell>
          <cell r="BV461" t="str">
            <v>0</v>
          </cell>
          <cell r="BW461" t="str">
            <v>0</v>
          </cell>
          <cell r="BX461" t="str">
            <v>0</v>
          </cell>
          <cell r="BY461" t="str">
            <v>0</v>
          </cell>
          <cell r="BZ461" t="str">
            <v>0</v>
          </cell>
          <cell r="CA461" t="str">
            <v>0</v>
          </cell>
          <cell r="CB461" t="str">
            <v>0</v>
          </cell>
          <cell r="CC461" t="str">
            <v>0</v>
          </cell>
          <cell r="CD461" t="str">
            <v>0</v>
          </cell>
          <cell r="CE461" t="str">
            <v>0</v>
          </cell>
          <cell r="CF461" t="str">
            <v>0</v>
          </cell>
          <cell r="CG461" t="str">
            <v>0</v>
          </cell>
          <cell r="CH461" t="str">
            <v>0</v>
          </cell>
          <cell r="CI461" t="str">
            <v>0</v>
          </cell>
          <cell r="CJ461" t="str">
            <v>0</v>
          </cell>
          <cell r="CK461" t="str">
            <v>0</v>
          </cell>
          <cell r="CL461" t="str">
            <v>0</v>
          </cell>
          <cell r="CM461" t="str">
            <v>0</v>
          </cell>
          <cell r="CN461" t="str">
            <v>0</v>
          </cell>
          <cell r="CO461" t="str">
            <v>0</v>
          </cell>
          <cell r="CP461" t="str">
            <v>0</v>
          </cell>
          <cell r="CQ461" t="str">
            <v>0</v>
          </cell>
          <cell r="CR461" t="str">
            <v>0</v>
          </cell>
          <cell r="CS461" t="str">
            <v>0</v>
          </cell>
          <cell r="CT461" t="str">
            <v>0</v>
          </cell>
          <cell r="CU461" t="str">
            <v>0</v>
          </cell>
          <cell r="CV461" t="str">
            <v>0</v>
          </cell>
          <cell r="CW461" t="str">
            <v>0</v>
          </cell>
          <cell r="CX461" t="str">
            <v>0</v>
          </cell>
          <cell r="CY461" t="str">
            <v>0</v>
          </cell>
          <cell r="CZ461" t="str">
            <v>0</v>
          </cell>
          <cell r="DA461" t="str">
            <v>0</v>
          </cell>
          <cell r="DB461" t="str">
            <v>0</v>
          </cell>
          <cell r="DC461" t="str">
            <v>0</v>
          </cell>
          <cell r="DD461" t="str">
            <v>0</v>
          </cell>
          <cell r="DE461" t="str">
            <v>0</v>
          </cell>
          <cell r="DF461" t="str">
            <v>0</v>
          </cell>
          <cell r="DG461" t="str">
            <v>0</v>
          </cell>
          <cell r="DH461" t="str">
            <v>0</v>
          </cell>
          <cell r="DI461" t="str">
            <v>0</v>
          </cell>
          <cell r="DJ461" t="str">
            <v>0</v>
          </cell>
          <cell r="DK461" t="str">
            <v>0</v>
          </cell>
          <cell r="DL461" t="str">
            <v>0</v>
          </cell>
          <cell r="DM461" t="str">
            <v>0</v>
          </cell>
          <cell r="DN461" t="str">
            <v>0</v>
          </cell>
          <cell r="DO461" t="str">
            <v>0</v>
          </cell>
          <cell r="DP461" t="str">
            <v>0</v>
          </cell>
        </row>
        <row r="462">
          <cell r="C462"/>
          <cell r="D462" t="str">
            <v>0</v>
          </cell>
          <cell r="E462" t="str">
            <v>0</v>
          </cell>
          <cell r="F462" t="str">
            <v>0</v>
          </cell>
          <cell r="G462" t="str">
            <v>0</v>
          </cell>
          <cell r="H462" t="str">
            <v>0</v>
          </cell>
          <cell r="I462" t="str">
            <v>0</v>
          </cell>
          <cell r="J462" t="str">
            <v>0</v>
          </cell>
          <cell r="K462" t="str">
            <v>0</v>
          </cell>
          <cell r="L462" t="str">
            <v>0</v>
          </cell>
          <cell r="M462" t="str">
            <v>0</v>
          </cell>
          <cell r="N462" t="str">
            <v>0</v>
          </cell>
          <cell r="O462" t="str">
            <v>0</v>
          </cell>
          <cell r="P462" t="str">
            <v>0</v>
          </cell>
          <cell r="Q462" t="str">
            <v>0</v>
          </cell>
          <cell r="R462" t="str">
            <v>0</v>
          </cell>
          <cell r="S462" t="str">
            <v>0</v>
          </cell>
          <cell r="T462" t="str">
            <v>0</v>
          </cell>
          <cell r="U462" t="str">
            <v>0</v>
          </cell>
          <cell r="V462" t="str">
            <v>0</v>
          </cell>
          <cell r="W462" t="str">
            <v>0</v>
          </cell>
          <cell r="X462" t="str">
            <v>0</v>
          </cell>
          <cell r="Y462" t="str">
            <v>0</v>
          </cell>
          <cell r="Z462" t="str">
            <v>0</v>
          </cell>
          <cell r="AA462" t="str">
            <v>0</v>
          </cell>
          <cell r="AB462" t="str">
            <v>0</v>
          </cell>
          <cell r="AC462" t="str">
            <v>0</v>
          </cell>
          <cell r="AD462" t="str">
            <v>0</v>
          </cell>
          <cell r="AE462" t="str">
            <v>0</v>
          </cell>
          <cell r="AF462" t="str">
            <v>0</v>
          </cell>
          <cell r="AG462" t="str">
            <v>0</v>
          </cell>
          <cell r="AH462" t="str">
            <v>0</v>
          </cell>
          <cell r="AI462" t="str">
            <v>0</v>
          </cell>
          <cell r="AJ462" t="str">
            <v>0</v>
          </cell>
          <cell r="AK462" t="str">
            <v>0</v>
          </cell>
          <cell r="AL462" t="str">
            <v>0</v>
          </cell>
          <cell r="AM462" t="str">
            <v>0</v>
          </cell>
          <cell r="AN462" t="str">
            <v>0</v>
          </cell>
          <cell r="AO462" t="str">
            <v>0</v>
          </cell>
          <cell r="AP462" t="str">
            <v>0</v>
          </cell>
          <cell r="AQ462" t="str">
            <v>0</v>
          </cell>
          <cell r="AR462" t="str">
            <v>0</v>
          </cell>
          <cell r="AS462" t="str">
            <v>0</v>
          </cell>
          <cell r="AT462" t="str">
            <v>0</v>
          </cell>
          <cell r="AU462" t="str">
            <v>0</v>
          </cell>
          <cell r="AV462" t="str">
            <v>0</v>
          </cell>
          <cell r="AW462" t="str">
            <v>0</v>
          </cell>
          <cell r="AX462" t="str">
            <v>0</v>
          </cell>
          <cell r="AY462" t="str">
            <v>0</v>
          </cell>
          <cell r="AZ462" t="str">
            <v>0</v>
          </cell>
          <cell r="BA462" t="str">
            <v>0</v>
          </cell>
          <cell r="BB462" t="str">
            <v>0</v>
          </cell>
          <cell r="BC462" t="str">
            <v>0</v>
          </cell>
          <cell r="BD462" t="str">
            <v>0</v>
          </cell>
          <cell r="BE462" t="str">
            <v>0</v>
          </cell>
          <cell r="BF462" t="str">
            <v>0</v>
          </cell>
          <cell r="BG462" t="str">
            <v>0</v>
          </cell>
          <cell r="BH462" t="str">
            <v>0</v>
          </cell>
          <cell r="BI462" t="str">
            <v>0</v>
          </cell>
          <cell r="BJ462" t="str">
            <v>0</v>
          </cell>
          <cell r="BK462" t="str">
            <v>0</v>
          </cell>
          <cell r="BL462" t="str">
            <v>0</v>
          </cell>
          <cell r="BM462" t="str">
            <v>0</v>
          </cell>
          <cell r="BN462" t="str">
            <v>0</v>
          </cell>
          <cell r="BO462" t="str">
            <v>0</v>
          </cell>
          <cell r="BP462" t="str">
            <v>0</v>
          </cell>
          <cell r="BQ462" t="str">
            <v>0</v>
          </cell>
          <cell r="BR462" t="str">
            <v>0</v>
          </cell>
          <cell r="BS462" t="str">
            <v>0</v>
          </cell>
          <cell r="BT462" t="str">
            <v>0</v>
          </cell>
          <cell r="BU462" t="str">
            <v>0</v>
          </cell>
          <cell r="BV462" t="str">
            <v>0</v>
          </cell>
          <cell r="BW462" t="str">
            <v>0</v>
          </cell>
          <cell r="BX462" t="str">
            <v>0</v>
          </cell>
          <cell r="BY462" t="str">
            <v>0</v>
          </cell>
          <cell r="BZ462" t="str">
            <v>0</v>
          </cell>
          <cell r="CA462" t="str">
            <v>0</v>
          </cell>
          <cell r="CB462" t="str">
            <v>0</v>
          </cell>
          <cell r="CC462" t="str">
            <v>0</v>
          </cell>
          <cell r="CD462" t="str">
            <v>0</v>
          </cell>
          <cell r="CE462" t="str">
            <v>0</v>
          </cell>
          <cell r="CF462" t="str">
            <v>0</v>
          </cell>
          <cell r="CG462" t="str">
            <v>0</v>
          </cell>
          <cell r="CH462" t="str">
            <v>0</v>
          </cell>
          <cell r="CI462" t="str">
            <v>0</v>
          </cell>
          <cell r="CJ462" t="str">
            <v>0</v>
          </cell>
          <cell r="CK462" t="str">
            <v>0</v>
          </cell>
          <cell r="CL462" t="str">
            <v>0</v>
          </cell>
          <cell r="CM462" t="str">
            <v>0</v>
          </cell>
          <cell r="CN462" t="str">
            <v>0</v>
          </cell>
          <cell r="CO462" t="str">
            <v>0</v>
          </cell>
          <cell r="CP462" t="str">
            <v>0</v>
          </cell>
          <cell r="CQ462" t="str">
            <v>0</v>
          </cell>
          <cell r="CR462" t="str">
            <v>0</v>
          </cell>
          <cell r="CS462" t="str">
            <v>0</v>
          </cell>
          <cell r="CT462" t="str">
            <v>0</v>
          </cell>
          <cell r="CU462" t="str">
            <v>0</v>
          </cell>
          <cell r="CV462" t="str">
            <v>0</v>
          </cell>
          <cell r="CW462" t="str">
            <v>0</v>
          </cell>
          <cell r="CX462" t="str">
            <v>0</v>
          </cell>
          <cell r="CY462" t="str">
            <v>0</v>
          </cell>
          <cell r="CZ462" t="str">
            <v>0</v>
          </cell>
          <cell r="DA462" t="str">
            <v>0</v>
          </cell>
          <cell r="DB462" t="str">
            <v>0</v>
          </cell>
          <cell r="DC462" t="str">
            <v>0</v>
          </cell>
          <cell r="DD462" t="str">
            <v>0</v>
          </cell>
          <cell r="DE462" t="str">
            <v>0</v>
          </cell>
          <cell r="DF462" t="str">
            <v>0</v>
          </cell>
          <cell r="DG462" t="str">
            <v>0</v>
          </cell>
          <cell r="DH462" t="str">
            <v>0</v>
          </cell>
          <cell r="DI462" t="str">
            <v>0</v>
          </cell>
          <cell r="DJ462" t="str">
            <v>0</v>
          </cell>
          <cell r="DK462" t="str">
            <v>0</v>
          </cell>
          <cell r="DL462" t="str">
            <v>0</v>
          </cell>
          <cell r="DM462" t="str">
            <v>0</v>
          </cell>
          <cell r="DN462" t="str">
            <v>0</v>
          </cell>
          <cell r="DO462" t="str">
            <v>0</v>
          </cell>
          <cell r="DP462" t="str">
            <v>0</v>
          </cell>
        </row>
        <row r="463">
          <cell r="C463"/>
          <cell r="D463" t="str">
            <v>0</v>
          </cell>
          <cell r="E463" t="str">
            <v>0</v>
          </cell>
          <cell r="F463" t="str">
            <v>0</v>
          </cell>
          <cell r="G463" t="str">
            <v>0</v>
          </cell>
          <cell r="H463" t="str">
            <v>0</v>
          </cell>
          <cell r="I463" t="str">
            <v>0</v>
          </cell>
          <cell r="J463" t="str">
            <v>0</v>
          </cell>
          <cell r="K463" t="str">
            <v>0</v>
          </cell>
          <cell r="L463" t="str">
            <v>0</v>
          </cell>
          <cell r="M463" t="str">
            <v>0</v>
          </cell>
          <cell r="N463" t="str">
            <v>0</v>
          </cell>
          <cell r="O463" t="str">
            <v>0</v>
          </cell>
          <cell r="P463" t="str">
            <v>0</v>
          </cell>
          <cell r="Q463" t="str">
            <v>0</v>
          </cell>
          <cell r="R463" t="str">
            <v>0</v>
          </cell>
          <cell r="S463" t="str">
            <v>0</v>
          </cell>
          <cell r="T463" t="str">
            <v>0</v>
          </cell>
          <cell r="U463" t="str">
            <v>0</v>
          </cell>
          <cell r="V463" t="str">
            <v>0</v>
          </cell>
          <cell r="W463" t="str">
            <v>0</v>
          </cell>
          <cell r="X463" t="str">
            <v>0</v>
          </cell>
          <cell r="Y463" t="str">
            <v>0</v>
          </cell>
          <cell r="Z463" t="str">
            <v>0</v>
          </cell>
          <cell r="AA463" t="str">
            <v>0</v>
          </cell>
          <cell r="AB463" t="str">
            <v>0</v>
          </cell>
          <cell r="AC463" t="str">
            <v>0</v>
          </cell>
          <cell r="AD463" t="str">
            <v>0</v>
          </cell>
          <cell r="AE463" t="str">
            <v>0</v>
          </cell>
          <cell r="AF463" t="str">
            <v>0</v>
          </cell>
          <cell r="AG463" t="str">
            <v>0</v>
          </cell>
          <cell r="AH463" t="str">
            <v>0</v>
          </cell>
          <cell r="AI463" t="str">
            <v>0</v>
          </cell>
          <cell r="AJ463" t="str">
            <v>0</v>
          </cell>
          <cell r="AK463" t="str">
            <v>0</v>
          </cell>
          <cell r="AL463" t="str">
            <v>0</v>
          </cell>
          <cell r="AM463" t="str">
            <v>0</v>
          </cell>
          <cell r="AN463" t="str">
            <v>0</v>
          </cell>
          <cell r="AO463" t="str">
            <v>0</v>
          </cell>
          <cell r="AP463" t="str">
            <v>0</v>
          </cell>
          <cell r="AQ463" t="str">
            <v>0</v>
          </cell>
          <cell r="AR463" t="str">
            <v>0</v>
          </cell>
          <cell r="AS463" t="str">
            <v>0</v>
          </cell>
          <cell r="AT463" t="str">
            <v>0</v>
          </cell>
          <cell r="AU463" t="str">
            <v>0</v>
          </cell>
          <cell r="AV463" t="str">
            <v>0</v>
          </cell>
          <cell r="AW463" t="str">
            <v>0</v>
          </cell>
          <cell r="AX463" t="str">
            <v>0</v>
          </cell>
          <cell r="AY463" t="str">
            <v>0</v>
          </cell>
          <cell r="AZ463" t="str">
            <v>0</v>
          </cell>
          <cell r="BA463" t="str">
            <v>0</v>
          </cell>
          <cell r="BB463" t="str">
            <v>0</v>
          </cell>
          <cell r="BC463" t="str">
            <v>0</v>
          </cell>
          <cell r="BD463" t="str">
            <v>0</v>
          </cell>
          <cell r="BE463" t="str">
            <v>0</v>
          </cell>
          <cell r="BF463" t="str">
            <v>0</v>
          </cell>
          <cell r="BG463" t="str">
            <v>0</v>
          </cell>
          <cell r="BH463" t="str">
            <v>0</v>
          </cell>
          <cell r="BI463" t="str">
            <v>0</v>
          </cell>
          <cell r="BJ463" t="str">
            <v>0</v>
          </cell>
          <cell r="BK463" t="str">
            <v>0</v>
          </cell>
          <cell r="BL463" t="str">
            <v>0</v>
          </cell>
          <cell r="BM463" t="str">
            <v>0</v>
          </cell>
          <cell r="BN463" t="str">
            <v>0</v>
          </cell>
          <cell r="BO463" t="str">
            <v>0</v>
          </cell>
          <cell r="BP463" t="str">
            <v>0</v>
          </cell>
          <cell r="BQ463" t="str">
            <v>0</v>
          </cell>
          <cell r="BR463" t="str">
            <v>0</v>
          </cell>
          <cell r="BS463" t="str">
            <v>0</v>
          </cell>
          <cell r="BT463" t="str">
            <v>0</v>
          </cell>
          <cell r="BU463" t="str">
            <v>0</v>
          </cell>
          <cell r="BV463" t="str">
            <v>0</v>
          </cell>
          <cell r="BW463" t="str">
            <v>0</v>
          </cell>
          <cell r="BX463" t="str">
            <v>0</v>
          </cell>
          <cell r="BY463" t="str">
            <v>0</v>
          </cell>
          <cell r="BZ463" t="str">
            <v>0</v>
          </cell>
          <cell r="CA463" t="str">
            <v>0</v>
          </cell>
          <cell r="CB463" t="str">
            <v>0</v>
          </cell>
          <cell r="CC463" t="str">
            <v>0</v>
          </cell>
          <cell r="CD463" t="str">
            <v>0</v>
          </cell>
          <cell r="CE463" t="str">
            <v>0</v>
          </cell>
          <cell r="CF463" t="str">
            <v>0</v>
          </cell>
          <cell r="CG463" t="str">
            <v>0</v>
          </cell>
          <cell r="CH463" t="str">
            <v>0</v>
          </cell>
          <cell r="CI463" t="str">
            <v>0</v>
          </cell>
          <cell r="CJ463" t="str">
            <v>0</v>
          </cell>
          <cell r="CK463" t="str">
            <v>0</v>
          </cell>
          <cell r="CL463" t="str">
            <v>0</v>
          </cell>
          <cell r="CM463" t="str">
            <v>0</v>
          </cell>
          <cell r="CN463" t="str">
            <v>0</v>
          </cell>
          <cell r="CO463" t="str">
            <v>0</v>
          </cell>
          <cell r="CP463" t="str">
            <v>0</v>
          </cell>
          <cell r="CQ463" t="str">
            <v>0</v>
          </cell>
          <cell r="CR463" t="str">
            <v>0</v>
          </cell>
          <cell r="CS463" t="str">
            <v>0</v>
          </cell>
          <cell r="CT463" t="str">
            <v>0</v>
          </cell>
          <cell r="CU463" t="str">
            <v>0</v>
          </cell>
          <cell r="CV463" t="str">
            <v>0</v>
          </cell>
          <cell r="CW463" t="str">
            <v>0</v>
          </cell>
          <cell r="CX463" t="str">
            <v>0</v>
          </cell>
          <cell r="CY463" t="str">
            <v>0</v>
          </cell>
          <cell r="CZ463" t="str">
            <v>0</v>
          </cell>
          <cell r="DA463" t="str">
            <v>0</v>
          </cell>
          <cell r="DB463" t="str">
            <v>0</v>
          </cell>
          <cell r="DC463" t="str">
            <v>0</v>
          </cell>
          <cell r="DD463" t="str">
            <v>0</v>
          </cell>
          <cell r="DE463" t="str">
            <v>0</v>
          </cell>
          <cell r="DF463" t="str">
            <v>0</v>
          </cell>
          <cell r="DG463" t="str">
            <v>0</v>
          </cell>
          <cell r="DH463" t="str">
            <v>0</v>
          </cell>
          <cell r="DI463" t="str">
            <v>0</v>
          </cell>
          <cell r="DJ463" t="str">
            <v>0</v>
          </cell>
          <cell r="DK463" t="str">
            <v>0</v>
          </cell>
          <cell r="DL463" t="str">
            <v>0</v>
          </cell>
          <cell r="DM463" t="str">
            <v>0</v>
          </cell>
          <cell r="DN463" t="str">
            <v>0</v>
          </cell>
          <cell r="DO463" t="str">
            <v>0</v>
          </cell>
          <cell r="DP463" t="str">
            <v>0</v>
          </cell>
        </row>
        <row r="464">
          <cell r="C464"/>
          <cell r="D464" t="str">
            <v>0</v>
          </cell>
          <cell r="E464" t="str">
            <v>0</v>
          </cell>
          <cell r="F464" t="str">
            <v>0</v>
          </cell>
          <cell r="G464" t="str">
            <v>0</v>
          </cell>
          <cell r="H464" t="str">
            <v>0</v>
          </cell>
          <cell r="I464" t="str">
            <v>0</v>
          </cell>
          <cell r="J464" t="str">
            <v>0</v>
          </cell>
          <cell r="K464" t="str">
            <v>0</v>
          </cell>
          <cell r="L464" t="str">
            <v>0</v>
          </cell>
          <cell r="M464" t="str">
            <v>0</v>
          </cell>
          <cell r="N464" t="str">
            <v>0</v>
          </cell>
          <cell r="O464" t="str">
            <v>0</v>
          </cell>
          <cell r="P464" t="str">
            <v>0</v>
          </cell>
          <cell r="Q464" t="str">
            <v>0</v>
          </cell>
          <cell r="R464" t="str">
            <v>0</v>
          </cell>
          <cell r="S464" t="str">
            <v>0</v>
          </cell>
          <cell r="T464" t="str">
            <v>0</v>
          </cell>
          <cell r="U464" t="str">
            <v>0</v>
          </cell>
          <cell r="V464" t="str">
            <v>0</v>
          </cell>
          <cell r="W464" t="str">
            <v>0</v>
          </cell>
          <cell r="X464" t="str">
            <v>0</v>
          </cell>
          <cell r="Y464" t="str">
            <v>0</v>
          </cell>
          <cell r="Z464" t="str">
            <v>0</v>
          </cell>
          <cell r="AA464" t="str">
            <v>0</v>
          </cell>
          <cell r="AB464" t="str">
            <v>0</v>
          </cell>
          <cell r="AC464" t="str">
            <v>0</v>
          </cell>
          <cell r="AD464" t="str">
            <v>0</v>
          </cell>
          <cell r="AE464" t="str">
            <v>0</v>
          </cell>
          <cell r="AF464" t="str">
            <v>0</v>
          </cell>
          <cell r="AG464" t="str">
            <v>0</v>
          </cell>
          <cell r="AH464" t="str">
            <v>0</v>
          </cell>
          <cell r="AI464" t="str">
            <v>0</v>
          </cell>
          <cell r="AJ464" t="str">
            <v>0</v>
          </cell>
          <cell r="AK464" t="str">
            <v>0</v>
          </cell>
          <cell r="AL464" t="str">
            <v>0</v>
          </cell>
          <cell r="AM464" t="str">
            <v>0</v>
          </cell>
          <cell r="AN464" t="str">
            <v>0</v>
          </cell>
          <cell r="AO464" t="str">
            <v>0</v>
          </cell>
          <cell r="AP464" t="str">
            <v>0</v>
          </cell>
          <cell r="AQ464" t="str">
            <v>0</v>
          </cell>
          <cell r="AR464" t="str">
            <v>0</v>
          </cell>
          <cell r="AS464" t="str">
            <v>0</v>
          </cell>
          <cell r="AT464" t="str">
            <v>0</v>
          </cell>
          <cell r="AU464" t="str">
            <v>0</v>
          </cell>
          <cell r="AV464" t="str">
            <v>0</v>
          </cell>
          <cell r="AW464" t="str">
            <v>0</v>
          </cell>
          <cell r="AX464" t="str">
            <v>0</v>
          </cell>
          <cell r="AY464" t="str">
            <v>0</v>
          </cell>
          <cell r="AZ464" t="str">
            <v>0</v>
          </cell>
          <cell r="BA464" t="str">
            <v>0</v>
          </cell>
          <cell r="BB464" t="str">
            <v>0</v>
          </cell>
          <cell r="BC464" t="str">
            <v>0</v>
          </cell>
          <cell r="BD464" t="str">
            <v>0</v>
          </cell>
          <cell r="BE464" t="str">
            <v>0</v>
          </cell>
          <cell r="BF464" t="str">
            <v>0</v>
          </cell>
          <cell r="BG464" t="str">
            <v>0</v>
          </cell>
          <cell r="BH464" t="str">
            <v>0</v>
          </cell>
          <cell r="BI464" t="str">
            <v>0</v>
          </cell>
          <cell r="BJ464" t="str">
            <v>0</v>
          </cell>
          <cell r="BK464" t="str">
            <v>0</v>
          </cell>
          <cell r="BL464" t="str">
            <v>0</v>
          </cell>
          <cell r="BM464" t="str">
            <v>0</v>
          </cell>
          <cell r="BN464" t="str">
            <v>0</v>
          </cell>
          <cell r="BO464" t="str">
            <v>0</v>
          </cell>
          <cell r="BP464" t="str">
            <v>0</v>
          </cell>
          <cell r="BQ464" t="str">
            <v>0</v>
          </cell>
          <cell r="BR464" t="str">
            <v>0</v>
          </cell>
          <cell r="BS464" t="str">
            <v>0</v>
          </cell>
          <cell r="BT464" t="str">
            <v>0</v>
          </cell>
          <cell r="BU464" t="str">
            <v>0</v>
          </cell>
          <cell r="BV464" t="str">
            <v>0</v>
          </cell>
          <cell r="BW464" t="str">
            <v>0</v>
          </cell>
          <cell r="BX464" t="str">
            <v>0</v>
          </cell>
          <cell r="BY464" t="str">
            <v>0</v>
          </cell>
          <cell r="BZ464" t="str">
            <v>0</v>
          </cell>
          <cell r="CA464" t="str">
            <v>0</v>
          </cell>
          <cell r="CB464" t="str">
            <v>0</v>
          </cell>
          <cell r="CC464" t="str">
            <v>0</v>
          </cell>
          <cell r="CD464" t="str">
            <v>0</v>
          </cell>
          <cell r="CE464" t="str">
            <v>0</v>
          </cell>
          <cell r="CF464" t="str">
            <v>0</v>
          </cell>
          <cell r="CG464" t="str">
            <v>0</v>
          </cell>
          <cell r="CH464" t="str">
            <v>0</v>
          </cell>
          <cell r="CI464" t="str">
            <v>0</v>
          </cell>
          <cell r="CJ464" t="str">
            <v>0</v>
          </cell>
          <cell r="CK464" t="str">
            <v>0</v>
          </cell>
          <cell r="CL464" t="str">
            <v>0</v>
          </cell>
          <cell r="CM464" t="str">
            <v>0</v>
          </cell>
          <cell r="CN464" t="str">
            <v>0</v>
          </cell>
          <cell r="CO464" t="str">
            <v>0</v>
          </cell>
          <cell r="CP464" t="str">
            <v>0</v>
          </cell>
          <cell r="CQ464" t="str">
            <v>0</v>
          </cell>
          <cell r="CR464" t="str">
            <v>0</v>
          </cell>
          <cell r="CS464" t="str">
            <v>0</v>
          </cell>
          <cell r="CT464" t="str">
            <v>0</v>
          </cell>
          <cell r="CU464" t="str">
            <v>0</v>
          </cell>
          <cell r="CV464" t="str">
            <v>0</v>
          </cell>
          <cell r="CW464" t="str">
            <v>0</v>
          </cell>
          <cell r="CX464" t="str">
            <v>0</v>
          </cell>
          <cell r="CY464" t="str">
            <v>0</v>
          </cell>
          <cell r="CZ464" t="str">
            <v>0</v>
          </cell>
          <cell r="DA464" t="str">
            <v>0</v>
          </cell>
          <cell r="DB464" t="str">
            <v>0</v>
          </cell>
          <cell r="DC464" t="str">
            <v>0</v>
          </cell>
          <cell r="DD464" t="str">
            <v>0</v>
          </cell>
          <cell r="DE464" t="str">
            <v>0</v>
          </cell>
          <cell r="DF464" t="str">
            <v>0</v>
          </cell>
          <cell r="DG464" t="str">
            <v>0</v>
          </cell>
          <cell r="DH464" t="str">
            <v>0</v>
          </cell>
          <cell r="DI464" t="str">
            <v>0</v>
          </cell>
          <cell r="DJ464" t="str">
            <v>0</v>
          </cell>
          <cell r="DK464" t="str">
            <v>0</v>
          </cell>
          <cell r="DL464" t="str">
            <v>0</v>
          </cell>
          <cell r="DM464" t="str">
            <v>0</v>
          </cell>
          <cell r="DN464" t="str">
            <v>0</v>
          </cell>
          <cell r="DO464" t="str">
            <v>0</v>
          </cell>
          <cell r="DP464" t="str">
            <v>0</v>
          </cell>
        </row>
        <row r="465">
          <cell r="C465"/>
          <cell r="D465" t="str">
            <v>0</v>
          </cell>
          <cell r="E465" t="str">
            <v>0</v>
          </cell>
          <cell r="F465" t="str">
            <v>0</v>
          </cell>
          <cell r="G465" t="str">
            <v>0</v>
          </cell>
          <cell r="H465" t="str">
            <v>0</v>
          </cell>
          <cell r="I465" t="str">
            <v>0</v>
          </cell>
          <cell r="J465" t="str">
            <v>0</v>
          </cell>
          <cell r="K465" t="str">
            <v>0</v>
          </cell>
          <cell r="L465" t="str">
            <v>0</v>
          </cell>
          <cell r="M465" t="str">
            <v>0</v>
          </cell>
          <cell r="N465" t="str">
            <v>0</v>
          </cell>
          <cell r="O465" t="str">
            <v>0</v>
          </cell>
          <cell r="P465" t="str">
            <v>0</v>
          </cell>
          <cell r="Q465" t="str">
            <v>0</v>
          </cell>
          <cell r="R465" t="str">
            <v>0</v>
          </cell>
          <cell r="S465" t="str">
            <v>0</v>
          </cell>
          <cell r="T465" t="str">
            <v>0</v>
          </cell>
          <cell r="U465" t="str">
            <v>0</v>
          </cell>
          <cell r="V465" t="str">
            <v>0</v>
          </cell>
          <cell r="W465" t="str">
            <v>0</v>
          </cell>
          <cell r="X465" t="str">
            <v>0</v>
          </cell>
          <cell r="Y465" t="str">
            <v>0</v>
          </cell>
          <cell r="Z465" t="str">
            <v>0</v>
          </cell>
          <cell r="AA465" t="str">
            <v>0</v>
          </cell>
          <cell r="AB465" t="str">
            <v>0</v>
          </cell>
          <cell r="AC465" t="str">
            <v>0</v>
          </cell>
          <cell r="AD465" t="str">
            <v>0</v>
          </cell>
          <cell r="AE465" t="str">
            <v>0</v>
          </cell>
          <cell r="AF465" t="str">
            <v>0</v>
          </cell>
          <cell r="AG465" t="str">
            <v>0</v>
          </cell>
          <cell r="AH465" t="str">
            <v>0</v>
          </cell>
          <cell r="AI465" t="str">
            <v>0</v>
          </cell>
          <cell r="AJ465" t="str">
            <v>0</v>
          </cell>
          <cell r="AK465" t="str">
            <v>0</v>
          </cell>
          <cell r="AL465" t="str">
            <v>0</v>
          </cell>
          <cell r="AM465" t="str">
            <v>0</v>
          </cell>
          <cell r="AN465" t="str">
            <v>0</v>
          </cell>
          <cell r="AO465" t="str">
            <v>0</v>
          </cell>
          <cell r="AP465" t="str">
            <v>0</v>
          </cell>
          <cell r="AQ465" t="str">
            <v>0</v>
          </cell>
          <cell r="AR465" t="str">
            <v>0</v>
          </cell>
          <cell r="AS465" t="str">
            <v>0</v>
          </cell>
          <cell r="AT465" t="str">
            <v>0</v>
          </cell>
          <cell r="AU465" t="str">
            <v>0</v>
          </cell>
          <cell r="AV465" t="str">
            <v>0</v>
          </cell>
          <cell r="AW465" t="str">
            <v>0</v>
          </cell>
          <cell r="AX465" t="str">
            <v>0</v>
          </cell>
          <cell r="AY465" t="str">
            <v>0</v>
          </cell>
          <cell r="AZ465" t="str">
            <v>0</v>
          </cell>
          <cell r="BA465" t="str">
            <v>0</v>
          </cell>
          <cell r="BB465" t="str">
            <v>0</v>
          </cell>
          <cell r="BC465" t="str">
            <v>0</v>
          </cell>
          <cell r="BD465" t="str">
            <v>0</v>
          </cell>
          <cell r="BE465" t="str">
            <v>0</v>
          </cell>
          <cell r="BF465" t="str">
            <v>0</v>
          </cell>
          <cell r="BG465" t="str">
            <v>0</v>
          </cell>
          <cell r="BH465" t="str">
            <v>0</v>
          </cell>
          <cell r="BI465" t="str">
            <v>0</v>
          </cell>
          <cell r="BJ465" t="str">
            <v>0</v>
          </cell>
          <cell r="BK465" t="str">
            <v>0</v>
          </cell>
          <cell r="BL465" t="str">
            <v>0</v>
          </cell>
          <cell r="BM465" t="str">
            <v>0</v>
          </cell>
          <cell r="BN465" t="str">
            <v>0</v>
          </cell>
          <cell r="BO465" t="str">
            <v>0</v>
          </cell>
          <cell r="BP465" t="str">
            <v>0</v>
          </cell>
          <cell r="BQ465" t="str">
            <v>0</v>
          </cell>
          <cell r="BR465" t="str">
            <v>0</v>
          </cell>
          <cell r="BS465" t="str">
            <v>0</v>
          </cell>
          <cell r="BT465" t="str">
            <v>0</v>
          </cell>
          <cell r="BU465" t="str">
            <v>0</v>
          </cell>
          <cell r="BV465" t="str">
            <v>0</v>
          </cell>
          <cell r="BW465" t="str">
            <v>0</v>
          </cell>
          <cell r="BX465" t="str">
            <v>0</v>
          </cell>
          <cell r="BY465" t="str">
            <v>0</v>
          </cell>
          <cell r="BZ465" t="str">
            <v>0</v>
          </cell>
          <cell r="CA465" t="str">
            <v>0</v>
          </cell>
          <cell r="CB465" t="str">
            <v>0</v>
          </cell>
          <cell r="CC465" t="str">
            <v>0</v>
          </cell>
          <cell r="CD465" t="str">
            <v>0</v>
          </cell>
          <cell r="CE465" t="str">
            <v>0</v>
          </cell>
          <cell r="CF465" t="str">
            <v>0</v>
          </cell>
          <cell r="CG465" t="str">
            <v>0</v>
          </cell>
          <cell r="CH465" t="str">
            <v>0</v>
          </cell>
          <cell r="CI465" t="str">
            <v>0</v>
          </cell>
          <cell r="CJ465" t="str">
            <v>0</v>
          </cell>
          <cell r="CK465" t="str">
            <v>0</v>
          </cell>
          <cell r="CL465" t="str">
            <v>0</v>
          </cell>
          <cell r="CM465" t="str">
            <v>0</v>
          </cell>
          <cell r="CN465" t="str">
            <v>0</v>
          </cell>
          <cell r="CO465" t="str">
            <v>0</v>
          </cell>
          <cell r="CP465" t="str">
            <v>0</v>
          </cell>
          <cell r="CQ465" t="str">
            <v>0</v>
          </cell>
          <cell r="CR465" t="str">
            <v>0</v>
          </cell>
          <cell r="CS465" t="str">
            <v>0</v>
          </cell>
          <cell r="CT465" t="str">
            <v>0</v>
          </cell>
          <cell r="CU465" t="str">
            <v>0</v>
          </cell>
          <cell r="CV465" t="str">
            <v>0</v>
          </cell>
          <cell r="CW465" t="str">
            <v>0</v>
          </cell>
          <cell r="CX465" t="str">
            <v>0</v>
          </cell>
          <cell r="CY465" t="str">
            <v>0</v>
          </cell>
          <cell r="CZ465" t="str">
            <v>0</v>
          </cell>
          <cell r="DA465" t="str">
            <v>0</v>
          </cell>
          <cell r="DB465" t="str">
            <v>0</v>
          </cell>
          <cell r="DC465" t="str">
            <v>0</v>
          </cell>
          <cell r="DD465" t="str">
            <v>0</v>
          </cell>
          <cell r="DE465" t="str">
            <v>0</v>
          </cell>
          <cell r="DF465" t="str">
            <v>0</v>
          </cell>
          <cell r="DG465" t="str">
            <v>0</v>
          </cell>
          <cell r="DH465" t="str">
            <v>0</v>
          </cell>
          <cell r="DI465" t="str">
            <v>0</v>
          </cell>
          <cell r="DJ465" t="str">
            <v>0</v>
          </cell>
          <cell r="DK465" t="str">
            <v>0</v>
          </cell>
          <cell r="DL465" t="str">
            <v>0</v>
          </cell>
          <cell r="DM465" t="str">
            <v>0</v>
          </cell>
          <cell r="DN465" t="str">
            <v>0</v>
          </cell>
          <cell r="DO465" t="str">
            <v>0</v>
          </cell>
          <cell r="DP465" t="str">
            <v>0</v>
          </cell>
        </row>
        <row r="466">
          <cell r="C466"/>
          <cell r="D466" t="str">
            <v>0</v>
          </cell>
          <cell r="E466" t="str">
            <v>0</v>
          </cell>
          <cell r="F466" t="str">
            <v>0</v>
          </cell>
          <cell r="G466" t="str">
            <v>0</v>
          </cell>
          <cell r="H466" t="str">
            <v>0</v>
          </cell>
          <cell r="I466" t="str">
            <v>0</v>
          </cell>
          <cell r="J466" t="str">
            <v>0</v>
          </cell>
          <cell r="K466" t="str">
            <v>0</v>
          </cell>
          <cell r="L466" t="str">
            <v>0</v>
          </cell>
          <cell r="M466" t="str">
            <v>0</v>
          </cell>
          <cell r="N466" t="str">
            <v>0</v>
          </cell>
          <cell r="O466" t="str">
            <v>0</v>
          </cell>
          <cell r="P466" t="str">
            <v>0</v>
          </cell>
          <cell r="Q466" t="str">
            <v>0</v>
          </cell>
          <cell r="R466" t="str">
            <v>0</v>
          </cell>
          <cell r="S466" t="str">
            <v>0</v>
          </cell>
          <cell r="T466" t="str">
            <v>0</v>
          </cell>
          <cell r="U466" t="str">
            <v>0</v>
          </cell>
          <cell r="V466" t="str">
            <v>0</v>
          </cell>
          <cell r="W466" t="str">
            <v>0</v>
          </cell>
          <cell r="X466" t="str">
            <v>0</v>
          </cell>
          <cell r="Y466" t="str">
            <v>0</v>
          </cell>
          <cell r="Z466" t="str">
            <v>0</v>
          </cell>
          <cell r="AA466" t="str">
            <v>0</v>
          </cell>
          <cell r="AB466" t="str">
            <v>0</v>
          </cell>
          <cell r="AC466" t="str">
            <v>0</v>
          </cell>
          <cell r="AD466" t="str">
            <v>0</v>
          </cell>
          <cell r="AE466" t="str">
            <v>0</v>
          </cell>
          <cell r="AF466" t="str">
            <v>0</v>
          </cell>
          <cell r="AG466" t="str">
            <v>0</v>
          </cell>
          <cell r="AH466" t="str">
            <v>0</v>
          </cell>
          <cell r="AI466" t="str">
            <v>0</v>
          </cell>
          <cell r="AJ466" t="str">
            <v>0</v>
          </cell>
          <cell r="AK466" t="str">
            <v>0</v>
          </cell>
          <cell r="AL466" t="str">
            <v>0</v>
          </cell>
          <cell r="AM466" t="str">
            <v>0</v>
          </cell>
          <cell r="AN466" t="str">
            <v>0</v>
          </cell>
          <cell r="AO466" t="str">
            <v>0</v>
          </cell>
          <cell r="AP466" t="str">
            <v>0</v>
          </cell>
          <cell r="AQ466" t="str">
            <v>0</v>
          </cell>
          <cell r="AR466" t="str">
            <v>0</v>
          </cell>
          <cell r="AS466" t="str">
            <v>0</v>
          </cell>
          <cell r="AT466" t="str">
            <v>0</v>
          </cell>
          <cell r="AU466" t="str">
            <v>0</v>
          </cell>
          <cell r="AV466" t="str">
            <v>0</v>
          </cell>
          <cell r="AW466" t="str">
            <v>0</v>
          </cell>
          <cell r="AX466" t="str">
            <v>0</v>
          </cell>
          <cell r="AY466" t="str">
            <v>0</v>
          </cell>
          <cell r="AZ466" t="str">
            <v>0</v>
          </cell>
          <cell r="BA466" t="str">
            <v>0</v>
          </cell>
          <cell r="BB466" t="str">
            <v>0</v>
          </cell>
          <cell r="BC466" t="str">
            <v>0</v>
          </cell>
          <cell r="BD466" t="str">
            <v>0</v>
          </cell>
          <cell r="BE466" t="str">
            <v>0</v>
          </cell>
          <cell r="BF466" t="str">
            <v>0</v>
          </cell>
          <cell r="BG466" t="str">
            <v>0</v>
          </cell>
          <cell r="BH466" t="str">
            <v>0</v>
          </cell>
          <cell r="BI466" t="str">
            <v>0</v>
          </cell>
          <cell r="BJ466" t="str">
            <v>0</v>
          </cell>
          <cell r="BK466" t="str">
            <v>0</v>
          </cell>
          <cell r="BL466" t="str">
            <v>0</v>
          </cell>
          <cell r="BM466" t="str">
            <v>0</v>
          </cell>
          <cell r="BN466" t="str">
            <v>0</v>
          </cell>
          <cell r="BO466" t="str">
            <v>0</v>
          </cell>
          <cell r="BP466" t="str">
            <v>0</v>
          </cell>
          <cell r="BQ466" t="str">
            <v>0</v>
          </cell>
          <cell r="BR466" t="str">
            <v>0</v>
          </cell>
          <cell r="BS466" t="str">
            <v>0</v>
          </cell>
          <cell r="BT466" t="str">
            <v>0</v>
          </cell>
          <cell r="BU466" t="str">
            <v>0</v>
          </cell>
          <cell r="BV466" t="str">
            <v>0</v>
          </cell>
          <cell r="BW466" t="str">
            <v>0</v>
          </cell>
          <cell r="BX466" t="str">
            <v>0</v>
          </cell>
          <cell r="BY466" t="str">
            <v>0</v>
          </cell>
          <cell r="BZ466" t="str">
            <v>0</v>
          </cell>
          <cell r="CA466" t="str">
            <v>0</v>
          </cell>
          <cell r="CB466" t="str">
            <v>0</v>
          </cell>
          <cell r="CC466" t="str">
            <v>0</v>
          </cell>
          <cell r="CD466" t="str">
            <v>0</v>
          </cell>
          <cell r="CE466" t="str">
            <v>0</v>
          </cell>
          <cell r="CF466" t="str">
            <v>0</v>
          </cell>
          <cell r="CG466" t="str">
            <v>0</v>
          </cell>
          <cell r="CH466" t="str">
            <v>0</v>
          </cell>
          <cell r="CI466" t="str">
            <v>0</v>
          </cell>
          <cell r="CJ466" t="str">
            <v>0</v>
          </cell>
          <cell r="CK466" t="str">
            <v>0</v>
          </cell>
          <cell r="CL466" t="str">
            <v>0</v>
          </cell>
          <cell r="CM466" t="str">
            <v>0</v>
          </cell>
          <cell r="CN466" t="str">
            <v>0</v>
          </cell>
          <cell r="CO466" t="str">
            <v>0</v>
          </cell>
          <cell r="CP466" t="str">
            <v>0</v>
          </cell>
          <cell r="CQ466" t="str">
            <v>0</v>
          </cell>
          <cell r="CR466" t="str">
            <v>0</v>
          </cell>
          <cell r="CS466" t="str">
            <v>0</v>
          </cell>
          <cell r="CT466" t="str">
            <v>0</v>
          </cell>
          <cell r="CU466" t="str">
            <v>0</v>
          </cell>
          <cell r="CV466" t="str">
            <v>0</v>
          </cell>
          <cell r="CW466" t="str">
            <v>0</v>
          </cell>
          <cell r="CX466" t="str">
            <v>0</v>
          </cell>
          <cell r="CY466" t="str">
            <v>0</v>
          </cell>
          <cell r="CZ466" t="str">
            <v>0</v>
          </cell>
          <cell r="DA466" t="str">
            <v>0</v>
          </cell>
          <cell r="DB466" t="str">
            <v>0</v>
          </cell>
          <cell r="DC466" t="str">
            <v>0</v>
          </cell>
          <cell r="DD466" t="str">
            <v>0</v>
          </cell>
          <cell r="DE466" t="str">
            <v>0</v>
          </cell>
          <cell r="DF466" t="str">
            <v>0</v>
          </cell>
          <cell r="DG466" t="str">
            <v>0</v>
          </cell>
          <cell r="DH466" t="str">
            <v>0</v>
          </cell>
          <cell r="DI466" t="str">
            <v>0</v>
          </cell>
          <cell r="DJ466" t="str">
            <v>0</v>
          </cell>
          <cell r="DK466" t="str">
            <v>0</v>
          </cell>
          <cell r="DL466" t="str">
            <v>0</v>
          </cell>
          <cell r="DM466" t="str">
            <v>0</v>
          </cell>
          <cell r="DN466" t="str">
            <v>0</v>
          </cell>
          <cell r="DO466" t="str">
            <v>0</v>
          </cell>
          <cell r="DP466" t="str">
            <v>0</v>
          </cell>
        </row>
        <row r="467">
          <cell r="C467"/>
          <cell r="D467" t="str">
            <v>0</v>
          </cell>
          <cell r="E467" t="str">
            <v>0</v>
          </cell>
          <cell r="F467" t="str">
            <v>0</v>
          </cell>
          <cell r="G467" t="str">
            <v>0</v>
          </cell>
          <cell r="H467" t="str">
            <v>0</v>
          </cell>
          <cell r="I467" t="str">
            <v>0</v>
          </cell>
          <cell r="J467" t="str">
            <v>0</v>
          </cell>
          <cell r="K467" t="str">
            <v>0</v>
          </cell>
          <cell r="L467" t="str">
            <v>0</v>
          </cell>
          <cell r="M467" t="str">
            <v>0</v>
          </cell>
          <cell r="N467" t="str">
            <v>0</v>
          </cell>
          <cell r="O467" t="str">
            <v>0</v>
          </cell>
          <cell r="P467" t="str">
            <v>0</v>
          </cell>
          <cell r="Q467" t="str">
            <v>0</v>
          </cell>
          <cell r="R467" t="str">
            <v>0</v>
          </cell>
          <cell r="S467" t="str">
            <v>0</v>
          </cell>
          <cell r="T467" t="str">
            <v>0</v>
          </cell>
          <cell r="U467" t="str">
            <v>0</v>
          </cell>
          <cell r="V467" t="str">
            <v>0</v>
          </cell>
          <cell r="W467" t="str">
            <v>0</v>
          </cell>
          <cell r="X467" t="str">
            <v>0</v>
          </cell>
          <cell r="Y467" t="str">
            <v>0</v>
          </cell>
          <cell r="Z467" t="str">
            <v>0</v>
          </cell>
          <cell r="AA467" t="str">
            <v>0</v>
          </cell>
          <cell r="AB467" t="str">
            <v>0</v>
          </cell>
          <cell r="AC467" t="str">
            <v>0</v>
          </cell>
          <cell r="AD467" t="str">
            <v>0</v>
          </cell>
          <cell r="AE467" t="str">
            <v>0</v>
          </cell>
          <cell r="AF467" t="str">
            <v>0</v>
          </cell>
          <cell r="AG467" t="str">
            <v>0</v>
          </cell>
          <cell r="AH467" t="str">
            <v>0</v>
          </cell>
          <cell r="AI467" t="str">
            <v>0</v>
          </cell>
          <cell r="AJ467" t="str">
            <v>0</v>
          </cell>
          <cell r="AK467" t="str">
            <v>0</v>
          </cell>
          <cell r="AL467" t="str">
            <v>0</v>
          </cell>
          <cell r="AM467" t="str">
            <v>0</v>
          </cell>
          <cell r="AN467" t="str">
            <v>0</v>
          </cell>
          <cell r="AO467" t="str">
            <v>0</v>
          </cell>
          <cell r="AP467" t="str">
            <v>0</v>
          </cell>
          <cell r="AQ467" t="str">
            <v>0</v>
          </cell>
          <cell r="AR467" t="str">
            <v>0</v>
          </cell>
          <cell r="AS467" t="str">
            <v>0</v>
          </cell>
          <cell r="AT467" t="str">
            <v>0</v>
          </cell>
          <cell r="AU467" t="str">
            <v>0</v>
          </cell>
          <cell r="AV467" t="str">
            <v>0</v>
          </cell>
          <cell r="AW467" t="str">
            <v>0</v>
          </cell>
          <cell r="AX467" t="str">
            <v>0</v>
          </cell>
          <cell r="AY467" t="str">
            <v>0</v>
          </cell>
          <cell r="AZ467" t="str">
            <v>0</v>
          </cell>
          <cell r="BA467" t="str">
            <v>0</v>
          </cell>
          <cell r="BB467" t="str">
            <v>0</v>
          </cell>
          <cell r="BC467" t="str">
            <v>0</v>
          </cell>
          <cell r="BD467" t="str">
            <v>0</v>
          </cell>
          <cell r="BE467" t="str">
            <v>0</v>
          </cell>
          <cell r="BF467" t="str">
            <v>0</v>
          </cell>
          <cell r="BG467" t="str">
            <v>0</v>
          </cell>
          <cell r="BH467" t="str">
            <v>0</v>
          </cell>
          <cell r="BI467" t="str">
            <v>0</v>
          </cell>
          <cell r="BJ467" t="str">
            <v>0</v>
          </cell>
          <cell r="BK467" t="str">
            <v>0</v>
          </cell>
          <cell r="BL467" t="str">
            <v>0</v>
          </cell>
          <cell r="BM467" t="str">
            <v>0</v>
          </cell>
          <cell r="BN467" t="str">
            <v>0</v>
          </cell>
          <cell r="BO467" t="str">
            <v>0</v>
          </cell>
          <cell r="BP467" t="str">
            <v>0</v>
          </cell>
          <cell r="BQ467" t="str">
            <v>0</v>
          </cell>
          <cell r="BR467" t="str">
            <v>0</v>
          </cell>
          <cell r="BS467" t="str">
            <v>0</v>
          </cell>
          <cell r="BT467" t="str">
            <v>0</v>
          </cell>
          <cell r="BU467" t="str">
            <v>0</v>
          </cell>
          <cell r="BV467" t="str">
            <v>0</v>
          </cell>
          <cell r="BW467" t="str">
            <v>0</v>
          </cell>
          <cell r="BX467" t="str">
            <v>0</v>
          </cell>
          <cell r="BY467" t="str">
            <v>0</v>
          </cell>
          <cell r="BZ467" t="str">
            <v>0</v>
          </cell>
          <cell r="CA467" t="str">
            <v>0</v>
          </cell>
          <cell r="CB467" t="str">
            <v>0</v>
          </cell>
          <cell r="CC467" t="str">
            <v>0</v>
          </cell>
          <cell r="CD467" t="str">
            <v>0</v>
          </cell>
          <cell r="CE467" t="str">
            <v>0</v>
          </cell>
          <cell r="CF467" t="str">
            <v>0</v>
          </cell>
          <cell r="CG467" t="str">
            <v>0</v>
          </cell>
          <cell r="CH467" t="str">
            <v>0</v>
          </cell>
          <cell r="CI467" t="str">
            <v>0</v>
          </cell>
          <cell r="CJ467" t="str">
            <v>0</v>
          </cell>
          <cell r="CK467" t="str">
            <v>0</v>
          </cell>
          <cell r="CL467" t="str">
            <v>0</v>
          </cell>
          <cell r="CM467" t="str">
            <v>0</v>
          </cell>
          <cell r="CN467" t="str">
            <v>0</v>
          </cell>
          <cell r="CO467" t="str">
            <v>0</v>
          </cell>
          <cell r="CP467" t="str">
            <v>0</v>
          </cell>
          <cell r="CQ467" t="str">
            <v>0</v>
          </cell>
          <cell r="CR467" t="str">
            <v>0</v>
          </cell>
          <cell r="CS467" t="str">
            <v>0</v>
          </cell>
          <cell r="CT467" t="str">
            <v>0</v>
          </cell>
          <cell r="CU467" t="str">
            <v>0</v>
          </cell>
          <cell r="CV467" t="str">
            <v>0</v>
          </cell>
          <cell r="CW467" t="str">
            <v>0</v>
          </cell>
          <cell r="CX467" t="str">
            <v>0</v>
          </cell>
          <cell r="CY467" t="str">
            <v>0</v>
          </cell>
          <cell r="CZ467" t="str">
            <v>0</v>
          </cell>
          <cell r="DA467" t="str">
            <v>0</v>
          </cell>
          <cell r="DB467" t="str">
            <v>0</v>
          </cell>
          <cell r="DC467" t="str">
            <v>0</v>
          </cell>
          <cell r="DD467" t="str">
            <v>0</v>
          </cell>
          <cell r="DE467" t="str">
            <v>0</v>
          </cell>
          <cell r="DF467" t="str">
            <v>0</v>
          </cell>
          <cell r="DG467" t="str">
            <v>0</v>
          </cell>
          <cell r="DH467" t="str">
            <v>0</v>
          </cell>
          <cell r="DI467" t="str">
            <v>0</v>
          </cell>
          <cell r="DJ467" t="str">
            <v>0</v>
          </cell>
          <cell r="DK467" t="str">
            <v>0</v>
          </cell>
          <cell r="DL467" t="str">
            <v>0</v>
          </cell>
          <cell r="DM467" t="str">
            <v>0</v>
          </cell>
          <cell r="DN467" t="str">
            <v>0</v>
          </cell>
          <cell r="DO467" t="str">
            <v>0</v>
          </cell>
          <cell r="DP467" t="str">
            <v>0</v>
          </cell>
        </row>
        <row r="468">
          <cell r="C468"/>
          <cell r="D468" t="str">
            <v>0</v>
          </cell>
          <cell r="E468" t="str">
            <v>0</v>
          </cell>
          <cell r="F468" t="str">
            <v>0</v>
          </cell>
          <cell r="G468" t="str">
            <v>0</v>
          </cell>
          <cell r="H468" t="str">
            <v>0</v>
          </cell>
          <cell r="I468" t="str">
            <v>0</v>
          </cell>
          <cell r="J468" t="str">
            <v>0</v>
          </cell>
          <cell r="K468" t="str">
            <v>0</v>
          </cell>
          <cell r="L468" t="str">
            <v>0</v>
          </cell>
          <cell r="M468" t="str">
            <v>0</v>
          </cell>
          <cell r="N468" t="str">
            <v>0</v>
          </cell>
          <cell r="O468" t="str">
            <v>0</v>
          </cell>
          <cell r="P468" t="str">
            <v>0</v>
          </cell>
          <cell r="Q468" t="str">
            <v>0</v>
          </cell>
          <cell r="R468" t="str">
            <v>0</v>
          </cell>
          <cell r="S468" t="str">
            <v>0</v>
          </cell>
          <cell r="T468" t="str">
            <v>0</v>
          </cell>
          <cell r="U468" t="str">
            <v>0</v>
          </cell>
          <cell r="V468" t="str">
            <v>0</v>
          </cell>
          <cell r="W468" t="str">
            <v>0</v>
          </cell>
          <cell r="X468" t="str">
            <v>0</v>
          </cell>
          <cell r="Y468" t="str">
            <v>0</v>
          </cell>
          <cell r="Z468" t="str">
            <v>0</v>
          </cell>
          <cell r="AA468" t="str">
            <v>0</v>
          </cell>
          <cell r="AB468" t="str">
            <v>0</v>
          </cell>
          <cell r="AC468" t="str">
            <v>0</v>
          </cell>
          <cell r="AD468" t="str">
            <v>0</v>
          </cell>
          <cell r="AE468" t="str">
            <v>0</v>
          </cell>
          <cell r="AF468" t="str">
            <v>0</v>
          </cell>
          <cell r="AG468" t="str">
            <v>0</v>
          </cell>
          <cell r="AH468" t="str">
            <v>0</v>
          </cell>
          <cell r="AI468" t="str">
            <v>0</v>
          </cell>
          <cell r="AJ468" t="str">
            <v>0</v>
          </cell>
          <cell r="AK468" t="str">
            <v>0</v>
          </cell>
          <cell r="AL468" t="str">
            <v>0</v>
          </cell>
          <cell r="AM468" t="str">
            <v>0</v>
          </cell>
          <cell r="AN468" t="str">
            <v>0</v>
          </cell>
          <cell r="AO468" t="str">
            <v>0</v>
          </cell>
          <cell r="AP468" t="str">
            <v>0</v>
          </cell>
          <cell r="AQ468" t="str">
            <v>0</v>
          </cell>
          <cell r="AR468" t="str">
            <v>0</v>
          </cell>
          <cell r="AS468" t="str">
            <v>0</v>
          </cell>
          <cell r="AT468" t="str">
            <v>0</v>
          </cell>
          <cell r="AU468" t="str">
            <v>0</v>
          </cell>
          <cell r="AV468" t="str">
            <v>0</v>
          </cell>
          <cell r="AW468" t="str">
            <v>0</v>
          </cell>
          <cell r="AX468" t="str">
            <v>0</v>
          </cell>
          <cell r="AY468" t="str">
            <v>0</v>
          </cell>
          <cell r="AZ468" t="str">
            <v>0</v>
          </cell>
          <cell r="BA468" t="str">
            <v>0</v>
          </cell>
          <cell r="BB468" t="str">
            <v>0</v>
          </cell>
          <cell r="BC468" t="str">
            <v>0</v>
          </cell>
          <cell r="BD468" t="str">
            <v>0</v>
          </cell>
          <cell r="BE468" t="str">
            <v>0</v>
          </cell>
          <cell r="BF468" t="str">
            <v>0</v>
          </cell>
          <cell r="BG468" t="str">
            <v>0</v>
          </cell>
          <cell r="BH468" t="str">
            <v>0</v>
          </cell>
          <cell r="BI468" t="str">
            <v>0</v>
          </cell>
          <cell r="BJ468" t="str">
            <v>0</v>
          </cell>
          <cell r="BK468" t="str">
            <v>0</v>
          </cell>
          <cell r="BL468" t="str">
            <v>0</v>
          </cell>
          <cell r="BM468" t="str">
            <v>0</v>
          </cell>
          <cell r="BN468" t="str">
            <v>0</v>
          </cell>
          <cell r="BO468" t="str">
            <v>0</v>
          </cell>
          <cell r="BP468" t="str">
            <v>0</v>
          </cell>
          <cell r="BQ468" t="str">
            <v>0</v>
          </cell>
          <cell r="BR468" t="str">
            <v>0</v>
          </cell>
          <cell r="BS468" t="str">
            <v>0</v>
          </cell>
          <cell r="BT468" t="str">
            <v>0</v>
          </cell>
          <cell r="BU468" t="str">
            <v>0</v>
          </cell>
          <cell r="BV468" t="str">
            <v>0</v>
          </cell>
          <cell r="BW468" t="str">
            <v>0</v>
          </cell>
          <cell r="BX468" t="str">
            <v>0</v>
          </cell>
          <cell r="BY468" t="str">
            <v>0</v>
          </cell>
          <cell r="BZ468" t="str">
            <v>0</v>
          </cell>
          <cell r="CA468" t="str">
            <v>0</v>
          </cell>
          <cell r="CB468" t="str">
            <v>0</v>
          </cell>
          <cell r="CC468" t="str">
            <v>0</v>
          </cell>
          <cell r="CD468" t="str">
            <v>0</v>
          </cell>
          <cell r="CE468" t="str">
            <v>0</v>
          </cell>
          <cell r="CF468" t="str">
            <v>0</v>
          </cell>
          <cell r="CG468" t="str">
            <v>0</v>
          </cell>
          <cell r="CH468" t="str">
            <v>0</v>
          </cell>
          <cell r="CI468" t="str">
            <v>0</v>
          </cell>
          <cell r="CJ468" t="str">
            <v>0</v>
          </cell>
          <cell r="CK468" t="str">
            <v>0</v>
          </cell>
          <cell r="CL468" t="str">
            <v>0</v>
          </cell>
          <cell r="CM468" t="str">
            <v>0</v>
          </cell>
          <cell r="CN468" t="str">
            <v>0</v>
          </cell>
          <cell r="CO468" t="str">
            <v>0</v>
          </cell>
          <cell r="CP468" t="str">
            <v>0</v>
          </cell>
          <cell r="CQ468" t="str">
            <v>0</v>
          </cell>
          <cell r="CR468" t="str">
            <v>0</v>
          </cell>
          <cell r="CS468" t="str">
            <v>0</v>
          </cell>
          <cell r="CT468" t="str">
            <v>0</v>
          </cell>
          <cell r="CU468" t="str">
            <v>0</v>
          </cell>
          <cell r="CV468" t="str">
            <v>0</v>
          </cell>
          <cell r="CW468" t="str">
            <v>0</v>
          </cell>
          <cell r="CX468" t="str">
            <v>0</v>
          </cell>
          <cell r="CY468" t="str">
            <v>0</v>
          </cell>
          <cell r="CZ468" t="str">
            <v>0</v>
          </cell>
          <cell r="DA468" t="str">
            <v>0</v>
          </cell>
          <cell r="DB468" t="str">
            <v>0</v>
          </cell>
          <cell r="DC468" t="str">
            <v>0</v>
          </cell>
          <cell r="DD468" t="str">
            <v>0</v>
          </cell>
          <cell r="DE468" t="str">
            <v>0</v>
          </cell>
          <cell r="DF468" t="str">
            <v>0</v>
          </cell>
          <cell r="DG468" t="str">
            <v>0</v>
          </cell>
          <cell r="DH468" t="str">
            <v>0</v>
          </cell>
          <cell r="DI468" t="str">
            <v>0</v>
          </cell>
          <cell r="DJ468" t="str">
            <v>0</v>
          </cell>
          <cell r="DK468" t="str">
            <v>0</v>
          </cell>
          <cell r="DL468" t="str">
            <v>0</v>
          </cell>
          <cell r="DM468" t="str">
            <v>0</v>
          </cell>
          <cell r="DN468" t="str">
            <v>0</v>
          </cell>
          <cell r="DO468" t="str">
            <v>0</v>
          </cell>
          <cell r="DP468" t="str">
            <v>0</v>
          </cell>
        </row>
        <row r="469">
          <cell r="C469"/>
          <cell r="D469" t="str">
            <v>0</v>
          </cell>
          <cell r="E469" t="str">
            <v>0</v>
          </cell>
          <cell r="F469" t="str">
            <v>0</v>
          </cell>
          <cell r="G469" t="str">
            <v>0</v>
          </cell>
          <cell r="H469" t="str">
            <v>0</v>
          </cell>
          <cell r="I469" t="str">
            <v>0</v>
          </cell>
          <cell r="J469" t="str">
            <v>0</v>
          </cell>
          <cell r="K469" t="str">
            <v>0</v>
          </cell>
          <cell r="L469" t="str">
            <v>0</v>
          </cell>
          <cell r="M469" t="str">
            <v>0</v>
          </cell>
          <cell r="N469" t="str">
            <v>0</v>
          </cell>
          <cell r="O469" t="str">
            <v>0</v>
          </cell>
          <cell r="P469" t="str">
            <v>0</v>
          </cell>
          <cell r="Q469" t="str">
            <v>0</v>
          </cell>
          <cell r="R469" t="str">
            <v>0</v>
          </cell>
          <cell r="S469" t="str">
            <v>0</v>
          </cell>
          <cell r="T469" t="str">
            <v>0</v>
          </cell>
          <cell r="U469" t="str">
            <v>0</v>
          </cell>
          <cell r="V469" t="str">
            <v>0</v>
          </cell>
          <cell r="W469" t="str">
            <v>0</v>
          </cell>
          <cell r="X469" t="str">
            <v>0</v>
          </cell>
          <cell r="Y469" t="str">
            <v>0</v>
          </cell>
          <cell r="Z469" t="str">
            <v>0</v>
          </cell>
          <cell r="AA469" t="str">
            <v>0</v>
          </cell>
          <cell r="AB469" t="str">
            <v>0</v>
          </cell>
          <cell r="AC469" t="str">
            <v>0</v>
          </cell>
          <cell r="AD469" t="str">
            <v>0</v>
          </cell>
          <cell r="AE469" t="str">
            <v>0</v>
          </cell>
          <cell r="AF469" t="str">
            <v>0</v>
          </cell>
          <cell r="AG469" t="str">
            <v>0</v>
          </cell>
          <cell r="AH469" t="str">
            <v>0</v>
          </cell>
          <cell r="AI469" t="str">
            <v>0</v>
          </cell>
          <cell r="AJ469" t="str">
            <v>0</v>
          </cell>
          <cell r="AK469" t="str">
            <v>0</v>
          </cell>
          <cell r="AL469" t="str">
            <v>0</v>
          </cell>
          <cell r="AM469" t="str">
            <v>0</v>
          </cell>
          <cell r="AN469" t="str">
            <v>0</v>
          </cell>
          <cell r="AO469" t="str">
            <v>0</v>
          </cell>
          <cell r="AP469" t="str">
            <v>0</v>
          </cell>
          <cell r="AQ469" t="str">
            <v>0</v>
          </cell>
          <cell r="AR469" t="str">
            <v>0</v>
          </cell>
          <cell r="AS469" t="str">
            <v>0</v>
          </cell>
          <cell r="AT469" t="str">
            <v>0</v>
          </cell>
          <cell r="AU469" t="str">
            <v>0</v>
          </cell>
          <cell r="AV469" t="str">
            <v>0</v>
          </cell>
          <cell r="AW469" t="str">
            <v>0</v>
          </cell>
          <cell r="AX469" t="str">
            <v>0</v>
          </cell>
          <cell r="AY469" t="str">
            <v>0</v>
          </cell>
          <cell r="AZ469" t="str">
            <v>0</v>
          </cell>
          <cell r="BA469" t="str">
            <v>0</v>
          </cell>
          <cell r="BB469" t="str">
            <v>0</v>
          </cell>
          <cell r="BC469" t="str">
            <v>0</v>
          </cell>
          <cell r="BD469" t="str">
            <v>0</v>
          </cell>
          <cell r="BE469" t="str">
            <v>0</v>
          </cell>
          <cell r="BF469" t="str">
            <v>0</v>
          </cell>
          <cell r="BG469" t="str">
            <v>0</v>
          </cell>
          <cell r="BH469" t="str">
            <v>0</v>
          </cell>
          <cell r="BI469" t="str">
            <v>0</v>
          </cell>
          <cell r="BJ469" t="str">
            <v>0</v>
          </cell>
          <cell r="BK469" t="str">
            <v>0</v>
          </cell>
          <cell r="BL469" t="str">
            <v>0</v>
          </cell>
          <cell r="BM469" t="str">
            <v>0</v>
          </cell>
          <cell r="BN469" t="str">
            <v>0</v>
          </cell>
          <cell r="BO469" t="str">
            <v>0</v>
          </cell>
          <cell r="BP469" t="str">
            <v>0</v>
          </cell>
          <cell r="BQ469" t="str">
            <v>0</v>
          </cell>
          <cell r="BR469" t="str">
            <v>0</v>
          </cell>
          <cell r="BS469" t="str">
            <v>0</v>
          </cell>
          <cell r="BT469" t="str">
            <v>0</v>
          </cell>
          <cell r="BU469" t="str">
            <v>0</v>
          </cell>
          <cell r="BV469" t="str">
            <v>0</v>
          </cell>
          <cell r="BW469" t="str">
            <v>0</v>
          </cell>
          <cell r="BX469" t="str">
            <v>0</v>
          </cell>
          <cell r="BY469" t="str">
            <v>0</v>
          </cell>
          <cell r="BZ469" t="str">
            <v>0</v>
          </cell>
          <cell r="CA469" t="str">
            <v>0</v>
          </cell>
          <cell r="CB469" t="str">
            <v>0</v>
          </cell>
          <cell r="CC469" t="str">
            <v>0</v>
          </cell>
          <cell r="CD469" t="str">
            <v>0</v>
          </cell>
          <cell r="CE469" t="str">
            <v>0</v>
          </cell>
          <cell r="CF469" t="str">
            <v>0</v>
          </cell>
          <cell r="CG469" t="str">
            <v>0</v>
          </cell>
          <cell r="CH469" t="str">
            <v>0</v>
          </cell>
          <cell r="CI469" t="str">
            <v>0</v>
          </cell>
          <cell r="CJ469" t="str">
            <v>0</v>
          </cell>
          <cell r="CK469" t="str">
            <v>0</v>
          </cell>
          <cell r="CL469" t="str">
            <v>0</v>
          </cell>
          <cell r="CM469" t="str">
            <v>0</v>
          </cell>
          <cell r="CN469" t="str">
            <v>0</v>
          </cell>
          <cell r="CO469" t="str">
            <v>0</v>
          </cell>
          <cell r="CP469" t="str">
            <v>0</v>
          </cell>
          <cell r="CQ469" t="str">
            <v>0</v>
          </cell>
          <cell r="CR469" t="str">
            <v>0</v>
          </cell>
          <cell r="CS469" t="str">
            <v>0</v>
          </cell>
          <cell r="CT469" t="str">
            <v>0</v>
          </cell>
          <cell r="CU469" t="str">
            <v>0</v>
          </cell>
          <cell r="CV469" t="str">
            <v>0</v>
          </cell>
          <cell r="CW469" t="str">
            <v>0</v>
          </cell>
          <cell r="CX469" t="str">
            <v>0</v>
          </cell>
          <cell r="CY469" t="str">
            <v>0</v>
          </cell>
          <cell r="CZ469" t="str">
            <v>0</v>
          </cell>
          <cell r="DA469" t="str">
            <v>0</v>
          </cell>
          <cell r="DB469" t="str">
            <v>0</v>
          </cell>
          <cell r="DC469" t="str">
            <v>0</v>
          </cell>
          <cell r="DD469" t="str">
            <v>0</v>
          </cell>
          <cell r="DE469" t="str">
            <v>0</v>
          </cell>
          <cell r="DF469" t="str">
            <v>0</v>
          </cell>
          <cell r="DG469" t="str">
            <v>0</v>
          </cell>
          <cell r="DH469" t="str">
            <v>0</v>
          </cell>
          <cell r="DI469" t="str">
            <v>0</v>
          </cell>
          <cell r="DJ469" t="str">
            <v>0</v>
          </cell>
          <cell r="DK469" t="str">
            <v>0</v>
          </cell>
          <cell r="DL469" t="str">
            <v>0</v>
          </cell>
          <cell r="DM469" t="str">
            <v>0</v>
          </cell>
          <cell r="DN469" t="str">
            <v>0</v>
          </cell>
          <cell r="DO469" t="str">
            <v>0</v>
          </cell>
          <cell r="DP469" t="str">
            <v>0</v>
          </cell>
        </row>
        <row r="470">
          <cell r="C470"/>
          <cell r="D470" t="str">
            <v>0</v>
          </cell>
          <cell r="E470" t="str">
            <v>0</v>
          </cell>
          <cell r="F470" t="str">
            <v>0</v>
          </cell>
          <cell r="G470" t="str">
            <v>0</v>
          </cell>
          <cell r="H470" t="str">
            <v>0</v>
          </cell>
          <cell r="I470" t="str">
            <v>0</v>
          </cell>
          <cell r="J470" t="str">
            <v>0</v>
          </cell>
          <cell r="K470" t="str">
            <v>0</v>
          </cell>
          <cell r="L470" t="str">
            <v>0</v>
          </cell>
          <cell r="M470" t="str">
            <v>0</v>
          </cell>
          <cell r="N470" t="str">
            <v>0</v>
          </cell>
          <cell r="O470" t="str">
            <v>0</v>
          </cell>
          <cell r="P470" t="str">
            <v>0</v>
          </cell>
          <cell r="Q470" t="str">
            <v>0</v>
          </cell>
          <cell r="R470" t="str">
            <v>0</v>
          </cell>
          <cell r="S470" t="str">
            <v>0</v>
          </cell>
          <cell r="T470" t="str">
            <v>0</v>
          </cell>
          <cell r="U470" t="str">
            <v>0</v>
          </cell>
          <cell r="V470" t="str">
            <v>0</v>
          </cell>
          <cell r="W470" t="str">
            <v>0</v>
          </cell>
          <cell r="X470" t="str">
            <v>0</v>
          </cell>
          <cell r="Y470" t="str">
            <v>0</v>
          </cell>
          <cell r="Z470" t="str">
            <v>0</v>
          </cell>
          <cell r="AA470" t="str">
            <v>0</v>
          </cell>
          <cell r="AB470" t="str">
            <v>0</v>
          </cell>
          <cell r="AC470" t="str">
            <v>0</v>
          </cell>
          <cell r="AD470" t="str">
            <v>0</v>
          </cell>
          <cell r="AE470" t="str">
            <v>0</v>
          </cell>
          <cell r="AF470" t="str">
            <v>0</v>
          </cell>
          <cell r="AG470" t="str">
            <v>0</v>
          </cell>
          <cell r="AH470" t="str">
            <v>0</v>
          </cell>
          <cell r="AI470" t="str">
            <v>0</v>
          </cell>
          <cell r="AJ470" t="str">
            <v>0</v>
          </cell>
          <cell r="AK470" t="str">
            <v>0</v>
          </cell>
          <cell r="AL470" t="str">
            <v>0</v>
          </cell>
          <cell r="AM470" t="str">
            <v>0</v>
          </cell>
          <cell r="AN470" t="str">
            <v>0</v>
          </cell>
          <cell r="AO470" t="str">
            <v>0</v>
          </cell>
          <cell r="AP470" t="str">
            <v>0</v>
          </cell>
          <cell r="AQ470" t="str">
            <v>0</v>
          </cell>
          <cell r="AR470" t="str">
            <v>0</v>
          </cell>
          <cell r="AS470" t="str">
            <v>0</v>
          </cell>
          <cell r="AT470" t="str">
            <v>0</v>
          </cell>
          <cell r="AU470" t="str">
            <v>0</v>
          </cell>
          <cell r="AV470" t="str">
            <v>0</v>
          </cell>
          <cell r="AW470" t="str">
            <v>0</v>
          </cell>
          <cell r="AX470" t="str">
            <v>0</v>
          </cell>
          <cell r="AY470" t="str">
            <v>0</v>
          </cell>
          <cell r="AZ470" t="str">
            <v>0</v>
          </cell>
          <cell r="BA470" t="str">
            <v>0</v>
          </cell>
          <cell r="BB470" t="str">
            <v>0</v>
          </cell>
          <cell r="BC470" t="str">
            <v>0</v>
          </cell>
          <cell r="BD470" t="str">
            <v>0</v>
          </cell>
          <cell r="BE470" t="str">
            <v>0</v>
          </cell>
          <cell r="BF470" t="str">
            <v>0</v>
          </cell>
          <cell r="BG470" t="str">
            <v>0</v>
          </cell>
          <cell r="BH470" t="str">
            <v>0</v>
          </cell>
          <cell r="BI470" t="str">
            <v>0</v>
          </cell>
          <cell r="BJ470" t="str">
            <v>0</v>
          </cell>
          <cell r="BK470" t="str">
            <v>0</v>
          </cell>
          <cell r="BL470" t="str">
            <v>0</v>
          </cell>
          <cell r="BM470" t="str">
            <v>0</v>
          </cell>
          <cell r="BN470" t="str">
            <v>0</v>
          </cell>
          <cell r="BO470" t="str">
            <v>0</v>
          </cell>
          <cell r="BP470" t="str">
            <v>0</v>
          </cell>
          <cell r="BQ470" t="str">
            <v>0</v>
          </cell>
          <cell r="BR470" t="str">
            <v>0</v>
          </cell>
          <cell r="BS470" t="str">
            <v>0</v>
          </cell>
          <cell r="BT470" t="str">
            <v>0</v>
          </cell>
          <cell r="BU470" t="str">
            <v>0</v>
          </cell>
          <cell r="BV470" t="str">
            <v>0</v>
          </cell>
          <cell r="BW470" t="str">
            <v>0</v>
          </cell>
          <cell r="BX470" t="str">
            <v>0</v>
          </cell>
          <cell r="BY470" t="str">
            <v>0</v>
          </cell>
          <cell r="BZ470" t="str">
            <v>0</v>
          </cell>
          <cell r="CA470" t="str">
            <v>0</v>
          </cell>
          <cell r="CB470" t="str">
            <v>0</v>
          </cell>
          <cell r="CC470" t="str">
            <v>0</v>
          </cell>
          <cell r="CD470" t="str">
            <v>0</v>
          </cell>
          <cell r="CE470" t="str">
            <v>0</v>
          </cell>
          <cell r="CF470" t="str">
            <v>0</v>
          </cell>
          <cell r="CG470" t="str">
            <v>0</v>
          </cell>
          <cell r="CH470" t="str">
            <v>0</v>
          </cell>
          <cell r="CI470" t="str">
            <v>0</v>
          </cell>
          <cell r="CJ470" t="str">
            <v>0</v>
          </cell>
          <cell r="CK470" t="str">
            <v>0</v>
          </cell>
          <cell r="CL470" t="str">
            <v>0</v>
          </cell>
          <cell r="CM470" t="str">
            <v>0</v>
          </cell>
          <cell r="CN470" t="str">
            <v>0</v>
          </cell>
          <cell r="CO470" t="str">
            <v>0</v>
          </cell>
          <cell r="CP470" t="str">
            <v>0</v>
          </cell>
          <cell r="CQ470" t="str">
            <v>0</v>
          </cell>
          <cell r="CR470" t="str">
            <v>0</v>
          </cell>
          <cell r="CS470" t="str">
            <v>0</v>
          </cell>
          <cell r="CT470" t="str">
            <v>0</v>
          </cell>
          <cell r="CU470" t="str">
            <v>0</v>
          </cell>
          <cell r="CV470" t="str">
            <v>0</v>
          </cell>
          <cell r="CW470" t="str">
            <v>0</v>
          </cell>
          <cell r="CX470" t="str">
            <v>0</v>
          </cell>
          <cell r="CY470" t="str">
            <v>0</v>
          </cell>
          <cell r="CZ470" t="str">
            <v>0</v>
          </cell>
          <cell r="DA470" t="str">
            <v>0</v>
          </cell>
          <cell r="DB470" t="str">
            <v>0</v>
          </cell>
          <cell r="DC470" t="str">
            <v>0</v>
          </cell>
          <cell r="DD470" t="str">
            <v>0</v>
          </cell>
          <cell r="DE470" t="str">
            <v>0</v>
          </cell>
          <cell r="DF470" t="str">
            <v>0</v>
          </cell>
          <cell r="DG470" t="str">
            <v>0</v>
          </cell>
          <cell r="DH470" t="str">
            <v>0</v>
          </cell>
          <cell r="DI470" t="str">
            <v>0</v>
          </cell>
          <cell r="DJ470" t="str">
            <v>0</v>
          </cell>
          <cell r="DK470" t="str">
            <v>0</v>
          </cell>
          <cell r="DL470" t="str">
            <v>0</v>
          </cell>
          <cell r="DM470" t="str">
            <v>0</v>
          </cell>
          <cell r="DN470" t="str">
            <v>0</v>
          </cell>
          <cell r="DO470" t="str">
            <v>0</v>
          </cell>
          <cell r="DP470" t="str">
            <v>0</v>
          </cell>
        </row>
        <row r="471">
          <cell r="C471"/>
          <cell r="D471" t="str">
            <v>0</v>
          </cell>
          <cell r="E471" t="str">
            <v>0</v>
          </cell>
          <cell r="F471" t="str">
            <v>0</v>
          </cell>
          <cell r="G471" t="str">
            <v>0</v>
          </cell>
          <cell r="H471" t="str">
            <v>0</v>
          </cell>
          <cell r="I471" t="str">
            <v>0</v>
          </cell>
          <cell r="J471" t="str">
            <v>0</v>
          </cell>
          <cell r="K471" t="str">
            <v>0</v>
          </cell>
          <cell r="L471" t="str">
            <v>0</v>
          </cell>
          <cell r="M471" t="str">
            <v>0</v>
          </cell>
          <cell r="N471" t="str">
            <v>0</v>
          </cell>
          <cell r="O471" t="str">
            <v>0</v>
          </cell>
          <cell r="P471" t="str">
            <v>0</v>
          </cell>
          <cell r="Q471" t="str">
            <v>0</v>
          </cell>
          <cell r="R471" t="str">
            <v>0</v>
          </cell>
          <cell r="S471" t="str">
            <v>0</v>
          </cell>
          <cell r="T471" t="str">
            <v>0</v>
          </cell>
          <cell r="U471" t="str">
            <v>0</v>
          </cell>
          <cell r="V471" t="str">
            <v>0</v>
          </cell>
          <cell r="W471" t="str">
            <v>0</v>
          </cell>
          <cell r="X471" t="str">
            <v>0</v>
          </cell>
          <cell r="Y471" t="str">
            <v>0</v>
          </cell>
          <cell r="Z471" t="str">
            <v>0</v>
          </cell>
          <cell r="AA471" t="str">
            <v>0</v>
          </cell>
          <cell r="AB471" t="str">
            <v>0</v>
          </cell>
          <cell r="AC471" t="str">
            <v>0</v>
          </cell>
          <cell r="AD471" t="str">
            <v>0</v>
          </cell>
          <cell r="AE471" t="str">
            <v>0</v>
          </cell>
          <cell r="AF471" t="str">
            <v>0</v>
          </cell>
          <cell r="AG471" t="str">
            <v>0</v>
          </cell>
          <cell r="AH471" t="str">
            <v>0</v>
          </cell>
          <cell r="AI471" t="str">
            <v>0</v>
          </cell>
          <cell r="AJ471" t="str">
            <v>0</v>
          </cell>
          <cell r="AK471" t="str">
            <v>0</v>
          </cell>
          <cell r="AL471" t="str">
            <v>0</v>
          </cell>
          <cell r="AM471" t="str">
            <v>0</v>
          </cell>
          <cell r="AN471" t="str">
            <v>0</v>
          </cell>
          <cell r="AO471" t="str">
            <v>0</v>
          </cell>
          <cell r="AP471" t="str">
            <v>0</v>
          </cell>
          <cell r="AQ471" t="str">
            <v>0</v>
          </cell>
          <cell r="AR471" t="str">
            <v>0</v>
          </cell>
          <cell r="AS471" t="str">
            <v>0</v>
          </cell>
          <cell r="AT471" t="str">
            <v>0</v>
          </cell>
          <cell r="AU471" t="str">
            <v>0</v>
          </cell>
          <cell r="AV471" t="str">
            <v>0</v>
          </cell>
          <cell r="AW471" t="str">
            <v>0</v>
          </cell>
          <cell r="AX471" t="str">
            <v>0</v>
          </cell>
          <cell r="AY471" t="str">
            <v>0</v>
          </cell>
          <cell r="AZ471" t="str">
            <v>0</v>
          </cell>
          <cell r="BA471" t="str">
            <v>0</v>
          </cell>
          <cell r="BB471" t="str">
            <v>0</v>
          </cell>
          <cell r="BC471" t="str">
            <v>0</v>
          </cell>
          <cell r="BD471" t="str">
            <v>0</v>
          </cell>
          <cell r="BE471" t="str">
            <v>0</v>
          </cell>
          <cell r="BF471" t="str">
            <v>0</v>
          </cell>
          <cell r="BG471" t="str">
            <v>0</v>
          </cell>
          <cell r="BH471" t="str">
            <v>0</v>
          </cell>
          <cell r="BI471" t="str">
            <v>0</v>
          </cell>
          <cell r="BJ471" t="str">
            <v>0</v>
          </cell>
          <cell r="BK471" t="str">
            <v>0</v>
          </cell>
          <cell r="BL471" t="str">
            <v>0</v>
          </cell>
          <cell r="BM471" t="str">
            <v>0</v>
          </cell>
          <cell r="BN471" t="str">
            <v>0</v>
          </cell>
          <cell r="BO471" t="str">
            <v>0</v>
          </cell>
          <cell r="BP471" t="str">
            <v>0</v>
          </cell>
          <cell r="BQ471" t="str">
            <v>0</v>
          </cell>
          <cell r="BR471" t="str">
            <v>0</v>
          </cell>
          <cell r="BS471" t="str">
            <v>0</v>
          </cell>
          <cell r="BT471" t="str">
            <v>0</v>
          </cell>
          <cell r="BU471" t="str">
            <v>0</v>
          </cell>
          <cell r="BV471" t="str">
            <v>0</v>
          </cell>
          <cell r="BW471" t="str">
            <v>0</v>
          </cell>
          <cell r="BX471" t="str">
            <v>0</v>
          </cell>
          <cell r="BY471" t="str">
            <v>0</v>
          </cell>
          <cell r="BZ471" t="str">
            <v>0</v>
          </cell>
          <cell r="CA471" t="str">
            <v>0</v>
          </cell>
          <cell r="CB471" t="str">
            <v>0</v>
          </cell>
          <cell r="CC471" t="str">
            <v>0</v>
          </cell>
          <cell r="CD471" t="str">
            <v>0</v>
          </cell>
          <cell r="CE471" t="str">
            <v>0</v>
          </cell>
          <cell r="CF471" t="str">
            <v>0</v>
          </cell>
          <cell r="CG471" t="str">
            <v>0</v>
          </cell>
          <cell r="CH471" t="str">
            <v>0</v>
          </cell>
          <cell r="CI471" t="str">
            <v>0</v>
          </cell>
          <cell r="CJ471" t="str">
            <v>0</v>
          </cell>
          <cell r="CK471" t="str">
            <v>0</v>
          </cell>
          <cell r="CL471" t="str">
            <v>0</v>
          </cell>
          <cell r="CM471" t="str">
            <v>0</v>
          </cell>
          <cell r="CN471" t="str">
            <v>0</v>
          </cell>
          <cell r="CO471" t="str">
            <v>0</v>
          </cell>
          <cell r="CP471" t="str">
            <v>0</v>
          </cell>
          <cell r="CQ471" t="str">
            <v>0</v>
          </cell>
          <cell r="CR471" t="str">
            <v>0</v>
          </cell>
          <cell r="CS471" t="str">
            <v>0</v>
          </cell>
          <cell r="CT471" t="str">
            <v>0</v>
          </cell>
          <cell r="CU471" t="str">
            <v>0</v>
          </cell>
          <cell r="CV471" t="str">
            <v>0</v>
          </cell>
          <cell r="CW471" t="str">
            <v>0</v>
          </cell>
          <cell r="CX471" t="str">
            <v>0</v>
          </cell>
          <cell r="CY471" t="str">
            <v>0</v>
          </cell>
          <cell r="CZ471" t="str">
            <v>0</v>
          </cell>
          <cell r="DA471" t="str">
            <v>0</v>
          </cell>
          <cell r="DB471" t="str">
            <v>0</v>
          </cell>
          <cell r="DC471" t="str">
            <v>0</v>
          </cell>
          <cell r="DD471" t="str">
            <v>0</v>
          </cell>
          <cell r="DE471" t="str">
            <v>0</v>
          </cell>
          <cell r="DF471" t="str">
            <v>0</v>
          </cell>
          <cell r="DG471" t="str">
            <v>0</v>
          </cell>
          <cell r="DH471" t="str">
            <v>0</v>
          </cell>
          <cell r="DI471" t="str">
            <v>0</v>
          </cell>
          <cell r="DJ471" t="str">
            <v>0</v>
          </cell>
          <cell r="DK471" t="str">
            <v>0</v>
          </cell>
          <cell r="DL471" t="str">
            <v>0</v>
          </cell>
          <cell r="DM471" t="str">
            <v>0</v>
          </cell>
          <cell r="DN471" t="str">
            <v>0</v>
          </cell>
          <cell r="DO471" t="str">
            <v>0</v>
          </cell>
          <cell r="DP471" t="str">
            <v>0</v>
          </cell>
        </row>
        <row r="472">
          <cell r="C472"/>
          <cell r="D472" t="str">
            <v>0</v>
          </cell>
          <cell r="E472" t="str">
            <v>0</v>
          </cell>
          <cell r="F472" t="str">
            <v>0</v>
          </cell>
          <cell r="G472" t="str">
            <v>0</v>
          </cell>
          <cell r="H472" t="str">
            <v>0</v>
          </cell>
          <cell r="I472" t="str">
            <v>0</v>
          </cell>
          <cell r="J472" t="str">
            <v>0</v>
          </cell>
          <cell r="K472" t="str">
            <v>0</v>
          </cell>
          <cell r="L472" t="str">
            <v>0</v>
          </cell>
          <cell r="M472" t="str">
            <v>0</v>
          </cell>
          <cell r="N472" t="str">
            <v>0</v>
          </cell>
          <cell r="O472" t="str">
            <v>0</v>
          </cell>
          <cell r="P472" t="str">
            <v>0</v>
          </cell>
          <cell r="Q472" t="str">
            <v>0</v>
          </cell>
          <cell r="R472" t="str">
            <v>0</v>
          </cell>
          <cell r="S472" t="str">
            <v>0</v>
          </cell>
          <cell r="T472" t="str">
            <v>0</v>
          </cell>
          <cell r="U472" t="str">
            <v>0</v>
          </cell>
          <cell r="V472" t="str">
            <v>0</v>
          </cell>
          <cell r="W472" t="str">
            <v>0</v>
          </cell>
          <cell r="X472" t="str">
            <v>0</v>
          </cell>
          <cell r="Y472" t="str">
            <v>0</v>
          </cell>
          <cell r="Z472" t="str">
            <v>0</v>
          </cell>
          <cell r="AA472" t="str">
            <v>0</v>
          </cell>
          <cell r="AB472" t="str">
            <v>0</v>
          </cell>
          <cell r="AC472" t="str">
            <v>0</v>
          </cell>
          <cell r="AD472" t="str">
            <v>0</v>
          </cell>
          <cell r="AE472" t="str">
            <v>0</v>
          </cell>
          <cell r="AF472" t="str">
            <v>0</v>
          </cell>
          <cell r="AG472" t="str">
            <v>0</v>
          </cell>
          <cell r="AH472" t="str">
            <v>0</v>
          </cell>
          <cell r="AI472" t="str">
            <v>0</v>
          </cell>
          <cell r="AJ472" t="str">
            <v>0</v>
          </cell>
          <cell r="AK472" t="str">
            <v>0</v>
          </cell>
          <cell r="AL472" t="str">
            <v>0</v>
          </cell>
          <cell r="AM472" t="str">
            <v>0</v>
          </cell>
          <cell r="AN472" t="str">
            <v>0</v>
          </cell>
          <cell r="AO472" t="str">
            <v>0</v>
          </cell>
          <cell r="AP472" t="str">
            <v>0</v>
          </cell>
          <cell r="AQ472" t="str">
            <v>0</v>
          </cell>
          <cell r="AR472" t="str">
            <v>0</v>
          </cell>
          <cell r="AS472" t="str">
            <v>0</v>
          </cell>
          <cell r="AT472" t="str">
            <v>0</v>
          </cell>
          <cell r="AU472" t="str">
            <v>0</v>
          </cell>
          <cell r="AV472" t="str">
            <v>0</v>
          </cell>
          <cell r="AW472" t="str">
            <v>0</v>
          </cell>
          <cell r="AX472" t="str">
            <v>0</v>
          </cell>
          <cell r="AY472" t="str">
            <v>0</v>
          </cell>
          <cell r="AZ472" t="str">
            <v>0</v>
          </cell>
          <cell r="BA472" t="str">
            <v>0</v>
          </cell>
          <cell r="BB472" t="str">
            <v>0</v>
          </cell>
          <cell r="BC472" t="str">
            <v>0</v>
          </cell>
          <cell r="BD472" t="str">
            <v>0</v>
          </cell>
          <cell r="BE472" t="str">
            <v>0</v>
          </cell>
          <cell r="BF472" t="str">
            <v>0</v>
          </cell>
          <cell r="BG472" t="str">
            <v>0</v>
          </cell>
          <cell r="BH472" t="str">
            <v>0</v>
          </cell>
          <cell r="BI472" t="str">
            <v>0</v>
          </cell>
          <cell r="BJ472" t="str">
            <v>0</v>
          </cell>
          <cell r="BK472" t="str">
            <v>0</v>
          </cell>
          <cell r="BL472" t="str">
            <v>0</v>
          </cell>
          <cell r="BM472" t="str">
            <v>0</v>
          </cell>
          <cell r="BN472" t="str">
            <v>0</v>
          </cell>
          <cell r="BO472" t="str">
            <v>0</v>
          </cell>
          <cell r="BP472" t="str">
            <v>0</v>
          </cell>
          <cell r="BQ472" t="str">
            <v>0</v>
          </cell>
          <cell r="BR472" t="str">
            <v>0</v>
          </cell>
          <cell r="BS472" t="str">
            <v>0</v>
          </cell>
          <cell r="BT472" t="str">
            <v>0</v>
          </cell>
          <cell r="BU472" t="str">
            <v>0</v>
          </cell>
          <cell r="BV472" t="str">
            <v>0</v>
          </cell>
          <cell r="BW472" t="str">
            <v>0</v>
          </cell>
          <cell r="BX472" t="str">
            <v>0</v>
          </cell>
          <cell r="BY472" t="str">
            <v>0</v>
          </cell>
          <cell r="BZ472" t="str">
            <v>0</v>
          </cell>
          <cell r="CA472" t="str">
            <v>0</v>
          </cell>
          <cell r="CB472" t="str">
            <v>0</v>
          </cell>
          <cell r="CC472" t="str">
            <v>0</v>
          </cell>
          <cell r="CD472" t="str">
            <v>0</v>
          </cell>
          <cell r="CE472" t="str">
            <v>0</v>
          </cell>
          <cell r="CF472" t="str">
            <v>0</v>
          </cell>
          <cell r="CG472" t="str">
            <v>0</v>
          </cell>
          <cell r="CH472" t="str">
            <v>0</v>
          </cell>
          <cell r="CI472" t="str">
            <v>0</v>
          </cell>
          <cell r="CJ472" t="str">
            <v>0</v>
          </cell>
          <cell r="CK472" t="str">
            <v>0</v>
          </cell>
          <cell r="CL472" t="str">
            <v>0</v>
          </cell>
          <cell r="CM472" t="str">
            <v>0</v>
          </cell>
          <cell r="CN472" t="str">
            <v>0</v>
          </cell>
          <cell r="CO472" t="str">
            <v>0</v>
          </cell>
          <cell r="CP472" t="str">
            <v>0</v>
          </cell>
          <cell r="CQ472" t="str">
            <v>0</v>
          </cell>
          <cell r="CR472" t="str">
            <v>0</v>
          </cell>
          <cell r="CS472" t="str">
            <v>0</v>
          </cell>
          <cell r="CT472" t="str">
            <v>0</v>
          </cell>
          <cell r="CU472" t="str">
            <v>0</v>
          </cell>
          <cell r="CV472" t="str">
            <v>0</v>
          </cell>
          <cell r="CW472" t="str">
            <v>0</v>
          </cell>
          <cell r="CX472" t="str">
            <v>0</v>
          </cell>
          <cell r="CY472" t="str">
            <v>0</v>
          </cell>
          <cell r="CZ472" t="str">
            <v>0</v>
          </cell>
          <cell r="DA472" t="str">
            <v>0</v>
          </cell>
          <cell r="DB472" t="str">
            <v>0</v>
          </cell>
          <cell r="DC472" t="str">
            <v>0</v>
          </cell>
          <cell r="DD472" t="str">
            <v>0</v>
          </cell>
          <cell r="DE472" t="str">
            <v>0</v>
          </cell>
          <cell r="DF472" t="str">
            <v>0</v>
          </cell>
          <cell r="DG472" t="str">
            <v>0</v>
          </cell>
          <cell r="DH472" t="str">
            <v>0</v>
          </cell>
          <cell r="DI472" t="str">
            <v>0</v>
          </cell>
          <cell r="DJ472" t="str">
            <v>0</v>
          </cell>
          <cell r="DK472" t="str">
            <v>0</v>
          </cell>
          <cell r="DL472" t="str">
            <v>0</v>
          </cell>
          <cell r="DM472" t="str">
            <v>0</v>
          </cell>
          <cell r="DN472" t="str">
            <v>0</v>
          </cell>
          <cell r="DO472" t="str">
            <v>0</v>
          </cell>
          <cell r="DP472" t="str">
            <v>0</v>
          </cell>
        </row>
        <row r="473">
          <cell r="C473"/>
          <cell r="D473" t="str">
            <v>0</v>
          </cell>
          <cell r="E473" t="str">
            <v>0</v>
          </cell>
          <cell r="F473" t="str">
            <v>0</v>
          </cell>
          <cell r="G473" t="str">
            <v>0</v>
          </cell>
          <cell r="H473" t="str">
            <v>0</v>
          </cell>
          <cell r="I473" t="str">
            <v>0</v>
          </cell>
          <cell r="J473" t="str">
            <v>0</v>
          </cell>
          <cell r="K473" t="str">
            <v>0</v>
          </cell>
          <cell r="L473" t="str">
            <v>0</v>
          </cell>
          <cell r="M473" t="str">
            <v>0</v>
          </cell>
          <cell r="N473" t="str">
            <v>0</v>
          </cell>
          <cell r="O473" t="str">
            <v>0</v>
          </cell>
          <cell r="P473" t="str">
            <v>0</v>
          </cell>
          <cell r="Q473" t="str">
            <v>0</v>
          </cell>
          <cell r="R473" t="str">
            <v>0</v>
          </cell>
          <cell r="S473" t="str">
            <v>0</v>
          </cell>
          <cell r="T473" t="str">
            <v>0</v>
          </cell>
          <cell r="U473" t="str">
            <v>0</v>
          </cell>
          <cell r="V473" t="str">
            <v>0</v>
          </cell>
          <cell r="W473" t="str">
            <v>0</v>
          </cell>
          <cell r="X473" t="str">
            <v>0</v>
          </cell>
          <cell r="Y473" t="str">
            <v>0</v>
          </cell>
          <cell r="Z473" t="str">
            <v>0</v>
          </cell>
          <cell r="AA473" t="str">
            <v>0</v>
          </cell>
          <cell r="AB473" t="str">
            <v>0</v>
          </cell>
          <cell r="AC473" t="str">
            <v>0</v>
          </cell>
          <cell r="AD473" t="str">
            <v>0</v>
          </cell>
          <cell r="AE473" t="str">
            <v>0</v>
          </cell>
          <cell r="AF473" t="str">
            <v>0</v>
          </cell>
          <cell r="AG473" t="str">
            <v>0</v>
          </cell>
          <cell r="AH473" t="str">
            <v>0</v>
          </cell>
          <cell r="AI473" t="str">
            <v>0</v>
          </cell>
          <cell r="AJ473" t="str">
            <v>0</v>
          </cell>
          <cell r="AK473" t="str">
            <v>0</v>
          </cell>
          <cell r="AL473" t="str">
            <v>0</v>
          </cell>
          <cell r="AM473" t="str">
            <v>0</v>
          </cell>
          <cell r="AN473" t="str">
            <v>0</v>
          </cell>
          <cell r="AO473" t="str">
            <v>0</v>
          </cell>
          <cell r="AP473" t="str">
            <v>0</v>
          </cell>
          <cell r="AQ473" t="str">
            <v>0</v>
          </cell>
          <cell r="AR473" t="str">
            <v>0</v>
          </cell>
          <cell r="AS473" t="str">
            <v>0</v>
          </cell>
          <cell r="AT473" t="str">
            <v>0</v>
          </cell>
          <cell r="AU473" t="str">
            <v>0</v>
          </cell>
          <cell r="AV473" t="str">
            <v>0</v>
          </cell>
          <cell r="AW473" t="str">
            <v>0</v>
          </cell>
          <cell r="AX473" t="str">
            <v>0</v>
          </cell>
          <cell r="AY473" t="str">
            <v>0</v>
          </cell>
          <cell r="AZ473" t="str">
            <v>0</v>
          </cell>
          <cell r="BA473" t="str">
            <v>0</v>
          </cell>
          <cell r="BB473" t="str">
            <v>0</v>
          </cell>
          <cell r="BC473" t="str">
            <v>0</v>
          </cell>
          <cell r="BD473" t="str">
            <v>0</v>
          </cell>
          <cell r="BE473" t="str">
            <v>0</v>
          </cell>
          <cell r="BF473" t="str">
            <v>0</v>
          </cell>
          <cell r="BG473" t="str">
            <v>0</v>
          </cell>
          <cell r="BH473" t="str">
            <v>0</v>
          </cell>
          <cell r="BI473" t="str">
            <v>0</v>
          </cell>
          <cell r="BJ473" t="str">
            <v>0</v>
          </cell>
          <cell r="BK473" t="str">
            <v>0</v>
          </cell>
          <cell r="BL473" t="str">
            <v>0</v>
          </cell>
          <cell r="BM473" t="str">
            <v>0</v>
          </cell>
          <cell r="BN473" t="str">
            <v>0</v>
          </cell>
          <cell r="BO473" t="str">
            <v>0</v>
          </cell>
          <cell r="BP473" t="str">
            <v>0</v>
          </cell>
          <cell r="BQ473" t="str">
            <v>0</v>
          </cell>
          <cell r="BR473" t="str">
            <v>0</v>
          </cell>
          <cell r="BS473" t="str">
            <v>0</v>
          </cell>
          <cell r="BT473" t="str">
            <v>0</v>
          </cell>
          <cell r="BU473" t="str">
            <v>0</v>
          </cell>
          <cell r="BV473" t="str">
            <v>0</v>
          </cell>
          <cell r="BW473" t="str">
            <v>0</v>
          </cell>
          <cell r="BX473" t="str">
            <v>0</v>
          </cell>
          <cell r="BY473" t="str">
            <v>0</v>
          </cell>
          <cell r="BZ473" t="str">
            <v>0</v>
          </cell>
          <cell r="CA473" t="str">
            <v>0</v>
          </cell>
          <cell r="CB473" t="str">
            <v>0</v>
          </cell>
          <cell r="CC473" t="str">
            <v>0</v>
          </cell>
          <cell r="CD473" t="str">
            <v>0</v>
          </cell>
          <cell r="CE473" t="str">
            <v>0</v>
          </cell>
          <cell r="CF473" t="str">
            <v>0</v>
          </cell>
          <cell r="CG473" t="str">
            <v>0</v>
          </cell>
          <cell r="CH473" t="str">
            <v>0</v>
          </cell>
          <cell r="CI473" t="str">
            <v>0</v>
          </cell>
          <cell r="CJ473" t="str">
            <v>0</v>
          </cell>
          <cell r="CK473" t="str">
            <v>0</v>
          </cell>
          <cell r="CL473" t="str">
            <v>0</v>
          </cell>
          <cell r="CM473" t="str">
            <v>0</v>
          </cell>
          <cell r="CN473" t="str">
            <v>0</v>
          </cell>
          <cell r="CO473" t="str">
            <v>0</v>
          </cell>
          <cell r="CP473" t="str">
            <v>0</v>
          </cell>
          <cell r="CQ473" t="str">
            <v>0</v>
          </cell>
          <cell r="CR473" t="str">
            <v>0</v>
          </cell>
          <cell r="CS473" t="str">
            <v>0</v>
          </cell>
          <cell r="CT473" t="str">
            <v>0</v>
          </cell>
          <cell r="CU473" t="str">
            <v>0</v>
          </cell>
          <cell r="CV473" t="str">
            <v>0</v>
          </cell>
          <cell r="CW473" t="str">
            <v>0</v>
          </cell>
          <cell r="CX473" t="str">
            <v>0</v>
          </cell>
          <cell r="CY473" t="str">
            <v>0</v>
          </cell>
          <cell r="CZ473" t="str">
            <v>0</v>
          </cell>
          <cell r="DA473" t="str">
            <v>0</v>
          </cell>
          <cell r="DB473" t="str">
            <v>0</v>
          </cell>
          <cell r="DC473" t="str">
            <v>0</v>
          </cell>
          <cell r="DD473" t="str">
            <v>0</v>
          </cell>
          <cell r="DE473" t="str">
            <v>0</v>
          </cell>
          <cell r="DF473" t="str">
            <v>0</v>
          </cell>
          <cell r="DG473" t="str">
            <v>0</v>
          </cell>
          <cell r="DH473" t="str">
            <v>0</v>
          </cell>
          <cell r="DI473" t="str">
            <v>0</v>
          </cell>
          <cell r="DJ473" t="str">
            <v>0</v>
          </cell>
          <cell r="DK473" t="str">
            <v>0</v>
          </cell>
          <cell r="DL473" t="str">
            <v>0</v>
          </cell>
          <cell r="DM473" t="str">
            <v>0</v>
          </cell>
          <cell r="DN473" t="str">
            <v>0</v>
          </cell>
          <cell r="DO473" t="str">
            <v>0</v>
          </cell>
          <cell r="DP473" t="str">
            <v>0</v>
          </cell>
        </row>
        <row r="474">
          <cell r="C474"/>
          <cell r="D474" t="str">
            <v>0</v>
          </cell>
          <cell r="E474" t="str">
            <v>0</v>
          </cell>
          <cell r="F474" t="str">
            <v>0</v>
          </cell>
          <cell r="G474" t="str">
            <v>0</v>
          </cell>
          <cell r="H474" t="str">
            <v>0</v>
          </cell>
          <cell r="I474" t="str">
            <v>0</v>
          </cell>
          <cell r="J474" t="str">
            <v>0</v>
          </cell>
          <cell r="K474" t="str">
            <v>0</v>
          </cell>
          <cell r="L474" t="str">
            <v>0</v>
          </cell>
          <cell r="M474" t="str">
            <v>0</v>
          </cell>
          <cell r="N474" t="str">
            <v>0</v>
          </cell>
          <cell r="O474" t="str">
            <v>0</v>
          </cell>
          <cell r="P474" t="str">
            <v>0</v>
          </cell>
          <cell r="Q474" t="str">
            <v>0</v>
          </cell>
          <cell r="R474" t="str">
            <v>0</v>
          </cell>
          <cell r="S474" t="str">
            <v>0</v>
          </cell>
          <cell r="T474" t="str">
            <v>0</v>
          </cell>
          <cell r="U474" t="str">
            <v>0</v>
          </cell>
          <cell r="V474" t="str">
            <v>0</v>
          </cell>
          <cell r="W474" t="str">
            <v>0</v>
          </cell>
          <cell r="X474" t="str">
            <v>0</v>
          </cell>
          <cell r="Y474" t="str">
            <v>0</v>
          </cell>
          <cell r="Z474" t="str">
            <v>0</v>
          </cell>
          <cell r="AA474" t="str">
            <v>0</v>
          </cell>
          <cell r="AB474" t="str">
            <v>0</v>
          </cell>
          <cell r="AC474" t="str">
            <v>0</v>
          </cell>
          <cell r="AD474" t="str">
            <v>0</v>
          </cell>
          <cell r="AE474" t="str">
            <v>0</v>
          </cell>
          <cell r="AF474" t="str">
            <v>0</v>
          </cell>
          <cell r="AG474" t="str">
            <v>0</v>
          </cell>
          <cell r="AH474" t="str">
            <v>0</v>
          </cell>
          <cell r="AI474" t="str">
            <v>0</v>
          </cell>
          <cell r="AJ474" t="str">
            <v>0</v>
          </cell>
          <cell r="AK474" t="str">
            <v>0</v>
          </cell>
          <cell r="AL474" t="str">
            <v>0</v>
          </cell>
          <cell r="AM474" t="str">
            <v>0</v>
          </cell>
          <cell r="AN474" t="str">
            <v>0</v>
          </cell>
          <cell r="AO474" t="str">
            <v>0</v>
          </cell>
          <cell r="AP474" t="str">
            <v>0</v>
          </cell>
          <cell r="AQ474" t="str">
            <v>0</v>
          </cell>
          <cell r="AR474" t="str">
            <v>0</v>
          </cell>
          <cell r="AS474" t="str">
            <v>0</v>
          </cell>
          <cell r="AT474" t="str">
            <v>0</v>
          </cell>
          <cell r="AU474" t="str">
            <v>0</v>
          </cell>
          <cell r="AV474" t="str">
            <v>0</v>
          </cell>
          <cell r="AW474" t="str">
            <v>0</v>
          </cell>
          <cell r="AX474" t="str">
            <v>0</v>
          </cell>
          <cell r="AY474" t="str">
            <v>0</v>
          </cell>
          <cell r="AZ474" t="str">
            <v>0</v>
          </cell>
          <cell r="BA474" t="str">
            <v>0</v>
          </cell>
          <cell r="BB474" t="str">
            <v>0</v>
          </cell>
          <cell r="BC474" t="str">
            <v>0</v>
          </cell>
          <cell r="BD474" t="str">
            <v>0</v>
          </cell>
          <cell r="BE474" t="str">
            <v>0</v>
          </cell>
          <cell r="BF474" t="str">
            <v>0</v>
          </cell>
          <cell r="BG474" t="str">
            <v>0</v>
          </cell>
          <cell r="BH474" t="str">
            <v>0</v>
          </cell>
          <cell r="BI474" t="str">
            <v>0</v>
          </cell>
          <cell r="BJ474" t="str">
            <v>0</v>
          </cell>
          <cell r="BK474" t="str">
            <v>0</v>
          </cell>
          <cell r="BL474" t="str">
            <v>0</v>
          </cell>
          <cell r="BM474" t="str">
            <v>0</v>
          </cell>
          <cell r="BN474" t="str">
            <v>0</v>
          </cell>
          <cell r="BO474" t="str">
            <v>0</v>
          </cell>
          <cell r="BP474" t="str">
            <v>0</v>
          </cell>
          <cell r="BQ474" t="str">
            <v>0</v>
          </cell>
          <cell r="BR474" t="str">
            <v>0</v>
          </cell>
          <cell r="BS474" t="str">
            <v>0</v>
          </cell>
          <cell r="BT474" t="str">
            <v>0</v>
          </cell>
          <cell r="BU474" t="str">
            <v>0</v>
          </cell>
          <cell r="BV474" t="str">
            <v>0</v>
          </cell>
          <cell r="BW474" t="str">
            <v>0</v>
          </cell>
          <cell r="BX474" t="str">
            <v>0</v>
          </cell>
          <cell r="BY474" t="str">
            <v>0</v>
          </cell>
          <cell r="BZ474" t="str">
            <v>0</v>
          </cell>
          <cell r="CA474" t="str">
            <v>0</v>
          </cell>
          <cell r="CB474" t="str">
            <v>0</v>
          </cell>
          <cell r="CC474" t="str">
            <v>0</v>
          </cell>
          <cell r="CD474" t="str">
            <v>0</v>
          </cell>
          <cell r="CE474" t="str">
            <v>0</v>
          </cell>
          <cell r="CF474" t="str">
            <v>0</v>
          </cell>
          <cell r="CG474" t="str">
            <v>0</v>
          </cell>
          <cell r="CH474" t="str">
            <v>0</v>
          </cell>
          <cell r="CI474" t="str">
            <v>0</v>
          </cell>
          <cell r="CJ474" t="str">
            <v>0</v>
          </cell>
          <cell r="CK474" t="str">
            <v>0</v>
          </cell>
          <cell r="CL474" t="str">
            <v>0</v>
          </cell>
          <cell r="CM474" t="str">
            <v>0</v>
          </cell>
          <cell r="CN474" t="str">
            <v>0</v>
          </cell>
          <cell r="CO474" t="str">
            <v>0</v>
          </cell>
          <cell r="CP474" t="str">
            <v>0</v>
          </cell>
          <cell r="CQ474" t="str">
            <v>0</v>
          </cell>
          <cell r="CR474" t="str">
            <v>0</v>
          </cell>
          <cell r="CS474" t="str">
            <v>0</v>
          </cell>
          <cell r="CT474" t="str">
            <v>0</v>
          </cell>
          <cell r="CU474" t="str">
            <v>0</v>
          </cell>
          <cell r="CV474" t="str">
            <v>0</v>
          </cell>
          <cell r="CW474" t="str">
            <v>0</v>
          </cell>
          <cell r="CX474" t="str">
            <v>0</v>
          </cell>
          <cell r="CY474" t="str">
            <v>0</v>
          </cell>
          <cell r="CZ474" t="str">
            <v>0</v>
          </cell>
          <cell r="DA474" t="str">
            <v>0</v>
          </cell>
          <cell r="DB474" t="str">
            <v>0</v>
          </cell>
          <cell r="DC474" t="str">
            <v>0</v>
          </cell>
          <cell r="DD474" t="str">
            <v>0</v>
          </cell>
          <cell r="DE474" t="str">
            <v>0</v>
          </cell>
          <cell r="DF474" t="str">
            <v>0</v>
          </cell>
          <cell r="DG474" t="str">
            <v>0</v>
          </cell>
          <cell r="DH474" t="str">
            <v>0</v>
          </cell>
          <cell r="DI474" t="str">
            <v>0</v>
          </cell>
          <cell r="DJ474" t="str">
            <v>0</v>
          </cell>
          <cell r="DK474" t="str">
            <v>0</v>
          </cell>
          <cell r="DL474" t="str">
            <v>0</v>
          </cell>
          <cell r="DM474" t="str">
            <v>0</v>
          </cell>
          <cell r="DN474" t="str">
            <v>0</v>
          </cell>
          <cell r="DO474" t="str">
            <v>0</v>
          </cell>
          <cell r="DP474" t="str">
            <v>0</v>
          </cell>
        </row>
        <row r="475">
          <cell r="C475"/>
          <cell r="D475" t="str">
            <v>0</v>
          </cell>
          <cell r="E475" t="str">
            <v>0</v>
          </cell>
          <cell r="F475" t="str">
            <v>0</v>
          </cell>
          <cell r="G475" t="str">
            <v>0</v>
          </cell>
          <cell r="H475" t="str">
            <v>0</v>
          </cell>
          <cell r="I475" t="str">
            <v>0</v>
          </cell>
          <cell r="J475" t="str">
            <v>0</v>
          </cell>
          <cell r="K475" t="str">
            <v>0</v>
          </cell>
          <cell r="L475" t="str">
            <v>0</v>
          </cell>
          <cell r="M475" t="str">
            <v>0</v>
          </cell>
          <cell r="N475" t="str">
            <v>0</v>
          </cell>
          <cell r="O475" t="str">
            <v>0</v>
          </cell>
          <cell r="P475" t="str">
            <v>0</v>
          </cell>
          <cell r="Q475" t="str">
            <v>0</v>
          </cell>
          <cell r="R475" t="str">
            <v>0</v>
          </cell>
          <cell r="S475" t="str">
            <v>0</v>
          </cell>
          <cell r="T475" t="str">
            <v>0</v>
          </cell>
          <cell r="U475" t="str">
            <v>0</v>
          </cell>
          <cell r="V475" t="str">
            <v>0</v>
          </cell>
          <cell r="W475" t="str">
            <v>0</v>
          </cell>
          <cell r="X475" t="str">
            <v>0</v>
          </cell>
          <cell r="Y475" t="str">
            <v>0</v>
          </cell>
          <cell r="Z475" t="str">
            <v>0</v>
          </cell>
          <cell r="AA475" t="str">
            <v>0</v>
          </cell>
          <cell r="AB475" t="str">
            <v>0</v>
          </cell>
          <cell r="AC475" t="str">
            <v>0</v>
          </cell>
          <cell r="AD475" t="str">
            <v>0</v>
          </cell>
          <cell r="AE475" t="str">
            <v>0</v>
          </cell>
          <cell r="AF475" t="str">
            <v>0</v>
          </cell>
          <cell r="AG475" t="str">
            <v>0</v>
          </cell>
          <cell r="AH475" t="str">
            <v>0</v>
          </cell>
          <cell r="AI475" t="str">
            <v>0</v>
          </cell>
          <cell r="AJ475" t="str">
            <v>0</v>
          </cell>
          <cell r="AK475" t="str">
            <v>0</v>
          </cell>
          <cell r="AL475" t="str">
            <v>0</v>
          </cell>
          <cell r="AM475" t="str">
            <v>0</v>
          </cell>
          <cell r="AN475" t="str">
            <v>0</v>
          </cell>
          <cell r="AO475" t="str">
            <v>0</v>
          </cell>
          <cell r="AP475" t="str">
            <v>0</v>
          </cell>
          <cell r="AQ475" t="str">
            <v>0</v>
          </cell>
          <cell r="AR475" t="str">
            <v>0</v>
          </cell>
          <cell r="AS475" t="str">
            <v>0</v>
          </cell>
          <cell r="AT475" t="str">
            <v>0</v>
          </cell>
          <cell r="AU475" t="str">
            <v>0</v>
          </cell>
          <cell r="AV475" t="str">
            <v>0</v>
          </cell>
          <cell r="AW475" t="str">
            <v>0</v>
          </cell>
          <cell r="AX475" t="str">
            <v>0</v>
          </cell>
          <cell r="AY475" t="str">
            <v>0</v>
          </cell>
          <cell r="AZ475" t="str">
            <v>0</v>
          </cell>
          <cell r="BA475" t="str">
            <v>0</v>
          </cell>
          <cell r="BB475" t="str">
            <v>0</v>
          </cell>
          <cell r="BC475" t="str">
            <v>0</v>
          </cell>
          <cell r="BD475" t="str">
            <v>0</v>
          </cell>
          <cell r="BE475" t="str">
            <v>0</v>
          </cell>
          <cell r="BF475" t="str">
            <v>0</v>
          </cell>
          <cell r="BG475" t="str">
            <v>0</v>
          </cell>
          <cell r="BH475" t="str">
            <v>0</v>
          </cell>
          <cell r="BI475" t="str">
            <v>0</v>
          </cell>
          <cell r="BJ475" t="str">
            <v>0</v>
          </cell>
          <cell r="BK475" t="str">
            <v>0</v>
          </cell>
          <cell r="BL475" t="str">
            <v>0</v>
          </cell>
          <cell r="BM475" t="str">
            <v>0</v>
          </cell>
          <cell r="BN475" t="str">
            <v>0</v>
          </cell>
          <cell r="BO475" t="str">
            <v>0</v>
          </cell>
          <cell r="BP475" t="str">
            <v>0</v>
          </cell>
          <cell r="BQ475" t="str">
            <v>0</v>
          </cell>
          <cell r="BR475" t="str">
            <v>0</v>
          </cell>
          <cell r="BS475" t="str">
            <v>0</v>
          </cell>
          <cell r="BT475" t="str">
            <v>0</v>
          </cell>
          <cell r="BU475" t="str">
            <v>0</v>
          </cell>
          <cell r="BV475" t="str">
            <v>0</v>
          </cell>
          <cell r="BW475" t="str">
            <v>0</v>
          </cell>
          <cell r="BX475" t="str">
            <v>0</v>
          </cell>
          <cell r="BY475" t="str">
            <v>0</v>
          </cell>
          <cell r="BZ475" t="str">
            <v>0</v>
          </cell>
          <cell r="CA475" t="str">
            <v>0</v>
          </cell>
          <cell r="CB475" t="str">
            <v>0</v>
          </cell>
          <cell r="CC475" t="str">
            <v>0</v>
          </cell>
          <cell r="CD475" t="str">
            <v>0</v>
          </cell>
          <cell r="CE475" t="str">
            <v>0</v>
          </cell>
          <cell r="CF475" t="str">
            <v>0</v>
          </cell>
          <cell r="CG475" t="str">
            <v>0</v>
          </cell>
          <cell r="CH475" t="str">
            <v>0</v>
          </cell>
          <cell r="CI475" t="str">
            <v>0</v>
          </cell>
          <cell r="CJ475" t="str">
            <v>0</v>
          </cell>
          <cell r="CK475" t="str">
            <v>0</v>
          </cell>
          <cell r="CL475" t="str">
            <v>0</v>
          </cell>
          <cell r="CM475" t="str">
            <v>0</v>
          </cell>
          <cell r="CN475" t="str">
            <v>0</v>
          </cell>
          <cell r="CO475" t="str">
            <v>0</v>
          </cell>
          <cell r="CP475" t="str">
            <v>0</v>
          </cell>
          <cell r="CQ475" t="str">
            <v>0</v>
          </cell>
          <cell r="CR475" t="str">
            <v>0</v>
          </cell>
          <cell r="CS475" t="str">
            <v>0</v>
          </cell>
          <cell r="CT475" t="str">
            <v>0</v>
          </cell>
          <cell r="CU475" t="str">
            <v>0</v>
          </cell>
          <cell r="CV475" t="str">
            <v>0</v>
          </cell>
          <cell r="CW475" t="str">
            <v>0</v>
          </cell>
          <cell r="CX475" t="str">
            <v>0</v>
          </cell>
          <cell r="CY475" t="str">
            <v>0</v>
          </cell>
          <cell r="CZ475" t="str">
            <v>0</v>
          </cell>
          <cell r="DA475" t="str">
            <v>0</v>
          </cell>
          <cell r="DB475" t="str">
            <v>0</v>
          </cell>
          <cell r="DC475" t="str">
            <v>0</v>
          </cell>
          <cell r="DD475" t="str">
            <v>0</v>
          </cell>
          <cell r="DE475" t="str">
            <v>0</v>
          </cell>
          <cell r="DF475" t="str">
            <v>0</v>
          </cell>
          <cell r="DG475" t="str">
            <v>0</v>
          </cell>
          <cell r="DH475" t="str">
            <v>0</v>
          </cell>
          <cell r="DI475" t="str">
            <v>0</v>
          </cell>
          <cell r="DJ475" t="str">
            <v>0</v>
          </cell>
          <cell r="DK475" t="str">
            <v>0</v>
          </cell>
          <cell r="DL475" t="str">
            <v>0</v>
          </cell>
          <cell r="DM475" t="str">
            <v>0</v>
          </cell>
          <cell r="DN475" t="str">
            <v>0</v>
          </cell>
          <cell r="DO475" t="str">
            <v>0</v>
          </cell>
          <cell r="DP475" t="str">
            <v>0</v>
          </cell>
        </row>
        <row r="476">
          <cell r="C476"/>
          <cell r="D476" t="str">
            <v>0</v>
          </cell>
          <cell r="E476" t="str">
            <v>0</v>
          </cell>
          <cell r="F476" t="str">
            <v>0</v>
          </cell>
          <cell r="G476" t="str">
            <v>0</v>
          </cell>
          <cell r="H476" t="str">
            <v>0</v>
          </cell>
          <cell r="I476" t="str">
            <v>0</v>
          </cell>
          <cell r="J476" t="str">
            <v>0</v>
          </cell>
          <cell r="K476" t="str">
            <v>0</v>
          </cell>
          <cell r="L476" t="str">
            <v>0</v>
          </cell>
          <cell r="M476" t="str">
            <v>0</v>
          </cell>
          <cell r="N476" t="str">
            <v>0</v>
          </cell>
          <cell r="O476" t="str">
            <v>0</v>
          </cell>
          <cell r="P476" t="str">
            <v>0</v>
          </cell>
          <cell r="Q476" t="str">
            <v>0</v>
          </cell>
          <cell r="R476" t="str">
            <v>0</v>
          </cell>
          <cell r="S476" t="str">
            <v>0</v>
          </cell>
          <cell r="T476" t="str">
            <v>0</v>
          </cell>
          <cell r="U476" t="str">
            <v>0</v>
          </cell>
          <cell r="V476" t="str">
            <v>0</v>
          </cell>
          <cell r="W476" t="str">
            <v>0</v>
          </cell>
          <cell r="X476" t="str">
            <v>0</v>
          </cell>
          <cell r="Y476" t="str">
            <v>0</v>
          </cell>
          <cell r="Z476" t="str">
            <v>0</v>
          </cell>
          <cell r="AA476" t="str">
            <v>0</v>
          </cell>
          <cell r="AB476" t="str">
            <v>0</v>
          </cell>
          <cell r="AC476" t="str">
            <v>0</v>
          </cell>
          <cell r="AD476" t="str">
            <v>0</v>
          </cell>
          <cell r="AE476" t="str">
            <v>0</v>
          </cell>
          <cell r="AF476" t="str">
            <v>0</v>
          </cell>
          <cell r="AG476" t="str">
            <v>0</v>
          </cell>
          <cell r="AH476" t="str">
            <v>0</v>
          </cell>
          <cell r="AI476" t="str">
            <v>0</v>
          </cell>
          <cell r="AJ476" t="str">
            <v>0</v>
          </cell>
          <cell r="AK476" t="str">
            <v>0</v>
          </cell>
          <cell r="AL476" t="str">
            <v>0</v>
          </cell>
          <cell r="AM476" t="str">
            <v>0</v>
          </cell>
          <cell r="AN476" t="str">
            <v>0</v>
          </cell>
          <cell r="AO476" t="str">
            <v>0</v>
          </cell>
          <cell r="AP476" t="str">
            <v>0</v>
          </cell>
          <cell r="AQ476" t="str">
            <v>0</v>
          </cell>
          <cell r="AR476" t="str">
            <v>0</v>
          </cell>
          <cell r="AS476" t="str">
            <v>0</v>
          </cell>
          <cell r="AT476" t="str">
            <v>0</v>
          </cell>
          <cell r="AU476" t="str">
            <v>0</v>
          </cell>
          <cell r="AV476" t="str">
            <v>0</v>
          </cell>
          <cell r="AW476" t="str">
            <v>0</v>
          </cell>
          <cell r="AX476" t="str">
            <v>0</v>
          </cell>
          <cell r="AY476" t="str">
            <v>0</v>
          </cell>
          <cell r="AZ476" t="str">
            <v>0</v>
          </cell>
          <cell r="BA476" t="str">
            <v>0</v>
          </cell>
          <cell r="BB476" t="str">
            <v>0</v>
          </cell>
          <cell r="BC476" t="str">
            <v>0</v>
          </cell>
          <cell r="BD476" t="str">
            <v>0</v>
          </cell>
          <cell r="BE476" t="str">
            <v>0</v>
          </cell>
          <cell r="BF476" t="str">
            <v>0</v>
          </cell>
          <cell r="BG476" t="str">
            <v>0</v>
          </cell>
          <cell r="BH476" t="str">
            <v>0</v>
          </cell>
          <cell r="BI476" t="str">
            <v>0</v>
          </cell>
          <cell r="BJ476" t="str">
            <v>0</v>
          </cell>
          <cell r="BK476" t="str">
            <v>0</v>
          </cell>
          <cell r="BL476" t="str">
            <v>0</v>
          </cell>
          <cell r="BM476" t="str">
            <v>0</v>
          </cell>
          <cell r="BN476" t="str">
            <v>0</v>
          </cell>
          <cell r="BO476" t="str">
            <v>0</v>
          </cell>
          <cell r="BP476" t="str">
            <v>0</v>
          </cell>
          <cell r="BQ476" t="str">
            <v>0</v>
          </cell>
          <cell r="BR476" t="str">
            <v>0</v>
          </cell>
          <cell r="BS476" t="str">
            <v>0</v>
          </cell>
          <cell r="BT476" t="str">
            <v>0</v>
          </cell>
          <cell r="BU476" t="str">
            <v>0</v>
          </cell>
          <cell r="BV476" t="str">
            <v>0</v>
          </cell>
          <cell r="BW476" t="str">
            <v>0</v>
          </cell>
          <cell r="BX476" t="str">
            <v>0</v>
          </cell>
          <cell r="BY476" t="str">
            <v>0</v>
          </cell>
          <cell r="BZ476" t="str">
            <v>0</v>
          </cell>
          <cell r="CA476" t="str">
            <v>0</v>
          </cell>
          <cell r="CB476" t="str">
            <v>0</v>
          </cell>
          <cell r="CC476" t="str">
            <v>0</v>
          </cell>
          <cell r="CD476" t="str">
            <v>0</v>
          </cell>
          <cell r="CE476" t="str">
            <v>0</v>
          </cell>
          <cell r="CF476" t="str">
            <v>0</v>
          </cell>
          <cell r="CG476" t="str">
            <v>0</v>
          </cell>
          <cell r="CH476" t="str">
            <v>0</v>
          </cell>
          <cell r="CI476" t="str">
            <v>0</v>
          </cell>
          <cell r="CJ476" t="str">
            <v>0</v>
          </cell>
          <cell r="CK476" t="str">
            <v>0</v>
          </cell>
          <cell r="CL476" t="str">
            <v>0</v>
          </cell>
          <cell r="CM476" t="str">
            <v>0</v>
          </cell>
          <cell r="CN476" t="str">
            <v>0</v>
          </cell>
          <cell r="CO476" t="str">
            <v>0</v>
          </cell>
          <cell r="CP476" t="str">
            <v>0</v>
          </cell>
          <cell r="CQ476" t="str">
            <v>0</v>
          </cell>
          <cell r="CR476" t="str">
            <v>0</v>
          </cell>
          <cell r="CS476" t="str">
            <v>0</v>
          </cell>
          <cell r="CT476" t="str">
            <v>0</v>
          </cell>
          <cell r="CU476" t="str">
            <v>0</v>
          </cell>
          <cell r="CV476" t="str">
            <v>0</v>
          </cell>
          <cell r="CW476" t="str">
            <v>0</v>
          </cell>
          <cell r="CX476" t="str">
            <v>0</v>
          </cell>
          <cell r="CY476" t="str">
            <v>0</v>
          </cell>
          <cell r="CZ476" t="str">
            <v>0</v>
          </cell>
          <cell r="DA476" t="str">
            <v>0</v>
          </cell>
          <cell r="DB476" t="str">
            <v>0</v>
          </cell>
          <cell r="DC476" t="str">
            <v>0</v>
          </cell>
          <cell r="DD476" t="str">
            <v>0</v>
          </cell>
          <cell r="DE476" t="str">
            <v>0</v>
          </cell>
          <cell r="DF476" t="str">
            <v>0</v>
          </cell>
          <cell r="DG476" t="str">
            <v>0</v>
          </cell>
          <cell r="DH476" t="str">
            <v>0</v>
          </cell>
          <cell r="DI476" t="str">
            <v>0</v>
          </cell>
          <cell r="DJ476" t="str">
            <v>0</v>
          </cell>
          <cell r="DK476" t="str">
            <v>0</v>
          </cell>
          <cell r="DL476" t="str">
            <v>0</v>
          </cell>
          <cell r="DM476" t="str">
            <v>0</v>
          </cell>
          <cell r="DN476" t="str">
            <v>0</v>
          </cell>
          <cell r="DO476" t="str">
            <v>0</v>
          </cell>
          <cell r="DP476" t="str">
            <v>0</v>
          </cell>
        </row>
        <row r="477">
          <cell r="C477"/>
          <cell r="D477" t="str">
            <v>0</v>
          </cell>
          <cell r="E477" t="str">
            <v>0</v>
          </cell>
          <cell r="F477" t="str">
            <v>0</v>
          </cell>
          <cell r="G477" t="str">
            <v>0</v>
          </cell>
          <cell r="H477" t="str">
            <v>0</v>
          </cell>
          <cell r="I477" t="str">
            <v>0</v>
          </cell>
          <cell r="J477" t="str">
            <v>0</v>
          </cell>
          <cell r="K477" t="str">
            <v>0</v>
          </cell>
          <cell r="L477" t="str">
            <v>0</v>
          </cell>
          <cell r="M477" t="str">
            <v>0</v>
          </cell>
          <cell r="N477" t="str">
            <v>0</v>
          </cell>
          <cell r="O477" t="str">
            <v>0</v>
          </cell>
          <cell r="P477" t="str">
            <v>0</v>
          </cell>
          <cell r="Q477" t="str">
            <v>0</v>
          </cell>
          <cell r="R477" t="str">
            <v>0</v>
          </cell>
          <cell r="S477" t="str">
            <v>0</v>
          </cell>
          <cell r="T477" t="str">
            <v>0</v>
          </cell>
          <cell r="U477" t="str">
            <v>0</v>
          </cell>
          <cell r="V477" t="str">
            <v>0</v>
          </cell>
          <cell r="W477" t="str">
            <v>0</v>
          </cell>
          <cell r="X477" t="str">
            <v>0</v>
          </cell>
          <cell r="Y477" t="str">
            <v>0</v>
          </cell>
          <cell r="Z477" t="str">
            <v>0</v>
          </cell>
          <cell r="AA477" t="str">
            <v>0</v>
          </cell>
          <cell r="AB477" t="str">
            <v>0</v>
          </cell>
          <cell r="AC477" t="str">
            <v>0</v>
          </cell>
          <cell r="AD477" t="str">
            <v>0</v>
          </cell>
          <cell r="AE477" t="str">
            <v>0</v>
          </cell>
          <cell r="AF477" t="str">
            <v>0</v>
          </cell>
          <cell r="AG477" t="str">
            <v>0</v>
          </cell>
          <cell r="AH477" t="str">
            <v>0</v>
          </cell>
          <cell r="AI477" t="str">
            <v>0</v>
          </cell>
          <cell r="AJ477" t="str">
            <v>0</v>
          </cell>
          <cell r="AK477" t="str">
            <v>0</v>
          </cell>
          <cell r="AL477" t="str">
            <v>0</v>
          </cell>
          <cell r="AM477" t="str">
            <v>0</v>
          </cell>
          <cell r="AN477" t="str">
            <v>0</v>
          </cell>
          <cell r="AO477" t="str">
            <v>0</v>
          </cell>
          <cell r="AP477" t="str">
            <v>0</v>
          </cell>
          <cell r="AQ477" t="str">
            <v>0</v>
          </cell>
          <cell r="AR477" t="str">
            <v>0</v>
          </cell>
          <cell r="AS477" t="str">
            <v>0</v>
          </cell>
          <cell r="AT477" t="str">
            <v>0</v>
          </cell>
          <cell r="AU477" t="str">
            <v>0</v>
          </cell>
          <cell r="AV477" t="str">
            <v>0</v>
          </cell>
          <cell r="AW477" t="str">
            <v>0</v>
          </cell>
          <cell r="AX477" t="str">
            <v>0</v>
          </cell>
          <cell r="AY477" t="str">
            <v>0</v>
          </cell>
          <cell r="AZ477" t="str">
            <v>0</v>
          </cell>
          <cell r="BA477" t="str">
            <v>0</v>
          </cell>
          <cell r="BB477" t="str">
            <v>0</v>
          </cell>
          <cell r="BC477" t="str">
            <v>0</v>
          </cell>
          <cell r="BD477" t="str">
            <v>0</v>
          </cell>
          <cell r="BE477" t="str">
            <v>0</v>
          </cell>
          <cell r="BF477" t="str">
            <v>0</v>
          </cell>
          <cell r="BG477" t="str">
            <v>0</v>
          </cell>
          <cell r="BH477" t="str">
            <v>0</v>
          </cell>
          <cell r="BI477" t="str">
            <v>0</v>
          </cell>
          <cell r="BJ477" t="str">
            <v>0</v>
          </cell>
          <cell r="BK477" t="str">
            <v>0</v>
          </cell>
          <cell r="BL477" t="str">
            <v>0</v>
          </cell>
          <cell r="BM477" t="str">
            <v>0</v>
          </cell>
          <cell r="BN477" t="str">
            <v>0</v>
          </cell>
          <cell r="BO477" t="str">
            <v>0</v>
          </cell>
          <cell r="BP477" t="str">
            <v>0</v>
          </cell>
          <cell r="BQ477" t="str">
            <v>0</v>
          </cell>
          <cell r="BR477" t="str">
            <v>0</v>
          </cell>
          <cell r="BS477" t="str">
            <v>0</v>
          </cell>
          <cell r="BT477" t="str">
            <v>0</v>
          </cell>
          <cell r="BU477" t="str">
            <v>0</v>
          </cell>
          <cell r="BV477" t="str">
            <v>0</v>
          </cell>
          <cell r="BW477" t="str">
            <v>0</v>
          </cell>
          <cell r="BX477" t="str">
            <v>0</v>
          </cell>
          <cell r="BY477" t="str">
            <v>0</v>
          </cell>
          <cell r="BZ477" t="str">
            <v>0</v>
          </cell>
          <cell r="CA477" t="str">
            <v>0</v>
          </cell>
          <cell r="CB477" t="str">
            <v>0</v>
          </cell>
          <cell r="CC477" t="str">
            <v>0</v>
          </cell>
          <cell r="CD477" t="str">
            <v>0</v>
          </cell>
          <cell r="CE477" t="str">
            <v>0</v>
          </cell>
          <cell r="CF477" t="str">
            <v>0</v>
          </cell>
          <cell r="CG477" t="str">
            <v>0</v>
          </cell>
          <cell r="CH477" t="str">
            <v>0</v>
          </cell>
          <cell r="CI477" t="str">
            <v>0</v>
          </cell>
          <cell r="CJ477" t="str">
            <v>0</v>
          </cell>
          <cell r="CK477" t="str">
            <v>0</v>
          </cell>
          <cell r="CL477" t="str">
            <v>0</v>
          </cell>
          <cell r="CM477" t="str">
            <v>0</v>
          </cell>
          <cell r="CN477" t="str">
            <v>0</v>
          </cell>
          <cell r="CO477" t="str">
            <v>0</v>
          </cell>
          <cell r="CP477" t="str">
            <v>0</v>
          </cell>
          <cell r="CQ477" t="str">
            <v>0</v>
          </cell>
          <cell r="CR477" t="str">
            <v>0</v>
          </cell>
          <cell r="CS477" t="str">
            <v>0</v>
          </cell>
          <cell r="CT477" t="str">
            <v>0</v>
          </cell>
          <cell r="CU477" t="str">
            <v>0</v>
          </cell>
          <cell r="CV477" t="str">
            <v>0</v>
          </cell>
          <cell r="CW477" t="str">
            <v>0</v>
          </cell>
          <cell r="CX477" t="str">
            <v>0</v>
          </cell>
          <cell r="CY477" t="str">
            <v>0</v>
          </cell>
          <cell r="CZ477" t="str">
            <v>0</v>
          </cell>
          <cell r="DA477" t="str">
            <v>0</v>
          </cell>
          <cell r="DB477" t="str">
            <v>0</v>
          </cell>
          <cell r="DC477" t="str">
            <v>0</v>
          </cell>
          <cell r="DD477" t="str">
            <v>0</v>
          </cell>
          <cell r="DE477" t="str">
            <v>0</v>
          </cell>
          <cell r="DF477" t="str">
            <v>0</v>
          </cell>
          <cell r="DG477" t="str">
            <v>0</v>
          </cell>
          <cell r="DH477" t="str">
            <v>0</v>
          </cell>
          <cell r="DI477" t="str">
            <v>0</v>
          </cell>
          <cell r="DJ477" t="str">
            <v>0</v>
          </cell>
          <cell r="DK477" t="str">
            <v>0</v>
          </cell>
          <cell r="DL477" t="str">
            <v>0</v>
          </cell>
          <cell r="DM477" t="str">
            <v>0</v>
          </cell>
          <cell r="DN477" t="str">
            <v>0</v>
          </cell>
          <cell r="DO477" t="str">
            <v>0</v>
          </cell>
          <cell r="DP477" t="str">
            <v>0</v>
          </cell>
        </row>
        <row r="478">
          <cell r="C478"/>
          <cell r="D478" t="str">
            <v>0</v>
          </cell>
          <cell r="E478" t="str">
            <v>0</v>
          </cell>
          <cell r="F478" t="str">
            <v>0</v>
          </cell>
          <cell r="G478" t="str">
            <v>0</v>
          </cell>
          <cell r="H478" t="str">
            <v>0</v>
          </cell>
          <cell r="I478" t="str">
            <v>0</v>
          </cell>
          <cell r="J478" t="str">
            <v>0</v>
          </cell>
          <cell r="K478" t="str">
            <v>0</v>
          </cell>
          <cell r="L478" t="str">
            <v>0</v>
          </cell>
          <cell r="M478" t="str">
            <v>0</v>
          </cell>
          <cell r="N478" t="str">
            <v>0</v>
          </cell>
          <cell r="O478" t="str">
            <v>0</v>
          </cell>
          <cell r="P478" t="str">
            <v>0</v>
          </cell>
          <cell r="Q478" t="str">
            <v>0</v>
          </cell>
          <cell r="R478" t="str">
            <v>0</v>
          </cell>
          <cell r="S478" t="str">
            <v>0</v>
          </cell>
          <cell r="T478" t="str">
            <v>0</v>
          </cell>
          <cell r="U478" t="str">
            <v>0</v>
          </cell>
          <cell r="V478" t="str">
            <v>0</v>
          </cell>
          <cell r="W478" t="str">
            <v>0</v>
          </cell>
          <cell r="X478" t="str">
            <v>0</v>
          </cell>
          <cell r="Y478" t="str">
            <v>0</v>
          </cell>
          <cell r="Z478" t="str">
            <v>0</v>
          </cell>
          <cell r="AA478" t="str">
            <v>0</v>
          </cell>
          <cell r="AB478" t="str">
            <v>0</v>
          </cell>
          <cell r="AC478" t="str">
            <v>0</v>
          </cell>
          <cell r="AD478" t="str">
            <v>0</v>
          </cell>
          <cell r="AE478" t="str">
            <v>0</v>
          </cell>
          <cell r="AF478" t="str">
            <v>0</v>
          </cell>
          <cell r="AG478" t="str">
            <v>0</v>
          </cell>
          <cell r="AH478" t="str">
            <v>0</v>
          </cell>
          <cell r="AI478" t="str">
            <v>0</v>
          </cell>
          <cell r="AJ478" t="str">
            <v>0</v>
          </cell>
          <cell r="AK478" t="str">
            <v>0</v>
          </cell>
          <cell r="AL478" t="str">
            <v>0</v>
          </cell>
          <cell r="AM478" t="str">
            <v>0</v>
          </cell>
          <cell r="AN478" t="str">
            <v>0</v>
          </cell>
          <cell r="AO478" t="str">
            <v>0</v>
          </cell>
          <cell r="AP478" t="str">
            <v>0</v>
          </cell>
          <cell r="AQ478" t="str">
            <v>0</v>
          </cell>
          <cell r="AR478" t="str">
            <v>0</v>
          </cell>
          <cell r="AS478" t="str">
            <v>0</v>
          </cell>
          <cell r="AT478" t="str">
            <v>0</v>
          </cell>
          <cell r="AU478" t="str">
            <v>0</v>
          </cell>
          <cell r="AV478" t="str">
            <v>0</v>
          </cell>
          <cell r="AW478" t="str">
            <v>0</v>
          </cell>
          <cell r="AX478" t="str">
            <v>0</v>
          </cell>
          <cell r="AY478" t="str">
            <v>0</v>
          </cell>
          <cell r="AZ478" t="str">
            <v>0</v>
          </cell>
          <cell r="BA478" t="str">
            <v>0</v>
          </cell>
          <cell r="BB478" t="str">
            <v>0</v>
          </cell>
          <cell r="BC478" t="str">
            <v>0</v>
          </cell>
          <cell r="BD478" t="str">
            <v>0</v>
          </cell>
          <cell r="BE478" t="str">
            <v>0</v>
          </cell>
          <cell r="BF478" t="str">
            <v>0</v>
          </cell>
          <cell r="BG478" t="str">
            <v>0</v>
          </cell>
          <cell r="BH478" t="str">
            <v>0</v>
          </cell>
          <cell r="BI478" t="str">
            <v>0</v>
          </cell>
          <cell r="BJ478" t="str">
            <v>0</v>
          </cell>
          <cell r="BK478" t="str">
            <v>0</v>
          </cell>
          <cell r="BL478" t="str">
            <v>0</v>
          </cell>
          <cell r="BM478" t="str">
            <v>0</v>
          </cell>
          <cell r="BN478" t="str">
            <v>0</v>
          </cell>
          <cell r="BO478" t="str">
            <v>0</v>
          </cell>
          <cell r="BP478" t="str">
            <v>0</v>
          </cell>
          <cell r="BQ478" t="str">
            <v>0</v>
          </cell>
          <cell r="BR478" t="str">
            <v>0</v>
          </cell>
          <cell r="BS478" t="str">
            <v>0</v>
          </cell>
          <cell r="BT478" t="str">
            <v>0</v>
          </cell>
          <cell r="BU478" t="str">
            <v>0</v>
          </cell>
          <cell r="BV478" t="str">
            <v>0</v>
          </cell>
          <cell r="BW478" t="str">
            <v>0</v>
          </cell>
          <cell r="BX478" t="str">
            <v>0</v>
          </cell>
          <cell r="BY478" t="str">
            <v>0</v>
          </cell>
          <cell r="BZ478" t="str">
            <v>0</v>
          </cell>
          <cell r="CA478" t="str">
            <v>0</v>
          </cell>
          <cell r="CB478" t="str">
            <v>0</v>
          </cell>
          <cell r="CC478" t="str">
            <v>0</v>
          </cell>
          <cell r="CD478" t="str">
            <v>0</v>
          </cell>
          <cell r="CE478" t="str">
            <v>0</v>
          </cell>
          <cell r="CF478" t="str">
            <v>0</v>
          </cell>
          <cell r="CG478" t="str">
            <v>0</v>
          </cell>
          <cell r="CH478" t="str">
            <v>0</v>
          </cell>
          <cell r="CI478" t="str">
            <v>0</v>
          </cell>
          <cell r="CJ478" t="str">
            <v>0</v>
          </cell>
          <cell r="CK478" t="str">
            <v>0</v>
          </cell>
          <cell r="CL478" t="str">
            <v>0</v>
          </cell>
          <cell r="CM478" t="str">
            <v>0</v>
          </cell>
          <cell r="CN478" t="str">
            <v>0</v>
          </cell>
          <cell r="CO478" t="str">
            <v>0</v>
          </cell>
          <cell r="CP478" t="str">
            <v>0</v>
          </cell>
          <cell r="CQ478" t="str">
            <v>0</v>
          </cell>
          <cell r="CR478" t="str">
            <v>0</v>
          </cell>
          <cell r="CS478" t="str">
            <v>0</v>
          </cell>
          <cell r="CT478" t="str">
            <v>0</v>
          </cell>
          <cell r="CU478" t="str">
            <v>0</v>
          </cell>
          <cell r="CV478" t="str">
            <v>0</v>
          </cell>
          <cell r="CW478" t="str">
            <v>0</v>
          </cell>
          <cell r="CX478" t="str">
            <v>0</v>
          </cell>
          <cell r="CY478" t="str">
            <v>0</v>
          </cell>
          <cell r="CZ478" t="str">
            <v>0</v>
          </cell>
          <cell r="DA478" t="str">
            <v>0</v>
          </cell>
          <cell r="DB478" t="str">
            <v>0</v>
          </cell>
          <cell r="DC478" t="str">
            <v>0</v>
          </cell>
          <cell r="DD478" t="str">
            <v>0</v>
          </cell>
          <cell r="DE478" t="str">
            <v>0</v>
          </cell>
          <cell r="DF478" t="str">
            <v>0</v>
          </cell>
          <cell r="DG478" t="str">
            <v>0</v>
          </cell>
          <cell r="DH478" t="str">
            <v>0</v>
          </cell>
          <cell r="DI478" t="str">
            <v>0</v>
          </cell>
          <cell r="DJ478" t="str">
            <v>0</v>
          </cell>
          <cell r="DK478" t="str">
            <v>0</v>
          </cell>
          <cell r="DL478" t="str">
            <v>0</v>
          </cell>
          <cell r="DM478" t="str">
            <v>0</v>
          </cell>
          <cell r="DN478" t="str">
            <v>0</v>
          </cell>
          <cell r="DO478" t="str">
            <v>0</v>
          </cell>
          <cell r="DP478" t="str">
            <v>0</v>
          </cell>
        </row>
        <row r="479">
          <cell r="C479" t="str">
            <v>-</v>
          </cell>
          <cell r="D479" t="str">
            <v>-</v>
          </cell>
          <cell r="E479" t="str">
            <v>-</v>
          </cell>
          <cell r="F479" t="str">
            <v>-</v>
          </cell>
          <cell r="G479" t="str">
            <v>-</v>
          </cell>
          <cell r="H479" t="str">
            <v>-</v>
          </cell>
          <cell r="I479" t="str">
            <v>-</v>
          </cell>
          <cell r="J479" t="str">
            <v>-</v>
          </cell>
          <cell r="K479" t="str">
            <v>-</v>
          </cell>
          <cell r="L479" t="str">
            <v>-</v>
          </cell>
          <cell r="M479" t="str">
            <v>-</v>
          </cell>
          <cell r="N479" t="str">
            <v>-</v>
          </cell>
          <cell r="O479" t="str">
            <v>-</v>
          </cell>
          <cell r="P479" t="str">
            <v>-</v>
          </cell>
          <cell r="Q479" t="str">
            <v>-</v>
          </cell>
          <cell r="R479" t="str">
            <v>-</v>
          </cell>
          <cell r="S479" t="str">
            <v>-</v>
          </cell>
          <cell r="T479" t="str">
            <v>-</v>
          </cell>
          <cell r="U479" t="str">
            <v>-</v>
          </cell>
          <cell r="V479" t="str">
            <v>-</v>
          </cell>
          <cell r="W479" t="str">
            <v>-</v>
          </cell>
          <cell r="X479" t="str">
            <v>-</v>
          </cell>
          <cell r="Y479" t="str">
            <v>-</v>
          </cell>
          <cell r="Z479" t="str">
            <v>-</v>
          </cell>
          <cell r="AA479" t="str">
            <v>-</v>
          </cell>
          <cell r="AB479" t="str">
            <v>-</v>
          </cell>
          <cell r="AC479" t="str">
            <v>-</v>
          </cell>
          <cell r="AD479" t="str">
            <v>-</v>
          </cell>
          <cell r="AE479" t="str">
            <v>-</v>
          </cell>
          <cell r="AF479" t="str">
            <v>-</v>
          </cell>
          <cell r="AG479" t="str">
            <v>-</v>
          </cell>
          <cell r="AH479" t="str">
            <v>-</v>
          </cell>
          <cell r="AI479" t="str">
            <v>-</v>
          </cell>
          <cell r="AJ479" t="str">
            <v>-</v>
          </cell>
          <cell r="AK479" t="str">
            <v>-</v>
          </cell>
          <cell r="AL479" t="str">
            <v>-</v>
          </cell>
          <cell r="AM479" t="str">
            <v>-</v>
          </cell>
          <cell r="AN479" t="str">
            <v>-</v>
          </cell>
          <cell r="AO479" t="str">
            <v>-</v>
          </cell>
          <cell r="AP479" t="str">
            <v>-</v>
          </cell>
          <cell r="AQ479" t="str">
            <v>-</v>
          </cell>
          <cell r="AR479" t="str">
            <v>-</v>
          </cell>
          <cell r="AS479" t="str">
            <v>-</v>
          </cell>
          <cell r="AT479" t="str">
            <v>-</v>
          </cell>
          <cell r="AU479" t="str">
            <v>-</v>
          </cell>
          <cell r="AV479" t="str">
            <v>-</v>
          </cell>
          <cell r="AW479" t="str">
            <v>-</v>
          </cell>
          <cell r="AX479" t="str">
            <v>-</v>
          </cell>
          <cell r="AY479" t="str">
            <v>-</v>
          </cell>
          <cell r="AZ479" t="str">
            <v>-</v>
          </cell>
          <cell r="BA479" t="str">
            <v>-</v>
          </cell>
          <cell r="BB479" t="str">
            <v>-</v>
          </cell>
          <cell r="BC479" t="str">
            <v>-</v>
          </cell>
          <cell r="BD479" t="str">
            <v>-</v>
          </cell>
          <cell r="BE479" t="str">
            <v>-</v>
          </cell>
          <cell r="BF479" t="str">
            <v>-</v>
          </cell>
          <cell r="BG479" t="str">
            <v>-</v>
          </cell>
          <cell r="BH479" t="str">
            <v>-</v>
          </cell>
          <cell r="BI479" t="str">
            <v>-</v>
          </cell>
          <cell r="BJ479" t="str">
            <v>-</v>
          </cell>
          <cell r="BK479" t="str">
            <v>-</v>
          </cell>
          <cell r="BL479" t="str">
            <v>-</v>
          </cell>
          <cell r="BM479" t="str">
            <v>-</v>
          </cell>
          <cell r="BN479" t="str">
            <v>-</v>
          </cell>
          <cell r="BO479" t="str">
            <v>-</v>
          </cell>
          <cell r="BP479" t="str">
            <v>-</v>
          </cell>
          <cell r="BQ479" t="str">
            <v>-</v>
          </cell>
          <cell r="BR479" t="str">
            <v>-</v>
          </cell>
          <cell r="BS479" t="str">
            <v>-</v>
          </cell>
          <cell r="BT479" t="str">
            <v>-</v>
          </cell>
          <cell r="BU479" t="str">
            <v>-</v>
          </cell>
          <cell r="BV479" t="str">
            <v>-</v>
          </cell>
          <cell r="BW479" t="str">
            <v>-</v>
          </cell>
          <cell r="BX479" t="str">
            <v>-</v>
          </cell>
          <cell r="BY479" t="str">
            <v>-</v>
          </cell>
          <cell r="BZ479" t="str">
            <v>-</v>
          </cell>
          <cell r="CA479" t="str">
            <v>-</v>
          </cell>
          <cell r="CB479" t="str">
            <v>-</v>
          </cell>
          <cell r="CC479" t="str">
            <v>-</v>
          </cell>
          <cell r="CD479" t="str">
            <v>-</v>
          </cell>
          <cell r="CE479" t="str">
            <v>-</v>
          </cell>
          <cell r="CF479" t="str">
            <v>-</v>
          </cell>
          <cell r="CG479" t="str">
            <v>-</v>
          </cell>
          <cell r="CH479" t="str">
            <v>-</v>
          </cell>
          <cell r="CI479" t="str">
            <v>-</v>
          </cell>
          <cell r="CJ479" t="str">
            <v>-</v>
          </cell>
          <cell r="CK479" t="str">
            <v>-</v>
          </cell>
          <cell r="CL479" t="str">
            <v>-</v>
          </cell>
          <cell r="CM479" t="str">
            <v>-</v>
          </cell>
          <cell r="CN479" t="str">
            <v>-</v>
          </cell>
          <cell r="CO479" t="str">
            <v>-</v>
          </cell>
          <cell r="CP479" t="str">
            <v>-</v>
          </cell>
          <cell r="CQ479" t="str">
            <v>-</v>
          </cell>
          <cell r="CR479" t="str">
            <v>-</v>
          </cell>
          <cell r="CS479" t="str">
            <v>-</v>
          </cell>
          <cell r="CT479" t="str">
            <v>-</v>
          </cell>
          <cell r="CU479" t="str">
            <v>-</v>
          </cell>
          <cell r="CV479" t="str">
            <v>-</v>
          </cell>
          <cell r="CW479" t="str">
            <v>-</v>
          </cell>
          <cell r="CX479" t="str">
            <v>-</v>
          </cell>
          <cell r="CY479" t="str">
            <v>-</v>
          </cell>
          <cell r="CZ479" t="str">
            <v>-</v>
          </cell>
          <cell r="DA479" t="str">
            <v>-</v>
          </cell>
          <cell r="DB479" t="str">
            <v>-</v>
          </cell>
          <cell r="DC479" t="str">
            <v>-</v>
          </cell>
          <cell r="DD479" t="str">
            <v>-</v>
          </cell>
          <cell r="DE479" t="str">
            <v>-</v>
          </cell>
          <cell r="DF479" t="str">
            <v>-</v>
          </cell>
          <cell r="DG479" t="str">
            <v>-</v>
          </cell>
          <cell r="DH479" t="str">
            <v>-</v>
          </cell>
          <cell r="DI479" t="str">
            <v>-</v>
          </cell>
          <cell r="DJ479" t="str">
            <v>-</v>
          </cell>
          <cell r="DK479" t="str">
            <v>-</v>
          </cell>
          <cell r="DL479" t="str">
            <v>-</v>
          </cell>
          <cell r="DM479" t="str">
            <v>-</v>
          </cell>
          <cell r="DN479" t="str">
            <v>-</v>
          </cell>
          <cell r="DO479" t="str">
            <v>-</v>
          </cell>
          <cell r="DP479" t="str">
            <v>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D7C99-7A16-4C48-B4BD-9EFE2EB9BDDB}">
  <sheetPr codeName="Sheet1"/>
  <dimension ref="A1:AB45"/>
  <sheetViews>
    <sheetView showGridLines="0" tabSelected="1" view="pageLayout" zoomScale="115" zoomScaleNormal="70" zoomScalePageLayoutView="115" workbookViewId="0">
      <selection activeCell="F13" sqref="F13:M13"/>
    </sheetView>
  </sheetViews>
  <sheetFormatPr defaultColWidth="8.58203125" defaultRowHeight="11.5" x14ac:dyDescent="0.45"/>
  <cols>
    <col min="1" max="13" width="3.08203125" style="1" customWidth="1"/>
    <col min="14" max="14" width="1.33203125" style="1" customWidth="1"/>
    <col min="15" max="26" width="3.08203125" style="1" customWidth="1"/>
    <col min="27" max="27" width="3" style="1" customWidth="1"/>
    <col min="28" max="16384" width="8.58203125" style="1"/>
  </cols>
  <sheetData>
    <row r="1" spans="1:28" ht="17.149999999999999" customHeight="1" x14ac:dyDescent="0.45">
      <c r="A1" s="2"/>
      <c r="B1" s="2"/>
      <c r="C1" s="2"/>
      <c r="D1" s="2"/>
      <c r="E1" s="2"/>
      <c r="F1" s="2"/>
      <c r="G1" s="2"/>
      <c r="H1" s="2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2"/>
      <c r="U1" s="2"/>
      <c r="V1" s="2"/>
      <c r="W1" s="2"/>
      <c r="X1" s="2"/>
      <c r="Y1" s="2"/>
      <c r="Z1" s="2"/>
      <c r="AA1" s="2"/>
    </row>
    <row r="2" spans="1:28" ht="49.5" customHeight="1" x14ac:dyDescent="0.45">
      <c r="A2" s="94" t="s">
        <v>63</v>
      </c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</row>
    <row r="3" spans="1:28" ht="24" customHeight="1" x14ac:dyDescent="0.45">
      <c r="A3" s="95" t="s">
        <v>26</v>
      </c>
      <c r="B3" s="95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8" ht="29.25" customHeight="1" thickBot="1" x14ac:dyDescent="0.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98">
        <f>SUM(F10:M14)</f>
        <v>640000</v>
      </c>
      <c r="O4" s="99"/>
      <c r="P4" s="99"/>
      <c r="Q4" s="99"/>
      <c r="R4" s="99"/>
      <c r="S4" s="99"/>
      <c r="T4" s="99"/>
      <c r="U4" s="99"/>
      <c r="V4" s="99"/>
      <c r="W4" s="99"/>
      <c r="X4" s="99"/>
      <c r="Y4" s="99"/>
      <c r="Z4" s="99"/>
      <c r="AA4" s="13" t="s">
        <v>4</v>
      </c>
    </row>
    <row r="5" spans="1:28" ht="17.25" customHeight="1" x14ac:dyDescent="0.45">
      <c r="A5" s="137"/>
      <c r="B5" s="137"/>
      <c r="C5" s="137"/>
      <c r="D5" s="137"/>
      <c r="E5" s="58"/>
      <c r="F5" s="58"/>
      <c r="G5" s="58"/>
      <c r="H5" s="58"/>
      <c r="I5" s="58"/>
      <c r="J5" s="58"/>
      <c r="K5" s="58"/>
      <c r="L5" s="58"/>
      <c r="M5" s="58"/>
      <c r="N5" s="19"/>
      <c r="O5" s="57" t="s">
        <v>5</v>
      </c>
      <c r="P5" s="57"/>
      <c r="Q5" s="57"/>
      <c r="R5" s="57"/>
      <c r="S5" s="57"/>
      <c r="T5" s="18"/>
      <c r="U5" s="18"/>
      <c r="V5" s="100">
        <f>VLOOKUP($T$13, 월대여료!B3:L62, 2, FALSE)</f>
        <v>46127</v>
      </c>
      <c r="W5" s="101"/>
      <c r="X5" s="101"/>
      <c r="Y5" s="101"/>
      <c r="Z5" s="101"/>
      <c r="AA5" s="101"/>
    </row>
    <row r="6" spans="1:28" ht="17.25" customHeight="1" x14ac:dyDescent="0.45">
      <c r="A6" s="137"/>
      <c r="B6" s="137"/>
      <c r="C6" s="137"/>
      <c r="D6" s="137"/>
      <c r="E6" s="2"/>
      <c r="F6" s="2"/>
      <c r="G6" s="2"/>
      <c r="H6" s="2"/>
      <c r="I6" s="2"/>
      <c r="J6" s="2"/>
      <c r="K6" s="2"/>
      <c r="L6" s="2"/>
      <c r="M6" s="2"/>
      <c r="N6" s="19"/>
      <c r="O6" s="19" t="s">
        <v>6</v>
      </c>
      <c r="P6" s="19"/>
      <c r="Q6" s="19"/>
      <c r="R6" s="19"/>
      <c r="S6" s="19"/>
      <c r="T6" s="17"/>
      <c r="U6" s="17"/>
      <c r="V6" s="102">
        <f ca="1">TODAY()</f>
        <v>46251</v>
      </c>
      <c r="W6" s="103"/>
      <c r="X6" s="103"/>
      <c r="Y6" s="103"/>
      <c r="Z6" s="103"/>
      <c r="AA6" s="103"/>
    </row>
    <row r="7" spans="1:28" ht="17.25" customHeight="1" x14ac:dyDescent="0.4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19"/>
      <c r="O7" s="19" t="s">
        <v>7</v>
      </c>
      <c r="P7" s="19"/>
      <c r="Q7" s="19"/>
      <c r="R7" s="19"/>
      <c r="S7" s="19"/>
      <c r="T7" s="17"/>
      <c r="U7" s="104" t="s">
        <v>17</v>
      </c>
      <c r="V7" s="104"/>
      <c r="W7" s="104"/>
      <c r="X7" s="104"/>
      <c r="Y7" s="104"/>
      <c r="Z7" s="104"/>
      <c r="AA7" s="104"/>
      <c r="AB7" s="1" t="s">
        <v>43</v>
      </c>
    </row>
    <row r="8" spans="1:28" ht="19.75" customHeight="1" thickBot="1" x14ac:dyDescent="0.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12"/>
      <c r="S8" s="97"/>
      <c r="T8" s="97"/>
      <c r="U8" s="97"/>
      <c r="V8" s="97"/>
      <c r="W8" s="97"/>
      <c r="X8" s="97"/>
      <c r="Y8" s="97"/>
      <c r="Z8" s="97"/>
      <c r="AA8" s="97"/>
    </row>
    <row r="9" spans="1:28" ht="19.75" customHeight="1" thickBot="1" x14ac:dyDescent="0.5">
      <c r="A9" s="114" t="s">
        <v>3</v>
      </c>
      <c r="B9" s="115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6"/>
      <c r="N9" s="14"/>
      <c r="O9" s="114" t="s">
        <v>8</v>
      </c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  <c r="AA9" s="116"/>
    </row>
    <row r="10" spans="1:28" ht="19.75" customHeight="1" x14ac:dyDescent="0.45">
      <c r="A10" s="15">
        <v>1</v>
      </c>
      <c r="B10" s="111" t="s">
        <v>9</v>
      </c>
      <c r="C10" s="111"/>
      <c r="D10" s="111"/>
      <c r="E10" s="111"/>
      <c r="F10" s="120">
        <f>VLOOKUP($T$13, 월대여료!B3:L62, 4, FALSE)</f>
        <v>0</v>
      </c>
      <c r="G10" s="120"/>
      <c r="H10" s="120"/>
      <c r="I10" s="120"/>
      <c r="J10" s="120"/>
      <c r="K10" s="120"/>
      <c r="L10" s="120"/>
      <c r="M10" s="121"/>
      <c r="N10" s="2"/>
      <c r="O10" s="15">
        <v>1</v>
      </c>
      <c r="P10" s="111" t="s">
        <v>13</v>
      </c>
      <c r="Q10" s="111"/>
      <c r="R10" s="111"/>
      <c r="S10" s="111"/>
      <c r="T10" s="105" t="str">
        <f>A2</f>
        <v>법인/고객명</v>
      </c>
      <c r="U10" s="106"/>
      <c r="V10" s="106"/>
      <c r="W10" s="106"/>
      <c r="X10" s="106"/>
      <c r="Y10" s="106"/>
      <c r="Z10" s="106"/>
      <c r="AA10" s="107"/>
      <c r="AB10" s="51" t="s">
        <v>47</v>
      </c>
    </row>
    <row r="11" spans="1:28" ht="19.75" customHeight="1" x14ac:dyDescent="0.45">
      <c r="A11" s="16">
        <v>2</v>
      </c>
      <c r="B11" s="96" t="s">
        <v>10</v>
      </c>
      <c r="C11" s="96"/>
      <c r="D11" s="96"/>
      <c r="E11" s="96"/>
      <c r="F11" s="112">
        <f>VLOOKUP($T$13, 월대여료!B3:L62, 5, FALSE)</f>
        <v>0</v>
      </c>
      <c r="G11" s="112"/>
      <c r="H11" s="112"/>
      <c r="I11" s="112"/>
      <c r="J11" s="112"/>
      <c r="K11" s="112"/>
      <c r="L11" s="112"/>
      <c r="M11" s="113"/>
      <c r="N11" s="2"/>
      <c r="O11" s="16">
        <v>2</v>
      </c>
      <c r="P11" s="96" t="s">
        <v>14</v>
      </c>
      <c r="Q11" s="96"/>
      <c r="R11" s="96"/>
      <c r="S11" s="96"/>
      <c r="T11" s="108" t="str">
        <f>월대여료!Z3</f>
        <v>신한은행</v>
      </c>
      <c r="U11" s="108"/>
      <c r="V11" s="108"/>
      <c r="W11" s="108"/>
      <c r="X11" s="108"/>
      <c r="Y11" s="108"/>
      <c r="Z11" s="108"/>
      <c r="AA11" s="109"/>
      <c r="AB11" s="80" t="s">
        <v>46</v>
      </c>
    </row>
    <row r="12" spans="1:28" ht="19.75" customHeight="1" x14ac:dyDescent="0.45">
      <c r="A12" s="16">
        <v>3</v>
      </c>
      <c r="B12" s="96" t="s">
        <v>11</v>
      </c>
      <c r="C12" s="96"/>
      <c r="D12" s="96"/>
      <c r="E12" s="96"/>
      <c r="F12" s="112">
        <f>VLOOKUP($T$13, 월대여료!B3:L62, 3, FALSE)</f>
        <v>640000</v>
      </c>
      <c r="G12" s="112"/>
      <c r="H12" s="112"/>
      <c r="I12" s="112"/>
      <c r="J12" s="112"/>
      <c r="K12" s="112"/>
      <c r="L12" s="112"/>
      <c r="M12" s="113"/>
      <c r="N12" s="2"/>
      <c r="O12" s="16">
        <v>3</v>
      </c>
      <c r="P12" s="96" t="s">
        <v>18</v>
      </c>
      <c r="Q12" s="96"/>
      <c r="R12" s="96"/>
      <c r="S12" s="96"/>
      <c r="T12" s="108" t="str">
        <f>LEFT(월대여료!AA3, 5) &amp; "***********"</f>
        <v>140-0***********</v>
      </c>
      <c r="U12" s="108"/>
      <c r="V12" s="108"/>
      <c r="W12" s="108"/>
      <c r="X12" s="108"/>
      <c r="Y12" s="108"/>
      <c r="Z12" s="108"/>
      <c r="AA12" s="109"/>
      <c r="AB12" s="1" t="e" vm="1">
        <v>#VALUE!</v>
      </c>
    </row>
    <row r="13" spans="1:28" ht="19.75" customHeight="1" x14ac:dyDescent="0.45">
      <c r="A13" s="16">
        <v>4</v>
      </c>
      <c r="B13" s="96" t="str">
        <f>VLOOKUP($T$13, 월대여료!B3:Z62, 12, FALSE)</f>
        <v>정기점검</v>
      </c>
      <c r="C13" s="96"/>
      <c r="D13" s="96"/>
      <c r="E13" s="96"/>
      <c r="F13" s="112">
        <f>VLOOKUP($T$13, 월대여료!B3:Z62, 13, FALSE)</f>
        <v>0</v>
      </c>
      <c r="G13" s="112"/>
      <c r="H13" s="112"/>
      <c r="I13" s="112"/>
      <c r="J13" s="112"/>
      <c r="K13" s="112"/>
      <c r="L13" s="112"/>
      <c r="M13" s="113"/>
      <c r="N13" s="2"/>
      <c r="O13" s="16">
        <v>4</v>
      </c>
      <c r="P13" s="96" t="s">
        <v>16</v>
      </c>
      <c r="Q13" s="96"/>
      <c r="R13" s="96"/>
      <c r="S13" s="96"/>
      <c r="T13" s="110">
        <v>1</v>
      </c>
      <c r="U13" s="110"/>
      <c r="V13" s="110"/>
      <c r="W13" s="110"/>
      <c r="X13" s="110"/>
      <c r="Y13" s="110"/>
      <c r="Z13" s="110"/>
      <c r="AA13" s="36" t="s">
        <v>31</v>
      </c>
    </row>
    <row r="14" spans="1:28" ht="19.75" customHeight="1" thickBot="1" x14ac:dyDescent="0.5">
      <c r="A14" s="39">
        <v>5</v>
      </c>
      <c r="B14" s="119" t="s">
        <v>12</v>
      </c>
      <c r="C14" s="119"/>
      <c r="D14" s="119"/>
      <c r="E14" s="119"/>
      <c r="F14" s="117">
        <f>VLOOKUP($T$13, 월대여료!B3:L62, 6, FALSE)</f>
        <v>0</v>
      </c>
      <c r="G14" s="117"/>
      <c r="H14" s="117"/>
      <c r="I14" s="117"/>
      <c r="J14" s="117"/>
      <c r="K14" s="117"/>
      <c r="L14" s="117"/>
      <c r="M14" s="118"/>
      <c r="N14" s="2"/>
      <c r="O14" s="39">
        <v>5</v>
      </c>
      <c r="P14" s="119" t="s">
        <v>19</v>
      </c>
      <c r="Q14" s="119"/>
      <c r="R14" s="119"/>
      <c r="S14" s="119"/>
      <c r="T14" s="134">
        <f>V5</f>
        <v>46127</v>
      </c>
      <c r="U14" s="135"/>
      <c r="V14" s="135"/>
      <c r="W14" s="135"/>
      <c r="X14" s="135"/>
      <c r="Y14" s="135"/>
      <c r="Z14" s="135"/>
      <c r="AA14" s="136"/>
    </row>
    <row r="15" spans="1:28" ht="19.75" customHeight="1" thickBot="1" x14ac:dyDescent="0.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2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8" ht="19.75" customHeight="1" x14ac:dyDescent="0.45">
      <c r="A16" s="43" t="s">
        <v>25</v>
      </c>
      <c r="B16" s="133" t="s">
        <v>15</v>
      </c>
      <c r="C16" s="133"/>
      <c r="D16" s="133"/>
      <c r="E16" s="133"/>
      <c r="F16" s="133" t="s">
        <v>20</v>
      </c>
      <c r="G16" s="133"/>
      <c r="H16" s="133"/>
      <c r="I16" s="133"/>
      <c r="J16" s="133" t="s">
        <v>32</v>
      </c>
      <c r="K16" s="133"/>
      <c r="L16" s="133"/>
      <c r="M16" s="133"/>
      <c r="N16" s="44"/>
      <c r="O16" s="43" t="s">
        <v>25</v>
      </c>
      <c r="P16" s="133" t="s">
        <v>15</v>
      </c>
      <c r="Q16" s="133"/>
      <c r="R16" s="133"/>
      <c r="S16" s="133"/>
      <c r="T16" s="133" t="s">
        <v>20</v>
      </c>
      <c r="U16" s="133"/>
      <c r="V16" s="133"/>
      <c r="W16" s="133"/>
      <c r="X16" s="133" t="s">
        <v>32</v>
      </c>
      <c r="Y16" s="133"/>
      <c r="Z16" s="133"/>
      <c r="AA16" s="133"/>
    </row>
    <row r="17" spans="1:27" ht="19.75" customHeight="1" x14ac:dyDescent="0.45">
      <c r="A17" s="35">
        <v>1</v>
      </c>
      <c r="B17" s="122" t="str">
        <f>IFERROR(월대여료!R3, "")</f>
        <v>151호1372</v>
      </c>
      <c r="C17" s="122"/>
      <c r="D17" s="122"/>
      <c r="E17" s="122"/>
      <c r="F17" s="122">
        <f>IFERROR(VLOOKUP(B17, 월대여료!$R$3:$W$36, 6, FALSE),"")</f>
        <v>640000</v>
      </c>
      <c r="G17" s="122"/>
      <c r="H17" s="122"/>
      <c r="I17" s="122"/>
      <c r="J17" s="123">
        <f>IFERROR(VLOOKUP(B17, 월대여료!$R$3:$W$36, 4, FALSE),"")</f>
        <v>46091</v>
      </c>
      <c r="K17" s="123"/>
      <c r="L17" s="123"/>
      <c r="M17" s="123"/>
      <c r="N17" s="42"/>
      <c r="O17" s="35">
        <v>6</v>
      </c>
      <c r="P17" s="122">
        <f>IFERROR(월대여료!R8,"")</f>
        <v>0</v>
      </c>
      <c r="Q17" s="122"/>
      <c r="R17" s="122"/>
      <c r="S17" s="122"/>
      <c r="T17" s="122">
        <f>IFERROR(VLOOKUP(P17, 월대여료!$R$3:$W$36, 6, FALSE),"")</f>
        <v>0</v>
      </c>
      <c r="U17" s="122"/>
      <c r="V17" s="122"/>
      <c r="W17" s="122"/>
      <c r="X17" s="123" t="str">
        <f>IFERROR(VLOOKUP(P17, 월대여료!$R$3:$W$36, 4, FALSE),"")</f>
        <v/>
      </c>
      <c r="Y17" s="123"/>
      <c r="Z17" s="123"/>
      <c r="AA17" s="123"/>
    </row>
    <row r="18" spans="1:27" ht="19.75" customHeight="1" x14ac:dyDescent="0.45">
      <c r="A18" s="35">
        <v>2</v>
      </c>
      <c r="B18" s="122">
        <f>IFERROR(월대여료!R4, "")</f>
        <v>0</v>
      </c>
      <c r="C18" s="122"/>
      <c r="D18" s="122"/>
      <c r="E18" s="122"/>
      <c r="F18" s="122">
        <f>IFERROR(VLOOKUP(B18, 월대여료!$R$3:$W$36, 6, FALSE),"")</f>
        <v>0</v>
      </c>
      <c r="G18" s="122"/>
      <c r="H18" s="122"/>
      <c r="I18" s="122"/>
      <c r="J18" s="123" t="str">
        <f>IFERROR(VLOOKUP(B18, 월대여료!$R$3:$W$36, 4, FALSE),"")</f>
        <v/>
      </c>
      <c r="K18" s="123"/>
      <c r="L18" s="123"/>
      <c r="M18" s="123"/>
      <c r="N18" s="42"/>
      <c r="O18" s="35">
        <v>7</v>
      </c>
      <c r="P18" s="122">
        <f>IFERROR(월대여료!R9,"")</f>
        <v>0</v>
      </c>
      <c r="Q18" s="122"/>
      <c r="R18" s="122"/>
      <c r="S18" s="122"/>
      <c r="T18" s="122">
        <f>IFERROR(VLOOKUP(P18, 월대여료!$R$3:$W$36, 6, FALSE),"")</f>
        <v>0</v>
      </c>
      <c r="U18" s="122"/>
      <c r="V18" s="122"/>
      <c r="W18" s="122"/>
      <c r="X18" s="123" t="str">
        <f>IFERROR(VLOOKUP(P18, 월대여료!$R$3:$W$36, 4, FALSE),"")</f>
        <v/>
      </c>
      <c r="Y18" s="123"/>
      <c r="Z18" s="123"/>
      <c r="AA18" s="123"/>
    </row>
    <row r="19" spans="1:27" ht="19.75" customHeight="1" x14ac:dyDescent="0.45">
      <c r="A19" s="35">
        <v>3</v>
      </c>
      <c r="B19" s="122">
        <f>IFERROR(월대여료!R5, "")</f>
        <v>0</v>
      </c>
      <c r="C19" s="122"/>
      <c r="D19" s="122"/>
      <c r="E19" s="122"/>
      <c r="F19" s="122">
        <f>IFERROR(VLOOKUP(B19, 월대여료!$R$3:$W$36, 6, FALSE),"")</f>
        <v>0</v>
      </c>
      <c r="G19" s="122"/>
      <c r="H19" s="122"/>
      <c r="I19" s="122"/>
      <c r="J19" s="123" t="str">
        <f>IFERROR(VLOOKUP(B19, 월대여료!$R$3:$W$36, 4, FALSE),"")</f>
        <v/>
      </c>
      <c r="K19" s="123"/>
      <c r="L19" s="123"/>
      <c r="M19" s="123"/>
      <c r="N19" s="42"/>
      <c r="O19" s="35">
        <v>8</v>
      </c>
      <c r="P19" s="122">
        <f>IFERROR(월대여료!R10,"")</f>
        <v>0</v>
      </c>
      <c r="Q19" s="122"/>
      <c r="R19" s="122"/>
      <c r="S19" s="122"/>
      <c r="T19" s="122">
        <f>IFERROR(VLOOKUP(P19, 월대여료!$R$3:$W$36, 6, FALSE),"")</f>
        <v>0</v>
      </c>
      <c r="U19" s="122"/>
      <c r="V19" s="122"/>
      <c r="W19" s="122"/>
      <c r="X19" s="123" t="str">
        <f>IFERROR(VLOOKUP(P19, 월대여료!$R$3:$W$36, 4, FALSE),"")</f>
        <v/>
      </c>
      <c r="Y19" s="123"/>
      <c r="Z19" s="123"/>
      <c r="AA19" s="123"/>
    </row>
    <row r="20" spans="1:27" ht="19.75" customHeight="1" x14ac:dyDescent="0.45">
      <c r="A20" s="35">
        <v>4</v>
      </c>
      <c r="B20" s="122">
        <f>IFERROR(월대여료!R6, "")</f>
        <v>0</v>
      </c>
      <c r="C20" s="122"/>
      <c r="D20" s="122"/>
      <c r="E20" s="122"/>
      <c r="F20" s="122">
        <f>IFERROR(VLOOKUP(B20, 월대여료!$R$3:$W$36, 6, FALSE),"")</f>
        <v>0</v>
      </c>
      <c r="G20" s="122"/>
      <c r="H20" s="122"/>
      <c r="I20" s="122"/>
      <c r="J20" s="123" t="str">
        <f>IFERROR(VLOOKUP(B20, 월대여료!$R$3:$W$36, 4, FALSE),"")</f>
        <v/>
      </c>
      <c r="K20" s="123"/>
      <c r="L20" s="123"/>
      <c r="M20" s="123"/>
      <c r="N20" s="42"/>
      <c r="O20" s="35">
        <v>9</v>
      </c>
      <c r="P20" s="122">
        <f>IFERROR(월대여료!R11,"")</f>
        <v>0</v>
      </c>
      <c r="Q20" s="122"/>
      <c r="R20" s="122"/>
      <c r="S20" s="122"/>
      <c r="T20" s="122">
        <f>IFERROR(VLOOKUP(P20, 월대여료!$R$3:$W$36, 6, FALSE),"")</f>
        <v>0</v>
      </c>
      <c r="U20" s="122"/>
      <c r="V20" s="122"/>
      <c r="W20" s="122"/>
      <c r="X20" s="123" t="str">
        <f>IFERROR(VLOOKUP(P20, 월대여료!$R$3:$W$36, 4, FALSE),"")</f>
        <v/>
      </c>
      <c r="Y20" s="123"/>
      <c r="Z20" s="123"/>
      <c r="AA20" s="123"/>
    </row>
    <row r="21" spans="1:27" ht="19.75" customHeight="1" thickBot="1" x14ac:dyDescent="0.5">
      <c r="A21" s="45">
        <v>5</v>
      </c>
      <c r="B21" s="125">
        <f>IFERROR(월대여료!R7, "")</f>
        <v>0</v>
      </c>
      <c r="C21" s="125"/>
      <c r="D21" s="125"/>
      <c r="E21" s="125"/>
      <c r="F21" s="125">
        <f>IFERROR(VLOOKUP(B21, 월대여료!$R$3:$W$36, 6, FALSE),"")</f>
        <v>0</v>
      </c>
      <c r="G21" s="125"/>
      <c r="H21" s="125"/>
      <c r="I21" s="125"/>
      <c r="J21" s="139" t="str">
        <f>IFERROR(VLOOKUP(B21, 월대여료!$R$3:$W$36, 4, FALSE),"")</f>
        <v/>
      </c>
      <c r="K21" s="139"/>
      <c r="L21" s="139"/>
      <c r="M21" s="139"/>
      <c r="N21" s="46"/>
      <c r="O21" s="45">
        <v>10</v>
      </c>
      <c r="P21" s="125">
        <f>IFERROR(월대여료!R12,"")</f>
        <v>0</v>
      </c>
      <c r="Q21" s="125"/>
      <c r="R21" s="125"/>
      <c r="S21" s="125"/>
      <c r="T21" s="125">
        <f>IFERROR(VLOOKUP(P21, 월대여료!$R$3:$W$36, 6, FALSE),"")</f>
        <v>0</v>
      </c>
      <c r="U21" s="125"/>
      <c r="V21" s="125"/>
      <c r="W21" s="125"/>
      <c r="X21" s="139" t="str">
        <f>IFERROR(VLOOKUP(P21, 월대여료!$R$3:$W$36, 4, FALSE),"")</f>
        <v/>
      </c>
      <c r="Y21" s="139"/>
      <c r="Z21" s="139"/>
      <c r="AA21" s="139"/>
    </row>
    <row r="22" spans="1:27" ht="19.75" customHeight="1" x14ac:dyDescent="0.4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9.75" customHeight="1" thickBot="1" x14ac:dyDescent="0.5">
      <c r="A23" s="130"/>
      <c r="B23" s="130"/>
      <c r="C23" s="130"/>
      <c r="D23" s="19"/>
      <c r="E23" s="20"/>
      <c r="F23" s="20"/>
      <c r="G23" s="20"/>
      <c r="H23" s="17"/>
      <c r="I23" s="29"/>
      <c r="J23" s="29"/>
      <c r="K23" s="29"/>
      <c r="L23" s="30"/>
      <c r="M23" s="30"/>
      <c r="N23" s="30"/>
      <c r="O23" s="30"/>
      <c r="P23" s="28"/>
      <c r="Q23" s="28"/>
      <c r="T23" s="31"/>
      <c r="U23" s="31"/>
      <c r="V23" s="31"/>
      <c r="W23" s="31"/>
      <c r="X23" s="32"/>
      <c r="Y23" s="32"/>
      <c r="Z23" s="32"/>
    </row>
    <row r="24" spans="1:27" ht="19.75" customHeight="1" x14ac:dyDescent="0.45">
      <c r="A24" s="126" t="s">
        <v>22</v>
      </c>
      <c r="B24" s="127"/>
      <c r="C24" s="127"/>
      <c r="D24" s="127"/>
      <c r="E24" s="128">
        <f>ROUNDDOWN(SUM(F17:I21,T17:W21)*12/365, -1)</f>
        <v>21040</v>
      </c>
      <c r="F24" s="128"/>
      <c r="G24" s="128"/>
      <c r="H24" s="129"/>
      <c r="I24" s="33"/>
      <c r="J24" s="126" t="s">
        <v>21</v>
      </c>
      <c r="K24" s="127"/>
      <c r="L24" s="127"/>
      <c r="M24" s="127"/>
      <c r="N24" s="128">
        <v>0</v>
      </c>
      <c r="O24" s="128"/>
      <c r="P24" s="128"/>
      <c r="Q24" s="129"/>
      <c r="R24" s="34"/>
      <c r="S24" s="131" t="s">
        <v>23</v>
      </c>
      <c r="T24" s="132"/>
      <c r="U24" s="132"/>
      <c r="V24" s="132"/>
      <c r="W24" s="132"/>
      <c r="X24" s="140">
        <v>0</v>
      </c>
      <c r="Y24" s="140"/>
      <c r="Z24" s="140"/>
      <c r="AA24" s="141"/>
    </row>
    <row r="25" spans="1:27" ht="19.75" customHeight="1" x14ac:dyDescent="0.4">
      <c r="A25" s="17"/>
      <c r="B25" s="19"/>
      <c r="C25" s="19"/>
      <c r="D25" s="19"/>
      <c r="E25" s="27"/>
      <c r="F25" s="27"/>
      <c r="G25" s="27"/>
      <c r="H25" s="23"/>
      <c r="I25" s="19"/>
      <c r="J25" s="19"/>
      <c r="K25" s="19"/>
      <c r="L25" s="24"/>
      <c r="M25" s="24"/>
      <c r="N25" s="24"/>
      <c r="O25" s="24"/>
      <c r="P25" s="17"/>
      <c r="Q25" s="17"/>
      <c r="R25" s="25"/>
      <c r="S25" s="25"/>
      <c r="T25" s="25"/>
      <c r="U25" s="25"/>
      <c r="V25" s="26"/>
      <c r="W25" s="26"/>
      <c r="X25" s="26"/>
      <c r="Y25" s="26"/>
      <c r="Z25" s="17"/>
      <c r="AA25" s="17"/>
    </row>
    <row r="26" spans="1:27" ht="19.75" customHeight="1" x14ac:dyDescent="0.4">
      <c r="A26" s="17"/>
      <c r="B26" s="19"/>
      <c r="C26" s="19"/>
      <c r="D26" s="19"/>
      <c r="E26" s="27"/>
      <c r="F26" s="27"/>
      <c r="G26" s="27"/>
      <c r="H26" s="23"/>
      <c r="I26" s="19"/>
      <c r="J26" s="19"/>
      <c r="K26" s="19"/>
      <c r="L26" s="24"/>
      <c r="M26" s="24"/>
      <c r="N26" s="24"/>
      <c r="O26" s="24"/>
      <c r="P26" s="17"/>
      <c r="Q26" s="17"/>
      <c r="R26" s="25"/>
      <c r="S26" s="25"/>
      <c r="T26" s="25"/>
      <c r="U26" s="25"/>
      <c r="V26" s="26"/>
      <c r="W26" s="26"/>
      <c r="X26" s="26"/>
      <c r="Y26" s="26"/>
      <c r="Z26" s="17"/>
      <c r="AA26" s="17"/>
    </row>
    <row r="27" spans="1:27" ht="19.75" customHeight="1" x14ac:dyDescent="0.4">
      <c r="A27" s="17"/>
      <c r="B27" s="19"/>
      <c r="C27" s="19"/>
      <c r="D27" s="19"/>
      <c r="E27" s="27"/>
      <c r="F27" s="27"/>
      <c r="G27" s="27"/>
      <c r="H27" s="23"/>
      <c r="I27" s="19"/>
      <c r="J27" s="19"/>
      <c r="K27" s="19"/>
      <c r="L27" s="24"/>
      <c r="M27" s="24"/>
      <c r="N27" s="24"/>
      <c r="O27" s="24"/>
      <c r="P27" s="17"/>
      <c r="Q27" s="17"/>
      <c r="R27" s="25"/>
      <c r="S27" s="25"/>
      <c r="T27" s="25"/>
      <c r="U27" s="25"/>
      <c r="V27" s="26"/>
      <c r="W27" s="26"/>
      <c r="X27" s="26"/>
      <c r="Y27" s="26"/>
      <c r="Z27" s="17"/>
      <c r="AA27" s="17"/>
    </row>
    <row r="28" spans="1:27" ht="19.75" customHeight="1" x14ac:dyDescent="0.4">
      <c r="A28" s="17"/>
      <c r="B28" s="19"/>
      <c r="C28" s="19"/>
      <c r="D28" s="19"/>
      <c r="E28" s="27"/>
      <c r="F28" s="27"/>
      <c r="G28" s="27"/>
      <c r="H28" s="23"/>
      <c r="I28" s="19"/>
      <c r="J28" s="19"/>
      <c r="K28" s="19"/>
      <c r="L28" s="24"/>
      <c r="M28" s="24"/>
      <c r="N28" s="24"/>
      <c r="O28" s="24"/>
      <c r="P28" s="17"/>
      <c r="Q28" s="17"/>
      <c r="R28" s="25"/>
      <c r="S28" s="25"/>
      <c r="T28" s="25"/>
      <c r="U28" s="25"/>
      <c r="V28" s="26"/>
      <c r="W28" s="26"/>
      <c r="X28" s="26"/>
      <c r="Y28" s="26"/>
      <c r="Z28" s="17"/>
      <c r="AA28" s="17"/>
    </row>
    <row r="29" spans="1:27" ht="19.75" customHeight="1" x14ac:dyDescent="0.4">
      <c r="A29" s="17"/>
      <c r="B29" s="19"/>
      <c r="C29" s="19"/>
      <c r="D29" s="19"/>
      <c r="E29" s="27"/>
      <c r="F29" s="27"/>
      <c r="G29" s="27"/>
      <c r="H29" s="23"/>
      <c r="I29" s="19"/>
      <c r="J29" s="19"/>
      <c r="K29" s="19"/>
      <c r="L29" s="24"/>
      <c r="M29" s="24"/>
      <c r="N29" s="24"/>
      <c r="O29" s="24"/>
      <c r="P29" s="17"/>
    </row>
    <row r="30" spans="1:27" ht="19.75" customHeight="1" thickBot="1" x14ac:dyDescent="0.45">
      <c r="A30" s="17"/>
      <c r="B30" s="19"/>
      <c r="C30" s="19"/>
      <c r="D30" s="19"/>
      <c r="E30" s="27"/>
      <c r="F30" s="27"/>
      <c r="G30" s="27"/>
      <c r="H30" s="23"/>
      <c r="I30" s="19"/>
      <c r="J30" s="19"/>
      <c r="K30" s="19"/>
      <c r="L30" s="24"/>
      <c r="M30" s="24"/>
      <c r="N30" s="24"/>
      <c r="O30" s="24"/>
      <c r="P30" s="17"/>
      <c r="Q30" s="17"/>
      <c r="R30" s="25"/>
      <c r="S30" s="25"/>
      <c r="T30" s="25"/>
      <c r="U30" s="25"/>
      <c r="V30" s="26"/>
      <c r="W30" s="26"/>
      <c r="X30" s="26"/>
      <c r="Y30" s="26"/>
      <c r="Z30" s="17"/>
      <c r="AA30" s="17"/>
    </row>
    <row r="31" spans="1:27" ht="19.75" customHeight="1" x14ac:dyDescent="0.4">
      <c r="A31" s="17"/>
      <c r="B31" s="19"/>
      <c r="C31" s="19"/>
      <c r="D31" s="19"/>
      <c r="E31" s="27"/>
      <c r="F31" s="27"/>
      <c r="G31" s="27"/>
      <c r="H31" s="23"/>
      <c r="I31" s="19"/>
      <c r="J31" s="19"/>
      <c r="K31" s="19"/>
      <c r="L31" s="24"/>
      <c r="M31" s="24"/>
      <c r="N31" s="24"/>
      <c r="O31" s="24"/>
      <c r="P31" s="131" t="s">
        <v>37</v>
      </c>
      <c r="Q31" s="132"/>
      <c r="R31" s="132"/>
      <c r="S31" s="132"/>
      <c r="T31" s="132"/>
      <c r="U31" s="129" t="str">
        <f>IFERROR(VLOOKUP(B17, 월대여료!$R$3:$X$36, 7, FALSE),"")</f>
        <v>mhgood45@dkin.co.kr</v>
      </c>
      <c r="V31" s="138"/>
      <c r="W31" s="138"/>
      <c r="X31" s="138"/>
      <c r="Y31" s="138"/>
      <c r="Z31" s="138"/>
      <c r="AA31" s="138"/>
    </row>
    <row r="32" spans="1:27" ht="19.75" customHeight="1" x14ac:dyDescent="0.45">
      <c r="A32" s="2"/>
      <c r="B32" s="21"/>
      <c r="C32" s="21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</row>
    <row r="33" spans="1:27" ht="19.75" customHeight="1" x14ac:dyDescent="0.45">
      <c r="A33" s="2"/>
      <c r="B33" s="21"/>
      <c r="C33" s="21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</row>
    <row r="34" spans="1:27" ht="19.75" customHeight="1" x14ac:dyDescent="0.45">
      <c r="A34" s="2"/>
      <c r="B34" s="2"/>
      <c r="C34" s="2"/>
      <c r="D34" s="2"/>
      <c r="E34" s="2"/>
      <c r="F34" s="2"/>
      <c r="G34" s="2"/>
      <c r="H34" s="2"/>
      <c r="I34" s="2"/>
      <c r="J34" s="2"/>
      <c r="K34" s="3"/>
      <c r="L34" s="5"/>
      <c r="M34" s="5"/>
      <c r="N34" s="5"/>
      <c r="O34" s="5"/>
      <c r="P34" s="5"/>
      <c r="Q34" s="5"/>
      <c r="R34" s="5"/>
      <c r="S34" s="3"/>
      <c r="T34" s="4"/>
      <c r="U34" s="2"/>
      <c r="V34" s="2"/>
      <c r="W34" s="2"/>
      <c r="X34" s="2"/>
      <c r="Y34" s="2"/>
      <c r="Z34" s="2"/>
      <c r="AA34" s="2"/>
    </row>
    <row r="35" spans="1:27" ht="19.75" customHeight="1" x14ac:dyDescent="0.45">
      <c r="A35" s="8" t="s">
        <v>24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9"/>
      <c r="S35" s="10"/>
      <c r="T35" s="11"/>
      <c r="U35" s="8"/>
      <c r="V35" s="8" t="s">
        <v>2</v>
      </c>
      <c r="W35" s="8"/>
      <c r="X35" s="8"/>
      <c r="Y35" s="8"/>
      <c r="Z35" s="8"/>
      <c r="AA35" s="8"/>
    </row>
    <row r="36" spans="1:27" ht="19.75" customHeight="1" x14ac:dyDescent="0.45">
      <c r="A36" s="8" t="s">
        <v>0</v>
      </c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9"/>
      <c r="O36" s="124"/>
      <c r="P36" s="124"/>
      <c r="Q36" s="124"/>
      <c r="R36" s="9"/>
      <c r="S36" s="10"/>
      <c r="T36" s="11"/>
      <c r="U36" s="8"/>
      <c r="V36" s="8" t="s">
        <v>1</v>
      </c>
      <c r="W36" s="8"/>
      <c r="X36" s="8"/>
      <c r="Y36" s="8"/>
      <c r="Z36" s="8"/>
      <c r="AA36" s="8"/>
    </row>
    <row r="37" spans="1:27" ht="13.5" customHeight="1" x14ac:dyDescent="0.45"/>
    <row r="38" spans="1:27" ht="13.5" customHeight="1" x14ac:dyDescent="0.45"/>
    <row r="39" spans="1:27" ht="13.5" customHeight="1" x14ac:dyDescent="0.45"/>
    <row r="40" spans="1:27" ht="13.5" customHeight="1" x14ac:dyDescent="0.45"/>
    <row r="41" spans="1:27" ht="13.5" customHeight="1" x14ac:dyDescent="0.45"/>
    <row r="42" spans="1:27" ht="13.5" customHeight="1" x14ac:dyDescent="0.45"/>
    <row r="43" spans="1:27" ht="13.5" customHeight="1" x14ac:dyDescent="0.45"/>
    <row r="44" spans="1:27" ht="13.5" customHeight="1" x14ac:dyDescent="0.45"/>
    <row r="45" spans="1:27" ht="13.5" customHeight="1" x14ac:dyDescent="0.45"/>
  </sheetData>
  <mergeCells count="77">
    <mergeCell ref="A6:D6"/>
    <mergeCell ref="A5:D5"/>
    <mergeCell ref="U31:AA31"/>
    <mergeCell ref="T21:W21"/>
    <mergeCell ref="J21:M21"/>
    <mergeCell ref="X24:AA24"/>
    <mergeCell ref="N24:Q24"/>
    <mergeCell ref="S24:W24"/>
    <mergeCell ref="X21:AA21"/>
    <mergeCell ref="P21:S21"/>
    <mergeCell ref="J24:M24"/>
    <mergeCell ref="X20:AA20"/>
    <mergeCell ref="T20:W20"/>
    <mergeCell ref="P20:S20"/>
    <mergeCell ref="P11:S11"/>
    <mergeCell ref="P12:S12"/>
    <mergeCell ref="P13:S13"/>
    <mergeCell ref="P14:S14"/>
    <mergeCell ref="P19:S19"/>
    <mergeCell ref="T19:W19"/>
    <mergeCell ref="X19:AA19"/>
    <mergeCell ref="T14:AA14"/>
    <mergeCell ref="B16:E16"/>
    <mergeCell ref="T16:W16"/>
    <mergeCell ref="X16:AA16"/>
    <mergeCell ref="X17:AA17"/>
    <mergeCell ref="X18:AA18"/>
    <mergeCell ref="T17:W17"/>
    <mergeCell ref="T18:W18"/>
    <mergeCell ref="J16:M16"/>
    <mergeCell ref="J17:M17"/>
    <mergeCell ref="J18:M18"/>
    <mergeCell ref="F16:I16"/>
    <mergeCell ref="F18:I18"/>
    <mergeCell ref="B17:E17"/>
    <mergeCell ref="B18:E18"/>
    <mergeCell ref="P16:S16"/>
    <mergeCell ref="B19:E19"/>
    <mergeCell ref="F17:I17"/>
    <mergeCell ref="J19:M19"/>
    <mergeCell ref="F19:I19"/>
    <mergeCell ref="O36:Q36"/>
    <mergeCell ref="P17:S17"/>
    <mergeCell ref="P18:S18"/>
    <mergeCell ref="B21:E21"/>
    <mergeCell ref="A24:D24"/>
    <mergeCell ref="E24:H24"/>
    <mergeCell ref="J20:M20"/>
    <mergeCell ref="F20:I20"/>
    <mergeCell ref="F21:I21"/>
    <mergeCell ref="A23:C23"/>
    <mergeCell ref="B20:E20"/>
    <mergeCell ref="P31:T31"/>
    <mergeCell ref="F14:M14"/>
    <mergeCell ref="B10:E10"/>
    <mergeCell ref="B12:E12"/>
    <mergeCell ref="B14:E14"/>
    <mergeCell ref="A9:M9"/>
    <mergeCell ref="F10:M10"/>
    <mergeCell ref="F11:M11"/>
    <mergeCell ref="F12:M12"/>
    <mergeCell ref="A2:AA2"/>
    <mergeCell ref="A3:AA3"/>
    <mergeCell ref="B11:E11"/>
    <mergeCell ref="B13:E13"/>
    <mergeCell ref="S8:AA8"/>
    <mergeCell ref="N4:Z4"/>
    <mergeCell ref="V5:AA5"/>
    <mergeCell ref="V6:AA6"/>
    <mergeCell ref="U7:AA7"/>
    <mergeCell ref="T10:AA10"/>
    <mergeCell ref="T11:AA11"/>
    <mergeCell ref="T13:Z13"/>
    <mergeCell ref="P10:S10"/>
    <mergeCell ref="F13:M13"/>
    <mergeCell ref="O9:AA9"/>
    <mergeCell ref="T12:AA12"/>
  </mergeCells>
  <phoneticPr fontId="1" type="noConversion"/>
  <pageMargins left="0.55118110236220474" right="0.47244094488188981" top="0.14660493827160495" bottom="0.18518518518518517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DA192-6194-460E-898D-902EB23F1727}">
  <sheetPr codeName="Sheet2">
    <pageSetUpPr fitToPage="1"/>
  </sheetPr>
  <dimension ref="A1:AE70"/>
  <sheetViews>
    <sheetView zoomScale="55" zoomScaleNormal="55" workbookViewId="0">
      <selection activeCell="Y16" sqref="Y16"/>
    </sheetView>
  </sheetViews>
  <sheetFormatPr defaultRowHeight="17" x14ac:dyDescent="0.45"/>
  <cols>
    <col min="1" max="1" width="3.75" bestFit="1" customWidth="1"/>
    <col min="2" max="2" width="5.5" bestFit="1" customWidth="1"/>
    <col min="3" max="3" width="11.08203125" bestFit="1" customWidth="1"/>
    <col min="4" max="4" width="16.58203125" style="79" customWidth="1"/>
    <col min="5" max="6" width="15.5" bestFit="1" customWidth="1"/>
    <col min="7" max="12" width="16.58203125" customWidth="1"/>
    <col min="13" max="13" width="11" bestFit="1" customWidth="1"/>
    <col min="14" max="14" width="23" customWidth="1"/>
    <col min="15" max="15" width="8.33203125" bestFit="1" customWidth="1"/>
    <col min="16" max="16" width="11.58203125" bestFit="1" customWidth="1"/>
    <col min="17" max="17" width="15.08203125" bestFit="1" customWidth="1"/>
    <col min="18" max="18" width="10.75" bestFit="1" customWidth="1"/>
    <col min="19" max="19" width="9.83203125" bestFit="1" customWidth="1"/>
    <col min="20" max="20" width="9.25" bestFit="1" customWidth="1"/>
    <col min="21" max="21" width="11.58203125" bestFit="1" customWidth="1"/>
    <col min="22" max="22" width="12.5" bestFit="1" customWidth="1"/>
    <col min="23" max="23" width="9.83203125" bestFit="1" customWidth="1"/>
    <col min="24" max="24" width="25" bestFit="1" customWidth="1"/>
    <col min="25" max="25" width="15.08203125" customWidth="1"/>
    <col min="28" max="28" width="18.08203125" bestFit="1" customWidth="1"/>
    <col min="29" max="31" width="12.08203125" bestFit="1" customWidth="1"/>
  </cols>
  <sheetData>
    <row r="1" spans="1:31" ht="17.5" thickBot="1" x14ac:dyDescent="0.5">
      <c r="B1" s="38">
        <v>1</v>
      </c>
      <c r="C1" s="38">
        <v>2</v>
      </c>
      <c r="D1" s="74">
        <v>3</v>
      </c>
      <c r="E1" s="38">
        <v>12</v>
      </c>
      <c r="F1" s="38">
        <v>13</v>
      </c>
      <c r="G1" s="38">
        <v>4</v>
      </c>
      <c r="H1" s="38">
        <v>5</v>
      </c>
      <c r="I1" s="38">
        <v>6</v>
      </c>
      <c r="J1" s="38">
        <v>7</v>
      </c>
      <c r="K1" s="38">
        <v>8</v>
      </c>
      <c r="L1" s="38">
        <v>9</v>
      </c>
      <c r="M1" s="38">
        <v>10</v>
      </c>
      <c r="N1" s="38">
        <v>11</v>
      </c>
      <c r="R1" s="38">
        <v>1</v>
      </c>
      <c r="S1" s="38">
        <v>2</v>
      </c>
      <c r="T1" s="38">
        <v>3</v>
      </c>
      <c r="U1" s="38">
        <v>4</v>
      </c>
      <c r="V1" s="38">
        <v>5</v>
      </c>
      <c r="W1" s="38">
        <v>6</v>
      </c>
      <c r="X1" s="38">
        <v>7</v>
      </c>
    </row>
    <row r="2" spans="1:31" ht="18" customHeight="1" x14ac:dyDescent="0.45">
      <c r="A2" s="65" t="s">
        <v>28</v>
      </c>
      <c r="B2" s="66" t="s">
        <v>28</v>
      </c>
      <c r="C2" s="66" t="s">
        <v>27</v>
      </c>
      <c r="D2" s="75" t="s">
        <v>20</v>
      </c>
      <c r="E2" s="66" t="s">
        <v>56</v>
      </c>
      <c r="F2" s="66" t="s">
        <v>57</v>
      </c>
      <c r="G2" s="93" t="s">
        <v>12</v>
      </c>
      <c r="H2" s="93"/>
      <c r="I2" s="93"/>
      <c r="J2" s="93"/>
      <c r="K2" s="93"/>
      <c r="L2" s="93"/>
      <c r="M2" s="93" t="s">
        <v>39</v>
      </c>
      <c r="N2" s="93"/>
      <c r="O2" s="66" t="s">
        <v>30</v>
      </c>
      <c r="P2" s="66" t="s">
        <v>29</v>
      </c>
      <c r="Q2" s="66" t="s">
        <v>13</v>
      </c>
      <c r="R2" s="66" t="s">
        <v>15</v>
      </c>
      <c r="S2" s="66" t="s">
        <v>34</v>
      </c>
      <c r="T2" s="66" t="s">
        <v>33</v>
      </c>
      <c r="U2" s="66" t="s">
        <v>32</v>
      </c>
      <c r="V2" s="66" t="s">
        <v>35</v>
      </c>
      <c r="W2" s="66" t="s">
        <v>20</v>
      </c>
      <c r="X2" s="66" t="s">
        <v>36</v>
      </c>
      <c r="Y2" s="66" t="s">
        <v>38</v>
      </c>
      <c r="Z2" s="66" t="s">
        <v>40</v>
      </c>
      <c r="AA2" s="66" t="s">
        <v>18</v>
      </c>
      <c r="AB2" s="67" t="s">
        <v>42</v>
      </c>
      <c r="AC2" s="67" t="s">
        <v>44</v>
      </c>
      <c r="AD2" s="67" t="s">
        <v>45</v>
      </c>
      <c r="AE2" s="67" t="s">
        <v>58</v>
      </c>
    </row>
    <row r="3" spans="1:31" x14ac:dyDescent="0.45">
      <c r="A3" s="59">
        <v>1</v>
      </c>
      <c r="B3" s="52">
        <f t="shared" ref="B3:B62" si="0">IF(A3&lt;=$T$3, A3, 0)</f>
        <v>1</v>
      </c>
      <c r="C3" s="41">
        <f>IF(
  OR(B3=0, B3&gt;$U$3),
  "계약 종료",
  IF(
    $Y$3="말",
    EOMONTH($P$3, B3-1),
    DATE(
      YEAR(EDATE($P$3, B3-1)),
      MONTH(EDATE($P$3, B3-1)),
      $Y$3
    )
  )
)</f>
        <v>46127</v>
      </c>
      <c r="D3" s="76">
        <f t="shared" ref="D3:D62" si="1">IF(B3&gt;0, SUM($W$3:$W$36), 0)</f>
        <v>640000</v>
      </c>
      <c r="E3" s="85"/>
      <c r="F3" s="82">
        <v>0</v>
      </c>
      <c r="G3" s="76">
        <f>SUM(H3:L3)</f>
        <v>0</v>
      </c>
      <c r="H3" s="83"/>
      <c r="I3" s="83"/>
      <c r="J3" s="83"/>
      <c r="K3" s="83"/>
      <c r="L3" s="83"/>
      <c r="M3" s="60" t="s">
        <v>41</v>
      </c>
      <c r="N3" s="85"/>
      <c r="O3" s="61" t="s">
        <v>62</v>
      </c>
      <c r="P3" s="41">
        <f>IFERROR(VLOOKUP($O3, [1]렌트_차량관리!$C$4:$CN$503, 26, FALSE), 0)</f>
        <v>46127</v>
      </c>
      <c r="Q3" s="52" t="str">
        <f>IFERROR(VLOOKUP($O3, [1]렌트_차량관리!$C$4:$CN$503, 2, FALSE), 0)</f>
        <v>㈜대경인트라넷</v>
      </c>
      <c r="R3" s="48" t="str">
        <f>IFERROR(VLOOKUP($O3, [1]렌트_차량관리!$C$4:$CN$503, 12, FALSE), 0)</f>
        <v>151호1372</v>
      </c>
      <c r="S3" s="49">
        <f>IFERROR(VLOOKUP($O3, [1]렌트_차량관리!$C$4:$CN$503, 20, FALSE), 0)</f>
        <v>54</v>
      </c>
      <c r="T3" s="40">
        <f>IFERROR(VLOOKUP($O3, [1]렌트_차량관리!$C$4:$CN$503, 18, FALSE)*12, 0)</f>
        <v>60</v>
      </c>
      <c r="U3" s="41">
        <f>IFERROR(VLOOKUP($O3, [1]렌트_차량관리!$C$4:$CN$503, 17, FALSE), 0)</f>
        <v>46091</v>
      </c>
      <c r="V3" s="50">
        <f>IFERROR(VLOOKUP($O3, [1]렌트_차량관리!$C$4:$CN$503, 19, FALSE), 0)</f>
        <v>47916</v>
      </c>
      <c r="W3" s="47">
        <f>IFERROR(VLOOKUP($O3, [1]렌트_차량관리!$C$4:$CN$503, 80, FALSE), 0)</f>
        <v>640000</v>
      </c>
      <c r="X3" s="47" t="str">
        <f>IFERROR(VLOOKUP($O3, [1]렌트_차량관리!$C$4:$CN$503, 88, FALSE), 0)</f>
        <v>mhgood45@dkin.co.kr</v>
      </c>
      <c r="Y3" s="47" t="str">
        <f>IFERROR(VLOOKUP($O3, [1]렌트_차량관리!$C$4:$CN$503, 78, FALSE), 0)</f>
        <v>15</v>
      </c>
      <c r="Z3" s="62" t="str">
        <f>VLOOKUP($O$3, [1]렌트_차량관리!$C$4:$DJ$503, 108, FALSE)</f>
        <v>신한은행</v>
      </c>
      <c r="AA3" s="62" t="str">
        <f>VLOOKUP($O$3, [1]렌트_차량관리!$C$4:$DJ$503, 109, FALSE)</f>
        <v>140-011-847556</v>
      </c>
      <c r="AB3" s="64">
        <v>12</v>
      </c>
      <c r="AC3" s="73">
        <f>VLOOKUP($O$3, [1]렌트_차량관리!$C$4:$DJ$503, 83, FALSE)</f>
        <v>11223000</v>
      </c>
      <c r="AD3" s="73">
        <f>VLOOKUP($O$3, [1]렌트_차량관리!$C$4:$DJ$503, 84, FALSE)</f>
        <v>0</v>
      </c>
      <c r="AE3" s="81">
        <f>VLOOKUP($O$3, [1]렌트_차량관리!$C$4:$DZ$503, 113, FALSE)</f>
        <v>0.25</v>
      </c>
    </row>
    <row r="4" spans="1:31" x14ac:dyDescent="0.45">
      <c r="A4" s="59">
        <v>2</v>
      </c>
      <c r="B4" s="52">
        <f t="shared" si="0"/>
        <v>2</v>
      </c>
      <c r="C4" s="41">
        <f t="shared" ref="C4:C62" si="2">IF(
  OR(B4=0, B4&gt;$U$3),
  "계약 종료",
  IF(
    $Y$3="말",
    EOMONTH($P$3, B4-1),
    DATE(
      YEAR(EDATE($P$3, B4-1)),
      MONTH(EDATE($P$3, B4-1)),
      $Y$3
    )
  )
)</f>
        <v>46157</v>
      </c>
      <c r="D4" s="76">
        <f t="shared" si="1"/>
        <v>640000</v>
      </c>
      <c r="E4" s="85"/>
      <c r="F4" s="82">
        <f>IFERROR(E4*$AE$3/365*(C4-C3), 0)</f>
        <v>0</v>
      </c>
      <c r="G4" s="76">
        <f t="shared" ref="G4:G62" si="3">SUM(H4:L4)</f>
        <v>0</v>
      </c>
      <c r="H4" s="83"/>
      <c r="I4" s="83"/>
      <c r="J4" s="83"/>
      <c r="K4" s="83"/>
      <c r="L4" s="83"/>
      <c r="M4" s="60" t="s">
        <v>41</v>
      </c>
      <c r="N4" s="85"/>
      <c r="O4" s="61"/>
      <c r="P4" s="41"/>
      <c r="Q4" s="47">
        <f>IFERROR(VLOOKUP($O4, [1]렌트_차량관리!$C$4:$CN$503, 2, FALSE), 0)</f>
        <v>0</v>
      </c>
      <c r="R4" s="53">
        <f>IFERROR(VLOOKUP($O4, [1]렌트_차량관리!$C$4:$CN$503, 12, FALSE), 0)</f>
        <v>0</v>
      </c>
      <c r="S4" s="54">
        <f>IFERROR(VLOOKUP($O4, [1]렌트_차량관리!$C$4:$CN$503, 20, FALSE), 0)</f>
        <v>0</v>
      </c>
      <c r="T4" s="47">
        <f>IFERROR(VLOOKUP($O4, [1]렌트_차량관리!$C$4:$CN$503, 18, FALSE)*12, 0)</f>
        <v>0</v>
      </c>
      <c r="U4" s="55" t="str">
        <f>IFERROR(VLOOKUP($O4, [1]렌트_차량관리!$C$4:$CN$503, 17, FALSE), "")</f>
        <v/>
      </c>
      <c r="V4" s="56" t="str">
        <f>IFERROR(VLOOKUP($O4, [1]렌트_차량관리!$C$4:$CN$503, 19, FALSE), "")</f>
        <v/>
      </c>
      <c r="W4" s="47">
        <f>IFERROR(VLOOKUP($O4, [1]렌트_차량관리!$C$4:$CN$503, 80, FALSE), 0)</f>
        <v>0</v>
      </c>
      <c r="X4" s="47">
        <f>IFERROR(VLOOKUP($O4, [1]렌트_차량관리!$C$4:$CN$503, 88, FALSE), 0)</f>
        <v>0</v>
      </c>
      <c r="Y4" s="47"/>
      <c r="Z4" s="62"/>
      <c r="AA4" s="62"/>
      <c r="AB4" s="63"/>
    </row>
    <row r="5" spans="1:31" x14ac:dyDescent="0.45">
      <c r="A5" s="59">
        <v>3</v>
      </c>
      <c r="B5" s="52">
        <f t="shared" si="0"/>
        <v>3</v>
      </c>
      <c r="C5" s="41">
        <f t="shared" si="2"/>
        <v>46188</v>
      </c>
      <c r="D5" s="76">
        <f t="shared" si="1"/>
        <v>640000</v>
      </c>
      <c r="E5" s="85"/>
      <c r="F5" s="82">
        <f t="shared" ref="F5:F62" si="4">IFERROR(E5*$AE$3/365*(C5-C4), 0)</f>
        <v>0</v>
      </c>
      <c r="G5" s="76">
        <f t="shared" si="3"/>
        <v>0</v>
      </c>
      <c r="H5" s="83"/>
      <c r="I5" s="83"/>
      <c r="J5" s="83"/>
      <c r="K5" s="83"/>
      <c r="L5" s="83"/>
      <c r="M5" s="60" t="s">
        <v>41</v>
      </c>
      <c r="N5" s="85"/>
      <c r="O5" s="61"/>
      <c r="P5" s="41"/>
      <c r="Q5" s="47">
        <f>IFERROR(VLOOKUP($O5, [1]렌트_차량관리!$C$4:$CN$503, 2, FALSE), 0)</f>
        <v>0</v>
      </c>
      <c r="R5" s="53">
        <f>IFERROR(VLOOKUP($O5, [1]렌트_차량관리!$C$4:$CN$503, 12, FALSE), 0)</f>
        <v>0</v>
      </c>
      <c r="S5" s="54">
        <f>IFERROR(VLOOKUP($O5, [1]렌트_차량관리!$C$4:$CN$503, 20, FALSE), 0)</f>
        <v>0</v>
      </c>
      <c r="T5" s="47">
        <f>IFERROR(VLOOKUP($O5, [1]렌트_차량관리!$C$4:$CN$503, 18, FALSE)*12, 0)</f>
        <v>0</v>
      </c>
      <c r="U5" s="55" t="str">
        <f>IFERROR(VLOOKUP($O5, [1]렌트_차량관리!$C$4:$CN$503, 17, FALSE), "")</f>
        <v/>
      </c>
      <c r="V5" s="56" t="str">
        <f>IFERROR(VLOOKUP($O5, [1]렌트_차량관리!$C$4:$CN$503, 19, FALSE), "")</f>
        <v/>
      </c>
      <c r="W5" s="47">
        <f>IFERROR(VLOOKUP($O5, [1]렌트_차량관리!$C$4:$CN$503, 80, FALSE), 0)</f>
        <v>0</v>
      </c>
      <c r="X5" s="47">
        <f>IFERROR(VLOOKUP($O5, [1]렌트_차량관리!$C$4:$CN$503, 88, FALSE), 0)</f>
        <v>0</v>
      </c>
      <c r="Y5" s="47"/>
      <c r="Z5" s="62"/>
      <c r="AA5" s="62"/>
      <c r="AB5" s="63"/>
    </row>
    <row r="6" spans="1:31" x14ac:dyDescent="0.45">
      <c r="A6" s="59">
        <v>4</v>
      </c>
      <c r="B6" s="52">
        <f t="shared" si="0"/>
        <v>4</v>
      </c>
      <c r="C6" s="41">
        <f t="shared" si="2"/>
        <v>46218</v>
      </c>
      <c r="D6" s="76">
        <f t="shared" si="1"/>
        <v>640000</v>
      </c>
      <c r="E6" s="85"/>
      <c r="F6" s="82">
        <f t="shared" si="4"/>
        <v>0</v>
      </c>
      <c r="G6" s="76">
        <f t="shared" si="3"/>
        <v>0</v>
      </c>
      <c r="H6" s="83"/>
      <c r="I6" s="83"/>
      <c r="J6" s="83"/>
      <c r="K6" s="83"/>
      <c r="L6" s="83"/>
      <c r="M6" s="60" t="s">
        <v>41</v>
      </c>
      <c r="N6" s="85"/>
      <c r="O6" s="61"/>
      <c r="P6" s="41"/>
      <c r="Q6" s="47">
        <f>IFERROR(VLOOKUP($O6, [1]렌트_차량관리!$C$4:$CN$503, 2, FALSE), 0)</f>
        <v>0</v>
      </c>
      <c r="R6" s="53">
        <f>IFERROR(VLOOKUP($O6, [1]렌트_차량관리!$C$4:$CN$503, 12, FALSE), 0)</f>
        <v>0</v>
      </c>
      <c r="S6" s="54">
        <f>IFERROR(VLOOKUP($O6, [1]렌트_차량관리!$C$4:$CN$503, 20, FALSE), 0)</f>
        <v>0</v>
      </c>
      <c r="T6" s="47">
        <f>IFERROR(VLOOKUP($O6, [1]렌트_차량관리!$C$4:$CN$503, 18, FALSE)*12, 0)</f>
        <v>0</v>
      </c>
      <c r="U6" s="55" t="str">
        <f>IFERROR(VLOOKUP($O6, [1]렌트_차량관리!$C$4:$CN$503, 17, FALSE), "")</f>
        <v/>
      </c>
      <c r="V6" s="56" t="str">
        <f>IFERROR(VLOOKUP($O6, [1]렌트_차량관리!$C$4:$CN$503, 19, FALSE), "")</f>
        <v/>
      </c>
      <c r="W6" s="47">
        <f>IFERROR(VLOOKUP($O6, [1]렌트_차량관리!$C$4:$CN$503, 80, FALSE), 0)</f>
        <v>0</v>
      </c>
      <c r="X6" s="47">
        <f>IFERROR(VLOOKUP($O6, [1]렌트_차량관리!$C$4:$CN$503, 88, FALSE), 0)</f>
        <v>0</v>
      </c>
      <c r="Y6" s="47"/>
      <c r="Z6" s="62"/>
      <c r="AA6" s="62"/>
      <c r="AB6" s="63"/>
    </row>
    <row r="7" spans="1:31" x14ac:dyDescent="0.45">
      <c r="A7" s="59">
        <v>5</v>
      </c>
      <c r="B7" s="52">
        <f t="shared" si="0"/>
        <v>5</v>
      </c>
      <c r="C7" s="41">
        <f t="shared" si="2"/>
        <v>46249</v>
      </c>
      <c r="D7" s="76">
        <f t="shared" si="1"/>
        <v>640000</v>
      </c>
      <c r="E7" s="85"/>
      <c r="F7" s="82">
        <f t="shared" si="4"/>
        <v>0</v>
      </c>
      <c r="G7" s="76">
        <f t="shared" si="3"/>
        <v>0</v>
      </c>
      <c r="H7" s="83"/>
      <c r="I7" s="83"/>
      <c r="J7" s="83"/>
      <c r="K7" s="83"/>
      <c r="L7" s="83"/>
      <c r="M7" s="60" t="s">
        <v>41</v>
      </c>
      <c r="N7" s="85"/>
      <c r="O7" s="61"/>
      <c r="P7" s="41"/>
      <c r="Q7" s="47">
        <f>IFERROR(VLOOKUP($O7, [1]렌트_차량관리!$C$4:$CN$503, 2, FALSE), 0)</f>
        <v>0</v>
      </c>
      <c r="R7" s="53">
        <f>IFERROR(VLOOKUP($O7, [1]렌트_차량관리!$C$4:$CN$503, 12, FALSE), 0)</f>
        <v>0</v>
      </c>
      <c r="S7" s="54">
        <f>IFERROR(VLOOKUP($O7, [1]렌트_차량관리!$C$4:$CN$503, 20, FALSE), 0)</f>
        <v>0</v>
      </c>
      <c r="T7" s="47">
        <f>IFERROR(VLOOKUP($O7, [1]렌트_차량관리!$C$4:$CN$503, 18, FALSE)*12, 0)</f>
        <v>0</v>
      </c>
      <c r="U7" s="55" t="str">
        <f>IFERROR(VLOOKUP($O7, [1]렌트_차량관리!$C$4:$CN$503, 17, FALSE), "")</f>
        <v/>
      </c>
      <c r="V7" s="56" t="str">
        <f>IFERROR(VLOOKUP($O7, [1]렌트_차량관리!$C$4:$CN$503, 19, FALSE), "")</f>
        <v/>
      </c>
      <c r="W7" s="47">
        <f>IFERROR(VLOOKUP($O7, [1]렌트_차량관리!$C$4:$CN$503, 80, FALSE), 0)</f>
        <v>0</v>
      </c>
      <c r="X7" s="47">
        <f>IFERROR(VLOOKUP($O7, [1]렌트_차량관리!$C$4:$CN$503, 88, FALSE), 0)</f>
        <v>0</v>
      </c>
      <c r="Y7" s="47"/>
      <c r="Z7" s="62"/>
      <c r="AA7" s="62"/>
      <c r="AB7" s="63"/>
    </row>
    <row r="8" spans="1:31" x14ac:dyDescent="0.45">
      <c r="A8" s="59">
        <v>6</v>
      </c>
      <c r="B8" s="52">
        <f t="shared" si="0"/>
        <v>6</v>
      </c>
      <c r="C8" s="41">
        <f t="shared" si="2"/>
        <v>46280</v>
      </c>
      <c r="D8" s="76">
        <f t="shared" si="1"/>
        <v>640000</v>
      </c>
      <c r="E8" s="85"/>
      <c r="F8" s="82">
        <f t="shared" si="4"/>
        <v>0</v>
      </c>
      <c r="G8" s="76">
        <f t="shared" si="3"/>
        <v>0</v>
      </c>
      <c r="H8" s="83"/>
      <c r="I8" s="83"/>
      <c r="J8" s="83"/>
      <c r="K8" s="83"/>
      <c r="L8" s="83"/>
      <c r="M8" s="60" t="s">
        <v>41</v>
      </c>
      <c r="N8" s="85"/>
      <c r="O8" s="61"/>
      <c r="P8" s="41"/>
      <c r="Q8" s="47">
        <f>IFERROR(VLOOKUP($O8, [1]렌트_차량관리!$C$4:$CN$503, 2, FALSE), 0)</f>
        <v>0</v>
      </c>
      <c r="R8" s="53">
        <f>IFERROR(VLOOKUP($O8, [1]렌트_차량관리!$C$4:$CN$503, 12, FALSE), 0)</f>
        <v>0</v>
      </c>
      <c r="S8" s="54">
        <f>IFERROR(VLOOKUP($O8, [1]렌트_차량관리!$C$4:$CN$503, 20, FALSE), 0)</f>
        <v>0</v>
      </c>
      <c r="T8" s="47">
        <f>IFERROR(VLOOKUP($O8, [1]렌트_차량관리!$C$4:$CN$503, 18, FALSE)*12, 0)</f>
        <v>0</v>
      </c>
      <c r="U8" s="55" t="str">
        <f>IFERROR(VLOOKUP($O8, [1]렌트_차량관리!$C$4:$CN$503, 17, FALSE), "")</f>
        <v/>
      </c>
      <c r="V8" s="56" t="str">
        <f>IFERROR(VLOOKUP($O8, [1]렌트_차량관리!$C$4:$CN$503, 19, FALSE), "")</f>
        <v/>
      </c>
      <c r="W8" s="47">
        <f>IFERROR(VLOOKUP($O8, [1]렌트_차량관리!$C$4:$CN$503, 80, FALSE), 0)</f>
        <v>0</v>
      </c>
      <c r="X8" s="47">
        <f>IFERROR(VLOOKUP($O8, [1]렌트_차량관리!$C$4:$CN$503, 88, FALSE), 0)</f>
        <v>0</v>
      </c>
      <c r="Y8" s="47"/>
      <c r="Z8" s="62"/>
      <c r="AA8" s="62"/>
      <c r="AB8" s="63"/>
    </row>
    <row r="9" spans="1:31" x14ac:dyDescent="0.45">
      <c r="A9" s="59">
        <v>7</v>
      </c>
      <c r="B9" s="52">
        <f t="shared" si="0"/>
        <v>7</v>
      </c>
      <c r="C9" s="41">
        <f t="shared" si="2"/>
        <v>46310</v>
      </c>
      <c r="D9" s="76">
        <f t="shared" si="1"/>
        <v>640000</v>
      </c>
      <c r="E9" s="85"/>
      <c r="F9" s="82">
        <f t="shared" si="4"/>
        <v>0</v>
      </c>
      <c r="G9" s="76">
        <f t="shared" si="3"/>
        <v>0</v>
      </c>
      <c r="H9" s="83"/>
      <c r="I9" s="83"/>
      <c r="J9" s="83"/>
      <c r="K9" s="83"/>
      <c r="L9" s="83"/>
      <c r="M9" s="60" t="s">
        <v>41</v>
      </c>
      <c r="N9" s="85"/>
      <c r="O9" s="61"/>
      <c r="P9" s="41"/>
      <c r="Q9" s="47">
        <f>IFERROR(VLOOKUP($O9, [1]렌트_차량관리!$C$4:$CN$503, 2, FALSE), 0)</f>
        <v>0</v>
      </c>
      <c r="R9" s="53">
        <f>IFERROR(VLOOKUP($O9, [1]렌트_차량관리!$C$4:$CN$503, 12, FALSE), 0)</f>
        <v>0</v>
      </c>
      <c r="S9" s="54">
        <f>IFERROR(VLOOKUP($O9, [1]렌트_차량관리!$C$4:$CN$503, 20, FALSE), 0)</f>
        <v>0</v>
      </c>
      <c r="T9" s="47">
        <f>IFERROR(VLOOKUP($O9, [1]렌트_차량관리!$C$4:$CN$503, 18, FALSE)*12, 0)</f>
        <v>0</v>
      </c>
      <c r="U9" s="55" t="str">
        <f>IFERROR(VLOOKUP($O9, [1]렌트_차량관리!$C$4:$CN$503, 17, FALSE), "")</f>
        <v/>
      </c>
      <c r="V9" s="56" t="str">
        <f>IFERROR(VLOOKUP($O9, [1]렌트_차량관리!$C$4:$CN$503, 19, FALSE), "")</f>
        <v/>
      </c>
      <c r="W9" s="47">
        <f>IFERROR(VLOOKUP($O9, [1]렌트_차량관리!$C$4:$CN$503, 80, FALSE), 0)</f>
        <v>0</v>
      </c>
      <c r="X9" s="47">
        <f>IFERROR(VLOOKUP($O9, [1]렌트_차량관리!$C$4:$CN$503, 88, FALSE), 0)</f>
        <v>0</v>
      </c>
      <c r="Y9" s="47"/>
      <c r="Z9" s="62"/>
      <c r="AA9" s="62"/>
      <c r="AB9" s="63"/>
    </row>
    <row r="10" spans="1:31" x14ac:dyDescent="0.45">
      <c r="A10" s="59">
        <v>8</v>
      </c>
      <c r="B10" s="52">
        <f t="shared" si="0"/>
        <v>8</v>
      </c>
      <c r="C10" s="41">
        <f t="shared" si="2"/>
        <v>46341</v>
      </c>
      <c r="D10" s="76">
        <f t="shared" si="1"/>
        <v>640000</v>
      </c>
      <c r="E10" s="85"/>
      <c r="F10" s="82">
        <f t="shared" si="4"/>
        <v>0</v>
      </c>
      <c r="G10" s="76">
        <f t="shared" si="3"/>
        <v>0</v>
      </c>
      <c r="H10" s="83"/>
      <c r="I10" s="83"/>
      <c r="J10" s="83"/>
      <c r="K10" s="83"/>
      <c r="L10" s="83"/>
      <c r="M10" s="60" t="s">
        <v>41</v>
      </c>
      <c r="N10" s="85"/>
      <c r="O10" s="61"/>
      <c r="P10" s="41"/>
      <c r="Q10" s="47">
        <f>IFERROR(VLOOKUP($O10, [1]렌트_차량관리!$C$4:$CN$503, 2, FALSE), 0)</f>
        <v>0</v>
      </c>
      <c r="R10" s="53">
        <f>IFERROR(VLOOKUP($O10, [1]렌트_차량관리!$C$4:$CN$503, 12, FALSE), 0)</f>
        <v>0</v>
      </c>
      <c r="S10" s="54">
        <f>IFERROR(VLOOKUP($O10, [1]렌트_차량관리!$C$4:$CN$503, 20, FALSE), 0)</f>
        <v>0</v>
      </c>
      <c r="T10" s="47">
        <f>IFERROR(VLOOKUP($O10, [1]렌트_차량관리!$C$4:$CN$503, 18, FALSE)*12, 0)</f>
        <v>0</v>
      </c>
      <c r="U10" s="55" t="str">
        <f>IFERROR(VLOOKUP($O10, [1]렌트_차량관리!$C$4:$CN$503, 17, FALSE), "")</f>
        <v/>
      </c>
      <c r="V10" s="56" t="str">
        <f>IFERROR(VLOOKUP($O10, [1]렌트_차량관리!$C$4:$CN$503, 19, FALSE), "")</f>
        <v/>
      </c>
      <c r="W10" s="47">
        <f>IFERROR(VLOOKUP($O10, [1]렌트_차량관리!$C$4:$CN$503, 80, FALSE), 0)</f>
        <v>0</v>
      </c>
      <c r="X10" s="47">
        <f>IFERROR(VLOOKUP($O10, [1]렌트_차량관리!$C$4:$CN$503, 88, FALSE), 0)</f>
        <v>0</v>
      </c>
      <c r="Y10" s="47"/>
      <c r="Z10" s="62"/>
      <c r="AA10" s="62"/>
      <c r="AB10" s="63"/>
    </row>
    <row r="11" spans="1:31" x14ac:dyDescent="0.45">
      <c r="A11" s="59">
        <v>9</v>
      </c>
      <c r="B11" s="52">
        <f t="shared" si="0"/>
        <v>9</v>
      </c>
      <c r="C11" s="41">
        <f t="shared" si="2"/>
        <v>46371</v>
      </c>
      <c r="D11" s="76">
        <f t="shared" si="1"/>
        <v>640000</v>
      </c>
      <c r="E11" s="85"/>
      <c r="F11" s="82">
        <f t="shared" si="4"/>
        <v>0</v>
      </c>
      <c r="G11" s="76">
        <f t="shared" si="3"/>
        <v>0</v>
      </c>
      <c r="H11" s="83"/>
      <c r="I11" s="83"/>
      <c r="J11" s="83"/>
      <c r="K11" s="83"/>
      <c r="L11" s="83"/>
      <c r="M11" s="60" t="s">
        <v>41</v>
      </c>
      <c r="N11" s="85"/>
      <c r="O11" s="61"/>
      <c r="P11" s="41"/>
      <c r="Q11" s="47">
        <f>IFERROR(VLOOKUP($O11, [1]렌트_차량관리!$C$4:$CN$503, 2, FALSE), 0)</f>
        <v>0</v>
      </c>
      <c r="R11" s="53">
        <f>IFERROR(VLOOKUP($O11, [1]렌트_차량관리!$C$4:$CN$503, 12, FALSE), 0)</f>
        <v>0</v>
      </c>
      <c r="S11" s="54">
        <f>IFERROR(VLOOKUP($O11, [1]렌트_차량관리!$C$4:$CN$503, 20, FALSE), 0)</f>
        <v>0</v>
      </c>
      <c r="T11" s="47">
        <f>IFERROR(VLOOKUP($O11, [1]렌트_차량관리!$C$4:$CN$503, 18, FALSE)*12, 0)</f>
        <v>0</v>
      </c>
      <c r="U11" s="55" t="str">
        <f>IFERROR(VLOOKUP($O11, [1]렌트_차량관리!$C$4:$CN$503, 17, FALSE), "")</f>
        <v/>
      </c>
      <c r="V11" s="56" t="str">
        <f>IFERROR(VLOOKUP($O11, [1]렌트_차량관리!$C$4:$CN$503, 19, FALSE), "")</f>
        <v/>
      </c>
      <c r="W11" s="47">
        <f>IFERROR(VLOOKUP($O11, [1]렌트_차량관리!$C$4:$CN$503, 80, FALSE), 0)</f>
        <v>0</v>
      </c>
      <c r="X11" s="47">
        <f>IFERROR(VLOOKUP($O11, [1]렌트_차량관리!$C$4:$CN$503, 88, FALSE), 0)</f>
        <v>0</v>
      </c>
      <c r="Y11" s="47"/>
      <c r="Z11" s="62"/>
      <c r="AA11" s="62"/>
      <c r="AB11" s="63"/>
    </row>
    <row r="12" spans="1:31" x14ac:dyDescent="0.45">
      <c r="A12" s="59">
        <v>10</v>
      </c>
      <c r="B12" s="52">
        <f t="shared" si="0"/>
        <v>10</v>
      </c>
      <c r="C12" s="41">
        <f t="shared" si="2"/>
        <v>46402</v>
      </c>
      <c r="D12" s="76">
        <f t="shared" si="1"/>
        <v>640000</v>
      </c>
      <c r="E12" s="85"/>
      <c r="F12" s="82">
        <f t="shared" si="4"/>
        <v>0</v>
      </c>
      <c r="G12" s="76">
        <f t="shared" si="3"/>
        <v>0</v>
      </c>
      <c r="H12" s="83"/>
      <c r="I12" s="83"/>
      <c r="J12" s="83"/>
      <c r="K12" s="83"/>
      <c r="L12" s="83"/>
      <c r="M12" s="60" t="s">
        <v>41</v>
      </c>
      <c r="N12" s="85"/>
      <c r="O12" s="61"/>
      <c r="P12" s="41"/>
      <c r="Q12" s="47">
        <f>IFERROR(VLOOKUP($O12, [1]렌트_차량관리!$C$4:$CN$503, 2, FALSE), 0)</f>
        <v>0</v>
      </c>
      <c r="R12" s="53">
        <f>IFERROR(VLOOKUP($O12, [1]렌트_차량관리!$C$4:$CN$503, 12, FALSE), 0)</f>
        <v>0</v>
      </c>
      <c r="S12" s="54">
        <f>IFERROR(VLOOKUP($O12, [1]렌트_차량관리!$C$4:$CN$503, 20, FALSE), 0)</f>
        <v>0</v>
      </c>
      <c r="T12" s="47">
        <f>IFERROR(VLOOKUP($O12, [1]렌트_차량관리!$C$4:$CN$503, 18, FALSE)*12, 0)</f>
        <v>0</v>
      </c>
      <c r="U12" s="55" t="str">
        <f>IFERROR(VLOOKUP($O12, [1]렌트_차량관리!$C$4:$CN$503, 17, FALSE), "")</f>
        <v/>
      </c>
      <c r="V12" s="56" t="str">
        <f>IFERROR(VLOOKUP($O12, [1]렌트_차량관리!$C$4:$CN$503, 19, FALSE), "")</f>
        <v/>
      </c>
      <c r="W12" s="47">
        <f>IFERROR(VLOOKUP($O12, [1]렌트_차량관리!$C$4:$CN$503, 80, FALSE), 0)</f>
        <v>0</v>
      </c>
      <c r="X12" s="47">
        <f>IFERROR(VLOOKUP($O12, [1]렌트_차량관리!$C$4:$CN$503, 88, FALSE), 0)</f>
        <v>0</v>
      </c>
      <c r="Y12" s="47"/>
      <c r="Z12" s="62"/>
      <c r="AA12" s="62"/>
      <c r="AB12" s="63"/>
    </row>
    <row r="13" spans="1:31" x14ac:dyDescent="0.45">
      <c r="A13" s="59">
        <v>11</v>
      </c>
      <c r="B13" s="52">
        <f t="shared" si="0"/>
        <v>11</v>
      </c>
      <c r="C13" s="41">
        <f t="shared" si="2"/>
        <v>46433</v>
      </c>
      <c r="D13" s="76">
        <f t="shared" si="1"/>
        <v>640000</v>
      </c>
      <c r="E13" s="85"/>
      <c r="F13" s="82">
        <f t="shared" si="4"/>
        <v>0</v>
      </c>
      <c r="G13" s="76">
        <f t="shared" si="3"/>
        <v>0</v>
      </c>
      <c r="H13" s="83"/>
      <c r="I13" s="83"/>
      <c r="J13" s="83"/>
      <c r="K13" s="83"/>
      <c r="L13" s="83"/>
      <c r="M13" s="60" t="s">
        <v>41</v>
      </c>
      <c r="N13" s="87"/>
      <c r="O13" s="61"/>
      <c r="P13" s="41"/>
      <c r="Q13" s="47">
        <f>IFERROR(VLOOKUP($O13, [1]렌트_차량관리!$C$4:$CN$503, 2, FALSE), 0)</f>
        <v>0</v>
      </c>
      <c r="R13" s="53">
        <f>IFERROR(VLOOKUP($O13, [1]렌트_차량관리!$C$4:$CN$503, 12, FALSE), 0)</f>
        <v>0</v>
      </c>
      <c r="S13" s="54">
        <f>IFERROR(VLOOKUP($O13, [1]렌트_차량관리!$C$4:$CN$503, 20, FALSE), 0)</f>
        <v>0</v>
      </c>
      <c r="T13" s="47">
        <f>IFERROR(VLOOKUP($O13, [1]렌트_차량관리!$C$4:$CN$503, 18, FALSE)*12, 0)</f>
        <v>0</v>
      </c>
      <c r="U13" s="55" t="str">
        <f>IFERROR(VLOOKUP($O13, [1]렌트_차량관리!$C$4:$CN$503, 17, FALSE), "")</f>
        <v/>
      </c>
      <c r="V13" s="56" t="str">
        <f>IFERROR(VLOOKUP($O13, [1]렌트_차량관리!$C$4:$CN$503, 19, FALSE), "")</f>
        <v/>
      </c>
      <c r="W13" s="47">
        <f>IFERROR(VLOOKUP($O13, [1]렌트_차량관리!$C$4:$CN$503, 80, FALSE), 0)</f>
        <v>0</v>
      </c>
      <c r="X13" s="47">
        <f>IFERROR(VLOOKUP($O13, [1]렌트_차량관리!$C$4:$CN$503, 88, FALSE), 0)</f>
        <v>0</v>
      </c>
      <c r="Y13" s="47"/>
      <c r="Z13" s="62"/>
      <c r="AA13" s="62"/>
      <c r="AB13" s="63"/>
    </row>
    <row r="14" spans="1:31" x14ac:dyDescent="0.45">
      <c r="A14" s="59">
        <v>12</v>
      </c>
      <c r="B14" s="52">
        <f t="shared" si="0"/>
        <v>12</v>
      </c>
      <c r="C14" s="41">
        <f t="shared" si="2"/>
        <v>46461</v>
      </c>
      <c r="D14" s="76">
        <f t="shared" si="1"/>
        <v>640000</v>
      </c>
      <c r="E14" s="85"/>
      <c r="F14" s="82">
        <f t="shared" si="4"/>
        <v>0</v>
      </c>
      <c r="G14" s="76">
        <f t="shared" si="3"/>
        <v>0</v>
      </c>
      <c r="H14" s="83"/>
      <c r="I14" s="83"/>
      <c r="J14" s="83"/>
      <c r="K14" s="83"/>
      <c r="L14" s="83"/>
      <c r="M14" s="60" t="s">
        <v>41</v>
      </c>
      <c r="N14" s="87"/>
      <c r="O14" s="61"/>
      <c r="P14" s="41"/>
      <c r="Q14" s="47">
        <f>IFERROR(VLOOKUP($O14, [1]렌트_차량관리!$C$4:$CN$503, 2, FALSE), 0)</f>
        <v>0</v>
      </c>
      <c r="R14" s="53">
        <f>IFERROR(VLOOKUP($O14, [1]렌트_차량관리!$C$4:$CN$503, 12, FALSE), 0)</f>
        <v>0</v>
      </c>
      <c r="S14" s="54">
        <f>IFERROR(VLOOKUP($O14, [1]렌트_차량관리!$C$4:$CN$503, 20, FALSE), 0)</f>
        <v>0</v>
      </c>
      <c r="T14" s="47">
        <f>IFERROR(VLOOKUP($O14, [1]렌트_차량관리!$C$4:$CN$503, 18, FALSE)*12, 0)</f>
        <v>0</v>
      </c>
      <c r="U14" s="55" t="str">
        <f>IFERROR(VLOOKUP($O14, [1]렌트_차량관리!$C$4:$CN$503, 17, FALSE), "")</f>
        <v/>
      </c>
      <c r="V14" s="56" t="str">
        <f>IFERROR(VLOOKUP($O14, [1]렌트_차량관리!$C$4:$CN$503, 19, FALSE), "")</f>
        <v/>
      </c>
      <c r="W14" s="47">
        <f>IFERROR(VLOOKUP($O14, [1]렌트_차량관리!$C$4:$CN$503, 80, FALSE), 0)</f>
        <v>0</v>
      </c>
      <c r="X14" s="47">
        <f>IFERROR(VLOOKUP($O14, [1]렌트_차량관리!$C$4:$CN$503, 88, FALSE), 0)</f>
        <v>0</v>
      </c>
      <c r="Y14" s="47"/>
      <c r="Z14" s="62"/>
      <c r="AA14" s="62"/>
      <c r="AB14" s="63"/>
    </row>
    <row r="15" spans="1:31" x14ac:dyDescent="0.45">
      <c r="A15" s="59">
        <v>13</v>
      </c>
      <c r="B15" s="52">
        <f t="shared" si="0"/>
        <v>13</v>
      </c>
      <c r="C15" s="41">
        <f t="shared" si="2"/>
        <v>46492</v>
      </c>
      <c r="D15" s="76">
        <f t="shared" si="1"/>
        <v>640000</v>
      </c>
      <c r="E15" s="85"/>
      <c r="F15" s="82">
        <f t="shared" si="4"/>
        <v>0</v>
      </c>
      <c r="G15" s="76">
        <f t="shared" si="3"/>
        <v>0</v>
      </c>
      <c r="H15" s="83"/>
      <c r="I15" s="83"/>
      <c r="J15" s="83"/>
      <c r="K15" s="83"/>
      <c r="L15" s="83"/>
      <c r="M15" s="60" t="s">
        <v>41</v>
      </c>
      <c r="N15" s="87"/>
      <c r="O15" s="61"/>
      <c r="P15" s="41"/>
      <c r="Q15" s="47">
        <f>IFERROR(VLOOKUP($O15, [1]렌트_차량관리!$C$4:$CN$503, 2, FALSE), 0)</f>
        <v>0</v>
      </c>
      <c r="R15" s="53">
        <f>IFERROR(VLOOKUP($O15, [1]렌트_차량관리!$C$4:$CN$503, 12, FALSE), 0)</f>
        <v>0</v>
      </c>
      <c r="S15" s="54">
        <f>IFERROR(VLOOKUP($O15, [1]렌트_차량관리!$C$4:$CN$503, 20, FALSE), 0)</f>
        <v>0</v>
      </c>
      <c r="T15" s="47">
        <f>IFERROR(VLOOKUP($O15, [1]렌트_차량관리!$C$4:$CN$503, 18, FALSE)*12, 0)</f>
        <v>0</v>
      </c>
      <c r="U15" s="55" t="str">
        <f>IFERROR(VLOOKUP($O15, [1]렌트_차량관리!$C$4:$CN$503, 17, FALSE), "")</f>
        <v/>
      </c>
      <c r="V15" s="56" t="str">
        <f>IFERROR(VLOOKUP($O15, [1]렌트_차량관리!$C$4:$CN$503, 19, FALSE), "")</f>
        <v/>
      </c>
      <c r="W15" s="47">
        <f>IFERROR(VLOOKUP($O15, [1]렌트_차량관리!$C$4:$CN$503, 80, FALSE), 0)</f>
        <v>0</v>
      </c>
      <c r="X15" s="47">
        <f>IFERROR(VLOOKUP($O15, [1]렌트_차량관리!$C$4:$CN$503, 88, FALSE), 0)</f>
        <v>0</v>
      </c>
      <c r="Y15" s="47"/>
      <c r="Z15" s="62"/>
      <c r="AA15" s="62"/>
      <c r="AB15" s="63"/>
    </row>
    <row r="16" spans="1:31" x14ac:dyDescent="0.45">
      <c r="A16" s="59">
        <v>14</v>
      </c>
      <c r="B16" s="52">
        <f t="shared" si="0"/>
        <v>14</v>
      </c>
      <c r="C16" s="41">
        <f t="shared" si="2"/>
        <v>46522</v>
      </c>
      <c r="D16" s="76">
        <f t="shared" si="1"/>
        <v>640000</v>
      </c>
      <c r="E16" s="85"/>
      <c r="F16" s="82">
        <f t="shared" si="4"/>
        <v>0</v>
      </c>
      <c r="G16" s="76">
        <f t="shared" si="3"/>
        <v>0</v>
      </c>
      <c r="H16" s="83"/>
      <c r="I16" s="83"/>
      <c r="J16" s="83"/>
      <c r="K16" s="83"/>
      <c r="L16" s="83"/>
      <c r="M16" s="60" t="s">
        <v>41</v>
      </c>
      <c r="N16" s="87"/>
      <c r="O16" s="61"/>
      <c r="P16" s="41"/>
      <c r="Q16" s="47">
        <f>IFERROR(VLOOKUP($O16, [1]렌트_차량관리!$C$4:$CN$503, 2, FALSE), 0)</f>
        <v>0</v>
      </c>
      <c r="R16" s="53">
        <f>IFERROR(VLOOKUP($O16, [1]렌트_차량관리!$C$4:$CN$503, 12, FALSE), 0)</f>
        <v>0</v>
      </c>
      <c r="S16" s="54">
        <f>IFERROR(VLOOKUP($O16, [1]렌트_차량관리!$C$4:$CN$503, 20, FALSE), 0)</f>
        <v>0</v>
      </c>
      <c r="T16" s="47">
        <f>IFERROR(VLOOKUP($O16, [1]렌트_차량관리!$C$4:$CN$503, 18, FALSE)*12, 0)</f>
        <v>0</v>
      </c>
      <c r="U16" s="55" t="str">
        <f>IFERROR(VLOOKUP($O16, [1]렌트_차량관리!$C$4:$CN$503, 17, FALSE), "")</f>
        <v/>
      </c>
      <c r="V16" s="56" t="str">
        <f>IFERROR(VLOOKUP($O16, [1]렌트_차량관리!$C$4:$CN$503, 19, FALSE), "")</f>
        <v/>
      </c>
      <c r="W16" s="47">
        <f>IFERROR(VLOOKUP($O16, [1]렌트_차량관리!$C$4:$CN$503, 80, FALSE), 0)</f>
        <v>0</v>
      </c>
      <c r="X16" s="47">
        <f>IFERROR(VLOOKUP($O16, [1]렌트_차량관리!$C$4:$CN$503, 88, FALSE), 0)</f>
        <v>0</v>
      </c>
      <c r="Y16" s="47"/>
      <c r="Z16" s="62"/>
      <c r="AA16" s="62"/>
      <c r="AB16" s="63"/>
    </row>
    <row r="17" spans="1:28" x14ac:dyDescent="0.45">
      <c r="A17" s="59">
        <v>15</v>
      </c>
      <c r="B17" s="52">
        <f t="shared" si="0"/>
        <v>15</v>
      </c>
      <c r="C17" s="41">
        <f t="shared" si="2"/>
        <v>46553</v>
      </c>
      <c r="D17" s="76">
        <f t="shared" si="1"/>
        <v>640000</v>
      </c>
      <c r="E17" s="85"/>
      <c r="F17" s="82">
        <f t="shared" si="4"/>
        <v>0</v>
      </c>
      <c r="G17" s="76">
        <f t="shared" si="3"/>
        <v>0</v>
      </c>
      <c r="H17" s="83"/>
      <c r="I17" s="83"/>
      <c r="J17" s="83"/>
      <c r="K17" s="83"/>
      <c r="L17" s="83"/>
      <c r="M17" s="60" t="s">
        <v>41</v>
      </c>
      <c r="N17" s="87"/>
      <c r="O17" s="61"/>
      <c r="P17" s="41"/>
      <c r="Q17" s="47">
        <f>IFERROR(VLOOKUP($O17, [1]렌트_차량관리!$C$4:$CN$503, 2, FALSE), 0)</f>
        <v>0</v>
      </c>
      <c r="R17" s="53">
        <f>IFERROR(VLOOKUP($O17, [1]렌트_차량관리!$C$4:$CN$503, 12, FALSE), 0)</f>
        <v>0</v>
      </c>
      <c r="S17" s="54">
        <f>IFERROR(VLOOKUP($O17, [1]렌트_차량관리!$C$4:$CN$503, 20, FALSE), 0)</f>
        <v>0</v>
      </c>
      <c r="T17" s="47">
        <f>IFERROR(VLOOKUP($O17, [1]렌트_차량관리!$C$4:$CN$503, 18, FALSE)*12, 0)</f>
        <v>0</v>
      </c>
      <c r="U17" s="55" t="str">
        <f>IFERROR(VLOOKUP($O17, [1]렌트_차량관리!$C$4:$CN$503, 17, FALSE), "")</f>
        <v/>
      </c>
      <c r="V17" s="56" t="str">
        <f>IFERROR(VLOOKUP($O17, [1]렌트_차량관리!$C$4:$CN$503, 19, FALSE), "")</f>
        <v/>
      </c>
      <c r="W17" s="47">
        <f>IFERROR(VLOOKUP($O17, [1]렌트_차량관리!$C$4:$CN$503, 80, FALSE), 0)</f>
        <v>0</v>
      </c>
      <c r="X17" s="47">
        <f>IFERROR(VLOOKUP($O17, [1]렌트_차량관리!$C$4:$CN$503, 88, FALSE), 0)</f>
        <v>0</v>
      </c>
      <c r="Y17" s="47"/>
      <c r="Z17" s="62"/>
      <c r="AA17" s="62"/>
      <c r="AB17" s="63"/>
    </row>
    <row r="18" spans="1:28" x14ac:dyDescent="0.45">
      <c r="A18" s="59">
        <v>16</v>
      </c>
      <c r="B18" s="52">
        <f t="shared" si="0"/>
        <v>16</v>
      </c>
      <c r="C18" s="41">
        <f t="shared" si="2"/>
        <v>46583</v>
      </c>
      <c r="D18" s="76">
        <f t="shared" si="1"/>
        <v>640000</v>
      </c>
      <c r="E18" s="85"/>
      <c r="F18" s="82">
        <f t="shared" si="4"/>
        <v>0</v>
      </c>
      <c r="G18" s="76">
        <f t="shared" si="3"/>
        <v>0</v>
      </c>
      <c r="H18" s="83"/>
      <c r="I18" s="83"/>
      <c r="J18" s="83"/>
      <c r="K18" s="83"/>
      <c r="L18" s="83"/>
      <c r="M18" s="60" t="s">
        <v>41</v>
      </c>
      <c r="N18" s="87"/>
      <c r="O18" s="61"/>
      <c r="P18" s="41"/>
      <c r="Q18" s="47">
        <f>IFERROR(VLOOKUP($O18, [1]렌트_차량관리!$C$4:$CN$503, 2, FALSE), 0)</f>
        <v>0</v>
      </c>
      <c r="R18" s="53">
        <f>IFERROR(VLOOKUP($O18, [1]렌트_차량관리!$C$4:$CN$503, 12, FALSE), 0)</f>
        <v>0</v>
      </c>
      <c r="S18" s="54">
        <f>IFERROR(VLOOKUP($O18, [1]렌트_차량관리!$C$4:$CN$503, 20, FALSE), 0)</f>
        <v>0</v>
      </c>
      <c r="T18" s="47">
        <f>IFERROR(VLOOKUP($O18, [1]렌트_차량관리!$C$4:$CN$503, 18, FALSE)*12, 0)</f>
        <v>0</v>
      </c>
      <c r="U18" s="55" t="str">
        <f>IFERROR(VLOOKUP($O18, [1]렌트_차량관리!$C$4:$CN$503, 17, FALSE), "")</f>
        <v/>
      </c>
      <c r="V18" s="56" t="str">
        <f>IFERROR(VLOOKUP($O18, [1]렌트_차량관리!$C$4:$CN$503, 19, FALSE), "")</f>
        <v/>
      </c>
      <c r="W18" s="47">
        <f>IFERROR(VLOOKUP($O18, [1]렌트_차량관리!$C$4:$CN$503, 80, FALSE), 0)</f>
        <v>0</v>
      </c>
      <c r="X18" s="47">
        <f>IFERROR(VLOOKUP($O18, [1]렌트_차량관리!$C$4:$CN$503, 88, FALSE), 0)</f>
        <v>0</v>
      </c>
      <c r="Y18" s="47"/>
      <c r="Z18" s="62"/>
      <c r="AA18" s="62"/>
      <c r="AB18" s="63"/>
    </row>
    <row r="19" spans="1:28" x14ac:dyDescent="0.45">
      <c r="A19" s="59">
        <v>17</v>
      </c>
      <c r="B19" s="52">
        <f t="shared" si="0"/>
        <v>17</v>
      </c>
      <c r="C19" s="41">
        <f t="shared" si="2"/>
        <v>46614</v>
      </c>
      <c r="D19" s="76">
        <f t="shared" si="1"/>
        <v>640000</v>
      </c>
      <c r="E19" s="85"/>
      <c r="F19" s="82">
        <f t="shared" si="4"/>
        <v>0</v>
      </c>
      <c r="G19" s="76">
        <f t="shared" si="3"/>
        <v>0</v>
      </c>
      <c r="H19" s="83"/>
      <c r="I19" s="83"/>
      <c r="J19" s="83"/>
      <c r="K19" s="83"/>
      <c r="L19" s="83"/>
      <c r="M19" s="60" t="s">
        <v>41</v>
      </c>
      <c r="N19" s="87"/>
      <c r="O19" s="61"/>
      <c r="P19" s="41"/>
      <c r="Q19" s="47">
        <f>IFERROR(VLOOKUP($O19, [1]렌트_차량관리!$C$4:$CN$503, 2, FALSE), 0)</f>
        <v>0</v>
      </c>
      <c r="R19" s="53">
        <f>IFERROR(VLOOKUP($O19, [1]렌트_차량관리!$C$4:$CN$503, 12, FALSE), 0)</f>
        <v>0</v>
      </c>
      <c r="S19" s="54">
        <f>IFERROR(VLOOKUP($O19, [1]렌트_차량관리!$C$4:$CN$503, 20, FALSE), 0)</f>
        <v>0</v>
      </c>
      <c r="T19" s="47">
        <f>IFERROR(VLOOKUP($O19, [1]렌트_차량관리!$C$4:$CN$503, 18, FALSE)*12, 0)</f>
        <v>0</v>
      </c>
      <c r="U19" s="55" t="str">
        <f>IFERROR(VLOOKUP($O19, [1]렌트_차량관리!$C$4:$CN$503, 17, FALSE), "")</f>
        <v/>
      </c>
      <c r="V19" s="56" t="str">
        <f>IFERROR(VLOOKUP($O19, [1]렌트_차량관리!$C$4:$CN$503, 19, FALSE), "")</f>
        <v/>
      </c>
      <c r="W19" s="47">
        <f>IFERROR(VLOOKUP($O19, [1]렌트_차량관리!$C$4:$CN$503, 80, FALSE), 0)</f>
        <v>0</v>
      </c>
      <c r="X19" s="47">
        <f>IFERROR(VLOOKUP($O19, [1]렌트_차량관리!$C$4:$CN$503, 88, FALSE), 0)</f>
        <v>0</v>
      </c>
      <c r="Y19" s="47"/>
      <c r="Z19" s="62"/>
      <c r="AA19" s="62"/>
      <c r="AB19" s="63"/>
    </row>
    <row r="20" spans="1:28" x14ac:dyDescent="0.45">
      <c r="A20" s="59">
        <v>18</v>
      </c>
      <c r="B20" s="52">
        <f t="shared" si="0"/>
        <v>18</v>
      </c>
      <c r="C20" s="41">
        <f t="shared" si="2"/>
        <v>46645</v>
      </c>
      <c r="D20" s="76">
        <f t="shared" si="1"/>
        <v>640000</v>
      </c>
      <c r="E20" s="85"/>
      <c r="F20" s="82">
        <f t="shared" si="4"/>
        <v>0</v>
      </c>
      <c r="G20" s="76">
        <f t="shared" si="3"/>
        <v>0</v>
      </c>
      <c r="H20" s="83"/>
      <c r="I20" s="83"/>
      <c r="J20" s="83"/>
      <c r="K20" s="83"/>
      <c r="L20" s="83"/>
      <c r="M20" s="60" t="s">
        <v>41</v>
      </c>
      <c r="N20" s="87"/>
      <c r="O20" s="61"/>
      <c r="P20" s="41"/>
      <c r="Q20" s="47">
        <f>IFERROR(VLOOKUP($O20, [1]렌트_차량관리!$C$4:$CN$503, 2, FALSE), 0)</f>
        <v>0</v>
      </c>
      <c r="R20" s="53">
        <f>IFERROR(VLOOKUP($O20, [1]렌트_차량관리!$C$4:$CN$503, 12, FALSE), 0)</f>
        <v>0</v>
      </c>
      <c r="S20" s="54">
        <f>IFERROR(VLOOKUP($O20, [1]렌트_차량관리!$C$4:$CN$503, 20, FALSE), 0)</f>
        <v>0</v>
      </c>
      <c r="T20" s="47">
        <f>IFERROR(VLOOKUP($O20, [1]렌트_차량관리!$C$4:$CN$503, 18, FALSE)*12, 0)</f>
        <v>0</v>
      </c>
      <c r="U20" s="55" t="str">
        <f>IFERROR(VLOOKUP($O20, [1]렌트_차량관리!$C$4:$CN$503, 17, FALSE), "")</f>
        <v/>
      </c>
      <c r="V20" s="56" t="str">
        <f>IFERROR(VLOOKUP($O20, [1]렌트_차량관리!$C$4:$CN$503, 19, FALSE), "")</f>
        <v/>
      </c>
      <c r="W20" s="47">
        <f>IFERROR(VLOOKUP($O20, [1]렌트_차량관리!$C$4:$CN$503, 80, FALSE), 0)</f>
        <v>0</v>
      </c>
      <c r="X20" s="47">
        <f>IFERROR(VLOOKUP($O20, [1]렌트_차량관리!$C$4:$CN$503, 88, FALSE), 0)</f>
        <v>0</v>
      </c>
      <c r="Y20" s="47"/>
      <c r="Z20" s="62"/>
      <c r="AA20" s="62"/>
      <c r="AB20" s="63"/>
    </row>
    <row r="21" spans="1:28" x14ac:dyDescent="0.45">
      <c r="A21" s="59">
        <v>19</v>
      </c>
      <c r="B21" s="52">
        <f t="shared" si="0"/>
        <v>19</v>
      </c>
      <c r="C21" s="41">
        <f t="shared" si="2"/>
        <v>46675</v>
      </c>
      <c r="D21" s="76">
        <f t="shared" si="1"/>
        <v>640000</v>
      </c>
      <c r="E21" s="85"/>
      <c r="F21" s="82">
        <f t="shared" si="4"/>
        <v>0</v>
      </c>
      <c r="G21" s="76">
        <f t="shared" si="3"/>
        <v>0</v>
      </c>
      <c r="H21" s="83"/>
      <c r="I21" s="83"/>
      <c r="J21" s="83"/>
      <c r="K21" s="83"/>
      <c r="L21" s="83"/>
      <c r="M21" s="60" t="s">
        <v>41</v>
      </c>
      <c r="N21" s="87"/>
      <c r="O21" s="61"/>
      <c r="P21" s="41"/>
      <c r="Q21" s="47">
        <f>IFERROR(VLOOKUP($O21, [1]렌트_차량관리!$C$4:$CN$503, 2, FALSE), 0)</f>
        <v>0</v>
      </c>
      <c r="R21" s="53">
        <f>IFERROR(VLOOKUP($O21, [1]렌트_차량관리!$C$4:$CN$503, 12, FALSE), 0)</f>
        <v>0</v>
      </c>
      <c r="S21" s="54">
        <f>IFERROR(VLOOKUP($O21, [1]렌트_차량관리!$C$4:$CN$503, 20, FALSE), 0)</f>
        <v>0</v>
      </c>
      <c r="T21" s="47">
        <f>IFERROR(VLOOKUP($O21, [1]렌트_차량관리!$C$4:$CN$503, 18, FALSE)*12, 0)</f>
        <v>0</v>
      </c>
      <c r="U21" s="55" t="str">
        <f>IFERROR(VLOOKUP($O21, [1]렌트_차량관리!$C$4:$CN$503, 17, FALSE), "")</f>
        <v/>
      </c>
      <c r="V21" s="56" t="str">
        <f>IFERROR(VLOOKUP($O21, [1]렌트_차량관리!$C$4:$CN$503, 19, FALSE), "")</f>
        <v/>
      </c>
      <c r="W21" s="47">
        <f>IFERROR(VLOOKUP($O21, [1]렌트_차량관리!$C$4:$CN$503, 80, FALSE), 0)</f>
        <v>0</v>
      </c>
      <c r="X21" s="47">
        <f>IFERROR(VLOOKUP($O21, [1]렌트_차량관리!$C$4:$CN$503, 88, FALSE), 0)</f>
        <v>0</v>
      </c>
      <c r="Y21" s="47"/>
      <c r="Z21" s="62"/>
      <c r="AA21" s="62"/>
      <c r="AB21" s="63"/>
    </row>
    <row r="22" spans="1:28" x14ac:dyDescent="0.45">
      <c r="A22" s="59">
        <v>20</v>
      </c>
      <c r="B22" s="52">
        <f t="shared" si="0"/>
        <v>20</v>
      </c>
      <c r="C22" s="41">
        <f t="shared" si="2"/>
        <v>46706</v>
      </c>
      <c r="D22" s="76">
        <f t="shared" si="1"/>
        <v>640000</v>
      </c>
      <c r="E22" s="85"/>
      <c r="F22" s="82">
        <f t="shared" si="4"/>
        <v>0</v>
      </c>
      <c r="G22" s="76">
        <f t="shared" si="3"/>
        <v>0</v>
      </c>
      <c r="H22" s="83"/>
      <c r="I22" s="83"/>
      <c r="J22" s="83"/>
      <c r="K22" s="83"/>
      <c r="L22" s="83"/>
      <c r="M22" s="60" t="s">
        <v>41</v>
      </c>
      <c r="N22" s="87"/>
      <c r="O22" s="61"/>
      <c r="P22" s="41"/>
      <c r="Q22" s="47">
        <f>IFERROR(VLOOKUP($O22, [1]렌트_차량관리!$C$4:$CN$503, 2, FALSE), 0)</f>
        <v>0</v>
      </c>
      <c r="R22" s="53">
        <f>IFERROR(VLOOKUP($O22, [1]렌트_차량관리!$C$4:$CN$503, 12, FALSE), 0)</f>
        <v>0</v>
      </c>
      <c r="S22" s="54">
        <f>IFERROR(VLOOKUP($O22, [1]렌트_차량관리!$C$4:$CN$503, 20, FALSE), 0)</f>
        <v>0</v>
      </c>
      <c r="T22" s="47">
        <f>IFERROR(VLOOKUP($O22, [1]렌트_차량관리!$C$4:$CN$503, 18, FALSE)*12, 0)</f>
        <v>0</v>
      </c>
      <c r="U22" s="55" t="str">
        <f>IFERROR(VLOOKUP($O22, [1]렌트_차량관리!$C$4:$CN$503, 17, FALSE), "")</f>
        <v/>
      </c>
      <c r="V22" s="56" t="str">
        <f>IFERROR(VLOOKUP($O22, [1]렌트_차량관리!$C$4:$CN$503, 19, FALSE), "")</f>
        <v/>
      </c>
      <c r="W22" s="47">
        <f>IFERROR(VLOOKUP($O22, [1]렌트_차량관리!$C$4:$CN$503, 80, FALSE), 0)</f>
        <v>0</v>
      </c>
      <c r="X22" s="47">
        <f>IFERROR(VLOOKUP($O22, [1]렌트_차량관리!$C$4:$CN$503, 88, FALSE), 0)</f>
        <v>0</v>
      </c>
      <c r="Y22" s="47"/>
      <c r="Z22" s="62"/>
      <c r="AA22" s="62"/>
      <c r="AB22" s="63"/>
    </row>
    <row r="23" spans="1:28" x14ac:dyDescent="0.45">
      <c r="A23" s="59">
        <v>21</v>
      </c>
      <c r="B23" s="52">
        <f t="shared" si="0"/>
        <v>21</v>
      </c>
      <c r="C23" s="41">
        <f t="shared" si="2"/>
        <v>46736</v>
      </c>
      <c r="D23" s="76">
        <f t="shared" si="1"/>
        <v>640000</v>
      </c>
      <c r="E23" s="85"/>
      <c r="F23" s="82">
        <f t="shared" si="4"/>
        <v>0</v>
      </c>
      <c r="G23" s="76">
        <f t="shared" si="3"/>
        <v>0</v>
      </c>
      <c r="H23" s="83"/>
      <c r="I23" s="83"/>
      <c r="J23" s="83"/>
      <c r="K23" s="83"/>
      <c r="L23" s="83"/>
      <c r="M23" s="60" t="s">
        <v>41</v>
      </c>
      <c r="N23" s="87"/>
      <c r="O23" s="61"/>
      <c r="P23" s="41"/>
      <c r="Q23" s="47">
        <f>IFERROR(VLOOKUP($O23, [1]렌트_차량관리!$C$4:$CN$503, 2, FALSE), 0)</f>
        <v>0</v>
      </c>
      <c r="R23" s="53">
        <f>IFERROR(VLOOKUP($O23, [1]렌트_차량관리!$C$4:$CN$503, 12, FALSE), 0)</f>
        <v>0</v>
      </c>
      <c r="S23" s="54">
        <f>IFERROR(VLOOKUP($O23, [1]렌트_차량관리!$C$4:$CN$503, 20, FALSE), 0)</f>
        <v>0</v>
      </c>
      <c r="T23" s="47">
        <f>IFERROR(VLOOKUP($O23, [1]렌트_차량관리!$C$4:$CN$503, 18, FALSE)*12, 0)</f>
        <v>0</v>
      </c>
      <c r="U23" s="55" t="str">
        <f>IFERROR(VLOOKUP($O23, [1]렌트_차량관리!$C$4:$CN$503, 17, FALSE), "")</f>
        <v/>
      </c>
      <c r="V23" s="56" t="str">
        <f>IFERROR(VLOOKUP($O23, [1]렌트_차량관리!$C$4:$CN$503, 19, FALSE), "")</f>
        <v/>
      </c>
      <c r="W23" s="47">
        <f>IFERROR(VLOOKUP($O23, [1]렌트_차량관리!$C$4:$CN$503, 80, FALSE), 0)</f>
        <v>0</v>
      </c>
      <c r="X23" s="47">
        <f>IFERROR(VLOOKUP($O23, [1]렌트_차량관리!$C$4:$CN$503, 88, FALSE), 0)</f>
        <v>0</v>
      </c>
      <c r="Y23" s="47"/>
      <c r="Z23" s="62"/>
      <c r="AA23" s="62"/>
      <c r="AB23" s="63"/>
    </row>
    <row r="24" spans="1:28" x14ac:dyDescent="0.45">
      <c r="A24" s="59">
        <v>22</v>
      </c>
      <c r="B24" s="52">
        <f t="shared" si="0"/>
        <v>22</v>
      </c>
      <c r="C24" s="41">
        <f t="shared" si="2"/>
        <v>46767</v>
      </c>
      <c r="D24" s="76">
        <f t="shared" si="1"/>
        <v>640000</v>
      </c>
      <c r="E24" s="85"/>
      <c r="F24" s="82">
        <f t="shared" si="4"/>
        <v>0</v>
      </c>
      <c r="G24" s="76">
        <f t="shared" si="3"/>
        <v>0</v>
      </c>
      <c r="H24" s="83"/>
      <c r="I24" s="83"/>
      <c r="J24" s="83"/>
      <c r="K24" s="83"/>
      <c r="L24" s="83"/>
      <c r="M24" s="60" t="s">
        <v>41</v>
      </c>
      <c r="N24" s="87"/>
      <c r="O24" s="61"/>
      <c r="P24" s="41"/>
      <c r="Q24" s="47">
        <f>IFERROR(VLOOKUP($O24, [1]렌트_차량관리!$C$4:$CN$503, 2, FALSE), 0)</f>
        <v>0</v>
      </c>
      <c r="R24" s="53">
        <f>IFERROR(VLOOKUP($O24, [1]렌트_차량관리!$C$4:$CN$503, 12, FALSE), 0)</f>
        <v>0</v>
      </c>
      <c r="S24" s="54">
        <f>IFERROR(VLOOKUP($O24, [1]렌트_차량관리!$C$4:$CN$503, 20, FALSE), 0)</f>
        <v>0</v>
      </c>
      <c r="T24" s="47">
        <f>IFERROR(VLOOKUP($O24, [1]렌트_차량관리!$C$4:$CN$503, 18, FALSE)*12, 0)</f>
        <v>0</v>
      </c>
      <c r="U24" s="55" t="str">
        <f>IFERROR(VLOOKUP($O24, [1]렌트_차량관리!$C$4:$CN$503, 17, FALSE), "")</f>
        <v/>
      </c>
      <c r="V24" s="56" t="str">
        <f>IFERROR(VLOOKUP($O24, [1]렌트_차량관리!$C$4:$CN$503, 19, FALSE), "")</f>
        <v/>
      </c>
      <c r="W24" s="47">
        <f>IFERROR(VLOOKUP($O24, [1]렌트_차량관리!$C$4:$CN$503, 80, FALSE), 0)</f>
        <v>0</v>
      </c>
      <c r="X24" s="47">
        <f>IFERROR(VLOOKUP($O24, [1]렌트_차량관리!$C$4:$CN$503, 88, FALSE), 0)</f>
        <v>0</v>
      </c>
      <c r="Y24" s="47"/>
      <c r="Z24" s="62"/>
      <c r="AA24" s="62"/>
      <c r="AB24" s="63"/>
    </row>
    <row r="25" spans="1:28" x14ac:dyDescent="0.45">
      <c r="A25" s="59">
        <v>23</v>
      </c>
      <c r="B25" s="52">
        <f t="shared" si="0"/>
        <v>23</v>
      </c>
      <c r="C25" s="41">
        <f t="shared" si="2"/>
        <v>46798</v>
      </c>
      <c r="D25" s="76">
        <f t="shared" si="1"/>
        <v>640000</v>
      </c>
      <c r="E25" s="85"/>
      <c r="F25" s="82">
        <f t="shared" si="4"/>
        <v>0</v>
      </c>
      <c r="G25" s="76">
        <f t="shared" si="3"/>
        <v>0</v>
      </c>
      <c r="H25" s="83"/>
      <c r="I25" s="83"/>
      <c r="J25" s="83"/>
      <c r="K25" s="83"/>
      <c r="L25" s="83"/>
      <c r="M25" s="60" t="s">
        <v>41</v>
      </c>
      <c r="N25" s="87"/>
      <c r="O25" s="61"/>
      <c r="P25" s="41"/>
      <c r="Q25" s="47">
        <f>IFERROR(VLOOKUP($O25, [1]렌트_차량관리!$C$4:$CN$503, 2, FALSE), 0)</f>
        <v>0</v>
      </c>
      <c r="R25" s="53">
        <f>IFERROR(VLOOKUP($O25, [1]렌트_차량관리!$C$4:$CN$503, 12, FALSE), 0)</f>
        <v>0</v>
      </c>
      <c r="S25" s="54">
        <f>IFERROR(VLOOKUP($O25, [1]렌트_차량관리!$C$4:$CN$503, 20, FALSE), 0)</f>
        <v>0</v>
      </c>
      <c r="T25" s="47">
        <f>IFERROR(VLOOKUP($O25, [1]렌트_차량관리!$C$4:$CN$503, 18, FALSE)*12, 0)</f>
        <v>0</v>
      </c>
      <c r="U25" s="55" t="str">
        <f>IFERROR(VLOOKUP($O25, [1]렌트_차량관리!$C$4:$CN$503, 17, FALSE), "")</f>
        <v/>
      </c>
      <c r="V25" s="56" t="str">
        <f>IFERROR(VLOOKUP($O25, [1]렌트_차량관리!$C$4:$CN$503, 19, FALSE), "")</f>
        <v/>
      </c>
      <c r="W25" s="47">
        <f>IFERROR(VLOOKUP($O25, [1]렌트_차량관리!$C$4:$CN$503, 80, FALSE), 0)</f>
        <v>0</v>
      </c>
      <c r="X25" s="47">
        <f>IFERROR(VLOOKUP($O25, [1]렌트_차량관리!$C$4:$CN$503, 88, FALSE), 0)</f>
        <v>0</v>
      </c>
      <c r="Y25" s="47"/>
      <c r="Z25" s="62"/>
      <c r="AA25" s="62"/>
      <c r="AB25" s="63"/>
    </row>
    <row r="26" spans="1:28" x14ac:dyDescent="0.45">
      <c r="A26" s="59">
        <v>24</v>
      </c>
      <c r="B26" s="52">
        <f t="shared" si="0"/>
        <v>24</v>
      </c>
      <c r="C26" s="41">
        <f t="shared" si="2"/>
        <v>46827</v>
      </c>
      <c r="D26" s="76">
        <f t="shared" si="1"/>
        <v>640000</v>
      </c>
      <c r="E26" s="85"/>
      <c r="F26" s="82">
        <f t="shared" si="4"/>
        <v>0</v>
      </c>
      <c r="G26" s="76">
        <f t="shared" si="3"/>
        <v>0</v>
      </c>
      <c r="H26" s="83"/>
      <c r="I26" s="83"/>
      <c r="J26" s="83"/>
      <c r="K26" s="83"/>
      <c r="L26" s="83"/>
      <c r="M26" s="60" t="s">
        <v>41</v>
      </c>
      <c r="N26" s="87"/>
      <c r="O26" s="61"/>
      <c r="P26" s="41"/>
      <c r="Q26" s="47">
        <f>IFERROR(VLOOKUP($O26, [1]렌트_차량관리!$C$4:$CN$503, 2, FALSE), 0)</f>
        <v>0</v>
      </c>
      <c r="R26" s="53">
        <f>IFERROR(VLOOKUP($O26, [1]렌트_차량관리!$C$4:$CN$503, 12, FALSE), 0)</f>
        <v>0</v>
      </c>
      <c r="S26" s="54">
        <f>IFERROR(VLOOKUP($O26, [1]렌트_차량관리!$C$4:$CN$503, 20, FALSE), 0)</f>
        <v>0</v>
      </c>
      <c r="T26" s="47">
        <f>IFERROR(VLOOKUP($O26, [1]렌트_차량관리!$C$4:$CN$503, 18, FALSE)*12, 0)</f>
        <v>0</v>
      </c>
      <c r="U26" s="55" t="str">
        <f>IFERROR(VLOOKUP($O26, [1]렌트_차량관리!$C$4:$CN$503, 17, FALSE), "")</f>
        <v/>
      </c>
      <c r="V26" s="56" t="str">
        <f>IFERROR(VLOOKUP($O26, [1]렌트_차량관리!$C$4:$CN$503, 19, FALSE), "")</f>
        <v/>
      </c>
      <c r="W26" s="47">
        <f>IFERROR(VLOOKUP($O26, [1]렌트_차량관리!$C$4:$CN$503, 80, FALSE), 0)</f>
        <v>0</v>
      </c>
      <c r="X26" s="47">
        <f>IFERROR(VLOOKUP($O26, [1]렌트_차량관리!$C$4:$CN$503, 88, FALSE), 0)</f>
        <v>0</v>
      </c>
      <c r="Y26" s="47"/>
      <c r="Z26" s="62"/>
      <c r="AA26" s="62"/>
      <c r="AB26" s="63"/>
    </row>
    <row r="27" spans="1:28" x14ac:dyDescent="0.45">
      <c r="A27" s="59">
        <v>25</v>
      </c>
      <c r="B27" s="52">
        <f t="shared" si="0"/>
        <v>25</v>
      </c>
      <c r="C27" s="41">
        <f t="shared" si="2"/>
        <v>46858</v>
      </c>
      <c r="D27" s="76">
        <f t="shared" si="1"/>
        <v>640000</v>
      </c>
      <c r="E27" s="85"/>
      <c r="F27" s="82">
        <f t="shared" si="4"/>
        <v>0</v>
      </c>
      <c r="G27" s="76">
        <f t="shared" si="3"/>
        <v>0</v>
      </c>
      <c r="H27" s="83"/>
      <c r="I27" s="83"/>
      <c r="J27" s="83"/>
      <c r="K27" s="83"/>
      <c r="L27" s="83"/>
      <c r="M27" s="60" t="s">
        <v>41</v>
      </c>
      <c r="N27" s="87"/>
      <c r="O27" s="61"/>
      <c r="P27" s="41"/>
      <c r="Q27" s="47">
        <f>IFERROR(VLOOKUP($O27, [1]렌트_차량관리!$C$4:$CN$503, 2, FALSE), 0)</f>
        <v>0</v>
      </c>
      <c r="R27" s="53">
        <f>IFERROR(VLOOKUP($O27, [1]렌트_차량관리!$C$4:$CN$503, 12, FALSE), 0)</f>
        <v>0</v>
      </c>
      <c r="S27" s="54">
        <f>IFERROR(VLOOKUP($O27, [1]렌트_차량관리!$C$4:$CN$503, 20, FALSE), 0)</f>
        <v>0</v>
      </c>
      <c r="T27" s="47">
        <f>IFERROR(VLOOKUP($O27, [1]렌트_차량관리!$C$4:$CN$503, 18, FALSE)*12, 0)</f>
        <v>0</v>
      </c>
      <c r="U27" s="55" t="str">
        <f>IFERROR(VLOOKUP($O27, [1]렌트_차량관리!$C$4:$CN$503, 17, FALSE), "")</f>
        <v/>
      </c>
      <c r="V27" s="56" t="str">
        <f>IFERROR(VLOOKUP($O27, [1]렌트_차량관리!$C$4:$CN$503, 19, FALSE), "")</f>
        <v/>
      </c>
      <c r="W27" s="47">
        <f>IFERROR(VLOOKUP($O27, [1]렌트_차량관리!$C$4:$CN$503, 80, FALSE), 0)</f>
        <v>0</v>
      </c>
      <c r="X27" s="47">
        <f>IFERROR(VLOOKUP($O27, [1]렌트_차량관리!$C$4:$CN$503, 88, FALSE), 0)</f>
        <v>0</v>
      </c>
      <c r="Y27" s="47"/>
      <c r="Z27" s="62"/>
      <c r="AA27" s="62"/>
      <c r="AB27" s="63"/>
    </row>
    <row r="28" spans="1:28" x14ac:dyDescent="0.45">
      <c r="A28" s="59">
        <v>26</v>
      </c>
      <c r="B28" s="52">
        <f t="shared" si="0"/>
        <v>26</v>
      </c>
      <c r="C28" s="41">
        <f t="shared" si="2"/>
        <v>46888</v>
      </c>
      <c r="D28" s="76">
        <f t="shared" si="1"/>
        <v>640000</v>
      </c>
      <c r="E28" s="85"/>
      <c r="F28" s="82">
        <f t="shared" si="4"/>
        <v>0</v>
      </c>
      <c r="G28" s="76">
        <f t="shared" si="3"/>
        <v>0</v>
      </c>
      <c r="H28" s="83"/>
      <c r="I28" s="83"/>
      <c r="J28" s="83"/>
      <c r="K28" s="83"/>
      <c r="L28" s="83"/>
      <c r="M28" s="60" t="s">
        <v>41</v>
      </c>
      <c r="N28" s="87"/>
      <c r="O28" s="61"/>
      <c r="P28" s="41"/>
      <c r="Q28" s="47">
        <f>IFERROR(VLOOKUP($O28, [1]렌트_차량관리!$C$4:$CN$503, 2, FALSE), 0)</f>
        <v>0</v>
      </c>
      <c r="R28" s="53">
        <f>IFERROR(VLOOKUP($O28, [1]렌트_차량관리!$C$4:$CN$503, 12, FALSE), 0)</f>
        <v>0</v>
      </c>
      <c r="S28" s="54">
        <f>IFERROR(VLOOKUP($O28, [1]렌트_차량관리!$C$4:$CN$503, 20, FALSE), 0)</f>
        <v>0</v>
      </c>
      <c r="T28" s="47">
        <f>IFERROR(VLOOKUP($O28, [1]렌트_차량관리!$C$4:$CN$503, 18, FALSE)*12, 0)</f>
        <v>0</v>
      </c>
      <c r="U28" s="55" t="str">
        <f>IFERROR(VLOOKUP($O28, [1]렌트_차량관리!$C$4:$CN$503, 17, FALSE), "")</f>
        <v/>
      </c>
      <c r="V28" s="56" t="str">
        <f>IFERROR(VLOOKUP($O28, [1]렌트_차량관리!$C$4:$CN$503, 19, FALSE), "")</f>
        <v/>
      </c>
      <c r="W28" s="47">
        <f>IFERROR(VLOOKUP($O28, [1]렌트_차량관리!$C$4:$CN$503, 80, FALSE), 0)</f>
        <v>0</v>
      </c>
      <c r="X28" s="47">
        <f>IFERROR(VLOOKUP($O28, [1]렌트_차량관리!$C$4:$CN$503, 88, FALSE), 0)</f>
        <v>0</v>
      </c>
      <c r="Y28" s="47"/>
      <c r="Z28" s="62"/>
      <c r="AA28" s="62"/>
      <c r="AB28" s="63"/>
    </row>
    <row r="29" spans="1:28" x14ac:dyDescent="0.45">
      <c r="A29" s="59">
        <v>27</v>
      </c>
      <c r="B29" s="52">
        <f t="shared" si="0"/>
        <v>27</v>
      </c>
      <c r="C29" s="41">
        <f t="shared" si="2"/>
        <v>46919</v>
      </c>
      <c r="D29" s="76">
        <f t="shared" si="1"/>
        <v>640000</v>
      </c>
      <c r="E29" s="85"/>
      <c r="F29" s="82">
        <f t="shared" si="4"/>
        <v>0</v>
      </c>
      <c r="G29" s="76">
        <f t="shared" si="3"/>
        <v>0</v>
      </c>
      <c r="H29" s="83"/>
      <c r="I29" s="83"/>
      <c r="J29" s="83"/>
      <c r="K29" s="83"/>
      <c r="L29" s="83"/>
      <c r="M29" s="60" t="s">
        <v>41</v>
      </c>
      <c r="N29" s="87"/>
      <c r="O29" s="61"/>
      <c r="P29" s="41"/>
      <c r="Q29" s="47">
        <f>IFERROR(VLOOKUP($O29, [1]렌트_차량관리!$C$4:$CN$503, 2, FALSE), 0)</f>
        <v>0</v>
      </c>
      <c r="R29" s="53">
        <f>IFERROR(VLOOKUP($O29, [1]렌트_차량관리!$C$4:$CN$503, 12, FALSE), 0)</f>
        <v>0</v>
      </c>
      <c r="S29" s="54">
        <f>IFERROR(VLOOKUP($O29, [1]렌트_차량관리!$C$4:$CN$503, 20, FALSE), 0)</f>
        <v>0</v>
      </c>
      <c r="T29" s="47">
        <f>IFERROR(VLOOKUP($O29, [1]렌트_차량관리!$C$4:$CN$503, 18, FALSE)*12, 0)</f>
        <v>0</v>
      </c>
      <c r="U29" s="55" t="str">
        <f>IFERROR(VLOOKUP($O29, [1]렌트_차량관리!$C$4:$CN$503, 17, FALSE), "")</f>
        <v/>
      </c>
      <c r="V29" s="56" t="str">
        <f>IFERROR(VLOOKUP($O29, [1]렌트_차량관리!$C$4:$CN$503, 19, FALSE), "")</f>
        <v/>
      </c>
      <c r="W29" s="47">
        <f>IFERROR(VLOOKUP($O29, [1]렌트_차량관리!$C$4:$CN$503, 80, FALSE), 0)</f>
        <v>0</v>
      </c>
      <c r="X29" s="47">
        <f>IFERROR(VLOOKUP($O29, [1]렌트_차량관리!$C$4:$CN$503, 88, FALSE), 0)</f>
        <v>0</v>
      </c>
      <c r="Y29" s="47"/>
      <c r="Z29" s="62"/>
      <c r="AA29" s="62"/>
      <c r="AB29" s="63"/>
    </row>
    <row r="30" spans="1:28" x14ac:dyDescent="0.45">
      <c r="A30" s="59">
        <v>28</v>
      </c>
      <c r="B30" s="52">
        <f t="shared" si="0"/>
        <v>28</v>
      </c>
      <c r="C30" s="41">
        <f t="shared" si="2"/>
        <v>46949</v>
      </c>
      <c r="D30" s="76">
        <f t="shared" si="1"/>
        <v>640000</v>
      </c>
      <c r="E30" s="85"/>
      <c r="F30" s="82">
        <f t="shared" si="4"/>
        <v>0</v>
      </c>
      <c r="G30" s="76">
        <f t="shared" si="3"/>
        <v>0</v>
      </c>
      <c r="H30" s="83"/>
      <c r="I30" s="83"/>
      <c r="J30" s="83"/>
      <c r="K30" s="83"/>
      <c r="L30" s="83"/>
      <c r="M30" s="60" t="s">
        <v>41</v>
      </c>
      <c r="N30" s="87"/>
      <c r="O30" s="61"/>
      <c r="P30" s="41"/>
      <c r="Q30" s="47">
        <f>IFERROR(VLOOKUP($O30, [1]렌트_차량관리!$C$4:$CN$503, 2, FALSE), 0)</f>
        <v>0</v>
      </c>
      <c r="R30" s="53">
        <f>IFERROR(VLOOKUP($O30, [1]렌트_차량관리!$C$4:$CN$503, 12, FALSE), 0)</f>
        <v>0</v>
      </c>
      <c r="S30" s="54">
        <f>IFERROR(VLOOKUP($O30, [1]렌트_차량관리!$C$4:$CN$503, 20, FALSE), 0)</f>
        <v>0</v>
      </c>
      <c r="T30" s="47">
        <f>IFERROR(VLOOKUP($O30, [1]렌트_차량관리!$C$4:$CN$503, 18, FALSE)*12, 0)</f>
        <v>0</v>
      </c>
      <c r="U30" s="55" t="str">
        <f>IFERROR(VLOOKUP($O30, [1]렌트_차량관리!$C$4:$CN$503, 17, FALSE), "")</f>
        <v/>
      </c>
      <c r="V30" s="56" t="str">
        <f>IFERROR(VLOOKUP($O30, [1]렌트_차량관리!$C$4:$CN$503, 19, FALSE), "")</f>
        <v/>
      </c>
      <c r="W30" s="47">
        <f>IFERROR(VLOOKUP($O30, [1]렌트_차량관리!$C$4:$CN$503, 80, FALSE), 0)</f>
        <v>0</v>
      </c>
      <c r="X30" s="47">
        <f>IFERROR(VLOOKUP($O30, [1]렌트_차량관리!$C$4:$CN$503, 88, FALSE), 0)</f>
        <v>0</v>
      </c>
      <c r="Y30" s="47"/>
      <c r="Z30" s="62"/>
      <c r="AA30" s="62"/>
      <c r="AB30" s="63"/>
    </row>
    <row r="31" spans="1:28" x14ac:dyDescent="0.45">
      <c r="A31" s="59">
        <v>29</v>
      </c>
      <c r="B31" s="52">
        <f t="shared" si="0"/>
        <v>29</v>
      </c>
      <c r="C31" s="41">
        <f t="shared" si="2"/>
        <v>46980</v>
      </c>
      <c r="D31" s="76">
        <f t="shared" si="1"/>
        <v>640000</v>
      </c>
      <c r="E31" s="85"/>
      <c r="F31" s="82">
        <f t="shared" si="4"/>
        <v>0</v>
      </c>
      <c r="G31" s="76">
        <f t="shared" si="3"/>
        <v>0</v>
      </c>
      <c r="H31" s="83"/>
      <c r="I31" s="83"/>
      <c r="J31" s="83"/>
      <c r="K31" s="83"/>
      <c r="L31" s="83"/>
      <c r="M31" s="60" t="s">
        <v>41</v>
      </c>
      <c r="N31" s="87"/>
      <c r="O31" s="61"/>
      <c r="P31" s="41"/>
      <c r="Q31" s="47">
        <f>IFERROR(VLOOKUP($O31, [1]렌트_차량관리!$C$4:$CN$503, 2, FALSE), 0)</f>
        <v>0</v>
      </c>
      <c r="R31" s="53">
        <f>IFERROR(VLOOKUP($O31, [1]렌트_차량관리!$C$4:$CN$503, 12, FALSE), 0)</f>
        <v>0</v>
      </c>
      <c r="S31" s="54">
        <f>IFERROR(VLOOKUP($O31, [1]렌트_차량관리!$C$4:$CN$503, 20, FALSE), 0)</f>
        <v>0</v>
      </c>
      <c r="T31" s="47">
        <f>IFERROR(VLOOKUP($O31, [1]렌트_차량관리!$C$4:$CN$503, 18, FALSE)*12, 0)</f>
        <v>0</v>
      </c>
      <c r="U31" s="55" t="str">
        <f>IFERROR(VLOOKUP($O31, [1]렌트_차량관리!$C$4:$CN$503, 17, FALSE), "")</f>
        <v/>
      </c>
      <c r="V31" s="56" t="str">
        <f>IFERROR(VLOOKUP($O31, [1]렌트_차량관리!$C$4:$CN$503, 19, FALSE), "")</f>
        <v/>
      </c>
      <c r="W31" s="47">
        <f>IFERROR(VLOOKUP($O31, [1]렌트_차량관리!$C$4:$CN$503, 80, FALSE), 0)</f>
        <v>0</v>
      </c>
      <c r="X31" s="47">
        <f>IFERROR(VLOOKUP($O31, [1]렌트_차량관리!$C$4:$CN$503, 88, FALSE), 0)</f>
        <v>0</v>
      </c>
      <c r="Y31" s="47"/>
      <c r="Z31" s="62"/>
      <c r="AA31" s="62"/>
      <c r="AB31" s="63"/>
    </row>
    <row r="32" spans="1:28" x14ac:dyDescent="0.45">
      <c r="A32" s="59">
        <v>30</v>
      </c>
      <c r="B32" s="52">
        <f t="shared" si="0"/>
        <v>30</v>
      </c>
      <c r="C32" s="41">
        <f t="shared" si="2"/>
        <v>47011</v>
      </c>
      <c r="D32" s="76">
        <f t="shared" si="1"/>
        <v>640000</v>
      </c>
      <c r="E32" s="85"/>
      <c r="F32" s="82">
        <f t="shared" si="4"/>
        <v>0</v>
      </c>
      <c r="G32" s="76">
        <f t="shared" si="3"/>
        <v>0</v>
      </c>
      <c r="H32" s="83"/>
      <c r="I32" s="83"/>
      <c r="J32" s="83"/>
      <c r="K32" s="83"/>
      <c r="L32" s="83"/>
      <c r="M32" s="60" t="s">
        <v>41</v>
      </c>
      <c r="N32" s="87"/>
      <c r="O32" s="61"/>
      <c r="P32" s="41"/>
      <c r="Q32" s="47">
        <f>IFERROR(VLOOKUP($O32, [1]렌트_차량관리!$C$4:$CN$503, 2, FALSE), 0)</f>
        <v>0</v>
      </c>
      <c r="R32" s="53">
        <f>IFERROR(VLOOKUP($O32, [1]렌트_차량관리!$C$4:$CN$503, 12, FALSE), 0)</f>
        <v>0</v>
      </c>
      <c r="S32" s="54">
        <f>IFERROR(VLOOKUP($O32, [1]렌트_차량관리!$C$4:$CN$503, 20, FALSE), 0)</f>
        <v>0</v>
      </c>
      <c r="T32" s="47">
        <f>IFERROR(VLOOKUP($O32, [1]렌트_차량관리!$C$4:$CN$503, 18, FALSE)*12, 0)</f>
        <v>0</v>
      </c>
      <c r="U32" s="55" t="str">
        <f>IFERROR(VLOOKUP($O32, [1]렌트_차량관리!$C$4:$CN$503, 17, FALSE), "")</f>
        <v/>
      </c>
      <c r="V32" s="56" t="str">
        <f>IFERROR(VLOOKUP($O32, [1]렌트_차량관리!$C$4:$CN$503, 19, FALSE), "")</f>
        <v/>
      </c>
      <c r="W32" s="47">
        <f>IFERROR(VLOOKUP($O32, [1]렌트_차량관리!$C$4:$CN$503, 80, FALSE), 0)</f>
        <v>0</v>
      </c>
      <c r="X32" s="47">
        <f>IFERROR(VLOOKUP($O32, [1]렌트_차량관리!$C$4:$CN$503, 88, FALSE), 0)</f>
        <v>0</v>
      </c>
      <c r="Y32" s="47"/>
      <c r="Z32" s="62"/>
      <c r="AA32" s="62"/>
      <c r="AB32" s="63"/>
    </row>
    <row r="33" spans="1:28" x14ac:dyDescent="0.45">
      <c r="A33" s="59">
        <v>31</v>
      </c>
      <c r="B33" s="52">
        <f t="shared" si="0"/>
        <v>31</v>
      </c>
      <c r="C33" s="41">
        <f t="shared" si="2"/>
        <v>47041</v>
      </c>
      <c r="D33" s="76">
        <f t="shared" si="1"/>
        <v>640000</v>
      </c>
      <c r="E33" s="85"/>
      <c r="F33" s="82">
        <f t="shared" si="4"/>
        <v>0</v>
      </c>
      <c r="G33" s="76">
        <f t="shared" si="3"/>
        <v>0</v>
      </c>
      <c r="H33" s="83"/>
      <c r="I33" s="83"/>
      <c r="J33" s="83"/>
      <c r="K33" s="83"/>
      <c r="L33" s="83"/>
      <c r="M33" s="60" t="s">
        <v>41</v>
      </c>
      <c r="N33" s="87"/>
      <c r="O33" s="61"/>
      <c r="P33" s="41"/>
      <c r="Q33" s="47">
        <f>IFERROR(VLOOKUP($O33, [1]렌트_차량관리!$C$4:$CN$503, 2, FALSE), 0)</f>
        <v>0</v>
      </c>
      <c r="R33" s="53">
        <f>IFERROR(VLOOKUP($O33, [1]렌트_차량관리!$C$4:$CN$503, 12, FALSE), 0)</f>
        <v>0</v>
      </c>
      <c r="S33" s="54">
        <f>IFERROR(VLOOKUP($O33, [1]렌트_차량관리!$C$4:$CN$503, 20, FALSE), 0)</f>
        <v>0</v>
      </c>
      <c r="T33" s="47">
        <f>IFERROR(VLOOKUP($O33, [1]렌트_차량관리!$C$4:$CN$503, 18, FALSE)*12, 0)</f>
        <v>0</v>
      </c>
      <c r="U33" s="55" t="str">
        <f>IFERROR(VLOOKUP($O33, [1]렌트_차량관리!$C$4:$CN$503, 17, FALSE), "")</f>
        <v/>
      </c>
      <c r="V33" s="56" t="str">
        <f>IFERROR(VLOOKUP($O33, [1]렌트_차량관리!$C$4:$CN$503, 19, FALSE), "")</f>
        <v/>
      </c>
      <c r="W33" s="47">
        <f>IFERROR(VLOOKUP($O33, [1]렌트_차량관리!$C$4:$CN$503, 80, FALSE), 0)</f>
        <v>0</v>
      </c>
      <c r="X33" s="47">
        <f>IFERROR(VLOOKUP($O33, [1]렌트_차량관리!$C$4:$CN$503, 88, FALSE), 0)</f>
        <v>0</v>
      </c>
      <c r="Y33" s="47"/>
      <c r="Z33" s="62"/>
      <c r="AA33" s="62"/>
      <c r="AB33" s="63"/>
    </row>
    <row r="34" spans="1:28" x14ac:dyDescent="0.45">
      <c r="A34" s="59">
        <v>32</v>
      </c>
      <c r="B34" s="52">
        <f t="shared" si="0"/>
        <v>32</v>
      </c>
      <c r="C34" s="41">
        <f t="shared" si="2"/>
        <v>47072</v>
      </c>
      <c r="D34" s="76">
        <f t="shared" si="1"/>
        <v>640000</v>
      </c>
      <c r="E34" s="85"/>
      <c r="F34" s="82">
        <f t="shared" si="4"/>
        <v>0</v>
      </c>
      <c r="G34" s="76">
        <f t="shared" si="3"/>
        <v>0</v>
      </c>
      <c r="H34" s="83"/>
      <c r="I34" s="83"/>
      <c r="J34" s="83"/>
      <c r="K34" s="83"/>
      <c r="L34" s="83"/>
      <c r="M34" s="60" t="s">
        <v>41</v>
      </c>
      <c r="N34" s="87"/>
      <c r="O34" s="61"/>
      <c r="P34" s="41"/>
      <c r="Q34" s="47">
        <f>IFERROR(VLOOKUP($O34, [1]렌트_차량관리!$C$4:$CN$503, 2, FALSE), 0)</f>
        <v>0</v>
      </c>
      <c r="R34" s="53">
        <f>IFERROR(VLOOKUP($O34, [1]렌트_차량관리!$C$4:$CN$503, 12, FALSE), 0)</f>
        <v>0</v>
      </c>
      <c r="S34" s="54">
        <f>IFERROR(VLOOKUP($O34, [1]렌트_차량관리!$C$4:$CN$503, 20, FALSE), 0)</f>
        <v>0</v>
      </c>
      <c r="T34" s="47">
        <f>IFERROR(VLOOKUP($O34, [1]렌트_차량관리!$C$4:$CN$503, 18, FALSE)*12, 0)</f>
        <v>0</v>
      </c>
      <c r="U34" s="55" t="str">
        <f>IFERROR(VLOOKUP($O34, [1]렌트_차량관리!$C$4:$CN$503, 17, FALSE), "")</f>
        <v/>
      </c>
      <c r="V34" s="56" t="str">
        <f>IFERROR(VLOOKUP($O34, [1]렌트_차량관리!$C$4:$CN$503, 19, FALSE), "")</f>
        <v/>
      </c>
      <c r="W34" s="47">
        <f>IFERROR(VLOOKUP($O34, [1]렌트_차량관리!$C$4:$CN$503, 80, FALSE), 0)</f>
        <v>0</v>
      </c>
      <c r="X34" s="47">
        <f>IFERROR(VLOOKUP($O34, [1]렌트_차량관리!$C$4:$CN$503, 88, FALSE), 0)</f>
        <v>0</v>
      </c>
      <c r="Y34" s="47"/>
      <c r="Z34" s="62"/>
      <c r="AA34" s="62"/>
      <c r="AB34" s="63"/>
    </row>
    <row r="35" spans="1:28" x14ac:dyDescent="0.45">
      <c r="A35" s="59">
        <v>33</v>
      </c>
      <c r="B35" s="52">
        <f t="shared" si="0"/>
        <v>33</v>
      </c>
      <c r="C35" s="41">
        <f t="shared" si="2"/>
        <v>47102</v>
      </c>
      <c r="D35" s="76">
        <f t="shared" si="1"/>
        <v>640000</v>
      </c>
      <c r="E35" s="85"/>
      <c r="F35" s="82">
        <f t="shared" si="4"/>
        <v>0</v>
      </c>
      <c r="G35" s="76">
        <f t="shared" si="3"/>
        <v>0</v>
      </c>
      <c r="H35" s="83"/>
      <c r="I35" s="83"/>
      <c r="J35" s="83"/>
      <c r="K35" s="83"/>
      <c r="L35" s="83"/>
      <c r="M35" s="60" t="s">
        <v>41</v>
      </c>
      <c r="N35" s="87"/>
      <c r="O35" s="61"/>
      <c r="P35" s="41"/>
      <c r="Q35" s="47">
        <f>IFERROR(VLOOKUP($O35, [1]렌트_차량관리!$C$4:$CN$503, 2, FALSE), 0)</f>
        <v>0</v>
      </c>
      <c r="R35" s="53">
        <f>IFERROR(VLOOKUP($O35, [1]렌트_차량관리!$C$4:$CN$503, 12, FALSE), 0)</f>
        <v>0</v>
      </c>
      <c r="S35" s="54">
        <f>IFERROR(VLOOKUP($O35, [1]렌트_차량관리!$C$4:$CN$503, 20, FALSE), 0)</f>
        <v>0</v>
      </c>
      <c r="T35" s="47">
        <f>IFERROR(VLOOKUP($O35, [1]렌트_차량관리!$C$4:$CN$503, 18, FALSE)*12, 0)</f>
        <v>0</v>
      </c>
      <c r="U35" s="55" t="str">
        <f>IFERROR(VLOOKUP($O35, [1]렌트_차량관리!$C$4:$CN$503, 17, FALSE), "")</f>
        <v/>
      </c>
      <c r="V35" s="56" t="str">
        <f>IFERROR(VLOOKUP($O35, [1]렌트_차량관리!$C$4:$CN$503, 19, FALSE), "")</f>
        <v/>
      </c>
      <c r="W35" s="47">
        <f>IFERROR(VLOOKUP($O35, [1]렌트_차량관리!$C$4:$CN$503, 80, FALSE), 0)</f>
        <v>0</v>
      </c>
      <c r="X35" s="47">
        <f>IFERROR(VLOOKUP($O35, [1]렌트_차량관리!$C$4:$CN$503, 88, FALSE), 0)</f>
        <v>0</v>
      </c>
      <c r="Y35" s="47"/>
      <c r="Z35" s="62"/>
      <c r="AA35" s="62"/>
      <c r="AB35" s="63"/>
    </row>
    <row r="36" spans="1:28" x14ac:dyDescent="0.45">
      <c r="A36" s="59">
        <v>34</v>
      </c>
      <c r="B36" s="52">
        <f t="shared" si="0"/>
        <v>34</v>
      </c>
      <c r="C36" s="41">
        <f t="shared" si="2"/>
        <v>47133</v>
      </c>
      <c r="D36" s="76">
        <f t="shared" si="1"/>
        <v>640000</v>
      </c>
      <c r="E36" s="85"/>
      <c r="F36" s="82">
        <f t="shared" si="4"/>
        <v>0</v>
      </c>
      <c r="G36" s="76">
        <f t="shared" si="3"/>
        <v>0</v>
      </c>
      <c r="H36" s="83"/>
      <c r="I36" s="83"/>
      <c r="J36" s="83"/>
      <c r="K36" s="83"/>
      <c r="L36" s="83"/>
      <c r="M36" s="60" t="s">
        <v>41</v>
      </c>
      <c r="N36" s="87"/>
      <c r="O36" s="61"/>
      <c r="P36" s="41"/>
      <c r="Q36" s="47">
        <f>IFERROR(VLOOKUP($O36, [1]렌트_차량관리!$C$4:$CN$503, 2, FALSE), 0)</f>
        <v>0</v>
      </c>
      <c r="R36" s="53">
        <f>IFERROR(VLOOKUP($O36, [1]렌트_차량관리!$C$4:$CN$503, 12, FALSE), 0)</f>
        <v>0</v>
      </c>
      <c r="S36" s="54">
        <f>IFERROR(VLOOKUP($O36, [1]렌트_차량관리!$C$4:$CN$503, 20, FALSE), 0)</f>
        <v>0</v>
      </c>
      <c r="T36" s="47">
        <f>IFERROR(VLOOKUP($O36, [1]렌트_차량관리!$C$4:$CN$503, 18, FALSE)*12, 0)</f>
        <v>0</v>
      </c>
      <c r="U36" s="55" t="str">
        <f>IFERROR(VLOOKUP($O36, [1]렌트_차량관리!$C$4:$CN$503, 17, FALSE), "")</f>
        <v/>
      </c>
      <c r="V36" s="56" t="str">
        <f>IFERROR(VLOOKUP($O36, [1]렌트_차량관리!$C$4:$CN$503, 19, FALSE), "")</f>
        <v/>
      </c>
      <c r="W36" s="47">
        <f>IFERROR(VLOOKUP($O36, [1]렌트_차량관리!$C$4:$CN$503, 80, FALSE), 0)</f>
        <v>0</v>
      </c>
      <c r="X36" s="47">
        <f>IFERROR(VLOOKUP($O36, [1]렌트_차량관리!$C$4:$CN$503, 88, FALSE), 0)</f>
        <v>0</v>
      </c>
      <c r="Y36" s="47"/>
      <c r="Z36" s="62"/>
      <c r="AA36" s="62"/>
      <c r="AB36" s="63"/>
    </row>
    <row r="37" spans="1:28" x14ac:dyDescent="0.45">
      <c r="A37" s="59">
        <v>35</v>
      </c>
      <c r="B37" s="52">
        <f t="shared" si="0"/>
        <v>35</v>
      </c>
      <c r="C37" s="41">
        <f t="shared" si="2"/>
        <v>47164</v>
      </c>
      <c r="D37" s="76">
        <f t="shared" si="1"/>
        <v>640000</v>
      </c>
      <c r="E37" s="85"/>
      <c r="F37" s="82">
        <f t="shared" si="4"/>
        <v>0</v>
      </c>
      <c r="G37" s="76">
        <f t="shared" si="3"/>
        <v>0</v>
      </c>
      <c r="H37" s="83"/>
      <c r="I37" s="83"/>
      <c r="J37" s="83"/>
      <c r="K37" s="83"/>
      <c r="L37" s="83"/>
      <c r="M37" s="60" t="s">
        <v>41</v>
      </c>
      <c r="N37" s="87"/>
      <c r="O37" s="87"/>
      <c r="P37" s="62"/>
      <c r="Q37" s="62"/>
      <c r="R37" s="62"/>
      <c r="S37" s="62"/>
      <c r="T37" s="62"/>
      <c r="U37" s="62"/>
      <c r="V37" s="62"/>
      <c r="W37" s="62"/>
      <c r="X37" s="62"/>
      <c r="Y37" s="52"/>
      <c r="Z37" s="62"/>
      <c r="AA37" s="62"/>
      <c r="AB37" s="63"/>
    </row>
    <row r="38" spans="1:28" x14ac:dyDescent="0.45">
      <c r="A38" s="59">
        <v>36</v>
      </c>
      <c r="B38" s="52">
        <f t="shared" si="0"/>
        <v>36</v>
      </c>
      <c r="C38" s="41">
        <f t="shared" si="2"/>
        <v>47192</v>
      </c>
      <c r="D38" s="76">
        <f t="shared" si="1"/>
        <v>640000</v>
      </c>
      <c r="E38" s="85"/>
      <c r="F38" s="82">
        <f t="shared" si="4"/>
        <v>0</v>
      </c>
      <c r="G38" s="76">
        <f t="shared" si="3"/>
        <v>0</v>
      </c>
      <c r="H38" s="83"/>
      <c r="I38" s="83"/>
      <c r="J38" s="83"/>
      <c r="K38" s="83"/>
      <c r="L38" s="83"/>
      <c r="M38" s="60" t="s">
        <v>41</v>
      </c>
      <c r="N38" s="87"/>
      <c r="O38" s="87"/>
      <c r="P38" s="62"/>
      <c r="Q38" s="62"/>
      <c r="R38" s="62"/>
      <c r="S38" s="62"/>
      <c r="T38" s="62"/>
      <c r="U38" s="62"/>
      <c r="V38" s="62"/>
      <c r="W38" s="62"/>
      <c r="X38" s="62"/>
      <c r="Y38" s="52"/>
      <c r="Z38" s="62"/>
      <c r="AA38" s="62"/>
      <c r="AB38" s="63"/>
    </row>
    <row r="39" spans="1:28" x14ac:dyDescent="0.45">
      <c r="A39" s="59">
        <v>37</v>
      </c>
      <c r="B39" s="52">
        <f t="shared" si="0"/>
        <v>37</v>
      </c>
      <c r="C39" s="41">
        <f t="shared" si="2"/>
        <v>47223</v>
      </c>
      <c r="D39" s="76">
        <f t="shared" si="1"/>
        <v>640000</v>
      </c>
      <c r="E39" s="85"/>
      <c r="F39" s="82">
        <f t="shared" si="4"/>
        <v>0</v>
      </c>
      <c r="G39" s="76">
        <f t="shared" si="3"/>
        <v>0</v>
      </c>
      <c r="H39" s="83"/>
      <c r="I39" s="83"/>
      <c r="J39" s="83"/>
      <c r="K39" s="83"/>
      <c r="L39" s="83"/>
      <c r="M39" s="60" t="s">
        <v>41</v>
      </c>
      <c r="N39" s="87"/>
      <c r="O39" s="87"/>
      <c r="P39" s="62"/>
      <c r="Q39" s="62"/>
      <c r="R39" s="62"/>
      <c r="S39" s="62"/>
      <c r="T39" s="62"/>
      <c r="U39" s="62"/>
      <c r="V39" s="62"/>
      <c r="W39" s="62"/>
      <c r="X39" s="62"/>
      <c r="Y39" s="52"/>
      <c r="Z39" s="62"/>
      <c r="AA39" s="62"/>
      <c r="AB39" s="63"/>
    </row>
    <row r="40" spans="1:28" x14ac:dyDescent="0.45">
      <c r="A40" s="59">
        <v>38</v>
      </c>
      <c r="B40" s="52">
        <f t="shared" si="0"/>
        <v>38</v>
      </c>
      <c r="C40" s="41">
        <f t="shared" si="2"/>
        <v>47253</v>
      </c>
      <c r="D40" s="76">
        <f t="shared" si="1"/>
        <v>640000</v>
      </c>
      <c r="E40" s="85"/>
      <c r="F40" s="82">
        <f t="shared" si="4"/>
        <v>0</v>
      </c>
      <c r="G40" s="76">
        <f t="shared" si="3"/>
        <v>0</v>
      </c>
      <c r="H40" s="83"/>
      <c r="I40" s="83"/>
      <c r="J40" s="83"/>
      <c r="K40" s="83"/>
      <c r="L40" s="83"/>
      <c r="M40" s="60" t="s">
        <v>41</v>
      </c>
      <c r="N40" s="87"/>
      <c r="O40" s="87"/>
      <c r="P40" s="62"/>
      <c r="Q40" s="62"/>
      <c r="R40" s="62"/>
      <c r="S40" s="62"/>
      <c r="T40" s="62"/>
      <c r="U40" s="62"/>
      <c r="V40" s="62"/>
      <c r="W40" s="62"/>
      <c r="X40" s="62"/>
      <c r="Y40" s="52"/>
      <c r="Z40" s="62"/>
      <c r="AA40" s="62"/>
      <c r="AB40" s="63"/>
    </row>
    <row r="41" spans="1:28" x14ac:dyDescent="0.45">
      <c r="A41" s="59">
        <v>39</v>
      </c>
      <c r="B41" s="52">
        <f t="shared" si="0"/>
        <v>39</v>
      </c>
      <c r="C41" s="41">
        <f t="shared" si="2"/>
        <v>47284</v>
      </c>
      <c r="D41" s="76">
        <f t="shared" si="1"/>
        <v>640000</v>
      </c>
      <c r="E41" s="85"/>
      <c r="F41" s="82">
        <f t="shared" si="4"/>
        <v>0</v>
      </c>
      <c r="G41" s="76">
        <f t="shared" si="3"/>
        <v>0</v>
      </c>
      <c r="H41" s="83"/>
      <c r="I41" s="83"/>
      <c r="J41" s="83"/>
      <c r="K41" s="83"/>
      <c r="L41" s="83"/>
      <c r="M41" s="60" t="s">
        <v>41</v>
      </c>
      <c r="N41" s="87"/>
      <c r="O41" s="87"/>
      <c r="P41" s="62"/>
      <c r="Q41" s="62"/>
      <c r="R41" s="62"/>
      <c r="S41" s="62"/>
      <c r="T41" s="62"/>
      <c r="U41" s="62"/>
      <c r="V41" s="62"/>
      <c r="W41" s="62"/>
      <c r="X41" s="62"/>
      <c r="Y41" s="52"/>
      <c r="Z41" s="62"/>
      <c r="AA41" s="62"/>
      <c r="AB41" s="63"/>
    </row>
    <row r="42" spans="1:28" x14ac:dyDescent="0.45">
      <c r="A42" s="59">
        <v>40</v>
      </c>
      <c r="B42" s="52">
        <f t="shared" si="0"/>
        <v>40</v>
      </c>
      <c r="C42" s="41">
        <f t="shared" si="2"/>
        <v>47314</v>
      </c>
      <c r="D42" s="76">
        <f t="shared" si="1"/>
        <v>640000</v>
      </c>
      <c r="E42" s="85"/>
      <c r="F42" s="82">
        <f t="shared" si="4"/>
        <v>0</v>
      </c>
      <c r="G42" s="76">
        <f t="shared" si="3"/>
        <v>0</v>
      </c>
      <c r="H42" s="83"/>
      <c r="I42" s="83"/>
      <c r="J42" s="83"/>
      <c r="K42" s="83"/>
      <c r="L42" s="83"/>
      <c r="M42" s="60" t="s">
        <v>41</v>
      </c>
      <c r="N42" s="87"/>
      <c r="O42" s="87"/>
      <c r="P42" s="62"/>
      <c r="Q42" s="62"/>
      <c r="R42" s="62"/>
      <c r="S42" s="62"/>
      <c r="T42" s="62"/>
      <c r="U42" s="62"/>
      <c r="V42" s="62"/>
      <c r="W42" s="62"/>
      <c r="X42" s="62"/>
      <c r="Y42" s="52"/>
      <c r="Z42" s="62"/>
      <c r="AA42" s="62"/>
      <c r="AB42" s="63"/>
    </row>
    <row r="43" spans="1:28" x14ac:dyDescent="0.45">
      <c r="A43" s="59">
        <v>41</v>
      </c>
      <c r="B43" s="52">
        <f t="shared" si="0"/>
        <v>41</v>
      </c>
      <c r="C43" s="41">
        <f t="shared" si="2"/>
        <v>47345</v>
      </c>
      <c r="D43" s="76">
        <f t="shared" si="1"/>
        <v>640000</v>
      </c>
      <c r="E43" s="85"/>
      <c r="F43" s="82">
        <f t="shared" si="4"/>
        <v>0</v>
      </c>
      <c r="G43" s="76">
        <f t="shared" si="3"/>
        <v>0</v>
      </c>
      <c r="H43" s="83"/>
      <c r="I43" s="83"/>
      <c r="J43" s="83"/>
      <c r="K43" s="83"/>
      <c r="L43" s="83"/>
      <c r="M43" s="60" t="s">
        <v>41</v>
      </c>
      <c r="N43" s="87"/>
      <c r="O43" s="87"/>
      <c r="P43" s="62"/>
      <c r="Q43" s="62"/>
      <c r="R43" s="62"/>
      <c r="S43" s="62"/>
      <c r="T43" s="62"/>
      <c r="U43" s="62"/>
      <c r="V43" s="62"/>
      <c r="W43" s="62"/>
      <c r="X43" s="62"/>
      <c r="Y43" s="52"/>
      <c r="Z43" s="62"/>
      <c r="AA43" s="62"/>
      <c r="AB43" s="63"/>
    </row>
    <row r="44" spans="1:28" x14ac:dyDescent="0.45">
      <c r="A44" s="59">
        <v>42</v>
      </c>
      <c r="B44" s="52">
        <f t="shared" si="0"/>
        <v>42</v>
      </c>
      <c r="C44" s="41">
        <f t="shared" si="2"/>
        <v>47376</v>
      </c>
      <c r="D44" s="76">
        <f t="shared" si="1"/>
        <v>640000</v>
      </c>
      <c r="E44" s="85"/>
      <c r="F44" s="82">
        <f t="shared" si="4"/>
        <v>0</v>
      </c>
      <c r="G44" s="76">
        <f t="shared" si="3"/>
        <v>0</v>
      </c>
      <c r="H44" s="83"/>
      <c r="I44" s="83"/>
      <c r="J44" s="83"/>
      <c r="K44" s="83"/>
      <c r="L44" s="83"/>
      <c r="M44" s="60" t="s">
        <v>41</v>
      </c>
      <c r="N44" s="87"/>
      <c r="O44" s="87"/>
      <c r="P44" s="62"/>
      <c r="Q44" s="62"/>
      <c r="R44" s="62"/>
      <c r="S44" s="62"/>
      <c r="T44" s="62"/>
      <c r="U44" s="62"/>
      <c r="V44" s="62"/>
      <c r="W44" s="62"/>
      <c r="X44" s="62"/>
      <c r="Y44" s="52"/>
      <c r="Z44" s="62"/>
      <c r="AA44" s="62"/>
      <c r="AB44" s="63"/>
    </row>
    <row r="45" spans="1:28" x14ac:dyDescent="0.45">
      <c r="A45" s="59">
        <v>43</v>
      </c>
      <c r="B45" s="52">
        <f t="shared" si="0"/>
        <v>43</v>
      </c>
      <c r="C45" s="41">
        <f t="shared" si="2"/>
        <v>47406</v>
      </c>
      <c r="D45" s="76">
        <f t="shared" si="1"/>
        <v>640000</v>
      </c>
      <c r="E45" s="85"/>
      <c r="F45" s="82">
        <f t="shared" si="4"/>
        <v>0</v>
      </c>
      <c r="G45" s="76">
        <f t="shared" si="3"/>
        <v>0</v>
      </c>
      <c r="H45" s="83"/>
      <c r="I45" s="83"/>
      <c r="J45" s="83"/>
      <c r="K45" s="83"/>
      <c r="L45" s="83"/>
      <c r="M45" s="60" t="s">
        <v>41</v>
      </c>
      <c r="N45" s="87"/>
      <c r="O45" s="87"/>
      <c r="P45" s="62"/>
      <c r="Q45" s="62"/>
      <c r="R45" s="62"/>
      <c r="S45" s="62"/>
      <c r="T45" s="62"/>
      <c r="U45" s="62"/>
      <c r="V45" s="62"/>
      <c r="W45" s="62"/>
      <c r="X45" s="62"/>
      <c r="Y45" s="52"/>
      <c r="Z45" s="62"/>
      <c r="AA45" s="62"/>
      <c r="AB45" s="63"/>
    </row>
    <row r="46" spans="1:28" x14ac:dyDescent="0.45">
      <c r="A46" s="59">
        <v>44</v>
      </c>
      <c r="B46" s="52">
        <f t="shared" si="0"/>
        <v>44</v>
      </c>
      <c r="C46" s="41">
        <f t="shared" si="2"/>
        <v>47437</v>
      </c>
      <c r="D46" s="76">
        <f t="shared" si="1"/>
        <v>640000</v>
      </c>
      <c r="E46" s="85"/>
      <c r="F46" s="82">
        <f t="shared" si="4"/>
        <v>0</v>
      </c>
      <c r="G46" s="76">
        <f t="shared" si="3"/>
        <v>0</v>
      </c>
      <c r="H46" s="83"/>
      <c r="I46" s="83"/>
      <c r="J46" s="83"/>
      <c r="K46" s="83"/>
      <c r="L46" s="83"/>
      <c r="M46" s="60" t="s">
        <v>41</v>
      </c>
      <c r="N46" s="87"/>
      <c r="O46" s="87"/>
      <c r="P46" s="62"/>
      <c r="Q46" s="62"/>
      <c r="R46" s="62"/>
      <c r="S46" s="62"/>
      <c r="T46" s="62"/>
      <c r="U46" s="62"/>
      <c r="V46" s="62"/>
      <c r="W46" s="62"/>
      <c r="X46" s="62"/>
      <c r="Y46" s="52"/>
      <c r="Z46" s="62"/>
      <c r="AA46" s="62"/>
      <c r="AB46" s="63"/>
    </row>
    <row r="47" spans="1:28" x14ac:dyDescent="0.45">
      <c r="A47" s="59">
        <v>45</v>
      </c>
      <c r="B47" s="52">
        <f t="shared" si="0"/>
        <v>45</v>
      </c>
      <c r="C47" s="41">
        <f t="shared" si="2"/>
        <v>47467</v>
      </c>
      <c r="D47" s="76">
        <f t="shared" si="1"/>
        <v>640000</v>
      </c>
      <c r="E47" s="85"/>
      <c r="F47" s="82">
        <f t="shared" si="4"/>
        <v>0</v>
      </c>
      <c r="G47" s="76">
        <f t="shared" si="3"/>
        <v>0</v>
      </c>
      <c r="H47" s="83"/>
      <c r="I47" s="83"/>
      <c r="J47" s="83"/>
      <c r="K47" s="83"/>
      <c r="L47" s="83"/>
      <c r="M47" s="60" t="s">
        <v>41</v>
      </c>
      <c r="N47" s="87"/>
      <c r="O47" s="87"/>
      <c r="P47" s="62"/>
      <c r="Q47" s="62"/>
      <c r="R47" s="62"/>
      <c r="S47" s="62"/>
      <c r="T47" s="62"/>
      <c r="U47" s="62"/>
      <c r="V47" s="62"/>
      <c r="W47" s="62"/>
      <c r="X47" s="62"/>
      <c r="Y47" s="52"/>
      <c r="Z47" s="62"/>
      <c r="AA47" s="62"/>
      <c r="AB47" s="63"/>
    </row>
    <row r="48" spans="1:28" x14ac:dyDescent="0.45">
      <c r="A48" s="59">
        <v>46</v>
      </c>
      <c r="B48" s="52">
        <f t="shared" si="0"/>
        <v>46</v>
      </c>
      <c r="C48" s="41">
        <f t="shared" si="2"/>
        <v>47498</v>
      </c>
      <c r="D48" s="76">
        <f t="shared" si="1"/>
        <v>640000</v>
      </c>
      <c r="E48" s="85"/>
      <c r="F48" s="82">
        <f t="shared" si="4"/>
        <v>0</v>
      </c>
      <c r="G48" s="76">
        <f t="shared" si="3"/>
        <v>0</v>
      </c>
      <c r="H48" s="83"/>
      <c r="I48" s="83"/>
      <c r="J48" s="83"/>
      <c r="K48" s="83"/>
      <c r="L48" s="83"/>
      <c r="M48" s="60" t="s">
        <v>41</v>
      </c>
      <c r="N48" s="87"/>
      <c r="O48" s="87"/>
      <c r="P48" s="62"/>
      <c r="Q48" s="62"/>
      <c r="R48" s="62"/>
      <c r="S48" s="62"/>
      <c r="T48" s="62"/>
      <c r="U48" s="62"/>
      <c r="V48" s="62"/>
      <c r="W48" s="62"/>
      <c r="X48" s="62"/>
      <c r="Y48" s="52"/>
      <c r="Z48" s="62"/>
      <c r="AA48" s="62"/>
      <c r="AB48" s="63"/>
    </row>
    <row r="49" spans="1:31" x14ac:dyDescent="0.45">
      <c r="A49" s="59">
        <v>47</v>
      </c>
      <c r="B49" s="52">
        <f t="shared" si="0"/>
        <v>47</v>
      </c>
      <c r="C49" s="41">
        <f t="shared" si="2"/>
        <v>47529</v>
      </c>
      <c r="D49" s="76">
        <f t="shared" si="1"/>
        <v>640000</v>
      </c>
      <c r="E49" s="85"/>
      <c r="F49" s="82">
        <f t="shared" si="4"/>
        <v>0</v>
      </c>
      <c r="G49" s="76">
        <f t="shared" si="3"/>
        <v>0</v>
      </c>
      <c r="H49" s="83"/>
      <c r="I49" s="83"/>
      <c r="J49" s="83"/>
      <c r="K49" s="83"/>
      <c r="L49" s="83"/>
      <c r="M49" s="60" t="s">
        <v>41</v>
      </c>
      <c r="N49" s="87"/>
      <c r="O49" s="87"/>
      <c r="P49" s="62"/>
      <c r="Q49" s="62"/>
      <c r="R49" s="62"/>
      <c r="S49" s="62"/>
      <c r="T49" s="62"/>
      <c r="U49" s="62"/>
      <c r="V49" s="62"/>
      <c r="W49" s="62"/>
      <c r="X49" s="62"/>
      <c r="Y49" s="52"/>
      <c r="Z49" s="62"/>
      <c r="AA49" s="62"/>
      <c r="AB49" s="63"/>
    </row>
    <row r="50" spans="1:31" x14ac:dyDescent="0.45">
      <c r="A50" s="59">
        <v>48</v>
      </c>
      <c r="B50" s="52">
        <f t="shared" si="0"/>
        <v>48</v>
      </c>
      <c r="C50" s="41">
        <f t="shared" si="2"/>
        <v>47557</v>
      </c>
      <c r="D50" s="76">
        <f t="shared" si="1"/>
        <v>640000</v>
      </c>
      <c r="E50" s="85"/>
      <c r="F50" s="82">
        <f t="shared" si="4"/>
        <v>0</v>
      </c>
      <c r="G50" s="76">
        <f t="shared" si="3"/>
        <v>0</v>
      </c>
      <c r="H50" s="83"/>
      <c r="I50" s="83"/>
      <c r="J50" s="83"/>
      <c r="K50" s="83"/>
      <c r="L50" s="83"/>
      <c r="M50" s="60" t="s">
        <v>41</v>
      </c>
      <c r="N50" s="87"/>
      <c r="O50" s="87"/>
      <c r="P50" s="62"/>
      <c r="Q50" s="62"/>
      <c r="R50" s="62"/>
      <c r="S50" s="62"/>
      <c r="T50" s="62"/>
      <c r="U50" s="62"/>
      <c r="V50" s="62"/>
      <c r="W50" s="62"/>
      <c r="X50" s="62"/>
      <c r="Y50" s="52"/>
      <c r="Z50" s="62"/>
      <c r="AA50" s="62"/>
      <c r="AB50" s="63"/>
    </row>
    <row r="51" spans="1:31" x14ac:dyDescent="0.45">
      <c r="A51" s="59">
        <v>49</v>
      </c>
      <c r="B51" s="52">
        <f t="shared" si="0"/>
        <v>49</v>
      </c>
      <c r="C51" s="41">
        <f t="shared" si="2"/>
        <v>47588</v>
      </c>
      <c r="D51" s="76">
        <f t="shared" si="1"/>
        <v>640000</v>
      </c>
      <c r="E51" s="85"/>
      <c r="F51" s="82">
        <f t="shared" si="4"/>
        <v>0</v>
      </c>
      <c r="G51" s="76">
        <f t="shared" si="3"/>
        <v>0</v>
      </c>
      <c r="H51" s="83"/>
      <c r="I51" s="83"/>
      <c r="J51" s="83"/>
      <c r="K51" s="83"/>
      <c r="L51" s="83"/>
      <c r="M51" s="60" t="s">
        <v>41</v>
      </c>
      <c r="N51" s="87"/>
      <c r="O51" s="87"/>
      <c r="P51" s="62"/>
      <c r="Q51" s="62"/>
      <c r="R51" s="62"/>
      <c r="S51" s="62"/>
      <c r="T51" s="62"/>
      <c r="U51" s="62"/>
      <c r="V51" s="62"/>
      <c r="W51" s="62"/>
      <c r="X51" s="62"/>
      <c r="Y51" s="52"/>
      <c r="Z51" s="62"/>
      <c r="AA51" s="62"/>
      <c r="AB51" s="63"/>
    </row>
    <row r="52" spans="1:31" x14ac:dyDescent="0.45">
      <c r="A52" s="59">
        <v>50</v>
      </c>
      <c r="B52" s="52">
        <f t="shared" si="0"/>
        <v>50</v>
      </c>
      <c r="C52" s="41">
        <f t="shared" si="2"/>
        <v>47618</v>
      </c>
      <c r="D52" s="76">
        <f t="shared" si="1"/>
        <v>640000</v>
      </c>
      <c r="E52" s="85"/>
      <c r="F52" s="82">
        <f t="shared" si="4"/>
        <v>0</v>
      </c>
      <c r="G52" s="76">
        <f t="shared" si="3"/>
        <v>0</v>
      </c>
      <c r="H52" s="83"/>
      <c r="I52" s="83"/>
      <c r="J52" s="83"/>
      <c r="K52" s="83"/>
      <c r="L52" s="83"/>
      <c r="M52" s="60" t="s">
        <v>41</v>
      </c>
      <c r="N52" s="87"/>
      <c r="O52" s="87"/>
      <c r="P52" s="62"/>
      <c r="Q52" s="62"/>
      <c r="R52" s="62"/>
      <c r="S52" s="62"/>
      <c r="T52" s="62"/>
      <c r="U52" s="62"/>
      <c r="V52" s="62"/>
      <c r="W52" s="62"/>
      <c r="X52" s="62"/>
      <c r="Y52" s="52"/>
      <c r="Z52" s="62"/>
      <c r="AA52" s="62"/>
      <c r="AB52" s="63"/>
    </row>
    <row r="53" spans="1:31" x14ac:dyDescent="0.45">
      <c r="A53" s="59">
        <v>51</v>
      </c>
      <c r="B53" s="52">
        <f t="shared" si="0"/>
        <v>51</v>
      </c>
      <c r="C53" s="41">
        <f t="shared" si="2"/>
        <v>47649</v>
      </c>
      <c r="D53" s="76">
        <f t="shared" si="1"/>
        <v>640000</v>
      </c>
      <c r="E53" s="85"/>
      <c r="F53" s="82">
        <f t="shared" si="4"/>
        <v>0</v>
      </c>
      <c r="G53" s="76">
        <f t="shared" si="3"/>
        <v>0</v>
      </c>
      <c r="H53" s="83"/>
      <c r="I53" s="83"/>
      <c r="J53" s="83"/>
      <c r="K53" s="83"/>
      <c r="L53" s="83"/>
      <c r="M53" s="60" t="s">
        <v>41</v>
      </c>
      <c r="N53" s="87"/>
      <c r="O53" s="87"/>
      <c r="P53" s="62"/>
      <c r="Q53" s="62"/>
      <c r="R53" s="62"/>
      <c r="S53" s="62"/>
      <c r="T53" s="62"/>
      <c r="U53" s="62"/>
      <c r="V53" s="62"/>
      <c r="W53" s="62"/>
      <c r="X53" s="62"/>
      <c r="Y53" s="52"/>
      <c r="Z53" s="62"/>
      <c r="AA53" s="62"/>
      <c r="AB53" s="63"/>
    </row>
    <row r="54" spans="1:31" x14ac:dyDescent="0.45">
      <c r="A54" s="59">
        <v>52</v>
      </c>
      <c r="B54" s="52">
        <f t="shared" si="0"/>
        <v>52</v>
      </c>
      <c r="C54" s="41">
        <f t="shared" si="2"/>
        <v>47679</v>
      </c>
      <c r="D54" s="76">
        <f t="shared" si="1"/>
        <v>640000</v>
      </c>
      <c r="E54" s="85"/>
      <c r="F54" s="82">
        <f t="shared" si="4"/>
        <v>0</v>
      </c>
      <c r="G54" s="76">
        <f t="shared" si="3"/>
        <v>0</v>
      </c>
      <c r="H54" s="83"/>
      <c r="I54" s="83"/>
      <c r="J54" s="83"/>
      <c r="K54" s="83"/>
      <c r="L54" s="83"/>
      <c r="M54" s="60" t="s">
        <v>41</v>
      </c>
      <c r="N54" s="87"/>
      <c r="O54" s="87"/>
      <c r="P54" s="62"/>
      <c r="Q54" s="62"/>
      <c r="R54" s="62"/>
      <c r="S54" s="62"/>
      <c r="T54" s="62"/>
      <c r="U54" s="62"/>
      <c r="V54" s="62"/>
      <c r="W54" s="62"/>
      <c r="X54" s="62"/>
      <c r="Y54" s="52"/>
      <c r="Z54" s="62"/>
      <c r="AA54" s="62"/>
      <c r="AB54" s="63"/>
    </row>
    <row r="55" spans="1:31" x14ac:dyDescent="0.45">
      <c r="A55" s="59">
        <v>53</v>
      </c>
      <c r="B55" s="52">
        <f t="shared" si="0"/>
        <v>53</v>
      </c>
      <c r="C55" s="41">
        <f t="shared" si="2"/>
        <v>47710</v>
      </c>
      <c r="D55" s="76">
        <f t="shared" si="1"/>
        <v>640000</v>
      </c>
      <c r="E55" s="85"/>
      <c r="F55" s="82">
        <f t="shared" si="4"/>
        <v>0</v>
      </c>
      <c r="G55" s="76">
        <f t="shared" si="3"/>
        <v>0</v>
      </c>
      <c r="H55" s="83"/>
      <c r="I55" s="83"/>
      <c r="J55" s="83"/>
      <c r="K55" s="83"/>
      <c r="L55" s="83"/>
      <c r="M55" s="60" t="s">
        <v>41</v>
      </c>
      <c r="N55" s="87"/>
      <c r="O55" s="87"/>
      <c r="P55" s="62"/>
      <c r="Q55" s="62"/>
      <c r="R55" s="62"/>
      <c r="S55" s="62"/>
      <c r="T55" s="62"/>
      <c r="U55" s="62"/>
      <c r="V55" s="62"/>
      <c r="W55" s="62"/>
      <c r="X55" s="62"/>
      <c r="Y55" s="52"/>
      <c r="Z55" s="62"/>
      <c r="AA55" s="62"/>
      <c r="AB55" s="63"/>
    </row>
    <row r="56" spans="1:31" x14ac:dyDescent="0.45">
      <c r="A56" s="59">
        <v>54</v>
      </c>
      <c r="B56" s="52">
        <f t="shared" si="0"/>
        <v>54</v>
      </c>
      <c r="C56" s="41">
        <f t="shared" si="2"/>
        <v>47741</v>
      </c>
      <c r="D56" s="76">
        <f t="shared" si="1"/>
        <v>640000</v>
      </c>
      <c r="E56" s="85"/>
      <c r="F56" s="82">
        <f t="shared" si="4"/>
        <v>0</v>
      </c>
      <c r="G56" s="76">
        <f t="shared" si="3"/>
        <v>0</v>
      </c>
      <c r="H56" s="83"/>
      <c r="I56" s="83"/>
      <c r="J56" s="83"/>
      <c r="K56" s="83"/>
      <c r="L56" s="83"/>
      <c r="M56" s="60" t="s">
        <v>41</v>
      </c>
      <c r="N56" s="87"/>
      <c r="O56" s="87"/>
      <c r="P56" s="62"/>
      <c r="Q56" s="62"/>
      <c r="R56" s="62"/>
      <c r="S56" s="62"/>
      <c r="T56" s="62"/>
      <c r="U56" s="62"/>
      <c r="V56" s="62"/>
      <c r="W56" s="62"/>
      <c r="X56" s="62"/>
      <c r="Y56" s="52"/>
      <c r="Z56" s="62"/>
      <c r="AA56" s="62"/>
      <c r="AB56" s="63"/>
    </row>
    <row r="57" spans="1:31" x14ac:dyDescent="0.45">
      <c r="A57" s="59">
        <v>55</v>
      </c>
      <c r="B57" s="52">
        <f t="shared" si="0"/>
        <v>55</v>
      </c>
      <c r="C57" s="41">
        <f t="shared" si="2"/>
        <v>47771</v>
      </c>
      <c r="D57" s="76">
        <f t="shared" si="1"/>
        <v>640000</v>
      </c>
      <c r="E57" s="85"/>
      <c r="F57" s="82">
        <f t="shared" si="4"/>
        <v>0</v>
      </c>
      <c r="G57" s="76">
        <f t="shared" si="3"/>
        <v>0</v>
      </c>
      <c r="H57" s="83"/>
      <c r="I57" s="83"/>
      <c r="J57" s="83"/>
      <c r="K57" s="83"/>
      <c r="L57" s="83"/>
      <c r="M57" s="60" t="s">
        <v>41</v>
      </c>
      <c r="N57" s="87"/>
      <c r="O57" s="87"/>
      <c r="P57" s="62"/>
      <c r="Q57" s="62"/>
      <c r="R57" s="62"/>
      <c r="S57" s="62"/>
      <c r="T57" s="62"/>
      <c r="U57" s="62"/>
      <c r="V57" s="62"/>
      <c r="W57" s="62"/>
      <c r="X57" s="62"/>
      <c r="Y57" s="52"/>
      <c r="Z57" s="62"/>
      <c r="AA57" s="62"/>
      <c r="AB57" s="63"/>
    </row>
    <row r="58" spans="1:31" x14ac:dyDescent="0.45">
      <c r="A58" s="59">
        <v>56</v>
      </c>
      <c r="B58" s="52">
        <f t="shared" si="0"/>
        <v>56</v>
      </c>
      <c r="C58" s="41">
        <f t="shared" si="2"/>
        <v>47802</v>
      </c>
      <c r="D58" s="76">
        <f t="shared" si="1"/>
        <v>640000</v>
      </c>
      <c r="E58" s="85"/>
      <c r="F58" s="82">
        <f t="shared" si="4"/>
        <v>0</v>
      </c>
      <c r="G58" s="76">
        <f t="shared" si="3"/>
        <v>0</v>
      </c>
      <c r="H58" s="83"/>
      <c r="I58" s="83"/>
      <c r="J58" s="83"/>
      <c r="K58" s="83"/>
      <c r="L58" s="83"/>
      <c r="M58" s="60" t="s">
        <v>41</v>
      </c>
      <c r="N58" s="87"/>
      <c r="O58" s="87"/>
      <c r="P58" s="62"/>
      <c r="Q58" s="62"/>
      <c r="R58" s="62"/>
      <c r="S58" s="62"/>
      <c r="T58" s="62"/>
      <c r="U58" s="62"/>
      <c r="V58" s="62"/>
      <c r="W58" s="62"/>
      <c r="X58" s="62"/>
      <c r="Y58" s="52"/>
      <c r="Z58" s="62"/>
      <c r="AA58" s="62"/>
      <c r="AB58" s="63"/>
    </row>
    <row r="59" spans="1:31" x14ac:dyDescent="0.45">
      <c r="A59" s="59">
        <v>57</v>
      </c>
      <c r="B59" s="52">
        <f t="shared" si="0"/>
        <v>57</v>
      </c>
      <c r="C59" s="41">
        <f t="shared" si="2"/>
        <v>47832</v>
      </c>
      <c r="D59" s="76">
        <f t="shared" si="1"/>
        <v>640000</v>
      </c>
      <c r="E59" s="85"/>
      <c r="F59" s="82">
        <f t="shared" si="4"/>
        <v>0</v>
      </c>
      <c r="G59" s="76">
        <f t="shared" si="3"/>
        <v>0</v>
      </c>
      <c r="H59" s="83"/>
      <c r="I59" s="83"/>
      <c r="J59" s="83"/>
      <c r="K59" s="83"/>
      <c r="L59" s="83"/>
      <c r="M59" s="60" t="s">
        <v>41</v>
      </c>
      <c r="N59" s="87"/>
      <c r="O59" s="87"/>
      <c r="P59" s="62"/>
      <c r="Q59" s="62"/>
      <c r="R59" s="62"/>
      <c r="S59" s="62"/>
      <c r="T59" s="62"/>
      <c r="U59" s="62"/>
      <c r="V59" s="62"/>
      <c r="W59" s="62"/>
      <c r="X59" s="62"/>
      <c r="Y59" s="52"/>
      <c r="Z59" s="62"/>
      <c r="AA59" s="62"/>
      <c r="AB59" s="63"/>
    </row>
    <row r="60" spans="1:31" x14ac:dyDescent="0.45">
      <c r="A60" s="59">
        <v>58</v>
      </c>
      <c r="B60" s="52">
        <f t="shared" si="0"/>
        <v>58</v>
      </c>
      <c r="C60" s="41">
        <f t="shared" si="2"/>
        <v>47863</v>
      </c>
      <c r="D60" s="76">
        <f t="shared" si="1"/>
        <v>640000</v>
      </c>
      <c r="E60" s="85"/>
      <c r="F60" s="82">
        <f t="shared" si="4"/>
        <v>0</v>
      </c>
      <c r="G60" s="76">
        <f t="shared" si="3"/>
        <v>0</v>
      </c>
      <c r="H60" s="83"/>
      <c r="I60" s="83"/>
      <c r="J60" s="83"/>
      <c r="K60" s="83"/>
      <c r="L60" s="83"/>
      <c r="M60" s="60" t="s">
        <v>41</v>
      </c>
      <c r="N60" s="87"/>
      <c r="O60" s="87"/>
      <c r="P60" s="62"/>
      <c r="Q60" s="62"/>
      <c r="R60" s="62"/>
      <c r="S60" s="62"/>
      <c r="T60" s="62"/>
      <c r="U60" s="62"/>
      <c r="V60" s="62"/>
      <c r="W60" s="62"/>
      <c r="X60" s="62"/>
      <c r="Y60" s="52"/>
      <c r="Z60" s="62"/>
      <c r="AA60" s="62"/>
      <c r="AB60" s="63"/>
    </row>
    <row r="61" spans="1:31" x14ac:dyDescent="0.45">
      <c r="A61" s="59">
        <v>59</v>
      </c>
      <c r="B61" s="52">
        <f t="shared" si="0"/>
        <v>59</v>
      </c>
      <c r="C61" s="41">
        <f t="shared" si="2"/>
        <v>47894</v>
      </c>
      <c r="D61" s="76">
        <f t="shared" si="1"/>
        <v>640000</v>
      </c>
      <c r="E61" s="85"/>
      <c r="F61" s="82">
        <f t="shared" si="4"/>
        <v>0</v>
      </c>
      <c r="G61" s="76">
        <f t="shared" si="3"/>
        <v>0</v>
      </c>
      <c r="H61" s="83"/>
      <c r="I61" s="83"/>
      <c r="J61" s="83"/>
      <c r="K61" s="83"/>
      <c r="L61" s="83"/>
      <c r="M61" s="60" t="s">
        <v>41</v>
      </c>
      <c r="N61" s="87"/>
      <c r="O61" s="87"/>
      <c r="P61" s="62"/>
      <c r="Q61" s="62"/>
      <c r="R61" s="62"/>
      <c r="S61" s="62"/>
      <c r="T61" s="62"/>
      <c r="U61" s="62"/>
      <c r="V61" s="62"/>
      <c r="W61" s="62"/>
      <c r="X61" s="62"/>
      <c r="Y61" s="52"/>
      <c r="Z61" s="62"/>
      <c r="AA61" s="62"/>
      <c r="AB61" s="63"/>
    </row>
    <row r="62" spans="1:31" x14ac:dyDescent="0.45">
      <c r="A62" s="68">
        <v>60</v>
      </c>
      <c r="B62" s="69">
        <f t="shared" si="0"/>
        <v>60</v>
      </c>
      <c r="C62" s="91">
        <f t="shared" si="2"/>
        <v>47922</v>
      </c>
      <c r="D62" s="77">
        <f t="shared" si="1"/>
        <v>640000</v>
      </c>
      <c r="E62" s="86"/>
      <c r="F62" s="89">
        <f t="shared" si="4"/>
        <v>0</v>
      </c>
      <c r="G62" s="77">
        <f t="shared" si="3"/>
        <v>0</v>
      </c>
      <c r="H62" s="84"/>
      <c r="I62" s="84"/>
      <c r="J62" s="84"/>
      <c r="K62" s="84"/>
      <c r="L62" s="84"/>
      <c r="M62" s="70" t="s">
        <v>41</v>
      </c>
      <c r="N62" s="88"/>
      <c r="O62" s="88"/>
      <c r="P62" s="71"/>
      <c r="Q62" s="71"/>
      <c r="R62" s="71"/>
      <c r="S62" s="71"/>
      <c r="T62" s="71"/>
      <c r="U62" s="71"/>
      <c r="V62" s="71"/>
      <c r="W62" s="71"/>
      <c r="X62" s="71"/>
      <c r="Y62" s="69"/>
      <c r="Z62" s="71"/>
      <c r="AA62" s="71"/>
      <c r="AB62" s="72"/>
      <c r="AC62" s="92"/>
      <c r="AD62" s="92"/>
      <c r="AE62" s="92"/>
    </row>
    <row r="70" spans="4:4" s="37" customFormat="1" x14ac:dyDescent="0.45">
      <c r="D70" s="78"/>
    </row>
  </sheetData>
  <mergeCells count="2">
    <mergeCell ref="M2:N2"/>
    <mergeCell ref="G2:L2"/>
  </mergeCells>
  <phoneticPr fontId="1" type="noConversion"/>
  <conditionalFormatting sqref="N7">
    <cfRule type="expression" priority="2">
      <formula>MOD(ROW(),3)=1</formula>
    </cfRule>
  </conditionalFormatting>
  <conditionalFormatting sqref="B3:B62">
    <cfRule type="expression" dxfId="0" priority="1">
      <formula>MOD(ROW(),$Y$3)=2</formula>
    </cfRule>
  </conditionalFormatting>
  <pageMargins left="0.25" right="0.25" top="0.75" bottom="0.75" header="0.3" footer="0.3"/>
  <pageSetup paperSize="9" scale="31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C52A7-B25B-459E-A893-DEA2884442D5}">
  <dimension ref="A1:AH37"/>
  <sheetViews>
    <sheetView zoomScale="70" zoomScaleNormal="70" workbookViewId="0">
      <selection activeCell="AC2" sqref="AC2:AH37"/>
    </sheetView>
  </sheetViews>
  <sheetFormatPr defaultRowHeight="17" x14ac:dyDescent="0.45"/>
  <cols>
    <col min="8" max="8" width="9.25" bestFit="1" customWidth="1"/>
  </cols>
  <sheetData>
    <row r="1" spans="1:34" x14ac:dyDescent="0.45">
      <c r="A1" s="142" t="s">
        <v>49</v>
      </c>
      <c r="B1" s="142"/>
      <c r="C1" s="142"/>
      <c r="D1" s="142"/>
      <c r="E1" s="142"/>
      <c r="F1" s="142" t="s">
        <v>51</v>
      </c>
      <c r="G1" s="142"/>
      <c r="H1" s="142"/>
      <c r="I1" s="142"/>
      <c r="J1" s="142"/>
      <c r="K1" s="142" t="s">
        <v>55</v>
      </c>
      <c r="L1" s="142"/>
      <c r="M1" s="142"/>
      <c r="N1" s="142"/>
      <c r="O1" s="142"/>
      <c r="P1" s="142"/>
      <c r="Q1" s="142" t="s">
        <v>54</v>
      </c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 t="s">
        <v>60</v>
      </c>
      <c r="AD1" s="142"/>
      <c r="AE1" s="142"/>
      <c r="AF1" s="142"/>
      <c r="AG1" s="142"/>
      <c r="AH1" s="142"/>
    </row>
    <row r="2" spans="1:34" x14ac:dyDescent="0.45">
      <c r="A2" s="143" t="s">
        <v>48</v>
      </c>
      <c r="B2" s="143"/>
      <c r="C2" s="143"/>
      <c r="D2" s="143"/>
      <c r="E2" s="143"/>
      <c r="F2" s="143" t="s">
        <v>50</v>
      </c>
      <c r="G2" s="142"/>
      <c r="H2" s="142"/>
      <c r="I2" s="142"/>
      <c r="J2" s="142"/>
      <c r="K2" s="143" t="s">
        <v>52</v>
      </c>
      <c r="L2" s="142"/>
      <c r="M2" s="142"/>
      <c r="N2" s="142"/>
      <c r="O2" s="142"/>
      <c r="P2" s="142"/>
      <c r="Q2" s="143" t="s">
        <v>53</v>
      </c>
      <c r="R2" s="142"/>
      <c r="S2" s="142"/>
      <c r="T2" s="142"/>
      <c r="U2" s="142"/>
      <c r="V2" s="142"/>
      <c r="W2" s="143" t="s">
        <v>61</v>
      </c>
      <c r="X2" s="142"/>
      <c r="Y2" s="142"/>
      <c r="Z2" s="142"/>
      <c r="AA2" s="142"/>
      <c r="AB2" s="142"/>
      <c r="AC2" s="143" t="s">
        <v>59</v>
      </c>
      <c r="AD2" s="142"/>
      <c r="AE2" s="142"/>
      <c r="AF2" s="142"/>
      <c r="AG2" s="142"/>
      <c r="AH2" s="142"/>
    </row>
    <row r="3" spans="1:34" x14ac:dyDescent="0.45">
      <c r="A3" s="143"/>
      <c r="B3" s="143"/>
      <c r="C3" s="143"/>
      <c r="D3" s="143"/>
      <c r="E3" s="143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</row>
    <row r="4" spans="1:34" x14ac:dyDescent="0.45">
      <c r="A4" s="143"/>
      <c r="B4" s="143"/>
      <c r="C4" s="143"/>
      <c r="D4" s="143"/>
      <c r="E4" s="143"/>
      <c r="F4" s="142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  <c r="AC4" s="142"/>
      <c r="AD4" s="142"/>
      <c r="AE4" s="142"/>
      <c r="AF4" s="142"/>
      <c r="AG4" s="142"/>
      <c r="AH4" s="142"/>
    </row>
    <row r="5" spans="1:34" x14ac:dyDescent="0.45">
      <c r="A5" s="143"/>
      <c r="B5" s="143"/>
      <c r="C5" s="143"/>
      <c r="D5" s="143"/>
      <c r="E5" s="143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  <c r="Y5" s="142"/>
      <c r="Z5" s="142"/>
      <c r="AA5" s="142"/>
      <c r="AB5" s="142"/>
      <c r="AC5" s="142"/>
      <c r="AD5" s="142"/>
      <c r="AE5" s="142"/>
      <c r="AF5" s="142"/>
      <c r="AG5" s="142"/>
      <c r="AH5" s="142"/>
    </row>
    <row r="6" spans="1:34" x14ac:dyDescent="0.45">
      <c r="A6" s="143"/>
      <c r="B6" s="143"/>
      <c r="C6" s="143"/>
      <c r="D6" s="143"/>
      <c r="E6" s="143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  <c r="Y6" s="142"/>
      <c r="Z6" s="142"/>
      <c r="AA6" s="142"/>
      <c r="AB6" s="142"/>
      <c r="AC6" s="142"/>
      <c r="AD6" s="142"/>
      <c r="AE6" s="142"/>
      <c r="AF6" s="142"/>
      <c r="AG6" s="142"/>
      <c r="AH6" s="142"/>
    </row>
    <row r="7" spans="1:34" x14ac:dyDescent="0.45">
      <c r="A7" s="143"/>
      <c r="B7" s="143"/>
      <c r="C7" s="143"/>
      <c r="D7" s="143"/>
      <c r="E7" s="143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  <c r="Y7" s="142"/>
      <c r="Z7" s="142"/>
      <c r="AA7" s="142"/>
      <c r="AB7" s="142"/>
      <c r="AC7" s="142"/>
      <c r="AD7" s="142"/>
      <c r="AE7" s="142"/>
      <c r="AF7" s="142"/>
      <c r="AG7" s="142"/>
      <c r="AH7" s="142"/>
    </row>
    <row r="8" spans="1:34" x14ac:dyDescent="0.45">
      <c r="A8" s="143"/>
      <c r="B8" s="143"/>
      <c r="C8" s="143"/>
      <c r="D8" s="143"/>
      <c r="E8" s="143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142"/>
      <c r="AH8" s="142"/>
    </row>
    <row r="9" spans="1:34" x14ac:dyDescent="0.45">
      <c r="A9" s="143"/>
      <c r="B9" s="143"/>
      <c r="C9" s="143"/>
      <c r="D9" s="143"/>
      <c r="E9" s="143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</row>
    <row r="10" spans="1:34" x14ac:dyDescent="0.45">
      <c r="A10" s="143"/>
      <c r="B10" s="143"/>
      <c r="C10" s="143"/>
      <c r="D10" s="143"/>
      <c r="E10" s="143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2"/>
      <c r="AE10" s="142"/>
      <c r="AF10" s="142"/>
      <c r="AG10" s="142"/>
      <c r="AH10" s="142"/>
    </row>
    <row r="11" spans="1:34" x14ac:dyDescent="0.45">
      <c r="A11" s="143"/>
      <c r="B11" s="143"/>
      <c r="C11" s="143"/>
      <c r="D11" s="143"/>
      <c r="E11" s="143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2"/>
      <c r="AE11" s="142"/>
      <c r="AF11" s="142"/>
      <c r="AG11" s="142"/>
      <c r="AH11" s="142"/>
    </row>
    <row r="12" spans="1:34" x14ac:dyDescent="0.45">
      <c r="A12" s="143"/>
      <c r="B12" s="143"/>
      <c r="C12" s="143"/>
      <c r="D12" s="143"/>
      <c r="E12" s="143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2"/>
      <c r="AE12" s="142"/>
      <c r="AF12" s="142"/>
      <c r="AG12" s="142"/>
      <c r="AH12" s="142"/>
    </row>
    <row r="13" spans="1:34" x14ac:dyDescent="0.45">
      <c r="A13" s="143"/>
      <c r="B13" s="143"/>
      <c r="C13" s="143"/>
      <c r="D13" s="143"/>
      <c r="E13" s="143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</row>
    <row r="14" spans="1:34" x14ac:dyDescent="0.45">
      <c r="A14" s="143"/>
      <c r="B14" s="143"/>
      <c r="C14" s="143"/>
      <c r="D14" s="143"/>
      <c r="E14" s="143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2"/>
      <c r="AB14" s="142"/>
      <c r="AC14" s="142"/>
      <c r="AD14" s="142"/>
      <c r="AE14" s="142"/>
      <c r="AF14" s="142"/>
      <c r="AG14" s="142"/>
      <c r="AH14" s="142"/>
    </row>
    <row r="15" spans="1:34" x14ac:dyDescent="0.45">
      <c r="A15" s="143"/>
      <c r="B15" s="143"/>
      <c r="C15" s="143"/>
      <c r="D15" s="143"/>
      <c r="E15" s="143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</row>
    <row r="16" spans="1:34" x14ac:dyDescent="0.45">
      <c r="A16" s="143"/>
      <c r="B16" s="143"/>
      <c r="C16" s="143"/>
      <c r="D16" s="143"/>
      <c r="E16" s="143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</row>
    <row r="17" spans="1:34" x14ac:dyDescent="0.45">
      <c r="A17" s="143"/>
      <c r="B17" s="143"/>
      <c r="C17" s="143"/>
      <c r="D17" s="143"/>
      <c r="E17" s="143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</row>
    <row r="18" spans="1:34" x14ac:dyDescent="0.45">
      <c r="A18" s="143"/>
      <c r="B18" s="143"/>
      <c r="C18" s="143"/>
      <c r="D18" s="143"/>
      <c r="E18" s="143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  <c r="AF18" s="142"/>
      <c r="AG18" s="142"/>
      <c r="AH18" s="142"/>
    </row>
    <row r="19" spans="1:34" x14ac:dyDescent="0.45">
      <c r="A19" s="143"/>
      <c r="B19" s="143"/>
      <c r="C19" s="143"/>
      <c r="D19" s="143"/>
      <c r="E19" s="143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</row>
    <row r="20" spans="1:34" x14ac:dyDescent="0.45">
      <c r="A20" s="143"/>
      <c r="B20" s="143"/>
      <c r="C20" s="143"/>
      <c r="D20" s="143"/>
      <c r="E20" s="143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</row>
    <row r="21" spans="1:34" x14ac:dyDescent="0.45">
      <c r="A21" s="143"/>
      <c r="B21" s="143"/>
      <c r="C21" s="143"/>
      <c r="D21" s="143"/>
      <c r="E21" s="143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</row>
    <row r="22" spans="1:34" x14ac:dyDescent="0.45">
      <c r="A22" s="143"/>
      <c r="B22" s="143"/>
      <c r="C22" s="143"/>
      <c r="D22" s="143"/>
      <c r="E22" s="143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</row>
    <row r="23" spans="1:34" x14ac:dyDescent="0.45">
      <c r="A23" s="143"/>
      <c r="B23" s="143"/>
      <c r="C23" s="143"/>
      <c r="D23" s="143"/>
      <c r="E23" s="143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</row>
    <row r="24" spans="1:34" x14ac:dyDescent="0.45">
      <c r="A24" s="143"/>
      <c r="B24" s="143"/>
      <c r="C24" s="143"/>
      <c r="D24" s="143"/>
      <c r="E24" s="143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</row>
    <row r="25" spans="1:34" x14ac:dyDescent="0.45">
      <c r="A25" s="143"/>
      <c r="B25" s="143"/>
      <c r="C25" s="143"/>
      <c r="D25" s="143"/>
      <c r="E25" s="143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</row>
    <row r="26" spans="1:34" x14ac:dyDescent="0.45">
      <c r="A26" s="143"/>
      <c r="B26" s="143"/>
      <c r="C26" s="143"/>
      <c r="D26" s="143"/>
      <c r="E26" s="143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</row>
    <row r="27" spans="1:34" x14ac:dyDescent="0.45">
      <c r="A27" s="143"/>
      <c r="B27" s="143"/>
      <c r="C27" s="143"/>
      <c r="D27" s="143"/>
      <c r="E27" s="143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</row>
    <row r="28" spans="1:34" x14ac:dyDescent="0.45">
      <c r="A28" s="143"/>
      <c r="B28" s="143"/>
      <c r="C28" s="143"/>
      <c r="D28" s="143"/>
      <c r="E28" s="143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</row>
    <row r="29" spans="1:34" x14ac:dyDescent="0.45"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</row>
    <row r="30" spans="1:34" x14ac:dyDescent="0.45"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</row>
    <row r="31" spans="1:34" x14ac:dyDescent="0.45">
      <c r="H31" s="90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</row>
    <row r="32" spans="1:34" x14ac:dyDescent="0.45"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</row>
    <row r="33" spans="8:34" x14ac:dyDescent="0.45">
      <c r="H33" s="90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</row>
    <row r="34" spans="8:34" x14ac:dyDescent="0.45"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</row>
    <row r="35" spans="8:34" x14ac:dyDescent="0.45">
      <c r="Q35" s="142"/>
      <c r="R35" s="142"/>
      <c r="S35" s="142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</row>
    <row r="36" spans="8:34" x14ac:dyDescent="0.45"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</row>
    <row r="37" spans="8:34" x14ac:dyDescent="0.45"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  <c r="AH37" s="142"/>
    </row>
  </sheetData>
  <mergeCells count="12">
    <mergeCell ref="A2:E28"/>
    <mergeCell ref="A1:E1"/>
    <mergeCell ref="F2:J28"/>
    <mergeCell ref="F1:J1"/>
    <mergeCell ref="K1:P1"/>
    <mergeCell ref="K2:P32"/>
    <mergeCell ref="W1:AB1"/>
    <mergeCell ref="W2:AB37"/>
    <mergeCell ref="AC1:AH1"/>
    <mergeCell ref="AC2:AH37"/>
    <mergeCell ref="Q2:V37"/>
    <mergeCell ref="Q1:V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청구서</vt:lpstr>
      <vt:lpstr>월대여료</vt:lpstr>
      <vt:lpstr>문자 발송 예시안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CEO</cp:lastModifiedBy>
  <cp:lastPrinted>2026-08-13T01:03:45Z</cp:lastPrinted>
  <dcterms:created xsi:type="dcterms:W3CDTF">2021-10-24T03:49:03Z</dcterms:created>
  <dcterms:modified xsi:type="dcterms:W3CDTF">2026-08-17T10:28:12Z</dcterms:modified>
</cp:coreProperties>
</file>